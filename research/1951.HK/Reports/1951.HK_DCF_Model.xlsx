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<sst xmlns="http://schemas.openxmlformats.org/spreadsheetml/2006/main" count="354" uniqueCount="164">
  <si>
    <t xml:space="preserve">Ticker</t>
  </si>
  <si>
    <t xml:space="preserve">1951.HK</t>
  </si>
  <si>
    <t xml:space="preserve">Company</t>
  </si>
  <si>
    <t xml:space="preserve">Jinxin Fertility Group Limited</t>
  </si>
  <si>
    <t xml:space="preserve">Valuation date</t>
  </si>
  <si>
    <t xml:space="preserve">2026-10-17</t>
  </si>
  <si>
    <t xml:space="preserve">Current price</t>
  </si>
  <si>
    <t xml:space="preserve">Price as of</t>
  </si>
  <si>
    <t xml:space="preserve">2026-10-16T08:08:14Z regular close (HKEX)</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</si>
  <si>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</si>
  <si>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</si>
  <si>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</si>
  <si>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</si>
  <si>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</si>
  <si>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</si>
  <si>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</si>
  <si>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</si>
  <si>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</si>
  <si>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</si>
  <si>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</si>
  <si>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</si>
  <si>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</si>
  <si>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2026-10-16T23:58:58Z</t>
  </si>
  <si>
    <t xml:space="preserve">Drivers file</t>
  </si>
  <si>
    <t xml:space="preserve">1951.HK_Drivers.json</t>
  </si>
  <si>
    <t xml:space="preserve">Convention</t>
  </si>
  <si>
    <t xml:space="preserve">Percents stored as percents; formulas divide by 100. Blue = input, green = link, black = formula.</t>
  </si>
  <si>
    <t xml:space="preserve">Methodology</t>
  </si>
  <si>
    <t xml:space="preserve">summary: Normalised owner-FCF DCF in RMB, converted to HKD at the spot CNY/HKD rate. The FY2025 impairment is excluded from the base as non-cash and non-recurring; the base year is anchored on company adjusted EBITDA cross-checked against the H1 FY2026 recovery. Leases are charged as operating cash cost (treatment B) and excluded from net debt.
key_risks_to_valuation: China ARS cycle volumes (Chengdu -5.4% in H1 FY2026) and the national birth trend; Pace and generosity of China medical-insurance reimbursement for ARS; California SB 729 conversion into profitable US volume at HRC Medical; Further impairment of overseas assets and capital-allocation discipline; Leverage: RMB2.48bn bank debt against ~RMB0.5-0.7bn adjusted EBITDA; refinancing cost; CNY/HKD rate: IV in HKD moves one-for-one with the RMB</t>
  </si>
  <si>
    <t xml:space="preserve">Data sources</t>
  </si>
  <si>
    <t xml:space="preserve">price: Yahoo Finance chart API (1951.HK) at inputs.price_as_of; 52-week range HK$1.92-2.67
financials: 1951.HK_Metrics.csv / core_metrics (FY2018-FY2025, H1 FY2023-FY2026); H1 FY2026 interim report (balance sheet, bank borrowings note 20, EPS note 13, adjusted EBITDA reconciliation); FY2025 annual report cash flow statement
fx: Yahoo CNYHKD=X, cross-checked with CNY=X and HKD=X, 2026-10-16
qualitative: 1951.HK_Analysis.json (2026-10-17)</t>
  </si>
  <si>
    <t xml:space="preserve">Scenario narrative: bear</t>
  </si>
  <si>
    <t xml:space="preserve">China demand keeps eroding: births continue to fall, provincial insurance reimbursement is set low enough to pull patients toward public hospitals that are adding capacity, and IOT/MSA management fees keep declining. US growth disappoints as SB 729 is interpreted narrowly and physician recruitment costs stay high, and the FY2025 impairment proves not to be the last (Laos, other overseas assets). Group revenue grows ~2%, adjusted EBITDA margin stays near the FY2025 trough at ~21%, and capex stays above maintenance to keep new capacity competitive.</t>
  </si>
  <si>
    <t xml:space="preserve">Scenario narrative: base</t>
  </si>
  <si>
    <t xml:space="preserve">The FY2025 loss was a one-time write-down of legacy M&amp;A, not an earnings break: H1 FY2026 adjusted EBITDA margin is back at 24.5% and revenue grew 6.6%. China cycle volumes stay flat-to-down (Chengdu -5.4% in H1) as record-low births and weak consumer confidence offset gradual medical-insurance inclusion of ARS, while the US (HRC, SB 729 commercial-insurance mandate from January 2026) and the 3x-capacity Shenzhen Zhongshan hospital carry mid-single-digit group growth for five years before fading to 3%. Capex discipline (&lt;RMB50m new capex guided for 2026) lifts owner FCF toward a ~10-11% margin.</t>
  </si>
  <si>
    <t xml:space="preserve">Scenario narrative: bull</t>
  </si>
  <si>
    <t xml:space="preserve">SB 729 converts into sustained double-digit US growth as group plans renew through 2026-27 and HRC reaches ~40 physicians by 2027; Shenzhen fills toward its capacity as the Greater Bay Area 'southern headquarters'; China's expanding insurance coverage and childcare subsidies lift ARS penetration from ~10.5% toward developed-market levels, and VIP / PGT (third-generation IVF, +72.8% in FY2025) mix pushes adjusted EBITDA margin back above the FY2023 28% level. Group revenue grows high-single to ~10% through FY2030.</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</si>
  <si>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</si>
  <si>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</si>
  <si>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</si>
  <si>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</si>
  <si>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</si>
  <si>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</si>
  <si>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</si>
  <si>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</si>
  <si>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</si>
  <si>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</si>
  <si>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</si>
  <si>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</si>
  <si>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</si>
  <si>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</si>
  <si>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</si>
  <si>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</si>
  <si>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</si>
  <si>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</si>
  <si>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</si>
  <si>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</si>
  <si>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</si>
  <si>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</si>
  <si>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</si>
  <si>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</si>
  <si>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</si>
  <si>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</si>
  <si>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</si>
  <si>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</si>
  <si>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</si>
  <si>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</si>
  <si>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</si>
  <si>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</si>
  <si>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</si>
  <si>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</si>
  <si>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</si>
  <si>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</si>
  <si>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</si>
  <si>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</si>
  <si>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</si>
  <si>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</si>
  <si>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</si>
  <si>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</si>
  <si>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</si>
  <si>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</si>
  <si>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</si>
  <si>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</si>
  <si>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</si>
  <si>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</si>
  <si>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</si>
  <si>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</si>
  <si>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</si>
  <si>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</si>
  <si>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</si>
  <si>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</si>
  <si>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</si>
  <si>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</si>
  <si>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</si>
  <si>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</si>
  <si>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</si>
  <si>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</si>
  <si>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</si>
  <si>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</si>
  <si>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</si>
  <si>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</si>
  <si>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</si>
  <si>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</si>
  <si>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</si>
  <si>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</si>
  <si>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</si>
  <si>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</si>
  <si>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</si>
  <si>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</si>
  <si>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1951.HK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</si>
  <si>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</si>
  <si>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</si>
  <si>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</si>
  <si>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</si>
  <si>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</si>
  <si>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</si>
  <si>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</si>
  <si>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</si>
  <si>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</si>
  <si>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</si>
  <si>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</si>
  <si>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</si>
  <si>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</si>
  <si>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</si>
  <si>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</si>
  <si>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</si>
  <si>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</si>
  <si>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</si>
  <si>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</si>
  <si>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</si>
  <si>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</si>
  <si>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</si>
  <si>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</si>
  <si>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</si>
  <si>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</si>
  <si>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</si>
  <si>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</si>
  <si>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</si>
  <si>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</si>
  <si>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</si>
  <si>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1951.HK owner-FCF component DCF: base case (millions, CNY)</t>
  </si>
  <si>
    <t xml:space="preserve">1951.HK owner-FCF component DCF: bull case (millions, CNY)</t>
  </si>
  <si>
    <t xml:space="preserve">1951.HK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</si>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</sst>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2.195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46.2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row>
    <row r="2" customFormat="false" ht="15" hidden="false" customHeight="false" outlineLevel="0" collapsed="false">
      <c r="A2" s="0" t="s">
        <v>64</v>
      </c>
      <c r="B2" s="0" t="n">
        <v>921.994</v>
      </c>
      <c r="C2" s="0" t="n">
        <v>508.875</v>
      </c>
      <c r="D2" s="0" t="n">
        <v>413.119</v>
      </c>
      <c r="E2" s="0" t="n">
        <v>44.8</v>
      </c>
      <c r="F2" s="0" t="n">
        <v>276.588</v>
      </c>
      <c r="G2" s="0" t="n">
        <v>30</v>
      </c>
      <c r="H2" s="0" t="n">
        <v>318.858</v>
      </c>
      <c r="I2" s="0" t="n">
        <v>166.6</v>
      </c>
      <c r="J2" s="0" t="n">
        <v>18.1</v>
      </c>
      <c r="K2" s="0" t="n">
        <v>0.148</v>
      </c>
      <c r="L2" s="0" t="n">
        <v>356.437</v>
      </c>
      <c r="M2" s="0" t="n">
        <v>20.981</v>
      </c>
      <c r="N2" s="0" t="n">
        <v>335.456</v>
      </c>
      <c r="O2" s="0" t="n">
        <v>4363.171</v>
      </c>
      <c r="P2" s="0" t="n">
        <v>6558.308</v>
      </c>
      <c r="Q2" s="0" t="n">
        <v>2058.51</v>
      </c>
      <c r="R2" s="0" t="n">
        <v>0</v>
      </c>
      <c r="S2" s="0" t="n">
        <v>1184.19</v>
      </c>
      <c r="T2" s="0" t="n">
        <v>1125.87</v>
      </c>
      <c r="U2" s="0" t="n">
        <v>0</v>
      </c>
      <c r="AA2" s="0" t="s">
        <v>18</v>
      </c>
      <c r="AB2" s="0" t="s">
        <v>14</v>
      </c>
    </row>
    <row r="3" customFormat="false" ht="15" hidden="false" customHeight="false" outlineLevel="0" collapsed="false">
      <c r="A3" s="0" t="s">
        <v>65</v>
      </c>
      <c r="B3" s="0" t="n">
        <v>1648.496</v>
      </c>
      <c r="C3" s="0" t="n">
        <v>831.701</v>
      </c>
      <c r="D3" s="0" t="n">
        <v>816.795</v>
      </c>
      <c r="E3" s="0" t="n">
        <v>49.5</v>
      </c>
      <c r="F3" s="0" t="n">
        <v>557.223</v>
      </c>
      <c r="G3" s="0" t="n">
        <v>33.8</v>
      </c>
      <c r="H3" s="0" t="n">
        <v>669.773</v>
      </c>
      <c r="I3" s="0" t="n">
        <v>409.623</v>
      </c>
      <c r="J3" s="0" t="n">
        <v>24.8</v>
      </c>
      <c r="K3" s="0" t="n">
        <v>0.1863</v>
      </c>
      <c r="L3" s="0" t="n">
        <v>452.568</v>
      </c>
      <c r="M3" s="0" t="n">
        <v>53.126</v>
      </c>
      <c r="N3" s="0" t="n">
        <v>399.442</v>
      </c>
      <c r="O3" s="0" t="n">
        <v>7526.884</v>
      </c>
      <c r="P3" s="0" t="n">
        <v>8941.145</v>
      </c>
      <c r="Q3" s="0" t="n">
        <v>1298.75</v>
      </c>
      <c r="R3" s="0" t="n">
        <v>0</v>
      </c>
      <c r="S3" s="0" t="n">
        <v>579.637</v>
      </c>
      <c r="T3" s="0" t="n">
        <v>2206.339</v>
      </c>
      <c r="U3" s="0" t="n">
        <v>27.247</v>
      </c>
      <c r="AA3" s="0" t="s">
        <v>18</v>
      </c>
      <c r="AB3" s="0" t="s">
        <v>14</v>
      </c>
    </row>
    <row r="4" customFormat="false" ht="15" hidden="false" customHeight="false" outlineLevel="0" collapsed="false">
      <c r="A4" s="0" t="s">
        <v>66</v>
      </c>
      <c r="B4" s="0" t="n">
        <v>1426.088</v>
      </c>
      <c r="C4" s="0" t="n">
        <v>860.307</v>
      </c>
      <c r="D4" s="0" t="n">
        <v>565.781</v>
      </c>
      <c r="E4" s="0" t="n">
        <v>39.7</v>
      </c>
      <c r="F4" s="0" t="n">
        <v>362.525</v>
      </c>
      <c r="G4" s="0" t="n">
        <v>25.4</v>
      </c>
      <c r="H4" s="0" t="n">
        <v>492.814</v>
      </c>
      <c r="I4" s="0" t="n">
        <v>251.622</v>
      </c>
      <c r="J4" s="0" t="n">
        <v>17.6</v>
      </c>
      <c r="K4" s="0" t="n">
        <v>0.1048</v>
      </c>
      <c r="L4" s="0" t="n">
        <v>308.039</v>
      </c>
      <c r="M4" s="0" t="n">
        <v>209.64</v>
      </c>
      <c r="N4" s="0" t="n">
        <v>98.399</v>
      </c>
      <c r="O4" s="0" t="n">
        <v>7283.02</v>
      </c>
      <c r="P4" s="0" t="n">
        <v>9163.227</v>
      </c>
      <c r="Q4" s="0" t="n">
        <v>1700.741</v>
      </c>
      <c r="R4" s="0" t="n">
        <v>162.54</v>
      </c>
      <c r="S4" s="0" t="n">
        <v>681.619</v>
      </c>
      <c r="T4" s="0" t="n">
        <v>2415.756</v>
      </c>
      <c r="U4" s="0" t="n">
        <v>83.649</v>
      </c>
      <c r="AA4" s="0" t="s">
        <v>18</v>
      </c>
      <c r="AB4" s="0" t="s">
        <v>14</v>
      </c>
    </row>
    <row r="5" customFormat="false" ht="15" hidden="false" customHeight="false" outlineLevel="0" collapsed="false">
      <c r="A5" s="0" t="s">
        <v>67</v>
      </c>
      <c r="B5" s="0" t="n">
        <v>1838.826</v>
      </c>
      <c r="C5" s="0" t="n">
        <v>1067.344</v>
      </c>
      <c r="D5" s="0" t="n">
        <v>771.482</v>
      </c>
      <c r="E5" s="0" t="n">
        <v>42</v>
      </c>
      <c r="F5" s="0" t="n">
        <v>479.073</v>
      </c>
      <c r="G5" s="0" t="n">
        <v>26.1</v>
      </c>
      <c r="H5" s="0" t="n">
        <v>648.695</v>
      </c>
      <c r="I5" s="0" t="n">
        <v>339.901</v>
      </c>
      <c r="J5" s="0" t="n">
        <v>18.5</v>
      </c>
      <c r="K5" s="0" t="n">
        <v>0.1372</v>
      </c>
      <c r="L5" s="0" t="n">
        <v>343.452</v>
      </c>
      <c r="M5" s="0" t="n">
        <v>71.773</v>
      </c>
      <c r="N5" s="0" t="n">
        <v>271.679</v>
      </c>
      <c r="O5" s="0" t="n">
        <v>8545.3</v>
      </c>
      <c r="P5" s="0" t="n">
        <v>12825.39</v>
      </c>
      <c r="Q5" s="0" t="n">
        <v>4072.689</v>
      </c>
      <c r="R5" s="0" t="n">
        <v>1656.678</v>
      </c>
      <c r="S5" s="0" t="n">
        <v>862.325</v>
      </c>
      <c r="T5" s="0" t="n">
        <v>2504.332</v>
      </c>
      <c r="U5" s="0" t="n">
        <v>76.342</v>
      </c>
      <c r="AA5" s="0" t="s">
        <v>18</v>
      </c>
      <c r="AB5" s="0" t="s">
        <v>14</v>
      </c>
    </row>
    <row r="6" customFormat="false" ht="15" hidden="false" customHeight="false" outlineLevel="0" collapsed="false">
      <c r="A6" s="0" t="s">
        <v>68</v>
      </c>
      <c r="B6" s="0" t="n">
        <v>2364.479</v>
      </c>
      <c r="C6" s="0" t="n">
        <v>1490.16</v>
      </c>
      <c r="D6" s="0" t="n">
        <v>874.319</v>
      </c>
      <c r="E6" s="0" t="n">
        <v>37</v>
      </c>
      <c r="F6" s="0" t="n">
        <v>226.177</v>
      </c>
      <c r="G6" s="0" t="n">
        <v>9.6</v>
      </c>
      <c r="H6" s="0" t="n">
        <v>487.571</v>
      </c>
      <c r="I6" s="0" t="n">
        <v>121.124</v>
      </c>
      <c r="J6" s="0" t="n">
        <v>5.1</v>
      </c>
      <c r="K6" s="0" t="n">
        <v>0.0485</v>
      </c>
      <c r="L6" s="0" t="n">
        <v>541.74</v>
      </c>
      <c r="M6" s="0" t="n">
        <v>959.393</v>
      </c>
      <c r="N6" s="0" t="n">
        <v>-417.653</v>
      </c>
      <c r="O6" s="0" t="n">
        <v>8639.743</v>
      </c>
      <c r="P6" s="0" t="n">
        <v>15232.037</v>
      </c>
      <c r="Q6" s="0" t="n">
        <v>6496.909</v>
      </c>
      <c r="R6" s="0" t="n">
        <v>3825.266</v>
      </c>
      <c r="S6" s="0" t="n">
        <v>1316.549</v>
      </c>
      <c r="T6" s="0" t="n">
        <v>2624.469</v>
      </c>
      <c r="U6" s="0" t="n">
        <v>33.024</v>
      </c>
      <c r="AA6" s="0" t="s">
        <v>18</v>
      </c>
      <c r="AB6" s="0" t="s">
        <v>14</v>
      </c>
    </row>
    <row r="7" customFormat="false" ht="15" hidden="false" customHeight="false" outlineLevel="0" collapsed="false">
      <c r="A7" s="0" t="s">
        <v>69</v>
      </c>
      <c r="B7" s="0" t="n">
        <v>2788.91</v>
      </c>
      <c r="C7" s="0" t="n">
        <v>1613.465</v>
      </c>
      <c r="D7" s="0" t="n">
        <v>1175.445</v>
      </c>
      <c r="E7" s="0" t="n">
        <v>42.1</v>
      </c>
      <c r="F7" s="0" t="n">
        <v>543.909</v>
      </c>
      <c r="G7" s="0" t="n">
        <v>19.5</v>
      </c>
      <c r="H7" s="0" t="n">
        <v>830.096</v>
      </c>
      <c r="I7" s="0" t="n">
        <v>344.723</v>
      </c>
      <c r="J7" s="0" t="n">
        <v>12.4</v>
      </c>
      <c r="K7" s="0" t="n">
        <v>0.1288</v>
      </c>
      <c r="L7" s="0" t="n">
        <v>684.484</v>
      </c>
      <c r="M7" s="0" t="n">
        <v>164.138</v>
      </c>
      <c r="N7" s="0" t="n">
        <v>520.346</v>
      </c>
      <c r="O7" s="0" t="n">
        <v>10091.423</v>
      </c>
      <c r="P7" s="0" t="n">
        <v>14896.177</v>
      </c>
      <c r="Q7" s="0" t="n">
        <v>4709.365</v>
      </c>
      <c r="R7" s="0" t="n">
        <v>2206.905</v>
      </c>
      <c r="S7" s="0" t="n">
        <v>624.28</v>
      </c>
      <c r="T7" s="0" t="n">
        <v>2735.787</v>
      </c>
      <c r="U7" s="0" t="n">
        <v>53.43</v>
      </c>
      <c r="AA7" s="0" t="s">
        <v>18</v>
      </c>
      <c r="AB7" s="0" t="s">
        <v>14</v>
      </c>
    </row>
    <row r="8" customFormat="false" ht="15" hidden="false" customHeight="false" outlineLevel="0" collapsed="false">
      <c r="A8" s="0" t="s">
        <v>70</v>
      </c>
      <c r="B8" s="0" t="n">
        <v>2811.596</v>
      </c>
      <c r="C8" s="0" t="n">
        <v>1712.142</v>
      </c>
      <c r="D8" s="0" t="n">
        <v>1099.454</v>
      </c>
      <c r="E8" s="0" t="n">
        <v>39.1</v>
      </c>
      <c r="F8" s="0" t="n">
        <v>449.293</v>
      </c>
      <c r="G8" s="0" t="n">
        <v>16</v>
      </c>
      <c r="H8" s="0" t="n">
        <v>727.094</v>
      </c>
      <c r="I8" s="0" t="n">
        <v>283.099</v>
      </c>
      <c r="J8" s="0" t="n">
        <v>10.1</v>
      </c>
      <c r="K8" s="0" t="n">
        <v>0.1056</v>
      </c>
      <c r="L8" s="0" t="n">
        <v>629.201</v>
      </c>
      <c r="M8" s="0" t="n">
        <v>262.357</v>
      </c>
      <c r="N8" s="0" t="n">
        <v>366.844</v>
      </c>
      <c r="O8" s="0" t="n">
        <v>10274.419</v>
      </c>
      <c r="P8" s="0" t="n">
        <v>14981.794</v>
      </c>
      <c r="Q8" s="0" t="n">
        <v>4627.607</v>
      </c>
      <c r="R8" s="0" t="n">
        <v>2270.096</v>
      </c>
      <c r="S8" s="0" t="n">
        <v>546.196</v>
      </c>
      <c r="T8" s="0" t="n">
        <v>2719.182</v>
      </c>
      <c r="U8" s="0" t="n">
        <v>47.285</v>
      </c>
      <c r="AA8" s="0" t="s">
        <v>18</v>
      </c>
      <c r="AB8" s="0" t="s">
        <v>14</v>
      </c>
    </row>
    <row r="9" customFormat="false" ht="15" hidden="false" customHeight="false" outlineLevel="0" collapsed="false">
      <c r="A9" s="0" t="s">
        <v>71</v>
      </c>
      <c r="B9" s="0" t="n">
        <v>2649.073</v>
      </c>
      <c r="C9" s="0" t="n">
        <v>1762.532</v>
      </c>
      <c r="D9" s="0" t="n">
        <v>886.541</v>
      </c>
      <c r="E9" s="0" t="n">
        <v>33.5</v>
      </c>
      <c r="F9" s="0" t="n">
        <v>-911.906</v>
      </c>
      <c r="G9" s="0" t="n">
        <v>-34.4</v>
      </c>
      <c r="H9" s="0" t="n">
        <v>-565.902</v>
      </c>
      <c r="I9" s="0" t="n">
        <v>-976.146</v>
      </c>
      <c r="J9" s="0" t="n">
        <v>-36.8</v>
      </c>
      <c r="K9" s="0" t="n">
        <v>-0.356</v>
      </c>
      <c r="L9" s="0" t="n">
        <v>588.893</v>
      </c>
      <c r="M9" s="0" t="n">
        <v>251.163</v>
      </c>
      <c r="N9" s="0" t="n">
        <v>337.73</v>
      </c>
      <c r="O9" s="0" t="n">
        <v>9143.546</v>
      </c>
      <c r="P9" s="0" t="n">
        <v>13963.131</v>
      </c>
      <c r="Q9" s="0" t="n">
        <v>4764.31</v>
      </c>
      <c r="R9" s="0" t="n">
        <v>2462.439</v>
      </c>
      <c r="S9" s="0" t="n">
        <v>905.782</v>
      </c>
      <c r="T9" s="0" t="n">
        <v>2742.365</v>
      </c>
      <c r="U9" s="0" t="n">
        <v>28.541</v>
      </c>
      <c r="W9" s="0" t="n">
        <v>426.677</v>
      </c>
      <c r="AA9" s="0" t="s">
        <v>18</v>
      </c>
      <c r="AB9"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72</v>
      </c>
      <c r="B1" s="2" t="s">
        <v>73</v>
      </c>
    </row>
    <row r="2" customFormat="false" ht="15" hidden="false" customHeight="false" outlineLevel="0" collapsed="false">
      <c r="A2" s="0" t="s">
        <v>74</v>
      </c>
      <c r="B2" s="3" t="n">
        <v>2.195</v>
      </c>
    </row>
    <row r="3" customFormat="false" ht="15" hidden="false" customHeight="false" outlineLevel="0" collapsed="false">
      <c r="A3" s="0" t="s">
        <v>75</v>
      </c>
      <c r="B3" s="3" t="n">
        <v>2645.7</v>
      </c>
    </row>
    <row r="4" customFormat="false" ht="15" hidden="false" customHeight="false" outlineLevel="0" collapsed="false">
      <c r="A4" s="0" t="s">
        <v>76</v>
      </c>
      <c r="B4" s="3" t="n">
        <v>1722.26</v>
      </c>
    </row>
    <row r="5" customFormat="false" ht="15" hidden="false" customHeight="false" outlineLevel="0" collapsed="false">
      <c r="A5" s="0" t="s">
        <v>77</v>
      </c>
      <c r="B5" s="3" t="n">
        <v>-111.78</v>
      </c>
    </row>
    <row r="6" customFormat="false" ht="15" hidden="false" customHeight="false" outlineLevel="0" collapsed="false">
      <c r="A6" s="0" t="s">
        <v>78</v>
      </c>
      <c r="B6" s="3" t="n">
        <v>15</v>
      </c>
    </row>
    <row r="7" customFormat="false" ht="15" hidden="false" customHeight="false" outlineLevel="0" collapsed="false">
      <c r="A7" s="0" t="s">
        <v>79</v>
      </c>
      <c r="B7" s="3" t="n">
        <v>2649.073</v>
      </c>
    </row>
    <row r="8" customFormat="false" ht="15" hidden="false" customHeight="false" outlineLevel="0" collapsed="false">
      <c r="A8" s="0" t="s">
        <v>80</v>
      </c>
      <c r="B8" s="3" t="s">
        <v>71</v>
      </c>
    </row>
    <row r="9" customFormat="false" ht="15" hidden="false" customHeight="false" outlineLevel="0" collapsed="false">
      <c r="A9" s="0" t="s">
        <v>81</v>
      </c>
      <c r="B9" s="3" t="s">
        <v>82</v>
      </c>
    </row>
    <row r="10" customFormat="false" ht="15" hidden="false" customHeight="false" outlineLevel="0" collapsed="false">
      <c r="A10" s="0" t="s">
        <v>83</v>
      </c>
      <c r="B10" s="3" t="n">
        <v>1.1724</v>
      </c>
    </row>
    <row r="12" customFormat="false" ht="15" hidden="false" customHeight="false" outlineLevel="0" collapsed="false">
      <c r="A12" s="2" t="s">
        <v>84</v>
      </c>
      <c r="C12" s="2" t="s">
        <v>85</v>
      </c>
      <c r="D12" s="2" t="s">
        <v>86</v>
      </c>
      <c r="E12" s="2" t="s">
        <v>87</v>
      </c>
      <c r="F12" s="2" t="s">
        <v>88</v>
      </c>
      <c r="G12" s="2" t="s">
        <v>89</v>
      </c>
      <c r="H12" s="2" t="s">
        <v>90</v>
      </c>
      <c r="I12" s="2" t="s">
        <v>91</v>
      </c>
      <c r="J12" s="2" t="s">
        <v>92</v>
      </c>
      <c r="K12" s="2" t="s">
        <v>93</v>
      </c>
      <c r="L12" s="2" t="s">
        <v>94</v>
      </c>
    </row>
    <row r="13" customFormat="false" ht="15" hidden="false" customHeight="false" outlineLevel="0" collapsed="false">
      <c r="A13" s="0" t="s">
        <v>95</v>
      </c>
      <c r="C13" s="3" t="n">
        <v>4</v>
      </c>
      <c r="D13" s="3" t="n">
        <v>2</v>
      </c>
      <c r="E13" s="3" t="n">
        <v>1.5</v>
      </c>
      <c r="F13" s="3" t="n">
        <v>2</v>
      </c>
      <c r="G13" s="3" t="n">
        <v>2</v>
      </c>
      <c r="H13" s="3" t="n">
        <v>2</v>
      </c>
      <c r="I13" s="3" t="n">
        <v>2</v>
      </c>
      <c r="J13" s="3" t="n">
        <v>2</v>
      </c>
      <c r="K13" s="3" t="n">
        <v>2</v>
      </c>
      <c r="L13" s="3" t="n">
        <v>2</v>
      </c>
    </row>
    <row r="14" customFormat="false" ht="15" hidden="false" customHeight="false" outlineLevel="0" collapsed="false">
      <c r="A14" s="0" t="s">
        <v>96</v>
      </c>
      <c r="C14" s="3" t="n">
        <v>22</v>
      </c>
      <c r="D14" s="3" t="n">
        <v>21</v>
      </c>
      <c r="E14" s="3" t="n">
        <v>21</v>
      </c>
      <c r="F14" s="3" t="n">
        <v>21</v>
      </c>
      <c r="G14" s="3" t="n">
        <v>21.5</v>
      </c>
      <c r="H14" s="3" t="n">
        <v>21.5</v>
      </c>
      <c r="I14" s="3" t="n">
        <v>21.5</v>
      </c>
      <c r="J14" s="3" t="n">
        <v>21.5</v>
      </c>
      <c r="K14" s="3" t="n">
        <v>21.5</v>
      </c>
      <c r="L14" s="3" t="n">
        <v>21.5</v>
      </c>
    </row>
    <row r="15" customFormat="false" ht="15" hidden="false" customHeight="false" outlineLevel="0" collapsed="false">
      <c r="A15" s="0" t="s">
        <v>97</v>
      </c>
      <c r="C15" s="3" t="n">
        <v>0.6</v>
      </c>
      <c r="D15" s="3" t="n">
        <v>0.7</v>
      </c>
      <c r="E15" s="3" t="n">
        <v>0.7</v>
      </c>
      <c r="F15" s="3" t="n">
        <v>0.7</v>
      </c>
      <c r="G15" s="3" t="n">
        <v>0.7</v>
      </c>
      <c r="H15" s="3" t="n">
        <v>0.7</v>
      </c>
      <c r="I15" s="3" t="n">
        <v>0.7</v>
      </c>
      <c r="J15" s="3" t="n">
        <v>0.7</v>
      </c>
      <c r="K15" s="3" t="n">
        <v>0.7</v>
      </c>
      <c r="L15" s="3" t="n">
        <v>0.7</v>
      </c>
    </row>
    <row r="16" customFormat="false" ht="15" hidden="false" customHeight="false" outlineLevel="0" collapsed="false">
      <c r="A16" s="0" t="s">
        <v>98</v>
      </c>
      <c r="C16" s="3" t="n">
        <v>3.6</v>
      </c>
      <c r="D16" s="3" t="n">
        <v>3.7</v>
      </c>
      <c r="E16" s="3" t="n">
        <v>3.8</v>
      </c>
      <c r="F16" s="3" t="n">
        <v>3.8</v>
      </c>
      <c r="G16" s="3" t="n">
        <v>3.8</v>
      </c>
      <c r="H16" s="3" t="n">
        <v>3.8</v>
      </c>
      <c r="I16" s="3" t="n">
        <v>3.8</v>
      </c>
      <c r="J16" s="3" t="n">
        <v>3.8</v>
      </c>
      <c r="K16" s="3" t="n">
        <v>3.8</v>
      </c>
      <c r="L16" s="3" t="n">
        <v>3.8</v>
      </c>
    </row>
    <row r="17" customFormat="false" ht="15" hidden="false" customHeight="false" outlineLevel="0" collapsed="false">
      <c r="A17" s="0" t="s">
        <v>99</v>
      </c>
      <c r="C17" s="3" t="n">
        <v>8.2</v>
      </c>
      <c r="D17" s="3" t="n">
        <v>8</v>
      </c>
      <c r="E17" s="3" t="n">
        <v>7.8</v>
      </c>
      <c r="F17" s="3" t="n">
        <v>7.5</v>
      </c>
      <c r="G17" s="3" t="n">
        <v>7.2</v>
      </c>
      <c r="H17" s="3" t="n">
        <v>7</v>
      </c>
      <c r="I17" s="3" t="n">
        <v>6.8</v>
      </c>
      <c r="J17" s="3" t="n">
        <v>6.6</v>
      </c>
      <c r="K17" s="3" t="n">
        <v>6.5</v>
      </c>
      <c r="L17" s="3" t="n">
        <v>6.5</v>
      </c>
    </row>
    <row r="18" customFormat="false" ht="15" hidden="false" customHeight="false" outlineLevel="0" collapsed="false">
      <c r="A18" s="0" t="s">
        <v>100</v>
      </c>
      <c r="C18" s="3" t="n">
        <v>8</v>
      </c>
      <c r="D18" s="3" t="n">
        <v>7</v>
      </c>
      <c r="E18" s="3" t="n">
        <v>6.5</v>
      </c>
      <c r="F18" s="3" t="n">
        <v>6.5</v>
      </c>
      <c r="G18" s="3" t="n">
        <v>6.5</v>
      </c>
      <c r="H18" s="3" t="n">
        <v>6.5</v>
      </c>
      <c r="I18" s="3" t="n">
        <v>6.5</v>
      </c>
      <c r="J18" s="3" t="n">
        <v>6.5</v>
      </c>
      <c r="K18" s="3" t="n">
        <v>6.5</v>
      </c>
      <c r="L18" s="3" t="n">
        <v>6.5</v>
      </c>
    </row>
    <row r="19" customFormat="false" ht="15" hidden="false" customHeight="false" outlineLevel="0" collapsed="false">
      <c r="A19" s="0" t="s">
        <v>101</v>
      </c>
      <c r="C19" s="3" t="n">
        <v>32</v>
      </c>
      <c r="D19" s="3" t="n">
        <v>32</v>
      </c>
      <c r="E19" s="3" t="n">
        <v>31</v>
      </c>
      <c r="F19" s="3" t="n">
        <v>31</v>
      </c>
      <c r="G19" s="3" t="n">
        <v>30</v>
      </c>
      <c r="H19" s="3" t="n">
        <v>30</v>
      </c>
      <c r="I19" s="3" t="n">
        <v>30</v>
      </c>
      <c r="J19" s="3" t="n">
        <v>30</v>
      </c>
      <c r="K19" s="3" t="n">
        <v>30</v>
      </c>
      <c r="L19" s="3" t="n">
        <v>30</v>
      </c>
    </row>
    <row r="20" customFormat="false" ht="15" hidden="false" customHeight="false" outlineLevel="0" collapsed="false">
      <c r="A20" s="0" t="s">
        <v>102</v>
      </c>
      <c r="B20" s="3" t="n">
        <v>8</v>
      </c>
    </row>
    <row r="21" customFormat="false" ht="15" hidden="false" customHeight="false" outlineLevel="0" collapsed="false">
      <c r="A21" s="0" t="s">
        <v>103</v>
      </c>
      <c r="B21" s="3" t="n">
        <v>1.5</v>
      </c>
    </row>
    <row r="22" customFormat="false" ht="15" hidden="false" customHeight="false" outlineLevel="0" collapsed="false">
      <c r="A22" s="0" t="s">
        <v>104</v>
      </c>
      <c r="B22" s="3" t="n">
        <v>15</v>
      </c>
    </row>
    <row r="23" customFormat="false" ht="15" hidden="false" customHeight="false" outlineLevel="0" collapsed="false">
      <c r="A23" s="0" t="s">
        <v>105</v>
      </c>
      <c r="B23" s="3" t="n">
        <v>0</v>
      </c>
    </row>
    <row r="24" customFormat="false" ht="15" hidden="false" customHeight="false" outlineLevel="0" collapsed="false">
      <c r="A24" s="0" t="s">
        <v>106</v>
      </c>
      <c r="B24" s="3" t="n">
        <v>0.25</v>
      </c>
    </row>
    <row r="26" customFormat="false" ht="15" hidden="false" customHeight="false" outlineLevel="0" collapsed="false">
      <c r="A26" s="2" t="s">
        <v>107</v>
      </c>
      <c r="C26" s="2" t="s">
        <v>85</v>
      </c>
      <c r="D26" s="2" t="s">
        <v>86</v>
      </c>
      <c r="E26" s="2" t="s">
        <v>87</v>
      </c>
      <c r="F26" s="2" t="s">
        <v>88</v>
      </c>
      <c r="G26" s="2" t="s">
        <v>89</v>
      </c>
      <c r="H26" s="2" t="s">
        <v>90</v>
      </c>
      <c r="I26" s="2" t="s">
        <v>91</v>
      </c>
      <c r="J26" s="2" t="s">
        <v>92</v>
      </c>
      <c r="K26" s="2" t="s">
        <v>93</v>
      </c>
      <c r="L26" s="2" t="s">
        <v>94</v>
      </c>
    </row>
    <row r="27" customFormat="false" ht="15" hidden="false" customHeight="false" outlineLevel="0" collapsed="false">
      <c r="A27" s="0" t="s">
        <v>95</v>
      </c>
      <c r="C27" s="3" t="n">
        <v>6</v>
      </c>
      <c r="D27" s="3" t="n">
        <v>6.5</v>
      </c>
      <c r="E27" s="3" t="n">
        <v>6</v>
      </c>
      <c r="F27" s="3" t="n">
        <v>5.5</v>
      </c>
      <c r="G27" s="3" t="n">
        <v>5</v>
      </c>
      <c r="H27" s="3" t="n">
        <v>4.5</v>
      </c>
      <c r="I27" s="3" t="n">
        <v>4</v>
      </c>
      <c r="J27" s="3" t="n">
        <v>3.5</v>
      </c>
      <c r="K27" s="3" t="n">
        <v>3</v>
      </c>
      <c r="L27" s="3" t="n">
        <v>3</v>
      </c>
    </row>
    <row r="28" customFormat="false" ht="15" hidden="false" customHeight="false" outlineLevel="0" collapsed="false">
      <c r="A28" s="0" t="s">
        <v>96</v>
      </c>
      <c r="C28" s="3" t="n">
        <v>23.5</v>
      </c>
      <c r="D28" s="3" t="n">
        <v>24.5</v>
      </c>
      <c r="E28" s="3" t="n">
        <v>25</v>
      </c>
      <c r="F28" s="3" t="n">
        <v>25.5</v>
      </c>
      <c r="G28" s="3" t="n">
        <v>26</v>
      </c>
      <c r="H28" s="3" t="n">
        <v>26</v>
      </c>
      <c r="I28" s="3" t="n">
        <v>26</v>
      </c>
      <c r="J28" s="3" t="n">
        <v>26</v>
      </c>
      <c r="K28" s="3" t="n">
        <v>26</v>
      </c>
      <c r="L28" s="3" t="n">
        <v>26</v>
      </c>
    </row>
    <row r="29" customFormat="false" ht="15" hidden="false" customHeight="false" outlineLevel="0" collapsed="false">
      <c r="A29" s="0" t="s">
        <v>97</v>
      </c>
      <c r="C29" s="3" t="n">
        <v>0.6</v>
      </c>
      <c r="D29" s="3" t="n">
        <v>0.7</v>
      </c>
      <c r="E29" s="3" t="n">
        <v>0.7</v>
      </c>
      <c r="F29" s="3" t="n">
        <v>0.7</v>
      </c>
      <c r="G29" s="3" t="n">
        <v>0.7</v>
      </c>
      <c r="H29" s="3" t="n">
        <v>0.7</v>
      </c>
      <c r="I29" s="3" t="n">
        <v>0.7</v>
      </c>
      <c r="J29" s="3" t="n">
        <v>0.7</v>
      </c>
      <c r="K29" s="3" t="n">
        <v>0.7</v>
      </c>
      <c r="L29" s="3" t="n">
        <v>0.7</v>
      </c>
    </row>
    <row r="30" customFormat="false" ht="15" hidden="false" customHeight="false" outlineLevel="0" collapsed="false">
      <c r="A30" s="0" t="s">
        <v>98</v>
      </c>
      <c r="C30" s="3" t="n">
        <v>3.5</v>
      </c>
      <c r="D30" s="3" t="n">
        <v>3.5</v>
      </c>
      <c r="E30" s="3" t="n">
        <v>3.5</v>
      </c>
      <c r="F30" s="3" t="n">
        <v>3.5</v>
      </c>
      <c r="G30" s="3" t="n">
        <v>3.5</v>
      </c>
      <c r="H30" s="3" t="n">
        <v>3.5</v>
      </c>
      <c r="I30" s="3" t="n">
        <v>3.5</v>
      </c>
      <c r="J30" s="3" t="n">
        <v>3.5</v>
      </c>
      <c r="K30" s="3" t="n">
        <v>3.5</v>
      </c>
      <c r="L30" s="3" t="n">
        <v>3.5</v>
      </c>
    </row>
    <row r="31" customFormat="false" ht="15" hidden="false" customHeight="false" outlineLevel="0" collapsed="false">
      <c r="A31" s="0" t="s">
        <v>99</v>
      </c>
      <c r="C31" s="3" t="n">
        <v>8</v>
      </c>
      <c r="D31" s="3" t="n">
        <v>7.8</v>
      </c>
      <c r="E31" s="3" t="n">
        <v>7.5</v>
      </c>
      <c r="F31" s="3" t="n">
        <v>7.2</v>
      </c>
      <c r="G31" s="3" t="n">
        <v>7</v>
      </c>
      <c r="H31" s="3" t="n">
        <v>6.8</v>
      </c>
      <c r="I31" s="3" t="n">
        <v>6.5</v>
      </c>
      <c r="J31" s="3" t="n">
        <v>6.3</v>
      </c>
      <c r="K31" s="3" t="n">
        <v>6.2</v>
      </c>
      <c r="L31" s="3" t="n">
        <v>6</v>
      </c>
    </row>
    <row r="32" customFormat="false" ht="15" hidden="false" customHeight="false" outlineLevel="0" collapsed="false">
      <c r="A32" s="0" t="s">
        <v>100</v>
      </c>
      <c r="C32" s="3" t="n">
        <v>7.5</v>
      </c>
      <c r="D32" s="3" t="n">
        <v>6</v>
      </c>
      <c r="E32" s="3" t="n">
        <v>5.5</v>
      </c>
      <c r="F32" s="3" t="n">
        <v>5.5</v>
      </c>
      <c r="G32" s="3" t="n">
        <v>5.5</v>
      </c>
      <c r="H32" s="3" t="n">
        <v>5.5</v>
      </c>
      <c r="I32" s="3" t="n">
        <v>5.5</v>
      </c>
      <c r="J32" s="3" t="n">
        <v>5.8</v>
      </c>
      <c r="K32" s="3" t="n">
        <v>6</v>
      </c>
      <c r="L32" s="3" t="n">
        <v>6</v>
      </c>
    </row>
    <row r="33" customFormat="false" ht="15" hidden="false" customHeight="false" outlineLevel="0" collapsed="false">
      <c r="A33" s="0" t="s">
        <v>101</v>
      </c>
      <c r="C33" s="3" t="n">
        <v>30</v>
      </c>
      <c r="D33" s="3" t="n">
        <v>30</v>
      </c>
      <c r="E33" s="3" t="n">
        <v>29</v>
      </c>
      <c r="F33" s="3" t="n">
        <v>29</v>
      </c>
      <c r="G33" s="3" t="n">
        <v>28</v>
      </c>
      <c r="H33" s="3" t="n">
        <v>28</v>
      </c>
      <c r="I33" s="3" t="n">
        <v>28</v>
      </c>
      <c r="J33" s="3" t="n">
        <v>28</v>
      </c>
      <c r="K33" s="3" t="n">
        <v>28</v>
      </c>
      <c r="L33" s="3" t="n">
        <v>28</v>
      </c>
    </row>
    <row r="34" customFormat="false" ht="15" hidden="false" customHeight="false" outlineLevel="0" collapsed="false">
      <c r="A34" s="0" t="s">
        <v>102</v>
      </c>
      <c r="B34" s="3" t="n">
        <v>8</v>
      </c>
    </row>
    <row r="35" customFormat="false" ht="15" hidden="false" customHeight="false" outlineLevel="0" collapsed="false">
      <c r="A35" s="0" t="s">
        <v>103</v>
      </c>
      <c r="B35" s="3" t="n">
        <v>2.5</v>
      </c>
    </row>
    <row r="36" customFormat="false" ht="15" hidden="false" customHeight="false" outlineLevel="0" collapsed="false">
      <c r="A36" s="0" t="s">
        <v>104</v>
      </c>
      <c r="B36" s="3" t="n">
        <v>15</v>
      </c>
    </row>
    <row r="37" customFormat="false" ht="15" hidden="false" customHeight="false" outlineLevel="0" collapsed="false">
      <c r="A37" s="0" t="s">
        <v>105</v>
      </c>
      <c r="B37" s="3" t="n">
        <v>0</v>
      </c>
    </row>
    <row r="38" customFormat="false" ht="15" hidden="false" customHeight="false" outlineLevel="0" collapsed="false">
      <c r="A38" s="0" t="s">
        <v>106</v>
      </c>
      <c r="B38" s="3" t="n">
        <v>0.5</v>
      </c>
    </row>
    <row r="40" customFormat="false" ht="15" hidden="false" customHeight="false" outlineLevel="0" collapsed="false">
      <c r="A40" s="2" t="s">
        <v>108</v>
      </c>
      <c r="C40" s="2" t="s">
        <v>85</v>
      </c>
      <c r="D40" s="2" t="s">
        <v>86</v>
      </c>
      <c r="E40" s="2" t="s">
        <v>87</v>
      </c>
      <c r="F40" s="2" t="s">
        <v>88</v>
      </c>
      <c r="G40" s="2" t="s">
        <v>89</v>
      </c>
      <c r="H40" s="2" t="s">
        <v>90</v>
      </c>
      <c r="I40" s="2" t="s">
        <v>91</v>
      </c>
      <c r="J40" s="2" t="s">
        <v>92</v>
      </c>
      <c r="K40" s="2" t="s">
        <v>93</v>
      </c>
      <c r="L40" s="2" t="s">
        <v>94</v>
      </c>
    </row>
    <row r="41" customFormat="false" ht="15" hidden="false" customHeight="false" outlineLevel="0" collapsed="false">
      <c r="A41" s="0" t="s">
        <v>95</v>
      </c>
      <c r="C41" s="3" t="n">
        <v>8</v>
      </c>
      <c r="D41" s="3" t="n">
        <v>10</v>
      </c>
      <c r="E41" s="3" t="n">
        <v>9</v>
      </c>
      <c r="F41" s="3" t="n">
        <v>8</v>
      </c>
      <c r="G41" s="3" t="n">
        <v>7</v>
      </c>
      <c r="H41" s="3" t="n">
        <v>6</v>
      </c>
      <c r="I41" s="3" t="n">
        <v>5</v>
      </c>
      <c r="J41" s="3" t="n">
        <v>4</v>
      </c>
      <c r="K41" s="3" t="n">
        <v>3.5</v>
      </c>
      <c r="L41" s="3" t="n">
        <v>3</v>
      </c>
    </row>
    <row r="42" customFormat="false" ht="15" hidden="false" customHeight="false" outlineLevel="0" collapsed="false">
      <c r="A42" s="0" t="s">
        <v>96</v>
      </c>
      <c r="C42" s="3" t="n">
        <v>24.5</v>
      </c>
      <c r="D42" s="3" t="n">
        <v>26</v>
      </c>
      <c r="E42" s="3" t="n">
        <v>27</v>
      </c>
      <c r="F42" s="3" t="n">
        <v>28</v>
      </c>
      <c r="G42" s="3" t="n">
        <v>28.5</v>
      </c>
      <c r="H42" s="3" t="n">
        <v>29</v>
      </c>
      <c r="I42" s="3" t="n">
        <v>29</v>
      </c>
      <c r="J42" s="3" t="n">
        <v>29</v>
      </c>
      <c r="K42" s="3" t="n">
        <v>29</v>
      </c>
      <c r="L42" s="3" t="n">
        <v>29</v>
      </c>
    </row>
    <row r="43" customFormat="false" ht="15" hidden="false" customHeight="false" outlineLevel="0" collapsed="false">
      <c r="A43" s="0" t="s">
        <v>97</v>
      </c>
      <c r="C43" s="3" t="n">
        <v>0.6</v>
      </c>
      <c r="D43" s="3" t="n">
        <v>0.7</v>
      </c>
      <c r="E43" s="3" t="n">
        <v>0.7</v>
      </c>
      <c r="F43" s="3" t="n">
        <v>0.7</v>
      </c>
      <c r="G43" s="3" t="n">
        <v>0.7</v>
      </c>
      <c r="H43" s="3" t="n">
        <v>0.7</v>
      </c>
      <c r="I43" s="3" t="n">
        <v>0.7</v>
      </c>
      <c r="J43" s="3" t="n">
        <v>0.7</v>
      </c>
      <c r="K43" s="3" t="n">
        <v>0.7</v>
      </c>
      <c r="L43" s="3" t="n">
        <v>0.7</v>
      </c>
    </row>
    <row r="44" customFormat="false" ht="15" hidden="false" customHeight="false" outlineLevel="0" collapsed="false">
      <c r="A44" s="0" t="s">
        <v>98</v>
      </c>
      <c r="C44" s="3" t="n">
        <v>3.5</v>
      </c>
      <c r="D44" s="3" t="n">
        <v>3.4</v>
      </c>
      <c r="E44" s="3" t="n">
        <v>3.3</v>
      </c>
      <c r="F44" s="3" t="n">
        <v>3.2</v>
      </c>
      <c r="G44" s="3" t="n">
        <v>3.2</v>
      </c>
      <c r="H44" s="3" t="n">
        <v>3.2</v>
      </c>
      <c r="I44" s="3" t="n">
        <v>3.2</v>
      </c>
      <c r="J44" s="3" t="n">
        <v>3.2</v>
      </c>
      <c r="K44" s="3" t="n">
        <v>3.2</v>
      </c>
      <c r="L44" s="3" t="n">
        <v>3.2</v>
      </c>
    </row>
    <row r="45" customFormat="false" ht="15" hidden="false" customHeight="false" outlineLevel="0" collapsed="false">
      <c r="A45" s="0" t="s">
        <v>99</v>
      </c>
      <c r="C45" s="3" t="n">
        <v>8</v>
      </c>
      <c r="D45" s="3" t="n">
        <v>7.6</v>
      </c>
      <c r="E45" s="3" t="n">
        <v>7.2</v>
      </c>
      <c r="F45" s="3" t="n">
        <v>7</v>
      </c>
      <c r="G45" s="3" t="n">
        <v>6.8</v>
      </c>
      <c r="H45" s="3" t="n">
        <v>6.5</v>
      </c>
      <c r="I45" s="3" t="n">
        <v>6.3</v>
      </c>
      <c r="J45" s="3" t="n">
        <v>6.2</v>
      </c>
      <c r="K45" s="3" t="n">
        <v>6</v>
      </c>
      <c r="L45" s="3" t="n">
        <v>6</v>
      </c>
    </row>
    <row r="46" customFormat="false" ht="15" hidden="false" customHeight="false" outlineLevel="0" collapsed="false">
      <c r="A46" s="0" t="s">
        <v>100</v>
      </c>
      <c r="C46" s="3" t="n">
        <v>7.5</v>
      </c>
      <c r="D46" s="3" t="n">
        <v>6</v>
      </c>
      <c r="E46" s="3" t="n">
        <v>5.5</v>
      </c>
      <c r="F46" s="3" t="n">
        <v>5.5</v>
      </c>
      <c r="G46" s="3" t="n">
        <v>5.5</v>
      </c>
      <c r="H46" s="3" t="n">
        <v>5.5</v>
      </c>
      <c r="I46" s="3" t="n">
        <v>5.5</v>
      </c>
      <c r="J46" s="3" t="n">
        <v>5.8</v>
      </c>
      <c r="K46" s="3" t="n">
        <v>6</v>
      </c>
      <c r="L46" s="3" t="n">
        <v>6</v>
      </c>
    </row>
    <row r="47" customFormat="false" ht="15" hidden="false" customHeight="false" outlineLevel="0" collapsed="false">
      <c r="A47" s="0" t="s">
        <v>101</v>
      </c>
      <c r="C47" s="3" t="n">
        <v>30</v>
      </c>
      <c r="D47" s="3" t="n">
        <v>29</v>
      </c>
      <c r="E47" s="3" t="n">
        <v>28</v>
      </c>
      <c r="F47" s="3" t="n">
        <v>28</v>
      </c>
      <c r="G47" s="3" t="n">
        <v>27</v>
      </c>
      <c r="H47" s="3" t="n">
        <v>27</v>
      </c>
      <c r="I47" s="3" t="n">
        <v>27</v>
      </c>
      <c r="J47" s="3" t="n">
        <v>27</v>
      </c>
      <c r="K47" s="3" t="n">
        <v>27</v>
      </c>
      <c r="L47" s="3" t="n">
        <v>27</v>
      </c>
    </row>
    <row r="48" customFormat="false" ht="15" hidden="false" customHeight="false" outlineLevel="0" collapsed="false">
      <c r="A48" s="0" t="s">
        <v>102</v>
      </c>
      <c r="B48" s="3" t="n">
        <v>8</v>
      </c>
    </row>
    <row r="49" customFormat="false" ht="15" hidden="false" customHeight="false" outlineLevel="0" collapsed="false">
      <c r="A49" s="0" t="s">
        <v>103</v>
      </c>
      <c r="B49" s="3" t="n">
        <v>3</v>
      </c>
    </row>
    <row r="50" customFormat="false" ht="15" hidden="false" customHeight="false" outlineLevel="0" collapsed="false">
      <c r="A50" s="0" t="s">
        <v>104</v>
      </c>
      <c r="B50" s="3" t="n">
        <v>15</v>
      </c>
    </row>
    <row r="51" customFormat="false" ht="15" hidden="false" customHeight="false" outlineLevel="0" collapsed="false">
      <c r="A51" s="0" t="s">
        <v>105</v>
      </c>
      <c r="B51" s="3" t="n">
        <v>0</v>
      </c>
    </row>
    <row r="52" customFormat="false" ht="15" hidden="false" customHeight="false" outlineLevel="0" collapsed="false">
      <c r="A52" s="0" t="s">
        <v>106</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109</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Assumptions!C13</f>
        <v>4</v>
      </c>
      <c r="D5" s="4" t="n">
        <f aca="false">Assumptions!D13</f>
        <v>2</v>
      </c>
      <c r="E5" s="4" t="n">
        <f aca="false">Assumptions!E13</f>
        <v>1.5</v>
      </c>
      <c r="F5" s="4" t="n">
        <f aca="false">Assumptions!F13</f>
        <v>2</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2649.073</v>
      </c>
      <c r="C6" s="0" t="n">
        <f aca="false">B6*(1+C5/100)</f>
        <v>2755.03592</v>
      </c>
      <c r="D6" s="0" t="n">
        <f aca="false">C6*(1+D5/100)</f>
        <v>2810.1366384</v>
      </c>
      <c r="E6" s="0" t="n">
        <f aca="false">D6*(1+E5/100)</f>
        <v>2852.288687976</v>
      </c>
      <c r="F6" s="0" t="n">
        <f aca="false">E6*(1+F5/100)</f>
        <v>2909.33446173552</v>
      </c>
      <c r="G6" s="0" t="n">
        <f aca="false">F6*(1+G5/100)</f>
        <v>2967.52115097023</v>
      </c>
      <c r="H6" s="0" t="n">
        <f aca="false">G6*(1+H5/100)</f>
        <v>3026.87157398963</v>
      </c>
      <c r="I6" s="0" t="n">
        <f aca="false">H6*(1+I5/100)</f>
        <v>3087.40900546943</v>
      </c>
      <c r="J6" s="0" t="n">
        <f aca="false">I6*(1+J5/100)</f>
        <v>3149.15718557882</v>
      </c>
      <c r="K6" s="0" t="n">
        <f aca="false">J6*(1+K5/100)</f>
        <v>3212.14032929039</v>
      </c>
      <c r="L6" s="0" t="n">
        <f aca="false">K6*(1+L5/100)</f>
        <v>3276.3831358762</v>
      </c>
    </row>
    <row r="7" customFormat="false" ht="15" hidden="false" customHeight="false" outlineLevel="0" collapsed="false">
      <c r="A7" s="0" t="s">
        <v>96</v>
      </c>
      <c r="C7" s="4" t="n">
        <f aca="false">Assumptions!C14</f>
        <v>22</v>
      </c>
      <c r="D7" s="4" t="n">
        <f aca="false">Assumptions!D14</f>
        <v>21</v>
      </c>
      <c r="E7" s="4" t="n">
        <f aca="false">Assumptions!E14</f>
        <v>21</v>
      </c>
      <c r="F7" s="4" t="n">
        <f aca="false">Assumptions!F14</f>
        <v>21</v>
      </c>
      <c r="G7" s="4" t="n">
        <f aca="false">Assumptions!G14</f>
        <v>21.5</v>
      </c>
      <c r="H7" s="4" t="n">
        <f aca="false">Assumptions!H14</f>
        <v>21.5</v>
      </c>
      <c r="I7" s="4" t="n">
        <f aca="false">Assumptions!I14</f>
        <v>21.5</v>
      </c>
      <c r="J7" s="4" t="n">
        <f aca="false">Assumptions!J14</f>
        <v>21.5</v>
      </c>
      <c r="K7" s="4" t="n">
        <f aca="false">Assumptions!K14</f>
        <v>21.5</v>
      </c>
      <c r="L7" s="4" t="n">
        <f aca="false">Assumptions!L14</f>
        <v>21.5</v>
      </c>
    </row>
    <row r="8" customFormat="false" ht="15" hidden="false" customHeight="false" outlineLevel="0" collapsed="false">
      <c r="A8" s="0" t="s">
        <v>44</v>
      </c>
      <c r="C8" s="0" t="n">
        <f aca="false">C6*C7/100</f>
        <v>606.1079024</v>
      </c>
      <c r="D8" s="0" t="n">
        <f aca="false">D6*D7/100</f>
        <v>590.128694064</v>
      </c>
      <c r="E8" s="0" t="n">
        <f aca="false">E6*E7/100</f>
        <v>598.98062447496</v>
      </c>
      <c r="F8" s="0" t="n">
        <f aca="false">F6*F7/100</f>
        <v>610.960236964459</v>
      </c>
      <c r="G8" s="0" t="n">
        <f aca="false">G6*G7/100</f>
        <v>638.017047458599</v>
      </c>
      <c r="H8" s="0" t="n">
        <f aca="false">H6*H7/100</f>
        <v>650.777388407772</v>
      </c>
      <c r="I8" s="0" t="n">
        <f aca="false">I6*I7/100</f>
        <v>663.792936175927</v>
      </c>
      <c r="J8" s="0" t="n">
        <f aca="false">J6*J7/100</f>
        <v>677.068794899446</v>
      </c>
      <c r="K8" s="0" t="n">
        <f aca="false">K6*K7/100</f>
        <v>690.610170797434</v>
      </c>
      <c r="L8" s="0" t="n">
        <f aca="false">L6*L7/100</f>
        <v>704.422374213383</v>
      </c>
    </row>
    <row r="9" customFormat="false" ht="15" hidden="false" customHeight="false" outlineLevel="0" collapsed="false">
      <c r="A9" s="0" t="s">
        <v>97</v>
      </c>
      <c r="C9" s="4" t="n">
        <f aca="false">Assumptions!C15</f>
        <v>0.6</v>
      </c>
      <c r="D9" s="4" t="n">
        <f aca="false">Assumptions!D15</f>
        <v>0.7</v>
      </c>
      <c r="E9" s="4" t="n">
        <f aca="false">Assumptions!E15</f>
        <v>0.7</v>
      </c>
      <c r="F9" s="4" t="n">
        <f aca="false">Assumptions!F15</f>
        <v>0.7</v>
      </c>
      <c r="G9" s="4" t="n">
        <f aca="false">Assumptions!G15</f>
        <v>0.7</v>
      </c>
      <c r="H9" s="4" t="n">
        <f aca="false">Assumptions!H15</f>
        <v>0.7</v>
      </c>
      <c r="I9" s="4" t="n">
        <f aca="false">Assumptions!I15</f>
        <v>0.7</v>
      </c>
      <c r="J9" s="4" t="n">
        <f aca="false">Assumptions!J15</f>
        <v>0.7</v>
      </c>
      <c r="K9" s="4" t="n">
        <f aca="false">Assumptions!K15</f>
        <v>0.7</v>
      </c>
      <c r="L9" s="4" t="n">
        <f aca="false">Assumptions!L15</f>
        <v>0.7</v>
      </c>
    </row>
    <row r="10" customFormat="false" ht="15" hidden="false" customHeight="false" outlineLevel="0" collapsed="false">
      <c r="A10" s="0" t="s">
        <v>112</v>
      </c>
      <c r="C10" s="0" t="n">
        <f aca="false">-C6*C9/100</f>
        <v>-16.53021552</v>
      </c>
      <c r="D10" s="0" t="n">
        <f aca="false">-D6*D9/100</f>
        <v>-19.6709564688</v>
      </c>
      <c r="E10" s="0" t="n">
        <f aca="false">-E6*E9/100</f>
        <v>-19.966020815832</v>
      </c>
      <c r="F10" s="0" t="n">
        <f aca="false">-F6*F9/100</f>
        <v>-20.3653412321486</v>
      </c>
      <c r="G10" s="0" t="n">
        <f aca="false">-G6*G9/100</f>
        <v>-20.7726480567916</v>
      </c>
      <c r="H10" s="0" t="n">
        <f aca="false">-H6*H9/100</f>
        <v>-21.1881010179274</v>
      </c>
      <c r="I10" s="0" t="n">
        <f aca="false">-I6*I9/100</f>
        <v>-21.611863038286</v>
      </c>
      <c r="J10" s="0" t="n">
        <f aca="false">-J6*J9/100</f>
        <v>-22.0441002990517</v>
      </c>
      <c r="K10" s="0" t="n">
        <f aca="false">-K6*K9/100</f>
        <v>-22.4849823050327</v>
      </c>
      <c r="L10" s="0" t="n">
        <f aca="false">-L6*L9/100</f>
        <v>-22.9346819511334</v>
      </c>
    </row>
    <row r="11" customFormat="false" ht="15" hidden="false" customHeight="false" outlineLevel="0" collapsed="false">
      <c r="A11" s="0" t="s">
        <v>113</v>
      </c>
      <c r="C11" s="0" t="n">
        <f aca="false">C8+C10+C24</f>
        <v>490.39639376</v>
      </c>
      <c r="D11" s="0" t="n">
        <f aca="false">D8+D10+D24</f>
        <v>466.4826819744</v>
      </c>
      <c r="E11" s="0" t="n">
        <f aca="false">E8+E10+E24</f>
        <v>470.62763351604</v>
      </c>
      <c r="F11" s="0" t="n">
        <f aca="false">F8+F10+F24</f>
        <v>480.040186186361</v>
      </c>
      <c r="G11" s="0" t="n">
        <f aca="false">G8+G10+G24</f>
        <v>504.478595664939</v>
      </c>
      <c r="H11" s="0" t="n">
        <f aca="false">H8+H10+H24</f>
        <v>514.568167578238</v>
      </c>
      <c r="I11" s="0" t="n">
        <f aca="false">I8+I10+I24</f>
        <v>524.859530929803</v>
      </c>
      <c r="J11" s="0" t="n">
        <f aca="false">J8+J10+J24</f>
        <v>535.356721548399</v>
      </c>
      <c r="K11" s="0" t="n">
        <f aca="false">K8+K10+K24</f>
        <v>546.063855979367</v>
      </c>
      <c r="L11" s="0" t="n">
        <f aca="false">L8+L10+L24</f>
        <v>556.985133098954</v>
      </c>
    </row>
    <row r="12" customFormat="false" ht="15" hidden="false" customHeight="false" outlineLevel="0" collapsed="false">
      <c r="A12" s="0" t="s">
        <v>114</v>
      </c>
      <c r="C12" s="4" t="n">
        <f aca="false">-C6*Assumptions!C17/100</f>
        <v>-225.91294544</v>
      </c>
      <c r="D12" s="4" t="n">
        <f aca="false">-D6*Assumptions!D17/100</f>
        <v>-224.810931072</v>
      </c>
      <c r="E12" s="4" t="n">
        <f aca="false">-E6*Assumptions!E17/100</f>
        <v>-222.478517662128</v>
      </c>
      <c r="F12" s="4" t="n">
        <f aca="false">-F6*Assumptions!F17/100</f>
        <v>-218.200084630164</v>
      </c>
      <c r="G12" s="4" t="n">
        <f aca="false">-G6*Assumptions!G17/100</f>
        <v>-213.661522869857</v>
      </c>
      <c r="H12" s="4" t="n">
        <f aca="false">-H6*Assumptions!H17/100</f>
        <v>-211.881010179274</v>
      </c>
      <c r="I12" s="4" t="n">
        <f aca="false">-I6*Assumptions!I17/100</f>
        <v>-209.943812371921</v>
      </c>
      <c r="J12" s="4" t="n">
        <f aca="false">-J6*Assumptions!J17/100</f>
        <v>-207.844374248202</v>
      </c>
      <c r="K12" s="4" t="n">
        <f aca="false">-K6*Assumptions!K17/100</f>
        <v>-208.789121403876</v>
      </c>
      <c r="L12" s="4" t="n">
        <f aca="false">-L6*Assumptions!L17/100</f>
        <v>-212.964903831953</v>
      </c>
    </row>
    <row r="13" customFormat="false" ht="15" hidden="false" customHeight="false" outlineLevel="0" collapsed="false">
      <c r="A13" s="0" t="s">
        <v>115</v>
      </c>
      <c r="C13" s="0" t="n">
        <f aca="false">C11+C12</f>
        <v>264.48344832</v>
      </c>
      <c r="D13" s="0" t="n">
        <f aca="false">D11+D12</f>
        <v>241.6717509024</v>
      </c>
      <c r="E13" s="0" t="n">
        <f aca="false">E11+E12</f>
        <v>248.149115853912</v>
      </c>
      <c r="F13" s="0" t="n">
        <f aca="false">F11+F12</f>
        <v>261.840101556197</v>
      </c>
      <c r="G13" s="0" t="n">
        <f aca="false">G11+G12</f>
        <v>290.817072795083</v>
      </c>
      <c r="H13" s="0" t="n">
        <f aca="false">H11+H12</f>
        <v>302.687157398963</v>
      </c>
      <c r="I13" s="0" t="n">
        <f aca="false">I11+I12</f>
        <v>314.915718557882</v>
      </c>
      <c r="J13" s="0" t="n">
        <f aca="false">J11+J12</f>
        <v>327.512347300197</v>
      </c>
      <c r="K13" s="0" t="n">
        <f aca="false">K11+K12</f>
        <v>337.274734575491</v>
      </c>
      <c r="L13" s="0" t="n">
        <f aca="false">L11+L12</f>
        <v>344.020229267001</v>
      </c>
    </row>
    <row r="14" customFormat="false" ht="15" hidden="false" customHeight="false" outlineLevel="0" collapsed="false">
      <c r="A14" s="0" t="s">
        <v>101</v>
      </c>
      <c r="C14" s="4" t="n">
        <f aca="false">Assumptions!C19</f>
        <v>32</v>
      </c>
      <c r="D14" s="4" t="n">
        <f aca="false">Assumptions!D19</f>
        <v>32</v>
      </c>
      <c r="E14" s="4" t="n">
        <f aca="false">Assumptions!E19</f>
        <v>31</v>
      </c>
      <c r="F14" s="4" t="n">
        <f aca="false">Assumptions!F19</f>
        <v>31</v>
      </c>
      <c r="G14" s="4" t="n">
        <f aca="false">Assumptions!G19</f>
        <v>30</v>
      </c>
      <c r="H14" s="4" t="n">
        <f aca="false">Assumptions!H19</f>
        <v>30</v>
      </c>
      <c r="I14" s="4" t="n">
        <f aca="false">Assumptions!I19</f>
        <v>30</v>
      </c>
      <c r="J14" s="4" t="n">
        <f aca="false">Assumptions!J19</f>
        <v>30</v>
      </c>
      <c r="K14" s="4" t="n">
        <f aca="false">Assumptions!K19</f>
        <v>30</v>
      </c>
      <c r="L14" s="4" t="n">
        <f aca="false">Assumptions!L19</f>
        <v>30</v>
      </c>
    </row>
    <row r="15" customFormat="false" ht="15" hidden="false" customHeight="false" outlineLevel="0" collapsed="false">
      <c r="A15" s="0" t="s">
        <v>116</v>
      </c>
      <c r="C15" s="0" t="n">
        <f aca="false">C13-MAX(0,C13)*C14/100</f>
        <v>179.8487448576</v>
      </c>
      <c r="D15" s="0" t="n">
        <f aca="false">D13-MAX(0,D13)*D14/100</f>
        <v>164.336790613632</v>
      </c>
      <c r="E15" s="0" t="n">
        <f aca="false">E13-MAX(0,E13)*E14/100</f>
        <v>171.222889939199</v>
      </c>
      <c r="F15" s="0" t="n">
        <f aca="false">F13-MAX(0,F13)*F14/100</f>
        <v>180.669670073776</v>
      </c>
      <c r="G15" s="0" t="n">
        <f aca="false">G13-MAX(0,G13)*G14/100</f>
        <v>203.571950956558</v>
      </c>
      <c r="H15" s="0" t="n">
        <f aca="false">H13-MAX(0,H13)*H14/100</f>
        <v>211.881010179274</v>
      </c>
      <c r="I15" s="0" t="n">
        <f aca="false">I13-MAX(0,I13)*I14/100</f>
        <v>220.441002990517</v>
      </c>
      <c r="J15" s="0" t="n">
        <f aca="false">J13-MAX(0,J13)*J14/100</f>
        <v>229.258643110138</v>
      </c>
      <c r="K15" s="0" t="n">
        <f aca="false">K13-MAX(0,K13)*K14/100</f>
        <v>236.092314202844</v>
      </c>
      <c r="L15" s="0" t="n">
        <f aca="false">L13-MAX(0,L13)*L14/100</f>
        <v>240.814160486901</v>
      </c>
    </row>
    <row r="16" customFormat="false" ht="15" hidden="false" customHeight="false" outlineLevel="0" collapsed="false">
      <c r="A16" s="0" t="s">
        <v>117</v>
      </c>
      <c r="C16" s="0" t="n">
        <f aca="false">-C12</f>
        <v>225.91294544</v>
      </c>
      <c r="D16" s="0" t="n">
        <f aca="false">-D12</f>
        <v>224.810931072</v>
      </c>
      <c r="E16" s="0" t="n">
        <f aca="false">-E12</f>
        <v>222.478517662128</v>
      </c>
      <c r="F16" s="0" t="n">
        <f aca="false">-F12</f>
        <v>218.200084630164</v>
      </c>
      <c r="G16" s="0" t="n">
        <f aca="false">-G12</f>
        <v>213.661522869857</v>
      </c>
      <c r="H16" s="0" t="n">
        <f aca="false">-H12</f>
        <v>211.881010179274</v>
      </c>
      <c r="I16" s="0" t="n">
        <f aca="false">-I12</f>
        <v>209.943812371921</v>
      </c>
      <c r="J16" s="0" t="n">
        <f aca="false">-J12</f>
        <v>207.844374248202</v>
      </c>
      <c r="K16" s="0" t="n">
        <f aca="false">-K12</f>
        <v>208.789121403876</v>
      </c>
      <c r="L16" s="0" t="n">
        <f aca="false">-L12</f>
        <v>212.964903831953</v>
      </c>
    </row>
    <row r="17" customFormat="false" ht="15" hidden="false" customHeight="false" outlineLevel="0" collapsed="false">
      <c r="A17" s="0" t="s">
        <v>118</v>
      </c>
      <c r="C17" s="4" t="n">
        <f aca="false">-C6*Assumptions!C18/100</f>
        <v>-220.4028736</v>
      </c>
      <c r="D17" s="4" t="n">
        <f aca="false">-D6*Assumptions!D18/100</f>
        <v>-196.709564688</v>
      </c>
      <c r="E17" s="4" t="n">
        <f aca="false">-E6*Assumptions!E18/100</f>
        <v>-185.39876471844</v>
      </c>
      <c r="F17" s="4" t="n">
        <f aca="false">-F6*Assumptions!F18/100</f>
        <v>-189.106740012809</v>
      </c>
      <c r="G17" s="4" t="n">
        <f aca="false">-G6*Assumptions!G18/100</f>
        <v>-192.888874813065</v>
      </c>
      <c r="H17" s="4" t="n">
        <f aca="false">-H6*Assumptions!H18/100</f>
        <v>-196.746652309326</v>
      </c>
      <c r="I17" s="4" t="n">
        <f aca="false">-I6*Assumptions!I18/100</f>
        <v>-200.681585355513</v>
      </c>
      <c r="J17" s="4" t="n">
        <f aca="false">-J6*Assumptions!J18/100</f>
        <v>-204.695217062623</v>
      </c>
      <c r="K17" s="4" t="n">
        <f aca="false">-K6*Assumptions!K18/100</f>
        <v>-208.789121403876</v>
      </c>
      <c r="L17" s="4" t="n">
        <f aca="false">-L6*Assumptions!L18/100</f>
        <v>-212.964903831953</v>
      </c>
    </row>
    <row r="18" customFormat="false" ht="15" hidden="false" customHeight="false" outlineLevel="0" collapsed="false">
      <c r="A18" s="0" t="s">
        <v>119</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120</v>
      </c>
      <c r="C19" s="0" t="n">
        <f aca="false">C15+C16+C17+C18</f>
        <v>185.3588166976</v>
      </c>
      <c r="D19" s="0" t="n">
        <f aca="false">D15+D16+D17+D18</f>
        <v>192.438156997632</v>
      </c>
      <c r="E19" s="0" t="n">
        <f aca="false">E15+E16+E17+E18</f>
        <v>208.302642882887</v>
      </c>
      <c r="F19" s="0" t="n">
        <f aca="false">F15+F16+F17+F18</f>
        <v>209.763014691131</v>
      </c>
      <c r="G19" s="0" t="n">
        <f aca="false">G15+G16+G17+G18</f>
        <v>224.344599013349</v>
      </c>
      <c r="H19" s="0" t="n">
        <f aca="false">H15+H16+H17+H18</f>
        <v>227.015368049223</v>
      </c>
      <c r="I19" s="0" t="n">
        <f aca="false">I15+I16+I17+I18</f>
        <v>229.703230006926</v>
      </c>
      <c r="J19" s="0" t="n">
        <f aca="false">J15+J16+J17+J18</f>
        <v>232.407800295717</v>
      </c>
      <c r="K19" s="0" t="n">
        <f aca="false">K15+K16+K17+K18</f>
        <v>236.092314202844</v>
      </c>
      <c r="L19" s="0" t="n">
        <f aca="false">L15+L16+L17+L18</f>
        <v>240.814160486901</v>
      </c>
    </row>
    <row r="20" customFormat="false" ht="15" hidden="false" customHeight="false" outlineLevel="0" collapsed="false">
      <c r="A20" s="0" t="s">
        <v>121</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122</v>
      </c>
      <c r="C21" s="0" t="n">
        <f aca="false">C19*C20</f>
        <v>171.628533979259</v>
      </c>
      <c r="D21" s="0" t="n">
        <f aca="false">D19*D20</f>
        <v>164.984702501399</v>
      </c>
      <c r="E21" s="0" t="n">
        <f aca="false">E19*E20</f>
        <v>165.357353810146</v>
      </c>
      <c r="F21" s="0" t="n">
        <f aca="false">F19*F20</f>
        <v>154.182077810562</v>
      </c>
      <c r="G21" s="0" t="n">
        <f aca="false">G19*G20</f>
        <v>152.685164433761</v>
      </c>
      <c r="H21" s="0" t="n">
        <f aca="false">H19*H20</f>
        <v>143.058189780309</v>
      </c>
      <c r="I21" s="0" t="n">
        <f aca="false">I19*I20</f>
        <v>134.02962846973</v>
      </c>
      <c r="J21" s="0" t="n">
        <f aca="false">J19*J20</f>
        <v>125.562703015325</v>
      </c>
      <c r="K21" s="0" t="n">
        <f aca="false">K19*K20</f>
        <v>118.104936327649</v>
      </c>
      <c r="L21" s="0" t="n">
        <f aca="false">L19*L20</f>
        <v>111.543550976112</v>
      </c>
    </row>
    <row r="23" customFormat="false" ht="15" hidden="false" customHeight="false" outlineLevel="0" collapsed="false">
      <c r="A23" s="0" t="s">
        <v>98</v>
      </c>
      <c r="C23" s="4" t="n">
        <f aca="false">Assumptions!C16</f>
        <v>3.6</v>
      </c>
      <c r="D23" s="4" t="n">
        <f aca="false">Assumptions!D16</f>
        <v>3.7</v>
      </c>
      <c r="E23" s="4" t="n">
        <f aca="false">Assumptions!E16</f>
        <v>3.8</v>
      </c>
      <c r="F23" s="4" t="n">
        <f aca="false">Assumptions!F16</f>
        <v>3.8</v>
      </c>
      <c r="G23" s="4" t="n">
        <f aca="false">Assumptions!G16</f>
        <v>3.8</v>
      </c>
      <c r="H23" s="4" t="n">
        <f aca="false">Assumptions!H16</f>
        <v>3.8</v>
      </c>
      <c r="I23" s="4" t="n">
        <f aca="false">Assumptions!I16</f>
        <v>3.8</v>
      </c>
      <c r="J23" s="4" t="n">
        <f aca="false">Assumptions!J16</f>
        <v>3.8</v>
      </c>
      <c r="K23" s="4" t="n">
        <f aca="false">Assumptions!K16</f>
        <v>3.8</v>
      </c>
      <c r="L23" s="4" t="n">
        <f aca="false">Assumptions!L16</f>
        <v>3.8</v>
      </c>
    </row>
    <row r="24" customFormat="false" ht="15" hidden="false" customHeight="false" outlineLevel="0" collapsed="false">
      <c r="A24" s="0" t="s">
        <v>123</v>
      </c>
      <c r="C24" s="0" t="n">
        <f aca="false">-C6*C23/100</f>
        <v>-99.18129312</v>
      </c>
      <c r="D24" s="0" t="n">
        <f aca="false">-D6*D23/100</f>
        <v>-103.9750556208</v>
      </c>
      <c r="E24" s="0" t="n">
        <f aca="false">-E6*E23/100</f>
        <v>-108.386970143088</v>
      </c>
      <c r="F24" s="0" t="n">
        <f aca="false">-F6*F23/100</f>
        <v>-110.55470954595</v>
      </c>
      <c r="G24" s="0" t="n">
        <f aca="false">-G6*G23/100</f>
        <v>-112.765803736869</v>
      </c>
      <c r="H24" s="0" t="n">
        <f aca="false">-H6*H23/100</f>
        <v>-115.021119811606</v>
      </c>
      <c r="I24" s="0" t="n">
        <f aca="false">-I6*I23/100</f>
        <v>-117.321542207838</v>
      </c>
      <c r="J24" s="0" t="n">
        <f aca="false">-J6*J23/100</f>
        <v>-119.667973051995</v>
      </c>
      <c r="K24" s="0" t="n">
        <f aca="false">-K6*K23/100</f>
        <v>-122.061332513035</v>
      </c>
      <c r="L24" s="0" t="n">
        <f aca="false">-L6*L23/100</f>
        <v>-124.502559163296</v>
      </c>
    </row>
    <row r="26" customFormat="false" ht="15" hidden="false" customHeight="false" outlineLevel="0" collapsed="false">
      <c r="A26" s="2" t="s">
        <v>124</v>
      </c>
    </row>
    <row r="27" customFormat="false" ht="15" hidden="false" customHeight="false" outlineLevel="0" collapsed="false">
      <c r="A27" s="0" t="s">
        <v>102</v>
      </c>
      <c r="B27" s="4" t="n">
        <f aca="false">Assumptions!$B$20</f>
        <v>8</v>
      </c>
    </row>
    <row r="28" customFormat="false" ht="15" hidden="false" customHeight="false" outlineLevel="0" collapsed="false">
      <c r="A28" s="0" t="s">
        <v>103</v>
      </c>
      <c r="B28" s="4" t="n">
        <f aca="false">Assumptions!$B$21</f>
        <v>1.5</v>
      </c>
    </row>
    <row r="29" customFormat="false" ht="15" hidden="false" customHeight="false" outlineLevel="0" collapsed="false">
      <c r="A29" s="0" t="s">
        <v>104</v>
      </c>
      <c r="B29" s="4" t="n">
        <f aca="false">Assumptions!$B$22</f>
        <v>15</v>
      </c>
    </row>
    <row r="30" customFormat="false" ht="15" hidden="false" customHeight="false" outlineLevel="0" collapsed="false">
      <c r="A30" s="0" t="s">
        <v>125</v>
      </c>
      <c r="B30" s="0" t="n">
        <f aca="false">SUM(C21:L21)</f>
        <v>1441.13684110425</v>
      </c>
    </row>
    <row r="31" customFormat="false" ht="15" hidden="false" customHeight="false" outlineLevel="0" collapsed="false">
      <c r="A31" s="0" t="s">
        <v>126</v>
      </c>
      <c r="B31" s="0" t="n">
        <f aca="false">L19</f>
        <v>240.814160486901</v>
      </c>
    </row>
    <row r="32" customFormat="false" ht="15" hidden="false" customHeight="false" outlineLevel="0" collapsed="false">
      <c r="A32" s="0" t="s">
        <v>127</v>
      </c>
      <c r="B32" s="0" t="n">
        <f aca="false">IF(B27&gt;B28,B31*(1+B28/100)/((B27-B28)/100),B31*B29)</f>
        <v>3760.40573683391</v>
      </c>
    </row>
    <row r="33" customFormat="false" ht="15" hidden="false" customHeight="false" outlineLevel="0" collapsed="false">
      <c r="A33" s="0" t="s">
        <v>128</v>
      </c>
      <c r="B33" s="0" t="n">
        <f aca="false">B31*B29</f>
        <v>3612.21240730351</v>
      </c>
    </row>
    <row r="34" customFormat="false" ht="15" hidden="false" customHeight="false" outlineLevel="0" collapsed="false">
      <c r="A34" s="0" t="s">
        <v>129</v>
      </c>
      <c r="B34" s="0" t="n">
        <f aca="false">MAX(0,MIN(B32,B33))</f>
        <v>3612.21240730351</v>
      </c>
    </row>
    <row r="35" customFormat="false" ht="15" hidden="false" customHeight="false" outlineLevel="0" collapsed="false">
      <c r="A35" s="0" t="s">
        <v>130</v>
      </c>
      <c r="B35" s="0" t="n">
        <f aca="false">B34/(1+B27/100)^L4</f>
        <v>1673.15326464169</v>
      </c>
    </row>
    <row r="36" customFormat="false" ht="15" hidden="false" customHeight="false" outlineLevel="0" collapsed="false">
      <c r="A36" s="0" t="s">
        <v>131</v>
      </c>
      <c r="B36" s="0" t="n">
        <f aca="false">B30+B35</f>
        <v>3114.29010574594</v>
      </c>
    </row>
    <row r="37" customFormat="false" ht="15" hidden="false" customHeight="false" outlineLevel="0" collapsed="false">
      <c r="A37" s="0" t="s">
        <v>132</v>
      </c>
      <c r="B37" s="0" t="n">
        <f aca="false">B36+Assumptions!$B$5-Assumptions!$B$4</f>
        <v>1280.25010574594</v>
      </c>
    </row>
    <row r="38" customFormat="false" ht="15" hidden="false" customHeight="false" outlineLevel="0" collapsed="false">
      <c r="A38" s="0" t="s">
        <v>133</v>
      </c>
      <c r="B38" s="0" t="n">
        <f aca="false">B37/Assumptions!$B$3*Assumptions!$B$10</f>
        <v>0.567322532402215</v>
      </c>
    </row>
    <row r="39" customFormat="false" ht="15" hidden="false" customHeight="false" outlineLevel="0" collapsed="false">
      <c r="A39" s="0" t="s">
        <v>134</v>
      </c>
      <c r="B39" s="4" t="n">
        <f aca="false">B38/Assumptions!$B$2-1</f>
        <v>-0.741538709611747</v>
      </c>
    </row>
    <row r="41" customFormat="false" ht="15" hidden="false" customHeight="false" outlineLevel="0" collapsed="false">
      <c r="A41" s="0" t="s">
        <v>135</v>
      </c>
      <c r="B41" s="0" t="n">
        <f aca="false">SUMPRODUCT(-C10:L10/(1+$B$27/100)^C4:L4)</f>
        <v>136.870187969059</v>
      </c>
    </row>
    <row r="42" customFormat="false" ht="15" hidden="false" customHeight="false" outlineLevel="0" collapsed="false">
      <c r="A42" s="0" t="s">
        <v>136</v>
      </c>
      <c r="B42" s="0" t="n">
        <f aca="false">IF(B27&gt;B28,-L10*(1+B28/100)/((B27-B28)/100),-L10*20)/(1+B27/100)^L4</f>
        <v>165.885280938834</v>
      </c>
    </row>
    <row r="43" customFormat="false" ht="15" hidden="false" customHeight="false" outlineLevel="0" collapsed="false">
      <c r="A43" s="0" t="s">
        <v>137</v>
      </c>
      <c r="B43" s="0" t="n">
        <f aca="false">(B37+B41+B42)/Assumptions!$B$3*Assumptions!$B$10</f>
        <v>0.701483817410951</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1810.56572514225</v>
      </c>
    </row>
    <row r="47" customFormat="false" ht="15" hidden="false" customHeight="false" outlineLevel="0" collapsed="false">
      <c r="A47" s="0" t="s">
        <v>139</v>
      </c>
      <c r="B47" s="0" t="n">
        <f aca="false">(SUMPRODUCT(C19:L19/(1+B45/100)^C4:L4)+B46/(1+B45/100)^L4+Assumptions!$B$5-Assumptions!$B$4)/Assumptions!$B$3*Assumptions!$B$10</f>
        <v>-0.143689866045714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140</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Assumptions!C27</f>
        <v>6</v>
      </c>
      <c r="D5" s="4" t="n">
        <f aca="false">Assumptions!D27</f>
        <v>6.5</v>
      </c>
      <c r="E5" s="4" t="n">
        <f aca="false">Assumptions!E27</f>
        <v>6</v>
      </c>
      <c r="F5" s="4" t="n">
        <f aca="false">Assumptions!F27</f>
        <v>5.5</v>
      </c>
      <c r="G5" s="4" t="n">
        <f aca="false">Assumptions!G27</f>
        <v>5</v>
      </c>
      <c r="H5" s="4" t="n">
        <f aca="false">Assumptions!H27</f>
        <v>4.5</v>
      </c>
      <c r="I5" s="4" t="n">
        <f aca="false">Assumptions!I27</f>
        <v>4</v>
      </c>
      <c r="J5" s="4" t="n">
        <f aca="false">Assumptions!J27</f>
        <v>3.5</v>
      </c>
      <c r="K5" s="4" t="n">
        <f aca="false">Assumptions!K27</f>
        <v>3</v>
      </c>
      <c r="L5" s="4" t="n">
        <f aca="false">Assumptions!L27</f>
        <v>3</v>
      </c>
    </row>
    <row r="6" customFormat="false" ht="15" hidden="false" customHeight="false" outlineLevel="0" collapsed="false">
      <c r="A6" s="0" t="s">
        <v>38</v>
      </c>
      <c r="B6" s="3" t="n">
        <v>2649.073</v>
      </c>
      <c r="C6" s="0" t="n">
        <f aca="false">B6*(1+C5/100)</f>
        <v>2808.01738</v>
      </c>
      <c r="D6" s="0" t="n">
        <f aca="false">C6*(1+D5/100)</f>
        <v>2990.5385097</v>
      </c>
      <c r="E6" s="0" t="n">
        <f aca="false">D6*(1+E5/100)</f>
        <v>3169.970820282</v>
      </c>
      <c r="F6" s="0" t="n">
        <f aca="false">E6*(1+F5/100)</f>
        <v>3344.31921539751</v>
      </c>
      <c r="G6" s="0" t="n">
        <f aca="false">F6*(1+G5/100)</f>
        <v>3511.53517616738</v>
      </c>
      <c r="H6" s="0" t="n">
        <f aca="false">G6*(1+H5/100)</f>
        <v>3669.55425909492</v>
      </c>
      <c r="I6" s="0" t="n">
        <f aca="false">H6*(1+I5/100)</f>
        <v>3816.33642945871</v>
      </c>
      <c r="J6" s="0" t="n">
        <f aca="false">I6*(1+J5/100)</f>
        <v>3949.90820448977</v>
      </c>
      <c r="K6" s="0" t="n">
        <f aca="false">J6*(1+K5/100)</f>
        <v>4068.40545062446</v>
      </c>
      <c r="L6" s="0" t="n">
        <f aca="false">K6*(1+L5/100)</f>
        <v>4190.4576141432</v>
      </c>
    </row>
    <row r="7" customFormat="false" ht="15" hidden="false" customHeight="false" outlineLevel="0" collapsed="false">
      <c r="A7" s="0" t="s">
        <v>96</v>
      </c>
      <c r="C7" s="4" t="n">
        <f aca="false">Assumptions!C28</f>
        <v>23.5</v>
      </c>
      <c r="D7" s="4" t="n">
        <f aca="false">Assumptions!D28</f>
        <v>24.5</v>
      </c>
      <c r="E7" s="4" t="n">
        <f aca="false">Assumptions!E28</f>
        <v>25</v>
      </c>
      <c r="F7" s="4" t="n">
        <f aca="false">Assumptions!F28</f>
        <v>25.5</v>
      </c>
      <c r="G7" s="4" t="n">
        <f aca="false">Assumptions!G28</f>
        <v>26</v>
      </c>
      <c r="H7" s="4" t="n">
        <f aca="false">Assumptions!H28</f>
        <v>26</v>
      </c>
      <c r="I7" s="4" t="n">
        <f aca="false">Assumptions!I28</f>
        <v>26</v>
      </c>
      <c r="J7" s="4" t="n">
        <f aca="false">Assumptions!J28</f>
        <v>26</v>
      </c>
      <c r="K7" s="4" t="n">
        <f aca="false">Assumptions!K28</f>
        <v>26</v>
      </c>
      <c r="L7" s="4" t="n">
        <f aca="false">Assumptions!L28</f>
        <v>26</v>
      </c>
    </row>
    <row r="8" customFormat="false" ht="15" hidden="false" customHeight="false" outlineLevel="0" collapsed="false">
      <c r="A8" s="0" t="s">
        <v>44</v>
      </c>
      <c r="C8" s="0" t="n">
        <f aca="false">C6*C7/100</f>
        <v>659.8840843</v>
      </c>
      <c r="D8" s="0" t="n">
        <f aca="false">D6*D7/100</f>
        <v>732.6819348765</v>
      </c>
      <c r="E8" s="0" t="n">
        <f aca="false">E6*E7/100</f>
        <v>792.4927050705</v>
      </c>
      <c r="F8" s="0" t="n">
        <f aca="false">F6*F7/100</f>
        <v>852.801399926365</v>
      </c>
      <c r="G8" s="0" t="n">
        <f aca="false">G6*G7/100</f>
        <v>912.99914580352</v>
      </c>
      <c r="H8" s="0" t="n">
        <f aca="false">H6*H7/100</f>
        <v>954.084107364678</v>
      </c>
      <c r="I8" s="0" t="n">
        <f aca="false">I6*I7/100</f>
        <v>992.247471659266</v>
      </c>
      <c r="J8" s="0" t="n">
        <f aca="false">J6*J7/100</f>
        <v>1026.97613316734</v>
      </c>
      <c r="K8" s="0" t="n">
        <f aca="false">K6*K7/100</f>
        <v>1057.78541716236</v>
      </c>
      <c r="L8" s="0" t="n">
        <f aca="false">L6*L7/100</f>
        <v>1089.51897967723</v>
      </c>
    </row>
    <row r="9" customFormat="false" ht="15" hidden="false" customHeight="false" outlineLevel="0" collapsed="false">
      <c r="A9" s="0" t="s">
        <v>97</v>
      </c>
      <c r="C9" s="4" t="n">
        <f aca="false">Assumptions!C29</f>
        <v>0.6</v>
      </c>
      <c r="D9" s="4" t="n">
        <f aca="false">Assumptions!D29</f>
        <v>0.7</v>
      </c>
      <c r="E9" s="4" t="n">
        <f aca="false">Assumptions!E29</f>
        <v>0.7</v>
      </c>
      <c r="F9" s="4" t="n">
        <f aca="false">Assumptions!F29</f>
        <v>0.7</v>
      </c>
      <c r="G9" s="4" t="n">
        <f aca="false">Assumptions!G29</f>
        <v>0.7</v>
      </c>
      <c r="H9" s="4" t="n">
        <f aca="false">Assumptions!H29</f>
        <v>0.7</v>
      </c>
      <c r="I9" s="4" t="n">
        <f aca="false">Assumptions!I29</f>
        <v>0.7</v>
      </c>
      <c r="J9" s="4" t="n">
        <f aca="false">Assumptions!J29</f>
        <v>0.7</v>
      </c>
      <c r="K9" s="4" t="n">
        <f aca="false">Assumptions!K29</f>
        <v>0.7</v>
      </c>
      <c r="L9" s="4" t="n">
        <f aca="false">Assumptions!L29</f>
        <v>0.7</v>
      </c>
    </row>
    <row r="10" customFormat="false" ht="15" hidden="false" customHeight="false" outlineLevel="0" collapsed="false">
      <c r="A10" s="0" t="s">
        <v>112</v>
      </c>
      <c r="C10" s="0" t="n">
        <f aca="false">-C6*C9/100</f>
        <v>-16.84810428</v>
      </c>
      <c r="D10" s="0" t="n">
        <f aca="false">-D6*D9/100</f>
        <v>-20.9337695679</v>
      </c>
      <c r="E10" s="0" t="n">
        <f aca="false">-E6*E9/100</f>
        <v>-22.189795741974</v>
      </c>
      <c r="F10" s="0" t="n">
        <f aca="false">-F6*F9/100</f>
        <v>-23.4102345077826</v>
      </c>
      <c r="G10" s="0" t="n">
        <f aca="false">-G6*G9/100</f>
        <v>-24.5807462331717</v>
      </c>
      <c r="H10" s="0" t="n">
        <f aca="false">-H6*H9/100</f>
        <v>-25.6868798136644</v>
      </c>
      <c r="I10" s="0" t="n">
        <f aca="false">-I6*I9/100</f>
        <v>-26.714355006211</v>
      </c>
      <c r="J10" s="0" t="n">
        <f aca="false">-J6*J9/100</f>
        <v>-27.6493574314284</v>
      </c>
      <c r="K10" s="0" t="n">
        <f aca="false">-K6*K9/100</f>
        <v>-28.4788381543712</v>
      </c>
      <c r="L10" s="0" t="n">
        <f aca="false">-L6*L9/100</f>
        <v>-29.3332032990024</v>
      </c>
    </row>
    <row r="11" customFormat="false" ht="15" hidden="false" customHeight="false" outlineLevel="0" collapsed="false">
      <c r="A11" s="0" t="s">
        <v>113</v>
      </c>
      <c r="C11" s="0" t="n">
        <f aca="false">C8+C10+C24</f>
        <v>544.75537172</v>
      </c>
      <c r="D11" s="0" t="n">
        <f aca="false">D8+D10+D24</f>
        <v>607.0793174691</v>
      </c>
      <c r="E11" s="0" t="n">
        <f aca="false">E8+E10+E24</f>
        <v>659.353930618656</v>
      </c>
      <c r="F11" s="0" t="n">
        <f aca="false">F8+F10+F24</f>
        <v>712.33999287967</v>
      </c>
      <c r="G11" s="0" t="n">
        <f aca="false">G8+G10+G24</f>
        <v>765.51466840449</v>
      </c>
      <c r="H11" s="0" t="n">
        <f aca="false">H8+H10+H24</f>
        <v>799.962828482692</v>
      </c>
      <c r="I11" s="0" t="n">
        <f aca="false">I8+I10+I24</f>
        <v>831.961341622</v>
      </c>
      <c r="J11" s="0" t="n">
        <f aca="false">J8+J10+J24</f>
        <v>861.079988578769</v>
      </c>
      <c r="K11" s="0" t="n">
        <f aca="false">K8+K10+K24</f>
        <v>886.912388236132</v>
      </c>
      <c r="L11" s="0" t="n">
        <f aca="false">L8+L10+L24</f>
        <v>913.519759883217</v>
      </c>
    </row>
    <row r="12" customFormat="false" ht="15" hidden="false" customHeight="false" outlineLevel="0" collapsed="false">
      <c r="A12" s="0" t="s">
        <v>114</v>
      </c>
      <c r="C12" s="4" t="n">
        <f aca="false">-C6*Assumptions!C31/100</f>
        <v>-224.6413904</v>
      </c>
      <c r="D12" s="4" t="n">
        <f aca="false">-D6*Assumptions!D31/100</f>
        <v>-233.2620037566</v>
      </c>
      <c r="E12" s="4" t="n">
        <f aca="false">-E6*Assumptions!E31/100</f>
        <v>-237.74781152115</v>
      </c>
      <c r="F12" s="4" t="n">
        <f aca="false">-F6*Assumptions!F31/100</f>
        <v>-240.790983508621</v>
      </c>
      <c r="G12" s="4" t="n">
        <f aca="false">-G6*Assumptions!G31/100</f>
        <v>-245.807462331717</v>
      </c>
      <c r="H12" s="4" t="n">
        <f aca="false">-H6*Assumptions!H31/100</f>
        <v>-249.529689618454</v>
      </c>
      <c r="I12" s="4" t="n">
        <f aca="false">-I6*Assumptions!I31/100</f>
        <v>-248.061867914816</v>
      </c>
      <c r="J12" s="4" t="n">
        <f aca="false">-J6*Assumptions!J31/100</f>
        <v>-248.844216882855</v>
      </c>
      <c r="K12" s="4" t="n">
        <f aca="false">-K6*Assumptions!K31/100</f>
        <v>-252.241137938717</v>
      </c>
      <c r="L12" s="4" t="n">
        <f aca="false">-L6*Assumptions!L31/100</f>
        <v>-251.427456848592</v>
      </c>
    </row>
    <row r="13" customFormat="false" ht="15" hidden="false" customHeight="false" outlineLevel="0" collapsed="false">
      <c r="A13" s="0" t="s">
        <v>115</v>
      </c>
      <c r="C13" s="0" t="n">
        <f aca="false">C11+C12</f>
        <v>320.11398132</v>
      </c>
      <c r="D13" s="0" t="n">
        <f aca="false">D11+D12</f>
        <v>373.8173137125</v>
      </c>
      <c r="E13" s="0" t="n">
        <f aca="false">E11+E12</f>
        <v>421.606119097506</v>
      </c>
      <c r="F13" s="0" t="n">
        <f aca="false">F11+F12</f>
        <v>471.549009371049</v>
      </c>
      <c r="G13" s="0" t="n">
        <f aca="false">G11+G12</f>
        <v>519.707206072773</v>
      </c>
      <c r="H13" s="0" t="n">
        <f aca="false">H11+H12</f>
        <v>550.433138864238</v>
      </c>
      <c r="I13" s="0" t="n">
        <f aca="false">I11+I12</f>
        <v>583.899473707183</v>
      </c>
      <c r="J13" s="0" t="n">
        <f aca="false">J11+J12</f>
        <v>612.235771695914</v>
      </c>
      <c r="K13" s="0" t="n">
        <f aca="false">K11+K12</f>
        <v>634.671250297416</v>
      </c>
      <c r="L13" s="0" t="n">
        <f aca="false">L11+L12</f>
        <v>662.092303034625</v>
      </c>
    </row>
    <row r="14" customFormat="false" ht="15" hidden="false" customHeight="false" outlineLevel="0" collapsed="false">
      <c r="A14" s="0" t="s">
        <v>101</v>
      </c>
      <c r="C14" s="4" t="n">
        <f aca="false">Assumptions!C33</f>
        <v>30</v>
      </c>
      <c r="D14" s="4" t="n">
        <f aca="false">Assumptions!D33</f>
        <v>30</v>
      </c>
      <c r="E14" s="4" t="n">
        <f aca="false">Assumptions!E33</f>
        <v>29</v>
      </c>
      <c r="F14" s="4" t="n">
        <f aca="false">Assumptions!F33</f>
        <v>29</v>
      </c>
      <c r="G14" s="4" t="n">
        <f aca="false">Assumptions!G33</f>
        <v>28</v>
      </c>
      <c r="H14" s="4" t="n">
        <f aca="false">Assumptions!H33</f>
        <v>28</v>
      </c>
      <c r="I14" s="4" t="n">
        <f aca="false">Assumptions!I33</f>
        <v>28</v>
      </c>
      <c r="J14" s="4" t="n">
        <f aca="false">Assumptions!J33</f>
        <v>28</v>
      </c>
      <c r="K14" s="4" t="n">
        <f aca="false">Assumptions!K33</f>
        <v>28</v>
      </c>
      <c r="L14" s="4" t="n">
        <f aca="false">Assumptions!L33</f>
        <v>28</v>
      </c>
    </row>
    <row r="15" customFormat="false" ht="15" hidden="false" customHeight="false" outlineLevel="0" collapsed="false">
      <c r="A15" s="0" t="s">
        <v>116</v>
      </c>
      <c r="C15" s="0" t="n">
        <f aca="false">C13-MAX(0,C13)*C14/100</f>
        <v>224.079786924</v>
      </c>
      <c r="D15" s="0" t="n">
        <f aca="false">D13-MAX(0,D13)*D14/100</f>
        <v>261.67211959875</v>
      </c>
      <c r="E15" s="0" t="n">
        <f aca="false">E13-MAX(0,E13)*E14/100</f>
        <v>299.340344559229</v>
      </c>
      <c r="F15" s="0" t="n">
        <f aca="false">F13-MAX(0,F13)*F14/100</f>
        <v>334.799796653445</v>
      </c>
      <c r="G15" s="0" t="n">
        <f aca="false">G13-MAX(0,G13)*G14/100</f>
        <v>374.189188372397</v>
      </c>
      <c r="H15" s="0" t="n">
        <f aca="false">H13-MAX(0,H13)*H14/100</f>
        <v>396.311859982251</v>
      </c>
      <c r="I15" s="0" t="n">
        <f aca="false">I13-MAX(0,I13)*I14/100</f>
        <v>420.407621069172</v>
      </c>
      <c r="J15" s="0" t="n">
        <f aca="false">J13-MAX(0,J13)*J14/100</f>
        <v>440.809755621058</v>
      </c>
      <c r="K15" s="0" t="n">
        <f aca="false">K13-MAX(0,K13)*K14/100</f>
        <v>456.963300214139</v>
      </c>
      <c r="L15" s="0" t="n">
        <f aca="false">L13-MAX(0,L13)*L14/100</f>
        <v>476.70645818493</v>
      </c>
    </row>
    <row r="16" customFormat="false" ht="15" hidden="false" customHeight="false" outlineLevel="0" collapsed="false">
      <c r="A16" s="0" t="s">
        <v>117</v>
      </c>
      <c r="C16" s="0" t="n">
        <f aca="false">-C12</f>
        <v>224.6413904</v>
      </c>
      <c r="D16" s="0" t="n">
        <f aca="false">-D12</f>
        <v>233.2620037566</v>
      </c>
      <c r="E16" s="0" t="n">
        <f aca="false">-E12</f>
        <v>237.74781152115</v>
      </c>
      <c r="F16" s="0" t="n">
        <f aca="false">-F12</f>
        <v>240.790983508621</v>
      </c>
      <c r="G16" s="0" t="n">
        <f aca="false">-G12</f>
        <v>245.807462331717</v>
      </c>
      <c r="H16" s="0" t="n">
        <f aca="false">-H12</f>
        <v>249.529689618454</v>
      </c>
      <c r="I16" s="0" t="n">
        <f aca="false">-I12</f>
        <v>248.061867914816</v>
      </c>
      <c r="J16" s="0" t="n">
        <f aca="false">-J12</f>
        <v>248.844216882855</v>
      </c>
      <c r="K16" s="0" t="n">
        <f aca="false">-K12</f>
        <v>252.241137938717</v>
      </c>
      <c r="L16" s="0" t="n">
        <f aca="false">-L12</f>
        <v>251.427456848592</v>
      </c>
    </row>
    <row r="17" customFormat="false" ht="15" hidden="false" customHeight="false" outlineLevel="0" collapsed="false">
      <c r="A17" s="0" t="s">
        <v>118</v>
      </c>
      <c r="C17" s="4" t="n">
        <f aca="false">-C6*Assumptions!C32/100</f>
        <v>-210.6013035</v>
      </c>
      <c r="D17" s="4" t="n">
        <f aca="false">-D6*Assumptions!D32/100</f>
        <v>-179.432310582</v>
      </c>
      <c r="E17" s="4" t="n">
        <f aca="false">-E6*Assumptions!E32/100</f>
        <v>-174.34839511551</v>
      </c>
      <c r="F17" s="4" t="n">
        <f aca="false">-F6*Assumptions!F32/100</f>
        <v>-183.937556846863</v>
      </c>
      <c r="G17" s="4" t="n">
        <f aca="false">-G6*Assumptions!G32/100</f>
        <v>-193.134434689206</v>
      </c>
      <c r="H17" s="4" t="n">
        <f aca="false">-H6*Assumptions!H32/100</f>
        <v>-201.82548425022</v>
      </c>
      <c r="I17" s="4" t="n">
        <f aca="false">-I6*Assumptions!I32/100</f>
        <v>-209.898503620229</v>
      </c>
      <c r="J17" s="4" t="n">
        <f aca="false">-J6*Assumptions!J32/100</f>
        <v>-229.094675860407</v>
      </c>
      <c r="K17" s="4" t="n">
        <f aca="false">-K6*Assumptions!K32/100</f>
        <v>-244.104327037468</v>
      </c>
      <c r="L17" s="4" t="n">
        <f aca="false">-L6*Assumptions!L32/100</f>
        <v>-251.427456848592</v>
      </c>
    </row>
    <row r="18" customFormat="false" ht="15" hidden="false" customHeight="false" outlineLevel="0" collapsed="false">
      <c r="A18" s="0" t="s">
        <v>119</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120</v>
      </c>
      <c r="C19" s="0" t="n">
        <f aca="false">C15+C16+C17+C18</f>
        <v>238.119873824</v>
      </c>
      <c r="D19" s="0" t="n">
        <f aca="false">D15+D16+D17+D18</f>
        <v>315.50181277335</v>
      </c>
      <c r="E19" s="0" t="n">
        <f aca="false">E15+E16+E17+E18</f>
        <v>362.739760964869</v>
      </c>
      <c r="F19" s="0" t="n">
        <f aca="false">F15+F16+F17+F18</f>
        <v>391.653223315202</v>
      </c>
      <c r="G19" s="0" t="n">
        <f aca="false">G15+G16+G17+G18</f>
        <v>426.862216014907</v>
      </c>
      <c r="H19" s="0" t="n">
        <f aca="false">H15+H16+H17+H18</f>
        <v>444.016065350485</v>
      </c>
      <c r="I19" s="0" t="n">
        <f aca="false">I15+I16+I17+I18</f>
        <v>458.570985363759</v>
      </c>
      <c r="J19" s="0" t="n">
        <f aca="false">J15+J16+J17+J18</f>
        <v>460.559296643507</v>
      </c>
      <c r="K19" s="0" t="n">
        <f aca="false">K15+K16+K17+K18</f>
        <v>465.100111115388</v>
      </c>
      <c r="L19" s="0" t="n">
        <f aca="false">L15+L16+L17+L18</f>
        <v>476.70645818493</v>
      </c>
    </row>
    <row r="20" customFormat="false" ht="15" hidden="false" customHeight="false" outlineLevel="0" collapsed="false">
      <c r="A20" s="0" t="s">
        <v>121</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122</v>
      </c>
      <c r="C21" s="0" t="n">
        <f aca="false">C19*C20</f>
        <v>220.481364651852</v>
      </c>
      <c r="D21" s="0" t="n">
        <f aca="false">D19*D20</f>
        <v>270.491951966178</v>
      </c>
      <c r="E21" s="0" t="n">
        <f aca="false">E19*E20</f>
        <v>287.954517353863</v>
      </c>
      <c r="F21" s="0" t="n">
        <f aca="false">F19*F20</f>
        <v>287.87681108063</v>
      </c>
      <c r="G21" s="0" t="n">
        <f aca="false">G19*G20</f>
        <v>290.515251668338</v>
      </c>
      <c r="H21" s="0" t="n">
        <f aca="false">H19*H20</f>
        <v>279.805438232019</v>
      </c>
      <c r="I21" s="0" t="n">
        <f aca="false">I19*I20</f>
        <v>267.571765505646</v>
      </c>
      <c r="J21" s="0" t="n">
        <f aca="false">J19*J20</f>
        <v>248.825857444602</v>
      </c>
      <c r="K21" s="0" t="n">
        <f aca="false">K19*K20</f>
        <v>232.6658501982</v>
      </c>
      <c r="L21" s="0" t="n">
        <f aca="false">L19*L20</f>
        <v>220.807327159173</v>
      </c>
    </row>
    <row r="23" customFormat="false" ht="15" hidden="false" customHeight="false" outlineLevel="0" collapsed="false">
      <c r="A23" s="0" t="s">
        <v>98</v>
      </c>
      <c r="C23" s="4" t="n">
        <f aca="false">Assumptions!C30</f>
        <v>3.5</v>
      </c>
      <c r="D23" s="4" t="n">
        <f aca="false">Assumptions!D30</f>
        <v>3.5</v>
      </c>
      <c r="E23" s="4" t="n">
        <f aca="false">Assumptions!E30</f>
        <v>3.5</v>
      </c>
      <c r="F23" s="4" t="n">
        <f aca="false">Assumptions!F30</f>
        <v>3.5</v>
      </c>
      <c r="G23" s="4" t="n">
        <f aca="false">Assumptions!G30</f>
        <v>3.5</v>
      </c>
      <c r="H23" s="4" t="n">
        <f aca="false">Assumptions!H30</f>
        <v>3.5</v>
      </c>
      <c r="I23" s="4" t="n">
        <f aca="false">Assumptions!I30</f>
        <v>3.5</v>
      </c>
      <c r="J23" s="4" t="n">
        <f aca="false">Assumptions!J30</f>
        <v>3.5</v>
      </c>
      <c r="K23" s="4" t="n">
        <f aca="false">Assumptions!K30</f>
        <v>3.5</v>
      </c>
      <c r="L23" s="4" t="n">
        <f aca="false">Assumptions!L30</f>
        <v>3.5</v>
      </c>
    </row>
    <row r="24" customFormat="false" ht="15" hidden="false" customHeight="false" outlineLevel="0" collapsed="false">
      <c r="A24" s="0" t="s">
        <v>123</v>
      </c>
      <c r="C24" s="0" t="n">
        <f aca="false">-C6*C23/100</f>
        <v>-98.2806083</v>
      </c>
      <c r="D24" s="0" t="n">
        <f aca="false">-D6*D23/100</f>
        <v>-104.6688478395</v>
      </c>
      <c r="E24" s="0" t="n">
        <f aca="false">-E6*E23/100</f>
        <v>-110.94897870987</v>
      </c>
      <c r="F24" s="0" t="n">
        <f aca="false">-F6*F23/100</f>
        <v>-117.051172538913</v>
      </c>
      <c r="G24" s="0" t="n">
        <f aca="false">-G6*G23/100</f>
        <v>-122.903731165858</v>
      </c>
      <c r="H24" s="0" t="n">
        <f aca="false">-H6*H23/100</f>
        <v>-128.434399068322</v>
      </c>
      <c r="I24" s="0" t="n">
        <f aca="false">-I6*I23/100</f>
        <v>-133.571775031055</v>
      </c>
      <c r="J24" s="0" t="n">
        <f aca="false">-J6*J23/100</f>
        <v>-138.246787157142</v>
      </c>
      <c r="K24" s="0" t="n">
        <f aca="false">-K6*K23/100</f>
        <v>-142.394190771856</v>
      </c>
      <c r="L24" s="0" t="n">
        <f aca="false">-L6*L23/100</f>
        <v>-146.666016495012</v>
      </c>
    </row>
    <row r="26" customFormat="false" ht="15" hidden="false" customHeight="false" outlineLevel="0" collapsed="false">
      <c r="A26" s="2" t="s">
        <v>124</v>
      </c>
    </row>
    <row r="27" customFormat="false" ht="15" hidden="false" customHeight="false" outlineLevel="0" collapsed="false">
      <c r="A27" s="0" t="s">
        <v>102</v>
      </c>
      <c r="B27" s="4" t="n">
        <f aca="false">Assumptions!$B$34</f>
        <v>8</v>
      </c>
    </row>
    <row r="28" customFormat="false" ht="15" hidden="false" customHeight="false" outlineLevel="0" collapsed="false">
      <c r="A28" s="0" t="s">
        <v>103</v>
      </c>
      <c r="B28" s="4" t="n">
        <f aca="false">Assumptions!$B$35</f>
        <v>2.5</v>
      </c>
    </row>
    <row r="29" customFormat="false" ht="15" hidden="false" customHeight="false" outlineLevel="0" collapsed="false">
      <c r="A29" s="0" t="s">
        <v>104</v>
      </c>
      <c r="B29" s="4" t="n">
        <f aca="false">Assumptions!$B$36</f>
        <v>15</v>
      </c>
    </row>
    <row r="30" customFormat="false" ht="15" hidden="false" customHeight="false" outlineLevel="0" collapsed="false">
      <c r="A30" s="0" t="s">
        <v>125</v>
      </c>
      <c r="B30" s="0" t="n">
        <f aca="false">SUM(C21:L21)</f>
        <v>2606.9961352605</v>
      </c>
    </row>
    <row r="31" customFormat="false" ht="15" hidden="false" customHeight="false" outlineLevel="0" collapsed="false">
      <c r="A31" s="0" t="s">
        <v>126</v>
      </c>
      <c r="B31" s="0" t="n">
        <f aca="false">L19</f>
        <v>476.70645818493</v>
      </c>
    </row>
    <row r="32" customFormat="false" ht="15" hidden="false" customHeight="false" outlineLevel="0" collapsed="false">
      <c r="A32" s="0" t="s">
        <v>127</v>
      </c>
      <c r="B32" s="0" t="n">
        <f aca="false">IF(B27&gt;B28,B31*(1+B28/100)/((B27-B28)/100),B31*B29)</f>
        <v>8884.07490253733</v>
      </c>
    </row>
    <row r="33" customFormat="false" ht="15" hidden="false" customHeight="false" outlineLevel="0" collapsed="false">
      <c r="A33" s="0" t="s">
        <v>128</v>
      </c>
      <c r="B33" s="0" t="n">
        <f aca="false">B31*B29</f>
        <v>7150.59687277395</v>
      </c>
    </row>
    <row r="34" customFormat="false" ht="15" hidden="false" customHeight="false" outlineLevel="0" collapsed="false">
      <c r="A34" s="0" t="s">
        <v>129</v>
      </c>
      <c r="B34" s="0" t="n">
        <f aca="false">MAX(0,MIN(B32,B33))</f>
        <v>7150.59687277395</v>
      </c>
    </row>
    <row r="35" customFormat="false" ht="15" hidden="false" customHeight="false" outlineLevel="0" collapsed="false">
      <c r="A35" s="0" t="s">
        <v>130</v>
      </c>
      <c r="B35" s="0" t="n">
        <f aca="false">B34/(1+B27/100)^L4</f>
        <v>3312.1099073876</v>
      </c>
    </row>
    <row r="36" customFormat="false" ht="15" hidden="false" customHeight="false" outlineLevel="0" collapsed="false">
      <c r="A36" s="0" t="s">
        <v>131</v>
      </c>
      <c r="B36" s="0" t="n">
        <f aca="false">B30+B35</f>
        <v>5919.1060426481</v>
      </c>
    </row>
    <row r="37" customFormat="false" ht="15" hidden="false" customHeight="false" outlineLevel="0" collapsed="false">
      <c r="A37" s="0" t="s">
        <v>132</v>
      </c>
      <c r="B37" s="0" t="n">
        <f aca="false">B36+Assumptions!$B$5-Assumptions!$B$4</f>
        <v>4085.0660426481</v>
      </c>
    </row>
    <row r="38" customFormat="false" ht="15" hidden="false" customHeight="false" outlineLevel="0" collapsed="false">
      <c r="A38" s="0" t="s">
        <v>133</v>
      </c>
      <c r="B38" s="0" t="n">
        <f aca="false">B37/Assumptions!$B$3*Assumptions!$B$10</f>
        <v>1.81023223661059</v>
      </c>
    </row>
    <row r="39" customFormat="false" ht="15" hidden="false" customHeight="false" outlineLevel="0" collapsed="false">
      <c r="A39" s="0" t="s">
        <v>134</v>
      </c>
      <c r="B39" s="4" t="n">
        <f aca="false">B38/Assumptions!$B$2-1</f>
        <v>-0.175292830701327</v>
      </c>
    </row>
    <row r="41" customFormat="false" ht="15" hidden="false" customHeight="false" outlineLevel="0" collapsed="false">
      <c r="A41" s="0" t="s">
        <v>135</v>
      </c>
      <c r="B41" s="0" t="n">
        <f aca="false">SUMPRODUCT(-C10:L10/(1+$B$27/100)^C4:L4)</f>
        <v>159.645075875012</v>
      </c>
    </row>
    <row r="42" customFormat="false" ht="15" hidden="false" customHeight="false" outlineLevel="0" collapsed="false">
      <c r="A42" s="0" t="s">
        <v>136</v>
      </c>
      <c r="B42" s="0" t="n">
        <f aca="false">IF(B27&gt;B28,-L10*(1+B28/100)/((B27-B28)/100),-L10*20)/(1+B27/100)^L4</f>
        <v>253.211317665111</v>
      </c>
    </row>
    <row r="43" customFormat="false" ht="15" hidden="false" customHeight="false" outlineLevel="0" collapsed="false">
      <c r="A43" s="0" t="s">
        <v>137</v>
      </c>
      <c r="B43" s="0" t="n">
        <f aca="false">(B37+B41+B42)/Assumptions!$B$3*Assumptions!$B$10</f>
        <v>1.99318300041088</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3908.99295711642</v>
      </c>
    </row>
    <row r="47" customFormat="false" ht="15" hidden="false" customHeight="false" outlineLevel="0" collapsed="false">
      <c r="A47" s="0" t="s">
        <v>139</v>
      </c>
      <c r="B47" s="0" t="n">
        <f aca="false">(SUMPRODUCT(C19:L19/(1+B45/100)^C4:L4)+B46/(1+B45/100)^L4+Assumptions!$B$5-Assumptions!$B$4)/Assumptions!$B$3*Assumptions!$B$10</f>
        <v>0.450865889815692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Assumptions!C41</f>
        <v>8</v>
      </c>
      <c r="D5" s="4" t="n">
        <f aca="false">Assumptions!D41</f>
        <v>10</v>
      </c>
      <c r="E5" s="4" t="n">
        <f aca="false">Assumptions!E41</f>
        <v>9</v>
      </c>
      <c r="F5" s="4" t="n">
        <f aca="false">Assumptions!F41</f>
        <v>8</v>
      </c>
      <c r="G5" s="4" t="n">
        <f aca="false">Assumptions!G41</f>
        <v>7</v>
      </c>
      <c r="H5" s="4" t="n">
        <f aca="false">Assumptions!H41</f>
        <v>6</v>
      </c>
      <c r="I5" s="4" t="n">
        <f aca="false">Assumptions!I41</f>
        <v>5</v>
      </c>
      <c r="J5" s="4" t="n">
        <f aca="false">Assumptions!J41</f>
        <v>4</v>
      </c>
      <c r="K5" s="4" t="n">
        <f aca="false">Assumptions!K41</f>
        <v>3.5</v>
      </c>
      <c r="L5" s="4" t="n">
        <f aca="false">Assumptions!L41</f>
        <v>3</v>
      </c>
    </row>
    <row r="6" customFormat="false" ht="15" hidden="false" customHeight="false" outlineLevel="0" collapsed="false">
      <c r="A6" s="0" t="s">
        <v>38</v>
      </c>
      <c r="B6" s="3" t="n">
        <v>2649.073</v>
      </c>
      <c r="C6" s="0" t="n">
        <f aca="false">B6*(1+C5/100)</f>
        <v>2860.99884</v>
      </c>
      <c r="D6" s="0" t="n">
        <f aca="false">C6*(1+D5/100)</f>
        <v>3147.098724</v>
      </c>
      <c r="E6" s="0" t="n">
        <f aca="false">D6*(1+E5/100)</f>
        <v>3430.33760916</v>
      </c>
      <c r="F6" s="0" t="n">
        <f aca="false">E6*(1+F5/100)</f>
        <v>3704.7646178928</v>
      </c>
      <c r="G6" s="0" t="n">
        <f aca="false">F6*(1+G5/100)</f>
        <v>3964.0981411453</v>
      </c>
      <c r="H6" s="0" t="n">
        <f aca="false">G6*(1+H5/100)</f>
        <v>4201.94402961402</v>
      </c>
      <c r="I6" s="0" t="n">
        <f aca="false">H6*(1+I5/100)</f>
        <v>4412.04123109472</v>
      </c>
      <c r="J6" s="0" t="n">
        <f aca="false">I6*(1+J5/100)</f>
        <v>4588.52288033851</v>
      </c>
      <c r="K6" s="0" t="n">
        <f aca="false">J6*(1+K5/100)</f>
        <v>4749.12118115035</v>
      </c>
      <c r="L6" s="0" t="n">
        <f aca="false">K6*(1+L5/100)</f>
        <v>4891.59481658486</v>
      </c>
    </row>
    <row r="7" customFormat="false" ht="15" hidden="false" customHeight="false" outlineLevel="0" collapsed="false">
      <c r="A7" s="0" t="s">
        <v>96</v>
      </c>
      <c r="C7" s="4" t="n">
        <f aca="false">Assumptions!C42</f>
        <v>24.5</v>
      </c>
      <c r="D7" s="4" t="n">
        <f aca="false">Assumptions!D42</f>
        <v>26</v>
      </c>
      <c r="E7" s="4" t="n">
        <f aca="false">Assumptions!E42</f>
        <v>27</v>
      </c>
      <c r="F7" s="4" t="n">
        <f aca="false">Assumptions!F42</f>
        <v>28</v>
      </c>
      <c r="G7" s="4" t="n">
        <f aca="false">Assumptions!G42</f>
        <v>28.5</v>
      </c>
      <c r="H7" s="4" t="n">
        <f aca="false">Assumptions!H42</f>
        <v>29</v>
      </c>
      <c r="I7" s="4" t="n">
        <f aca="false">Assumptions!I42</f>
        <v>29</v>
      </c>
      <c r="J7" s="4" t="n">
        <f aca="false">Assumptions!J42</f>
        <v>29</v>
      </c>
      <c r="K7" s="4" t="n">
        <f aca="false">Assumptions!K42</f>
        <v>29</v>
      </c>
      <c r="L7" s="4" t="n">
        <f aca="false">Assumptions!L42</f>
        <v>29</v>
      </c>
    </row>
    <row r="8" customFormat="false" ht="15" hidden="false" customHeight="false" outlineLevel="0" collapsed="false">
      <c r="A8" s="0" t="s">
        <v>44</v>
      </c>
      <c r="C8" s="0" t="n">
        <f aca="false">C6*C7/100</f>
        <v>700.9447158</v>
      </c>
      <c r="D8" s="0" t="n">
        <f aca="false">D6*D7/100</f>
        <v>818.24566824</v>
      </c>
      <c r="E8" s="0" t="n">
        <f aca="false">E6*E7/100</f>
        <v>926.1911544732</v>
      </c>
      <c r="F8" s="0" t="n">
        <f aca="false">F6*F7/100</f>
        <v>1037.33409300998</v>
      </c>
      <c r="G8" s="0" t="n">
        <f aca="false">G6*G7/100</f>
        <v>1129.76797022641</v>
      </c>
      <c r="H8" s="0" t="n">
        <f aca="false">H6*H7/100</f>
        <v>1218.56376858806</v>
      </c>
      <c r="I8" s="0" t="n">
        <f aca="false">I6*I7/100</f>
        <v>1279.49195701747</v>
      </c>
      <c r="J8" s="0" t="n">
        <f aca="false">J6*J7/100</f>
        <v>1330.67163529817</v>
      </c>
      <c r="K8" s="0" t="n">
        <f aca="false">K6*K7/100</f>
        <v>1377.2451425336</v>
      </c>
      <c r="L8" s="0" t="n">
        <f aca="false">L6*L7/100</f>
        <v>1418.56249680961</v>
      </c>
    </row>
    <row r="9" customFormat="false" ht="15" hidden="false" customHeight="false" outlineLevel="0" collapsed="false">
      <c r="A9" s="0" t="s">
        <v>97</v>
      </c>
      <c r="C9" s="4" t="n">
        <f aca="false">Assumptions!C43</f>
        <v>0.6</v>
      </c>
      <c r="D9" s="4" t="n">
        <f aca="false">Assumptions!D43</f>
        <v>0.7</v>
      </c>
      <c r="E9" s="4" t="n">
        <f aca="false">Assumptions!E43</f>
        <v>0.7</v>
      </c>
      <c r="F9" s="4" t="n">
        <f aca="false">Assumptions!F43</f>
        <v>0.7</v>
      </c>
      <c r="G9" s="4" t="n">
        <f aca="false">Assumptions!G43</f>
        <v>0.7</v>
      </c>
      <c r="H9" s="4" t="n">
        <f aca="false">Assumptions!H43</f>
        <v>0.7</v>
      </c>
      <c r="I9" s="4" t="n">
        <f aca="false">Assumptions!I43</f>
        <v>0.7</v>
      </c>
      <c r="J9" s="4" t="n">
        <f aca="false">Assumptions!J43</f>
        <v>0.7</v>
      </c>
      <c r="K9" s="4" t="n">
        <f aca="false">Assumptions!K43</f>
        <v>0.7</v>
      </c>
      <c r="L9" s="4" t="n">
        <f aca="false">Assumptions!L43</f>
        <v>0.7</v>
      </c>
    </row>
    <row r="10" customFormat="false" ht="15" hidden="false" customHeight="false" outlineLevel="0" collapsed="false">
      <c r="A10" s="0" t="s">
        <v>112</v>
      </c>
      <c r="C10" s="0" t="n">
        <f aca="false">-C6*C9/100</f>
        <v>-17.16599304</v>
      </c>
      <c r="D10" s="0" t="n">
        <f aca="false">-D6*D9/100</f>
        <v>-22.029691068</v>
      </c>
      <c r="E10" s="0" t="n">
        <f aca="false">-E6*E9/100</f>
        <v>-24.01236326412</v>
      </c>
      <c r="F10" s="0" t="n">
        <f aca="false">-F6*F9/100</f>
        <v>-25.9333523252496</v>
      </c>
      <c r="G10" s="0" t="n">
        <f aca="false">-G6*G9/100</f>
        <v>-27.7486869880171</v>
      </c>
      <c r="H10" s="0" t="n">
        <f aca="false">-H6*H9/100</f>
        <v>-29.4136082072981</v>
      </c>
      <c r="I10" s="0" t="n">
        <f aca="false">-I6*I9/100</f>
        <v>-30.884288617663</v>
      </c>
      <c r="J10" s="0" t="n">
        <f aca="false">-J6*J9/100</f>
        <v>-32.1196601623695</v>
      </c>
      <c r="K10" s="0" t="n">
        <f aca="false">-K6*K9/100</f>
        <v>-33.2438482680525</v>
      </c>
      <c r="L10" s="0" t="n">
        <f aca="false">-L6*L9/100</f>
        <v>-34.241163716094</v>
      </c>
    </row>
    <row r="11" customFormat="false" ht="15" hidden="false" customHeight="false" outlineLevel="0" collapsed="false">
      <c r="A11" s="0" t="s">
        <v>113</v>
      </c>
      <c r="C11" s="0" t="n">
        <f aca="false">C8+C10+C24</f>
        <v>583.64376336</v>
      </c>
      <c r="D11" s="0" t="n">
        <f aca="false">D8+D10+D24</f>
        <v>689.214620556</v>
      </c>
      <c r="E11" s="0" t="n">
        <f aca="false">E8+E10+E24</f>
        <v>788.9776501068</v>
      </c>
      <c r="F11" s="0" t="n">
        <f aca="false">F8+F10+F24</f>
        <v>892.848272912165</v>
      </c>
      <c r="G11" s="0" t="n">
        <f aca="false">G8+G10+G24</f>
        <v>975.168142721743</v>
      </c>
      <c r="H11" s="0" t="n">
        <f aca="false">H8+H10+H24</f>
        <v>1054.68795143312</v>
      </c>
      <c r="I11" s="0" t="n">
        <f aca="false">I8+I10+I24</f>
        <v>1107.42234900477</v>
      </c>
      <c r="J11" s="0" t="n">
        <f aca="false">J8+J10+J24</f>
        <v>1151.71924296497</v>
      </c>
      <c r="K11" s="0" t="n">
        <f aca="false">K8+K10+K24</f>
        <v>1192.02941646874</v>
      </c>
      <c r="L11" s="0" t="n">
        <f aca="false">L8+L10+L24</f>
        <v>1227.7902989628</v>
      </c>
    </row>
    <row r="12" customFormat="false" ht="15" hidden="false" customHeight="false" outlineLevel="0" collapsed="false">
      <c r="A12" s="0" t="s">
        <v>114</v>
      </c>
      <c r="C12" s="4" t="n">
        <f aca="false">-C6*Assumptions!C45/100</f>
        <v>-228.8799072</v>
      </c>
      <c r="D12" s="4" t="n">
        <f aca="false">-D6*Assumptions!D45/100</f>
        <v>-239.179503024</v>
      </c>
      <c r="E12" s="4" t="n">
        <f aca="false">-E6*Assumptions!E45/100</f>
        <v>-246.98430785952</v>
      </c>
      <c r="F12" s="4" t="n">
        <f aca="false">-F6*Assumptions!F45/100</f>
        <v>-259.333523252496</v>
      </c>
      <c r="G12" s="4" t="n">
        <f aca="false">-G6*Assumptions!G45/100</f>
        <v>-269.55867359788</v>
      </c>
      <c r="H12" s="4" t="n">
        <f aca="false">-H6*Assumptions!H45/100</f>
        <v>-273.126361924911</v>
      </c>
      <c r="I12" s="4" t="n">
        <f aca="false">-I6*Assumptions!I45/100</f>
        <v>-277.958597558967</v>
      </c>
      <c r="J12" s="4" t="n">
        <f aca="false">-J6*Assumptions!J45/100</f>
        <v>-284.488418580987</v>
      </c>
      <c r="K12" s="4" t="n">
        <f aca="false">-K6*Assumptions!K45/100</f>
        <v>-284.947270869021</v>
      </c>
      <c r="L12" s="4" t="n">
        <f aca="false">-L6*Assumptions!L45/100</f>
        <v>-293.495688995092</v>
      </c>
    </row>
    <row r="13" customFormat="false" ht="15" hidden="false" customHeight="false" outlineLevel="0" collapsed="false">
      <c r="A13" s="0" t="s">
        <v>115</v>
      </c>
      <c r="C13" s="0" t="n">
        <f aca="false">C11+C12</f>
        <v>354.76385616</v>
      </c>
      <c r="D13" s="0" t="n">
        <f aca="false">D11+D12</f>
        <v>450.035117532</v>
      </c>
      <c r="E13" s="0" t="n">
        <f aca="false">E11+E12</f>
        <v>541.99334224728</v>
      </c>
      <c r="F13" s="0" t="n">
        <f aca="false">F11+F12</f>
        <v>633.514749659669</v>
      </c>
      <c r="G13" s="0" t="n">
        <f aca="false">G11+G12</f>
        <v>705.609469123863</v>
      </c>
      <c r="H13" s="0" t="n">
        <f aca="false">H11+H12</f>
        <v>781.561589508207</v>
      </c>
      <c r="I13" s="0" t="n">
        <f aca="false">I11+I12</f>
        <v>829.463751445807</v>
      </c>
      <c r="J13" s="0" t="n">
        <f aca="false">J11+J12</f>
        <v>867.230824383978</v>
      </c>
      <c r="K13" s="0" t="n">
        <f aca="false">K11+K12</f>
        <v>907.082145599717</v>
      </c>
      <c r="L13" s="0" t="n">
        <f aca="false">L11+L12</f>
        <v>934.294609967709</v>
      </c>
    </row>
    <row r="14" customFormat="false" ht="15" hidden="false" customHeight="false" outlineLevel="0" collapsed="false">
      <c r="A14" s="0" t="s">
        <v>101</v>
      </c>
      <c r="C14" s="4" t="n">
        <f aca="false">Assumptions!C47</f>
        <v>30</v>
      </c>
      <c r="D14" s="4" t="n">
        <f aca="false">Assumptions!D47</f>
        <v>29</v>
      </c>
      <c r="E14" s="4" t="n">
        <f aca="false">Assumptions!E47</f>
        <v>28</v>
      </c>
      <c r="F14" s="4" t="n">
        <f aca="false">Assumptions!F47</f>
        <v>28</v>
      </c>
      <c r="G14" s="4" t="n">
        <f aca="false">Assumptions!G47</f>
        <v>27</v>
      </c>
      <c r="H14" s="4" t="n">
        <f aca="false">Assumptions!H47</f>
        <v>27</v>
      </c>
      <c r="I14" s="4" t="n">
        <f aca="false">Assumptions!I47</f>
        <v>27</v>
      </c>
      <c r="J14" s="4" t="n">
        <f aca="false">Assumptions!J47</f>
        <v>27</v>
      </c>
      <c r="K14" s="4" t="n">
        <f aca="false">Assumptions!K47</f>
        <v>27</v>
      </c>
      <c r="L14" s="4" t="n">
        <f aca="false">Assumptions!L47</f>
        <v>27</v>
      </c>
    </row>
    <row r="15" customFormat="false" ht="15" hidden="false" customHeight="false" outlineLevel="0" collapsed="false">
      <c r="A15" s="0" t="s">
        <v>116</v>
      </c>
      <c r="C15" s="0" t="n">
        <f aca="false">C13-MAX(0,C13)*C14/100</f>
        <v>248.334699312</v>
      </c>
      <c r="D15" s="0" t="n">
        <f aca="false">D13-MAX(0,D13)*D14/100</f>
        <v>319.52493344772</v>
      </c>
      <c r="E15" s="0" t="n">
        <f aca="false">E13-MAX(0,E13)*E14/100</f>
        <v>390.235206418042</v>
      </c>
      <c r="F15" s="0" t="n">
        <f aca="false">F13-MAX(0,F13)*F14/100</f>
        <v>456.130619754962</v>
      </c>
      <c r="G15" s="0" t="n">
        <f aca="false">G13-MAX(0,G13)*G14/100</f>
        <v>515.09491246042</v>
      </c>
      <c r="H15" s="0" t="n">
        <f aca="false">H13-MAX(0,H13)*H14/100</f>
        <v>570.539960340991</v>
      </c>
      <c r="I15" s="0" t="n">
        <f aca="false">I13-MAX(0,I13)*I14/100</f>
        <v>605.508538555439</v>
      </c>
      <c r="J15" s="0" t="n">
        <f aca="false">J13-MAX(0,J13)*J14/100</f>
        <v>633.078501800304</v>
      </c>
      <c r="K15" s="0" t="n">
        <f aca="false">K13-MAX(0,K13)*K14/100</f>
        <v>662.169966287794</v>
      </c>
      <c r="L15" s="0" t="n">
        <f aca="false">L13-MAX(0,L13)*L14/100</f>
        <v>682.035065276427</v>
      </c>
    </row>
    <row r="16" customFormat="false" ht="15" hidden="false" customHeight="false" outlineLevel="0" collapsed="false">
      <c r="A16" s="0" t="s">
        <v>117</v>
      </c>
      <c r="C16" s="0" t="n">
        <f aca="false">-C12</f>
        <v>228.8799072</v>
      </c>
      <c r="D16" s="0" t="n">
        <f aca="false">-D12</f>
        <v>239.179503024</v>
      </c>
      <c r="E16" s="0" t="n">
        <f aca="false">-E12</f>
        <v>246.98430785952</v>
      </c>
      <c r="F16" s="0" t="n">
        <f aca="false">-F12</f>
        <v>259.333523252496</v>
      </c>
      <c r="G16" s="0" t="n">
        <f aca="false">-G12</f>
        <v>269.55867359788</v>
      </c>
      <c r="H16" s="0" t="n">
        <f aca="false">-H12</f>
        <v>273.126361924911</v>
      </c>
      <c r="I16" s="0" t="n">
        <f aca="false">-I12</f>
        <v>277.958597558967</v>
      </c>
      <c r="J16" s="0" t="n">
        <f aca="false">-J12</f>
        <v>284.488418580987</v>
      </c>
      <c r="K16" s="0" t="n">
        <f aca="false">-K12</f>
        <v>284.947270869021</v>
      </c>
      <c r="L16" s="0" t="n">
        <f aca="false">-L12</f>
        <v>293.495688995092</v>
      </c>
    </row>
    <row r="17" customFormat="false" ht="15" hidden="false" customHeight="false" outlineLevel="0" collapsed="false">
      <c r="A17" s="0" t="s">
        <v>118</v>
      </c>
      <c r="C17" s="4" t="n">
        <f aca="false">-C6*Assumptions!C46/100</f>
        <v>-214.574913</v>
      </c>
      <c r="D17" s="4" t="n">
        <f aca="false">-D6*Assumptions!D46/100</f>
        <v>-188.82592344</v>
      </c>
      <c r="E17" s="4" t="n">
        <f aca="false">-E6*Assumptions!E46/100</f>
        <v>-188.6685685038</v>
      </c>
      <c r="F17" s="4" t="n">
        <f aca="false">-F6*Assumptions!F46/100</f>
        <v>-203.762053984104</v>
      </c>
      <c r="G17" s="4" t="n">
        <f aca="false">-G6*Assumptions!G46/100</f>
        <v>-218.025397762991</v>
      </c>
      <c r="H17" s="4" t="n">
        <f aca="false">-H6*Assumptions!H46/100</f>
        <v>-231.106921628771</v>
      </c>
      <c r="I17" s="4" t="n">
        <f aca="false">-I6*Assumptions!I46/100</f>
        <v>-242.662267710209</v>
      </c>
      <c r="J17" s="4" t="n">
        <f aca="false">-J6*Assumptions!J46/100</f>
        <v>-266.134327059633</v>
      </c>
      <c r="K17" s="4" t="n">
        <f aca="false">-K6*Assumptions!K46/100</f>
        <v>-284.947270869021</v>
      </c>
      <c r="L17" s="4" t="n">
        <f aca="false">-L6*Assumptions!L46/100</f>
        <v>-293.495688995092</v>
      </c>
    </row>
    <row r="18" customFormat="false" ht="15" hidden="false" customHeight="false" outlineLevel="0" collapsed="false">
      <c r="A18" s="0" t="s">
        <v>119</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120</v>
      </c>
      <c r="C19" s="0" t="n">
        <f aca="false">C15+C16+C17+C18</f>
        <v>262.639693512</v>
      </c>
      <c r="D19" s="0" t="n">
        <f aca="false">D15+D16+D17+D18</f>
        <v>369.87851303172</v>
      </c>
      <c r="E19" s="0" t="n">
        <f aca="false">E15+E16+E17+E18</f>
        <v>448.550945773762</v>
      </c>
      <c r="F19" s="0" t="n">
        <f aca="false">F15+F16+F17+F18</f>
        <v>511.702089023354</v>
      </c>
      <c r="G19" s="0" t="n">
        <f aca="false">G15+G16+G17+G18</f>
        <v>566.628188295309</v>
      </c>
      <c r="H19" s="0" t="n">
        <f aca="false">H15+H16+H17+H18</f>
        <v>612.559400637131</v>
      </c>
      <c r="I19" s="0" t="n">
        <f aca="false">I15+I16+I17+I18</f>
        <v>640.804868404197</v>
      </c>
      <c r="J19" s="0" t="n">
        <f aca="false">J15+J16+J17+J18</f>
        <v>651.432593321658</v>
      </c>
      <c r="K19" s="0" t="n">
        <f aca="false">K15+K16+K17+K18</f>
        <v>662.169966287794</v>
      </c>
      <c r="L19" s="0" t="n">
        <f aca="false">L15+L16+L17+L18</f>
        <v>682.035065276427</v>
      </c>
    </row>
    <row r="20" customFormat="false" ht="15" hidden="false" customHeight="false" outlineLevel="0" collapsed="false">
      <c r="A20" s="0" t="s">
        <v>121</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122</v>
      </c>
      <c r="C21" s="0" t="n">
        <f aca="false">C19*C20</f>
        <v>243.1849014</v>
      </c>
      <c r="D21" s="0" t="n">
        <f aca="false">D19*D20</f>
        <v>317.111208017593</v>
      </c>
      <c r="E21" s="0" t="n">
        <f aca="false">E19*E20</f>
        <v>356.074202495302</v>
      </c>
      <c r="F21" s="0" t="n">
        <f aca="false">F19*F20</f>
        <v>376.116311170473</v>
      </c>
      <c r="G21" s="0" t="n">
        <f aca="false">G19*G20</f>
        <v>385.637623919465</v>
      </c>
      <c r="H21" s="0" t="n">
        <f aca="false">H19*H20</f>
        <v>386.016328943239</v>
      </c>
      <c r="I21" s="0" t="n">
        <f aca="false">I19*I20</f>
        <v>373.903485951064</v>
      </c>
      <c r="J21" s="0" t="n">
        <f aca="false">J19*J20</f>
        <v>351.948760522121</v>
      </c>
      <c r="K21" s="0" t="n">
        <f aca="false">K19*K20</f>
        <v>331.249841700942</v>
      </c>
      <c r="L21" s="0" t="n">
        <f aca="false">L19*L20</f>
        <v>315.914200881454</v>
      </c>
    </row>
    <row r="23" customFormat="false" ht="15" hidden="false" customHeight="false" outlineLevel="0" collapsed="false">
      <c r="A23" s="0" t="s">
        <v>98</v>
      </c>
      <c r="C23" s="4" t="n">
        <f aca="false">Assumptions!C44</f>
        <v>3.5</v>
      </c>
      <c r="D23" s="4" t="n">
        <f aca="false">Assumptions!D44</f>
        <v>3.4</v>
      </c>
      <c r="E23" s="4" t="n">
        <f aca="false">Assumptions!E44</f>
        <v>3.3</v>
      </c>
      <c r="F23" s="4" t="n">
        <f aca="false">Assumptions!F44</f>
        <v>3.2</v>
      </c>
      <c r="G23" s="4" t="n">
        <f aca="false">Assumptions!G44</f>
        <v>3.2</v>
      </c>
      <c r="H23" s="4" t="n">
        <f aca="false">Assumptions!H44</f>
        <v>3.2</v>
      </c>
      <c r="I23" s="4" t="n">
        <f aca="false">Assumptions!I44</f>
        <v>3.2</v>
      </c>
      <c r="J23" s="4" t="n">
        <f aca="false">Assumptions!J44</f>
        <v>3.2</v>
      </c>
      <c r="K23" s="4" t="n">
        <f aca="false">Assumptions!K44</f>
        <v>3.2</v>
      </c>
      <c r="L23" s="4" t="n">
        <f aca="false">Assumptions!L44</f>
        <v>3.2</v>
      </c>
    </row>
    <row r="24" customFormat="false" ht="15" hidden="false" customHeight="false" outlineLevel="0" collapsed="false">
      <c r="A24" s="0" t="s">
        <v>123</v>
      </c>
      <c r="C24" s="0" t="n">
        <f aca="false">-C6*C23/100</f>
        <v>-100.1349594</v>
      </c>
      <c r="D24" s="0" t="n">
        <f aca="false">-D6*D23/100</f>
        <v>-107.001356616</v>
      </c>
      <c r="E24" s="0" t="n">
        <f aca="false">-E6*E23/100</f>
        <v>-113.20114110228</v>
      </c>
      <c r="F24" s="0" t="n">
        <f aca="false">-F6*F23/100</f>
        <v>-118.55246777257</v>
      </c>
      <c r="G24" s="0" t="n">
        <f aca="false">-G6*G23/100</f>
        <v>-126.85114051665</v>
      </c>
      <c r="H24" s="0" t="n">
        <f aca="false">-H6*H23/100</f>
        <v>-134.462208947649</v>
      </c>
      <c r="I24" s="0" t="n">
        <f aca="false">-I6*I23/100</f>
        <v>-141.185319395031</v>
      </c>
      <c r="J24" s="0" t="n">
        <f aca="false">-J6*J23/100</f>
        <v>-146.832732170832</v>
      </c>
      <c r="K24" s="0" t="n">
        <f aca="false">-K6*K23/100</f>
        <v>-151.971877796811</v>
      </c>
      <c r="L24" s="0" t="n">
        <f aca="false">-L6*L23/100</f>
        <v>-156.531034130716</v>
      </c>
    </row>
    <row r="26" customFormat="false" ht="15" hidden="false" customHeight="false" outlineLevel="0" collapsed="false">
      <c r="A26" s="2" t="s">
        <v>124</v>
      </c>
    </row>
    <row r="27" customFormat="false" ht="15" hidden="false" customHeight="false" outlineLevel="0" collapsed="false">
      <c r="A27" s="0" t="s">
        <v>102</v>
      </c>
      <c r="B27" s="4" t="n">
        <f aca="false">Assumptions!$B$48</f>
        <v>8</v>
      </c>
    </row>
    <row r="28" customFormat="false" ht="15" hidden="false" customHeight="false" outlineLevel="0" collapsed="false">
      <c r="A28" s="0" t="s">
        <v>103</v>
      </c>
      <c r="B28" s="4" t="n">
        <f aca="false">Assumptions!$B$49</f>
        <v>3</v>
      </c>
    </row>
    <row r="29" customFormat="false" ht="15" hidden="false" customHeight="false" outlineLevel="0" collapsed="false">
      <c r="A29" s="0" t="s">
        <v>104</v>
      </c>
      <c r="B29" s="4" t="n">
        <f aca="false">Assumptions!$B$50</f>
        <v>15</v>
      </c>
    </row>
    <row r="30" customFormat="false" ht="15" hidden="false" customHeight="false" outlineLevel="0" collapsed="false">
      <c r="A30" s="0" t="s">
        <v>125</v>
      </c>
      <c r="B30" s="0" t="n">
        <f aca="false">SUM(C21:L21)</f>
        <v>3437.15686500165</v>
      </c>
    </row>
    <row r="31" customFormat="false" ht="15" hidden="false" customHeight="false" outlineLevel="0" collapsed="false">
      <c r="A31" s="0" t="s">
        <v>126</v>
      </c>
      <c r="B31" s="0" t="n">
        <f aca="false">L19</f>
        <v>682.035065276427</v>
      </c>
    </row>
    <row r="32" customFormat="false" ht="15" hidden="false" customHeight="false" outlineLevel="0" collapsed="false">
      <c r="A32" s="0" t="s">
        <v>127</v>
      </c>
      <c r="B32" s="0" t="n">
        <f aca="false">IF(B27&gt;B28,B31*(1+B28/100)/((B27-B28)/100),B31*B29)</f>
        <v>14049.9223446944</v>
      </c>
    </row>
    <row r="33" customFormat="false" ht="15" hidden="false" customHeight="false" outlineLevel="0" collapsed="false">
      <c r="A33" s="0" t="s">
        <v>128</v>
      </c>
      <c r="B33" s="0" t="n">
        <f aca="false">B31*B29</f>
        <v>10230.5259791464</v>
      </c>
    </row>
    <row r="34" customFormat="false" ht="15" hidden="false" customHeight="false" outlineLevel="0" collapsed="false">
      <c r="A34" s="0" t="s">
        <v>129</v>
      </c>
      <c r="B34" s="0" t="n">
        <f aca="false">MAX(0,MIN(B32,B33))</f>
        <v>10230.5259791464</v>
      </c>
    </row>
    <row r="35" customFormat="false" ht="15" hidden="false" customHeight="false" outlineLevel="0" collapsed="false">
      <c r="A35" s="0" t="s">
        <v>130</v>
      </c>
      <c r="B35" s="0" t="n">
        <f aca="false">B34/(1+B27/100)^L4</f>
        <v>4738.7130132218</v>
      </c>
    </row>
    <row r="36" customFormat="false" ht="15" hidden="false" customHeight="false" outlineLevel="0" collapsed="false">
      <c r="A36" s="0" t="s">
        <v>131</v>
      </c>
      <c r="B36" s="0" t="n">
        <f aca="false">B30+B35</f>
        <v>8175.86987822346</v>
      </c>
    </row>
    <row r="37" customFormat="false" ht="15" hidden="false" customHeight="false" outlineLevel="0" collapsed="false">
      <c r="A37" s="0" t="s">
        <v>132</v>
      </c>
      <c r="B37" s="0" t="n">
        <f aca="false">B36+Assumptions!$B$5-Assumptions!$B$4</f>
        <v>6341.82987822346</v>
      </c>
    </row>
    <row r="38" customFormat="false" ht="15" hidden="false" customHeight="false" outlineLevel="0" collapsed="false">
      <c r="A38" s="0" t="s">
        <v>133</v>
      </c>
      <c r="B38" s="0" t="n">
        <f aca="false">B37/Assumptions!$B$3*Assumptions!$B$10</f>
        <v>2.81028134302044</v>
      </c>
    </row>
    <row r="39" customFormat="false" ht="15" hidden="false" customHeight="false" outlineLevel="0" collapsed="false">
      <c r="A39" s="0" t="s">
        <v>134</v>
      </c>
      <c r="B39" s="4" t="n">
        <f aca="false">B38/Assumptions!$B$2-1</f>
        <v>0.280310406843026</v>
      </c>
    </row>
    <row r="41" customFormat="false" ht="15" hidden="false" customHeight="false" outlineLevel="0" collapsed="false">
      <c r="A41" s="0" t="s">
        <v>135</v>
      </c>
      <c r="B41" s="0" t="n">
        <f aca="false">SUMPRODUCT(-C10:L10/(1+$B$27/100)^C4:L4)</f>
        <v>178.190199805938</v>
      </c>
    </row>
    <row r="42" customFormat="false" ht="15" hidden="false" customHeight="false" outlineLevel="0" collapsed="false">
      <c r="A42" s="0" t="s">
        <v>136</v>
      </c>
      <c r="B42" s="0" t="n">
        <f aca="false">IF(B27&gt;B28,-L10*(1+B28/100)/((B27-B28)/100),-L10*20)/(1+B27/100)^L4</f>
        <v>326.721851589368</v>
      </c>
    </row>
    <row r="43" customFormat="false" ht="15" hidden="false" customHeight="false" outlineLevel="0" collapsed="false">
      <c r="A43" s="0" t="s">
        <v>137</v>
      </c>
      <c r="B43" s="0" t="n">
        <f aca="false">(B37+B41+B42)/Assumptions!$B$3*Assumptions!$B$10</f>
        <v>3.03402511179841</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5854.13431028934</v>
      </c>
    </row>
    <row r="47" customFormat="false" ht="15" hidden="false" customHeight="false" outlineLevel="0" collapsed="false">
      <c r="A47" s="0" t="s">
        <v>139</v>
      </c>
      <c r="B47" s="0" t="n">
        <f aca="false">(SUMPRODUCT(C19:L19/(1+B45/100)^C4:L4)+B46/(1+B45/100)^L4+Assumptions!$B$5-Assumptions!$B$4)/Assumptions!$B$3*Assumptions!$B$10</f>
        <v>0.915421669766511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142</v>
      </c>
    </row>
    <row r="3" customFormat="false" ht="15" hidden="false" customHeight="false" outlineLevel="0" collapsed="false">
      <c r="A3" s="2" t="s">
        <v>143</v>
      </c>
      <c r="B3" s="2" t="s">
        <v>144</v>
      </c>
      <c r="C3" s="2" t="s">
        <v>134</v>
      </c>
      <c r="D3" s="2" t="s">
        <v>145</v>
      </c>
      <c r="E3" s="2" t="s">
        <v>137</v>
      </c>
      <c r="F3" s="2" t="s">
        <v>146</v>
      </c>
    </row>
    <row r="4" customFormat="false" ht="15" hidden="false" customHeight="false" outlineLevel="0" collapsed="false">
      <c r="A4" s="0" t="s">
        <v>147</v>
      </c>
      <c r="B4" s="4" t="n">
        <f aca="false">DCF_Bear!$B$38</f>
        <v>0.567322532402215</v>
      </c>
      <c r="C4" s="0" t="n">
        <f aca="false">B4/Assumptions!$B$2-1</f>
        <v>-0.741538709611747</v>
      </c>
      <c r="D4" s="4" t="n">
        <f aca="false">Assumptions!$B$24</f>
        <v>0.25</v>
      </c>
      <c r="E4" s="4" t="n">
        <f aca="false">DCF_Bear!$B$43</f>
        <v>0.701483817410951</v>
      </c>
      <c r="F4" s="4" t="n">
        <f aca="false">DCF_Bear!$B$47</f>
        <v>-0.143689866045714</v>
      </c>
    </row>
    <row r="5" customFormat="false" ht="15" hidden="false" customHeight="false" outlineLevel="0" collapsed="false">
      <c r="A5" s="0" t="s">
        <v>148</v>
      </c>
      <c r="B5" s="4" t="n">
        <f aca="false">DCF_Base!$B$38</f>
        <v>1.81023223661059</v>
      </c>
      <c r="C5" s="0" t="n">
        <f aca="false">B5/Assumptions!$B$2-1</f>
        <v>-0.175292830701327</v>
      </c>
      <c r="D5" s="4" t="n">
        <f aca="false">Assumptions!$B$38</f>
        <v>0.5</v>
      </c>
      <c r="E5" s="4" t="n">
        <f aca="false">DCF_Base!$B$43</f>
        <v>1.99318300041088</v>
      </c>
      <c r="F5" s="4" t="n">
        <f aca="false">DCF_Base!$B$47</f>
        <v>0.450865889815692</v>
      </c>
    </row>
    <row r="6" customFormat="false" ht="15" hidden="false" customHeight="false" outlineLevel="0" collapsed="false">
      <c r="A6" s="0" t="s">
        <v>149</v>
      </c>
      <c r="B6" s="4" t="n">
        <f aca="false">DCF_Bull!$B$38</f>
        <v>2.81028134302044</v>
      </c>
      <c r="C6" s="0" t="n">
        <f aca="false">B6/Assumptions!$B$2-1</f>
        <v>0.280310406843026</v>
      </c>
      <c r="D6" s="4" t="n">
        <f aca="false">Assumptions!$B$52</f>
        <v>0.25</v>
      </c>
      <c r="E6" s="4" t="n">
        <f aca="false">DCF_Bull!$B$43</f>
        <v>3.03402511179841</v>
      </c>
      <c r="F6" s="4" t="n">
        <f aca="false">DCF_Bull!$B$47</f>
        <v>0.915421669766511</v>
      </c>
    </row>
    <row r="8" customFormat="false" ht="15" hidden="false" customHeight="false" outlineLevel="0" collapsed="false">
      <c r="A8" s="0" t="s">
        <v>150</v>
      </c>
      <c r="B8" s="0" t="n">
        <f aca="false">SUMPRODUCT(B4:B6,D4:D6)</f>
        <v>1.74951708716096</v>
      </c>
    </row>
    <row r="9" customFormat="false" ht="15" hidden="false" customHeight="false" outlineLevel="0" collapsed="false">
      <c r="A9" s="0" t="s">
        <v>151</v>
      </c>
      <c r="B9" s="0" t="n">
        <f aca="false">SUMPRODUCT(E4:E6,D4:D6)</f>
        <v>1.93046873250778</v>
      </c>
    </row>
    <row r="10" customFormat="false" ht="15" hidden="false" customHeight="false" outlineLevel="0" collapsed="false">
      <c r="A10" s="0" t="s">
        <v>152</v>
      </c>
      <c r="B10" s="0" t="n">
        <f aca="false">1-Assumptions!$B$2/B8</f>
        <v>-0.254631930209926</v>
      </c>
    </row>
    <row r="11" customFormat="false" ht="15" hidden="false" customHeight="false" outlineLevel="0" collapsed="false">
      <c r="A11" s="0" t="s">
        <v>153</v>
      </c>
      <c r="B11" s="0" t="n">
        <f aca="false">IF(ABS(B9-B8)&gt;0.01*ABS(B8),(Assumptions!$B$2-B8)/(B9-B8)*100,"n/a")</f>
        <v>246.188926320732</v>
      </c>
    </row>
    <row r="12" customFormat="false" ht="15" hidden="false" customHeight="false" outlineLevel="0" collapsed="false">
      <c r="A12" s="0" t="s">
        <v>154</v>
      </c>
      <c r="B12" s="0" t="n">
        <f aca="false">SUMPRODUCT(F4:F6,D4:D6)</f>
        <v>0.418365895838045</v>
      </c>
    </row>
    <row r="14" customFormat="false" ht="15" hidden="false" customHeight="false" outlineLevel="0" collapsed="false">
      <c r="A14" s="2" t="s">
        <v>155</v>
      </c>
      <c r="C14" s="0" t="s">
        <v>156</v>
      </c>
    </row>
    <row r="15" customFormat="false" ht="15" hidden="false" customHeight="false" outlineLevel="0" collapsed="false">
      <c r="A15" s="0" t="s">
        <v>157</v>
      </c>
      <c r="B15" s="0" t="n">
        <f aca="false">(SUMPRODUCT(DCF_Base!$C$19:$L$19/(1+$C$15/100)^DCF_Base!$C$4:$L$4)+MAX(0,MIN(IF($C$15&gt;DCF_Base!$B$28,DCF_Base!$L$19*(1+DCF_Base!$B$28/100)/(($C$15-DCF_Base!$B$28)/100),DCF_Base!$L$19*DCF_Base!$B$29),DCF_Base!$L$19*DCF_Base!$B$29))/(1+$C$15/100)^DCF_Base!$L$4+Assumptions!$B$5-Assumptions!$B$4)/Assumptions!$B$3*Assumptions!$B$10</f>
        <v>1.81023223661059</v>
      </c>
      <c r="C15" s="3" t="n">
        <v>8</v>
      </c>
    </row>
    <row r="16" customFormat="false" ht="15" hidden="false" customHeight="false" outlineLevel="0" collapsed="false">
      <c r="A16" s="0" t="s">
        <v>158</v>
      </c>
      <c r="B16" s="0" t="n">
        <f aca="false">(SUMPRODUCT(DCF_Base!$C$19:$L$19/(1+$C$16/100)^DCF_Base!$C$4:$L$4)+MAX(0,MIN(IF($C$16&gt;DCF_Base!$B$28,DCF_Base!$L$19*(1+DCF_Base!$B$28/100)/(($C$16-DCF_Base!$B$28)/100),DCF_Base!$L$19*DCF_Base!$B$29),DCF_Base!$L$19*DCF_Base!$B$29))/(1+$C$16/100)^DCF_Base!$L$4+Assumptions!$B$5-Assumptions!$B$4)/Assumptions!$B$3*Assumptions!$B$10</f>
        <v>1.62528567918301</v>
      </c>
      <c r="C16" s="3" t="n">
        <v>9</v>
      </c>
    </row>
    <row r="17" customFormat="false" ht="15" hidden="false" customHeight="false" outlineLevel="0" collapsed="false">
      <c r="A17" s="0" t="s">
        <v>159</v>
      </c>
      <c r="B17" s="0" t="n">
        <f aca="false">(SUMPRODUCT(DCF_Base!$C$19:$L$19/(1+$C$17/100)^DCF_Base!$C$4:$L$4)+MAX(0,MIN(IF($C$17&gt;DCF_Base!$B$28,DCF_Base!$L$19*(1+DCF_Base!$B$28/100)/(($C$17-DCF_Base!$B$28)/100),DCF_Base!$L$19*DCF_Base!$B$29),DCF_Base!$L$19*DCF_Base!$B$29))/(1+$C$17/100)^DCF_Base!$L$4+Assumptions!$B$5-Assumptions!$B$4)/Assumptions!$B$3*Assumptions!$B$10</f>
        <v>1.3479786079108</v>
      </c>
      <c r="C17" s="3" t="n">
        <v>10</v>
      </c>
    </row>
    <row r="18" customFormat="false" ht="15" hidden="false" customHeight="false" outlineLevel="0" collapsed="false">
      <c r="A18" s="0" t="s">
        <v>160</v>
      </c>
      <c r="B18" s="0" t="n">
        <f aca="false">(SUMPRODUCT(DCF_Base!$C$19:$L$19/(1+$C$18/100)^DCF_Base!$C$4:$L$4)+MAX(0,MIN(IF($C$18&gt;DCF_Base!$B$28,DCF_Base!$L$19*(1+DCF_Base!$B$28/100)/(($C$18-DCF_Base!$B$28)/100),DCF_Base!$L$19*DCF_Base!$B$29),DCF_Base!$L$19*DCF_Base!$B$29))/(1+$C$18/100)^DCF_Base!$L$4+Assumptions!$B$5-Assumptions!$B$4)/Assumptions!$B$3*Assumptions!$B$10</f>
        <v>1.08366616997699</v>
      </c>
      <c r="C18" s="3" t="n">
        <v>11</v>
      </c>
    </row>
    <row r="19" customFormat="false" ht="15" hidden="false" customHeight="false" outlineLevel="0" collapsed="false">
      <c r="A19" s="0" t="s">
        <v>161</v>
      </c>
      <c r="B19" s="0" t="n">
        <f aca="false">(SUMPRODUCT(DCF_Base!$C$19:$L$19/(1+$C$19/100)^DCF_Base!$C$4:$L$4)+MAX(0,MIN(IF($C$19&gt;DCF_Base!$B$28,DCF_Base!$L$19*(1+DCF_Base!$B$28/100)/(($C$19-DCF_Base!$B$28)/100),DCF_Base!$L$19*DCF_Base!$B$29),DCF_Base!$L$19*DCF_Base!$B$29))/(1+$C$19/100)^DCF_Base!$L$4+Assumptions!$B$5-Assumptions!$B$4)/Assumptions!$B$3*Assumptions!$B$10</f>
        <v>0.87520593289163</v>
      </c>
      <c r="C19" s="3" t="n">
        <v>12</v>
      </c>
    </row>
    <row r="20" customFormat="false" ht="15" hidden="false" customHeight="false" outlineLevel="0" collapsed="false">
      <c r="A20" s="0" t="s">
        <v>162</v>
      </c>
      <c r="B20" s="0" t="n">
        <f aca="false">(SUMPRODUCT(DCF_Base!$C$19:$L$19/(1+$C$20/100)^DCF_Base!$C$4:$L$4)+MAX(0,MIN(IF($C$20&gt;DCF_Base!$B$28,DCF_Base!$L$19*(1+DCF_Base!$B$28/100)/(($C$20-DCF_Base!$B$28)/100),DCF_Base!$L$19*DCF_Base!$B$29),DCF_Base!$L$19*DCF_Base!$B$29))/(1+$C$20/100)^DCF_Base!$L$4+Assumptions!$B$5-Assumptions!$B$4)/Assumptions!$B$3*Assumptions!$B$10</f>
        <v>0.450865889815692</v>
      </c>
      <c r="C20" s="3" t="n">
        <v>15</v>
      </c>
    </row>
    <row r="22" customFormat="false" ht="15" hidden="false" customHeight="false" outlineLevel="0" collapsed="false">
      <c r="A22" s="2" t="s">
        <v>163</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2.23625481453195</v>
      </c>
      <c r="C24" s="0" t="n">
        <f aca="false">(SUMPRODUCT(DCF_Base!$C$19:$L$19/(1+$A$24/100)^DCF_Base!$C$4:$L$4)+MAX(0,MIN(IF($A$24&gt;$C$23,DCF_Base!$L$19*(1+$C$23/100)/(($A$24-$C$23)/100),DCF_Base!$L$19*DCF_Base!$B$29),DCF_Base!$L$19*DCF_Base!$B$29))/(1+$A$24/100)^DCF_Base!$L$4+Assumptions!$B$5-Assumptions!$B$4)/Assumptions!$B$3*Assumptions!$B$10</f>
        <v>2.23625481453195</v>
      </c>
      <c r="D24" s="0" t="n">
        <f aca="false">(SUMPRODUCT(DCF_Base!$C$19:$L$19/(1+$A$24/100)^DCF_Base!$C$4:$L$4)+MAX(0,MIN(IF($A$24&gt;$D$23,DCF_Base!$L$19*(1+$D$23/100)/(($A$24-$D$23)/100),DCF_Base!$L$19*DCF_Base!$B$29),DCF_Base!$L$19*DCF_Base!$B$29))/(1+$A$24/100)^DCF_Base!$L$4+Assumptions!$B$5-Assumptions!$B$4)/Assumptions!$B$3*Assumptions!$B$10</f>
        <v>2.23625481453195</v>
      </c>
      <c r="E24" s="0" t="n">
        <f aca="false">(SUMPRODUCT(DCF_Base!$C$19:$L$19/(1+$A$24/100)^DCF_Base!$C$4:$L$4)+MAX(0,MIN(IF($A$24&gt;$E$23,DCF_Base!$L$19*(1+$E$23/100)/(($A$24-$E$23)/100),DCF_Base!$L$19*DCF_Base!$B$29),DCF_Base!$L$19*DCF_Base!$B$29))/(1+$A$24/100)^DCF_Base!$L$4+Assumptions!$B$5-Assumptions!$B$4)/Assumptions!$B$3*Assumptions!$B$10</f>
        <v>2.23625481453195</v>
      </c>
      <c r="F24" s="0" t="n">
        <f aca="false">(SUMPRODUCT(DCF_Base!$C$19:$L$19/(1+$A$24/100)^DCF_Base!$C$4:$L$4)+MAX(0,MIN(IF($A$24&gt;$F$23,DCF_Base!$L$19*(1+$F$23/100)/(($A$24-$F$23)/100),DCF_Base!$L$19*DCF_Base!$B$29),DCF_Base!$L$19*DCF_Base!$B$29))/(1+$A$24/100)^DCF_Base!$L$4+Assumptions!$B$5-Assumptions!$B$4)/Assumptions!$B$3*Assumptions!$B$10</f>
        <v>2.23625481453195</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2.0132131699384</v>
      </c>
      <c r="C25" s="0" t="n">
        <f aca="false">(SUMPRODUCT(DCF_Base!$C$19:$L$19/(1+$A$25/100)^DCF_Base!$C$4:$L$4)+MAX(0,MIN(IF($A$25&gt;$C$23,DCF_Base!$L$19*(1+$C$23/100)/(($A$25-$C$23)/100),DCF_Base!$L$19*DCF_Base!$B$29),DCF_Base!$L$19*DCF_Base!$B$29))/(1+$A$25/100)^DCF_Base!$L$4+Assumptions!$B$5-Assumptions!$B$4)/Assumptions!$B$3*Assumptions!$B$10</f>
        <v>2.0132131699384</v>
      </c>
      <c r="D25" s="0" t="n">
        <f aca="false">(SUMPRODUCT(DCF_Base!$C$19:$L$19/(1+$A$25/100)^DCF_Base!$C$4:$L$4)+MAX(0,MIN(IF($A$25&gt;$D$23,DCF_Base!$L$19*(1+$D$23/100)/(($A$25-$D$23)/100),DCF_Base!$L$19*DCF_Base!$B$29),DCF_Base!$L$19*DCF_Base!$B$29))/(1+$A$25/100)^DCF_Base!$L$4+Assumptions!$B$5-Assumptions!$B$4)/Assumptions!$B$3*Assumptions!$B$10</f>
        <v>2.0132131699384</v>
      </c>
      <c r="E25" s="0" t="n">
        <f aca="false">(SUMPRODUCT(DCF_Base!$C$19:$L$19/(1+$A$25/100)^DCF_Base!$C$4:$L$4)+MAX(0,MIN(IF($A$25&gt;$E$23,DCF_Base!$L$19*(1+$E$23/100)/(($A$25-$E$23)/100),DCF_Base!$L$19*DCF_Base!$B$29),DCF_Base!$L$19*DCF_Base!$B$29))/(1+$A$25/100)^DCF_Base!$L$4+Assumptions!$B$5-Assumptions!$B$4)/Assumptions!$B$3*Assumptions!$B$10</f>
        <v>2.0132131699384</v>
      </c>
      <c r="F25" s="0" t="n">
        <f aca="false">(SUMPRODUCT(DCF_Base!$C$19:$L$19/(1+$A$25/100)^DCF_Base!$C$4:$L$4)+MAX(0,MIN(IF($A$25&gt;$F$23,DCF_Base!$L$19*(1+$F$23/100)/(($A$25-$F$23)/100),DCF_Base!$L$19*DCF_Base!$B$29),DCF_Base!$L$19*DCF_Base!$B$29))/(1+$A$25/100)^DCF_Base!$L$4+Assumptions!$B$5-Assumptions!$B$4)/Assumptions!$B$3*Assumptions!$B$10</f>
        <v>2.0132131699384</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1.81023223661059</v>
      </c>
      <c r="C26" s="0" t="n">
        <f aca="false">(SUMPRODUCT(DCF_Base!$C$19:$L$19/(1+$A$26/100)^DCF_Base!$C$4:$L$4)+MAX(0,MIN(IF($A$26&gt;$C$23,DCF_Base!$L$19*(1+$C$23/100)/(($A$26-$C$23)/100),DCF_Base!$L$19*DCF_Base!$B$29),DCF_Base!$L$19*DCF_Base!$B$29))/(1+$A$26/100)^DCF_Base!$L$4+Assumptions!$B$5-Assumptions!$B$4)/Assumptions!$B$3*Assumptions!$B$10</f>
        <v>1.81023223661059</v>
      </c>
      <c r="D26" s="0" t="n">
        <f aca="false">(SUMPRODUCT(DCF_Base!$C$19:$L$19/(1+$A$26/100)^DCF_Base!$C$4:$L$4)+MAX(0,MIN(IF($A$26&gt;$D$23,DCF_Base!$L$19*(1+$D$23/100)/(($A$26-$D$23)/100),DCF_Base!$L$19*DCF_Base!$B$29),DCF_Base!$L$19*DCF_Base!$B$29))/(1+$A$26/100)^DCF_Base!$L$4+Assumptions!$B$5-Assumptions!$B$4)/Assumptions!$B$3*Assumptions!$B$10</f>
        <v>1.81023223661059</v>
      </c>
      <c r="E26" s="0" t="n">
        <f aca="false">(SUMPRODUCT(DCF_Base!$C$19:$L$19/(1+$A$26/100)^DCF_Base!$C$4:$L$4)+MAX(0,MIN(IF($A$26&gt;$E$23,DCF_Base!$L$19*(1+$E$23/100)/(($A$26-$E$23)/100),DCF_Base!$L$19*DCF_Base!$B$29),DCF_Base!$L$19*DCF_Base!$B$29))/(1+$A$26/100)^DCF_Base!$L$4+Assumptions!$B$5-Assumptions!$B$4)/Assumptions!$B$3*Assumptions!$B$10</f>
        <v>1.81023223661059</v>
      </c>
      <c r="F26" s="0" t="n">
        <f aca="false">(SUMPRODUCT(DCF_Base!$C$19:$L$19/(1+$A$26/100)^DCF_Base!$C$4:$L$4)+MAX(0,MIN(IF($A$26&gt;$F$23,DCF_Base!$L$19*(1+$F$23/100)/(($A$26-$F$23)/100),DCF_Base!$L$19*DCF_Base!$B$29),DCF_Base!$L$19*DCF_Base!$B$29))/(1+$A$26/100)^DCF_Base!$L$4+Assumptions!$B$5-Assumptions!$B$4)/Assumptions!$B$3*Assumptions!$B$10</f>
        <v>1.81023223661059</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1.49441188587888</v>
      </c>
      <c r="C27" s="0" t="n">
        <f aca="false">(SUMPRODUCT(DCF_Base!$C$19:$L$19/(1+$A$27/100)^DCF_Base!$C$4:$L$4)+MAX(0,MIN(IF($A$27&gt;$C$23,DCF_Base!$L$19*(1+$C$23/100)/(($A$27-$C$23)/100),DCF_Base!$L$19*DCF_Base!$B$29),DCF_Base!$L$19*DCF_Base!$B$29))/(1+$A$27/100)^DCF_Base!$L$4+Assumptions!$B$5-Assumptions!$B$4)/Assumptions!$B$3*Assumptions!$B$10</f>
        <v>1.58704333698375</v>
      </c>
      <c r="D27" s="0" t="n">
        <f aca="false">(SUMPRODUCT(DCF_Base!$C$19:$L$19/(1+$A$27/100)^DCF_Base!$C$4:$L$4)+MAX(0,MIN(IF($A$27&gt;$D$23,DCF_Base!$L$19*(1+$D$23/100)/(($A$27-$D$23)/100),DCF_Base!$L$19*DCF_Base!$B$29),DCF_Base!$L$19*DCF_Base!$B$29))/(1+$A$27/100)^DCF_Base!$L$4+Assumptions!$B$5-Assumptions!$B$4)/Assumptions!$B$3*Assumptions!$B$10</f>
        <v>1.62528567918301</v>
      </c>
      <c r="E27" s="0" t="n">
        <f aca="false">(SUMPRODUCT(DCF_Base!$C$19:$L$19/(1+$A$27/100)^DCF_Base!$C$4:$L$4)+MAX(0,MIN(IF($A$27&gt;$E$23,DCF_Base!$L$19*(1+$E$23/100)/(($A$27-$E$23)/100),DCF_Base!$L$19*DCF_Base!$B$29),DCF_Base!$L$19*DCF_Base!$B$29))/(1+$A$27/100)^DCF_Base!$L$4+Assumptions!$B$5-Assumptions!$B$4)/Assumptions!$B$3*Assumptions!$B$10</f>
        <v>1.62528567918301</v>
      </c>
      <c r="F27" s="0" t="n">
        <f aca="false">(SUMPRODUCT(DCF_Base!$C$19:$L$19/(1+$A$27/100)^DCF_Base!$C$4:$L$4)+MAX(0,MIN(IF($A$27&gt;$F$23,DCF_Base!$L$19*(1+$F$23/100)/(($A$27-$F$23)/100),DCF_Base!$L$19*DCF_Base!$B$29),DCF_Base!$L$19*DCF_Base!$B$29))/(1+$A$27/100)^DCF_Base!$L$4+Assumptions!$B$5-Assumptions!$B$4)/Assumptions!$B$3*Assumptions!$B$10</f>
        <v>1.62528567918301</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1.2074476869186</v>
      </c>
      <c r="C28" s="0" t="n">
        <f aca="false">(SUMPRODUCT(DCF_Base!$C$19:$L$19/(1+$A$28/100)^DCF_Base!$C$4:$L$4)+MAX(0,MIN(IF($A$28&gt;$C$23,DCF_Base!$L$19*(1+$C$23/100)/(($A$28-$C$23)/100),DCF_Base!$L$19*DCF_Base!$B$29),DCF_Base!$L$19*DCF_Base!$B$29))/(1+$A$28/100)^DCF_Base!$L$4+Assumptions!$B$5-Assumptions!$B$4)/Assumptions!$B$3*Assumptions!$B$10</f>
        <v>1.27332155613369</v>
      </c>
      <c r="D28" s="0" t="n">
        <f aca="false">(SUMPRODUCT(DCF_Base!$C$19:$L$19/(1+$A$28/100)^DCF_Base!$C$4:$L$4)+MAX(0,MIN(IF($A$28&gt;$D$23,DCF_Base!$L$19*(1+$D$23/100)/(($A$28-$D$23)/100),DCF_Base!$L$19*DCF_Base!$B$29),DCF_Base!$L$19*DCF_Base!$B$29))/(1+$A$28/100)^DCF_Base!$L$4+Assumptions!$B$5-Assumptions!$B$4)/Assumptions!$B$3*Assumptions!$B$10</f>
        <v>1.3479786079108</v>
      </c>
      <c r="E28" s="0" t="n">
        <f aca="false">(SUMPRODUCT(DCF_Base!$C$19:$L$19/(1+$A$28/100)^DCF_Base!$C$4:$L$4)+MAX(0,MIN(IF($A$28&gt;$E$23,DCF_Base!$L$19*(1+$E$23/100)/(($A$28-$E$23)/100),DCF_Base!$L$19*DCF_Base!$B$29),DCF_Base!$L$19*DCF_Base!$B$29))/(1+$A$28/100)^DCF_Base!$L$4+Assumptions!$B$5-Assumptions!$B$4)/Assumptions!$B$3*Assumptions!$B$10</f>
        <v>1.43330095279892</v>
      </c>
      <c r="F28" s="0" t="n">
        <f aca="false">(SUMPRODUCT(DCF_Base!$C$19:$L$19/(1+$A$28/100)^DCF_Base!$C$4:$L$4)+MAX(0,MIN(IF($A$28&gt;$F$23,DCF_Base!$L$19*(1+$F$23/100)/(($A$28-$F$23)/100),DCF_Base!$L$19*DCF_Base!$B$29),DCF_Base!$L$19*DCF_Base!$B$29))/(1+$A$28/100)^DCF_Base!$L$4+Assumptions!$B$5-Assumptions!$B$4)/Assumptions!$B$3*Assumptions!$B$10</f>
        <v>1.45657068322296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2026-10-16T23:58:58Z</dcterms:created>
  <dc:creator>openpyxl</dc:creator>
  <dc:description/>
  <dc:language>en-NZ</dc:language>
  <cp:lastModifiedBy/>
  <dcterms:modified xsi:type="dcterms:W3CDTF">2026-10-16T23:58:58Z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