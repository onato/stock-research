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Bull" sheetId="3" state="visible" r:id="rId3"/>
    <sheet xmlns:r="http://schemas.openxmlformats.org/officeDocument/2006/relationships" name="Bear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0" fontId="0" fillId="2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Bank of Queensland (BOQ.AX) -- residual income on tangible book, A$m</t>
        </is>
      </c>
    </row>
    <row r="2">
      <c r="A2" t="inlineStr">
        <is>
          <t>Current price (A$)</t>
        </is>
      </c>
      <c r="B2" s="2" t="n">
        <v>6.7</v>
      </c>
    </row>
    <row r="3">
      <c r="A3" t="inlineStr">
        <is>
          <t>Total equity 31-Aug-25</t>
        </is>
      </c>
      <c r="B3" s="2" t="n">
        <v>5907</v>
      </c>
    </row>
    <row r="4">
      <c r="A4" t="inlineStr">
        <is>
          <t>Intangible assets 31-Aug-25</t>
        </is>
      </c>
      <c r="B4" s="2" t="n">
        <v>1043</v>
      </c>
    </row>
    <row r="5">
      <c r="A5" t="inlineStr">
        <is>
          <t>TBV 31-Aug-25</t>
        </is>
      </c>
      <c r="B5">
        <f>B3-B4</f>
        <v/>
      </c>
    </row>
    <row r="6">
      <c r="A6" t="inlineStr">
        <is>
          <t>Shares net of treasury 31-Aug-25 (m)</t>
        </is>
      </c>
      <c r="B6" s="2" t="n">
        <v>658.119</v>
      </c>
    </row>
    <row r="7">
      <c r="A7" t="inlineStr">
        <is>
          <t>FY26E statutory NPAT</t>
        </is>
      </c>
      <c r="B7" s="2" t="n">
        <v>285</v>
      </c>
    </row>
    <row r="8">
      <c r="A8" t="inlineStr">
        <is>
          <t>Dividends paid FY26 (20c+20c+15c special)</t>
        </is>
      </c>
      <c r="B8">
        <f>0.55*B6</f>
        <v/>
      </c>
    </row>
    <row r="9">
      <c r="A9" t="inlineStr">
        <is>
          <t>TBV 31-Aug-26E pre buyback</t>
        </is>
      </c>
      <c r="B9">
        <f>B5+B7-B8</f>
        <v/>
      </c>
    </row>
    <row r="10">
      <c r="A10" t="inlineStr">
        <is>
          <t>Assumed buyback A$m</t>
        </is>
      </c>
      <c r="B10" s="2" t="n">
        <v>200</v>
      </c>
    </row>
    <row r="11">
      <c r="A11" t="inlineStr">
        <is>
          <t>Buyback price</t>
        </is>
      </c>
      <c r="B11" s="2" t="n">
        <v>6.7</v>
      </c>
    </row>
    <row r="12">
      <c r="A12" t="inlineStr">
        <is>
          <t>Shares bought (m)</t>
        </is>
      </c>
      <c r="B12">
        <f>B10/B11</f>
        <v/>
      </c>
    </row>
    <row r="13">
      <c r="A13" t="inlineStr">
        <is>
          <t>TBV0 (post buyback)</t>
        </is>
      </c>
      <c r="B13">
        <f>B9-B10</f>
        <v/>
      </c>
    </row>
    <row r="14">
      <c r="A14" t="inlineStr">
        <is>
          <t>Shares0 (m)</t>
        </is>
      </c>
      <c r="B14">
        <f>B6-B12</f>
        <v/>
      </c>
    </row>
    <row r="15">
      <c r="A15" t="inlineStr">
        <is>
          <t>TBVPS0</t>
        </is>
      </c>
      <c r="B15">
        <f>B13/B14</f>
        <v/>
      </c>
    </row>
    <row r="16">
      <c r="A16" t="inlineStr">
        <is>
          <t>Hurdle rate</t>
        </is>
      </c>
      <c r="B16" s="2" t="n">
        <v>0.15</v>
      </c>
    </row>
    <row r="17">
      <c r="A17" t="inlineStr">
        <is>
          <t>Weight bear</t>
        </is>
      </c>
      <c r="B17" s="2" t="n">
        <v>0.3</v>
      </c>
    </row>
    <row r="18">
      <c r="A18" t="inlineStr">
        <is>
          <t>Weight base</t>
        </is>
      </c>
      <c r="B18" s="2" t="n">
        <v>0.5</v>
      </c>
    </row>
    <row r="19">
      <c r="A19" t="inlineStr">
        <is>
          <t>Weight bull</t>
        </is>
      </c>
      <c r="B19" s="2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Base scenario</t>
        </is>
      </c>
    </row>
    <row r="2">
      <c r="A2" t="inlineStr">
        <is>
          <t>Cost of equity</t>
        </is>
      </c>
      <c r="B2" s="3" t="n">
        <v>0.105</v>
      </c>
    </row>
    <row r="3">
      <c r="A3" t="inlineStr">
        <is>
          <t>Terminal growth of RI</t>
        </is>
      </c>
      <c r="B3" s="3" t="n">
        <v>0.02</v>
      </c>
    </row>
    <row r="4">
      <c r="A4" t="inlineStr">
        <is>
          <t>Payout ratio</t>
        </is>
      </c>
      <c r="B4" s="3" t="n">
        <v>0.72</v>
      </c>
    </row>
    <row r="5">
      <c r="A5" t="inlineStr">
        <is>
          <t>Shares (m)</t>
        </is>
      </c>
      <c r="B5">
        <f>Inputs!B14</f>
        <v/>
      </c>
    </row>
    <row r="7">
      <c r="A7" s="1" t="inlineStr">
        <is>
          <t>Year</t>
        </is>
      </c>
      <c r="B7" s="1" t="inlineStr">
        <is>
          <t>Y1 FY27 (Sep26-Aug27)</t>
        </is>
      </c>
      <c r="C7" s="1" t="inlineStr">
        <is>
          <t>Y2 FY28</t>
        </is>
      </c>
      <c r="D7" s="1" t="inlineStr">
        <is>
          <t>Y3 FY29</t>
        </is>
      </c>
      <c r="E7" s="1" t="inlineStr">
        <is>
          <t>Y4 FY30</t>
        </is>
      </c>
      <c r="F7" s="1" t="inlineStr">
        <is>
          <t>Y5 FY31</t>
        </is>
      </c>
    </row>
    <row r="8">
      <c r="A8" t="inlineStr">
        <is>
          <t>TBV opening</t>
        </is>
      </c>
      <c r="B8">
        <f>Inputs!B13</f>
        <v/>
      </c>
      <c r="C8">
        <f>B15</f>
        <v/>
      </c>
      <c r="D8">
        <f>C15</f>
        <v/>
      </c>
      <c r="E8">
        <f>D15</f>
        <v/>
      </c>
      <c r="F8">
        <f>E15</f>
        <v/>
      </c>
    </row>
    <row r="9">
      <c r="A9" t="inlineStr">
        <is>
          <t>ROTE</t>
        </is>
      </c>
      <c r="B9" s="3" t="n">
        <v>0.079</v>
      </c>
      <c r="C9" s="3" t="n">
        <v>0.08400000000000001</v>
      </c>
      <c r="D9" s="3" t="n">
        <v>0.08900000000000001</v>
      </c>
      <c r="E9" s="3" t="n">
        <v>0.09300000000000001</v>
      </c>
      <c r="F9" s="3" t="n">
        <v>0.095</v>
      </c>
    </row>
    <row r="10">
      <c r="A10" t="inlineStr">
        <is>
          <t>Cash earnings</t>
        </is>
      </c>
      <c r="B10">
        <f>B9*B8</f>
        <v/>
      </c>
      <c r="C10">
        <f>C9*C8</f>
        <v/>
      </c>
      <c r="D10">
        <f>D9*D8</f>
        <v/>
      </c>
      <c r="E10">
        <f>E9*E8</f>
        <v/>
      </c>
      <c r="F10">
        <f>F9*F8</f>
        <v/>
      </c>
    </row>
    <row r="11">
      <c r="A11" t="inlineStr">
        <is>
          <t>One-offs after tax</t>
        </is>
      </c>
      <c r="B11" s="2" t="n">
        <v>60</v>
      </c>
      <c r="C11" s="2" t="n">
        <v>40</v>
      </c>
      <c r="D11" s="2" t="n">
        <v>25</v>
      </c>
      <c r="E11" s="2" t="n">
        <v>15</v>
      </c>
      <c r="F11" s="2" t="n">
        <v>15</v>
      </c>
    </row>
    <row r="12">
      <c r="A12" t="inlineStr">
        <is>
          <t>Net income</t>
        </is>
      </c>
      <c r="B12">
        <f>B10-B11</f>
        <v/>
      </c>
      <c r="C12">
        <f>C10-C11</f>
        <v/>
      </c>
      <c r="D12">
        <f>D10-D11</f>
        <v/>
      </c>
      <c r="E12">
        <f>E10-E11</f>
        <v/>
      </c>
      <c r="F12">
        <f>F10-F11</f>
        <v/>
      </c>
    </row>
    <row r="13">
      <c r="A13" t="inlineStr">
        <is>
          <t>Dividends</t>
        </is>
      </c>
      <c r="B13">
        <f>$B$4*B10</f>
        <v/>
      </c>
      <c r="C13">
        <f>$B$4*C10</f>
        <v/>
      </c>
      <c r="D13">
        <f>$B$4*D10</f>
        <v/>
      </c>
      <c r="E13">
        <f>$B$4*E10</f>
        <v/>
      </c>
      <c r="F13">
        <f>$B$4*F10</f>
        <v/>
      </c>
    </row>
    <row r="14">
      <c r="A14" t="inlineStr">
        <is>
          <t>Retained</t>
        </is>
      </c>
      <c r="B14">
        <f>B12-B13</f>
        <v/>
      </c>
      <c r="C14">
        <f>C12-C13</f>
        <v/>
      </c>
      <c r="D14">
        <f>D12-D13</f>
        <v/>
      </c>
      <c r="E14">
        <f>E12-E13</f>
        <v/>
      </c>
      <c r="F14">
        <f>F12-F13</f>
        <v/>
      </c>
    </row>
    <row r="15">
      <c r="A15" t="inlineStr">
        <is>
          <t>TBV closing</t>
        </is>
      </c>
      <c r="B15">
        <f>B8+B14</f>
        <v/>
      </c>
      <c r="C15">
        <f>C8+C14</f>
        <v/>
      </c>
      <c r="D15">
        <f>D8+D14</f>
        <v/>
      </c>
      <c r="E15">
        <f>E8+E14</f>
        <v/>
      </c>
      <c r="F15">
        <f>F8+F14</f>
        <v/>
      </c>
    </row>
    <row r="16">
      <c r="A16" t="inlineStr">
        <is>
          <t>Equity charge</t>
        </is>
      </c>
      <c r="B16">
        <f>$B$2*B8</f>
        <v/>
      </c>
      <c r="C16">
        <f>$B$2*C8</f>
        <v/>
      </c>
      <c r="D16">
        <f>$B$2*D8</f>
        <v/>
      </c>
      <c r="E16">
        <f>$B$2*E8</f>
        <v/>
      </c>
      <c r="F16">
        <f>$B$2*F8</f>
        <v/>
      </c>
    </row>
    <row r="17">
      <c r="A17" t="inlineStr">
        <is>
          <t>Residual income</t>
        </is>
      </c>
      <c r="B17">
        <f>B12-B16</f>
        <v/>
      </c>
      <c r="C17">
        <f>C12-C16</f>
        <v/>
      </c>
      <c r="D17">
        <f>D12-D16</f>
        <v/>
      </c>
      <c r="E17">
        <f>E12-E16</f>
        <v/>
      </c>
      <c r="F17">
        <f>F12-F16</f>
        <v/>
      </c>
    </row>
    <row r="18">
      <c r="A18" t="inlineStr">
        <is>
          <t>Discount factor</t>
        </is>
      </c>
      <c r="B18" s="4">
        <f>1/(1+$B$2)^1</f>
        <v/>
      </c>
      <c r="C18" s="4">
        <f>1/(1+$B$2)^2</f>
        <v/>
      </c>
      <c r="D18" s="4">
        <f>1/(1+$B$2)^3</f>
        <v/>
      </c>
      <c r="E18" s="4">
        <f>1/(1+$B$2)^4</f>
        <v/>
      </c>
      <c r="F18" s="4">
        <f>1/(1+$B$2)^5</f>
        <v/>
      </c>
    </row>
    <row r="19">
      <c r="A19" t="inlineStr">
        <is>
          <t>PV residual income</t>
        </is>
      </c>
      <c r="B19">
        <f>B17*B18</f>
        <v/>
      </c>
      <c r="C19">
        <f>C17*C18</f>
        <v/>
      </c>
      <c r="D19">
        <f>D17*D18</f>
        <v/>
      </c>
      <c r="E19">
        <f>E17*E18</f>
        <v/>
      </c>
      <c r="F19">
        <f>F17*F18</f>
        <v/>
      </c>
    </row>
    <row r="20">
      <c r="A20" t="inlineStr">
        <is>
          <t>EPS</t>
        </is>
      </c>
      <c r="B20">
        <f>B12/$B$5</f>
        <v/>
      </c>
      <c r="C20">
        <f>C12/$B$5</f>
        <v/>
      </c>
      <c r="D20">
        <f>D12/$B$5</f>
        <v/>
      </c>
      <c r="E20">
        <f>E12/$B$5</f>
        <v/>
      </c>
      <c r="F20">
        <f>F12/$B$5</f>
        <v/>
      </c>
    </row>
    <row r="21">
      <c r="A21" t="inlineStr">
        <is>
          <t>DPS</t>
        </is>
      </c>
      <c r="B21">
        <f>B13/$B$5</f>
        <v/>
      </c>
      <c r="C21">
        <f>C13/$B$5</f>
        <v/>
      </c>
      <c r="D21">
        <f>D13/$B$5</f>
        <v/>
      </c>
      <c r="E21">
        <f>E13/$B$5</f>
        <v/>
      </c>
      <c r="F21">
        <f>F13/$B$5</f>
        <v/>
      </c>
    </row>
    <row r="22">
      <c r="A22" t="inlineStr">
        <is>
          <t>TBV/share</t>
        </is>
      </c>
      <c r="B22">
        <f>B15/$B$5</f>
        <v/>
      </c>
      <c r="C22">
        <f>C15/$B$5</f>
        <v/>
      </c>
      <c r="D22">
        <f>D15/$B$5</f>
        <v/>
      </c>
      <c r="E22">
        <f>E15/$B$5</f>
        <v/>
      </c>
      <c r="F22">
        <f>F15/$B$5</f>
        <v/>
      </c>
    </row>
    <row r="24">
      <c r="A24" t="inlineStr">
        <is>
          <t>Sum PV residual income</t>
        </is>
      </c>
      <c r="B24">
        <f>SUM(B19:F19)</f>
        <v/>
      </c>
    </row>
    <row r="25">
      <c r="A25" t="inlineStr">
        <is>
          <t>Terminal value (Gordon on Y5 RI)</t>
        </is>
      </c>
      <c r="B25">
        <f>F17*(1+B3)/(B2-B3)</f>
        <v/>
      </c>
    </row>
    <row r="26">
      <c r="A26" t="inlineStr">
        <is>
          <t>PV terminal</t>
        </is>
      </c>
      <c r="B26">
        <f>B25*F18</f>
        <v/>
      </c>
    </row>
    <row r="27">
      <c r="A27" t="inlineStr">
        <is>
          <t>Equity value</t>
        </is>
      </c>
      <c r="B27">
        <f>B8+B24+B26</f>
        <v/>
      </c>
    </row>
    <row r="28">
      <c r="A28" t="inlineStr">
        <is>
          <t>Intrinsic value / share</t>
        </is>
      </c>
      <c r="B28" s="1">
        <f>B27/B5</f>
        <v/>
      </c>
    </row>
    <row r="29">
      <c r="A29" t="inlineStr">
        <is>
          <t>Upside vs price</t>
        </is>
      </c>
      <c r="B29" s="4">
        <f>B28/Inputs!B2-1</f>
        <v/>
      </c>
    </row>
    <row r="30">
      <c r="A30" t="inlineStr">
        <is>
          <t>Terminal equity value Y5</t>
        </is>
      </c>
      <c r="B30">
        <f>F15+B25</f>
        <v/>
      </c>
    </row>
    <row r="31">
      <c r="A31" t="inlineStr">
        <is>
          <t>Implied exit P/TBV</t>
        </is>
      </c>
      <c r="B31">
        <f>B30/F15</f>
        <v/>
      </c>
    </row>
    <row r="32">
      <c r="A32" t="inlineStr">
        <is>
          <t>Implied P/TBV of IV</t>
        </is>
      </c>
      <c r="B32">
        <f>B28/(B8/B5)</f>
        <v/>
      </c>
    </row>
    <row r="34">
      <c r="A34" s="1" t="inlineStr">
        <is>
          <t>Entry price @ hurdle</t>
        </is>
      </c>
    </row>
    <row r="35">
      <c r="A35" t="inlineStr">
        <is>
          <t>PV dividends @ hurdle</t>
        </is>
      </c>
      <c r="B35">
        <f>B13/(1+Inputs!$B$16)^1+C13/(1+Inputs!$B$16)^2+D13/(1+Inputs!$B$16)^3+E13/(1+Inputs!$B$16)^4+F13/(1+Inputs!$B$16)^5</f>
        <v/>
      </c>
    </row>
    <row r="36">
      <c r="A36" t="inlineStr">
        <is>
          <t>PV terminal equity @ hurdle</t>
        </is>
      </c>
      <c r="B36">
        <f>B30/(1+Inputs!$B$16)^5</f>
        <v/>
      </c>
    </row>
    <row r="37">
      <c r="A37" t="inlineStr">
        <is>
          <t>Entry price / share</t>
        </is>
      </c>
      <c r="B37" s="1">
        <f>(B35+B36)/B5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Bull scenario</t>
        </is>
      </c>
    </row>
    <row r="2">
      <c r="A2" t="inlineStr">
        <is>
          <t>Cost of equity</t>
        </is>
      </c>
      <c r="B2" s="3" t="n">
        <v>0.095</v>
      </c>
    </row>
    <row r="3">
      <c r="A3" t="inlineStr">
        <is>
          <t>Terminal growth of RI</t>
        </is>
      </c>
      <c r="B3" s="3" t="n">
        <v>0.03</v>
      </c>
    </row>
    <row r="4">
      <c r="A4" t="inlineStr">
        <is>
          <t>Payout ratio</t>
        </is>
      </c>
      <c r="B4" s="3" t="n">
        <v>0.65</v>
      </c>
    </row>
    <row r="5">
      <c r="A5" t="inlineStr">
        <is>
          <t>Shares (m)</t>
        </is>
      </c>
      <c r="B5">
        <f>Inputs!B14</f>
        <v/>
      </c>
    </row>
    <row r="7">
      <c r="A7" s="1" t="inlineStr">
        <is>
          <t>Year</t>
        </is>
      </c>
      <c r="B7" s="1" t="inlineStr">
        <is>
          <t>Y1 FY27 (Sep26-Aug27)</t>
        </is>
      </c>
      <c r="C7" s="1" t="inlineStr">
        <is>
          <t>Y2 FY28</t>
        </is>
      </c>
      <c r="D7" s="1" t="inlineStr">
        <is>
          <t>Y3 FY29</t>
        </is>
      </c>
      <c r="E7" s="1" t="inlineStr">
        <is>
          <t>Y4 FY30</t>
        </is>
      </c>
      <c r="F7" s="1" t="inlineStr">
        <is>
          <t>Y5 FY31</t>
        </is>
      </c>
    </row>
    <row r="8">
      <c r="A8" t="inlineStr">
        <is>
          <t>TBV opening</t>
        </is>
      </c>
      <c r="B8">
        <f>Inputs!B13</f>
        <v/>
      </c>
      <c r="C8">
        <f>B15</f>
        <v/>
      </c>
      <c r="D8">
        <f>C15</f>
        <v/>
      </c>
      <c r="E8">
        <f>D15</f>
        <v/>
      </c>
      <c r="F8">
        <f>E15</f>
        <v/>
      </c>
    </row>
    <row r="9">
      <c r="A9" t="inlineStr">
        <is>
          <t>ROTE</t>
        </is>
      </c>
      <c r="B9" s="3" t="n">
        <v>0.08400000000000001</v>
      </c>
      <c r="C9" s="3" t="n">
        <v>0.094</v>
      </c>
      <c r="D9" s="3" t="n">
        <v>0.104</v>
      </c>
      <c r="E9" s="3" t="n">
        <v>0.11</v>
      </c>
      <c r="F9" s="3" t="n">
        <v>0.115</v>
      </c>
    </row>
    <row r="10">
      <c r="A10" t="inlineStr">
        <is>
          <t>Cash earnings</t>
        </is>
      </c>
      <c r="B10">
        <f>B9*B8</f>
        <v/>
      </c>
      <c r="C10">
        <f>C9*C8</f>
        <v/>
      </c>
      <c r="D10">
        <f>D9*D8</f>
        <v/>
      </c>
      <c r="E10">
        <f>E9*E8</f>
        <v/>
      </c>
      <c r="F10">
        <f>F9*F8</f>
        <v/>
      </c>
    </row>
    <row r="11">
      <c r="A11" t="inlineStr">
        <is>
          <t>One-offs after tax</t>
        </is>
      </c>
      <c r="B11" s="2" t="n">
        <v>50</v>
      </c>
      <c r="C11" s="2" t="n">
        <v>25</v>
      </c>
      <c r="D11" s="2" t="n">
        <v>10</v>
      </c>
      <c r="E11" s="2" t="n">
        <v>0</v>
      </c>
      <c r="F11" s="2" t="n">
        <v>0</v>
      </c>
    </row>
    <row r="12">
      <c r="A12" t="inlineStr">
        <is>
          <t>Net income</t>
        </is>
      </c>
      <c r="B12">
        <f>B10-B11</f>
        <v/>
      </c>
      <c r="C12">
        <f>C10-C11</f>
        <v/>
      </c>
      <c r="D12">
        <f>D10-D11</f>
        <v/>
      </c>
      <c r="E12">
        <f>E10-E11</f>
        <v/>
      </c>
      <c r="F12">
        <f>F10-F11</f>
        <v/>
      </c>
    </row>
    <row r="13">
      <c r="A13" t="inlineStr">
        <is>
          <t>Dividends</t>
        </is>
      </c>
      <c r="B13">
        <f>$B$4*B10</f>
        <v/>
      </c>
      <c r="C13">
        <f>$B$4*C10</f>
        <v/>
      </c>
      <c r="D13">
        <f>$B$4*D10</f>
        <v/>
      </c>
      <c r="E13">
        <f>$B$4*E10</f>
        <v/>
      </c>
      <c r="F13">
        <f>$B$4*F10</f>
        <v/>
      </c>
    </row>
    <row r="14">
      <c r="A14" t="inlineStr">
        <is>
          <t>Retained</t>
        </is>
      </c>
      <c r="B14">
        <f>B12-B13</f>
        <v/>
      </c>
      <c r="C14">
        <f>C12-C13</f>
        <v/>
      </c>
      <c r="D14">
        <f>D12-D13</f>
        <v/>
      </c>
      <c r="E14">
        <f>E12-E13</f>
        <v/>
      </c>
      <c r="F14">
        <f>F12-F13</f>
        <v/>
      </c>
    </row>
    <row r="15">
      <c r="A15" t="inlineStr">
        <is>
          <t>TBV closing</t>
        </is>
      </c>
      <c r="B15">
        <f>B8+B14</f>
        <v/>
      </c>
      <c r="C15">
        <f>C8+C14</f>
        <v/>
      </c>
      <c r="D15">
        <f>D8+D14</f>
        <v/>
      </c>
      <c r="E15">
        <f>E8+E14</f>
        <v/>
      </c>
      <c r="F15">
        <f>F8+F14</f>
        <v/>
      </c>
    </row>
    <row r="16">
      <c r="A16" t="inlineStr">
        <is>
          <t>Equity charge</t>
        </is>
      </c>
      <c r="B16">
        <f>$B$2*B8</f>
        <v/>
      </c>
      <c r="C16">
        <f>$B$2*C8</f>
        <v/>
      </c>
      <c r="D16">
        <f>$B$2*D8</f>
        <v/>
      </c>
      <c r="E16">
        <f>$B$2*E8</f>
        <v/>
      </c>
      <c r="F16">
        <f>$B$2*F8</f>
        <v/>
      </c>
    </row>
    <row r="17">
      <c r="A17" t="inlineStr">
        <is>
          <t>Residual income</t>
        </is>
      </c>
      <c r="B17">
        <f>B12-B16</f>
        <v/>
      </c>
      <c r="C17">
        <f>C12-C16</f>
        <v/>
      </c>
      <c r="D17">
        <f>D12-D16</f>
        <v/>
      </c>
      <c r="E17">
        <f>E12-E16</f>
        <v/>
      </c>
      <c r="F17">
        <f>F12-F16</f>
        <v/>
      </c>
    </row>
    <row r="18">
      <c r="A18" t="inlineStr">
        <is>
          <t>Discount factor</t>
        </is>
      </c>
      <c r="B18" s="4">
        <f>1/(1+$B$2)^1</f>
        <v/>
      </c>
      <c r="C18" s="4">
        <f>1/(1+$B$2)^2</f>
        <v/>
      </c>
      <c r="D18" s="4">
        <f>1/(1+$B$2)^3</f>
        <v/>
      </c>
      <c r="E18" s="4">
        <f>1/(1+$B$2)^4</f>
        <v/>
      </c>
      <c r="F18" s="4">
        <f>1/(1+$B$2)^5</f>
        <v/>
      </c>
    </row>
    <row r="19">
      <c r="A19" t="inlineStr">
        <is>
          <t>PV residual income</t>
        </is>
      </c>
      <c r="B19">
        <f>B17*B18</f>
        <v/>
      </c>
      <c r="C19">
        <f>C17*C18</f>
        <v/>
      </c>
      <c r="D19">
        <f>D17*D18</f>
        <v/>
      </c>
      <c r="E19">
        <f>E17*E18</f>
        <v/>
      </c>
      <c r="F19">
        <f>F17*F18</f>
        <v/>
      </c>
    </row>
    <row r="20">
      <c r="A20" t="inlineStr">
        <is>
          <t>EPS</t>
        </is>
      </c>
      <c r="B20">
        <f>B12/$B$5</f>
        <v/>
      </c>
      <c r="C20">
        <f>C12/$B$5</f>
        <v/>
      </c>
      <c r="D20">
        <f>D12/$B$5</f>
        <v/>
      </c>
      <c r="E20">
        <f>E12/$B$5</f>
        <v/>
      </c>
      <c r="F20">
        <f>F12/$B$5</f>
        <v/>
      </c>
    </row>
    <row r="21">
      <c r="A21" t="inlineStr">
        <is>
          <t>DPS</t>
        </is>
      </c>
      <c r="B21">
        <f>B13/$B$5</f>
        <v/>
      </c>
      <c r="C21">
        <f>C13/$B$5</f>
        <v/>
      </c>
      <c r="D21">
        <f>D13/$B$5</f>
        <v/>
      </c>
      <c r="E21">
        <f>E13/$B$5</f>
        <v/>
      </c>
      <c r="F21">
        <f>F13/$B$5</f>
        <v/>
      </c>
    </row>
    <row r="22">
      <c r="A22" t="inlineStr">
        <is>
          <t>TBV/share</t>
        </is>
      </c>
      <c r="B22">
        <f>B15/$B$5</f>
        <v/>
      </c>
      <c r="C22">
        <f>C15/$B$5</f>
        <v/>
      </c>
      <c r="D22">
        <f>D15/$B$5</f>
        <v/>
      </c>
      <c r="E22">
        <f>E15/$B$5</f>
        <v/>
      </c>
      <c r="F22">
        <f>F15/$B$5</f>
        <v/>
      </c>
    </row>
    <row r="24">
      <c r="A24" t="inlineStr">
        <is>
          <t>Sum PV residual income</t>
        </is>
      </c>
      <c r="B24">
        <f>SUM(B19:F19)</f>
        <v/>
      </c>
    </row>
    <row r="25">
      <c r="A25" t="inlineStr">
        <is>
          <t>Terminal value (Gordon on Y5 RI)</t>
        </is>
      </c>
      <c r="B25">
        <f>F17*(1+B3)/(B2-B3)</f>
        <v/>
      </c>
    </row>
    <row r="26">
      <c r="A26" t="inlineStr">
        <is>
          <t>PV terminal</t>
        </is>
      </c>
      <c r="B26">
        <f>B25*F18</f>
        <v/>
      </c>
    </row>
    <row r="27">
      <c r="A27" t="inlineStr">
        <is>
          <t>Equity value</t>
        </is>
      </c>
      <c r="B27">
        <f>B8+B24+B26</f>
        <v/>
      </c>
    </row>
    <row r="28">
      <c r="A28" t="inlineStr">
        <is>
          <t>Intrinsic value / share</t>
        </is>
      </c>
      <c r="B28" s="1">
        <f>B27/B5</f>
        <v/>
      </c>
    </row>
    <row r="29">
      <c r="A29" t="inlineStr">
        <is>
          <t>Upside vs price</t>
        </is>
      </c>
      <c r="B29" s="4">
        <f>B28/Inputs!B2-1</f>
        <v/>
      </c>
    </row>
    <row r="30">
      <c r="A30" t="inlineStr">
        <is>
          <t>Terminal equity value Y5</t>
        </is>
      </c>
      <c r="B30">
        <f>F15+B25</f>
        <v/>
      </c>
    </row>
    <row r="31">
      <c r="A31" t="inlineStr">
        <is>
          <t>Implied exit P/TBV</t>
        </is>
      </c>
      <c r="B31">
        <f>B30/F15</f>
        <v/>
      </c>
    </row>
    <row r="32">
      <c r="A32" t="inlineStr">
        <is>
          <t>Implied P/TBV of IV</t>
        </is>
      </c>
      <c r="B32">
        <f>B28/(B8/B5)</f>
        <v/>
      </c>
    </row>
    <row r="34">
      <c r="A34" s="1" t="inlineStr">
        <is>
          <t>Entry price @ hurdle</t>
        </is>
      </c>
    </row>
    <row r="35">
      <c r="A35" t="inlineStr">
        <is>
          <t>PV dividends @ hurdle</t>
        </is>
      </c>
      <c r="B35">
        <f>B13/(1+Inputs!$B$16)^1+C13/(1+Inputs!$B$16)^2+D13/(1+Inputs!$B$16)^3+E13/(1+Inputs!$B$16)^4+F13/(1+Inputs!$B$16)^5</f>
        <v/>
      </c>
    </row>
    <row r="36">
      <c r="A36" t="inlineStr">
        <is>
          <t>PV terminal equity @ hurdle</t>
        </is>
      </c>
      <c r="B36">
        <f>B30/(1+Inputs!$B$16)^5</f>
        <v/>
      </c>
    </row>
    <row r="37">
      <c r="A37" t="inlineStr">
        <is>
          <t>Entry price / share</t>
        </is>
      </c>
      <c r="B37" s="1">
        <f>(B35+B36)/B5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Bear scenario</t>
        </is>
      </c>
    </row>
    <row r="2">
      <c r="A2" t="inlineStr">
        <is>
          <t>Cost of equity</t>
        </is>
      </c>
      <c r="B2" s="3" t="n">
        <v>0.11</v>
      </c>
    </row>
    <row r="3">
      <c r="A3" t="inlineStr">
        <is>
          <t>Terminal growth of RI</t>
        </is>
      </c>
      <c r="B3" s="3" t="n">
        <v>0.01</v>
      </c>
    </row>
    <row r="4">
      <c r="A4" t="inlineStr">
        <is>
          <t>Payout ratio</t>
        </is>
      </c>
      <c r="B4" s="3" t="n">
        <v>0.8</v>
      </c>
    </row>
    <row r="5">
      <c r="A5" t="inlineStr">
        <is>
          <t>Shares (m)</t>
        </is>
      </c>
      <c r="B5">
        <f>Inputs!B14</f>
        <v/>
      </c>
    </row>
    <row r="7">
      <c r="A7" s="1" t="inlineStr">
        <is>
          <t>Year</t>
        </is>
      </c>
      <c r="B7" s="1" t="inlineStr">
        <is>
          <t>Y1 FY27 (Sep26-Aug27)</t>
        </is>
      </c>
      <c r="C7" s="1" t="inlineStr">
        <is>
          <t>Y2 FY28</t>
        </is>
      </c>
      <c r="D7" s="1" t="inlineStr">
        <is>
          <t>Y3 FY29</t>
        </is>
      </c>
      <c r="E7" s="1" t="inlineStr">
        <is>
          <t>Y4 FY30</t>
        </is>
      </c>
      <c r="F7" s="1" t="inlineStr">
        <is>
          <t>Y5 FY31</t>
        </is>
      </c>
    </row>
    <row r="8">
      <c r="A8" t="inlineStr">
        <is>
          <t>TBV opening</t>
        </is>
      </c>
      <c r="B8">
        <f>Inputs!B13</f>
        <v/>
      </c>
      <c r="C8">
        <f>B15</f>
        <v/>
      </c>
      <c r="D8">
        <f>C15</f>
        <v/>
      </c>
      <c r="E8">
        <f>D15</f>
        <v/>
      </c>
      <c r="F8">
        <f>E15</f>
        <v/>
      </c>
    </row>
    <row r="9">
      <c r="A9" t="inlineStr">
        <is>
          <t>ROTE</t>
        </is>
      </c>
      <c r="B9" s="3" t="n">
        <v>0.07000000000000001</v>
      </c>
      <c r="C9" s="3" t="n">
        <v>0.065</v>
      </c>
      <c r="D9" s="3" t="n">
        <v>0.068</v>
      </c>
      <c r="E9" s="3" t="n">
        <v>0.07200000000000001</v>
      </c>
      <c r="F9" s="3" t="n">
        <v>0.075</v>
      </c>
    </row>
    <row r="10">
      <c r="A10" t="inlineStr">
        <is>
          <t>Cash earnings</t>
        </is>
      </c>
      <c r="B10">
        <f>B9*B8</f>
        <v/>
      </c>
      <c r="C10">
        <f>C9*C8</f>
        <v/>
      </c>
      <c r="D10">
        <f>D9*D8</f>
        <v/>
      </c>
      <c r="E10">
        <f>E9*E8</f>
        <v/>
      </c>
      <c r="F10">
        <f>F9*F8</f>
        <v/>
      </c>
    </row>
    <row r="11">
      <c r="A11" t="inlineStr">
        <is>
          <t>One-offs after tax</t>
        </is>
      </c>
      <c r="B11" s="2" t="n">
        <v>90</v>
      </c>
      <c r="C11" s="2" t="n">
        <v>180</v>
      </c>
      <c r="D11" s="2" t="n">
        <v>60</v>
      </c>
      <c r="E11" s="2" t="n">
        <v>40</v>
      </c>
      <c r="F11" s="2" t="n">
        <v>40</v>
      </c>
    </row>
    <row r="12">
      <c r="A12" t="inlineStr">
        <is>
          <t>Net income</t>
        </is>
      </c>
      <c r="B12">
        <f>B10-B11</f>
        <v/>
      </c>
      <c r="C12">
        <f>C10-C11</f>
        <v/>
      </c>
      <c r="D12">
        <f>D10-D11</f>
        <v/>
      </c>
      <c r="E12">
        <f>E10-E11</f>
        <v/>
      </c>
      <c r="F12">
        <f>F10-F11</f>
        <v/>
      </c>
    </row>
    <row r="13">
      <c r="A13" t="inlineStr">
        <is>
          <t>Dividends</t>
        </is>
      </c>
      <c r="B13">
        <f>$B$4*B10</f>
        <v/>
      </c>
      <c r="C13">
        <f>$B$4*C10</f>
        <v/>
      </c>
      <c r="D13">
        <f>$B$4*D10</f>
        <v/>
      </c>
      <c r="E13">
        <f>$B$4*E10</f>
        <v/>
      </c>
      <c r="F13">
        <f>$B$4*F10</f>
        <v/>
      </c>
    </row>
    <row r="14">
      <c r="A14" t="inlineStr">
        <is>
          <t>Retained</t>
        </is>
      </c>
      <c r="B14">
        <f>B12-B13</f>
        <v/>
      </c>
      <c r="C14">
        <f>C12-C13</f>
        <v/>
      </c>
      <c r="D14">
        <f>D12-D13</f>
        <v/>
      </c>
      <c r="E14">
        <f>E12-E13</f>
        <v/>
      </c>
      <c r="F14">
        <f>F12-F13</f>
        <v/>
      </c>
    </row>
    <row r="15">
      <c r="A15" t="inlineStr">
        <is>
          <t>TBV closing</t>
        </is>
      </c>
      <c r="B15">
        <f>B8+B14</f>
        <v/>
      </c>
      <c r="C15">
        <f>C8+C14</f>
        <v/>
      </c>
      <c r="D15">
        <f>D8+D14</f>
        <v/>
      </c>
      <c r="E15">
        <f>E8+E14</f>
        <v/>
      </c>
      <c r="F15">
        <f>F8+F14</f>
        <v/>
      </c>
    </row>
    <row r="16">
      <c r="A16" t="inlineStr">
        <is>
          <t>Equity charge</t>
        </is>
      </c>
      <c r="B16">
        <f>$B$2*B8</f>
        <v/>
      </c>
      <c r="C16">
        <f>$B$2*C8</f>
        <v/>
      </c>
      <c r="D16">
        <f>$B$2*D8</f>
        <v/>
      </c>
      <c r="E16">
        <f>$B$2*E8</f>
        <v/>
      </c>
      <c r="F16">
        <f>$B$2*F8</f>
        <v/>
      </c>
    </row>
    <row r="17">
      <c r="A17" t="inlineStr">
        <is>
          <t>Residual income</t>
        </is>
      </c>
      <c r="B17">
        <f>B12-B16</f>
        <v/>
      </c>
      <c r="C17">
        <f>C12-C16</f>
        <v/>
      </c>
      <c r="D17">
        <f>D12-D16</f>
        <v/>
      </c>
      <c r="E17">
        <f>E12-E16</f>
        <v/>
      </c>
      <c r="F17">
        <f>F12-F16</f>
        <v/>
      </c>
    </row>
    <row r="18">
      <c r="A18" t="inlineStr">
        <is>
          <t>Discount factor</t>
        </is>
      </c>
      <c r="B18" s="4">
        <f>1/(1+$B$2)^1</f>
        <v/>
      </c>
      <c r="C18" s="4">
        <f>1/(1+$B$2)^2</f>
        <v/>
      </c>
      <c r="D18" s="4">
        <f>1/(1+$B$2)^3</f>
        <v/>
      </c>
      <c r="E18" s="4">
        <f>1/(1+$B$2)^4</f>
        <v/>
      </c>
      <c r="F18" s="4">
        <f>1/(1+$B$2)^5</f>
        <v/>
      </c>
    </row>
    <row r="19">
      <c r="A19" t="inlineStr">
        <is>
          <t>PV residual income</t>
        </is>
      </c>
      <c r="B19">
        <f>B17*B18</f>
        <v/>
      </c>
      <c r="C19">
        <f>C17*C18</f>
        <v/>
      </c>
      <c r="D19">
        <f>D17*D18</f>
        <v/>
      </c>
      <c r="E19">
        <f>E17*E18</f>
        <v/>
      </c>
      <c r="F19">
        <f>F17*F18</f>
        <v/>
      </c>
    </row>
    <row r="20">
      <c r="A20" t="inlineStr">
        <is>
          <t>EPS</t>
        </is>
      </c>
      <c r="B20">
        <f>B12/$B$5</f>
        <v/>
      </c>
      <c r="C20">
        <f>C12/$B$5</f>
        <v/>
      </c>
      <c r="D20">
        <f>D12/$B$5</f>
        <v/>
      </c>
      <c r="E20">
        <f>E12/$B$5</f>
        <v/>
      </c>
      <c r="F20">
        <f>F12/$B$5</f>
        <v/>
      </c>
    </row>
    <row r="21">
      <c r="A21" t="inlineStr">
        <is>
          <t>DPS</t>
        </is>
      </c>
      <c r="B21">
        <f>B13/$B$5</f>
        <v/>
      </c>
      <c r="C21">
        <f>C13/$B$5</f>
        <v/>
      </c>
      <c r="D21">
        <f>D13/$B$5</f>
        <v/>
      </c>
      <c r="E21">
        <f>E13/$B$5</f>
        <v/>
      </c>
      <c r="F21">
        <f>F13/$B$5</f>
        <v/>
      </c>
    </row>
    <row r="22">
      <c r="A22" t="inlineStr">
        <is>
          <t>TBV/share</t>
        </is>
      </c>
      <c r="B22">
        <f>B15/$B$5</f>
        <v/>
      </c>
      <c r="C22">
        <f>C15/$B$5</f>
        <v/>
      </c>
      <c r="D22">
        <f>D15/$B$5</f>
        <v/>
      </c>
      <c r="E22">
        <f>E15/$B$5</f>
        <v/>
      </c>
      <c r="F22">
        <f>F15/$B$5</f>
        <v/>
      </c>
    </row>
    <row r="24">
      <c r="A24" t="inlineStr">
        <is>
          <t>Sum PV residual income</t>
        </is>
      </c>
      <c r="B24">
        <f>SUM(B19:F19)</f>
        <v/>
      </c>
    </row>
    <row r="25">
      <c r="A25" t="inlineStr">
        <is>
          <t>Terminal value (Gordon on Y5 RI)</t>
        </is>
      </c>
      <c r="B25">
        <f>F17*(1+B3)/(B2-B3)</f>
        <v/>
      </c>
    </row>
    <row r="26">
      <c r="A26" t="inlineStr">
        <is>
          <t>PV terminal</t>
        </is>
      </c>
      <c r="B26">
        <f>B25*F18</f>
        <v/>
      </c>
    </row>
    <row r="27">
      <c r="A27" t="inlineStr">
        <is>
          <t>Equity value</t>
        </is>
      </c>
      <c r="B27">
        <f>B8+B24+B26</f>
        <v/>
      </c>
    </row>
    <row r="28">
      <c r="A28" t="inlineStr">
        <is>
          <t>Intrinsic value / share</t>
        </is>
      </c>
      <c r="B28" s="1">
        <f>B27/B5</f>
        <v/>
      </c>
    </row>
    <row r="29">
      <c r="A29" t="inlineStr">
        <is>
          <t>Upside vs price</t>
        </is>
      </c>
      <c r="B29" s="4">
        <f>B28/Inputs!B2-1</f>
        <v/>
      </c>
    </row>
    <row r="30">
      <c r="A30" t="inlineStr">
        <is>
          <t>Terminal equity value Y5</t>
        </is>
      </c>
      <c r="B30">
        <f>F15+B25</f>
        <v/>
      </c>
    </row>
    <row r="31">
      <c r="A31" t="inlineStr">
        <is>
          <t>Implied exit P/TBV</t>
        </is>
      </c>
      <c r="B31">
        <f>B30/F15</f>
        <v/>
      </c>
    </row>
    <row r="32">
      <c r="A32" t="inlineStr">
        <is>
          <t>Implied P/TBV of IV</t>
        </is>
      </c>
      <c r="B32">
        <f>B28/(B8/B5)</f>
        <v/>
      </c>
    </row>
    <row r="34">
      <c r="A34" s="1" t="inlineStr">
        <is>
          <t>Entry price @ hurdle</t>
        </is>
      </c>
    </row>
    <row r="35">
      <c r="A35" t="inlineStr">
        <is>
          <t>PV dividends @ hurdle</t>
        </is>
      </c>
      <c r="B35">
        <f>B13/(1+Inputs!$B$16)^1+C13/(1+Inputs!$B$16)^2+D13/(1+Inputs!$B$16)^3+E13/(1+Inputs!$B$16)^4+F13/(1+Inputs!$B$16)^5</f>
        <v/>
      </c>
    </row>
    <row r="36">
      <c r="A36" t="inlineStr">
        <is>
          <t>PV terminal equity @ hurdle</t>
        </is>
      </c>
      <c r="B36">
        <f>B30/(1+Inputs!$B$16)^5</f>
        <v/>
      </c>
    </row>
    <row r="37">
      <c r="A37" t="inlineStr">
        <is>
          <t>Entry price / share</t>
        </is>
      </c>
      <c r="B37" s="1">
        <f>(B35+B36)/B5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Summary</t>
        </is>
      </c>
    </row>
    <row r="2">
      <c r="A2" t="inlineStr">
        <is>
          <t>Scenario</t>
        </is>
      </c>
      <c r="B2" t="inlineStr">
        <is>
          <t>IV / share</t>
        </is>
      </c>
      <c r="C2" t="inlineStr">
        <is>
          <t>Weight</t>
        </is>
      </c>
      <c r="D2" t="inlineStr">
        <is>
          <t>Entry price</t>
        </is>
      </c>
      <c r="E2" t="inlineStr">
        <is>
          <t>Upside</t>
        </is>
      </c>
    </row>
    <row r="3">
      <c r="A3" t="inlineStr">
        <is>
          <t>Bear</t>
        </is>
      </c>
      <c r="B3">
        <f>Bear!B28</f>
        <v/>
      </c>
      <c r="C3">
        <f>Inputs!B17</f>
        <v/>
      </c>
      <c r="D3">
        <f>Bear!B37</f>
        <v/>
      </c>
      <c r="E3" s="5">
        <f>Bear!B29</f>
        <v/>
      </c>
    </row>
    <row r="4">
      <c r="A4" t="inlineStr">
        <is>
          <t>Base</t>
        </is>
      </c>
      <c r="B4">
        <f>Base!B28</f>
        <v/>
      </c>
      <c r="C4">
        <f>Inputs!B18</f>
        <v/>
      </c>
      <c r="D4">
        <f>Base!B37</f>
        <v/>
      </c>
      <c r="E4" s="5">
        <f>Base!B29</f>
        <v/>
      </c>
    </row>
    <row r="5">
      <c r="A5" t="inlineStr">
        <is>
          <t>Bull</t>
        </is>
      </c>
      <c r="B5">
        <f>Bull!B28</f>
        <v/>
      </c>
      <c r="C5">
        <f>Inputs!B19</f>
        <v/>
      </c>
      <c r="D5">
        <f>Bull!B37</f>
        <v/>
      </c>
      <c r="E5" s="5">
        <f>Bull!B29</f>
        <v/>
      </c>
    </row>
    <row r="6">
      <c r="A6" t="inlineStr">
        <is>
          <t>Weighted IV</t>
        </is>
      </c>
      <c r="B6" s="1">
        <f>SUMPRODUCT(B3:B5,C3:C5)</f>
        <v/>
      </c>
    </row>
    <row r="7">
      <c r="A7" t="inlineStr">
        <is>
          <t>Weighted entry price</t>
        </is>
      </c>
      <c r="D7">
        <f>SUMPRODUCT(D3:D5,C3:C5)</f>
        <v/>
      </c>
    </row>
    <row r="8">
      <c r="A8" t="inlineStr">
        <is>
          <t>Current price</t>
        </is>
      </c>
      <c r="B8">
        <f>Inputs!B2</f>
        <v/>
      </c>
    </row>
    <row r="9">
      <c r="A9" t="inlineStr">
        <is>
          <t>Weighted upside</t>
        </is>
      </c>
      <c r="B9" s="5">
        <f>B6/B8-1</f>
        <v/>
      </c>
    </row>
    <row r="11">
      <c r="A11" t="inlineStr">
        <is>
          <t>Note: 'cost of equity' replaces WACC; deposits are operating funding so net debt = 0 and nothing is subtracted from equity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2026-09-21T12:03:08Z</dcterms:created>
  <dcterms:modified xsi:type="dcterms:W3CDTF">2026-09-21T12:03:08Z</dcterms:modified>
</cp:coreProperties>
</file>