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<sst xmlns="http://schemas.openxmlformats.org/spreadsheetml/2006/main" count="390" uniqueCount="176">
  <si>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</si>
  <si>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CVX</t>
  </si>
  <si>
    <t xml:space="preserve">Company</t>
  </si>
  <si>
    <t xml:space="preserve">Chevron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</si>
  <si>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</si>
  <si>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</si>
  <si>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</si>
  <si>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</si>
  <si>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2026-09-25T20:03:38Z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</si>
  <si>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</si>
  <si>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</si>
  <si>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</si>
  <si>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</si>
  <si>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</si>
  <si>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</si>
  <si>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</si>
  <si>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</si>
  <si>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</si>
  <si>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</si>
  <si>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</si>
  <si>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</si>
  <si>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2026-09-26T01:23:32Z</t>
  </si>
  <si>
    <t xml:space="preserve">Drivers file</t>
  </si>
  <si>
    <t xml:space="preserve">CVX_Drivers.json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</si>
  <si>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</si>
  <si>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</si>
  <si>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</si>
  <si>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Chevron is valued on mid-cycle owner FCF at a $70 Brent deck, not on the spike-inflated H1-2026 run-rate. The current price discounts something close to the bull deck, so on a through-the-cycle view the stock is pricing in the Hormuz shock persisting. The H2-2026 windfall is credited once in the bridge; it does not justify capitalising spike cash flows.
key_risks_to_valuation: Brent deck: each $1/bbl is ~$0.6bn/yr after-tax cash flow, roughly $3-4/share of value over the horizon at 8%; the scenario decks span $60-$80.; Terminal assumptions for a depleting resource base: the 10-12x cap and 1.5% terminal growth assume reserve replacement continues; an energy-transition decline would make terminal growth negative.; Geopolitical concentration: TCO exports via the Russian-transit CPC line, Venezuela OFAC license volatility, the Guyana-Venezuela Essequibo dispute.; Equity-affiliate cash (TCO, CPChem) is only captured as distributed; TCO distribution policy and loan repayments can shift year-to-year cash materially.; The H2-2026 windfall bridge item ($5bn) is an estimate from company sensitivity, not a reported figure.</t>
  </si>
  <si>
    <t xml:space="preserve">Data sources</t>
  </si>
  <si>
    <t xml:space="preserve">price: Yahoo Finance chart API at inputs.price_as_of; 52-week range 146.49-217.78
financials: SEC EDGAR: FY2025 10-K (filed 2026-02-24; Note 22 SBC, debt-ratio table, cash-flow note), Q2-2026 10-Q (filed 2026-08-06; balance sheet, Brent sensitivity, diluted shares), XBRL companyfacts for DD&amp;A, capex, taxes paid, NCI and buybacks; CVX_Metrics.csv for revenue/OCF/FCF history
qualitative: CVX_Analysis.json (2026-09-26): Hess/Guyana, TCO FGP, Permian plateau, Project Kilby, Venezuela, $18-21bn capex and $10-20bn buyback guidance</t>
  </si>
  <si>
    <t xml:space="preserve">Scenario narrative: bear</t>
  </si>
  <si>
    <t xml:space="preserve">The spike reverses: de-escalation plus OPEC+ spare capacity push Brent to a $60 mid-cycle. Chevron's specific geopolitical concentrations bite together: CPC transit through Russia constrains TCO, OFAC pulls the Venezuela license again, and the Essequibo dispute clouds non-operated Guyana. Refining normalises and energy-transition demand erosion caps terminal growth near zero.</t>
  </si>
  <si>
    <t xml:space="preserve">Scenario narrative: base</t>
  </si>
  <si>
    <t xml:space="preserve">Mid-cycle Chevron at a $70 Brent deck: the Hess deal gives it a 30% Stabroek interest that grows through the decade, TCO's FGP/WPMP run at capacity, and the Permian plateau at ~1.7m boe/d throws off cash at lower capex. Production grows 2-3%/yr, margins gain ~1pp from synergies and efficiency, and ~$19-21bn of annual owner FCF funds the dividend plus mid-range buybacks.</t>
  </si>
  <si>
    <t xml:space="preserve">Scenario narrative: bull</t>
  </si>
  <si>
    <t xml:space="preserve">A structurally higher mid-cycle ($80) after the 2026 Hormuz shock exposes a decade of upstream underinvestment, with Chevron's low-breakeven barrels (Permian, Tengiz, Guyana) capturing it. Venezuela's September-2026 terms add barrels without much capital, and the Microsoft/Project Kilby power deal opens a contracted gas-to-power business that supports a higher terminal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</si>
  <si>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</si>
  <si>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</si>
  <si>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</si>
  <si>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</si>
  <si>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</si>
  <si>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</si>
  <si>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</si>
  <si>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</si>
  <si>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</si>
  <si>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</si>
  <si>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</si>
  <si>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</si>
  <si>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</si>
  <si>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</si>
  <si>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</si>
  <si>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</si>
  <si>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</si>
  <si>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</si>
  <si>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</si>
  <si>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</si>
  <si>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</si>
  <si>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</si>
  <si>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</si>
  <si>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</si>
  <si>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</si>
  <si>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</si>
  <si>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</si>
  <si>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</si>
  <si>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</si>
  <si>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</si>
  <si>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</si>
  <si>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</si>
  <si>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</si>
  <si>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</si>
  <si>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</si>
  <si>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</si>
  <si>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</si>
  <si>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</si>
  <si>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</si>
  <si>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</si>
  <si>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</si>
  <si>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</si>
  <si>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</si>
  <si>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</si>
  <si>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</si>
  <si>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</si>
  <si>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</si>
  <si>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</si>
  <si>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</si>
  <si>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</si>
  <si>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</si>
  <si>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</si>
  <si>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</si>
  <si>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</si>
  <si>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</si>
  <si>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</si>
  <si>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mid-cycle normalised (Brent $70 deck, full-year Hess)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</si>
  <si>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</si>
  <si>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</si>
  <si>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</si>
  <si>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</si>
  <si>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</si>
  <si>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</si>
  <si>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</si>
  <si>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</si>
  <si>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</si>
  <si>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</si>
  <si>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</si>
  <si>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</si>
  <si>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</si>
  <si>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</si>
  <si>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</si>
  <si>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</si>
  <si>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</si>
  <si>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</si>
  <si>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</si>
  <si>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</si>
  <si>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</si>
  <si>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</si>
  <si>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</si>
  <si>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</si>
  <si>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</si>
  <si>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</si>
  <si>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</si>
  <si>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</si>
  <si>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CVX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</si>
  <si>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</si>
  <si>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</si>
  <si>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</si>
  <si>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</si>
  <si>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</si>
  <si>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</si>
  <si>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</si>
  <si>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</si>
  <si>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</si>
  <si>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</si>
  <si>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</si>
  <si>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</si>
  <si>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</si>
  <si>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</si>
  <si>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</si>
  <si>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</si>
  <si>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</si>
  <si>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</si>
  <si>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</si>
  <si>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</si>
  <si>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</si>
  <si>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</si>
  <si>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</si>
  <si>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</si>
  <si>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</si>
  <si>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</si>
  <si>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</si>
  <si>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</si>
  <si>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</si>
  <si>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</si>
  <si>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CVX owner-FCF component DCF: base case (millions, USD)</t>
  </si>
  <si>
    <t xml:space="preserve">CVX owner-FCF component DCF: bull case (millions, USD)</t>
  </si>
  <si>
    <t xml:space="preserve">CVX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</si>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</sst>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204.45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10493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220904</v>
      </c>
      <c r="I3" s="0" t="n">
        <v>18795</v>
      </c>
      <c r="J3" s="0" t="n">
        <v>8.50822076558143</v>
      </c>
      <c r="K3" s="0" t="n">
        <v>8.83</v>
      </c>
      <c r="L3" s="0" t="n">
        <v>24977</v>
      </c>
      <c r="M3" s="0" t="n">
        <v>16678</v>
      </c>
      <c r="N3" s="0" t="n">
        <v>8299</v>
      </c>
      <c r="O3" s="0" t="n">
        <v>77292</v>
      </c>
      <c r="S3" s="0" t="n">
        <v>7362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273005</v>
      </c>
      <c r="I4" s="0" t="n">
        <v>24031</v>
      </c>
      <c r="J4" s="0" t="n">
        <v>8.80240288639402</v>
      </c>
      <c r="K4" s="0" t="n">
        <v>11.74</v>
      </c>
      <c r="L4" s="0" t="n">
        <v>29632</v>
      </c>
      <c r="M4" s="0" t="n">
        <v>19666</v>
      </c>
      <c r="N4" s="0" t="n">
        <v>9966</v>
      </c>
      <c r="O4" s="0" t="n">
        <v>87117</v>
      </c>
      <c r="P4" s="0" t="n">
        <v>161165</v>
      </c>
      <c r="Q4" s="0" t="n">
        <v>74048</v>
      </c>
      <c r="R4" s="0" t="n">
        <v>5742</v>
      </c>
      <c r="S4" s="0" t="n">
        <v>9347</v>
      </c>
      <c r="T4" s="0" t="n">
        <v>2050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171636</v>
      </c>
      <c r="I5" s="0" t="n">
        <v>10563</v>
      </c>
      <c r="J5" s="0" t="n">
        <v>6.15430329301545</v>
      </c>
      <c r="K5" s="0" t="n">
        <v>5.26</v>
      </c>
      <c r="L5" s="0" t="n">
        <v>19373</v>
      </c>
      <c r="M5" s="0" t="n">
        <v>19843</v>
      </c>
      <c r="N5" s="0" t="n">
        <v>-470</v>
      </c>
      <c r="O5" s="0" t="n">
        <v>92561</v>
      </c>
      <c r="P5" s="0" t="n">
        <v>164621</v>
      </c>
      <c r="Q5" s="0" t="n">
        <v>72060</v>
      </c>
      <c r="R5" s="0" t="n">
        <v>14403</v>
      </c>
      <c r="S5" s="0" t="n">
        <v>8716</v>
      </c>
      <c r="T5" s="0" t="n">
        <v>2001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204928</v>
      </c>
      <c r="I6" s="0" t="n">
        <v>19136</v>
      </c>
      <c r="J6" s="0" t="n">
        <v>9.33791380387258</v>
      </c>
      <c r="K6" s="0" t="n">
        <v>9.53</v>
      </c>
      <c r="L6" s="0" t="n">
        <v>31354</v>
      </c>
      <c r="M6" s="0" t="n">
        <v>19612</v>
      </c>
      <c r="N6" s="0" t="n">
        <v>11742</v>
      </c>
      <c r="O6" s="0" t="n">
        <v>105811</v>
      </c>
      <c r="P6" s="0" t="n">
        <v>184769</v>
      </c>
      <c r="Q6" s="0" t="n">
        <v>78958</v>
      </c>
      <c r="R6" s="0" t="n">
        <v>16590</v>
      </c>
      <c r="S6" s="0" t="n">
        <v>14060</v>
      </c>
      <c r="T6" s="0" t="n">
        <v>2007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253706</v>
      </c>
      <c r="I7" s="0" t="n">
        <v>27008</v>
      </c>
      <c r="J7" s="0" t="n">
        <v>10.6453926986354</v>
      </c>
      <c r="K7" s="0" t="n">
        <v>13.54</v>
      </c>
      <c r="L7" s="0" t="n">
        <v>41095</v>
      </c>
      <c r="M7" s="0" t="n">
        <v>26500</v>
      </c>
      <c r="N7" s="0" t="n">
        <v>14595</v>
      </c>
      <c r="O7" s="0" t="n">
        <v>122181</v>
      </c>
      <c r="P7" s="0" t="n">
        <v>209474</v>
      </c>
      <c r="Q7" s="0" t="n">
        <v>87293</v>
      </c>
      <c r="R7" s="0" t="n">
        <v>15624</v>
      </c>
      <c r="S7" s="0" t="n">
        <v>15864</v>
      </c>
      <c r="T7" s="0" t="n">
        <v>2001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241909</v>
      </c>
      <c r="I8" s="0" t="n">
        <v>26336</v>
      </c>
      <c r="J8" s="0" t="n">
        <v>10.8867384016304</v>
      </c>
      <c r="K8" s="0" t="n">
        <v>13.42</v>
      </c>
      <c r="L8" s="0" t="n">
        <v>38812</v>
      </c>
      <c r="M8" s="0" t="n">
        <v>30938</v>
      </c>
      <c r="N8" s="0" t="n">
        <v>7874</v>
      </c>
      <c r="O8" s="0" t="n">
        <v>137832</v>
      </c>
      <c r="P8" s="0" t="n">
        <v>232982</v>
      </c>
      <c r="Q8" s="0" t="n">
        <v>95150</v>
      </c>
      <c r="R8" s="0" t="n">
        <v>17993</v>
      </c>
      <c r="S8" s="0" t="n">
        <v>20939</v>
      </c>
      <c r="T8" s="0" t="n">
        <v>1965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228848</v>
      </c>
      <c r="I9" s="0" t="n">
        <v>21597</v>
      </c>
      <c r="J9" s="0" t="n">
        <v>9.43726840522967</v>
      </c>
      <c r="K9" s="0" t="n">
        <v>11.18</v>
      </c>
      <c r="L9" s="0" t="n">
        <v>35002</v>
      </c>
      <c r="M9" s="0" t="n">
        <v>37985</v>
      </c>
      <c r="N9" s="0" t="n">
        <v>-2983</v>
      </c>
      <c r="O9" s="0" t="n">
        <v>150427</v>
      </c>
      <c r="P9" s="0" t="n">
        <v>253753</v>
      </c>
      <c r="Q9" s="0" t="n">
        <v>103326</v>
      </c>
      <c r="R9" s="0" t="n">
        <v>28334</v>
      </c>
      <c r="S9" s="0" t="n">
        <v>16245</v>
      </c>
      <c r="T9" s="0" t="n">
        <v>1932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211970</v>
      </c>
      <c r="I10" s="0" t="n">
        <v>19310</v>
      </c>
      <c r="J10" s="0" t="n">
        <v>9.1097796858046</v>
      </c>
      <c r="K10" s="0" t="n">
        <v>10.21</v>
      </c>
      <c r="L10" s="0" t="n">
        <v>31475</v>
      </c>
      <c r="M10" s="0" t="n">
        <v>35407</v>
      </c>
      <c r="N10" s="0" t="n">
        <v>-3932</v>
      </c>
      <c r="O10" s="0" t="n">
        <v>156191</v>
      </c>
      <c r="P10" s="0" t="n">
        <v>266026</v>
      </c>
      <c r="Q10" s="0" t="n">
        <v>109835</v>
      </c>
      <c r="R10" s="0" t="n">
        <v>35750</v>
      </c>
      <c r="S10" s="0" t="n">
        <v>12785</v>
      </c>
      <c r="T10" s="0" t="n">
        <v>1898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138477</v>
      </c>
      <c r="I11" s="0" t="n">
        <v>4710</v>
      </c>
      <c r="J11" s="0" t="n">
        <v>3.40128685630105</v>
      </c>
      <c r="K11" s="0" t="n">
        <v>2.46</v>
      </c>
      <c r="L11" s="0" t="n">
        <v>19456</v>
      </c>
      <c r="M11" s="0" t="n">
        <v>29504</v>
      </c>
      <c r="N11" s="0" t="n">
        <v>-10048</v>
      </c>
      <c r="O11" s="0" t="n">
        <v>153886</v>
      </c>
      <c r="P11" s="0" t="n">
        <v>264540</v>
      </c>
      <c r="Q11" s="0" t="n">
        <v>110654</v>
      </c>
      <c r="R11" s="0" t="n">
        <v>46469</v>
      </c>
      <c r="S11" s="0" t="n">
        <v>11022</v>
      </c>
      <c r="T11" s="0" t="n">
        <v>1875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114472</v>
      </c>
      <c r="C12" s="0" t="n">
        <v>59321</v>
      </c>
      <c r="I12" s="0" t="n">
        <v>-497</v>
      </c>
      <c r="J12" s="0" t="n">
        <v>-0.434167307289119</v>
      </c>
      <c r="K12" s="0" t="n">
        <v>-0.27</v>
      </c>
      <c r="L12" s="0" t="n">
        <v>12690</v>
      </c>
      <c r="M12" s="0" t="n">
        <v>18109</v>
      </c>
      <c r="N12" s="0" t="n">
        <v>-5419</v>
      </c>
      <c r="O12" s="0" t="n">
        <v>146722</v>
      </c>
      <c r="P12" s="0" t="n">
        <v>260078</v>
      </c>
      <c r="Q12" s="0" t="n">
        <v>113356</v>
      </c>
      <c r="R12" s="0" t="n">
        <v>55033</v>
      </c>
      <c r="S12" s="0" t="n">
        <v>6988</v>
      </c>
      <c r="T12" s="0" t="n">
        <v>1873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141722</v>
      </c>
      <c r="C13" s="0" t="n">
        <v>75765</v>
      </c>
      <c r="I13" s="0" t="n">
        <v>9269</v>
      </c>
      <c r="J13" s="0" t="n">
        <v>6.54026897729357</v>
      </c>
      <c r="K13" s="0" t="n">
        <v>4.88</v>
      </c>
      <c r="L13" s="0" t="n">
        <v>20338</v>
      </c>
      <c r="M13" s="0" t="n">
        <v>13404</v>
      </c>
      <c r="N13" s="0" t="n">
        <v>6934</v>
      </c>
      <c r="O13" s="0" t="n">
        <v>149319</v>
      </c>
      <c r="P13" s="0" t="n">
        <v>253806</v>
      </c>
      <c r="Q13" s="0" t="n">
        <v>104487</v>
      </c>
      <c r="R13" s="0" t="n">
        <v>48669</v>
      </c>
      <c r="S13" s="0" t="n">
        <v>4813</v>
      </c>
      <c r="T13" s="0" t="n">
        <v>1898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166339</v>
      </c>
      <c r="C14" s="0" t="n">
        <v>94578</v>
      </c>
      <c r="I14" s="0" t="n">
        <v>14860</v>
      </c>
      <c r="J14" s="0" t="n">
        <v>8.93356338561612</v>
      </c>
      <c r="K14" s="0" t="n">
        <v>7.81</v>
      </c>
      <c r="L14" s="0" t="n">
        <v>30618</v>
      </c>
      <c r="M14" s="0" t="n">
        <v>13792</v>
      </c>
      <c r="N14" s="0" t="n">
        <v>16826</v>
      </c>
      <c r="O14" s="0" t="n">
        <v>155642</v>
      </c>
      <c r="P14" s="0" t="n">
        <v>253863</v>
      </c>
      <c r="Q14" s="0" t="n">
        <v>98221</v>
      </c>
      <c r="R14" s="0" t="n">
        <v>44359</v>
      </c>
      <c r="S14" s="0" t="n">
        <v>9342</v>
      </c>
      <c r="T14" s="0" t="n">
        <v>1914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146516</v>
      </c>
      <c r="C15" s="0" t="n">
        <v>80113</v>
      </c>
      <c r="I15" s="0" t="n">
        <v>2924</v>
      </c>
      <c r="J15" s="0" t="n">
        <v>1.99568647792733</v>
      </c>
      <c r="K15" s="0" t="n">
        <v>1.55</v>
      </c>
      <c r="L15" s="0" t="n">
        <v>27314</v>
      </c>
      <c r="M15" s="0" t="n">
        <v>14116</v>
      </c>
      <c r="N15" s="0" t="n">
        <v>13198</v>
      </c>
      <c r="O15" s="0" t="n">
        <v>145208</v>
      </c>
      <c r="P15" s="0" t="n">
        <v>237428</v>
      </c>
      <c r="Q15" s="0" t="n">
        <v>92220</v>
      </c>
      <c r="R15" s="0" t="n">
        <v>36723</v>
      </c>
      <c r="T15" s="0" t="n">
        <v>1895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94692</v>
      </c>
      <c r="C16" s="0" t="n">
        <v>52148</v>
      </c>
      <c r="I16" s="0" t="n">
        <v>-5561</v>
      </c>
      <c r="J16" s="0" t="n">
        <v>-5.87272420056605</v>
      </c>
      <c r="K16" s="0" t="n">
        <v>-2.96</v>
      </c>
      <c r="L16" s="0" t="n">
        <v>10577</v>
      </c>
      <c r="M16" s="0" t="n">
        <v>8922</v>
      </c>
      <c r="N16" s="0" t="n">
        <v>1655</v>
      </c>
      <c r="O16" s="0" t="n">
        <v>132726</v>
      </c>
      <c r="P16" s="0" t="n">
        <v>239790</v>
      </c>
      <c r="Q16" s="0" t="n">
        <v>107064</v>
      </c>
      <c r="R16" s="0" t="n">
        <v>54140</v>
      </c>
      <c r="S16" s="0" t="n">
        <v>5596</v>
      </c>
      <c r="T16" s="0" t="n">
        <v>1870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162465</v>
      </c>
      <c r="C17" s="0" t="n">
        <v>92249</v>
      </c>
      <c r="I17" s="0" t="n">
        <v>15689</v>
      </c>
      <c r="J17" s="0" t="n">
        <v>9.656849167513</v>
      </c>
      <c r="K17" s="0" t="n">
        <v>8.15</v>
      </c>
      <c r="L17" s="0" t="n">
        <v>29187</v>
      </c>
      <c r="M17" s="0" t="n">
        <v>8056</v>
      </c>
      <c r="N17" s="0" t="n">
        <v>21131</v>
      </c>
      <c r="O17" s="0" t="n">
        <v>139940</v>
      </c>
      <c r="P17" s="0" t="n">
        <v>239535</v>
      </c>
      <c r="Q17" s="0" t="n">
        <v>99595</v>
      </c>
      <c r="R17" s="0" t="n">
        <v>39128</v>
      </c>
      <c r="S17" s="0" t="n">
        <v>5640</v>
      </c>
      <c r="T17" s="0" t="n">
        <v>1920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246252</v>
      </c>
      <c r="C18" s="0" t="n">
        <v>145416</v>
      </c>
      <c r="I18" s="0" t="n">
        <v>35608</v>
      </c>
      <c r="J18" s="0" t="n">
        <v>14.4599840813476</v>
      </c>
      <c r="K18" s="0" t="n">
        <v>18.36</v>
      </c>
      <c r="L18" s="0" t="n">
        <v>49602</v>
      </c>
      <c r="M18" s="0" t="n">
        <v>11974</v>
      </c>
      <c r="N18" s="0" t="n">
        <v>37628</v>
      </c>
      <c r="O18" s="0" t="n">
        <v>160242</v>
      </c>
      <c r="P18" s="0" t="n">
        <v>257709</v>
      </c>
      <c r="Q18" s="0" t="n">
        <v>97467</v>
      </c>
      <c r="R18" s="0" t="n">
        <v>27389</v>
      </c>
      <c r="S18" s="0" t="n">
        <v>17678</v>
      </c>
      <c r="T18" s="0" t="n">
        <v>1940</v>
      </c>
      <c r="V18" s="0" t="n">
        <v>5.68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200949</v>
      </c>
      <c r="C19" s="0" t="n">
        <v>119196</v>
      </c>
      <c r="I19" s="0" t="n">
        <v>21411</v>
      </c>
      <c r="J19" s="0" t="n">
        <v>10.6549422987922</v>
      </c>
      <c r="K19" s="0" t="n">
        <v>11.41</v>
      </c>
      <c r="L19" s="0" t="n">
        <v>35609</v>
      </c>
      <c r="M19" s="0" t="n">
        <v>15829</v>
      </c>
      <c r="N19" s="0" t="n">
        <v>19780</v>
      </c>
      <c r="O19" s="0" t="n">
        <v>161929</v>
      </c>
      <c r="P19" s="0" t="n">
        <v>261632</v>
      </c>
      <c r="Q19" s="0" t="n">
        <v>99703</v>
      </c>
      <c r="R19" s="0" t="n">
        <v>25379</v>
      </c>
      <c r="S19" s="0" t="n">
        <v>8178</v>
      </c>
      <c r="T19" s="0" t="n">
        <v>1880</v>
      </c>
      <c r="V19" s="0" t="n">
        <v>6.04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202792</v>
      </c>
      <c r="C20" s="0" t="n">
        <v>119206</v>
      </c>
      <c r="I20" s="0" t="n">
        <v>17749</v>
      </c>
      <c r="J20" s="0" t="n">
        <v>8.7523176456665</v>
      </c>
      <c r="K20" s="0" t="n">
        <v>9.76</v>
      </c>
      <c r="L20" s="0" t="n">
        <v>31492</v>
      </c>
      <c r="M20" s="0" t="n">
        <v>16448</v>
      </c>
      <c r="N20" s="0" t="n">
        <v>15044</v>
      </c>
      <c r="O20" s="0" t="n">
        <v>153157</v>
      </c>
      <c r="P20" s="0" t="n">
        <v>256938</v>
      </c>
      <c r="Q20" s="0" t="n">
        <v>103781</v>
      </c>
      <c r="R20" s="0" t="n">
        <v>32791</v>
      </c>
      <c r="T20" s="0" t="n">
        <v>1817</v>
      </c>
      <c r="V20" s="0" t="n">
        <v>6.52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189031</v>
      </c>
      <c r="C21" s="0" t="n">
        <v>108214</v>
      </c>
      <c r="I21" s="0" t="n">
        <v>12485</v>
      </c>
      <c r="J21" s="0" t="n">
        <v>6.60473678920389</v>
      </c>
      <c r="K21" s="0" t="n">
        <v>6.65</v>
      </c>
      <c r="L21" s="0" t="n">
        <v>33939</v>
      </c>
      <c r="M21" s="0" t="n">
        <v>17347</v>
      </c>
      <c r="N21" s="0" t="n">
        <v>16592</v>
      </c>
      <c r="O21" s="0" t="n">
        <v>192176</v>
      </c>
      <c r="P21" s="0" t="n">
        <v>324012</v>
      </c>
      <c r="Q21" s="0" t="n">
        <v>131836</v>
      </c>
      <c r="R21" s="0" t="n">
        <v>50699</v>
      </c>
      <c r="T21" s="0" t="n">
        <v>1856</v>
      </c>
      <c r="V21" s="0" t="n">
        <v>6.84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204.45</v>
      </c>
    </row>
    <row r="3" customFormat="false" ht="15" hidden="false" customHeight="false" outlineLevel="0" collapsed="false">
      <c r="A3" s="0" t="s">
        <v>86</v>
      </c>
      <c r="B3" s="3" t="n">
        <v>1975</v>
      </c>
    </row>
    <row r="4" customFormat="false" ht="15" hidden="false" customHeight="false" outlineLevel="0" collapsed="false">
      <c r="A4" s="0" t="s">
        <v>87</v>
      </c>
      <c r="B4" s="3" t="n">
        <v>28545</v>
      </c>
    </row>
    <row r="5" customFormat="false" ht="15" hidden="false" customHeight="false" outlineLevel="0" collapsed="false">
      <c r="A5" s="0" t="s">
        <v>88</v>
      </c>
      <c r="B5" s="3" t="n">
        <v>-675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195000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-8</v>
      </c>
      <c r="D13" s="3" t="n">
        <v>0</v>
      </c>
      <c r="E13" s="3" t="n">
        <v>1</v>
      </c>
      <c r="F13" s="3" t="n">
        <v>1</v>
      </c>
      <c r="G13" s="3" t="n">
        <v>0.5</v>
      </c>
      <c r="H13" s="3" t="n">
        <v>0</v>
      </c>
      <c r="I13" s="3" t="n">
        <v>0</v>
      </c>
      <c r="J13" s="3" t="n">
        <v>-0.5</v>
      </c>
      <c r="K13" s="3" t="n">
        <v>-0.5</v>
      </c>
      <c r="L13" s="3" t="n">
        <v>-0.5</v>
      </c>
    </row>
    <row r="14" customFormat="false" ht="15" hidden="false" customHeight="false" outlineLevel="0" collapsed="false">
      <c r="A14" s="0" t="s">
        <v>108</v>
      </c>
      <c r="C14" s="3" t="n">
        <v>21</v>
      </c>
      <c r="D14" s="3" t="n">
        <v>20.8</v>
      </c>
      <c r="E14" s="3" t="n">
        <v>20.6</v>
      </c>
      <c r="F14" s="3" t="n">
        <v>20.5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109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12.5</v>
      </c>
      <c r="D17" s="3" t="n">
        <v>12.5</v>
      </c>
      <c r="E17" s="3" t="n">
        <v>12.3</v>
      </c>
      <c r="F17" s="3" t="n">
        <v>12.2</v>
      </c>
      <c r="G17" s="3" t="n">
        <v>12</v>
      </c>
      <c r="H17" s="3" t="n">
        <v>12</v>
      </c>
      <c r="I17" s="3" t="n">
        <v>12</v>
      </c>
      <c r="J17" s="3" t="n">
        <v>12</v>
      </c>
      <c r="K17" s="3" t="n">
        <v>12</v>
      </c>
      <c r="L17" s="3" t="n">
        <v>12</v>
      </c>
    </row>
    <row r="18" customFormat="false" ht="15" hidden="false" customHeight="false" outlineLevel="0" collapsed="false">
      <c r="A18" s="0" t="s">
        <v>112</v>
      </c>
      <c r="C18" s="3" t="n">
        <v>10.8</v>
      </c>
      <c r="D18" s="3" t="n">
        <v>10.6</v>
      </c>
      <c r="E18" s="3" t="n">
        <v>10.5</v>
      </c>
      <c r="F18" s="3" t="n">
        <v>10.5</v>
      </c>
      <c r="G18" s="3" t="n">
        <v>10.5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113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114</v>
      </c>
      <c r="B20" s="3" t="n">
        <v>8</v>
      </c>
    </row>
    <row r="21" customFormat="false" ht="15" hidden="false" customHeight="false" outlineLevel="0" collapsed="false">
      <c r="A21" s="0" t="s">
        <v>115</v>
      </c>
      <c r="B21" s="3" t="n">
        <v>0.5</v>
      </c>
    </row>
    <row r="22" customFormat="false" ht="15" hidden="false" customHeight="false" outlineLevel="0" collapsed="false">
      <c r="A22" s="0" t="s">
        <v>116</v>
      </c>
      <c r="B22" s="3" t="n">
        <v>11</v>
      </c>
    </row>
    <row r="23" customFormat="false" ht="15" hidden="false" customHeight="false" outlineLevel="0" collapsed="false">
      <c r="A23" s="0" t="s">
        <v>117</v>
      </c>
      <c r="B23" s="3" t="n">
        <v>-5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4</v>
      </c>
      <c r="D27" s="3" t="n">
        <v>3.5</v>
      </c>
      <c r="E27" s="3" t="n">
        <v>3</v>
      </c>
      <c r="F27" s="3" t="n">
        <v>3</v>
      </c>
      <c r="G27" s="3" t="n">
        <v>2.5</v>
      </c>
      <c r="H27" s="3" t="n">
        <v>2</v>
      </c>
      <c r="I27" s="3" t="n">
        <v>2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108</v>
      </c>
      <c r="C28" s="3" t="n">
        <v>23.8</v>
      </c>
      <c r="D28" s="3" t="n">
        <v>24.3</v>
      </c>
      <c r="E28" s="3" t="n">
        <v>24.7</v>
      </c>
      <c r="F28" s="3" t="n">
        <v>25</v>
      </c>
      <c r="G28" s="3" t="n">
        <v>25</v>
      </c>
      <c r="H28" s="3" t="n">
        <v>25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109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12</v>
      </c>
      <c r="D31" s="3" t="n">
        <v>12</v>
      </c>
      <c r="E31" s="3" t="n">
        <v>11.8</v>
      </c>
      <c r="F31" s="3" t="n">
        <v>11.6</v>
      </c>
      <c r="G31" s="3" t="n">
        <v>11.5</v>
      </c>
      <c r="H31" s="3" t="n">
        <v>11.5</v>
      </c>
      <c r="I31" s="3" t="n">
        <v>11.5</v>
      </c>
      <c r="J31" s="3" t="n">
        <v>11.5</v>
      </c>
      <c r="K31" s="3" t="n">
        <v>11.5</v>
      </c>
      <c r="L31" s="3" t="n">
        <v>11.5</v>
      </c>
    </row>
    <row r="32" customFormat="false" ht="15" hidden="false" customHeight="false" outlineLevel="0" collapsed="false">
      <c r="A32" s="0" t="s">
        <v>112</v>
      </c>
      <c r="C32" s="3" t="n">
        <v>10</v>
      </c>
      <c r="D32" s="3" t="n">
        <v>9.8</v>
      </c>
      <c r="E32" s="3" t="n">
        <v>9.6</v>
      </c>
      <c r="F32" s="3" t="n">
        <v>9.5</v>
      </c>
      <c r="G32" s="3" t="n">
        <v>9.5</v>
      </c>
      <c r="H32" s="3" t="n">
        <v>9.5</v>
      </c>
      <c r="I32" s="3" t="n">
        <v>9.5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113</v>
      </c>
      <c r="C33" s="3" t="n">
        <v>35</v>
      </c>
      <c r="D33" s="3" t="n">
        <v>35</v>
      </c>
      <c r="E33" s="3" t="n">
        <v>35</v>
      </c>
      <c r="F33" s="3" t="n">
        <v>35</v>
      </c>
      <c r="G33" s="3" t="n">
        <v>35</v>
      </c>
      <c r="H33" s="3" t="n">
        <v>35</v>
      </c>
      <c r="I33" s="3" t="n">
        <v>35</v>
      </c>
      <c r="J33" s="3" t="n">
        <v>35</v>
      </c>
      <c r="K33" s="3" t="n">
        <v>35</v>
      </c>
      <c r="L33" s="3" t="n">
        <v>35</v>
      </c>
    </row>
    <row r="34" customFormat="false" ht="15" hidden="false" customHeight="false" outlineLevel="0" collapsed="false">
      <c r="A34" s="0" t="s">
        <v>114</v>
      </c>
      <c r="B34" s="3" t="n">
        <v>8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13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</v>
      </c>
      <c r="D41" s="3" t="n">
        <v>5</v>
      </c>
      <c r="E41" s="3" t="n">
        <v>4</v>
      </c>
      <c r="F41" s="3" t="n">
        <v>3.5</v>
      </c>
      <c r="G41" s="3" t="n">
        <v>3</v>
      </c>
      <c r="H41" s="3" t="n">
        <v>2.5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108</v>
      </c>
      <c r="C42" s="3" t="n">
        <v>25.5</v>
      </c>
      <c r="D42" s="3" t="n">
        <v>26.3</v>
      </c>
      <c r="E42" s="3" t="n">
        <v>27</v>
      </c>
      <c r="F42" s="3" t="n">
        <v>27.5</v>
      </c>
      <c r="G42" s="3" t="n">
        <v>27.8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109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11.5</v>
      </c>
      <c r="D45" s="3" t="n">
        <v>11.3</v>
      </c>
      <c r="E45" s="3" t="n">
        <v>11</v>
      </c>
      <c r="F45" s="3" t="n">
        <v>10.8</v>
      </c>
      <c r="G45" s="3" t="n">
        <v>10.7</v>
      </c>
      <c r="H45" s="3" t="n">
        <v>10.6</v>
      </c>
      <c r="I45" s="3" t="n">
        <v>10.5</v>
      </c>
      <c r="J45" s="3" t="n">
        <v>10.5</v>
      </c>
      <c r="K45" s="3" t="n">
        <v>10.5</v>
      </c>
      <c r="L45" s="3" t="n">
        <v>10.5</v>
      </c>
    </row>
    <row r="46" customFormat="false" ht="15" hidden="false" customHeight="false" outlineLevel="0" collapsed="false">
      <c r="A46" s="0" t="s">
        <v>112</v>
      </c>
      <c r="C46" s="3" t="n">
        <v>9.5</v>
      </c>
      <c r="D46" s="3" t="n">
        <v>9.3</v>
      </c>
      <c r="E46" s="3" t="n">
        <v>9.1</v>
      </c>
      <c r="F46" s="3" t="n">
        <v>9</v>
      </c>
      <c r="G46" s="3" t="n">
        <v>9</v>
      </c>
      <c r="H46" s="3" t="n">
        <v>9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113</v>
      </c>
      <c r="C47" s="3" t="n">
        <v>36</v>
      </c>
      <c r="D47" s="3" t="n">
        <v>36</v>
      </c>
      <c r="E47" s="3" t="n">
        <v>36</v>
      </c>
      <c r="F47" s="3" t="n">
        <v>36</v>
      </c>
      <c r="G47" s="3" t="n">
        <v>36</v>
      </c>
      <c r="H47" s="3" t="n">
        <v>36</v>
      </c>
      <c r="I47" s="3" t="n">
        <v>36</v>
      </c>
      <c r="J47" s="3" t="n">
        <v>36</v>
      </c>
      <c r="K47" s="3" t="n">
        <v>36</v>
      </c>
      <c r="L47" s="3" t="n">
        <v>36</v>
      </c>
    </row>
    <row r="48" customFormat="false" ht="15" hidden="false" customHeight="false" outlineLevel="0" collapsed="false">
      <c r="A48" s="0" t="s">
        <v>114</v>
      </c>
      <c r="B48" s="3" t="n">
        <v>8</v>
      </c>
    </row>
    <row r="49" customFormat="false" ht="15" hidden="false" customHeight="false" outlineLevel="0" collapsed="false">
      <c r="A49" s="0" t="s">
        <v>115</v>
      </c>
      <c r="B49" s="3" t="n">
        <v>2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-5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-8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0.5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-0.5</v>
      </c>
      <c r="K5" s="4" t="n">
        <f aca="false">Assumptions!K13</f>
        <v>-0.5</v>
      </c>
      <c r="L5" s="4" t="n">
        <f aca="false">Assumptions!L13</f>
        <v>-0.5</v>
      </c>
    </row>
    <row r="6" customFormat="false" ht="15" hidden="false" customHeight="false" outlineLevel="0" collapsed="false">
      <c r="A6" s="0" t="s">
        <v>37</v>
      </c>
      <c r="B6" s="3" t="n">
        <v>195000</v>
      </c>
      <c r="C6" s="0" t="n">
        <f aca="false">B6*(1+C5/100)</f>
        <v>179400</v>
      </c>
      <c r="D6" s="0" t="n">
        <f aca="false">C6*(1+D5/100)</f>
        <v>179400</v>
      </c>
      <c r="E6" s="0" t="n">
        <f aca="false">D6*(1+E5/100)</f>
        <v>181194</v>
      </c>
      <c r="F6" s="0" t="n">
        <f aca="false">E6*(1+F5/100)</f>
        <v>183005.94</v>
      </c>
      <c r="G6" s="0" t="n">
        <f aca="false">F6*(1+G5/100)</f>
        <v>183920.9697</v>
      </c>
      <c r="H6" s="0" t="n">
        <f aca="false">G6*(1+H5/100)</f>
        <v>183920.9697</v>
      </c>
      <c r="I6" s="0" t="n">
        <f aca="false">H6*(1+I5/100)</f>
        <v>183920.9697</v>
      </c>
      <c r="J6" s="0" t="n">
        <f aca="false">I6*(1+J5/100)</f>
        <v>183001.3648515</v>
      </c>
      <c r="K6" s="0" t="n">
        <f aca="false">J6*(1+K5/100)</f>
        <v>182086.358027243</v>
      </c>
      <c r="L6" s="0" t="n">
        <f aca="false">K6*(1+L5/100)</f>
        <v>181175.926237106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21</v>
      </c>
      <c r="D7" s="4" t="n">
        <f aca="false">Assumptions!D14</f>
        <v>20.8</v>
      </c>
      <c r="E7" s="4" t="n">
        <f aca="false">Assumptions!E14</f>
        <v>20.6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37674</v>
      </c>
      <c r="D8" s="0" t="n">
        <f aca="false">D6*D7/100</f>
        <v>37315.2</v>
      </c>
      <c r="E8" s="0" t="n">
        <f aca="false">E6*E7/100</f>
        <v>37325.964</v>
      </c>
      <c r="F8" s="0" t="n">
        <f aca="false">F6*F7/100</f>
        <v>37516.2177</v>
      </c>
      <c r="G8" s="0" t="n">
        <f aca="false">G6*G7/100</f>
        <v>37703.7987885</v>
      </c>
      <c r="H8" s="0" t="n">
        <f aca="false">H6*H7/100</f>
        <v>37703.7987885</v>
      </c>
      <c r="I8" s="0" t="n">
        <f aca="false">I6*I7/100</f>
        <v>37703.7987885</v>
      </c>
      <c r="J8" s="0" t="n">
        <f aca="false">J6*J7/100</f>
        <v>37515.2797945575</v>
      </c>
      <c r="K8" s="0" t="n">
        <f aca="false">K6*K7/100</f>
        <v>37327.7033955847</v>
      </c>
      <c r="L8" s="0" t="n">
        <f aca="false">L6*L7/100</f>
        <v>37141.0648786068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-448.5</v>
      </c>
      <c r="D10" s="0" t="n">
        <f aca="false">-D6*D9/100</f>
        <v>-448.5</v>
      </c>
      <c r="E10" s="0" t="n">
        <f aca="false">-E6*E9/100</f>
        <v>-452.985</v>
      </c>
      <c r="F10" s="0" t="n">
        <f aca="false">-F6*F9/100</f>
        <v>-457.51485</v>
      </c>
      <c r="G10" s="0" t="n">
        <f aca="false">-G6*G9/100</f>
        <v>-459.80242425</v>
      </c>
      <c r="H10" s="0" t="n">
        <f aca="false">-H6*H9/100</f>
        <v>-459.80242425</v>
      </c>
      <c r="I10" s="0" t="n">
        <f aca="false">-I6*I9/100</f>
        <v>-459.80242425</v>
      </c>
      <c r="J10" s="0" t="n">
        <f aca="false">-J6*J9/100</f>
        <v>-457.50341212875</v>
      </c>
      <c r="K10" s="0" t="n">
        <f aca="false">-K6*K9/100</f>
        <v>-455.215895068106</v>
      </c>
      <c r="L10" s="0" t="n">
        <f aca="false">-L6*L9/100</f>
        <v>-452.939815592766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37225.5</v>
      </c>
      <c r="D11" s="0" t="n">
        <f aca="false">D8+D10+D24</f>
        <v>36866.7</v>
      </c>
      <c r="E11" s="0" t="n">
        <f aca="false">E8+E10+E24</f>
        <v>36872.979</v>
      </c>
      <c r="F11" s="0" t="n">
        <f aca="false">F8+F10+F24</f>
        <v>37058.70285</v>
      </c>
      <c r="G11" s="0" t="n">
        <f aca="false">G8+G10+G24</f>
        <v>37243.99636425</v>
      </c>
      <c r="H11" s="0" t="n">
        <f aca="false">H8+H10+H24</f>
        <v>37243.99636425</v>
      </c>
      <c r="I11" s="0" t="n">
        <f aca="false">I8+I10+I24</f>
        <v>37243.99636425</v>
      </c>
      <c r="J11" s="0" t="n">
        <f aca="false">J8+J10+J24</f>
        <v>37057.7763824288</v>
      </c>
      <c r="K11" s="0" t="n">
        <f aca="false">K8+K10+K24</f>
        <v>36872.4875005166</v>
      </c>
      <c r="L11" s="0" t="n">
        <f aca="false">L8+L10+L24</f>
        <v>36688.125063014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-22425</v>
      </c>
      <c r="D12" s="4" t="n">
        <f aca="false">-D6*Assumptions!D17/100</f>
        <v>-22425</v>
      </c>
      <c r="E12" s="4" t="n">
        <f aca="false">-E6*Assumptions!E17/100</f>
        <v>-22286.862</v>
      </c>
      <c r="F12" s="4" t="n">
        <f aca="false">-F6*Assumptions!F17/100</f>
        <v>-22326.72468</v>
      </c>
      <c r="G12" s="4" t="n">
        <f aca="false">-G6*Assumptions!G17/100</f>
        <v>-22070.516364</v>
      </c>
      <c r="H12" s="4" t="n">
        <f aca="false">-H6*Assumptions!H17/100</f>
        <v>-22070.516364</v>
      </c>
      <c r="I12" s="4" t="n">
        <f aca="false">-I6*Assumptions!I17/100</f>
        <v>-22070.516364</v>
      </c>
      <c r="J12" s="4" t="n">
        <f aca="false">-J6*Assumptions!J17/100</f>
        <v>-21960.16378218</v>
      </c>
      <c r="K12" s="4" t="n">
        <f aca="false">-K6*Assumptions!K17/100</f>
        <v>-21850.3629632691</v>
      </c>
      <c r="L12" s="4" t="n">
        <f aca="false">-L6*Assumptions!L17/100</f>
        <v>-21741.1111484528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14800.5</v>
      </c>
      <c r="D13" s="0" t="n">
        <f aca="false">D11+D12</f>
        <v>14441.7</v>
      </c>
      <c r="E13" s="0" t="n">
        <f aca="false">E11+E12</f>
        <v>14586.117</v>
      </c>
      <c r="F13" s="0" t="n">
        <f aca="false">F11+F12</f>
        <v>14731.97817</v>
      </c>
      <c r="G13" s="0" t="n">
        <f aca="false">G11+G12</f>
        <v>15173.48000025</v>
      </c>
      <c r="H13" s="0" t="n">
        <f aca="false">H11+H12</f>
        <v>15173.48000025</v>
      </c>
      <c r="I13" s="0" t="n">
        <f aca="false">I11+I12</f>
        <v>15173.48000025</v>
      </c>
      <c r="J13" s="0" t="n">
        <f aca="false">J11+J12</f>
        <v>15097.6126002487</v>
      </c>
      <c r="K13" s="0" t="n">
        <f aca="false">K11+K12</f>
        <v>15022.1245372475</v>
      </c>
      <c r="L13" s="0" t="n">
        <f aca="false">L11+L12</f>
        <v>14947.0139145613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9916.335</v>
      </c>
      <c r="D15" s="0" t="n">
        <f aca="false">D13-MAX(0,D13)*D14/100</f>
        <v>9675.939</v>
      </c>
      <c r="E15" s="0" t="n">
        <f aca="false">E13-MAX(0,E13)*E14/100</f>
        <v>9772.69839</v>
      </c>
      <c r="F15" s="0" t="n">
        <f aca="false">F13-MAX(0,F13)*F14/100</f>
        <v>9870.4253739</v>
      </c>
      <c r="G15" s="0" t="n">
        <f aca="false">G13-MAX(0,G13)*G14/100</f>
        <v>10166.2316001675</v>
      </c>
      <c r="H15" s="0" t="n">
        <f aca="false">H13-MAX(0,H13)*H14/100</f>
        <v>10166.2316001675</v>
      </c>
      <c r="I15" s="0" t="n">
        <f aca="false">I13-MAX(0,I13)*I14/100</f>
        <v>10166.2316001675</v>
      </c>
      <c r="J15" s="0" t="n">
        <f aca="false">J13-MAX(0,J13)*J14/100</f>
        <v>10115.4004421667</v>
      </c>
      <c r="K15" s="0" t="n">
        <f aca="false">K13-MAX(0,K13)*K14/100</f>
        <v>10064.8234399558</v>
      </c>
      <c r="L15" s="0" t="n">
        <f aca="false">L13-MAX(0,L13)*L14/100</f>
        <v>10014.4993227561</v>
      </c>
    </row>
    <row r="16" customFormat="false" ht="15" hidden="false" customHeight="false" outlineLevel="0" collapsed="false">
      <c r="A16" s="0" t="s">
        <v>129</v>
      </c>
      <c r="C16" s="0" t="n">
        <f aca="false">-C12</f>
        <v>22425</v>
      </c>
      <c r="D16" s="0" t="n">
        <f aca="false">-D12</f>
        <v>22425</v>
      </c>
      <c r="E16" s="0" t="n">
        <f aca="false">-E12</f>
        <v>22286.862</v>
      </c>
      <c r="F16" s="0" t="n">
        <f aca="false">-F12</f>
        <v>22326.72468</v>
      </c>
      <c r="G16" s="0" t="n">
        <f aca="false">-G12</f>
        <v>22070.516364</v>
      </c>
      <c r="H16" s="0" t="n">
        <f aca="false">-H12</f>
        <v>22070.516364</v>
      </c>
      <c r="I16" s="0" t="n">
        <f aca="false">-I12</f>
        <v>22070.516364</v>
      </c>
      <c r="J16" s="0" t="n">
        <f aca="false">-J12</f>
        <v>21960.16378218</v>
      </c>
      <c r="K16" s="0" t="n">
        <f aca="false">-K12</f>
        <v>21850.3629632691</v>
      </c>
      <c r="L16" s="0" t="n">
        <f aca="false">-L12</f>
        <v>21741.1111484528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-19375.2</v>
      </c>
      <c r="D17" s="4" t="n">
        <f aca="false">-D6*Assumptions!D18/100</f>
        <v>-19016.4</v>
      </c>
      <c r="E17" s="4" t="n">
        <f aca="false">-E6*Assumptions!E18/100</f>
        <v>-19025.37</v>
      </c>
      <c r="F17" s="4" t="n">
        <f aca="false">-F6*Assumptions!F18/100</f>
        <v>-19215.6237</v>
      </c>
      <c r="G17" s="4" t="n">
        <f aca="false">-G6*Assumptions!G18/100</f>
        <v>-19311.7018185</v>
      </c>
      <c r="H17" s="4" t="n">
        <f aca="false">-H6*Assumptions!H18/100</f>
        <v>-19311.7018185</v>
      </c>
      <c r="I17" s="4" t="n">
        <f aca="false">-I6*Assumptions!I18/100</f>
        <v>-19311.7018185</v>
      </c>
      <c r="J17" s="4" t="n">
        <f aca="false">-J6*Assumptions!J18/100</f>
        <v>-19215.1433094075</v>
      </c>
      <c r="K17" s="4" t="n">
        <f aca="false">-K6*Assumptions!K18/100</f>
        <v>-19119.0675928605</v>
      </c>
      <c r="L17" s="4" t="n">
        <f aca="false">-L6*Assumptions!L18/100</f>
        <v>-19023.4722548962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780</v>
      </c>
      <c r="D18" s="4" t="n">
        <f aca="false">(D6-C6)*Assumptions!$B$23/100</f>
        <v>-0</v>
      </c>
      <c r="E18" s="4" t="n">
        <f aca="false">(E6-D6)*Assumptions!$B$23/100</f>
        <v>-89.7</v>
      </c>
      <c r="F18" s="4" t="n">
        <f aca="false">(F6-E6)*Assumptions!$B$23/100</f>
        <v>-90.5970000000001</v>
      </c>
      <c r="G18" s="4" t="n">
        <f aca="false">(G6-F6)*Assumptions!$B$23/100</f>
        <v>-45.7514849999992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45.9802424249996</v>
      </c>
      <c r="K18" s="4" t="n">
        <f aca="false">(K6-J6)*Assumptions!$B$23/100</f>
        <v>45.7503412128746</v>
      </c>
      <c r="L18" s="4" t="n">
        <f aca="false">(L6-K6)*Assumptions!$B$23/100</f>
        <v>45.5215895068104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13746.135</v>
      </c>
      <c r="D19" s="0" t="n">
        <f aca="false">D15+D16+D17+D18</f>
        <v>13084.539</v>
      </c>
      <c r="E19" s="0" t="n">
        <f aca="false">E15+E16+E17+E18</f>
        <v>12944.49039</v>
      </c>
      <c r="F19" s="0" t="n">
        <f aca="false">F15+F16+F17+F18</f>
        <v>12890.9293539</v>
      </c>
      <c r="G19" s="0" t="n">
        <f aca="false">G15+G16+G17+G18</f>
        <v>12879.2946606675</v>
      </c>
      <c r="H19" s="0" t="n">
        <f aca="false">H15+H16+H17+H18</f>
        <v>12925.0461456675</v>
      </c>
      <c r="I19" s="0" t="n">
        <f aca="false">I15+I16+I17+I18</f>
        <v>12925.0461456675</v>
      </c>
      <c r="J19" s="0" t="n">
        <f aca="false">J15+J16+J17+J18</f>
        <v>12906.4011573642</v>
      </c>
      <c r="K19" s="0" t="n">
        <f aca="false">K15+K16+K17+K18</f>
        <v>12841.8691515773</v>
      </c>
      <c r="L19" s="0" t="n">
        <f aca="false">L15+L16+L17+L18</f>
        <v>12777.6598058195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12727.9027777778</v>
      </c>
      <c r="D21" s="0" t="n">
        <f aca="false">D19*D20</f>
        <v>11217.8832304527</v>
      </c>
      <c r="E21" s="0" t="n">
        <f aca="false">E19*E20</f>
        <v>10275.7538151578</v>
      </c>
      <c r="F21" s="0" t="n">
        <f aca="false">F19*F20</f>
        <v>9475.2179054066</v>
      </c>
      <c r="G21" s="0" t="n">
        <f aca="false">G19*G20</f>
        <v>8765.43153569683</v>
      </c>
      <c r="H21" s="0" t="n">
        <f aca="false">H19*H20</f>
        <v>8144.97150706219</v>
      </c>
      <c r="I21" s="0" t="n">
        <f aca="false">I19*I20</f>
        <v>7541.64028431685</v>
      </c>
      <c r="J21" s="0" t="n">
        <f aca="false">J19*J20</f>
        <v>6972.92695622414</v>
      </c>
      <c r="K21" s="0" t="n">
        <f aca="false">K19*K20</f>
        <v>6424.13177911391</v>
      </c>
      <c r="L21" s="0" t="n">
        <f aca="false">L19*L20</f>
        <v>5918.52881501698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87464.3886062257</v>
      </c>
    </row>
    <row r="31" customFormat="false" ht="15" hidden="false" customHeight="false" outlineLevel="0" collapsed="false">
      <c r="A31" s="0" t="s">
        <v>138</v>
      </c>
      <c r="B31" s="0" t="n">
        <f aca="false">L19</f>
        <v>12777.6598058195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171220.641397981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140554.257864014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140554.257864014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65103.8169651868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152568.205571413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123348.205571412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62.4547876310949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-0.694522926724897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3051.3479460601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2811.30355922975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65.4232187730138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88562.4007230935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29.5078673538053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4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195000</v>
      </c>
      <c r="C6" s="0" t="n">
        <f aca="false">B6*(1+C5/100)</f>
        <v>202800</v>
      </c>
      <c r="D6" s="0" t="n">
        <f aca="false">C6*(1+D5/100)</f>
        <v>209898</v>
      </c>
      <c r="E6" s="0" t="n">
        <f aca="false">D6*(1+E5/100)</f>
        <v>216194.94</v>
      </c>
      <c r="F6" s="0" t="n">
        <f aca="false">E6*(1+F5/100)</f>
        <v>222680.7882</v>
      </c>
      <c r="G6" s="0" t="n">
        <f aca="false">F6*(1+G5/100)</f>
        <v>228247.807905</v>
      </c>
      <c r="H6" s="0" t="n">
        <f aca="false">G6*(1+H5/100)</f>
        <v>232812.7640631</v>
      </c>
      <c r="I6" s="0" t="n">
        <f aca="false">H6*(1+I5/100)</f>
        <v>237469.019344362</v>
      </c>
      <c r="J6" s="0" t="n">
        <f aca="false">I6*(1+J5/100)</f>
        <v>241031.054634527</v>
      </c>
      <c r="K6" s="0" t="n">
        <f aca="false">J6*(1+K5/100)</f>
        <v>244646.520454045</v>
      </c>
      <c r="L6" s="0" t="n">
        <f aca="false">K6*(1+L5/100)</f>
        <v>248316.218260856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23.8</v>
      </c>
      <c r="D7" s="4" t="n">
        <f aca="false">Assumptions!D28</f>
        <v>24.3</v>
      </c>
      <c r="E7" s="4" t="n">
        <f aca="false">Assumptions!E28</f>
        <v>24.7</v>
      </c>
      <c r="F7" s="4" t="n">
        <f aca="false">Assumptions!F28</f>
        <v>25</v>
      </c>
      <c r="G7" s="4" t="n">
        <f aca="false">Assumptions!G28</f>
        <v>25</v>
      </c>
      <c r="H7" s="4" t="n">
        <f aca="false">Assumptions!H28</f>
        <v>25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48266.4</v>
      </c>
      <c r="D8" s="0" t="n">
        <f aca="false">D6*D7/100</f>
        <v>51005.214</v>
      </c>
      <c r="E8" s="0" t="n">
        <f aca="false">E6*E7/100</f>
        <v>53400.15018</v>
      </c>
      <c r="F8" s="0" t="n">
        <f aca="false">F6*F7/100</f>
        <v>55670.19705</v>
      </c>
      <c r="G8" s="0" t="n">
        <f aca="false">G6*G7/100</f>
        <v>57061.95197625</v>
      </c>
      <c r="H8" s="0" t="n">
        <f aca="false">H6*H7/100</f>
        <v>58203.191015775</v>
      </c>
      <c r="I8" s="0" t="n">
        <f aca="false">I6*I7/100</f>
        <v>59367.2548360905</v>
      </c>
      <c r="J8" s="0" t="n">
        <f aca="false">J6*J7/100</f>
        <v>60257.7636586319</v>
      </c>
      <c r="K8" s="0" t="n">
        <f aca="false">K6*K7/100</f>
        <v>61161.6301135113</v>
      </c>
      <c r="L8" s="0" t="n">
        <f aca="false">L6*L7/100</f>
        <v>62079.054565214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-507</v>
      </c>
      <c r="D10" s="0" t="n">
        <f aca="false">-D6*D9/100</f>
        <v>-524.745</v>
      </c>
      <c r="E10" s="0" t="n">
        <f aca="false">-E6*E9/100</f>
        <v>-540.48735</v>
      </c>
      <c r="F10" s="0" t="n">
        <f aca="false">-F6*F9/100</f>
        <v>-556.7019705</v>
      </c>
      <c r="G10" s="0" t="n">
        <f aca="false">-G6*G9/100</f>
        <v>-570.6195197625</v>
      </c>
      <c r="H10" s="0" t="n">
        <f aca="false">-H6*H9/100</f>
        <v>-582.03191015775</v>
      </c>
      <c r="I10" s="0" t="n">
        <f aca="false">-I6*I9/100</f>
        <v>-593.672548360905</v>
      </c>
      <c r="J10" s="0" t="n">
        <f aca="false">-J6*J9/100</f>
        <v>-602.577636586319</v>
      </c>
      <c r="K10" s="0" t="n">
        <f aca="false">-K6*K9/100</f>
        <v>-611.616301135113</v>
      </c>
      <c r="L10" s="0" t="n">
        <f aca="false">-L6*L9/100</f>
        <v>-620.79054565214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47759.4</v>
      </c>
      <c r="D11" s="0" t="n">
        <f aca="false">D8+D10+D24</f>
        <v>50480.469</v>
      </c>
      <c r="E11" s="0" t="n">
        <f aca="false">E8+E10+E24</f>
        <v>52859.66283</v>
      </c>
      <c r="F11" s="0" t="n">
        <f aca="false">F8+F10+F24</f>
        <v>55113.4950795</v>
      </c>
      <c r="G11" s="0" t="n">
        <f aca="false">G8+G10+G24</f>
        <v>56491.3324564875</v>
      </c>
      <c r="H11" s="0" t="n">
        <f aca="false">H8+H10+H24</f>
        <v>57621.1591056173</v>
      </c>
      <c r="I11" s="0" t="n">
        <f aca="false">I8+I10+I24</f>
        <v>58773.5822877296</v>
      </c>
      <c r="J11" s="0" t="n">
        <f aca="false">J8+J10+J24</f>
        <v>59655.1860220455</v>
      </c>
      <c r="K11" s="0" t="n">
        <f aca="false">K8+K10+K24</f>
        <v>60550.0138123762</v>
      </c>
      <c r="L11" s="0" t="n">
        <f aca="false">L8+L10+L24</f>
        <v>61458.2640195618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-24336</v>
      </c>
      <c r="D12" s="4" t="n">
        <f aca="false">-D6*Assumptions!D31/100</f>
        <v>-25187.76</v>
      </c>
      <c r="E12" s="4" t="n">
        <f aca="false">-E6*Assumptions!E31/100</f>
        <v>-25511.00292</v>
      </c>
      <c r="F12" s="4" t="n">
        <f aca="false">-F6*Assumptions!F31/100</f>
        <v>-25830.9714312</v>
      </c>
      <c r="G12" s="4" t="n">
        <f aca="false">-G6*Assumptions!G31/100</f>
        <v>-26248.497909075</v>
      </c>
      <c r="H12" s="4" t="n">
        <f aca="false">-H6*Assumptions!H31/100</f>
        <v>-26773.4678672565</v>
      </c>
      <c r="I12" s="4" t="n">
        <f aca="false">-I6*Assumptions!I31/100</f>
        <v>-27308.9372246016</v>
      </c>
      <c r="J12" s="4" t="n">
        <f aca="false">-J6*Assumptions!J31/100</f>
        <v>-27718.5712829707</v>
      </c>
      <c r="K12" s="4" t="n">
        <f aca="false">-K6*Assumptions!K31/100</f>
        <v>-28134.3498522152</v>
      </c>
      <c r="L12" s="4" t="n">
        <f aca="false">-L6*Assumptions!L31/100</f>
        <v>-28556.3650999984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23423.4</v>
      </c>
      <c r="D13" s="0" t="n">
        <f aca="false">D11+D12</f>
        <v>25292.709</v>
      </c>
      <c r="E13" s="0" t="n">
        <f aca="false">E11+E12</f>
        <v>27348.65991</v>
      </c>
      <c r="F13" s="0" t="n">
        <f aca="false">F11+F12</f>
        <v>29282.5236483</v>
      </c>
      <c r="G13" s="0" t="n">
        <f aca="false">G11+G12</f>
        <v>30242.8345474125</v>
      </c>
      <c r="H13" s="0" t="n">
        <f aca="false">H11+H12</f>
        <v>30847.6912383608</v>
      </c>
      <c r="I13" s="0" t="n">
        <f aca="false">I11+I12</f>
        <v>31464.645063128</v>
      </c>
      <c r="J13" s="0" t="n">
        <f aca="false">J11+J12</f>
        <v>31936.6147390749</v>
      </c>
      <c r="K13" s="0" t="n">
        <f aca="false">K11+K12</f>
        <v>32415.663960161</v>
      </c>
      <c r="L13" s="0" t="n">
        <f aca="false">L11+L12</f>
        <v>32901.8989195634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35</v>
      </c>
      <c r="D14" s="4" t="n">
        <f aca="false">Assumptions!D33</f>
        <v>35</v>
      </c>
      <c r="E14" s="4" t="n">
        <f aca="false">Assumptions!E33</f>
        <v>35</v>
      </c>
      <c r="F14" s="4" t="n">
        <f aca="false">Assumptions!F33</f>
        <v>35</v>
      </c>
      <c r="G14" s="4" t="n">
        <f aca="false">Assumptions!G33</f>
        <v>35</v>
      </c>
      <c r="H14" s="4" t="n">
        <f aca="false">Assumptions!H33</f>
        <v>35</v>
      </c>
      <c r="I14" s="4" t="n">
        <f aca="false">Assumptions!I33</f>
        <v>35</v>
      </c>
      <c r="J14" s="4" t="n">
        <f aca="false">Assumptions!J33</f>
        <v>35</v>
      </c>
      <c r="K14" s="4" t="n">
        <f aca="false">Assumptions!K33</f>
        <v>35</v>
      </c>
      <c r="L14" s="4" t="n">
        <f aca="false">Assumptions!L33</f>
        <v>35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15225.21</v>
      </c>
      <c r="D15" s="0" t="n">
        <f aca="false">D13-MAX(0,D13)*D14/100</f>
        <v>16440.26085</v>
      </c>
      <c r="E15" s="0" t="n">
        <f aca="false">E13-MAX(0,E13)*E14/100</f>
        <v>17776.6289415</v>
      </c>
      <c r="F15" s="0" t="n">
        <f aca="false">F13-MAX(0,F13)*F14/100</f>
        <v>19033.640371395</v>
      </c>
      <c r="G15" s="0" t="n">
        <f aca="false">G13-MAX(0,G13)*G14/100</f>
        <v>19657.8424558181</v>
      </c>
      <c r="H15" s="0" t="n">
        <f aca="false">H13-MAX(0,H13)*H14/100</f>
        <v>20050.9993049345</v>
      </c>
      <c r="I15" s="0" t="n">
        <f aca="false">I13-MAX(0,I13)*I14/100</f>
        <v>20452.0192910332</v>
      </c>
      <c r="J15" s="0" t="n">
        <f aca="false">J13-MAX(0,J13)*J14/100</f>
        <v>20758.7995803987</v>
      </c>
      <c r="K15" s="0" t="n">
        <f aca="false">K13-MAX(0,K13)*K14/100</f>
        <v>21070.1815741047</v>
      </c>
      <c r="L15" s="0" t="n">
        <f aca="false">L13-MAX(0,L13)*L14/100</f>
        <v>21386.2342977162</v>
      </c>
    </row>
    <row r="16" customFormat="false" ht="15" hidden="false" customHeight="false" outlineLevel="0" collapsed="false">
      <c r="A16" s="0" t="s">
        <v>129</v>
      </c>
      <c r="C16" s="0" t="n">
        <f aca="false">-C12</f>
        <v>24336</v>
      </c>
      <c r="D16" s="0" t="n">
        <f aca="false">-D12</f>
        <v>25187.76</v>
      </c>
      <c r="E16" s="0" t="n">
        <f aca="false">-E12</f>
        <v>25511.00292</v>
      </c>
      <c r="F16" s="0" t="n">
        <f aca="false">-F12</f>
        <v>25830.9714312</v>
      </c>
      <c r="G16" s="0" t="n">
        <f aca="false">-G12</f>
        <v>26248.497909075</v>
      </c>
      <c r="H16" s="0" t="n">
        <f aca="false">-H12</f>
        <v>26773.4678672565</v>
      </c>
      <c r="I16" s="0" t="n">
        <f aca="false">-I12</f>
        <v>27308.9372246016</v>
      </c>
      <c r="J16" s="0" t="n">
        <f aca="false">-J12</f>
        <v>27718.5712829707</v>
      </c>
      <c r="K16" s="0" t="n">
        <f aca="false">-K12</f>
        <v>28134.3498522152</v>
      </c>
      <c r="L16" s="0" t="n">
        <f aca="false">-L12</f>
        <v>28556.3650999984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-20280</v>
      </c>
      <c r="D17" s="4" t="n">
        <f aca="false">-D6*Assumptions!D32/100</f>
        <v>-20570.004</v>
      </c>
      <c r="E17" s="4" t="n">
        <f aca="false">-E6*Assumptions!E32/100</f>
        <v>-20754.71424</v>
      </c>
      <c r="F17" s="4" t="n">
        <f aca="false">-F6*Assumptions!F32/100</f>
        <v>-21154.674879</v>
      </c>
      <c r="G17" s="4" t="n">
        <f aca="false">-G6*Assumptions!G32/100</f>
        <v>-21683.541750975</v>
      </c>
      <c r="H17" s="4" t="n">
        <f aca="false">-H6*Assumptions!H32/100</f>
        <v>-22117.2125859945</v>
      </c>
      <c r="I17" s="4" t="n">
        <f aca="false">-I6*Assumptions!I32/100</f>
        <v>-22559.5568377144</v>
      </c>
      <c r="J17" s="4" t="n">
        <f aca="false">-J6*Assumptions!J32/100</f>
        <v>-22897.9501902801</v>
      </c>
      <c r="K17" s="4" t="n">
        <f aca="false">-K6*Assumptions!K32/100</f>
        <v>-23241.4194431343</v>
      </c>
      <c r="L17" s="4" t="n">
        <f aca="false">-L6*Assumptions!L32/100</f>
        <v>-23590.0407347813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-390</v>
      </c>
      <c r="D18" s="4" t="n">
        <f aca="false">(D6-C6)*Assumptions!$B$37/100</f>
        <v>-354.899999999999</v>
      </c>
      <c r="E18" s="4" t="n">
        <f aca="false">(E6-D6)*Assumptions!$B$37/100</f>
        <v>-314.847</v>
      </c>
      <c r="F18" s="4" t="n">
        <f aca="false">(F6-E6)*Assumptions!$B$37/100</f>
        <v>-324.29241</v>
      </c>
      <c r="G18" s="4" t="n">
        <f aca="false">(G6-F6)*Assumptions!$B$37/100</f>
        <v>-278.350985249999</v>
      </c>
      <c r="H18" s="4" t="n">
        <f aca="false">(H6-G6)*Assumptions!$B$37/100</f>
        <v>-228.247807905001</v>
      </c>
      <c r="I18" s="4" t="n">
        <f aca="false">(I6-H6)*Assumptions!$B$37/100</f>
        <v>-232.812764063101</v>
      </c>
      <c r="J18" s="4" t="n">
        <f aca="false">(J6-I6)*Assumptions!$B$37/100</f>
        <v>-178.10176450827</v>
      </c>
      <c r="K18" s="4" t="n">
        <f aca="false">(K6-J6)*Assumptions!$B$37/100</f>
        <v>-180.773290975894</v>
      </c>
      <c r="L18" s="4" t="n">
        <f aca="false">(L6-K6)*Assumptions!$B$37/100</f>
        <v>-183.484890340533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18891.21</v>
      </c>
      <c r="D19" s="0" t="n">
        <f aca="false">D15+D16+D17+D18</f>
        <v>20703.11685</v>
      </c>
      <c r="E19" s="0" t="n">
        <f aca="false">E15+E16+E17+E18</f>
        <v>22218.0706215</v>
      </c>
      <c r="F19" s="0" t="n">
        <f aca="false">F15+F16+F17+F18</f>
        <v>23385.644513595</v>
      </c>
      <c r="G19" s="0" t="n">
        <f aca="false">G15+G16+G17+G18</f>
        <v>23944.4476286681</v>
      </c>
      <c r="H19" s="0" t="n">
        <f aca="false">H15+H16+H17+H18</f>
        <v>24479.0067782915</v>
      </c>
      <c r="I19" s="0" t="n">
        <f aca="false">I15+I16+I17+I18</f>
        <v>24968.5869138573</v>
      </c>
      <c r="J19" s="0" t="n">
        <f aca="false">J15+J16+J17+J18</f>
        <v>25401.3189085809</v>
      </c>
      <c r="K19" s="0" t="n">
        <f aca="false">K15+K16+K17+K18</f>
        <v>25782.3386922097</v>
      </c>
      <c r="L19" s="0" t="n">
        <f aca="false">L15+L16+L17+L18</f>
        <v>26169.0737725928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17491.8611111111</v>
      </c>
      <c r="D21" s="0" t="n">
        <f aca="false">D19*D20</f>
        <v>17749.585776749</v>
      </c>
      <c r="E21" s="0" t="n">
        <f aca="false">E19*E20</f>
        <v>17637.4207926097</v>
      </c>
      <c r="F21" s="0" t="n">
        <f aca="false">F19*F20</f>
        <v>17189.1468443779</v>
      </c>
      <c r="G21" s="0" t="n">
        <f aca="false">G19*G20</f>
        <v>16296.1887183262</v>
      </c>
      <c r="H21" s="0" t="n">
        <f aca="false">H19*H20</f>
        <v>15425.9265679449</v>
      </c>
      <c r="I21" s="0" t="n">
        <f aca="false">I19*I20</f>
        <v>14568.9306475035</v>
      </c>
      <c r="J21" s="0" t="n">
        <f aca="false">J19*J20</f>
        <v>13723.542231618</v>
      </c>
      <c r="K21" s="0" t="n">
        <f aca="false">K19*K20</f>
        <v>12897.5883010113</v>
      </c>
      <c r="L21" s="0" t="n">
        <f aca="false">L19*L20</f>
        <v>12121.3445606727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155101.535551924</v>
      </c>
    </row>
    <row r="31" customFormat="false" ht="15" hidden="false" customHeight="false" outlineLevel="0" collapsed="false">
      <c r="A31" s="0" t="s">
        <v>138</v>
      </c>
      <c r="B31" s="0" t="n">
        <f aca="false">L19</f>
        <v>26169.0737725928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408640.151987411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340197.959043706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340197.959043706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157577.479288745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312679.014840669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283459.014840669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143.52355181806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-0.298001703017557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3778.17318271129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4490.1435428272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147.710041299346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196752.665771716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67.5701011877896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</v>
      </c>
      <c r="D5" s="4" t="n">
        <f aca="false">Assumptions!D41</f>
        <v>5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195000</v>
      </c>
      <c r="C6" s="0" t="n">
        <f aca="false">B6*(1+C5/100)</f>
        <v>214500</v>
      </c>
      <c r="D6" s="0" t="n">
        <f aca="false">C6*(1+D5/100)</f>
        <v>225225</v>
      </c>
      <c r="E6" s="0" t="n">
        <f aca="false">D6*(1+E5/100)</f>
        <v>234234</v>
      </c>
      <c r="F6" s="0" t="n">
        <f aca="false">E6*(1+F5/100)</f>
        <v>242432.19</v>
      </c>
      <c r="G6" s="0" t="n">
        <f aca="false">F6*(1+G5/100)</f>
        <v>249705.1557</v>
      </c>
      <c r="H6" s="0" t="n">
        <f aca="false">G6*(1+H5/100)</f>
        <v>255947.7845925</v>
      </c>
      <c r="I6" s="0" t="n">
        <f aca="false">H6*(1+I5/100)</f>
        <v>262346.479207312</v>
      </c>
      <c r="J6" s="0" t="n">
        <f aca="false">I6*(1+J5/100)</f>
        <v>267593.408791459</v>
      </c>
      <c r="K6" s="0" t="n">
        <f aca="false">J6*(1+K5/100)</f>
        <v>272945.276967288</v>
      </c>
      <c r="L6" s="0" t="n">
        <f aca="false">K6*(1+L5/100)</f>
        <v>278404.182506634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25.5</v>
      </c>
      <c r="D7" s="4" t="n">
        <f aca="false">Assumptions!D42</f>
        <v>26.3</v>
      </c>
      <c r="E7" s="4" t="n">
        <f aca="false">Assumptions!E42</f>
        <v>27</v>
      </c>
      <c r="F7" s="4" t="n">
        <f aca="false">Assumptions!F42</f>
        <v>27.5</v>
      </c>
      <c r="G7" s="4" t="n">
        <f aca="false">Assumptions!G42</f>
        <v>27.8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54697.5</v>
      </c>
      <c r="D8" s="0" t="n">
        <f aca="false">D6*D7/100</f>
        <v>59234.175</v>
      </c>
      <c r="E8" s="0" t="n">
        <f aca="false">E6*E7/100</f>
        <v>63243.18</v>
      </c>
      <c r="F8" s="0" t="n">
        <f aca="false">F6*F7/100</f>
        <v>66668.85225</v>
      </c>
      <c r="G8" s="0" t="n">
        <f aca="false">G6*G7/100</f>
        <v>69418.0332846</v>
      </c>
      <c r="H8" s="0" t="n">
        <f aca="false">H6*H7/100</f>
        <v>71665.3796859</v>
      </c>
      <c r="I8" s="0" t="n">
        <f aca="false">I6*I7/100</f>
        <v>73457.0141780475</v>
      </c>
      <c r="J8" s="0" t="n">
        <f aca="false">J6*J7/100</f>
        <v>74926.1544616084</v>
      </c>
      <c r="K8" s="0" t="n">
        <f aca="false">K6*K7/100</f>
        <v>76424.6775508406</v>
      </c>
      <c r="L8" s="0" t="n">
        <f aca="false">L6*L7/100</f>
        <v>77953.1711018574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-536.25</v>
      </c>
      <c r="D10" s="0" t="n">
        <f aca="false">-D6*D9/100</f>
        <v>-563.0625</v>
      </c>
      <c r="E10" s="0" t="n">
        <f aca="false">-E6*E9/100</f>
        <v>-585.585</v>
      </c>
      <c r="F10" s="0" t="n">
        <f aca="false">-F6*F9/100</f>
        <v>-606.080475</v>
      </c>
      <c r="G10" s="0" t="n">
        <f aca="false">-G6*G9/100</f>
        <v>-624.26288925</v>
      </c>
      <c r="H10" s="0" t="n">
        <f aca="false">-H6*H9/100</f>
        <v>-639.86946148125</v>
      </c>
      <c r="I10" s="0" t="n">
        <f aca="false">-I6*I9/100</f>
        <v>-655.866198018281</v>
      </c>
      <c r="J10" s="0" t="n">
        <f aca="false">-J6*J9/100</f>
        <v>-668.983521978647</v>
      </c>
      <c r="K10" s="0" t="n">
        <f aca="false">-K6*K9/100</f>
        <v>-682.36319241822</v>
      </c>
      <c r="L10" s="0" t="n">
        <f aca="false">-L6*L9/100</f>
        <v>-696.010456266584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54161.25</v>
      </c>
      <c r="D11" s="0" t="n">
        <f aca="false">D8+D10+D24</f>
        <v>58671.1125</v>
      </c>
      <c r="E11" s="0" t="n">
        <f aca="false">E8+E10+E24</f>
        <v>62657.595</v>
      </c>
      <c r="F11" s="0" t="n">
        <f aca="false">F8+F10+F24</f>
        <v>66062.771775</v>
      </c>
      <c r="G11" s="0" t="n">
        <f aca="false">G8+G10+G24</f>
        <v>68793.77039535</v>
      </c>
      <c r="H11" s="0" t="n">
        <f aca="false">H8+H10+H24</f>
        <v>71025.5102244187</v>
      </c>
      <c r="I11" s="0" t="n">
        <f aca="false">I8+I10+I24</f>
        <v>72801.1479800292</v>
      </c>
      <c r="J11" s="0" t="n">
        <f aca="false">J8+J10+J24</f>
        <v>74257.1709396298</v>
      </c>
      <c r="K11" s="0" t="n">
        <f aca="false">K8+K10+K24</f>
        <v>75742.3143584224</v>
      </c>
      <c r="L11" s="0" t="n">
        <f aca="false">L8+L10+L24</f>
        <v>77257.1606455908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-24667.5</v>
      </c>
      <c r="D12" s="4" t="n">
        <f aca="false">-D6*Assumptions!D45/100</f>
        <v>-25450.425</v>
      </c>
      <c r="E12" s="4" t="n">
        <f aca="false">-E6*Assumptions!E45/100</f>
        <v>-25765.74</v>
      </c>
      <c r="F12" s="4" t="n">
        <f aca="false">-F6*Assumptions!F45/100</f>
        <v>-26182.67652</v>
      </c>
      <c r="G12" s="4" t="n">
        <f aca="false">-G6*Assumptions!G45/100</f>
        <v>-26718.4516599</v>
      </c>
      <c r="H12" s="4" t="n">
        <f aca="false">-H6*Assumptions!H45/100</f>
        <v>-27130.465166805</v>
      </c>
      <c r="I12" s="4" t="n">
        <f aca="false">-I6*Assumptions!I45/100</f>
        <v>-27546.3803167678</v>
      </c>
      <c r="J12" s="4" t="n">
        <f aca="false">-J6*Assumptions!J45/100</f>
        <v>-28097.3079231032</v>
      </c>
      <c r="K12" s="4" t="n">
        <f aca="false">-K6*Assumptions!K45/100</f>
        <v>-28659.2540815652</v>
      </c>
      <c r="L12" s="4" t="n">
        <f aca="false">-L6*Assumptions!L45/100</f>
        <v>-29232.4391631965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29493.75</v>
      </c>
      <c r="D13" s="0" t="n">
        <f aca="false">D11+D12</f>
        <v>33220.6875</v>
      </c>
      <c r="E13" s="0" t="n">
        <f aca="false">E11+E12</f>
        <v>36891.855</v>
      </c>
      <c r="F13" s="0" t="n">
        <f aca="false">F11+F12</f>
        <v>39880.095255</v>
      </c>
      <c r="G13" s="0" t="n">
        <f aca="false">G11+G12</f>
        <v>42075.31873545</v>
      </c>
      <c r="H13" s="0" t="n">
        <f aca="false">H11+H12</f>
        <v>43895.0450576138</v>
      </c>
      <c r="I13" s="0" t="n">
        <f aca="false">I11+I12</f>
        <v>45254.7676632614</v>
      </c>
      <c r="J13" s="0" t="n">
        <f aca="false">J11+J12</f>
        <v>46159.8630165266</v>
      </c>
      <c r="K13" s="0" t="n">
        <f aca="false">K11+K12</f>
        <v>47083.0602768572</v>
      </c>
      <c r="L13" s="0" t="n">
        <f aca="false">L11+L12</f>
        <v>48024.7214823943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36</v>
      </c>
      <c r="D14" s="4" t="n">
        <f aca="false">Assumptions!D47</f>
        <v>36</v>
      </c>
      <c r="E14" s="4" t="n">
        <f aca="false">Assumptions!E47</f>
        <v>36</v>
      </c>
      <c r="F14" s="4" t="n">
        <f aca="false">Assumptions!F47</f>
        <v>36</v>
      </c>
      <c r="G14" s="4" t="n">
        <f aca="false">Assumptions!G47</f>
        <v>36</v>
      </c>
      <c r="H14" s="4" t="n">
        <f aca="false">Assumptions!H47</f>
        <v>36</v>
      </c>
      <c r="I14" s="4" t="n">
        <f aca="false">Assumptions!I47</f>
        <v>36</v>
      </c>
      <c r="J14" s="4" t="n">
        <f aca="false">Assumptions!J47</f>
        <v>36</v>
      </c>
      <c r="K14" s="4" t="n">
        <f aca="false">Assumptions!K47</f>
        <v>36</v>
      </c>
      <c r="L14" s="4" t="n">
        <f aca="false">Assumptions!L47</f>
        <v>36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18876</v>
      </c>
      <c r="D15" s="0" t="n">
        <f aca="false">D13-MAX(0,D13)*D14/100</f>
        <v>21261.24</v>
      </c>
      <c r="E15" s="0" t="n">
        <f aca="false">E13-MAX(0,E13)*E14/100</f>
        <v>23610.7872</v>
      </c>
      <c r="F15" s="0" t="n">
        <f aca="false">F13-MAX(0,F13)*F14/100</f>
        <v>25523.2609632</v>
      </c>
      <c r="G15" s="0" t="n">
        <f aca="false">G13-MAX(0,G13)*G14/100</f>
        <v>26928.203990688</v>
      </c>
      <c r="H15" s="0" t="n">
        <f aca="false">H13-MAX(0,H13)*H14/100</f>
        <v>28092.8288368728</v>
      </c>
      <c r="I15" s="0" t="n">
        <f aca="false">I13-MAX(0,I13)*I14/100</f>
        <v>28963.0513044873</v>
      </c>
      <c r="J15" s="0" t="n">
        <f aca="false">J13-MAX(0,J13)*J14/100</f>
        <v>29542.3123305771</v>
      </c>
      <c r="K15" s="0" t="n">
        <f aca="false">K13-MAX(0,K13)*K14/100</f>
        <v>30133.1585771886</v>
      </c>
      <c r="L15" s="0" t="n">
        <f aca="false">L13-MAX(0,L13)*L14/100</f>
        <v>30735.8217487324</v>
      </c>
    </row>
    <row r="16" customFormat="false" ht="15" hidden="false" customHeight="false" outlineLevel="0" collapsed="false">
      <c r="A16" s="0" t="s">
        <v>129</v>
      </c>
      <c r="C16" s="0" t="n">
        <f aca="false">-C12</f>
        <v>24667.5</v>
      </c>
      <c r="D16" s="0" t="n">
        <f aca="false">-D12</f>
        <v>25450.425</v>
      </c>
      <c r="E16" s="0" t="n">
        <f aca="false">-E12</f>
        <v>25765.74</v>
      </c>
      <c r="F16" s="0" t="n">
        <f aca="false">-F12</f>
        <v>26182.67652</v>
      </c>
      <c r="G16" s="0" t="n">
        <f aca="false">-G12</f>
        <v>26718.4516599</v>
      </c>
      <c r="H16" s="0" t="n">
        <f aca="false">-H12</f>
        <v>27130.465166805</v>
      </c>
      <c r="I16" s="0" t="n">
        <f aca="false">-I12</f>
        <v>27546.3803167678</v>
      </c>
      <c r="J16" s="0" t="n">
        <f aca="false">-J12</f>
        <v>28097.3079231032</v>
      </c>
      <c r="K16" s="0" t="n">
        <f aca="false">-K12</f>
        <v>28659.2540815652</v>
      </c>
      <c r="L16" s="0" t="n">
        <f aca="false">-L12</f>
        <v>29232.4391631965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-20377.5</v>
      </c>
      <c r="D17" s="4" t="n">
        <f aca="false">-D6*Assumptions!D46/100</f>
        <v>-20945.925</v>
      </c>
      <c r="E17" s="4" t="n">
        <f aca="false">-E6*Assumptions!E46/100</f>
        <v>-21315.294</v>
      </c>
      <c r="F17" s="4" t="n">
        <f aca="false">-F6*Assumptions!F46/100</f>
        <v>-21818.8971</v>
      </c>
      <c r="G17" s="4" t="n">
        <f aca="false">-G6*Assumptions!G46/100</f>
        <v>-22473.464013</v>
      </c>
      <c r="H17" s="4" t="n">
        <f aca="false">-H6*Assumptions!H46/100</f>
        <v>-23035.300613325</v>
      </c>
      <c r="I17" s="4" t="n">
        <f aca="false">-I6*Assumptions!I46/100</f>
        <v>-23611.1831286581</v>
      </c>
      <c r="J17" s="4" t="n">
        <f aca="false">-J6*Assumptions!J46/100</f>
        <v>-24083.4067912313</v>
      </c>
      <c r="K17" s="4" t="n">
        <f aca="false">-K6*Assumptions!K46/100</f>
        <v>-24565.0749270559</v>
      </c>
      <c r="L17" s="4" t="n">
        <f aca="false">-L6*Assumptions!L46/100</f>
        <v>-25056.376425597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-975.000000000002</v>
      </c>
      <c r="D18" s="4" t="n">
        <f aca="false">(D6-C6)*Assumptions!$B$51/100</f>
        <v>-536.25</v>
      </c>
      <c r="E18" s="4" t="n">
        <f aca="false">(E6-D6)*Assumptions!$B$51/100</f>
        <v>-450.45</v>
      </c>
      <c r="F18" s="4" t="n">
        <f aca="false">(F6-E6)*Assumptions!$B$51/100</f>
        <v>-409.909499999999</v>
      </c>
      <c r="G18" s="4" t="n">
        <f aca="false">(G6-F6)*Assumptions!$B$51/100</f>
        <v>-363.648285</v>
      </c>
      <c r="H18" s="4" t="n">
        <f aca="false">(H6-G6)*Assumptions!$B$51/100</f>
        <v>-312.131444624999</v>
      </c>
      <c r="I18" s="4" t="n">
        <f aca="false">(I6-H6)*Assumptions!$B$51/100</f>
        <v>-319.934730740624</v>
      </c>
      <c r="J18" s="4" t="n">
        <f aca="false">(J6-I6)*Assumptions!$B$51/100</f>
        <v>-262.346479207312</v>
      </c>
      <c r="K18" s="4" t="n">
        <f aca="false">(K6-J6)*Assumptions!$B$51/100</f>
        <v>-267.593408791459</v>
      </c>
      <c r="L18" s="4" t="n">
        <f aca="false">(L6-K6)*Assumptions!$B$51/100</f>
        <v>-272.945276967288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22191</v>
      </c>
      <c r="D19" s="0" t="n">
        <f aca="false">D15+D16+D17+D18</f>
        <v>25229.49</v>
      </c>
      <c r="E19" s="0" t="n">
        <f aca="false">E15+E16+E17+E18</f>
        <v>27610.7832</v>
      </c>
      <c r="F19" s="0" t="n">
        <f aca="false">F15+F16+F17+F18</f>
        <v>29477.1308832</v>
      </c>
      <c r="G19" s="0" t="n">
        <f aca="false">G15+G16+G17+G18</f>
        <v>30809.543352588</v>
      </c>
      <c r="H19" s="0" t="n">
        <f aca="false">H15+H16+H17+H18</f>
        <v>31875.8619457278</v>
      </c>
      <c r="I19" s="0" t="n">
        <f aca="false">I15+I16+I17+I18</f>
        <v>32578.3137618563</v>
      </c>
      <c r="J19" s="0" t="n">
        <f aca="false">J15+J16+J17+J18</f>
        <v>33293.8669832416</v>
      </c>
      <c r="K19" s="0" t="n">
        <f aca="false">K15+K16+K17+K18</f>
        <v>33959.7443229064</v>
      </c>
      <c r="L19" s="0" t="n">
        <f aca="false">L15+L16+L17+L18</f>
        <v>34638.9392093646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20547.2222222222</v>
      </c>
      <c r="D21" s="0" t="n">
        <f aca="false">D19*D20</f>
        <v>21630.2211934156</v>
      </c>
      <c r="E21" s="0" t="n">
        <f aca="false">E19*E20</f>
        <v>21918.3299039781</v>
      </c>
      <c r="F21" s="0" t="n">
        <f aca="false">F19*F20</f>
        <v>21666.5711739403</v>
      </c>
      <c r="G21" s="0" t="n">
        <f aca="false">G19*G20</f>
        <v>20968.4575140544</v>
      </c>
      <c r="H21" s="0" t="n">
        <f aca="false">H19*H20</f>
        <v>20087.2000289166</v>
      </c>
      <c r="I21" s="0" t="n">
        <f aca="false">I19*I20</f>
        <v>19009.1331738794</v>
      </c>
      <c r="J21" s="0" t="n">
        <f aca="false">J19*J20</f>
        <v>17987.6403757931</v>
      </c>
      <c r="K21" s="0" t="n">
        <f aca="false">K19*K20</f>
        <v>16988.3270215824</v>
      </c>
      <c r="L21" s="0" t="n">
        <f aca="false">L19*L20</f>
        <v>16044.5310759389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196847.633683721</v>
      </c>
    </row>
    <row r="31" customFormat="false" ht="15" hidden="false" customHeight="false" outlineLevel="0" collapsed="false">
      <c r="A31" s="0" t="s">
        <v>138</v>
      </c>
      <c r="B31" s="0" t="n">
        <f aca="false">L19</f>
        <v>34638.9392093646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588861.966559198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519584.088140469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519584.088140469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240667.966139084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437515.599822805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408295.599822805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206.731949277369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0.0111614051228635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4125.55734670226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5480.58768668604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211.595820180351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271782.446104245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92.0444582784144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62.4547876310949</v>
      </c>
      <c r="C4" s="0" t="n">
        <f aca="false">B4/Assumptions!$B$2-1</f>
        <v>-0.694522926724897</v>
      </c>
      <c r="D4" s="4" t="n">
        <f aca="false">Assumptions!$B$24</f>
        <v>0.25</v>
      </c>
      <c r="E4" s="4" t="n">
        <f aca="false">DCF_Bear!$B$43</f>
        <v>65.4232187730138</v>
      </c>
      <c r="F4" s="4" t="n">
        <f aca="false">DCF_Bear!$B$47</f>
        <v>29.5078673538053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143.52355181806</v>
      </c>
      <c r="C5" s="0" t="n">
        <f aca="false">B5/Assumptions!$B$2-1</f>
        <v>-0.298001703017557</v>
      </c>
      <c r="D5" s="4" t="n">
        <f aca="false">Assumptions!$B$38</f>
        <v>0.5</v>
      </c>
      <c r="E5" s="4" t="n">
        <f aca="false">DCF_Base!$B$43</f>
        <v>147.710041299346</v>
      </c>
      <c r="F5" s="4" t="n">
        <f aca="false">DCF_Base!$B$47</f>
        <v>67.5701011877896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206.731949277369</v>
      </c>
      <c r="C6" s="0" t="n">
        <f aca="false">B6/Assumptions!$B$2-1</f>
        <v>0.0111614051228635</v>
      </c>
      <c r="D6" s="4" t="n">
        <f aca="false">Assumptions!$B$52</f>
        <v>0.25</v>
      </c>
      <c r="E6" s="4" t="n">
        <f aca="false">DCF_Bull!$B$43</f>
        <v>211.595820180351</v>
      </c>
      <c r="F6" s="4" t="n">
        <f aca="false">DCF_Bull!$B$47</f>
        <v>92.0444582784144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139.058460136146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143.109780388014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-0.470244958845594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1614.07975174775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64.1731320019497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143.52355181806</v>
      </c>
      <c r="C15" s="3" t="n">
        <v>8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132.887852256383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117.76162592235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103.475108304347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91.9200580490138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67.5701011877896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167.967573772776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167.967573772776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167.967573772776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167.967573772776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167.967573772776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155.178907522081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155.178907522081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155.178907522081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155.178907522081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155.178907522081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143.52355181806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143.52355181806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143.52355181806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143.52355181806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143.52355181806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126.303131739336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130.788972591574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132.887852256383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132.887852256383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132.887852256383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110.80266249438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114.088839668699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117.76162592235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121.893510457708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123.170638405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2026-09-26T01:23:32Z</dcterms:created>
  <dc:creator>openpyxl</dc:creator>
  <dc:description/>
  <dc:language>en-NZ</dc:language>
  <cp:lastModifiedBy/>
  <dcterms:modified xsi:type="dcterms:W3CDTF">2026-09-26T01:23:32Z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