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<sst xmlns="http://schemas.openxmlformats.org/spreadsheetml/2006/main" count="354" uniqueCount="164">
  <si>
    <t xml:space="preserve">Ticker</t>
  </si>
  <si>
    <t xml:space="preserve">1361.HK</t>
  </si>
  <si>
    <t xml:space="preserve">Company</t>
  </si>
  <si>
    <t xml:space="preserve">361 Degrees International Limited</t>
  </si>
  <si>
    <t xml:space="preserve">Valuation date</t>
  </si>
  <si>
    <t xml:space="preserve">2026-10-16</t>
  </si>
  <si>
    <t xml:space="preserve">Current price</t>
  </si>
  <si>
    <t xml:space="preserve">Price as of</t>
  </si>
  <si>
    <t xml:space="preserve">2026-10-16T08:08:14Z (16:08 HKT, regular close; 52-week range 3.95-7.25)</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</si>
  <si>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</si>
  <si>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</si>
  <si>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</si>
  <si>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</si>
  <si>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</si>
  <si>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</si>
  <si>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</si>
  <si>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</si>
  <si>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</si>
  <si>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</si>
  <si>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</si>
  <si>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</si>
  <si>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</si>
  <si>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2026-10-16T10:22:01Z</t>
  </si>
  <si>
    <t xml:space="preserve">Drivers file</t>
  </si>
  <si>
    <t xml:space="preserve">1361.HK_Drivers.json</t>
  </si>
  <si>
    <t xml:space="preserve">Convention</t>
  </si>
  <si>
    <t xml:space="preserve">Percents stored as percents; formulas divide by 100. Blue = input, green = link, black = formula.</t>
  </si>
  <si>
    <t xml:space="preserve">Methodology</t>
  </si>
  <si>
    <t xml:space="preserve">summary: Owner-FCF DCF in RMB, converted to HKD at the spot CNY/HKD rate, with RMB4.7bn of net cash taken at face value and added once in the bridge (interest income stripped from the flows), NCI deducted once, SBC zero so house and street coincide. SANITY-CHECK FIX (2026-10-16): the first build (9.5% RMB cost of equity, 15x/15x/12x FCF terminal caps) gave a weighted IV of HK$13.41 and tripped all four multiples rules -- implied P/E 22.4x vs a 10-year average of 11.1x, P/B 2.90x vs a 10-year maximum of 1.56x, EV/EBITDA 13.4x vs a maximum of 5.4x, and 189% base upside with the price already at 89% of its 10-year range. The diagnosis was WACC too low for structural risk. Two composable fixes from the research-stock template were applied and nothing else was touched: (1) WACC 9.5% -&gt; 11.5%, adding +1.0% for extreme cyclicality (the 2011-13 Chinese sportswear channel collapse) and +1.0% for single-brand/single-country/distributor-channel concentration -- no small-cap illiquidity premium because the US$1.36bn market cap is above the template's threshold; (2) an EV/EBITDA exit-multiple cap anchored to the stock's own 10-year FY-end range: bear 1.0x (floored; the true minimum is negative), base 2.3x (decade average), bull 5.4x (decade maximum), translated into the engine's FCF-multiple cap as 1.7x/3.6x/8.3x. Growth, margin, capex, tax and working-capital paths and the 25/50/25 weights are exactly as before. What the cap means: the first build's gap to the price was the re-rating thesis -- a 15x terminal says a buyer in year 10 pays a normal consumer-brand multiple for this business. The decade of trading history says the HK market pays ~2x EBITDA for it ex-cash and has twice priced it below its cash. The capped DCF now assumes that discount is permanent, which is the conservative reading of a chairman-controlled company whose cash earns 0.25% and whose working capital has absorbed three-quarters of its revenue growth. INVESTMENT FRAMING: this is no longer a multi-bagger re-rating story. It is income plus modest growth -- a 45% payout (~6.5% yield at the valuation-date price on FY2025 earnings), mid-single-digit revenue growth, and a free option on a re-rating that the model deliberately does not pay for. The actionable number is the 15%-hurdle weighted entry price; the upside to the capped weighted IV is the margin of safety on the no-re-rate case, not the prize.
key_risks_to_valuation: Working capital: FY2024-25 outflows consumed 71-79% of the revenue increase; if receivable/inventory days keep lengthening the base case overstates FCF by several hundred RMB m a year, and a destocking cycle (bear) takes revenue negative.; Cash authenticity and use: RMB4.7bn of net cash earned RMB11m in FY2025 (~0.25%) after fixed deposits were uplifted in FY2024; the model takes it at face value and adds it to equity. The market plainly does not; at the valuation-date price net cash is ~45% of market cap.; Governance: chairman-controlled; the May 2026 top-up placement/subscription was with a Ding-family trust vehicle; prior-decade distributor clean-up and bond buy-back history.; Currency: flows in RMB, quote in HKD; the fx_rate is spot and is not refreshed by price-only updates. A 5% CNY move is ~5% of every HKD per-share value.; Competition and consumption: ANTA/Li Ning scale, Xtep in the same tier, lower-tier-city discretionary demand sensitive to PRC consumer confidence and US-China trade sentiment.; Exit-multiple cap: the terminal is now pinned to the stock's own depressed trading history (2.3x EBITDA base), so the value is insensitive to terminal growth but moves roughly one-for-one with the cap. If the market ever does re-rate the business toward sector multiples the capped DCF is far too low; if the historical table were corrected for the sanity_check fx-direction bug the caps would be ~27% lower still.; Double-charging: the +2.0% WACC premium and the 25% bear weight both price cyclicality and governance; the result is deliberately conservative rather than exactly once-charged.</t>
  </si>
  <si>
    <t xml:space="preserve">Data sources</t>
  </si>
  <si>
    <t xml:space="preserve">price: Yahoo Finance chart API for 1361.HK at inputs.price_as_of (regular close, HKD); 52-week range 3.95-7.25.
fx: Yahoo Finance CNYHKD=X at inputs.fx_note date.
financials: 1361.HK_Metrics.csv (core_metrics, FY2018-FY2025 annual + H1 FY2023-H1 FY2026); FY2025 annual report (cash-flow statement incl. working-capital block, Note 4 interest income, Note 6 tax, five-year summary turnover days); H1 FY2026 interim report (30 June 2026 balance sheet, net-cash table, Note 7 EPS/share count, Note 13 bank loans, cash-flow statement).
qualitative: 1361.HK_Analysis.json (business model, growth drivers, risks, H1 2026 and Q2 2026 trading commentary, May 2026 placement).</t>
  </si>
  <si>
    <t xml:space="preserve">Scenario narrative: bear</t>
  </si>
  <si>
    <t xml:space="preserve">The FY2021-25 working-capital trend (days 114 -&gt; 192; receivables and distributor deposits up RMB1bn in FY2025 alone) turns out to have been channel stuffing: distributors destock through FY2027-28, revenue goes flat then down, discounting takes EBITDA margin to 14%, and ECL provisions on trade receivables (already RMB341m, 6.8%) rise. ANTA, Li Ning and Xtep push harder into the value tier. The overseas expansion absorbs the placement cash without reaching scale. Growth recovers only to 2% and the terminal multiple is ~1x EBITDA -- the market never re-rates a chairman-controlled HK-listed Chinese small cap whose RMB4.7bn of cash earns 0.25%, and at times (FY2019-20) has valued the business at less than that cash.</t>
  </si>
  <si>
    <t xml:space="preserve">Scenario narrative: base</t>
  </si>
  <si>
    <t xml:space="preserve">361 Degrees keeps growing at the mid-to-high single digits its Q2 2026 trading update describes: mainland offline is flat-to-low-single-digit, e-commerce (29.5% of FY2025 revenue, +26%) and the Kids line do the heavy lifting, and overseas adds a point or two of group growth from a small base. EBITDA margin drifts from 17.0% to 17.5%; the sponsorship calendar and 3-4% R&amp;D intensity cap further expansion. Working capital stops lengthening but does not reverse, absorbing ~35% of each year's revenue increase. Capex eases from the FY2024-25 plant-purchase spike toward 1.5% of revenue. The 45% payout continues, funded comfortably from FCF of ~RMB1.0-1.1bn in year 1 rising toward RMB2bn by year 10. After the sanity-check fix the flows are discounted at 11.5% and the year-10 business is exited at 2.3x EBITDA, the stock's own decade-average multiple: no re-rating is assumed.</t>
  </si>
  <si>
    <t xml:space="preserve">Scenario narrative: bull</t>
  </si>
  <si>
    <t xml:space="preserve">The international business (+80% overseas retail sales, +140% cross-border e-commerce in H1 2026, HK$488m of placement proceeds earmarked) and instant-retail integrations compound at double digits for several years, Super Premium Stores (127 -&gt; 188 in six months) raise store productivity, and Kids rides pro-natalist/school-sports policy. E-commerce mix passes 35%, lifting EBITDA margin to 18.5%. Working-capital days normalise toward FY2022 levels, so growth consumes only ~25% of incremental revenue and FCF converts closer to net profit. Profit growth continues to lead the big-four domestic brands. The exit is capped at 5.4x EBITDA, the decade high -- the bull re-rates to the top of its own range, not to ANTA's.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</si>
  <si>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</si>
  <si>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</si>
  <si>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</si>
  <si>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</si>
  <si>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</si>
  <si>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</si>
  <si>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</si>
  <si>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</si>
  <si>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</si>
  <si>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</si>
  <si>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</si>
  <si>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</si>
  <si>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</si>
  <si>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</si>
  <si>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</si>
  <si>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</si>
  <si>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</si>
  <si>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</si>
  <si>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</si>
  <si>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</si>
  <si>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</si>
  <si>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</si>
  <si>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</si>
  <si>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</si>
  <si>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</si>
  <si>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</si>
  <si>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</si>
  <si>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</si>
  <si>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</si>
  <si>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</si>
  <si>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</si>
  <si>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</si>
  <si>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</si>
  <si>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</si>
  <si>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</si>
  <si>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</si>
  <si>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</si>
  <si>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</si>
  <si>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</si>
  <si>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</si>
  <si>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</si>
  <si>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</si>
  <si>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</si>
  <si>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</si>
  <si>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</si>
  <si>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</si>
  <si>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</si>
  <si>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</si>
  <si>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</si>
  <si>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</si>
  <si>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</si>
  <si>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</si>
  <si>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</si>
  <si>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</si>
  <si>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</si>
  <si>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</si>
  <si>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</si>
  <si>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</si>
  <si>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</si>
  <si>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</si>
  <si>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</si>
  <si>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</si>
  <si>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</si>
  <si>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</si>
  <si>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</si>
  <si>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</si>
  <si>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</si>
  <si>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</si>
  <si>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</si>
  <si>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</si>
  <si>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</si>
  <si>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</si>
  <si>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1361.HK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</si>
  <si>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</si>
  <si>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</si>
  <si>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</si>
  <si>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</si>
  <si>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</si>
  <si>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</si>
  <si>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</si>
  <si>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</si>
  <si>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</si>
  <si>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</si>
  <si>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</si>
  <si>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</si>
  <si>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</si>
  <si>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</si>
  <si>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</si>
  <si>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</si>
  <si>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</si>
  <si>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</si>
  <si>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</si>
  <si>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</si>
  <si>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</si>
  <si>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</si>
  <si>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</si>
  <si>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</si>
  <si>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</si>
  <si>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</si>
  <si>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</si>
  <si>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</si>
  <si>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</si>
  <si>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</si>
  <si>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1361.HK owner-FCF component DCF: base case (millions, CNY)</t>
  </si>
  <si>
    <t xml:space="preserve">1361.HK owner-FCF component DCF: bull case (millions, CNY)</t>
  </si>
  <si>
    <t xml:space="preserve">1361.HK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</si>
  <si>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</si>
  <si>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</si>
  <si>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</si>
  <si>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</si>
  <si>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</si>
  <si>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</si>
  <si>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</si>
  <si>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</si>
  <si>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</si>
  <si>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</si>
  <si>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</si>
  <si>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</si>
  <si>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</si>
  <si>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</si>
  <si>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</si>
  <si>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</si>
  <si>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</si>
  <si>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11.5%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</si>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</sst>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5187.446</v>
      </c>
      <c r="C2" s="0" t="n">
        <v>3081.575</v>
      </c>
      <c r="D2" s="0" t="n">
        <v>2105.871</v>
      </c>
      <c r="E2" s="0" t="n">
        <v>40.5955</v>
      </c>
      <c r="F2" s="0" t="n">
        <v>782.327</v>
      </c>
      <c r="G2" s="0" t="n">
        <v>15.0812</v>
      </c>
      <c r="H2" s="0" t="n">
        <v>906.712</v>
      </c>
      <c r="I2" s="0" t="n">
        <v>303.665</v>
      </c>
      <c r="J2" s="0" t="n">
        <v>5.8538</v>
      </c>
      <c r="K2" s="0" t="n">
        <v>0.147</v>
      </c>
      <c r="L2" s="0" t="n">
        <v>295.021</v>
      </c>
      <c r="M2" s="0" t="n">
        <v>32.783</v>
      </c>
      <c r="N2" s="0" t="n">
        <v>262.238</v>
      </c>
      <c r="O2" s="0" t="n">
        <v>5767.65</v>
      </c>
      <c r="P2" s="0" t="n">
        <v>11964.994</v>
      </c>
      <c r="Q2" s="0" t="n">
        <v>6070.605</v>
      </c>
      <c r="R2" s="0" t="n">
        <v>2826.569</v>
      </c>
      <c r="S2" s="0" t="n">
        <v>6151.281</v>
      </c>
      <c r="T2" s="0" t="n">
        <v>2067.5</v>
      </c>
      <c r="U2" s="0" t="n">
        <v>0</v>
      </c>
      <c r="AA2" s="0" t="s">
        <v>18</v>
      </c>
      <c r="AB2" s="0" t="s">
        <v>14</v>
      </c>
    </row>
    <row r="3" customFormat="false" ht="15" hidden="false" customHeight="false" outlineLevel="0" collapsed="false">
      <c r="A3" s="0" t="s">
        <v>65</v>
      </c>
      <c r="B3" s="0" t="n">
        <v>5631.866</v>
      </c>
      <c r="C3" s="0" t="n">
        <v>3362.25</v>
      </c>
      <c r="D3" s="0" t="n">
        <v>2269.616</v>
      </c>
      <c r="E3" s="0" t="n">
        <v>40.2995</v>
      </c>
      <c r="F3" s="0" t="n">
        <v>887.25</v>
      </c>
      <c r="G3" s="0" t="n">
        <v>15.7541</v>
      </c>
      <c r="H3" s="0" t="n">
        <v>983.722</v>
      </c>
      <c r="I3" s="0" t="n">
        <v>432.403</v>
      </c>
      <c r="J3" s="0" t="n">
        <v>7.6778</v>
      </c>
      <c r="K3" s="0" t="n">
        <v>0.209</v>
      </c>
      <c r="L3" s="0" t="n">
        <v>630.165</v>
      </c>
      <c r="M3" s="0" t="n">
        <v>13.039</v>
      </c>
      <c r="N3" s="0" t="n">
        <v>617.126</v>
      </c>
      <c r="O3" s="0" t="n">
        <v>6322.505</v>
      </c>
      <c r="P3" s="0" t="n">
        <v>11887.154</v>
      </c>
      <c r="Q3" s="0" t="n">
        <v>5228.14</v>
      </c>
      <c r="R3" s="0" t="n">
        <v>2529.79</v>
      </c>
      <c r="S3" s="0" t="n">
        <v>6422.295</v>
      </c>
      <c r="T3" s="0" t="n">
        <v>2067.5</v>
      </c>
      <c r="U3" s="0" t="n">
        <v>0</v>
      </c>
      <c r="AA3" s="0" t="s">
        <v>18</v>
      </c>
      <c r="AB3" s="0" t="s">
        <v>14</v>
      </c>
    </row>
    <row r="4" customFormat="false" ht="15" hidden="false" customHeight="false" outlineLevel="0" collapsed="false">
      <c r="A4" s="0" t="s">
        <v>66</v>
      </c>
      <c r="B4" s="0" t="n">
        <v>5126.958</v>
      </c>
      <c r="C4" s="0" t="n">
        <v>3185.225</v>
      </c>
      <c r="D4" s="0" t="n">
        <v>1941.733</v>
      </c>
      <c r="E4" s="0" t="n">
        <v>37.873</v>
      </c>
      <c r="F4" s="0" t="n">
        <v>822.69</v>
      </c>
      <c r="G4" s="0" t="n">
        <v>16.0464</v>
      </c>
      <c r="H4" s="0" t="n">
        <v>905.869</v>
      </c>
      <c r="I4" s="0" t="n">
        <v>415.065</v>
      </c>
      <c r="J4" s="0" t="n">
        <v>8.0957</v>
      </c>
      <c r="K4" s="0" t="n">
        <v>0.201</v>
      </c>
      <c r="L4" s="0" t="n">
        <v>22.838</v>
      </c>
      <c r="M4" s="0" t="n">
        <v>7.413</v>
      </c>
      <c r="N4" s="0" t="n">
        <v>15.425</v>
      </c>
      <c r="O4" s="0" t="n">
        <v>6608.913</v>
      </c>
      <c r="P4" s="0" t="n">
        <v>11621.562</v>
      </c>
      <c r="Q4" s="0" t="n">
        <v>4055.571</v>
      </c>
      <c r="R4" s="0" t="n">
        <v>1936.792</v>
      </c>
      <c r="S4" s="0" t="n">
        <v>6451.331</v>
      </c>
      <c r="T4" s="0" t="n">
        <v>2067.5</v>
      </c>
      <c r="U4" s="0" t="n">
        <v>0</v>
      </c>
      <c r="AA4" s="0" t="s">
        <v>18</v>
      </c>
      <c r="AB4" s="0" t="s">
        <v>14</v>
      </c>
    </row>
    <row r="5" customFormat="false" ht="15" hidden="false" customHeight="false" outlineLevel="0" collapsed="false">
      <c r="A5" s="0" t="s">
        <v>67</v>
      </c>
      <c r="B5" s="0" t="n">
        <v>5933.482</v>
      </c>
      <c r="C5" s="0" t="n">
        <v>3461.062</v>
      </c>
      <c r="D5" s="0" t="n">
        <v>2472.42</v>
      </c>
      <c r="E5" s="0" t="n">
        <v>41.669</v>
      </c>
      <c r="F5" s="0" t="n">
        <v>1083.122</v>
      </c>
      <c r="G5" s="0" t="n">
        <v>18.2544</v>
      </c>
      <c r="H5" s="0" t="n">
        <v>1156.66</v>
      </c>
      <c r="I5" s="0" t="n">
        <v>601.7</v>
      </c>
      <c r="J5" s="0" t="n">
        <v>10.1408</v>
      </c>
      <c r="K5" s="0" t="n">
        <v>0.291</v>
      </c>
      <c r="L5" s="0" t="n">
        <v>371.952</v>
      </c>
      <c r="M5" s="0" t="n">
        <v>8.982</v>
      </c>
      <c r="N5" s="0" t="n">
        <v>362.97</v>
      </c>
      <c r="O5" s="0" t="n">
        <v>7116.765</v>
      </c>
      <c r="P5" s="0" t="n">
        <v>11237.986</v>
      </c>
      <c r="Q5" s="0" t="n">
        <v>2682.345</v>
      </c>
      <c r="R5" s="0" t="n">
        <v>207.837</v>
      </c>
      <c r="S5" s="0" t="n">
        <v>5339.01</v>
      </c>
      <c r="T5" s="0" t="n">
        <v>2067.5</v>
      </c>
      <c r="U5" s="0" t="n">
        <v>26.125</v>
      </c>
      <c r="AA5" s="0" t="s">
        <v>18</v>
      </c>
      <c r="AB5" s="0" t="s">
        <v>14</v>
      </c>
    </row>
    <row r="6" customFormat="false" ht="15" hidden="false" customHeight="false" outlineLevel="0" collapsed="false">
      <c r="A6" s="0" t="s">
        <v>68</v>
      </c>
      <c r="B6" s="0" t="n">
        <v>6960.826</v>
      </c>
      <c r="C6" s="0" t="n">
        <v>4140.178</v>
      </c>
      <c r="D6" s="0" t="n">
        <v>2820.648</v>
      </c>
      <c r="E6" s="0" t="n">
        <v>40.5217</v>
      </c>
      <c r="F6" s="0" t="n">
        <v>1074.145</v>
      </c>
      <c r="G6" s="0" t="n">
        <v>15.4313</v>
      </c>
      <c r="H6" s="0" t="n">
        <v>1142.723</v>
      </c>
      <c r="I6" s="0" t="n">
        <v>747.117</v>
      </c>
      <c r="J6" s="0" t="n">
        <v>10.7332</v>
      </c>
      <c r="K6" s="0" t="n">
        <v>0.361</v>
      </c>
      <c r="L6" s="0" t="n">
        <v>380.337</v>
      </c>
      <c r="M6" s="0" t="n">
        <v>30.957</v>
      </c>
      <c r="N6" s="0" t="n">
        <v>349.38</v>
      </c>
      <c r="O6" s="0" t="n">
        <v>7943.53</v>
      </c>
      <c r="P6" s="0" t="n">
        <v>12435.897</v>
      </c>
      <c r="Q6" s="0" t="n">
        <v>3018.218</v>
      </c>
      <c r="R6" s="0" t="n">
        <v>292.282</v>
      </c>
      <c r="S6" s="0" t="n">
        <v>5860.442</v>
      </c>
      <c r="T6" s="0" t="n">
        <v>2067.5</v>
      </c>
      <c r="U6" s="0" t="n">
        <v>43.647</v>
      </c>
      <c r="AA6" s="0" t="s">
        <v>18</v>
      </c>
      <c r="AB6" s="0" t="s">
        <v>14</v>
      </c>
    </row>
    <row r="7" customFormat="false" ht="15" hidden="false" customHeight="false" outlineLevel="0" collapsed="false">
      <c r="A7" s="0" t="s">
        <v>69</v>
      </c>
      <c r="B7" s="0" t="n">
        <v>8423.257</v>
      </c>
      <c r="C7" s="0" t="n">
        <v>4961.102</v>
      </c>
      <c r="D7" s="0" t="n">
        <v>3462.155</v>
      </c>
      <c r="E7" s="0" t="n">
        <v>41.1023</v>
      </c>
      <c r="F7" s="0" t="n">
        <v>1383.549</v>
      </c>
      <c r="G7" s="0" t="n">
        <v>16.4253</v>
      </c>
      <c r="H7" s="0" t="n">
        <v>1458.904</v>
      </c>
      <c r="I7" s="0" t="n">
        <v>961.427</v>
      </c>
      <c r="J7" s="0" t="n">
        <v>11.414</v>
      </c>
      <c r="K7" s="0" t="n">
        <v>0.465</v>
      </c>
      <c r="L7" s="0" t="n">
        <v>407.808</v>
      </c>
      <c r="M7" s="0" t="n">
        <v>63.978</v>
      </c>
      <c r="N7" s="0" t="n">
        <v>343.83</v>
      </c>
      <c r="O7" s="0" t="n">
        <v>9082.367</v>
      </c>
      <c r="P7" s="0" t="n">
        <v>13065.25</v>
      </c>
      <c r="Q7" s="0" t="n">
        <v>3342.08</v>
      </c>
      <c r="R7" s="0" t="n">
        <v>292.491</v>
      </c>
      <c r="S7" s="0" t="n">
        <v>5196.489</v>
      </c>
      <c r="T7" s="0" t="n">
        <v>2067.6</v>
      </c>
      <c r="U7" s="0" t="n">
        <v>0</v>
      </c>
      <c r="AA7" s="0" t="s">
        <v>18</v>
      </c>
      <c r="AB7" s="0" t="s">
        <v>14</v>
      </c>
    </row>
    <row r="8" customFormat="false" ht="15" hidden="false" customHeight="false" outlineLevel="0" collapsed="false">
      <c r="A8" s="0" t="s">
        <v>70</v>
      </c>
      <c r="B8" s="0" t="n">
        <v>10073.51</v>
      </c>
      <c r="C8" s="0" t="n">
        <v>5890.218</v>
      </c>
      <c r="D8" s="0" t="n">
        <v>4183.292</v>
      </c>
      <c r="E8" s="0" t="n">
        <v>41.5277</v>
      </c>
      <c r="F8" s="0" t="n">
        <v>1576.24</v>
      </c>
      <c r="G8" s="0" t="n">
        <v>15.6474</v>
      </c>
      <c r="H8" s="0" t="n">
        <v>1653.217</v>
      </c>
      <c r="I8" s="0" t="n">
        <v>1148.615</v>
      </c>
      <c r="J8" s="0" t="n">
        <v>11.4023</v>
      </c>
      <c r="K8" s="0" t="n">
        <v>0.556</v>
      </c>
      <c r="L8" s="0" t="n">
        <v>69.807</v>
      </c>
      <c r="M8" s="0" t="n">
        <v>268.664</v>
      </c>
      <c r="N8" s="0" t="n">
        <v>-198.857</v>
      </c>
      <c r="O8" s="0" t="n">
        <v>9375.242</v>
      </c>
      <c r="P8" s="0" t="n">
        <v>13413.552</v>
      </c>
      <c r="Q8" s="0" t="n">
        <v>3584.424</v>
      </c>
      <c r="R8" s="0" t="n">
        <v>261.22</v>
      </c>
      <c r="S8" s="0" t="n">
        <v>4254.236</v>
      </c>
      <c r="T8" s="0" t="n">
        <v>2067.6</v>
      </c>
      <c r="U8" s="0" t="n">
        <v>0</v>
      </c>
      <c r="AA8" s="0" t="s">
        <v>18</v>
      </c>
      <c r="AB8" s="0" t="s">
        <v>14</v>
      </c>
    </row>
    <row r="9" customFormat="false" ht="15" hidden="false" customHeight="false" outlineLevel="0" collapsed="false">
      <c r="A9" s="0" t="s">
        <v>71</v>
      </c>
      <c r="B9" s="0" t="n">
        <v>11145.829</v>
      </c>
      <c r="C9" s="0" t="n">
        <v>6517.293</v>
      </c>
      <c r="D9" s="0" t="n">
        <v>4628.536</v>
      </c>
      <c r="E9" s="0" t="n">
        <v>41.5271</v>
      </c>
      <c r="F9" s="0" t="n">
        <v>1767.12</v>
      </c>
      <c r="G9" s="0" t="n">
        <v>15.8545</v>
      </c>
      <c r="H9" s="0" t="n">
        <v>1893.066</v>
      </c>
      <c r="I9" s="0" t="n">
        <v>1308.884</v>
      </c>
      <c r="J9" s="0" t="n">
        <v>11.7433</v>
      </c>
      <c r="K9" s="0" t="n">
        <v>0.633</v>
      </c>
      <c r="L9" s="0" t="n">
        <v>814.615</v>
      </c>
      <c r="M9" s="0" t="n">
        <v>285.219</v>
      </c>
      <c r="N9" s="0" t="n">
        <v>529.396</v>
      </c>
      <c r="O9" s="0" t="n">
        <v>10078.1</v>
      </c>
      <c r="P9" s="0" t="n">
        <v>14411.342</v>
      </c>
      <c r="Q9" s="0" t="n">
        <v>3861.103</v>
      </c>
      <c r="R9" s="0" t="n">
        <v>299.001</v>
      </c>
      <c r="S9" s="0" t="n">
        <v>4093.846</v>
      </c>
      <c r="T9" s="0" t="n">
        <v>2067.6</v>
      </c>
      <c r="U9" s="0" t="n">
        <v>0</v>
      </c>
      <c r="AA9" s="0" t="s">
        <v>18</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4.9</v>
      </c>
    </row>
    <row r="3" customFormat="false" ht="15" hidden="false" customHeight="false" outlineLevel="0" collapsed="false">
      <c r="A3" s="0" t="s">
        <v>75</v>
      </c>
      <c r="B3" s="3" t="n">
        <v>2167.682</v>
      </c>
    </row>
    <row r="4" customFormat="false" ht="15" hidden="false" customHeight="false" outlineLevel="0" collapsed="false">
      <c r="A4" s="0" t="s">
        <v>76</v>
      </c>
      <c r="B4" s="3" t="n">
        <v>-4710.4</v>
      </c>
    </row>
    <row r="5" customFormat="false" ht="15" hidden="false" customHeight="false" outlineLevel="0" collapsed="false">
      <c r="A5" s="0" t="s">
        <v>77</v>
      </c>
      <c r="B5" s="3" t="n">
        <v>-481.969</v>
      </c>
    </row>
    <row r="6" customFormat="false" ht="15" hidden="false" customHeight="false" outlineLevel="0" collapsed="false">
      <c r="A6" s="0" t="s">
        <v>78</v>
      </c>
      <c r="B6" s="3" t="n">
        <v>15</v>
      </c>
    </row>
    <row r="7" customFormat="false" ht="15" hidden="false" customHeight="false" outlineLevel="0" collapsed="false">
      <c r="A7" s="0" t="s">
        <v>79</v>
      </c>
      <c r="B7" s="3" t="n">
        <v>11145.829</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1.1727</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5</v>
      </c>
      <c r="D13" s="3" t="n">
        <v>2</v>
      </c>
      <c r="E13" s="3" t="n">
        <v>0</v>
      </c>
      <c r="F13" s="3" t="n">
        <v>-1</v>
      </c>
      <c r="G13" s="3" t="n">
        <v>1</v>
      </c>
      <c r="H13" s="3" t="n">
        <v>2</v>
      </c>
      <c r="I13" s="3" t="n">
        <v>2</v>
      </c>
      <c r="J13" s="3" t="n">
        <v>2</v>
      </c>
      <c r="K13" s="3" t="n">
        <v>2</v>
      </c>
      <c r="L13" s="3" t="n">
        <v>2</v>
      </c>
    </row>
    <row r="14" customFormat="false" ht="15" hidden="false" customHeight="false" outlineLevel="0" collapsed="false">
      <c r="A14" s="0" t="s">
        <v>96</v>
      </c>
      <c r="C14" s="3" t="n">
        <v>16.5</v>
      </c>
      <c r="D14" s="3" t="n">
        <v>15.5</v>
      </c>
      <c r="E14" s="3" t="n">
        <v>14.5</v>
      </c>
      <c r="F14" s="3" t="n">
        <v>14</v>
      </c>
      <c r="G14" s="3" t="n">
        <v>14</v>
      </c>
      <c r="H14" s="3" t="n">
        <v>14</v>
      </c>
      <c r="I14" s="3" t="n">
        <v>14</v>
      </c>
      <c r="J14" s="3" t="n">
        <v>14</v>
      </c>
      <c r="K14" s="3" t="n">
        <v>14</v>
      </c>
      <c r="L14" s="3" t="n">
        <v>14</v>
      </c>
    </row>
    <row r="15" customFormat="false" ht="15" hidden="false" customHeight="false" outlineLevel="0" collapsed="false">
      <c r="A15" s="0" t="s">
        <v>97</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99</v>
      </c>
      <c r="C17" s="3" t="n">
        <v>1.2</v>
      </c>
      <c r="D17" s="3" t="n">
        <v>1.3</v>
      </c>
      <c r="E17" s="3" t="n">
        <v>1.4</v>
      </c>
      <c r="F17" s="3" t="n">
        <v>1.4</v>
      </c>
      <c r="G17" s="3" t="n">
        <v>1.4</v>
      </c>
      <c r="H17" s="3" t="n">
        <v>1.4</v>
      </c>
      <c r="I17" s="3" t="n">
        <v>1.4</v>
      </c>
      <c r="J17" s="3" t="n">
        <v>1.4</v>
      </c>
      <c r="K17" s="3" t="n">
        <v>1.4</v>
      </c>
      <c r="L17" s="3" t="n">
        <v>1.4</v>
      </c>
    </row>
    <row r="18" customFormat="false" ht="15" hidden="false" customHeight="false" outlineLevel="0" collapsed="false">
      <c r="A18" s="0" t="s">
        <v>100</v>
      </c>
      <c r="C18" s="3" t="n">
        <v>2.4</v>
      </c>
      <c r="D18" s="3" t="n">
        <v>2.2</v>
      </c>
      <c r="E18" s="3" t="n">
        <v>2</v>
      </c>
      <c r="F18" s="3" t="n">
        <v>1.8</v>
      </c>
      <c r="G18" s="3" t="n">
        <v>1.8</v>
      </c>
      <c r="H18" s="3" t="n">
        <v>1.8</v>
      </c>
      <c r="I18" s="3" t="n">
        <v>1.8</v>
      </c>
      <c r="J18" s="3" t="n">
        <v>1.8</v>
      </c>
      <c r="K18" s="3" t="n">
        <v>1.8</v>
      </c>
      <c r="L18" s="3" t="n">
        <v>1.8</v>
      </c>
    </row>
    <row r="19" customFormat="false" ht="15" hidden="false" customHeight="false" outlineLevel="0" collapsed="false">
      <c r="A19" s="0" t="s">
        <v>101</v>
      </c>
      <c r="C19" s="3" t="n">
        <v>24</v>
      </c>
      <c r="D19" s="3" t="n">
        <v>24</v>
      </c>
      <c r="E19" s="3" t="n">
        <v>24</v>
      </c>
      <c r="F19" s="3" t="n">
        <v>24</v>
      </c>
      <c r="G19" s="3" t="n">
        <v>24</v>
      </c>
      <c r="H19" s="3" t="n">
        <v>24</v>
      </c>
      <c r="I19" s="3" t="n">
        <v>24</v>
      </c>
      <c r="J19" s="3" t="n">
        <v>24</v>
      </c>
      <c r="K19" s="3" t="n">
        <v>24</v>
      </c>
      <c r="L19" s="3" t="n">
        <v>24</v>
      </c>
    </row>
    <row r="20" customFormat="false" ht="15" hidden="false" customHeight="false" outlineLevel="0" collapsed="false">
      <c r="A20" s="0" t="s">
        <v>102</v>
      </c>
      <c r="B20" s="3" t="n">
        <v>11.5</v>
      </c>
    </row>
    <row r="21" customFormat="false" ht="15" hidden="false" customHeight="false" outlineLevel="0" collapsed="false">
      <c r="A21" s="0" t="s">
        <v>103</v>
      </c>
      <c r="B21" s="3" t="n">
        <v>2</v>
      </c>
    </row>
    <row r="22" customFormat="false" ht="15" hidden="false" customHeight="false" outlineLevel="0" collapsed="false">
      <c r="A22" s="0" t="s">
        <v>104</v>
      </c>
      <c r="B22" s="3" t="n">
        <v>1.7</v>
      </c>
    </row>
    <row r="23" customFormat="false" ht="15" hidden="false" customHeight="false" outlineLevel="0" collapsed="false">
      <c r="A23" s="0" t="s">
        <v>105</v>
      </c>
      <c r="B23" s="3" t="n">
        <v>-50</v>
      </c>
    </row>
    <row r="24" customFormat="false" ht="15" hidden="false" customHeight="false" outlineLevel="0" collapsed="false">
      <c r="A24" s="0" t="s">
        <v>106</v>
      </c>
      <c r="B24" s="3" t="n">
        <v>0.25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8</v>
      </c>
      <c r="D27" s="3" t="n">
        <v>7</v>
      </c>
      <c r="E27" s="3" t="n">
        <v>6.5</v>
      </c>
      <c r="F27" s="3" t="n">
        <v>6</v>
      </c>
      <c r="G27" s="3" t="n">
        <v>5.5</v>
      </c>
      <c r="H27" s="3" t="n">
        <v>5</v>
      </c>
      <c r="I27" s="3" t="n">
        <v>4.5</v>
      </c>
      <c r="J27" s="3" t="n">
        <v>4</v>
      </c>
      <c r="K27" s="3" t="n">
        <v>3.5</v>
      </c>
      <c r="L27" s="3" t="n">
        <v>3</v>
      </c>
    </row>
    <row r="28" customFormat="false" ht="15" hidden="false" customHeight="false" outlineLevel="0" collapsed="false">
      <c r="A28" s="0" t="s">
        <v>96</v>
      </c>
      <c r="C28" s="3" t="n">
        <v>17</v>
      </c>
      <c r="D28" s="3" t="n">
        <v>17.1</v>
      </c>
      <c r="E28" s="3" t="n">
        <v>17.2</v>
      </c>
      <c r="F28" s="3" t="n">
        <v>17.3</v>
      </c>
      <c r="G28" s="3" t="n">
        <v>17.4</v>
      </c>
      <c r="H28" s="3" t="n">
        <v>17.5</v>
      </c>
      <c r="I28" s="3" t="n">
        <v>17.5</v>
      </c>
      <c r="J28" s="3" t="n">
        <v>17.5</v>
      </c>
      <c r="K28" s="3" t="n">
        <v>17.5</v>
      </c>
      <c r="L28" s="3" t="n">
        <v>17.5</v>
      </c>
    </row>
    <row r="29" customFormat="false" ht="15" hidden="false" customHeight="false" outlineLevel="0" collapsed="false">
      <c r="A29" s="0" t="s">
        <v>97</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99</v>
      </c>
      <c r="C31" s="3" t="n">
        <v>1.15</v>
      </c>
      <c r="D31" s="3" t="n">
        <v>1.2</v>
      </c>
      <c r="E31" s="3" t="n">
        <v>1.25</v>
      </c>
      <c r="F31" s="3" t="n">
        <v>1.3</v>
      </c>
      <c r="G31" s="3" t="n">
        <v>1.3</v>
      </c>
      <c r="H31" s="3" t="n">
        <v>1.3</v>
      </c>
      <c r="I31" s="3" t="n">
        <v>1.3</v>
      </c>
      <c r="J31" s="3" t="n">
        <v>1.3</v>
      </c>
      <c r="K31" s="3" t="n">
        <v>1.3</v>
      </c>
      <c r="L31" s="3" t="n">
        <v>1.3</v>
      </c>
    </row>
    <row r="32" customFormat="false" ht="15" hidden="false" customHeight="false" outlineLevel="0" collapsed="false">
      <c r="A32" s="0" t="s">
        <v>100</v>
      </c>
      <c r="C32" s="3" t="n">
        <v>2.2</v>
      </c>
      <c r="D32" s="3" t="n">
        <v>2</v>
      </c>
      <c r="E32" s="3" t="n">
        <v>1.8</v>
      </c>
      <c r="F32" s="3" t="n">
        <v>1.7</v>
      </c>
      <c r="G32" s="3" t="n">
        <v>1.6</v>
      </c>
      <c r="H32" s="3" t="n">
        <v>1.5</v>
      </c>
      <c r="I32" s="3" t="n">
        <v>1.5</v>
      </c>
      <c r="J32" s="3" t="n">
        <v>1.5</v>
      </c>
      <c r="K32" s="3" t="n">
        <v>1.5</v>
      </c>
      <c r="L32" s="3" t="n">
        <v>1.5</v>
      </c>
    </row>
    <row r="33" customFormat="false" ht="15" hidden="false" customHeight="false" outlineLevel="0" collapsed="false">
      <c r="A33" s="0" t="s">
        <v>101</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102</v>
      </c>
      <c r="B34" s="3" t="n">
        <v>11.5</v>
      </c>
    </row>
    <row r="35" customFormat="false" ht="15" hidden="false" customHeight="false" outlineLevel="0" collapsed="false">
      <c r="A35" s="0" t="s">
        <v>103</v>
      </c>
      <c r="B35" s="3" t="n">
        <v>3</v>
      </c>
    </row>
    <row r="36" customFormat="false" ht="15" hidden="false" customHeight="false" outlineLevel="0" collapsed="false">
      <c r="A36" s="0" t="s">
        <v>104</v>
      </c>
      <c r="B36" s="3" t="n">
        <v>3.6</v>
      </c>
    </row>
    <row r="37" customFormat="false" ht="15" hidden="false" customHeight="false" outlineLevel="0" collapsed="false">
      <c r="A37" s="0" t="s">
        <v>105</v>
      </c>
      <c r="B37" s="3" t="n">
        <v>-35</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10</v>
      </c>
      <c r="D41" s="3" t="n">
        <v>10</v>
      </c>
      <c r="E41" s="3" t="n">
        <v>9</v>
      </c>
      <c r="F41" s="3" t="n">
        <v>8</v>
      </c>
      <c r="G41" s="3" t="n">
        <v>7</v>
      </c>
      <c r="H41" s="3" t="n">
        <v>6</v>
      </c>
      <c r="I41" s="3" t="n">
        <v>5</v>
      </c>
      <c r="J41" s="3" t="n">
        <v>4.5</v>
      </c>
      <c r="K41" s="3" t="n">
        <v>4</v>
      </c>
      <c r="L41" s="3" t="n">
        <v>3.5</v>
      </c>
    </row>
    <row r="42" customFormat="false" ht="15" hidden="false" customHeight="false" outlineLevel="0" collapsed="false">
      <c r="A42" s="0" t="s">
        <v>96</v>
      </c>
      <c r="C42" s="3" t="n">
        <v>17.2</v>
      </c>
      <c r="D42" s="3" t="n">
        <v>17.5</v>
      </c>
      <c r="E42" s="3" t="n">
        <v>17.8</v>
      </c>
      <c r="F42" s="3" t="n">
        <v>18</v>
      </c>
      <c r="G42" s="3" t="n">
        <v>18.2</v>
      </c>
      <c r="H42" s="3" t="n">
        <v>18.4</v>
      </c>
      <c r="I42" s="3" t="n">
        <v>18.5</v>
      </c>
      <c r="J42" s="3" t="n">
        <v>18.5</v>
      </c>
      <c r="K42" s="3" t="n">
        <v>18.5</v>
      </c>
      <c r="L42" s="3" t="n">
        <v>18.5</v>
      </c>
    </row>
    <row r="43" customFormat="false" ht="15" hidden="false" customHeight="false" outlineLevel="0" collapsed="false">
      <c r="A43" s="0" t="s">
        <v>97</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99</v>
      </c>
      <c r="C45" s="3" t="n">
        <v>1.15</v>
      </c>
      <c r="D45" s="3" t="n">
        <v>1.2</v>
      </c>
      <c r="E45" s="3" t="n">
        <v>1.25</v>
      </c>
      <c r="F45" s="3" t="n">
        <v>1.3</v>
      </c>
      <c r="G45" s="3" t="n">
        <v>1.3</v>
      </c>
      <c r="H45" s="3" t="n">
        <v>1.3</v>
      </c>
      <c r="I45" s="3" t="n">
        <v>1.3</v>
      </c>
      <c r="J45" s="3" t="n">
        <v>1.3</v>
      </c>
      <c r="K45" s="3" t="n">
        <v>1.3</v>
      </c>
      <c r="L45" s="3" t="n">
        <v>1.3</v>
      </c>
    </row>
    <row r="46" customFormat="false" ht="15" hidden="false" customHeight="false" outlineLevel="0" collapsed="false">
      <c r="A46" s="0" t="s">
        <v>100</v>
      </c>
      <c r="C46" s="3" t="n">
        <v>2.2</v>
      </c>
      <c r="D46" s="3" t="n">
        <v>2</v>
      </c>
      <c r="E46" s="3" t="n">
        <v>1.8</v>
      </c>
      <c r="F46" s="3" t="n">
        <v>1.7</v>
      </c>
      <c r="G46" s="3" t="n">
        <v>1.6</v>
      </c>
      <c r="H46" s="3" t="n">
        <v>1.5</v>
      </c>
      <c r="I46" s="3" t="n">
        <v>1.5</v>
      </c>
      <c r="J46" s="3" t="n">
        <v>1.5</v>
      </c>
      <c r="K46" s="3" t="n">
        <v>1.5</v>
      </c>
      <c r="L46" s="3" t="n">
        <v>1.5</v>
      </c>
    </row>
    <row r="47" customFormat="false" ht="15" hidden="false" customHeight="false" outlineLevel="0" collapsed="false">
      <c r="A47" s="0" t="s">
        <v>101</v>
      </c>
      <c r="C47" s="3" t="n">
        <v>24</v>
      </c>
      <c r="D47" s="3" t="n">
        <v>24</v>
      </c>
      <c r="E47" s="3" t="n">
        <v>24</v>
      </c>
      <c r="F47" s="3" t="n">
        <v>24</v>
      </c>
      <c r="G47" s="3" t="n">
        <v>24</v>
      </c>
      <c r="H47" s="3" t="n">
        <v>24</v>
      </c>
      <c r="I47" s="3" t="n">
        <v>24</v>
      </c>
      <c r="J47" s="3" t="n">
        <v>24</v>
      </c>
      <c r="K47" s="3" t="n">
        <v>24</v>
      </c>
      <c r="L47" s="3" t="n">
        <v>24</v>
      </c>
    </row>
    <row r="48" customFormat="false" ht="15" hidden="false" customHeight="false" outlineLevel="0" collapsed="false">
      <c r="A48" s="0" t="s">
        <v>102</v>
      </c>
      <c r="B48" s="3" t="n">
        <v>11.5</v>
      </c>
    </row>
    <row r="49" customFormat="false" ht="15" hidden="false" customHeight="false" outlineLevel="0" collapsed="false">
      <c r="A49" s="0" t="s">
        <v>103</v>
      </c>
      <c r="B49" s="3" t="n">
        <v>3</v>
      </c>
    </row>
    <row r="50" customFormat="false" ht="15" hidden="false" customHeight="false" outlineLevel="0" collapsed="false">
      <c r="A50" s="0" t="s">
        <v>104</v>
      </c>
      <c r="B50" s="3" t="n">
        <v>8.3</v>
      </c>
    </row>
    <row r="51" customFormat="false" ht="15" hidden="false" customHeight="false" outlineLevel="0" collapsed="false">
      <c r="A51" s="0" t="s">
        <v>105</v>
      </c>
      <c r="B51" s="3" t="n">
        <v>-25</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5</v>
      </c>
      <c r="D5" s="4" t="n">
        <f aca="false">Assumptions!D13</f>
        <v>2</v>
      </c>
      <c r="E5" s="4" t="n">
        <f aca="false">Assumptions!E13</f>
        <v>0</v>
      </c>
      <c r="F5" s="4" t="n">
        <f aca="false">Assumptions!F13</f>
        <v>-1</v>
      </c>
      <c r="G5" s="4" t="n">
        <f aca="false">Assumptions!G13</f>
        <v>1</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11145.829</v>
      </c>
      <c r="C6" s="0" t="n">
        <f aca="false">B6*(1+C5/100)</f>
        <v>11703.12045</v>
      </c>
      <c r="D6" s="0" t="n">
        <f aca="false">C6*(1+D5/100)</f>
        <v>11937.182859</v>
      </c>
      <c r="E6" s="0" t="n">
        <f aca="false">D6*(1+E5/100)</f>
        <v>11937.182859</v>
      </c>
      <c r="F6" s="0" t="n">
        <f aca="false">E6*(1+F5/100)</f>
        <v>11817.81103041</v>
      </c>
      <c r="G6" s="0" t="n">
        <f aca="false">F6*(1+G5/100)</f>
        <v>11935.9891407141</v>
      </c>
      <c r="H6" s="0" t="n">
        <f aca="false">G6*(1+H5/100)</f>
        <v>12174.7089235284</v>
      </c>
      <c r="I6" s="0" t="n">
        <f aca="false">H6*(1+I5/100)</f>
        <v>12418.203101999</v>
      </c>
      <c r="J6" s="0" t="n">
        <f aca="false">I6*(1+J5/100)</f>
        <v>12666.5671640389</v>
      </c>
      <c r="K6" s="0" t="n">
        <f aca="false">J6*(1+K5/100)</f>
        <v>12919.8985073197</v>
      </c>
      <c r="L6" s="0" t="n">
        <f aca="false">K6*(1+L5/100)</f>
        <v>13178.2964774661</v>
      </c>
    </row>
    <row r="7" customFormat="false" ht="15" hidden="false" customHeight="false" outlineLevel="0" collapsed="false">
      <c r="A7" s="0" t="s">
        <v>96</v>
      </c>
      <c r="C7" s="4" t="n">
        <f aca="false">Assumptions!C14</f>
        <v>16.5</v>
      </c>
      <c r="D7" s="4" t="n">
        <f aca="false">Assumptions!D14</f>
        <v>15.5</v>
      </c>
      <c r="E7" s="4" t="n">
        <f aca="false">Assumptions!E14</f>
        <v>14.5</v>
      </c>
      <c r="F7" s="4" t="n">
        <f aca="false">Assumptions!F14</f>
        <v>14</v>
      </c>
      <c r="G7" s="4" t="n">
        <f aca="false">Assumptions!G14</f>
        <v>14</v>
      </c>
      <c r="H7" s="4" t="n">
        <f aca="false">Assumptions!H14</f>
        <v>14</v>
      </c>
      <c r="I7" s="4" t="n">
        <f aca="false">Assumptions!I14</f>
        <v>14</v>
      </c>
      <c r="J7" s="4" t="n">
        <f aca="false">Assumptions!J14</f>
        <v>14</v>
      </c>
      <c r="K7" s="4" t="n">
        <f aca="false">Assumptions!K14</f>
        <v>14</v>
      </c>
      <c r="L7" s="4" t="n">
        <f aca="false">Assumptions!L14</f>
        <v>14</v>
      </c>
    </row>
    <row r="8" customFormat="false" ht="15" hidden="false" customHeight="false" outlineLevel="0" collapsed="false">
      <c r="A8" s="0" t="s">
        <v>44</v>
      </c>
      <c r="C8" s="0" t="n">
        <f aca="false">C6*C7/100</f>
        <v>1931.01487425</v>
      </c>
      <c r="D8" s="0" t="n">
        <f aca="false">D6*D7/100</f>
        <v>1850.263343145</v>
      </c>
      <c r="E8" s="0" t="n">
        <f aca="false">E6*E7/100</f>
        <v>1730.891514555</v>
      </c>
      <c r="F8" s="0" t="n">
        <f aca="false">F6*F7/100</f>
        <v>1654.4935442574</v>
      </c>
      <c r="G8" s="0" t="n">
        <f aca="false">G6*G7/100</f>
        <v>1671.03847969997</v>
      </c>
      <c r="H8" s="0" t="n">
        <f aca="false">H6*H7/100</f>
        <v>1704.45924929397</v>
      </c>
      <c r="I8" s="0" t="n">
        <f aca="false">I6*I7/100</f>
        <v>1738.54843427985</v>
      </c>
      <c r="J8" s="0" t="n">
        <f aca="false">J6*J7/100</f>
        <v>1773.31940296545</v>
      </c>
      <c r="K8" s="0" t="n">
        <f aca="false">K6*K7/100</f>
        <v>1808.78579102476</v>
      </c>
      <c r="L8" s="0" t="n">
        <f aca="false">L6*L7/100</f>
        <v>1844.96150684525</v>
      </c>
    </row>
    <row r="9" customFormat="false" ht="15" hidden="false" customHeight="false" outlineLevel="0" collapsed="false">
      <c r="A9" s="0" t="s">
        <v>97</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1931.01487425</v>
      </c>
      <c r="D11" s="0" t="n">
        <f aca="false">D8+D10+D24</f>
        <v>1850.263343145</v>
      </c>
      <c r="E11" s="0" t="n">
        <f aca="false">E8+E10+E24</f>
        <v>1730.891514555</v>
      </c>
      <c r="F11" s="0" t="n">
        <f aca="false">F8+F10+F24</f>
        <v>1654.4935442574</v>
      </c>
      <c r="G11" s="0" t="n">
        <f aca="false">G8+G10+G24</f>
        <v>1671.03847969997</v>
      </c>
      <c r="H11" s="0" t="n">
        <f aca="false">H8+H10+H24</f>
        <v>1704.45924929397</v>
      </c>
      <c r="I11" s="0" t="n">
        <f aca="false">I8+I10+I24</f>
        <v>1738.54843427985</v>
      </c>
      <c r="J11" s="0" t="n">
        <f aca="false">J8+J10+J24</f>
        <v>1773.31940296545</v>
      </c>
      <c r="K11" s="0" t="n">
        <f aca="false">K8+K10+K24</f>
        <v>1808.78579102476</v>
      </c>
      <c r="L11" s="0" t="n">
        <f aca="false">L8+L10+L24</f>
        <v>1844.96150684525</v>
      </c>
    </row>
    <row r="12" customFormat="false" ht="15" hidden="false" customHeight="false" outlineLevel="0" collapsed="false">
      <c r="A12" s="0" t="s">
        <v>114</v>
      </c>
      <c r="C12" s="4" t="n">
        <f aca="false">-C6*Assumptions!C17/100</f>
        <v>-140.4374454</v>
      </c>
      <c r="D12" s="4" t="n">
        <f aca="false">-D6*Assumptions!D17/100</f>
        <v>-155.183377167</v>
      </c>
      <c r="E12" s="4" t="n">
        <f aca="false">-E6*Assumptions!E17/100</f>
        <v>-167.120560026</v>
      </c>
      <c r="F12" s="4" t="n">
        <f aca="false">-F6*Assumptions!F17/100</f>
        <v>-165.44935442574</v>
      </c>
      <c r="G12" s="4" t="n">
        <f aca="false">-G6*Assumptions!G17/100</f>
        <v>-167.103847969997</v>
      </c>
      <c r="H12" s="4" t="n">
        <f aca="false">-H6*Assumptions!H17/100</f>
        <v>-170.445924929397</v>
      </c>
      <c r="I12" s="4" t="n">
        <f aca="false">-I6*Assumptions!I17/100</f>
        <v>-173.854843427985</v>
      </c>
      <c r="J12" s="4" t="n">
        <f aca="false">-J6*Assumptions!J17/100</f>
        <v>-177.331940296545</v>
      </c>
      <c r="K12" s="4" t="n">
        <f aca="false">-K6*Assumptions!K17/100</f>
        <v>-180.878579102476</v>
      </c>
      <c r="L12" s="4" t="n">
        <f aca="false">-L6*Assumptions!L17/100</f>
        <v>-184.496150684525</v>
      </c>
    </row>
    <row r="13" customFormat="false" ht="15" hidden="false" customHeight="false" outlineLevel="0" collapsed="false">
      <c r="A13" s="0" t="s">
        <v>115</v>
      </c>
      <c r="C13" s="0" t="n">
        <f aca="false">C11+C12</f>
        <v>1790.57742885</v>
      </c>
      <c r="D13" s="0" t="n">
        <f aca="false">D11+D12</f>
        <v>1695.079965978</v>
      </c>
      <c r="E13" s="0" t="n">
        <f aca="false">E11+E12</f>
        <v>1563.770954529</v>
      </c>
      <c r="F13" s="0" t="n">
        <f aca="false">F11+F12</f>
        <v>1489.04418983166</v>
      </c>
      <c r="G13" s="0" t="n">
        <f aca="false">G11+G12</f>
        <v>1503.93463172998</v>
      </c>
      <c r="H13" s="0" t="n">
        <f aca="false">H11+H12</f>
        <v>1534.01332436458</v>
      </c>
      <c r="I13" s="0" t="n">
        <f aca="false">I11+I12</f>
        <v>1564.69359085187</v>
      </c>
      <c r="J13" s="0" t="n">
        <f aca="false">J11+J12</f>
        <v>1595.98746266891</v>
      </c>
      <c r="K13" s="0" t="n">
        <f aca="false">K11+K12</f>
        <v>1627.90721192228</v>
      </c>
      <c r="L13" s="0" t="n">
        <f aca="false">L11+L12</f>
        <v>1660.46535616073</v>
      </c>
    </row>
    <row r="14" customFormat="false" ht="15" hidden="false" customHeight="false" outlineLevel="0" collapsed="false">
      <c r="A14" s="0" t="s">
        <v>101</v>
      </c>
      <c r="C14" s="4" t="n">
        <f aca="false">Assumptions!C19</f>
        <v>24</v>
      </c>
      <c r="D14" s="4" t="n">
        <f aca="false">Assumptions!D19</f>
        <v>24</v>
      </c>
      <c r="E14" s="4" t="n">
        <f aca="false">Assumptions!E19</f>
        <v>24</v>
      </c>
      <c r="F14" s="4" t="n">
        <f aca="false">Assumptions!F19</f>
        <v>24</v>
      </c>
      <c r="G14" s="4" t="n">
        <f aca="false">Assumptions!G19</f>
        <v>24</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116</v>
      </c>
      <c r="C15" s="0" t="n">
        <f aca="false">C13-MAX(0,C13)*C14/100</f>
        <v>1360.838845926</v>
      </c>
      <c r="D15" s="0" t="n">
        <f aca="false">D13-MAX(0,D13)*D14/100</f>
        <v>1288.26077414328</v>
      </c>
      <c r="E15" s="0" t="n">
        <f aca="false">E13-MAX(0,E13)*E14/100</f>
        <v>1188.46592544204</v>
      </c>
      <c r="F15" s="0" t="n">
        <f aca="false">F13-MAX(0,F13)*F14/100</f>
        <v>1131.67358427206</v>
      </c>
      <c r="G15" s="0" t="n">
        <f aca="false">G13-MAX(0,G13)*G14/100</f>
        <v>1142.99032011478</v>
      </c>
      <c r="H15" s="0" t="n">
        <f aca="false">H13-MAX(0,H13)*H14/100</f>
        <v>1165.85012651708</v>
      </c>
      <c r="I15" s="0" t="n">
        <f aca="false">I13-MAX(0,I13)*I14/100</f>
        <v>1189.16712904742</v>
      </c>
      <c r="J15" s="0" t="n">
        <f aca="false">J13-MAX(0,J13)*J14/100</f>
        <v>1212.95047162837</v>
      </c>
      <c r="K15" s="0" t="n">
        <f aca="false">K13-MAX(0,K13)*K14/100</f>
        <v>1237.20948106094</v>
      </c>
      <c r="L15" s="0" t="n">
        <f aca="false">L13-MAX(0,L13)*L14/100</f>
        <v>1261.95367068215</v>
      </c>
    </row>
    <row r="16" customFormat="false" ht="15" hidden="false" customHeight="false" outlineLevel="0" collapsed="false">
      <c r="A16" s="0" t="s">
        <v>117</v>
      </c>
      <c r="C16" s="0" t="n">
        <f aca="false">-C12</f>
        <v>140.4374454</v>
      </c>
      <c r="D16" s="0" t="n">
        <f aca="false">-D12</f>
        <v>155.183377167</v>
      </c>
      <c r="E16" s="0" t="n">
        <f aca="false">-E12</f>
        <v>167.120560026</v>
      </c>
      <c r="F16" s="0" t="n">
        <f aca="false">-F12</f>
        <v>165.44935442574</v>
      </c>
      <c r="G16" s="0" t="n">
        <f aca="false">-G12</f>
        <v>167.103847969997</v>
      </c>
      <c r="H16" s="0" t="n">
        <f aca="false">-H12</f>
        <v>170.445924929397</v>
      </c>
      <c r="I16" s="0" t="n">
        <f aca="false">-I12</f>
        <v>173.854843427985</v>
      </c>
      <c r="J16" s="0" t="n">
        <f aca="false">-J12</f>
        <v>177.331940296545</v>
      </c>
      <c r="K16" s="0" t="n">
        <f aca="false">-K12</f>
        <v>180.878579102476</v>
      </c>
      <c r="L16" s="0" t="n">
        <f aca="false">-L12</f>
        <v>184.496150684525</v>
      </c>
    </row>
    <row r="17" customFormat="false" ht="15" hidden="false" customHeight="false" outlineLevel="0" collapsed="false">
      <c r="A17" s="0" t="s">
        <v>118</v>
      </c>
      <c r="C17" s="4" t="n">
        <f aca="false">-C6*Assumptions!C18/100</f>
        <v>-280.8748908</v>
      </c>
      <c r="D17" s="4" t="n">
        <f aca="false">-D6*Assumptions!D18/100</f>
        <v>-262.618022898</v>
      </c>
      <c r="E17" s="4" t="n">
        <f aca="false">-E6*Assumptions!E18/100</f>
        <v>-238.74365718</v>
      </c>
      <c r="F17" s="4" t="n">
        <f aca="false">-F6*Assumptions!F18/100</f>
        <v>-212.72059854738</v>
      </c>
      <c r="G17" s="4" t="n">
        <f aca="false">-G6*Assumptions!G18/100</f>
        <v>-214.847804532854</v>
      </c>
      <c r="H17" s="4" t="n">
        <f aca="false">-H6*Assumptions!H18/100</f>
        <v>-219.144760623511</v>
      </c>
      <c r="I17" s="4" t="n">
        <f aca="false">-I6*Assumptions!I18/100</f>
        <v>-223.527655835981</v>
      </c>
      <c r="J17" s="4" t="n">
        <f aca="false">-J6*Assumptions!J18/100</f>
        <v>-227.998208952701</v>
      </c>
      <c r="K17" s="4" t="n">
        <f aca="false">-K6*Assumptions!K18/100</f>
        <v>-232.558173131755</v>
      </c>
      <c r="L17" s="4" t="n">
        <f aca="false">-L6*Assumptions!L18/100</f>
        <v>-237.20933659439</v>
      </c>
    </row>
    <row r="18" customFormat="false" ht="15" hidden="false" customHeight="false" outlineLevel="0" collapsed="false">
      <c r="A18" s="0" t="s">
        <v>119</v>
      </c>
      <c r="C18" s="4" t="n">
        <f aca="false">(C6-B6)*Assumptions!$B$23/100</f>
        <v>-278.645725</v>
      </c>
      <c r="D18" s="4" t="n">
        <f aca="false">(D6-C6)*Assumptions!$B$23/100</f>
        <v>-117.0312045</v>
      </c>
      <c r="E18" s="4" t="n">
        <f aca="false">(E6-D6)*Assumptions!$B$23/100</f>
        <v>-0</v>
      </c>
      <c r="F18" s="4" t="n">
        <f aca="false">(F6-E6)*Assumptions!$B$23/100</f>
        <v>59.6859142949998</v>
      </c>
      <c r="G18" s="4" t="n">
        <f aca="false">(G6-F6)*Assumptions!$B$23/100</f>
        <v>-59.0890551520497</v>
      </c>
      <c r="H18" s="4" t="n">
        <f aca="false">(H6-G6)*Assumptions!$B$23/100</f>
        <v>-119.359891407141</v>
      </c>
      <c r="I18" s="4" t="n">
        <f aca="false">(I6-H6)*Assumptions!$B$23/100</f>
        <v>-121.747089235284</v>
      </c>
      <c r="J18" s="4" t="n">
        <f aca="false">(J6-I6)*Assumptions!$B$23/100</f>
        <v>-124.18203101999</v>
      </c>
      <c r="K18" s="4" t="n">
        <f aca="false">(K6-J6)*Assumptions!$B$23/100</f>
        <v>-126.66567164039</v>
      </c>
      <c r="L18" s="4" t="n">
        <f aca="false">(L6-K6)*Assumptions!$B$23/100</f>
        <v>-129.198985073197</v>
      </c>
    </row>
    <row r="19" customFormat="false" ht="15" hidden="false" customHeight="false" outlineLevel="0" collapsed="false">
      <c r="A19" s="0" t="s">
        <v>120</v>
      </c>
      <c r="C19" s="0" t="n">
        <f aca="false">C15+C16+C17+C18</f>
        <v>941.755675526</v>
      </c>
      <c r="D19" s="0" t="n">
        <f aca="false">D15+D16+D17+D18</f>
        <v>1063.79492391228</v>
      </c>
      <c r="E19" s="0" t="n">
        <f aca="false">E15+E16+E17+E18</f>
        <v>1116.84282828804</v>
      </c>
      <c r="F19" s="0" t="n">
        <f aca="false">F15+F16+F17+F18</f>
        <v>1144.08825444542</v>
      </c>
      <c r="G19" s="0" t="n">
        <f aca="false">G15+G16+G17+G18</f>
        <v>1036.15730839988</v>
      </c>
      <c r="H19" s="0" t="n">
        <f aca="false">H15+H16+H17+H18</f>
        <v>997.791399415824</v>
      </c>
      <c r="I19" s="0" t="n">
        <f aca="false">I15+I16+I17+I18</f>
        <v>1017.74722740414</v>
      </c>
      <c r="J19" s="0" t="n">
        <f aca="false">J15+J16+J17+J18</f>
        <v>1038.10217195222</v>
      </c>
      <c r="K19" s="0" t="n">
        <f aca="false">K15+K16+K17+K18</f>
        <v>1058.86421539127</v>
      </c>
      <c r="L19" s="0" t="n">
        <f aca="false">L15+L16+L17+L18</f>
        <v>1080.04149969909</v>
      </c>
    </row>
    <row r="20" customFormat="false" ht="15" hidden="false" customHeight="false" outlineLevel="0" collapsed="false">
      <c r="A20" s="0" t="s">
        <v>121</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122</v>
      </c>
      <c r="C21" s="0" t="n">
        <f aca="false">C19*C20</f>
        <v>844.623924238565</v>
      </c>
      <c r="D21" s="0" t="n">
        <f aca="false">D19*D20</f>
        <v>855.67369053251</v>
      </c>
      <c r="E21" s="0" t="n">
        <f aca="false">E19*E20</f>
        <v>805.689043251582</v>
      </c>
      <c r="F21" s="0" t="n">
        <f aca="false">F19*F20</f>
        <v>740.218708686356</v>
      </c>
      <c r="G21" s="0" t="n">
        <f aca="false">G19*G20</f>
        <v>601.244833719659</v>
      </c>
      <c r="H21" s="0" t="n">
        <f aca="false">H19*H20</f>
        <v>519.266794693114</v>
      </c>
      <c r="I21" s="0" t="n">
        <f aca="false">I19*I20</f>
        <v>475.024332365001</v>
      </c>
      <c r="J21" s="0" t="n">
        <f aca="false">J19*J20</f>
        <v>434.55140718592</v>
      </c>
      <c r="K21" s="0" t="n">
        <f aca="false">K19*K20</f>
        <v>397.526847829272</v>
      </c>
      <c r="L21" s="0" t="n">
        <f aca="false">L19*L20</f>
        <v>363.656847341576</v>
      </c>
    </row>
    <row r="23" customFormat="false" ht="15" hidden="false" customHeight="false" outlineLevel="0" collapsed="false">
      <c r="A23" s="0" t="s">
        <v>98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Assumptions!$B$20</f>
        <v>11.5</v>
      </c>
    </row>
    <row r="28" customFormat="false" ht="15" hidden="false" customHeight="false" outlineLevel="0" collapsed="false">
      <c r="A28" s="0" t="s">
        <v>103</v>
      </c>
      <c r="B28" s="4" t="n">
        <f aca="false">Assumptions!$B$21</f>
        <v>2</v>
      </c>
    </row>
    <row r="29" customFormat="false" ht="15" hidden="false" customHeight="false" outlineLevel="0" collapsed="false">
      <c r="A29" s="0" t="s">
        <v>104</v>
      </c>
      <c r="B29" s="4" t="n">
        <f aca="false">Assumptions!$B$22</f>
        <v>1.7</v>
      </c>
    </row>
    <row r="30" customFormat="false" ht="15" hidden="false" customHeight="false" outlineLevel="0" collapsed="false">
      <c r="A30" s="0" t="s">
        <v>125</v>
      </c>
      <c r="B30" s="0" t="n">
        <f aca="false">SUM(C21:L21)</f>
        <v>6037.47642984355</v>
      </c>
    </row>
    <row r="31" customFormat="false" ht="15" hidden="false" customHeight="false" outlineLevel="0" collapsed="false">
      <c r="A31" s="0" t="s">
        <v>126</v>
      </c>
      <c r="B31" s="0" t="n">
        <f aca="false">L19</f>
        <v>1080.04149969909</v>
      </c>
    </row>
    <row r="32" customFormat="false" ht="15" hidden="false" customHeight="false" outlineLevel="0" collapsed="false">
      <c r="A32" s="0" t="s">
        <v>127</v>
      </c>
      <c r="B32" s="0" t="n">
        <f aca="false">IF(B27&gt;B28,B31*(1+B28/100)/((B27-B28)/100),B31*B29)</f>
        <v>11596.2350494008</v>
      </c>
    </row>
    <row r="33" customFormat="false" ht="15" hidden="false" customHeight="false" outlineLevel="0" collapsed="false">
      <c r="A33" s="0" t="s">
        <v>128</v>
      </c>
      <c r="B33" s="0" t="n">
        <f aca="false">B31*B29</f>
        <v>1836.07054948846</v>
      </c>
    </row>
    <row r="34" customFormat="false" ht="15" hidden="false" customHeight="false" outlineLevel="0" collapsed="false">
      <c r="A34" s="0" t="s">
        <v>129</v>
      </c>
      <c r="B34" s="0" t="n">
        <f aca="false">MAX(0,MIN(B32,B33))</f>
        <v>1836.07054948846</v>
      </c>
    </row>
    <row r="35" customFormat="false" ht="15" hidden="false" customHeight="false" outlineLevel="0" collapsed="false">
      <c r="A35" s="0" t="s">
        <v>130</v>
      </c>
      <c r="B35" s="0" t="n">
        <f aca="false">B34/(1+B27/100)^L4</f>
        <v>618.216640480679</v>
      </c>
    </row>
    <row r="36" customFormat="false" ht="15" hidden="false" customHeight="false" outlineLevel="0" collapsed="false">
      <c r="A36" s="0" t="s">
        <v>131</v>
      </c>
      <c r="B36" s="0" t="n">
        <f aca="false">B30+B35</f>
        <v>6655.69307032423</v>
      </c>
    </row>
    <row r="37" customFormat="false" ht="15" hidden="false" customHeight="false" outlineLevel="0" collapsed="false">
      <c r="A37" s="0" t="s">
        <v>132</v>
      </c>
      <c r="B37" s="0" t="n">
        <f aca="false">B36+Assumptions!$B$5-Assumptions!$B$4</f>
        <v>10884.1240703242</v>
      </c>
    </row>
    <row r="38" customFormat="false" ht="15" hidden="false" customHeight="false" outlineLevel="0" collapsed="false">
      <c r="A38" s="0" t="s">
        <v>133</v>
      </c>
      <c r="B38" s="0" t="n">
        <f aca="false">B37/Assumptions!$B$3*Assumptions!$B$10</f>
        <v>5.88823097542409</v>
      </c>
    </row>
    <row r="39" customFormat="false" ht="15" hidden="false" customHeight="false" outlineLevel="0" collapsed="false">
      <c r="A39" s="0" t="s">
        <v>134</v>
      </c>
      <c r="B39" s="4" t="n">
        <f aca="false">B38/Assumptions!$B$2-1</f>
        <v>0.201679790902874</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5.88823097542409</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1836.07054948846</v>
      </c>
    </row>
    <row r="47" customFormat="false" ht="15" hidden="false" customHeight="false" outlineLevel="0" collapsed="false">
      <c r="A47" s="0" t="s">
        <v>139</v>
      </c>
      <c r="B47" s="0" t="n">
        <f aca="false">(SUMPRODUCT(C19:L19/(1+B45/100)^C4:L4)+B46/(1+B45/100)^L4+Assumptions!$B$5-Assumptions!$B$4)/Assumptions!$B$3*Assumptions!$B$10</f>
        <v>5.3723356079052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8</v>
      </c>
      <c r="D5" s="4" t="n">
        <f aca="false">Assumptions!D27</f>
        <v>7</v>
      </c>
      <c r="E5" s="4" t="n">
        <f aca="false">Assumptions!E27</f>
        <v>6.5</v>
      </c>
      <c r="F5" s="4" t="n">
        <f aca="false">Assumptions!F27</f>
        <v>6</v>
      </c>
      <c r="G5" s="4" t="n">
        <f aca="false">Assumptions!G27</f>
        <v>5.5</v>
      </c>
      <c r="H5" s="4" t="n">
        <f aca="false">Assumptions!H27</f>
        <v>5</v>
      </c>
      <c r="I5" s="4" t="n">
        <f aca="false">Assumptions!I27</f>
        <v>4.5</v>
      </c>
      <c r="J5" s="4" t="n">
        <f aca="false">Assumptions!J27</f>
        <v>4</v>
      </c>
      <c r="K5" s="4" t="n">
        <f aca="false">Assumptions!K27</f>
        <v>3.5</v>
      </c>
      <c r="L5" s="4" t="n">
        <f aca="false">Assumptions!L27</f>
        <v>3</v>
      </c>
    </row>
    <row r="6" customFormat="false" ht="15" hidden="false" customHeight="false" outlineLevel="0" collapsed="false">
      <c r="A6" s="0" t="s">
        <v>38</v>
      </c>
      <c r="B6" s="3" t="n">
        <v>11145.829</v>
      </c>
      <c r="C6" s="0" t="n">
        <f aca="false">B6*(1+C5/100)</f>
        <v>12037.49532</v>
      </c>
      <c r="D6" s="0" t="n">
        <f aca="false">C6*(1+D5/100)</f>
        <v>12880.1199924</v>
      </c>
      <c r="E6" s="0" t="n">
        <f aca="false">D6*(1+E5/100)</f>
        <v>13717.327791906</v>
      </c>
      <c r="F6" s="0" t="n">
        <f aca="false">E6*(1+F5/100)</f>
        <v>14540.3674594204</v>
      </c>
      <c r="G6" s="0" t="n">
        <f aca="false">F6*(1+G5/100)</f>
        <v>15340.0876696885</v>
      </c>
      <c r="H6" s="0" t="n">
        <f aca="false">G6*(1+H5/100)</f>
        <v>16107.0920531729</v>
      </c>
      <c r="I6" s="0" t="n">
        <f aca="false">H6*(1+I5/100)</f>
        <v>16831.9111955657</v>
      </c>
      <c r="J6" s="0" t="n">
        <f aca="false">I6*(1+J5/100)</f>
        <v>17505.1876433883</v>
      </c>
      <c r="K6" s="0" t="n">
        <f aca="false">J6*(1+K5/100)</f>
        <v>18117.8692109069</v>
      </c>
      <c r="L6" s="0" t="n">
        <f aca="false">K6*(1+L5/100)</f>
        <v>18661.4052872341</v>
      </c>
    </row>
    <row r="7" customFormat="false" ht="15" hidden="false" customHeight="false" outlineLevel="0" collapsed="false">
      <c r="A7" s="0" t="s">
        <v>96</v>
      </c>
      <c r="C7" s="4" t="n">
        <f aca="false">Assumptions!C28</f>
        <v>17</v>
      </c>
      <c r="D7" s="4" t="n">
        <f aca="false">Assumptions!D28</f>
        <v>17.1</v>
      </c>
      <c r="E7" s="4" t="n">
        <f aca="false">Assumptions!E28</f>
        <v>17.2</v>
      </c>
      <c r="F7" s="4" t="n">
        <f aca="false">Assumptions!F28</f>
        <v>17.3</v>
      </c>
      <c r="G7" s="4" t="n">
        <f aca="false">Assumptions!G28</f>
        <v>17.4</v>
      </c>
      <c r="H7" s="4" t="n">
        <f aca="false">Assumptions!H28</f>
        <v>17.5</v>
      </c>
      <c r="I7" s="4" t="n">
        <f aca="false">Assumptions!I28</f>
        <v>17.5</v>
      </c>
      <c r="J7" s="4" t="n">
        <f aca="false">Assumptions!J28</f>
        <v>17.5</v>
      </c>
      <c r="K7" s="4" t="n">
        <f aca="false">Assumptions!K28</f>
        <v>17.5</v>
      </c>
      <c r="L7" s="4" t="n">
        <f aca="false">Assumptions!L28</f>
        <v>17.5</v>
      </c>
    </row>
    <row r="8" customFormat="false" ht="15" hidden="false" customHeight="false" outlineLevel="0" collapsed="false">
      <c r="A8" s="0" t="s">
        <v>44</v>
      </c>
      <c r="C8" s="0" t="n">
        <f aca="false">C6*C7/100</f>
        <v>2046.3742044</v>
      </c>
      <c r="D8" s="0" t="n">
        <f aca="false">D6*D7/100</f>
        <v>2202.5005187004</v>
      </c>
      <c r="E8" s="0" t="n">
        <f aca="false">E6*E7/100</f>
        <v>2359.38038020783</v>
      </c>
      <c r="F8" s="0" t="n">
        <f aca="false">F6*F7/100</f>
        <v>2515.48357047972</v>
      </c>
      <c r="G8" s="0" t="n">
        <f aca="false">G6*G7/100</f>
        <v>2669.1752545258</v>
      </c>
      <c r="H8" s="0" t="n">
        <f aca="false">H6*H7/100</f>
        <v>2818.74110930526</v>
      </c>
      <c r="I8" s="0" t="n">
        <f aca="false">I6*I7/100</f>
        <v>2945.58445922399</v>
      </c>
      <c r="J8" s="0" t="n">
        <f aca="false">J6*J7/100</f>
        <v>3063.40783759296</v>
      </c>
      <c r="K8" s="0" t="n">
        <f aca="false">K6*K7/100</f>
        <v>3170.62711190871</v>
      </c>
      <c r="L8" s="0" t="n">
        <f aca="false">L6*L7/100</f>
        <v>3265.74592526597</v>
      </c>
    </row>
    <row r="9" customFormat="false" ht="15" hidden="false" customHeight="false" outlineLevel="0" collapsed="false">
      <c r="A9" s="0" t="s">
        <v>97</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2046.3742044</v>
      </c>
      <c r="D11" s="0" t="n">
        <f aca="false">D8+D10+D24</f>
        <v>2202.5005187004</v>
      </c>
      <c r="E11" s="0" t="n">
        <f aca="false">E8+E10+E24</f>
        <v>2359.38038020783</v>
      </c>
      <c r="F11" s="0" t="n">
        <f aca="false">F8+F10+F24</f>
        <v>2515.48357047972</v>
      </c>
      <c r="G11" s="0" t="n">
        <f aca="false">G8+G10+G24</f>
        <v>2669.1752545258</v>
      </c>
      <c r="H11" s="0" t="n">
        <f aca="false">H8+H10+H24</f>
        <v>2818.74110930526</v>
      </c>
      <c r="I11" s="0" t="n">
        <f aca="false">I8+I10+I24</f>
        <v>2945.58445922399</v>
      </c>
      <c r="J11" s="0" t="n">
        <f aca="false">J8+J10+J24</f>
        <v>3063.40783759296</v>
      </c>
      <c r="K11" s="0" t="n">
        <f aca="false">K8+K10+K24</f>
        <v>3170.62711190871</v>
      </c>
      <c r="L11" s="0" t="n">
        <f aca="false">L8+L10+L24</f>
        <v>3265.74592526597</v>
      </c>
    </row>
    <row r="12" customFormat="false" ht="15" hidden="false" customHeight="false" outlineLevel="0" collapsed="false">
      <c r="A12" s="0" t="s">
        <v>114</v>
      </c>
      <c r="C12" s="4" t="n">
        <f aca="false">-C6*Assumptions!C31/100</f>
        <v>-138.43119618</v>
      </c>
      <c r="D12" s="4" t="n">
        <f aca="false">-D6*Assumptions!D31/100</f>
        <v>-154.5614399088</v>
      </c>
      <c r="E12" s="4" t="n">
        <f aca="false">-E6*Assumptions!E31/100</f>
        <v>-171.466597398825</v>
      </c>
      <c r="F12" s="4" t="n">
        <f aca="false">-F6*Assumptions!F31/100</f>
        <v>-189.024776972465</v>
      </c>
      <c r="G12" s="4" t="n">
        <f aca="false">-G6*Assumptions!G31/100</f>
        <v>-199.42113970595</v>
      </c>
      <c r="H12" s="4" t="n">
        <f aca="false">-H6*Assumptions!H31/100</f>
        <v>-209.392196691248</v>
      </c>
      <c r="I12" s="4" t="n">
        <f aca="false">-I6*Assumptions!I31/100</f>
        <v>-218.814845542354</v>
      </c>
      <c r="J12" s="4" t="n">
        <f aca="false">-J6*Assumptions!J31/100</f>
        <v>-227.567439364048</v>
      </c>
      <c r="K12" s="4" t="n">
        <f aca="false">-K6*Assumptions!K31/100</f>
        <v>-235.53229974179</v>
      </c>
      <c r="L12" s="4" t="n">
        <f aca="false">-L6*Assumptions!L31/100</f>
        <v>-242.598268734043</v>
      </c>
    </row>
    <row r="13" customFormat="false" ht="15" hidden="false" customHeight="false" outlineLevel="0" collapsed="false">
      <c r="A13" s="0" t="s">
        <v>115</v>
      </c>
      <c r="C13" s="0" t="n">
        <f aca="false">C11+C12</f>
        <v>1907.94300822</v>
      </c>
      <c r="D13" s="0" t="n">
        <f aca="false">D11+D12</f>
        <v>2047.9390787916</v>
      </c>
      <c r="E13" s="0" t="n">
        <f aca="false">E11+E12</f>
        <v>2187.91378280901</v>
      </c>
      <c r="F13" s="0" t="n">
        <f aca="false">F11+F12</f>
        <v>2326.45879350726</v>
      </c>
      <c r="G13" s="0" t="n">
        <f aca="false">G11+G12</f>
        <v>2469.75411481984</v>
      </c>
      <c r="H13" s="0" t="n">
        <f aca="false">H11+H12</f>
        <v>2609.34891261401</v>
      </c>
      <c r="I13" s="0" t="n">
        <f aca="false">I11+I12</f>
        <v>2726.76961368164</v>
      </c>
      <c r="J13" s="0" t="n">
        <f aca="false">J11+J12</f>
        <v>2835.84039822891</v>
      </c>
      <c r="K13" s="0" t="n">
        <f aca="false">K11+K12</f>
        <v>2935.09481216692</v>
      </c>
      <c r="L13" s="0" t="n">
        <f aca="false">L11+L12</f>
        <v>3023.14765653193</v>
      </c>
    </row>
    <row r="14" customFormat="false" ht="15" hidden="false" customHeight="false" outlineLevel="0" collapsed="false">
      <c r="A14" s="0" t="s">
        <v>101</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116</v>
      </c>
      <c r="C15" s="0" t="n">
        <f aca="false">C13-MAX(0,C13)*C14/100</f>
        <v>1450.0366862472</v>
      </c>
      <c r="D15" s="0" t="n">
        <f aca="false">D13-MAX(0,D13)*D14/100</f>
        <v>1556.43369988162</v>
      </c>
      <c r="E15" s="0" t="n">
        <f aca="false">E13-MAX(0,E13)*E14/100</f>
        <v>1662.81447493485</v>
      </c>
      <c r="F15" s="0" t="n">
        <f aca="false">F13-MAX(0,F13)*F14/100</f>
        <v>1768.10868306552</v>
      </c>
      <c r="G15" s="0" t="n">
        <f aca="false">G13-MAX(0,G13)*G14/100</f>
        <v>1877.01312726308</v>
      </c>
      <c r="H15" s="0" t="n">
        <f aca="false">H13-MAX(0,H13)*H14/100</f>
        <v>1983.10517358665</v>
      </c>
      <c r="I15" s="0" t="n">
        <f aca="false">I13-MAX(0,I13)*I14/100</f>
        <v>2072.34490639805</v>
      </c>
      <c r="J15" s="0" t="n">
        <f aca="false">J13-MAX(0,J13)*J14/100</f>
        <v>2155.23870265397</v>
      </c>
      <c r="K15" s="0" t="n">
        <f aca="false">K13-MAX(0,K13)*K14/100</f>
        <v>2230.67205724686</v>
      </c>
      <c r="L15" s="0" t="n">
        <f aca="false">L13-MAX(0,L13)*L14/100</f>
        <v>2297.59221896426</v>
      </c>
    </row>
    <row r="16" customFormat="false" ht="15" hidden="false" customHeight="false" outlineLevel="0" collapsed="false">
      <c r="A16" s="0" t="s">
        <v>117</v>
      </c>
      <c r="C16" s="0" t="n">
        <f aca="false">-C12</f>
        <v>138.43119618</v>
      </c>
      <c r="D16" s="0" t="n">
        <f aca="false">-D12</f>
        <v>154.5614399088</v>
      </c>
      <c r="E16" s="0" t="n">
        <f aca="false">-E12</f>
        <v>171.466597398825</v>
      </c>
      <c r="F16" s="0" t="n">
        <f aca="false">-F12</f>
        <v>189.024776972465</v>
      </c>
      <c r="G16" s="0" t="n">
        <f aca="false">-G12</f>
        <v>199.42113970595</v>
      </c>
      <c r="H16" s="0" t="n">
        <f aca="false">-H12</f>
        <v>209.392196691248</v>
      </c>
      <c r="I16" s="0" t="n">
        <f aca="false">-I12</f>
        <v>218.814845542354</v>
      </c>
      <c r="J16" s="0" t="n">
        <f aca="false">-J12</f>
        <v>227.567439364048</v>
      </c>
      <c r="K16" s="0" t="n">
        <f aca="false">-K12</f>
        <v>235.53229974179</v>
      </c>
      <c r="L16" s="0" t="n">
        <f aca="false">-L12</f>
        <v>242.598268734043</v>
      </c>
    </row>
    <row r="17" customFormat="false" ht="15" hidden="false" customHeight="false" outlineLevel="0" collapsed="false">
      <c r="A17" s="0" t="s">
        <v>118</v>
      </c>
      <c r="C17" s="4" t="n">
        <f aca="false">-C6*Assumptions!C32/100</f>
        <v>-264.82489704</v>
      </c>
      <c r="D17" s="4" t="n">
        <f aca="false">-D6*Assumptions!D32/100</f>
        <v>-257.602399848</v>
      </c>
      <c r="E17" s="4" t="n">
        <f aca="false">-E6*Assumptions!E32/100</f>
        <v>-246.911900254308</v>
      </c>
      <c r="F17" s="4" t="n">
        <f aca="false">-F6*Assumptions!F32/100</f>
        <v>-247.186246810146</v>
      </c>
      <c r="G17" s="4" t="n">
        <f aca="false">-G6*Assumptions!G32/100</f>
        <v>-245.441402715016</v>
      </c>
      <c r="H17" s="4" t="n">
        <f aca="false">-H6*Assumptions!H32/100</f>
        <v>-241.606380797594</v>
      </c>
      <c r="I17" s="4" t="n">
        <f aca="false">-I6*Assumptions!I32/100</f>
        <v>-252.478667933485</v>
      </c>
      <c r="J17" s="4" t="n">
        <f aca="false">-J6*Assumptions!J32/100</f>
        <v>-262.577814650825</v>
      </c>
      <c r="K17" s="4" t="n">
        <f aca="false">-K6*Assumptions!K32/100</f>
        <v>-271.768038163604</v>
      </c>
      <c r="L17" s="4" t="n">
        <f aca="false">-L6*Assumptions!L32/100</f>
        <v>-279.921079308512</v>
      </c>
    </row>
    <row r="18" customFormat="false" ht="15" hidden="false" customHeight="false" outlineLevel="0" collapsed="false">
      <c r="A18" s="0" t="s">
        <v>119</v>
      </c>
      <c r="C18" s="4" t="n">
        <f aca="false">(C6-B6)*Assumptions!$B$37/100</f>
        <v>-312.083212</v>
      </c>
      <c r="D18" s="4" t="n">
        <f aca="false">(D6-C6)*Assumptions!$B$37/100</f>
        <v>-294.91863534</v>
      </c>
      <c r="E18" s="4" t="n">
        <f aca="false">(E6-D6)*Assumptions!$B$37/100</f>
        <v>-293.0227298271</v>
      </c>
      <c r="F18" s="4" t="n">
        <f aca="false">(F6-E6)*Assumptions!$B$37/100</f>
        <v>-288.063883630026</v>
      </c>
      <c r="G18" s="4" t="n">
        <f aca="false">(G6-F6)*Assumptions!$B$37/100</f>
        <v>-279.902073593841</v>
      </c>
      <c r="H18" s="4" t="n">
        <f aca="false">(H6-G6)*Assumptions!$B$37/100</f>
        <v>-268.451534219549</v>
      </c>
      <c r="I18" s="4" t="n">
        <f aca="false">(I6-H6)*Assumptions!$B$37/100</f>
        <v>-253.686699837473</v>
      </c>
      <c r="J18" s="4" t="n">
        <f aca="false">(J6-I6)*Assumptions!$B$37/100</f>
        <v>-235.64675673792</v>
      </c>
      <c r="K18" s="4" t="n">
        <f aca="false">(K6-J6)*Assumptions!$B$37/100</f>
        <v>-214.438548631506</v>
      </c>
      <c r="L18" s="4" t="n">
        <f aca="false">(L6-K6)*Assumptions!$B$37/100</f>
        <v>-190.237626714523</v>
      </c>
    </row>
    <row r="19" customFormat="false" ht="15" hidden="false" customHeight="false" outlineLevel="0" collapsed="false">
      <c r="A19" s="0" t="s">
        <v>120</v>
      </c>
      <c r="C19" s="0" t="n">
        <f aca="false">C15+C16+C17+C18</f>
        <v>1011.5597733872</v>
      </c>
      <c r="D19" s="0" t="n">
        <f aca="false">D15+D16+D17+D18</f>
        <v>1158.47410460242</v>
      </c>
      <c r="E19" s="0" t="n">
        <f aca="false">E15+E16+E17+E18</f>
        <v>1294.34644225226</v>
      </c>
      <c r="F19" s="0" t="n">
        <f aca="false">F15+F16+F17+F18</f>
        <v>1421.88332959781</v>
      </c>
      <c r="G19" s="0" t="n">
        <f aca="false">G15+G16+G17+G18</f>
        <v>1551.09079066018</v>
      </c>
      <c r="H19" s="0" t="n">
        <f aca="false">H15+H16+H17+H18</f>
        <v>1682.43945526075</v>
      </c>
      <c r="I19" s="0" t="n">
        <f aca="false">I15+I16+I17+I18</f>
        <v>1784.99438416944</v>
      </c>
      <c r="J19" s="0" t="n">
        <f aca="false">J15+J16+J17+J18</f>
        <v>1884.58157062927</v>
      </c>
      <c r="K19" s="0" t="n">
        <f aca="false">K15+K16+K17+K18</f>
        <v>1979.99777019354</v>
      </c>
      <c r="L19" s="0" t="n">
        <f aca="false">L15+L16+L17+L18</f>
        <v>2070.03178167527</v>
      </c>
    </row>
    <row r="20" customFormat="false" ht="15" hidden="false" customHeight="false" outlineLevel="0" collapsed="false">
      <c r="A20" s="0" t="s">
        <v>121</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122</v>
      </c>
      <c r="C21" s="0" t="n">
        <f aca="false">C19*C20</f>
        <v>907.22849631139</v>
      </c>
      <c r="D21" s="0" t="n">
        <f aca="false">D19*D20</f>
        <v>931.829801204461</v>
      </c>
      <c r="E21" s="0" t="n">
        <f aca="false">E19*E20</f>
        <v>933.739932137846</v>
      </c>
      <c r="F21" s="0" t="n">
        <f aca="false">F19*F20</f>
        <v>919.950570288593</v>
      </c>
      <c r="G21" s="0" t="n">
        <f aca="false">G19*G20</f>
        <v>900.042220379403</v>
      </c>
      <c r="H21" s="0" t="n">
        <f aca="false">H19*H20</f>
        <v>875.56872479555</v>
      </c>
      <c r="I21" s="0" t="n">
        <f aca="false">I19*I20</f>
        <v>833.130017733435</v>
      </c>
      <c r="J21" s="0" t="n">
        <f aca="false">J19*J20</f>
        <v>788.889182202089</v>
      </c>
      <c r="K21" s="0" t="n">
        <f aca="false">K19*K20</f>
        <v>743.345804733969</v>
      </c>
      <c r="L21" s="0" t="n">
        <f aca="false">L19*L20</f>
        <v>696.992876505788</v>
      </c>
    </row>
    <row r="23" customFormat="false" ht="15" hidden="false" customHeight="false" outlineLevel="0" collapsed="false">
      <c r="A23" s="0" t="s">
        <v>98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Assumptions!$B$34</f>
        <v>11.5</v>
      </c>
    </row>
    <row r="28" customFormat="false" ht="15" hidden="false" customHeight="false" outlineLevel="0" collapsed="false">
      <c r="A28" s="0" t="s">
        <v>103</v>
      </c>
      <c r="B28" s="4" t="n">
        <f aca="false">Assumptions!$B$35</f>
        <v>3</v>
      </c>
    </row>
    <row r="29" customFormat="false" ht="15" hidden="false" customHeight="false" outlineLevel="0" collapsed="false">
      <c r="A29" s="0" t="s">
        <v>104</v>
      </c>
      <c r="B29" s="4" t="n">
        <f aca="false">Assumptions!$B$36</f>
        <v>3.6</v>
      </c>
    </row>
    <row r="30" customFormat="false" ht="15" hidden="false" customHeight="false" outlineLevel="0" collapsed="false">
      <c r="A30" s="0" t="s">
        <v>125</v>
      </c>
      <c r="B30" s="0" t="n">
        <f aca="false">SUM(C21:L21)</f>
        <v>8530.71762629252</v>
      </c>
    </row>
    <row r="31" customFormat="false" ht="15" hidden="false" customHeight="false" outlineLevel="0" collapsed="false">
      <c r="A31" s="0" t="s">
        <v>126</v>
      </c>
      <c r="B31" s="0" t="n">
        <f aca="false">L19</f>
        <v>2070.03178167527</v>
      </c>
    </row>
    <row r="32" customFormat="false" ht="15" hidden="false" customHeight="false" outlineLevel="0" collapsed="false">
      <c r="A32" s="0" t="s">
        <v>127</v>
      </c>
      <c r="B32" s="0" t="n">
        <f aca="false">IF(B27&gt;B28,B31*(1+B28/100)/((B27-B28)/100),B31*B29)</f>
        <v>25083.9145308886</v>
      </c>
    </row>
    <row r="33" customFormat="false" ht="15" hidden="false" customHeight="false" outlineLevel="0" collapsed="false">
      <c r="A33" s="0" t="s">
        <v>128</v>
      </c>
      <c r="B33" s="0" t="n">
        <f aca="false">B31*B29</f>
        <v>7452.11441403098</v>
      </c>
    </row>
    <row r="34" customFormat="false" ht="15" hidden="false" customHeight="false" outlineLevel="0" collapsed="false">
      <c r="A34" s="0" t="s">
        <v>129</v>
      </c>
      <c r="B34" s="0" t="n">
        <f aca="false">MAX(0,MIN(B32,B33))</f>
        <v>7452.11441403098</v>
      </c>
    </row>
    <row r="35" customFormat="false" ht="15" hidden="false" customHeight="false" outlineLevel="0" collapsed="false">
      <c r="A35" s="0" t="s">
        <v>130</v>
      </c>
      <c r="B35" s="0" t="n">
        <f aca="false">B34/(1+B27/100)^L4</f>
        <v>2509.17435542084</v>
      </c>
    </row>
    <row r="36" customFormat="false" ht="15" hidden="false" customHeight="false" outlineLevel="0" collapsed="false">
      <c r="A36" s="0" t="s">
        <v>131</v>
      </c>
      <c r="B36" s="0" t="n">
        <f aca="false">B30+B35</f>
        <v>11039.8919817134</v>
      </c>
    </row>
    <row r="37" customFormat="false" ht="15" hidden="false" customHeight="false" outlineLevel="0" collapsed="false">
      <c r="A37" s="0" t="s">
        <v>132</v>
      </c>
      <c r="B37" s="0" t="n">
        <f aca="false">B36+Assumptions!$B$5-Assumptions!$B$4</f>
        <v>15268.3229817134</v>
      </c>
    </row>
    <row r="38" customFormat="false" ht="15" hidden="false" customHeight="false" outlineLevel="0" collapsed="false">
      <c r="A38" s="0" t="s">
        <v>133</v>
      </c>
      <c r="B38" s="0" t="n">
        <f aca="false">B37/Assumptions!$B$3*Assumptions!$B$10</f>
        <v>8.26005030288357</v>
      </c>
    </row>
    <row r="39" customFormat="false" ht="15" hidden="false" customHeight="false" outlineLevel="0" collapsed="false">
      <c r="A39" s="0" t="s">
        <v>134</v>
      </c>
      <c r="B39" s="4" t="n">
        <f aca="false">B38/Assumptions!$B$2-1</f>
        <v>0.685724551608892</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8.26005030288357</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7452.11441403098</v>
      </c>
    </row>
    <row r="47" customFormat="false" ht="15" hidden="false" customHeight="false" outlineLevel="0" collapsed="false">
      <c r="A47" s="0" t="s">
        <v>139</v>
      </c>
      <c r="B47" s="0" t="n">
        <f aca="false">(SUMPRODUCT(C19:L19/(1+B45/100)^C4:L4)+B46/(1+B45/100)^L4+Assumptions!$B$5-Assumptions!$B$4)/Assumptions!$B$3*Assumptions!$B$10</f>
        <v>7.22239177578285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10</v>
      </c>
      <c r="D5" s="4" t="n">
        <f aca="false">Assumptions!D41</f>
        <v>10</v>
      </c>
      <c r="E5" s="4" t="n">
        <f aca="false">Assumptions!E41</f>
        <v>9</v>
      </c>
      <c r="F5" s="4" t="n">
        <f aca="false">Assumptions!F41</f>
        <v>8</v>
      </c>
      <c r="G5" s="4" t="n">
        <f aca="false">Assumptions!G41</f>
        <v>7</v>
      </c>
      <c r="H5" s="4" t="n">
        <f aca="false">Assumptions!H41</f>
        <v>6</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38</v>
      </c>
      <c r="B6" s="3" t="n">
        <v>11145.829</v>
      </c>
      <c r="C6" s="0" t="n">
        <f aca="false">B6*(1+C5/100)</f>
        <v>12260.4119</v>
      </c>
      <c r="D6" s="0" t="n">
        <f aca="false">C6*(1+D5/100)</f>
        <v>13486.45309</v>
      </c>
      <c r="E6" s="0" t="n">
        <f aca="false">D6*(1+E5/100)</f>
        <v>14700.2338681</v>
      </c>
      <c r="F6" s="0" t="n">
        <f aca="false">E6*(1+F5/100)</f>
        <v>15876.252577548</v>
      </c>
      <c r="G6" s="0" t="n">
        <f aca="false">F6*(1+G5/100)</f>
        <v>16987.5902579764</v>
      </c>
      <c r="H6" s="0" t="n">
        <f aca="false">G6*(1+H5/100)</f>
        <v>18006.8456734549</v>
      </c>
      <c r="I6" s="0" t="n">
        <f aca="false">H6*(1+I5/100)</f>
        <v>18907.1879571277</v>
      </c>
      <c r="J6" s="0" t="n">
        <f aca="false">I6*(1+J5/100)</f>
        <v>19758.0114151984</v>
      </c>
      <c r="K6" s="0" t="n">
        <f aca="false">J6*(1+K5/100)</f>
        <v>20548.3318718064</v>
      </c>
      <c r="L6" s="0" t="n">
        <f aca="false">K6*(1+L5/100)</f>
        <v>21267.5234873196</v>
      </c>
    </row>
    <row r="7" customFormat="false" ht="15" hidden="false" customHeight="false" outlineLevel="0" collapsed="false">
      <c r="A7" s="0" t="s">
        <v>96</v>
      </c>
      <c r="C7" s="4" t="n">
        <f aca="false">Assumptions!C42</f>
        <v>17.2</v>
      </c>
      <c r="D7" s="4" t="n">
        <f aca="false">Assumptions!D42</f>
        <v>17.5</v>
      </c>
      <c r="E7" s="4" t="n">
        <f aca="false">Assumptions!E42</f>
        <v>17.8</v>
      </c>
      <c r="F7" s="4" t="n">
        <f aca="false">Assumptions!F42</f>
        <v>18</v>
      </c>
      <c r="G7" s="4" t="n">
        <f aca="false">Assumptions!G42</f>
        <v>18.2</v>
      </c>
      <c r="H7" s="4" t="n">
        <f aca="false">Assumptions!H42</f>
        <v>18.4</v>
      </c>
      <c r="I7" s="4" t="n">
        <f aca="false">Assumptions!I42</f>
        <v>18.5</v>
      </c>
      <c r="J7" s="4" t="n">
        <f aca="false">Assumptions!J42</f>
        <v>18.5</v>
      </c>
      <c r="K7" s="4" t="n">
        <f aca="false">Assumptions!K42</f>
        <v>18.5</v>
      </c>
      <c r="L7" s="4" t="n">
        <f aca="false">Assumptions!L42</f>
        <v>18.5</v>
      </c>
    </row>
    <row r="8" customFormat="false" ht="15" hidden="false" customHeight="false" outlineLevel="0" collapsed="false">
      <c r="A8" s="0" t="s">
        <v>44</v>
      </c>
      <c r="C8" s="0" t="n">
        <f aca="false">C6*C7/100</f>
        <v>2108.7908468</v>
      </c>
      <c r="D8" s="0" t="n">
        <f aca="false">D6*D7/100</f>
        <v>2360.12929075</v>
      </c>
      <c r="E8" s="0" t="n">
        <f aca="false">E6*E7/100</f>
        <v>2616.6416285218</v>
      </c>
      <c r="F8" s="0" t="n">
        <f aca="false">F6*F7/100</f>
        <v>2857.72546395864</v>
      </c>
      <c r="G8" s="0" t="n">
        <f aca="false">G6*G7/100</f>
        <v>3091.7414269517</v>
      </c>
      <c r="H8" s="0" t="n">
        <f aca="false">H6*H7/100</f>
        <v>3313.25960391571</v>
      </c>
      <c r="I8" s="0" t="n">
        <f aca="false">I6*I7/100</f>
        <v>3497.82977206862</v>
      </c>
      <c r="J8" s="0" t="n">
        <f aca="false">J6*J7/100</f>
        <v>3655.23211181171</v>
      </c>
      <c r="K8" s="0" t="n">
        <f aca="false">K6*K7/100</f>
        <v>3801.44139628418</v>
      </c>
      <c r="L8" s="0" t="n">
        <f aca="false">L6*L7/100</f>
        <v>3934.49184515413</v>
      </c>
    </row>
    <row r="9" customFormat="false" ht="15" hidden="false" customHeight="false" outlineLevel="0" collapsed="false">
      <c r="A9" s="0" t="s">
        <v>97</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112</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113</v>
      </c>
      <c r="C11" s="0" t="n">
        <f aca="false">C8+C10+C24</f>
        <v>2108.7908468</v>
      </c>
      <c r="D11" s="0" t="n">
        <f aca="false">D8+D10+D24</f>
        <v>2360.12929075</v>
      </c>
      <c r="E11" s="0" t="n">
        <f aca="false">E8+E10+E24</f>
        <v>2616.6416285218</v>
      </c>
      <c r="F11" s="0" t="n">
        <f aca="false">F8+F10+F24</f>
        <v>2857.72546395864</v>
      </c>
      <c r="G11" s="0" t="n">
        <f aca="false">G8+G10+G24</f>
        <v>3091.7414269517</v>
      </c>
      <c r="H11" s="0" t="n">
        <f aca="false">H8+H10+H24</f>
        <v>3313.25960391571</v>
      </c>
      <c r="I11" s="0" t="n">
        <f aca="false">I8+I10+I24</f>
        <v>3497.82977206862</v>
      </c>
      <c r="J11" s="0" t="n">
        <f aca="false">J8+J10+J24</f>
        <v>3655.23211181171</v>
      </c>
      <c r="K11" s="0" t="n">
        <f aca="false">K8+K10+K24</f>
        <v>3801.44139628418</v>
      </c>
      <c r="L11" s="0" t="n">
        <f aca="false">L8+L10+L24</f>
        <v>3934.49184515413</v>
      </c>
    </row>
    <row r="12" customFormat="false" ht="15" hidden="false" customHeight="false" outlineLevel="0" collapsed="false">
      <c r="A12" s="0" t="s">
        <v>114</v>
      </c>
      <c r="C12" s="4" t="n">
        <f aca="false">-C6*Assumptions!C45/100</f>
        <v>-140.99473685</v>
      </c>
      <c r="D12" s="4" t="n">
        <f aca="false">-D6*Assumptions!D45/100</f>
        <v>-161.83743708</v>
      </c>
      <c r="E12" s="4" t="n">
        <f aca="false">-E6*Assumptions!E45/100</f>
        <v>-183.75292335125</v>
      </c>
      <c r="F12" s="4" t="n">
        <f aca="false">-F6*Assumptions!F45/100</f>
        <v>-206.391283508124</v>
      </c>
      <c r="G12" s="4" t="n">
        <f aca="false">-G6*Assumptions!G45/100</f>
        <v>-220.838673353693</v>
      </c>
      <c r="H12" s="4" t="n">
        <f aca="false">-H6*Assumptions!H45/100</f>
        <v>-234.088993754914</v>
      </c>
      <c r="I12" s="4" t="n">
        <f aca="false">-I6*Assumptions!I45/100</f>
        <v>-245.79344344266</v>
      </c>
      <c r="J12" s="4" t="n">
        <f aca="false">-J6*Assumptions!J45/100</f>
        <v>-256.85414839758</v>
      </c>
      <c r="K12" s="4" t="n">
        <f aca="false">-K6*Assumptions!K45/100</f>
        <v>-267.128314333483</v>
      </c>
      <c r="L12" s="4" t="n">
        <f aca="false">-L6*Assumptions!L45/100</f>
        <v>-276.477805335155</v>
      </c>
    </row>
    <row r="13" customFormat="false" ht="15" hidden="false" customHeight="false" outlineLevel="0" collapsed="false">
      <c r="A13" s="0" t="s">
        <v>115</v>
      </c>
      <c r="C13" s="0" t="n">
        <f aca="false">C11+C12</f>
        <v>1967.79610995</v>
      </c>
      <c r="D13" s="0" t="n">
        <f aca="false">D11+D12</f>
        <v>2198.29185367</v>
      </c>
      <c r="E13" s="0" t="n">
        <f aca="false">E11+E12</f>
        <v>2432.88870517055</v>
      </c>
      <c r="F13" s="0" t="n">
        <f aca="false">F11+F12</f>
        <v>2651.33418045052</v>
      </c>
      <c r="G13" s="0" t="n">
        <f aca="false">G11+G12</f>
        <v>2870.90275359801</v>
      </c>
      <c r="H13" s="0" t="n">
        <f aca="false">H11+H12</f>
        <v>3079.1706101608</v>
      </c>
      <c r="I13" s="0" t="n">
        <f aca="false">I11+I12</f>
        <v>3252.03632862596</v>
      </c>
      <c r="J13" s="0" t="n">
        <f aca="false">J11+J12</f>
        <v>3398.37796341413</v>
      </c>
      <c r="K13" s="0" t="n">
        <f aca="false">K11+K12</f>
        <v>3534.3130819507</v>
      </c>
      <c r="L13" s="0" t="n">
        <f aca="false">L11+L12</f>
        <v>3658.01403981897</v>
      </c>
    </row>
    <row r="14" customFormat="false" ht="15" hidden="false" customHeight="false" outlineLevel="0" collapsed="false">
      <c r="A14" s="0" t="s">
        <v>101</v>
      </c>
      <c r="C14" s="4" t="n">
        <f aca="false">Assumptions!C47</f>
        <v>24</v>
      </c>
      <c r="D14" s="4" t="n">
        <f aca="false">Assumptions!D47</f>
        <v>24</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116</v>
      </c>
      <c r="C15" s="0" t="n">
        <f aca="false">C13-MAX(0,C13)*C14/100</f>
        <v>1495.525043562</v>
      </c>
      <c r="D15" s="0" t="n">
        <f aca="false">D13-MAX(0,D13)*D14/100</f>
        <v>1670.7018087892</v>
      </c>
      <c r="E15" s="0" t="n">
        <f aca="false">E13-MAX(0,E13)*E14/100</f>
        <v>1848.99541592962</v>
      </c>
      <c r="F15" s="0" t="n">
        <f aca="false">F13-MAX(0,F13)*F14/100</f>
        <v>2015.01397714239</v>
      </c>
      <c r="G15" s="0" t="n">
        <f aca="false">G13-MAX(0,G13)*G14/100</f>
        <v>2181.88609273448</v>
      </c>
      <c r="H15" s="0" t="n">
        <f aca="false">H13-MAX(0,H13)*H14/100</f>
        <v>2340.1696637222</v>
      </c>
      <c r="I15" s="0" t="n">
        <f aca="false">I13-MAX(0,I13)*I14/100</f>
        <v>2471.54760975573</v>
      </c>
      <c r="J15" s="0" t="n">
        <f aca="false">J13-MAX(0,J13)*J14/100</f>
        <v>2582.76725219474</v>
      </c>
      <c r="K15" s="0" t="n">
        <f aca="false">K13-MAX(0,K13)*K14/100</f>
        <v>2686.07794228253</v>
      </c>
      <c r="L15" s="0" t="n">
        <f aca="false">L13-MAX(0,L13)*L14/100</f>
        <v>2780.09067026242</v>
      </c>
    </row>
    <row r="16" customFormat="false" ht="15" hidden="false" customHeight="false" outlineLevel="0" collapsed="false">
      <c r="A16" s="0" t="s">
        <v>117</v>
      </c>
      <c r="C16" s="0" t="n">
        <f aca="false">-C12</f>
        <v>140.99473685</v>
      </c>
      <c r="D16" s="0" t="n">
        <f aca="false">-D12</f>
        <v>161.83743708</v>
      </c>
      <c r="E16" s="0" t="n">
        <f aca="false">-E12</f>
        <v>183.75292335125</v>
      </c>
      <c r="F16" s="0" t="n">
        <f aca="false">-F12</f>
        <v>206.391283508124</v>
      </c>
      <c r="G16" s="0" t="n">
        <f aca="false">-G12</f>
        <v>220.838673353693</v>
      </c>
      <c r="H16" s="0" t="n">
        <f aca="false">-H12</f>
        <v>234.088993754914</v>
      </c>
      <c r="I16" s="0" t="n">
        <f aca="false">-I12</f>
        <v>245.79344344266</v>
      </c>
      <c r="J16" s="0" t="n">
        <f aca="false">-J12</f>
        <v>256.85414839758</v>
      </c>
      <c r="K16" s="0" t="n">
        <f aca="false">-K12</f>
        <v>267.128314333483</v>
      </c>
      <c r="L16" s="0" t="n">
        <f aca="false">-L12</f>
        <v>276.477805335155</v>
      </c>
    </row>
    <row r="17" customFormat="false" ht="15" hidden="false" customHeight="false" outlineLevel="0" collapsed="false">
      <c r="A17" s="0" t="s">
        <v>118</v>
      </c>
      <c r="C17" s="4" t="n">
        <f aca="false">-C6*Assumptions!C46/100</f>
        <v>-269.7290618</v>
      </c>
      <c r="D17" s="4" t="n">
        <f aca="false">-D6*Assumptions!D46/100</f>
        <v>-269.7290618</v>
      </c>
      <c r="E17" s="4" t="n">
        <f aca="false">-E6*Assumptions!E46/100</f>
        <v>-264.6042096258</v>
      </c>
      <c r="F17" s="4" t="n">
        <f aca="false">-F6*Assumptions!F46/100</f>
        <v>-269.896293818316</v>
      </c>
      <c r="G17" s="4" t="n">
        <f aca="false">-G6*Assumptions!G46/100</f>
        <v>-271.801444127622</v>
      </c>
      <c r="H17" s="4" t="n">
        <f aca="false">-H6*Assumptions!H46/100</f>
        <v>-270.102685101824</v>
      </c>
      <c r="I17" s="4" t="n">
        <f aca="false">-I6*Assumptions!I46/100</f>
        <v>-283.607819356915</v>
      </c>
      <c r="J17" s="4" t="n">
        <f aca="false">-J6*Assumptions!J46/100</f>
        <v>-296.370171227977</v>
      </c>
      <c r="K17" s="4" t="n">
        <f aca="false">-K6*Assumptions!K46/100</f>
        <v>-308.224978077096</v>
      </c>
      <c r="L17" s="4" t="n">
        <f aca="false">-L6*Assumptions!L46/100</f>
        <v>-319.012852309794</v>
      </c>
    </row>
    <row r="18" customFormat="false" ht="15" hidden="false" customHeight="false" outlineLevel="0" collapsed="false">
      <c r="A18" s="0" t="s">
        <v>119</v>
      </c>
      <c r="C18" s="4" t="n">
        <f aca="false">(C6-B6)*Assumptions!$B$51/100</f>
        <v>-278.645725</v>
      </c>
      <c r="D18" s="4" t="n">
        <f aca="false">(D6-C6)*Assumptions!$B$51/100</f>
        <v>-306.5102975</v>
      </c>
      <c r="E18" s="4" t="n">
        <f aca="false">(E6-D6)*Assumptions!$B$51/100</f>
        <v>-303.445194525</v>
      </c>
      <c r="F18" s="4" t="n">
        <f aca="false">(F6-E6)*Assumptions!$B$51/100</f>
        <v>-294.004677362</v>
      </c>
      <c r="G18" s="4" t="n">
        <f aca="false">(G6-F6)*Assumptions!$B$51/100</f>
        <v>-277.83442010709</v>
      </c>
      <c r="H18" s="4" t="n">
        <f aca="false">(H6-G6)*Assumptions!$B$51/100</f>
        <v>-254.813853869646</v>
      </c>
      <c r="I18" s="4" t="n">
        <f aca="false">(I6-H6)*Assumptions!$B$51/100</f>
        <v>-225.085570918187</v>
      </c>
      <c r="J18" s="4" t="n">
        <f aca="false">(J6-I6)*Assumptions!$B$51/100</f>
        <v>-212.705864517687</v>
      </c>
      <c r="K18" s="4" t="n">
        <f aca="false">(K6-J6)*Assumptions!$B$51/100</f>
        <v>-197.580114151984</v>
      </c>
      <c r="L18" s="4" t="n">
        <f aca="false">(L6-K6)*Assumptions!$B$51/100</f>
        <v>-179.797903878305</v>
      </c>
    </row>
    <row r="19" customFormat="false" ht="15" hidden="false" customHeight="false" outlineLevel="0" collapsed="false">
      <c r="A19" s="0" t="s">
        <v>120</v>
      </c>
      <c r="C19" s="0" t="n">
        <f aca="false">C15+C16+C17+C18</f>
        <v>1088.144993612</v>
      </c>
      <c r="D19" s="0" t="n">
        <f aca="false">D15+D16+D17+D18</f>
        <v>1256.2998865692</v>
      </c>
      <c r="E19" s="0" t="n">
        <f aca="false">E15+E16+E17+E18</f>
        <v>1464.69893513007</v>
      </c>
      <c r="F19" s="0" t="n">
        <f aca="false">F15+F16+F17+F18</f>
        <v>1657.5042894702</v>
      </c>
      <c r="G19" s="0" t="n">
        <f aca="false">G15+G16+G17+G18</f>
        <v>1853.08890185347</v>
      </c>
      <c r="H19" s="0" t="n">
        <f aca="false">H15+H16+H17+H18</f>
        <v>2049.34211850565</v>
      </c>
      <c r="I19" s="0" t="n">
        <f aca="false">I15+I16+I17+I18</f>
        <v>2208.64766292329</v>
      </c>
      <c r="J19" s="0" t="n">
        <f aca="false">J15+J16+J17+J18</f>
        <v>2330.54536484666</v>
      </c>
      <c r="K19" s="0" t="n">
        <f aca="false">K15+K16+K17+K18</f>
        <v>2447.40116438693</v>
      </c>
      <c r="L19" s="0" t="n">
        <f aca="false">L15+L16+L17+L18</f>
        <v>2557.75771940947</v>
      </c>
    </row>
    <row r="20" customFormat="false" ht="15" hidden="false" customHeight="false" outlineLevel="0" collapsed="false">
      <c r="A20" s="0" t="s">
        <v>121</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122</v>
      </c>
      <c r="C21" s="0" t="n">
        <f aca="false">C19*C20</f>
        <v>975.91479247713</v>
      </c>
      <c r="D21" s="0" t="n">
        <f aca="false">D19*D20</f>
        <v>1010.51691091251</v>
      </c>
      <c r="E21" s="0" t="n">
        <f aca="false">E19*E20</f>
        <v>1056.63201106414</v>
      </c>
      <c r="F21" s="0" t="n">
        <f aca="false">F19*F20</f>
        <v>1072.39601492846</v>
      </c>
      <c r="G21" s="0" t="n">
        <f aca="false">G19*G20</f>
        <v>1075.28086674717</v>
      </c>
      <c r="H21" s="0" t="n">
        <f aca="false">H19*H20</f>
        <v>1066.51080950292</v>
      </c>
      <c r="I21" s="0" t="n">
        <f aca="false">I19*I20</f>
        <v>1030.86636176415</v>
      </c>
      <c r="J21" s="0" t="n">
        <f aca="false">J19*J20</f>
        <v>975.5704160605</v>
      </c>
      <c r="K21" s="0" t="n">
        <f aca="false">K19*K20</f>
        <v>918.821937799572</v>
      </c>
      <c r="L21" s="0" t="n">
        <f aca="false">L19*L20</f>
        <v>861.21330408431</v>
      </c>
    </row>
    <row r="23" customFormat="false" ht="15" hidden="false" customHeight="false" outlineLevel="0" collapsed="false">
      <c r="A23" s="0" t="s">
        <v>98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Assumptions!$B$48</f>
        <v>11.5</v>
      </c>
    </row>
    <row r="28" customFormat="false" ht="15" hidden="false" customHeight="false" outlineLevel="0" collapsed="false">
      <c r="A28" s="0" t="s">
        <v>103</v>
      </c>
      <c r="B28" s="4" t="n">
        <f aca="false">Assumptions!$B$49</f>
        <v>3</v>
      </c>
    </row>
    <row r="29" customFormat="false" ht="15" hidden="false" customHeight="false" outlineLevel="0" collapsed="false">
      <c r="A29" s="0" t="s">
        <v>104</v>
      </c>
      <c r="B29" s="4" t="n">
        <f aca="false">Assumptions!$B$50</f>
        <v>8.3</v>
      </c>
    </row>
    <row r="30" customFormat="false" ht="15" hidden="false" customHeight="false" outlineLevel="0" collapsed="false">
      <c r="A30" s="0" t="s">
        <v>125</v>
      </c>
      <c r="B30" s="0" t="n">
        <f aca="false">SUM(C21:L21)</f>
        <v>10043.7234253409</v>
      </c>
    </row>
    <row r="31" customFormat="false" ht="15" hidden="false" customHeight="false" outlineLevel="0" collapsed="false">
      <c r="A31" s="0" t="s">
        <v>126</v>
      </c>
      <c r="B31" s="0" t="n">
        <f aca="false">L19</f>
        <v>2557.75771940947</v>
      </c>
    </row>
    <row r="32" customFormat="false" ht="15" hidden="false" customHeight="false" outlineLevel="0" collapsed="false">
      <c r="A32" s="0" t="s">
        <v>127</v>
      </c>
      <c r="B32" s="0" t="n">
        <f aca="false">IF(B27&gt;B28,B31*(1+B28/100)/((B27-B28)/100),B31*B29)</f>
        <v>30994.0053057854</v>
      </c>
    </row>
    <row r="33" customFormat="false" ht="15" hidden="false" customHeight="false" outlineLevel="0" collapsed="false">
      <c r="A33" s="0" t="s">
        <v>128</v>
      </c>
      <c r="B33" s="0" t="n">
        <f aca="false">B31*B29</f>
        <v>21229.3890710986</v>
      </c>
    </row>
    <row r="34" customFormat="false" ht="15" hidden="false" customHeight="false" outlineLevel="0" collapsed="false">
      <c r="A34" s="0" t="s">
        <v>129</v>
      </c>
      <c r="B34" s="0" t="n">
        <f aca="false">MAX(0,MIN(B32,B33))</f>
        <v>21229.3890710986</v>
      </c>
    </row>
    <row r="35" customFormat="false" ht="15" hidden="false" customHeight="false" outlineLevel="0" collapsed="false">
      <c r="A35" s="0" t="s">
        <v>130</v>
      </c>
      <c r="B35" s="0" t="n">
        <f aca="false">B34/(1+B27/100)^L4</f>
        <v>7148.07042389977</v>
      </c>
    </row>
    <row r="36" customFormat="false" ht="15" hidden="false" customHeight="false" outlineLevel="0" collapsed="false">
      <c r="A36" s="0" t="s">
        <v>131</v>
      </c>
      <c r="B36" s="0" t="n">
        <f aca="false">B30+B35</f>
        <v>17191.7938492406</v>
      </c>
    </row>
    <row r="37" customFormat="false" ht="15" hidden="false" customHeight="false" outlineLevel="0" collapsed="false">
      <c r="A37" s="0" t="s">
        <v>132</v>
      </c>
      <c r="B37" s="0" t="n">
        <f aca="false">B36+Assumptions!$B$5-Assumptions!$B$4</f>
        <v>21420.2248492406</v>
      </c>
    </row>
    <row r="38" customFormat="false" ht="15" hidden="false" customHeight="false" outlineLevel="0" collapsed="false">
      <c r="A38" s="0" t="s">
        <v>133</v>
      </c>
      <c r="B38" s="0" t="n">
        <f aca="false">B37/Assumptions!$B$3*Assumptions!$B$10</f>
        <v>11.58818391291</v>
      </c>
    </row>
    <row r="39" customFormat="false" ht="15" hidden="false" customHeight="false" outlineLevel="0" collapsed="false">
      <c r="A39" s="0" t="s">
        <v>134</v>
      </c>
      <c r="B39" s="4" t="n">
        <f aca="false">B38/Assumptions!$B$2-1</f>
        <v>1.3649354924306</v>
      </c>
    </row>
    <row r="41" customFormat="false" ht="15" hidden="false" customHeight="false" outlineLevel="0" collapsed="false">
      <c r="A41" s="0" t="s">
        <v>135</v>
      </c>
      <c r="B41" s="0" t="n">
        <f aca="false">SUMPRODUCT(-C10:L10/(1+$B$27/100)^C4:L4)</f>
        <v>0</v>
      </c>
    </row>
    <row r="42" customFormat="false" ht="15" hidden="false" customHeight="false" outlineLevel="0" collapsed="false">
      <c r="A42" s="0" t="s">
        <v>136</v>
      </c>
      <c r="B42" s="0" t="n">
        <f aca="false">IF(B27&gt;B28,-L10*(1+B28/100)/((B27-B28)/100),-L10*20)/(1+B27/100)^L4</f>
        <v>0</v>
      </c>
    </row>
    <row r="43" customFormat="false" ht="15" hidden="false" customHeight="false" outlineLevel="0" collapsed="false">
      <c r="A43" s="0" t="s">
        <v>137</v>
      </c>
      <c r="B43" s="0" t="n">
        <f aca="false">(B37+B41+B42)/Assumptions!$B$3*Assumptions!$B$10</f>
        <v>11.58818391291</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21229.3890710986</v>
      </c>
    </row>
    <row r="47" customFormat="false" ht="15" hidden="false" customHeight="false" outlineLevel="0" collapsed="false">
      <c r="A47" s="0" t="s">
        <v>139</v>
      </c>
      <c r="B47" s="0" t="n">
        <f aca="false">(SUMPRODUCT(C19:L19/(1+B45/100)^C4:L4)+B46/(1+B45/100)^L4+Assumptions!$B$5-Assumptions!$B$4)/Assumptions!$B$3*Assumptions!$B$10</f>
        <v>9.74345525471746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5.88823097542409</v>
      </c>
      <c r="C4" s="0" t="n">
        <f aca="false">B4/Assumptions!$B$2-1</f>
        <v>0.201679790902874</v>
      </c>
      <c r="D4" s="4" t="n">
        <f aca="false">Assumptions!$B$24</f>
        <v>0.25</v>
      </c>
      <c r="E4" s="4" t="n">
        <f aca="false">DCF_Bear!$B$43</f>
        <v>5.88823097542409</v>
      </c>
      <c r="F4" s="4" t="n">
        <f aca="false">DCF_Bear!$B$47</f>
        <v>5.3723356079052</v>
      </c>
    </row>
    <row r="5" customFormat="false" ht="15" hidden="false" customHeight="false" outlineLevel="0" collapsed="false">
      <c r="A5" s="0" t="s">
        <v>148</v>
      </c>
      <c r="B5" s="4" t="n">
        <f aca="false">DCF_Base!$B$38</f>
        <v>8.26005030288357</v>
      </c>
      <c r="C5" s="0" t="n">
        <f aca="false">B5/Assumptions!$B$2-1</f>
        <v>0.685724551608892</v>
      </c>
      <c r="D5" s="4" t="n">
        <f aca="false">Assumptions!$B$38</f>
        <v>0.5</v>
      </c>
      <c r="E5" s="4" t="n">
        <f aca="false">DCF_Base!$B$43</f>
        <v>8.26005030288357</v>
      </c>
      <c r="F5" s="4" t="n">
        <f aca="false">DCF_Base!$B$47</f>
        <v>7.22239177578285</v>
      </c>
    </row>
    <row r="6" customFormat="false" ht="15" hidden="false" customHeight="false" outlineLevel="0" collapsed="false">
      <c r="A6" s="0" t="s">
        <v>149</v>
      </c>
      <c r="B6" s="4" t="n">
        <f aca="false">DCF_Bull!$B$38</f>
        <v>11.58818391291</v>
      </c>
      <c r="C6" s="0" t="n">
        <f aca="false">B6/Assumptions!$B$2-1</f>
        <v>1.3649354924306</v>
      </c>
      <c r="D6" s="4" t="n">
        <f aca="false">Assumptions!$B$52</f>
        <v>0.25</v>
      </c>
      <c r="E6" s="4" t="n">
        <f aca="false">DCF_Bull!$B$43</f>
        <v>11.58818391291</v>
      </c>
      <c r="F6" s="4" t="n">
        <f aca="false">DCF_Bull!$B$47</f>
        <v>9.74345525471746</v>
      </c>
    </row>
    <row r="8" customFormat="false" ht="15" hidden="false" customHeight="false" outlineLevel="0" collapsed="false">
      <c r="A8" s="0" t="s">
        <v>150</v>
      </c>
      <c r="B8" s="0" t="n">
        <f aca="false">SUMPRODUCT(B4:B6,D4:D6)</f>
        <v>8.4991288735253</v>
      </c>
    </row>
    <row r="9" customFormat="false" ht="15" hidden="false" customHeight="false" outlineLevel="0" collapsed="false">
      <c r="A9" s="0" t="s">
        <v>151</v>
      </c>
      <c r="B9" s="0" t="n">
        <f aca="false">SUMPRODUCT(E4:E6,D4:D6)</f>
        <v>8.4991288735253</v>
      </c>
    </row>
    <row r="10" customFormat="false" ht="15" hidden="false" customHeight="false" outlineLevel="0" collapsed="false">
      <c r="A10" s="0" t="s">
        <v>152</v>
      </c>
      <c r="B10" s="0" t="n">
        <f aca="false">1-Assumptions!$B$2/B8</f>
        <v>0.423470325851459</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7.39014360354709</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9.19998747343186</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8.80083603477016</v>
      </c>
      <c r="C16" s="3" t="n">
        <v>10</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8.43307472729808</v>
      </c>
      <c r="C17" s="3" t="n">
        <v>11</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8.26005030288357</v>
      </c>
      <c r="C18" s="3" t="n">
        <v>11.5</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8.09381374688357</v>
      </c>
      <c r="C19" s="3" t="n">
        <v>12</v>
      </c>
    </row>
    <row r="20" customFormat="false" ht="15" hidden="false" customHeight="false" outlineLevel="0" collapsed="false">
      <c r="A20" s="0" t="s">
        <v>162</v>
      </c>
      <c r="B20" s="0" t="n">
        <f aca="false">(SUMPRODUCT(DCF_Base!$C$19:$L$19/(1+$C$20/100)^DCF_Base!$C$4:$L$4)+MAX(0,MIN(IF($C$20&gt;DCF_Base!$B$28,DCF_Base!$L$19*(1+DCF_Base!$B$28/100)/(($C$20-DCF_Base!$B$28)/100),DCF_Base!$L$19*DCF_Base!$B$29),DCF_Base!$L$19*DCF_Base!$B$29))/(1+$C$20/100)^DCF_Base!$L$4+Assumptions!$B$5-Assumptions!$B$4)/Assumptions!$B$3*Assumptions!$B$10</f>
        <v>7.22239177578285</v>
      </c>
      <c r="C20" s="3" t="n">
        <v>15</v>
      </c>
    </row>
    <row r="22" customFormat="false" ht="15" hidden="false" customHeight="false" outlineLevel="0" collapsed="false">
      <c r="A22" s="2" t="s">
        <v>163</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9.5</v>
      </c>
      <c r="B24" s="0" t="n">
        <f aca="false">(SUMPRODUCT(DCF_Base!$C$19:$L$19/(1+$A$24/100)^DCF_Base!$C$4:$L$4)+MAX(0,MIN(IF($A$24&gt;$B$23,DCF_Base!$L$19*(1+$B$23/100)/(($A$24-$B$23)/100),DCF_Base!$L$19*DCF_Base!$B$29),DCF_Base!$L$19*DCF_Base!$B$29))/(1+$A$24/100)^DCF_Base!$L$4+Assumptions!$B$5-Assumptions!$B$4)/Assumptions!$B$3*Assumptions!$B$10</f>
        <v>8.99629477844243</v>
      </c>
      <c r="C24" s="0" t="n">
        <f aca="false">(SUMPRODUCT(DCF_Base!$C$19:$L$19/(1+$A$24/100)^DCF_Base!$C$4:$L$4)+MAX(0,MIN(IF($A$24&gt;$C$23,DCF_Base!$L$19*(1+$C$23/100)/(($A$24-$C$23)/100),DCF_Base!$L$19*DCF_Base!$B$29),DCF_Base!$L$19*DCF_Base!$B$29))/(1+$A$24/100)^DCF_Base!$L$4+Assumptions!$B$5-Assumptions!$B$4)/Assumptions!$B$3*Assumptions!$B$10</f>
        <v>8.99629477844243</v>
      </c>
      <c r="D24" s="0" t="n">
        <f aca="false">(SUMPRODUCT(DCF_Base!$C$19:$L$19/(1+$A$24/100)^DCF_Base!$C$4:$L$4)+MAX(0,MIN(IF($A$24&gt;$D$23,DCF_Base!$L$19*(1+$D$23/100)/(($A$24-$D$23)/100),DCF_Base!$L$19*DCF_Base!$B$29),DCF_Base!$L$19*DCF_Base!$B$29))/(1+$A$24/100)^DCF_Base!$L$4+Assumptions!$B$5-Assumptions!$B$4)/Assumptions!$B$3*Assumptions!$B$10</f>
        <v>8.99629477844243</v>
      </c>
      <c r="E24" s="0" t="n">
        <f aca="false">(SUMPRODUCT(DCF_Base!$C$19:$L$19/(1+$A$24/100)^DCF_Base!$C$4:$L$4)+MAX(0,MIN(IF($A$24&gt;$E$23,DCF_Base!$L$19*(1+$E$23/100)/(($A$24-$E$23)/100),DCF_Base!$L$19*DCF_Base!$B$29),DCF_Base!$L$19*DCF_Base!$B$29))/(1+$A$24/100)^DCF_Base!$L$4+Assumptions!$B$5-Assumptions!$B$4)/Assumptions!$B$3*Assumptions!$B$10</f>
        <v>8.99629477844243</v>
      </c>
      <c r="F24" s="0" t="n">
        <f aca="false">(SUMPRODUCT(DCF_Base!$C$19:$L$19/(1+$A$24/100)^DCF_Base!$C$4:$L$4)+MAX(0,MIN(IF($A$24&gt;$F$23,DCF_Base!$L$19*(1+$F$23/100)/(($A$24-$F$23)/100),DCF_Base!$L$19*DCF_Base!$B$29),DCF_Base!$L$19*DCF_Base!$B$29))/(1+$A$24/100)^DCF_Base!$L$4+Assumptions!$B$5-Assumptions!$B$4)/Assumptions!$B$3*Assumptions!$B$10</f>
        <v>8.99629477844243</v>
      </c>
    </row>
    <row r="25" customFormat="false" ht="15" hidden="false" customHeight="false" outlineLevel="0" collapsed="false">
      <c r="A25" s="3" t="n">
        <v>10.5</v>
      </c>
      <c r="B25" s="0" t="n">
        <f aca="false">(SUMPRODUCT(DCF_Base!$C$19:$L$19/(1+$A$25/100)^DCF_Base!$C$4:$L$4)+MAX(0,MIN(IF($A$25&gt;$B$23,DCF_Base!$L$19*(1+$B$23/100)/(($A$25-$B$23)/100),DCF_Base!$L$19*DCF_Base!$B$29),DCF_Base!$L$19*DCF_Base!$B$29))/(1+$A$25/100)^DCF_Base!$L$4+Assumptions!$B$5-Assumptions!$B$4)/Assumptions!$B$3*Assumptions!$B$10</f>
        <v>8.61321960432026</v>
      </c>
      <c r="C25" s="0" t="n">
        <f aca="false">(SUMPRODUCT(DCF_Base!$C$19:$L$19/(1+$A$25/100)^DCF_Base!$C$4:$L$4)+MAX(0,MIN(IF($A$25&gt;$C$23,DCF_Base!$L$19*(1+$C$23/100)/(($A$25-$C$23)/100),DCF_Base!$L$19*DCF_Base!$B$29),DCF_Base!$L$19*DCF_Base!$B$29))/(1+$A$25/100)^DCF_Base!$L$4+Assumptions!$B$5-Assumptions!$B$4)/Assumptions!$B$3*Assumptions!$B$10</f>
        <v>8.61321960432026</v>
      </c>
      <c r="D25" s="0" t="n">
        <f aca="false">(SUMPRODUCT(DCF_Base!$C$19:$L$19/(1+$A$25/100)^DCF_Base!$C$4:$L$4)+MAX(0,MIN(IF($A$25&gt;$D$23,DCF_Base!$L$19*(1+$D$23/100)/(($A$25-$D$23)/100),DCF_Base!$L$19*DCF_Base!$B$29),DCF_Base!$L$19*DCF_Base!$B$29))/(1+$A$25/100)^DCF_Base!$L$4+Assumptions!$B$5-Assumptions!$B$4)/Assumptions!$B$3*Assumptions!$B$10</f>
        <v>8.61321960432026</v>
      </c>
      <c r="E25" s="0" t="n">
        <f aca="false">(SUMPRODUCT(DCF_Base!$C$19:$L$19/(1+$A$25/100)^DCF_Base!$C$4:$L$4)+MAX(0,MIN(IF($A$25&gt;$E$23,DCF_Base!$L$19*(1+$E$23/100)/(($A$25-$E$23)/100),DCF_Base!$L$19*DCF_Base!$B$29),DCF_Base!$L$19*DCF_Base!$B$29))/(1+$A$25/100)^DCF_Base!$L$4+Assumptions!$B$5-Assumptions!$B$4)/Assumptions!$B$3*Assumptions!$B$10</f>
        <v>8.61321960432026</v>
      </c>
      <c r="F25" s="0" t="n">
        <f aca="false">(SUMPRODUCT(DCF_Base!$C$19:$L$19/(1+$A$25/100)^DCF_Base!$C$4:$L$4)+MAX(0,MIN(IF($A$25&gt;$F$23,DCF_Base!$L$19*(1+$F$23/100)/(($A$25-$F$23)/100),DCF_Base!$L$19*DCF_Base!$B$29),DCF_Base!$L$19*DCF_Base!$B$29))/(1+$A$25/100)^DCF_Base!$L$4+Assumptions!$B$5-Assumptions!$B$4)/Assumptions!$B$3*Assumptions!$B$10</f>
        <v>8.61321960432026</v>
      </c>
    </row>
    <row r="26" customFormat="false" ht="15" hidden="false" customHeight="false" outlineLevel="0" collapsed="false">
      <c r="A26" s="3" t="n">
        <v>11.5</v>
      </c>
      <c r="B26" s="0" t="n">
        <f aca="false">(SUMPRODUCT(DCF_Base!$C$19:$L$19/(1+$A$26/100)^DCF_Base!$C$4:$L$4)+MAX(0,MIN(IF($A$26&gt;$B$23,DCF_Base!$L$19*(1+$B$23/100)/(($A$26-$B$23)/100),DCF_Base!$L$19*DCF_Base!$B$29),DCF_Base!$L$19*DCF_Base!$B$29))/(1+$A$26/100)^DCF_Base!$L$4+Assumptions!$B$5-Assumptions!$B$4)/Assumptions!$B$3*Assumptions!$B$10</f>
        <v>8.26005030288357</v>
      </c>
      <c r="C26" s="0" t="n">
        <f aca="false">(SUMPRODUCT(DCF_Base!$C$19:$L$19/(1+$A$26/100)^DCF_Base!$C$4:$L$4)+MAX(0,MIN(IF($A$26&gt;$C$23,DCF_Base!$L$19*(1+$C$23/100)/(($A$26-$C$23)/100),DCF_Base!$L$19*DCF_Base!$B$29),DCF_Base!$L$19*DCF_Base!$B$29))/(1+$A$26/100)^DCF_Base!$L$4+Assumptions!$B$5-Assumptions!$B$4)/Assumptions!$B$3*Assumptions!$B$10</f>
        <v>8.26005030288357</v>
      </c>
      <c r="D26" s="0" t="n">
        <f aca="false">(SUMPRODUCT(DCF_Base!$C$19:$L$19/(1+$A$26/100)^DCF_Base!$C$4:$L$4)+MAX(0,MIN(IF($A$26&gt;$D$23,DCF_Base!$L$19*(1+$D$23/100)/(($A$26-$D$23)/100),DCF_Base!$L$19*DCF_Base!$B$29),DCF_Base!$L$19*DCF_Base!$B$29))/(1+$A$26/100)^DCF_Base!$L$4+Assumptions!$B$5-Assumptions!$B$4)/Assumptions!$B$3*Assumptions!$B$10</f>
        <v>8.26005030288357</v>
      </c>
      <c r="E26" s="0" t="n">
        <f aca="false">(SUMPRODUCT(DCF_Base!$C$19:$L$19/(1+$A$26/100)^DCF_Base!$C$4:$L$4)+MAX(0,MIN(IF($A$26&gt;$E$23,DCF_Base!$L$19*(1+$E$23/100)/(($A$26-$E$23)/100),DCF_Base!$L$19*DCF_Base!$B$29),DCF_Base!$L$19*DCF_Base!$B$29))/(1+$A$26/100)^DCF_Base!$L$4+Assumptions!$B$5-Assumptions!$B$4)/Assumptions!$B$3*Assumptions!$B$10</f>
        <v>8.26005030288357</v>
      </c>
      <c r="F26" s="0" t="n">
        <f aca="false">(SUMPRODUCT(DCF_Base!$C$19:$L$19/(1+$A$26/100)^DCF_Base!$C$4:$L$4)+MAX(0,MIN(IF($A$26&gt;$F$23,DCF_Base!$L$19*(1+$F$23/100)/(($A$26-$F$23)/100),DCF_Base!$L$19*DCF_Base!$B$29),DCF_Base!$L$19*DCF_Base!$B$29))/(1+$A$26/100)^DCF_Base!$L$4+Assumptions!$B$5-Assumptions!$B$4)/Assumptions!$B$3*Assumptions!$B$10</f>
        <v>8.26005030288357</v>
      </c>
    </row>
    <row r="27" customFormat="false" ht="15" hidden="false" customHeight="false" outlineLevel="0" collapsed="false">
      <c r="A27" s="3" t="n">
        <v>12.5</v>
      </c>
      <c r="B27" s="0" t="n">
        <f aca="false">(SUMPRODUCT(DCF_Base!$C$19:$L$19/(1+$A$27/100)^DCF_Base!$C$4:$L$4)+MAX(0,MIN(IF($A$27&gt;$B$23,DCF_Base!$L$19*(1+$B$23/100)/(($A$27-$B$23)/100),DCF_Base!$L$19*DCF_Base!$B$29),DCF_Base!$L$19*DCF_Base!$B$29))/(1+$A$27/100)^DCF_Base!$L$4+Assumptions!$B$5-Assumptions!$B$4)/Assumptions!$B$3*Assumptions!$B$10</f>
        <v>7.93404992115566</v>
      </c>
      <c r="C27" s="0" t="n">
        <f aca="false">(SUMPRODUCT(DCF_Base!$C$19:$L$19/(1+$A$27/100)^DCF_Base!$C$4:$L$4)+MAX(0,MIN(IF($A$27&gt;$C$23,DCF_Base!$L$19*(1+$C$23/100)/(($A$27-$C$23)/100),DCF_Base!$L$19*DCF_Base!$B$29),DCF_Base!$L$19*DCF_Base!$B$29))/(1+$A$27/100)^DCF_Base!$L$4+Assumptions!$B$5-Assumptions!$B$4)/Assumptions!$B$3*Assumptions!$B$10</f>
        <v>7.93404992115566</v>
      </c>
      <c r="D27" s="0" t="n">
        <f aca="false">(SUMPRODUCT(DCF_Base!$C$19:$L$19/(1+$A$27/100)^DCF_Base!$C$4:$L$4)+MAX(0,MIN(IF($A$27&gt;$D$23,DCF_Base!$L$19*(1+$D$23/100)/(($A$27-$D$23)/100),DCF_Base!$L$19*DCF_Base!$B$29),DCF_Base!$L$19*DCF_Base!$B$29))/(1+$A$27/100)^DCF_Base!$L$4+Assumptions!$B$5-Assumptions!$B$4)/Assumptions!$B$3*Assumptions!$B$10</f>
        <v>7.93404992115566</v>
      </c>
      <c r="E27" s="0" t="n">
        <f aca="false">(SUMPRODUCT(DCF_Base!$C$19:$L$19/(1+$A$27/100)^DCF_Base!$C$4:$L$4)+MAX(0,MIN(IF($A$27&gt;$E$23,DCF_Base!$L$19*(1+$E$23/100)/(($A$27-$E$23)/100),DCF_Base!$L$19*DCF_Base!$B$29),DCF_Base!$L$19*DCF_Base!$B$29))/(1+$A$27/100)^DCF_Base!$L$4+Assumptions!$B$5-Assumptions!$B$4)/Assumptions!$B$3*Assumptions!$B$10</f>
        <v>7.93404992115566</v>
      </c>
      <c r="F27" s="0" t="n">
        <f aca="false">(SUMPRODUCT(DCF_Base!$C$19:$L$19/(1+$A$27/100)^DCF_Base!$C$4:$L$4)+MAX(0,MIN(IF($A$27&gt;$F$23,DCF_Base!$L$19*(1+$F$23/100)/(($A$27-$F$23)/100),DCF_Base!$L$19*DCF_Base!$B$29),DCF_Base!$L$19*DCF_Base!$B$29))/(1+$A$27/100)^DCF_Base!$L$4+Assumptions!$B$5-Assumptions!$B$4)/Assumptions!$B$3*Assumptions!$B$10</f>
        <v>7.93404992115566</v>
      </c>
    </row>
    <row r="28" customFormat="false" ht="15" hidden="false" customHeight="false" outlineLevel="0" collapsed="false">
      <c r="A28" s="3" t="n">
        <v>13.5</v>
      </c>
      <c r="B28" s="0" t="n">
        <f aca="false">(SUMPRODUCT(DCF_Base!$C$19:$L$19/(1+$A$28/100)^DCF_Base!$C$4:$L$4)+MAX(0,MIN(IF($A$28&gt;$B$23,DCF_Base!$L$19*(1+$B$23/100)/(($A$28-$B$23)/100),DCF_Base!$L$19*DCF_Base!$B$29),DCF_Base!$L$19*DCF_Base!$B$29))/(1+$A$28/100)^DCF_Base!$L$4+Assumptions!$B$5-Assumptions!$B$4)/Assumptions!$B$3*Assumptions!$B$10</f>
        <v>7.63276117883469</v>
      </c>
      <c r="C28" s="0" t="n">
        <f aca="false">(SUMPRODUCT(DCF_Base!$C$19:$L$19/(1+$A$28/100)^DCF_Base!$C$4:$L$4)+MAX(0,MIN(IF($A$28&gt;$C$23,DCF_Base!$L$19*(1+$C$23/100)/(($A$28-$C$23)/100),DCF_Base!$L$19*DCF_Base!$B$29),DCF_Base!$L$19*DCF_Base!$B$29))/(1+$A$28/100)^DCF_Base!$L$4+Assumptions!$B$5-Assumptions!$B$4)/Assumptions!$B$3*Assumptions!$B$10</f>
        <v>7.63276117883469</v>
      </c>
      <c r="D28" s="0" t="n">
        <f aca="false">(SUMPRODUCT(DCF_Base!$C$19:$L$19/(1+$A$28/100)^DCF_Base!$C$4:$L$4)+MAX(0,MIN(IF($A$28&gt;$D$23,DCF_Base!$L$19*(1+$D$23/100)/(($A$28-$D$23)/100),DCF_Base!$L$19*DCF_Base!$B$29),DCF_Base!$L$19*DCF_Base!$B$29))/(1+$A$28/100)^DCF_Base!$L$4+Assumptions!$B$5-Assumptions!$B$4)/Assumptions!$B$3*Assumptions!$B$10</f>
        <v>7.63276117883469</v>
      </c>
      <c r="E28" s="0" t="n">
        <f aca="false">(SUMPRODUCT(DCF_Base!$C$19:$L$19/(1+$A$28/100)^DCF_Base!$C$4:$L$4)+MAX(0,MIN(IF($A$28&gt;$E$23,DCF_Base!$L$19*(1+$E$23/100)/(($A$28-$E$23)/100),DCF_Base!$L$19*DCF_Base!$B$29),DCF_Base!$L$19*DCF_Base!$B$29))/(1+$A$28/100)^DCF_Base!$L$4+Assumptions!$B$5-Assumptions!$B$4)/Assumptions!$B$3*Assumptions!$B$10</f>
        <v>7.63276117883469</v>
      </c>
      <c r="F28" s="0" t="n">
        <f aca="false">(SUMPRODUCT(DCF_Base!$C$19:$L$19/(1+$A$28/100)^DCF_Base!$C$4:$L$4)+MAX(0,MIN(IF($A$28&gt;$F$23,DCF_Base!$L$19*(1+$F$23/100)/(($A$28-$F$23)/100),DCF_Base!$L$19*DCF_Base!$B$29),DCF_Base!$L$19*DCF_Base!$B$29))/(1+$A$28/100)^DCF_Base!$L$4+Assumptions!$B$5-Assumptions!$B$4)/Assumptions!$B$3*Assumptions!$B$10</f>
        <v>7.63276117883469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2026-10-16T10:22:01Z</dcterms:created>
  <dc:creator>openpyxl</dc:creator>
  <dc:description/>
  <dc:language>en-NZ</dc:language>
  <cp:lastModifiedBy/>
  <dcterms:modified xsi:type="dcterms:W3CDTF">2026-10-16T10:22:01Z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