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<sst xmlns="http://schemas.openxmlformats.org/spreadsheetml/2006/main" count="347" uniqueCount="163">
  <si>
    <t xml:space="preserve">Ticker</t>
  </si>
  <si>
    <t xml:space="preserve">2460.HK</t>
  </si>
  <si>
    <t xml:space="preserve">Company</t>
  </si>
  <si>
    <t xml:space="preserve">China Resources Beverage (Holdings) Company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</si>
  <si>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</si>
  <si>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</si>
  <si>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</si>
  <si>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</si>
  <si>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(HKEX regular close, Friday; 52-week range 7.04-11.05)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</si>
  <si>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</si>
  <si>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</si>
  <si>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</si>
  <si>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</si>
  <si>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</si>
  <si>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</si>
  <si>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</si>
  <si>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</si>
  <si>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</si>
  <si>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</si>
  <si>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</si>
  <si>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</si>
  <si>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</si>
  <si>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2026-10-18T05:07:09Z</t>
  </si>
  <si>
    <t xml:space="preserve">Drivers file</t>
  </si>
  <si>
    <t xml:space="preserve">2460.HK_Drivers.json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</si>
  <si>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</si>
  <si>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</si>
  <si>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</si>
  <si>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shrinking, cash-rich commodity-water business on the cash it can produce at a smaller stable scale, not on FY2024 peak margins or on historical averages that pre-date the price war. Interest income is stripped and the RMB7.3bn of deposits and WMPs added in the bridge; dividends already declared but unpaid, and NCI, are deducted so the equity value is what a buyer at today's price actually owns. Risk is charged once, in the driver paths and the 30/50/20 weights, at a single CNY-built 9% discount rate. Terminal value is capped at 15x FCF because a share-losing water bottler is not a compounder. House and street bases coincide (no SBC).
key_risks_to_valuation: Share loss continues beyond FY2027: every 1pp of permanently lower revenue is worth roughly RMB0.02/share; the bear path (-27% trough) is the lower bound of what is modelled, not of what can happen; Margin: ex-interest EBITDA margin was 10.2% in H2 2025; if the H2 2026 print is similar the base 16.5% FY2026 margin is too high and the recovery to 18% is in doubt; Capex does not normalise: if the 1+N build continues at 13-15% of revenue after Danjiangkou, owner FCF stays near zero and the equity is worth little more than net cash; Capital allocation of the cash pile: RMB2.1bn of deposits sit with a fellow China Resources subsidiary; the &gt;=RMB0.37/sh dividend floor exceeds projected owner FCF and relies on the pile, which is fine while it is returned to shareholders and not if it is redeployed into the group; FX: the quote is HKD and the flows CNY; a 5% CNY depreciation against HKD moves the HKD value 5% with no change in the business; Terminal assumptions: ~55-60% of EV in the base case is terminal value at a 15x cap; a 12x cap or 1% terminal growth is worth roughly HK$0.4-0.5/share</t>
  </si>
  <si>
    <t xml:space="preserve">Data sources</t>
  </si>
  <si>
    <t xml:space="preserve">price: Yahoo Finance chart API (2460.HK) at inputs.price_as_of, HKEX regular close; 52-week range 7.04-11.05. FX from Yahoo CNYHKD=X at the date in inputs.fx_note.
financials: research/2460.HK/Reports/2460.HK_Metrics.csv (core_metrics, FY2021-H1 FY2026, RMB millions); H1 2026 interim report (research/2460.HK/Extracted/2460.HK_HalfYear_H1-2026.txt) for the 30 Jun 2026 balance sheet, cash flow, interest income, interim dividend, repurchase and dividend plans; FY2025 annual report for the FY2025 final/special dividend, capex and interest income; FY2024 annual report for FY2024 comparatives.
qualitative: research/2460.HK/Reports/2460.HK_Analysis.json (2026-10-18): price-war share loss, beverage reset, Dividend Plan, buyback, Danjiangkou timing.</t>
  </si>
  <si>
    <t xml:space="preserve">Scenario narrative: bear</t>
  </si>
  <si>
    <t xml:space="preserve">Structural share loss in a commodity. Water is 86-89% of revenue and undifferentiated; Nongfu Spring, Wahaha and Master Kong can price purified water as a loss-leader for broader portfolios indefinitely. Share keeps sliding, H2 2026 is as weak as H1 (-12%), FY2027 -8%, and revenue bottoms near RMB8bn in FY2031. Sports sponsorship (TEAM CHINA, three football tiers) and the new plant are fixed costs on a shrinking base, so ex-interest EBITDA margin settles at 12.5%, close to H2 2025's 10.2%. Owner FCF stays positive (~RMB300-400m) because capex falls to maintenance, so the business survives and the cash pile dominates the value; there is no solvency axis, only a 'melting ice cube' axis.</t>
  </si>
  <si>
    <t xml:space="preserve">Scenario narrative: base</t>
  </si>
  <si>
    <t xml:space="preserve">Shrink, then stabilise at a smaller scale. The bear axis is the purified-water price war: C'estbon lost ~25 points of segment share to Nongfu Spring's green-label discounting in 2024-25 and revenue fell 18.6% in FY2025 and 12.1% in H1 2026. The base case assumes the late-2025 regulatory push against 'involutionary' pricing slows the decline (H2 2026 ~-5%, FY2027 -3%) and that the company holds its reduced ~45% share rather than regaining it, growing with the ~2% category thereafter. Ex-interest EBITDA margin rebuilds from 16.5% to 18% (not FY2024's 19.5%) as discounting eases, and capex falls to ~D&amp;A once Danjiangkou is commissioned end-2026, turning a capacity-build cash drain into ~RMB700m/yr of owner FCF. Roughly half of equity value is the RMB7.3bn cash pile, which the Dividend Plan (&gt;=RMB0.37/sh FY2026-28) and the HK$530m buyback are returning.</t>
  </si>
  <si>
    <t xml:space="preserve">Scenario narrative: bull</t>
  </si>
  <si>
    <t xml:space="preserve">Price war ends and the second curve works. Regulators enforce the anti-involution stance, Nongfu stops subsidising purified water, and H2 2026 revenue is flat YoY. Share stabilises, bulk/large-format water and the home-delivery and bulk-snack channels add volume, and the beverage portfolio (Zhi Ben Qing Run herbal tea, sugar-free tea, juice, sports drinks) resumes growth from its H1 2026 reset base, lifting group growth to 5% in FY2028-29 and margin to 21% by FY2031 on mix and a fully loaded self-owned plant network. This needs three independent things to go right (pricing discipline from a competitor, share stabilisation, beverage execution), which is why it carries 20%.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</si>
  <si>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</si>
  <si>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</si>
  <si>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</si>
  <si>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</si>
  <si>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</si>
  <si>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</si>
  <si>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</si>
  <si>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</si>
  <si>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</si>
  <si>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</si>
  <si>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</si>
  <si>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</si>
  <si>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</si>
  <si>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</si>
  <si>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</si>
  <si>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</si>
  <si>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</si>
  <si>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</si>
  <si>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</si>
  <si>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</si>
  <si>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</si>
  <si>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</si>
  <si>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</si>
  <si>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</si>
  <si>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</si>
  <si>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</si>
  <si>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</si>
  <si>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CashOnly</t>
  </si>
  <si>
    <t xml:space="preserve">NonControllingInterests</t>
  </si>
  <si>
    <t xml:space="preserve">ProfitIncludingNCI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</si>
  <si>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</si>
  <si>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</si>
  <si>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</si>
  <si>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</si>
  <si>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</si>
  <si>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</si>
  <si>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</si>
  <si>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</si>
  <si>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</si>
  <si>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</si>
  <si>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</si>
  <si>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</si>
  <si>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</si>
  <si>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</si>
  <si>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</si>
  <si>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</si>
  <si>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</si>
  <si>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</si>
  <si>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</si>
  <si>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</si>
  <si>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</si>
  <si>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</si>
  <si>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</si>
  <si>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</si>
  <si>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</si>
  <si>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</si>
  <si>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</si>
  <si>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</si>
  <si>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</si>
  <si>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</si>
  <si>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</si>
  <si>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</si>
  <si>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</si>
  <si>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</si>
  <si>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</si>
  <si>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</si>
  <si>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</si>
  <si>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</si>
  <si>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</si>
  <si>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</si>
  <si>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</si>
  <si>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</si>
  <si>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2460.HK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</si>
  <si>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</si>
  <si>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</si>
  <si>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</si>
  <si>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</si>
  <si>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</si>
  <si>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</si>
  <si>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</si>
  <si>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</si>
  <si>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</si>
  <si>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</si>
  <si>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</si>
  <si>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</si>
  <si>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</si>
  <si>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</si>
  <si>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</si>
  <si>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</si>
  <si>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</si>
  <si>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</si>
  <si>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</si>
  <si>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</si>
  <si>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</si>
  <si>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</si>
  <si>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</si>
  <si>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</si>
  <si>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</si>
  <si>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</si>
  <si>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</si>
  <si>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</si>
  <si>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</si>
  <si>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</si>
  <si>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2460.HK owner-FCF component DCF: base case (millions, CNY)</t>
  </si>
  <si>
    <t xml:space="preserve">2460.HK owner-FCF component DCF: bull case (millions, CNY)</t>
  </si>
  <si>
    <t xml:space="preserve">2460.HK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</si>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</sst>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11339.881</v>
      </c>
      <c r="I2" s="0" t="n">
        <v>858.141</v>
      </c>
      <c r="J2" s="0" t="n">
        <v>7.6</v>
      </c>
      <c r="O2" s="0" t="n">
        <v>4583.971</v>
      </c>
      <c r="P2" s="0" t="n">
        <v>9088.44</v>
      </c>
      <c r="Q2" s="0" t="n">
        <v>4504.469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68</v>
      </c>
      <c r="B3" s="0" t="n">
        <v>12622.776</v>
      </c>
      <c r="I3" s="0" t="n">
        <v>989.808</v>
      </c>
      <c r="J3" s="0" t="n">
        <v>7.8</v>
      </c>
      <c r="O3" s="0" t="n">
        <v>5573.765</v>
      </c>
      <c r="P3" s="0" t="n">
        <v>10604.844</v>
      </c>
      <c r="Q3" s="0" t="n">
        <v>4709.066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69</v>
      </c>
      <c r="B4" s="0" t="n">
        <v>13514.728</v>
      </c>
      <c r="C4" s="0" t="n">
        <v>7479.514</v>
      </c>
      <c r="D4" s="0" t="n">
        <v>6035.214</v>
      </c>
      <c r="E4" s="0" t="n">
        <v>44.7</v>
      </c>
      <c r="F4" s="0" t="n">
        <v>1920.949</v>
      </c>
      <c r="G4" s="0" t="n">
        <v>14.2</v>
      </c>
      <c r="H4" s="0" t="n">
        <v>2385.33</v>
      </c>
      <c r="I4" s="0" t="n">
        <v>1329.341</v>
      </c>
      <c r="J4" s="0" t="n">
        <v>9.8</v>
      </c>
      <c r="K4" s="0" t="n">
        <v>0.66</v>
      </c>
      <c r="L4" s="0" t="n">
        <v>1718.183</v>
      </c>
      <c r="M4" s="0" t="n">
        <v>2312.163</v>
      </c>
      <c r="N4" s="0" t="n">
        <v>-593.98</v>
      </c>
      <c r="O4" s="0" t="n">
        <v>6903.058</v>
      </c>
      <c r="P4" s="0" t="n">
        <v>13001.754</v>
      </c>
      <c r="Q4" s="0" t="n">
        <v>5628.981</v>
      </c>
      <c r="R4" s="0" t="n">
        <v>35.989</v>
      </c>
      <c r="S4" s="0" t="n">
        <v>4372.089</v>
      </c>
      <c r="T4" s="0" t="n">
        <v>2000</v>
      </c>
      <c r="U4" s="0" t="n">
        <v>0</v>
      </c>
      <c r="AA4" s="0" t="s">
        <v>18</v>
      </c>
      <c r="AB4" s="0" t="s">
        <v>14</v>
      </c>
      <c r="AC4" s="0" t="n">
        <v>2074.698</v>
      </c>
      <c r="AD4" s="0" t="n">
        <v>469.715</v>
      </c>
      <c r="AE4" s="0" t="n">
        <v>1331.37</v>
      </c>
    </row>
    <row r="5" customFormat="false" ht="15" hidden="false" customHeight="false" outlineLevel="0" collapsed="false">
      <c r="A5" s="0" t="s">
        <v>70</v>
      </c>
      <c r="B5" s="0" t="n">
        <v>13521.246</v>
      </c>
      <c r="C5" s="0" t="n">
        <v>7123.982</v>
      </c>
      <c r="D5" s="0" t="n">
        <v>6397.264</v>
      </c>
      <c r="E5" s="0" t="n">
        <v>47.3</v>
      </c>
      <c r="F5" s="0" t="n">
        <v>2226.135</v>
      </c>
      <c r="G5" s="0" t="n">
        <v>16.5</v>
      </c>
      <c r="H5" s="0" t="n">
        <v>2801.959</v>
      </c>
      <c r="I5" s="0" t="n">
        <v>1636.694</v>
      </c>
      <c r="J5" s="0" t="n">
        <v>12.1</v>
      </c>
      <c r="K5" s="0" t="n">
        <v>0.79</v>
      </c>
      <c r="L5" s="0" t="n">
        <v>1393.03</v>
      </c>
      <c r="M5" s="0" t="n">
        <v>1985.099</v>
      </c>
      <c r="N5" s="0" t="n">
        <v>-592.069</v>
      </c>
      <c r="O5" s="0" t="n">
        <v>11300.376</v>
      </c>
      <c r="P5" s="0" t="n">
        <v>18694.294</v>
      </c>
      <c r="Q5" s="0" t="n">
        <v>6833.02</v>
      </c>
      <c r="R5" s="0" t="n">
        <v>56.678</v>
      </c>
      <c r="S5" s="0" t="n">
        <v>10647.355</v>
      </c>
      <c r="T5" s="0" t="n">
        <v>2073.2107</v>
      </c>
      <c r="U5" s="0" t="n">
        <v>0</v>
      </c>
      <c r="AA5" s="0" t="s">
        <v>18</v>
      </c>
      <c r="AB5" s="0" t="s">
        <v>14</v>
      </c>
      <c r="AC5" s="0" t="n">
        <v>5700.765</v>
      </c>
      <c r="AD5" s="0" t="n">
        <v>560.898</v>
      </c>
      <c r="AE5" s="0" t="n">
        <v>1660.839</v>
      </c>
    </row>
    <row r="6" customFormat="false" ht="15" hidden="false" customHeight="false" outlineLevel="0" collapsed="false">
      <c r="A6" s="0" t="s">
        <v>71</v>
      </c>
      <c r="B6" s="0" t="n">
        <v>11002.111</v>
      </c>
      <c r="C6" s="0" t="n">
        <v>5976.769</v>
      </c>
      <c r="D6" s="0" t="n">
        <v>5025.342</v>
      </c>
      <c r="E6" s="0" t="n">
        <v>45.7</v>
      </c>
      <c r="F6" s="0" t="n">
        <v>1217.938</v>
      </c>
      <c r="G6" s="0" t="n">
        <v>11.1</v>
      </c>
      <c r="H6" s="0" t="n">
        <v>2041.856</v>
      </c>
      <c r="I6" s="0" t="n">
        <v>985.341</v>
      </c>
      <c r="J6" s="0" t="n">
        <v>9</v>
      </c>
      <c r="K6" s="0" t="n">
        <v>0.41</v>
      </c>
      <c r="L6" s="0" t="n">
        <v>1511.086</v>
      </c>
      <c r="M6" s="0" t="n">
        <v>1495.251</v>
      </c>
      <c r="N6" s="0" t="n">
        <v>15.835</v>
      </c>
      <c r="O6" s="0" t="n">
        <v>10729.407</v>
      </c>
      <c r="P6" s="0" t="n">
        <v>15388.58</v>
      </c>
      <c r="Q6" s="0" t="n">
        <v>4075.143</v>
      </c>
      <c r="R6" s="0" t="n">
        <v>43.012</v>
      </c>
      <c r="S6" s="0" t="n">
        <v>6392.342</v>
      </c>
      <c r="T6" s="0" t="n">
        <v>2398.1966</v>
      </c>
      <c r="U6" s="0" t="n">
        <v>0</v>
      </c>
      <c r="AA6" s="0" t="s">
        <v>18</v>
      </c>
      <c r="AB6" s="0" t="s">
        <v>14</v>
      </c>
      <c r="AC6" s="0" t="n">
        <v>1173.525</v>
      </c>
      <c r="AD6" s="0" t="n">
        <v>584.03</v>
      </c>
      <c r="AE6" s="0" t="n">
        <v>1008.473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7.22</v>
      </c>
    </row>
    <row r="3" customFormat="false" ht="15" hidden="false" customHeight="false" outlineLevel="0" collapsed="false">
      <c r="A3" s="0" t="s">
        <v>75</v>
      </c>
      <c r="B3" s="3" t="n">
        <v>2398.197</v>
      </c>
    </row>
    <row r="4" customFormat="false" ht="15" hidden="false" customHeight="false" outlineLevel="0" collapsed="false">
      <c r="A4" s="0" t="s">
        <v>76</v>
      </c>
      <c r="B4" s="3" t="n">
        <v>-7312.39</v>
      </c>
    </row>
    <row r="5" customFormat="false" ht="15" hidden="false" customHeight="false" outlineLevel="0" collapsed="false">
      <c r="A5" s="0" t="s">
        <v>77</v>
      </c>
      <c r="B5" s="3" t="n">
        <v>-1545.514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11002.111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1.1724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-12</v>
      </c>
      <c r="D13" s="3" t="n">
        <v>-8</v>
      </c>
      <c r="E13" s="3" t="n">
        <v>-5</v>
      </c>
      <c r="F13" s="3" t="n">
        <v>-3</v>
      </c>
      <c r="G13" s="3" t="n">
        <v>-2</v>
      </c>
      <c r="H13" s="3" t="n">
        <v>-1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96</v>
      </c>
      <c r="C14" s="3" t="n">
        <v>15.5</v>
      </c>
      <c r="D14" s="3" t="n">
        <v>14</v>
      </c>
      <c r="E14" s="3" t="n">
        <v>13</v>
      </c>
      <c r="F14" s="3" t="n">
        <v>12.5</v>
      </c>
      <c r="G14" s="3" t="n">
        <v>12.5</v>
      </c>
      <c r="H14" s="3" t="n">
        <v>12.5</v>
      </c>
      <c r="I14" s="3" t="n">
        <v>12.5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0.16</v>
      </c>
      <c r="D16" s="3" t="n">
        <v>0.16</v>
      </c>
      <c r="E16" s="3" t="n">
        <v>0.16</v>
      </c>
      <c r="F16" s="3" t="n">
        <v>0.16</v>
      </c>
      <c r="G16" s="3" t="n">
        <v>0.16</v>
      </c>
      <c r="H16" s="3" t="n">
        <v>0.16</v>
      </c>
      <c r="I16" s="3" t="n">
        <v>0.16</v>
      </c>
      <c r="J16" s="3" t="n">
        <v>0.16</v>
      </c>
      <c r="K16" s="3" t="n">
        <v>0.16</v>
      </c>
      <c r="L16" s="3" t="n">
        <v>0.16</v>
      </c>
    </row>
    <row r="17" customFormat="false" ht="15" hidden="false" customHeight="false" outlineLevel="0" collapsed="false">
      <c r="A17" s="0" t="s">
        <v>99</v>
      </c>
      <c r="C17" s="3" t="n">
        <v>7.2</v>
      </c>
      <c r="D17" s="3" t="n">
        <v>7.2</v>
      </c>
      <c r="E17" s="3" t="n">
        <v>7.2</v>
      </c>
      <c r="F17" s="3" t="n">
        <v>7.2</v>
      </c>
      <c r="G17" s="3" t="n">
        <v>7.2</v>
      </c>
      <c r="H17" s="3" t="n">
        <v>7.2</v>
      </c>
      <c r="I17" s="3" t="n">
        <v>7.2</v>
      </c>
      <c r="J17" s="3" t="n">
        <v>7.2</v>
      </c>
      <c r="K17" s="3" t="n">
        <v>7.2</v>
      </c>
      <c r="L17" s="3" t="n">
        <v>7.2</v>
      </c>
    </row>
    <row r="18" customFormat="false" ht="15" hidden="false" customHeight="false" outlineLevel="0" collapsed="false">
      <c r="A18" s="0" t="s">
        <v>100</v>
      </c>
      <c r="C18" s="3" t="n">
        <v>8.5</v>
      </c>
      <c r="D18" s="3" t="n">
        <v>8</v>
      </c>
      <c r="E18" s="3" t="n">
        <v>7.5</v>
      </c>
      <c r="F18" s="3" t="n">
        <v>7</v>
      </c>
      <c r="G18" s="3" t="n">
        <v>7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101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1</v>
      </c>
    </row>
    <row r="22" customFormat="false" ht="15" hidden="false" customHeight="false" outlineLevel="0" collapsed="false">
      <c r="A22" s="0" t="s">
        <v>104</v>
      </c>
      <c r="B22" s="3" t="n">
        <v>15</v>
      </c>
    </row>
    <row r="23" customFormat="false" ht="15" hidden="false" customHeight="false" outlineLevel="0" collapsed="false">
      <c r="A23" s="0" t="s">
        <v>105</v>
      </c>
      <c r="B23" s="3" t="n">
        <v>10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-9.5</v>
      </c>
      <c r="D27" s="3" t="n">
        <v>-3</v>
      </c>
      <c r="E27" s="3" t="n">
        <v>0</v>
      </c>
      <c r="F27" s="3" t="n">
        <v>1.5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16.5</v>
      </c>
      <c r="D28" s="3" t="n">
        <v>16.5</v>
      </c>
      <c r="E28" s="3" t="n">
        <v>17</v>
      </c>
      <c r="F28" s="3" t="n">
        <v>17.5</v>
      </c>
      <c r="G28" s="3" t="n">
        <v>18</v>
      </c>
      <c r="H28" s="3" t="n">
        <v>18</v>
      </c>
      <c r="I28" s="3" t="n">
        <v>18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0.16</v>
      </c>
      <c r="D30" s="3" t="n">
        <v>0.16</v>
      </c>
      <c r="E30" s="3" t="n">
        <v>0.16</v>
      </c>
      <c r="F30" s="3" t="n">
        <v>0.16</v>
      </c>
      <c r="G30" s="3" t="n">
        <v>0.16</v>
      </c>
      <c r="H30" s="3" t="n">
        <v>0.16</v>
      </c>
      <c r="I30" s="3" t="n">
        <v>0.16</v>
      </c>
      <c r="J30" s="3" t="n">
        <v>0.16</v>
      </c>
      <c r="K30" s="3" t="n">
        <v>0.16</v>
      </c>
      <c r="L30" s="3" t="n">
        <v>0.16</v>
      </c>
    </row>
    <row r="31" customFormat="false" ht="15" hidden="false" customHeight="false" outlineLevel="0" collapsed="false">
      <c r="A31" s="0" t="s">
        <v>99</v>
      </c>
      <c r="C31" s="3" t="n">
        <v>7.2</v>
      </c>
      <c r="D31" s="3" t="n">
        <v>7.2</v>
      </c>
      <c r="E31" s="3" t="n">
        <v>7.2</v>
      </c>
      <c r="F31" s="3" t="n">
        <v>7.2</v>
      </c>
      <c r="G31" s="3" t="n">
        <v>7.2</v>
      </c>
      <c r="H31" s="3" t="n">
        <v>7.2</v>
      </c>
      <c r="I31" s="3" t="n">
        <v>7.2</v>
      </c>
      <c r="J31" s="3" t="n">
        <v>7.2</v>
      </c>
      <c r="K31" s="3" t="n">
        <v>7.2</v>
      </c>
      <c r="L31" s="3" t="n">
        <v>7.2</v>
      </c>
    </row>
    <row r="32" customFormat="false" ht="15" hidden="false" customHeight="false" outlineLevel="0" collapsed="false">
      <c r="A32" s="0" t="s">
        <v>100</v>
      </c>
      <c r="C32" s="3" t="n">
        <v>8.5</v>
      </c>
      <c r="D32" s="3" t="n">
        <v>8</v>
      </c>
      <c r="E32" s="3" t="n">
        <v>7.5</v>
      </c>
      <c r="F32" s="3" t="n">
        <v>7.5</v>
      </c>
      <c r="G32" s="3" t="n">
        <v>7.5</v>
      </c>
      <c r="H32" s="3" t="n">
        <v>7.5</v>
      </c>
      <c r="I32" s="3" t="n">
        <v>7.5</v>
      </c>
      <c r="J32" s="3" t="n">
        <v>7.5</v>
      </c>
      <c r="K32" s="3" t="n">
        <v>7.5</v>
      </c>
      <c r="L32" s="3" t="n">
        <v>7.5</v>
      </c>
    </row>
    <row r="33" customFormat="false" ht="15" hidden="false" customHeight="false" outlineLevel="0" collapsed="false">
      <c r="A33" s="0" t="s">
        <v>101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10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-7</v>
      </c>
      <c r="D41" s="3" t="n">
        <v>2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96</v>
      </c>
      <c r="C42" s="3" t="n">
        <v>17</v>
      </c>
      <c r="D42" s="3" t="n">
        <v>18</v>
      </c>
      <c r="E42" s="3" t="n">
        <v>19</v>
      </c>
      <c r="F42" s="3" t="n">
        <v>20</v>
      </c>
      <c r="G42" s="3" t="n">
        <v>20.5</v>
      </c>
      <c r="H42" s="3" t="n">
        <v>21</v>
      </c>
      <c r="I42" s="3" t="n">
        <v>21</v>
      </c>
      <c r="J42" s="3" t="n">
        <v>21</v>
      </c>
      <c r="K42" s="3" t="n">
        <v>21</v>
      </c>
      <c r="L42" s="3" t="n">
        <v>21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0.16</v>
      </c>
      <c r="D44" s="3" t="n">
        <v>0.16</v>
      </c>
      <c r="E44" s="3" t="n">
        <v>0.16</v>
      </c>
      <c r="F44" s="3" t="n">
        <v>0.16</v>
      </c>
      <c r="G44" s="3" t="n">
        <v>0.16</v>
      </c>
      <c r="H44" s="3" t="n">
        <v>0.16</v>
      </c>
      <c r="I44" s="3" t="n">
        <v>0.16</v>
      </c>
      <c r="J44" s="3" t="n">
        <v>0.16</v>
      </c>
      <c r="K44" s="3" t="n">
        <v>0.16</v>
      </c>
      <c r="L44" s="3" t="n">
        <v>0.16</v>
      </c>
    </row>
    <row r="45" customFormat="false" ht="15" hidden="false" customHeight="false" outlineLevel="0" collapsed="false">
      <c r="A45" s="0" t="s">
        <v>99</v>
      </c>
      <c r="C45" s="3" t="n">
        <v>7.2</v>
      </c>
      <c r="D45" s="3" t="n">
        <v>7.2</v>
      </c>
      <c r="E45" s="3" t="n">
        <v>7.2</v>
      </c>
      <c r="F45" s="3" t="n">
        <v>7.2</v>
      </c>
      <c r="G45" s="3" t="n">
        <v>7.2</v>
      </c>
      <c r="H45" s="3" t="n">
        <v>7.2</v>
      </c>
      <c r="I45" s="3" t="n">
        <v>7.2</v>
      </c>
      <c r="J45" s="3" t="n">
        <v>7.2</v>
      </c>
      <c r="K45" s="3" t="n">
        <v>7.2</v>
      </c>
      <c r="L45" s="3" t="n">
        <v>7.2</v>
      </c>
    </row>
    <row r="46" customFormat="false" ht="15" hidden="false" customHeight="false" outlineLevel="0" collapsed="false">
      <c r="A46" s="0" t="s">
        <v>100</v>
      </c>
      <c r="C46" s="3" t="n">
        <v>8.5</v>
      </c>
      <c r="D46" s="3" t="n">
        <v>8</v>
      </c>
      <c r="E46" s="3" t="n">
        <v>7.5</v>
      </c>
      <c r="F46" s="3" t="n">
        <v>7.5</v>
      </c>
      <c r="G46" s="3" t="n">
        <v>7.5</v>
      </c>
      <c r="H46" s="3" t="n">
        <v>7.5</v>
      </c>
      <c r="I46" s="3" t="n">
        <v>7.5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101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10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-12</v>
      </c>
      <c r="D5" s="4" t="n">
        <f aca="false">Assumptions!D13</f>
        <v>-8</v>
      </c>
      <c r="E5" s="4" t="n">
        <f aca="false">Assumptions!E13</f>
        <v>-5</v>
      </c>
      <c r="F5" s="4" t="n">
        <f aca="false">Assumptions!F13</f>
        <v>-3</v>
      </c>
      <c r="G5" s="4" t="n">
        <f aca="false">Assumptions!G13</f>
        <v>-2</v>
      </c>
      <c r="H5" s="4" t="n">
        <f aca="false">Assumptions!H13</f>
        <v>-1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11002.111</v>
      </c>
      <c r="C6" s="0" t="n">
        <f aca="false">B6*(1+C5/100)</f>
        <v>9681.85768</v>
      </c>
      <c r="D6" s="0" t="n">
        <f aca="false">C6*(1+D5/100)</f>
        <v>8907.3090656</v>
      </c>
      <c r="E6" s="0" t="n">
        <f aca="false">D6*(1+E5/100)</f>
        <v>8461.94361232</v>
      </c>
      <c r="F6" s="0" t="n">
        <f aca="false">E6*(1+F5/100)</f>
        <v>8208.0853039504</v>
      </c>
      <c r="G6" s="0" t="n">
        <f aca="false">F6*(1+G5/100)</f>
        <v>8043.92359787139</v>
      </c>
      <c r="H6" s="0" t="n">
        <f aca="false">G6*(1+H5/100)</f>
        <v>7963.48436189268</v>
      </c>
      <c r="I6" s="0" t="n">
        <f aca="false">H6*(1+I5/100)</f>
        <v>7963.48436189268</v>
      </c>
      <c r="J6" s="0" t="n">
        <f aca="false">I6*(1+J5/100)</f>
        <v>7963.48436189268</v>
      </c>
      <c r="K6" s="0" t="n">
        <f aca="false">J6*(1+K5/100)</f>
        <v>7963.48436189268</v>
      </c>
      <c r="L6" s="0" t="n">
        <f aca="false">K6*(1+L5/100)</f>
        <v>7963.48436189268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15.5</v>
      </c>
      <c r="D7" s="4" t="n">
        <f aca="false">Assumptions!D14</f>
        <v>14</v>
      </c>
      <c r="E7" s="4" t="n">
        <f aca="false">Assumptions!E14</f>
        <v>13</v>
      </c>
      <c r="F7" s="4" t="n">
        <f aca="false">Assumptions!F14</f>
        <v>12.5</v>
      </c>
      <c r="G7" s="4" t="n">
        <f aca="false">Assumptions!G14</f>
        <v>12.5</v>
      </c>
      <c r="H7" s="4" t="n">
        <f aca="false">Assumptions!H14</f>
        <v>12.5</v>
      </c>
      <c r="I7" s="4" t="n">
        <f aca="false">Assumptions!I14</f>
        <v>12.5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1500.6879404</v>
      </c>
      <c r="D8" s="0" t="n">
        <f aca="false">D6*D7/100</f>
        <v>1247.023269184</v>
      </c>
      <c r="E8" s="0" t="n">
        <f aca="false">E6*E7/100</f>
        <v>1100.0526696016</v>
      </c>
      <c r="F8" s="0" t="n">
        <f aca="false">F6*F7/100</f>
        <v>1026.0106629938</v>
      </c>
      <c r="G8" s="0" t="n">
        <f aca="false">G6*G7/100</f>
        <v>1005.49044973392</v>
      </c>
      <c r="H8" s="0" t="n">
        <f aca="false">H6*H7/100</f>
        <v>995.435545236585</v>
      </c>
      <c r="I8" s="0" t="n">
        <f aca="false">I6*I7/100</f>
        <v>995.435545236585</v>
      </c>
      <c r="J8" s="0" t="n">
        <f aca="false">J6*J7/100</f>
        <v>995.435545236585</v>
      </c>
      <c r="K8" s="0" t="n">
        <f aca="false">K6*K7/100</f>
        <v>995.435545236585</v>
      </c>
      <c r="L8" s="0" t="n">
        <f aca="false">L6*L7/100</f>
        <v>995.435545236585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1485.196968112</v>
      </c>
      <c r="D11" s="0" t="n">
        <f aca="false">D8+D10+D24</f>
        <v>1232.77157467904</v>
      </c>
      <c r="E11" s="0" t="n">
        <f aca="false">E8+E10+E24</f>
        <v>1086.51355982189</v>
      </c>
      <c r="F11" s="0" t="n">
        <f aca="false">F8+F10+F24</f>
        <v>1012.87772650748</v>
      </c>
      <c r="G11" s="0" t="n">
        <f aca="false">G8+G10+G24</f>
        <v>992.62017197733</v>
      </c>
      <c r="H11" s="0" t="n">
        <f aca="false">H8+H10+H24</f>
        <v>982.693970257556</v>
      </c>
      <c r="I11" s="0" t="n">
        <f aca="false">I8+I10+I24</f>
        <v>982.693970257556</v>
      </c>
      <c r="J11" s="0" t="n">
        <f aca="false">J8+J10+J24</f>
        <v>982.693970257556</v>
      </c>
      <c r="K11" s="0" t="n">
        <f aca="false">K8+K10+K24</f>
        <v>982.693970257556</v>
      </c>
      <c r="L11" s="0" t="n">
        <f aca="false">L8+L10+L24</f>
        <v>982.693970257556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-697.09375296</v>
      </c>
      <c r="D12" s="4" t="n">
        <f aca="false">-D6*Assumptions!D17/100</f>
        <v>-641.3262527232</v>
      </c>
      <c r="E12" s="4" t="n">
        <f aca="false">-E6*Assumptions!E17/100</f>
        <v>-609.25994008704</v>
      </c>
      <c r="F12" s="4" t="n">
        <f aca="false">-F6*Assumptions!F17/100</f>
        <v>-590.982141884429</v>
      </c>
      <c r="G12" s="4" t="n">
        <f aca="false">-G6*Assumptions!G17/100</f>
        <v>-579.16249904674</v>
      </c>
      <c r="H12" s="4" t="n">
        <f aca="false">-H6*Assumptions!H17/100</f>
        <v>-573.370874056273</v>
      </c>
      <c r="I12" s="4" t="n">
        <f aca="false">-I6*Assumptions!I17/100</f>
        <v>-573.370874056273</v>
      </c>
      <c r="J12" s="4" t="n">
        <f aca="false">-J6*Assumptions!J17/100</f>
        <v>-573.370874056273</v>
      </c>
      <c r="K12" s="4" t="n">
        <f aca="false">-K6*Assumptions!K17/100</f>
        <v>-573.370874056273</v>
      </c>
      <c r="L12" s="4" t="n">
        <f aca="false">-L6*Assumptions!L17/100</f>
        <v>-573.370874056273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788.103215152</v>
      </c>
      <c r="D13" s="0" t="n">
        <f aca="false">D11+D12</f>
        <v>591.44532195584</v>
      </c>
      <c r="E13" s="0" t="n">
        <f aca="false">E11+E12</f>
        <v>477.253619734848</v>
      </c>
      <c r="F13" s="0" t="n">
        <f aca="false">F11+F12</f>
        <v>421.895584623051</v>
      </c>
      <c r="G13" s="0" t="n">
        <f aca="false">G11+G12</f>
        <v>413.45767293059</v>
      </c>
      <c r="H13" s="0" t="n">
        <f aca="false">H11+H12</f>
        <v>409.323096201284</v>
      </c>
      <c r="I13" s="0" t="n">
        <f aca="false">I11+I12</f>
        <v>409.323096201284</v>
      </c>
      <c r="J13" s="0" t="n">
        <f aca="false">J11+J12</f>
        <v>409.323096201284</v>
      </c>
      <c r="K13" s="0" t="n">
        <f aca="false">K11+K12</f>
        <v>409.323096201284</v>
      </c>
      <c r="L13" s="0" t="n">
        <f aca="false">L11+L12</f>
        <v>409.323096201284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591.077411364</v>
      </c>
      <c r="D15" s="0" t="n">
        <f aca="false">D13-MAX(0,D13)*D14/100</f>
        <v>443.58399146688</v>
      </c>
      <c r="E15" s="0" t="n">
        <f aca="false">E13-MAX(0,E13)*E14/100</f>
        <v>357.940214801136</v>
      </c>
      <c r="F15" s="0" t="n">
        <f aca="false">F13-MAX(0,F13)*F14/100</f>
        <v>316.421688467288</v>
      </c>
      <c r="G15" s="0" t="n">
        <f aca="false">G13-MAX(0,G13)*G14/100</f>
        <v>310.093254697942</v>
      </c>
      <c r="H15" s="0" t="n">
        <f aca="false">H13-MAX(0,H13)*H14/100</f>
        <v>306.992322150963</v>
      </c>
      <c r="I15" s="0" t="n">
        <f aca="false">I13-MAX(0,I13)*I14/100</f>
        <v>306.992322150963</v>
      </c>
      <c r="J15" s="0" t="n">
        <f aca="false">J13-MAX(0,J13)*J14/100</f>
        <v>306.992322150963</v>
      </c>
      <c r="K15" s="0" t="n">
        <f aca="false">K13-MAX(0,K13)*K14/100</f>
        <v>306.992322150963</v>
      </c>
      <c r="L15" s="0" t="n">
        <f aca="false">L13-MAX(0,L13)*L14/100</f>
        <v>306.992322150963</v>
      </c>
    </row>
    <row r="16" customFormat="false" ht="15" hidden="false" customHeight="false" outlineLevel="0" collapsed="false">
      <c r="A16" s="0" t="s">
        <v>117</v>
      </c>
      <c r="C16" s="0" t="n">
        <f aca="false">-C12</f>
        <v>697.09375296</v>
      </c>
      <c r="D16" s="0" t="n">
        <f aca="false">-D12</f>
        <v>641.3262527232</v>
      </c>
      <c r="E16" s="0" t="n">
        <f aca="false">-E12</f>
        <v>609.25994008704</v>
      </c>
      <c r="F16" s="0" t="n">
        <f aca="false">-F12</f>
        <v>590.982141884429</v>
      </c>
      <c r="G16" s="0" t="n">
        <f aca="false">-G12</f>
        <v>579.16249904674</v>
      </c>
      <c r="H16" s="0" t="n">
        <f aca="false">-H12</f>
        <v>573.370874056273</v>
      </c>
      <c r="I16" s="0" t="n">
        <f aca="false">-I12</f>
        <v>573.370874056273</v>
      </c>
      <c r="J16" s="0" t="n">
        <f aca="false">-J12</f>
        <v>573.370874056273</v>
      </c>
      <c r="K16" s="0" t="n">
        <f aca="false">-K12</f>
        <v>573.370874056273</v>
      </c>
      <c r="L16" s="0" t="n">
        <f aca="false">-L12</f>
        <v>573.370874056273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-822.9579028</v>
      </c>
      <c r="D17" s="4" t="n">
        <f aca="false">-D6*Assumptions!D18/100</f>
        <v>-712.584725248</v>
      </c>
      <c r="E17" s="4" t="n">
        <f aca="false">-E6*Assumptions!E18/100</f>
        <v>-634.645770924</v>
      </c>
      <c r="F17" s="4" t="n">
        <f aca="false">-F6*Assumptions!F18/100</f>
        <v>-574.565971276528</v>
      </c>
      <c r="G17" s="4" t="n">
        <f aca="false">-G6*Assumptions!G18/100</f>
        <v>-563.074651850997</v>
      </c>
      <c r="H17" s="4" t="n">
        <f aca="false">-H6*Assumptions!H18/100</f>
        <v>-557.443905332487</v>
      </c>
      <c r="I17" s="4" t="n">
        <f aca="false">-I6*Assumptions!I18/100</f>
        <v>-557.443905332487</v>
      </c>
      <c r="J17" s="4" t="n">
        <f aca="false">-J6*Assumptions!J18/100</f>
        <v>-557.443905332487</v>
      </c>
      <c r="K17" s="4" t="n">
        <f aca="false">-K6*Assumptions!K18/100</f>
        <v>-557.443905332487</v>
      </c>
      <c r="L17" s="4" t="n">
        <f aca="false">-L6*Assumptions!L18/100</f>
        <v>-557.443905332487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-132.025332</v>
      </c>
      <c r="D18" s="4" t="n">
        <f aca="false">(D6-C6)*Assumptions!$B$23/100</f>
        <v>-77.4548614400001</v>
      </c>
      <c r="E18" s="4" t="n">
        <f aca="false">(E6-D6)*Assumptions!$B$23/100</f>
        <v>-44.5365453280001</v>
      </c>
      <c r="F18" s="4" t="n">
        <f aca="false">(F6-E6)*Assumptions!$B$23/100</f>
        <v>-25.3858308369599</v>
      </c>
      <c r="G18" s="4" t="n">
        <f aca="false">(G6-F6)*Assumptions!$B$23/100</f>
        <v>-16.4161706079009</v>
      </c>
      <c r="H18" s="4" t="n">
        <f aca="false">(H6-G6)*Assumptions!$B$23/100</f>
        <v>-8.04392359787144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333.187929524</v>
      </c>
      <c r="D19" s="0" t="n">
        <f aca="false">D15+D16+D17+D18</f>
        <v>294.87065750208</v>
      </c>
      <c r="E19" s="0" t="n">
        <f aca="false">E15+E16+E17+E18</f>
        <v>288.017838636176</v>
      </c>
      <c r="F19" s="0" t="n">
        <f aca="false">F15+F16+F17+F18</f>
        <v>307.452028238229</v>
      </c>
      <c r="G19" s="0" t="n">
        <f aca="false">G15+G16+G17+G18</f>
        <v>309.764931285784</v>
      </c>
      <c r="H19" s="0" t="n">
        <f aca="false">H15+H16+H17+H18</f>
        <v>314.875367276877</v>
      </c>
      <c r="I19" s="0" t="n">
        <f aca="false">I15+I16+I17+I18</f>
        <v>322.919290874748</v>
      </c>
      <c r="J19" s="0" t="n">
        <f aca="false">J15+J16+J17+J18</f>
        <v>322.919290874748</v>
      </c>
      <c r="K19" s="0" t="n">
        <f aca="false">K15+K16+K17+K18</f>
        <v>322.919290874748</v>
      </c>
      <c r="L19" s="0" t="n">
        <f aca="false">L15+L16+L17+L18</f>
        <v>322.919290874748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305.676999563303</v>
      </c>
      <c r="D21" s="0" t="n">
        <f aca="false">D19*D20</f>
        <v>248.186733020857</v>
      </c>
      <c r="E21" s="0" t="n">
        <f aca="false">E19*E20</f>
        <v>222.402616957748</v>
      </c>
      <c r="F21" s="0" t="n">
        <f aca="false">F19*F20</f>
        <v>217.80676799709</v>
      </c>
      <c r="G21" s="0" t="n">
        <f aca="false">G19*G20</f>
        <v>201.325951217181</v>
      </c>
      <c r="H21" s="0" t="n">
        <f aca="false">H19*H20</f>
        <v>187.749893546295</v>
      </c>
      <c r="I21" s="0" t="n">
        <f aca="false">I19*I20</f>
        <v>176.647910429007</v>
      </c>
      <c r="J21" s="0" t="n">
        <f aca="false">J19*J20</f>
        <v>162.062303145878</v>
      </c>
      <c r="K21" s="0" t="n">
        <f aca="false">K19*K20</f>
        <v>148.681012060439</v>
      </c>
      <c r="L21" s="0" t="n">
        <f aca="false">L19*L20</f>
        <v>136.404598220586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0.16</v>
      </c>
      <c r="D23" s="4" t="n">
        <f aca="false">Assumptions!D16</f>
        <v>0.16</v>
      </c>
      <c r="E23" s="4" t="n">
        <f aca="false">Assumptions!E16</f>
        <v>0.16</v>
      </c>
      <c r="F23" s="4" t="n">
        <f aca="false">Assumptions!F16</f>
        <v>0.16</v>
      </c>
      <c r="G23" s="4" t="n">
        <f aca="false">Assumptions!G16</f>
        <v>0.16</v>
      </c>
      <c r="H23" s="4" t="n">
        <f aca="false">Assumptions!H16</f>
        <v>0.16</v>
      </c>
      <c r="I23" s="4" t="n">
        <f aca="false">Assumptions!I16</f>
        <v>0.16</v>
      </c>
      <c r="J23" s="4" t="n">
        <f aca="false">Assumptions!J16</f>
        <v>0.16</v>
      </c>
      <c r="K23" s="4" t="n">
        <f aca="false">Assumptions!K16</f>
        <v>0.16</v>
      </c>
      <c r="L23" s="4" t="n">
        <f aca="false">Assumptions!L16</f>
        <v>0.16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-15.490972288</v>
      </c>
      <c r="D24" s="0" t="n">
        <f aca="false">-D6*D23/100</f>
        <v>-14.25169450496</v>
      </c>
      <c r="E24" s="0" t="n">
        <f aca="false">-E6*E23/100</f>
        <v>-13.539109779712</v>
      </c>
      <c r="F24" s="0" t="n">
        <f aca="false">-F6*F23/100</f>
        <v>-13.1329364863206</v>
      </c>
      <c r="G24" s="0" t="n">
        <f aca="false">-G6*G23/100</f>
        <v>-12.8702777565942</v>
      </c>
      <c r="H24" s="0" t="n">
        <f aca="false">-H6*H23/100</f>
        <v>-12.7415749790283</v>
      </c>
      <c r="I24" s="0" t="n">
        <f aca="false">-I6*I23/100</f>
        <v>-12.7415749790283</v>
      </c>
      <c r="J24" s="0" t="n">
        <f aca="false">-J6*J23/100</f>
        <v>-12.7415749790283</v>
      </c>
      <c r="K24" s="0" t="n">
        <f aca="false">-K6*K23/100</f>
        <v>-12.7415749790283</v>
      </c>
      <c r="L24" s="0" t="n">
        <f aca="false">-L6*L23/100</f>
        <v>-12.7415749790283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2006.94478615838</v>
      </c>
    </row>
    <row r="31" customFormat="false" ht="15" hidden="false" customHeight="false" outlineLevel="0" collapsed="false">
      <c r="A31" s="0" t="s">
        <v>126</v>
      </c>
      <c r="B31" s="0" t="n">
        <f aca="false">L19</f>
        <v>322.919290874748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4076.85604729369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4843.78936312122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4076.85604729369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1722.1080525349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3729.05283869328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9495.92883869328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4.64224872705787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-0.35702926218035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4.64224872705787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2329.63202702497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3.86659474564372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-9.5</v>
      </c>
      <c r="D5" s="4" t="n">
        <f aca="false">Assumptions!D27</f>
        <v>-3</v>
      </c>
      <c r="E5" s="4" t="n">
        <f aca="false">Assumptions!E27</f>
        <v>0</v>
      </c>
      <c r="F5" s="4" t="n">
        <f aca="false">Assumptions!F27</f>
        <v>1.5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11002.111</v>
      </c>
      <c r="C6" s="0" t="n">
        <f aca="false">B6*(1+C5/100)</f>
        <v>9956.910455</v>
      </c>
      <c r="D6" s="0" t="n">
        <f aca="false">C6*(1+D5/100)</f>
        <v>9658.20314135</v>
      </c>
      <c r="E6" s="0" t="n">
        <f aca="false">D6*(1+E5/100)</f>
        <v>9658.20314135</v>
      </c>
      <c r="F6" s="0" t="n">
        <f aca="false">E6*(1+F5/100)</f>
        <v>9803.07618847025</v>
      </c>
      <c r="G6" s="0" t="n">
        <f aca="false">F6*(1+G5/100)</f>
        <v>9999.13771223966</v>
      </c>
      <c r="H6" s="0" t="n">
        <f aca="false">G6*(1+H5/100)</f>
        <v>10199.1204664844</v>
      </c>
      <c r="I6" s="0" t="n">
        <f aca="false">H6*(1+I5/100)</f>
        <v>10403.1028758141</v>
      </c>
      <c r="J6" s="0" t="n">
        <f aca="false">I6*(1+J5/100)</f>
        <v>10611.1649333304</v>
      </c>
      <c r="K6" s="0" t="n">
        <f aca="false">J6*(1+K5/100)</f>
        <v>10823.388231997</v>
      </c>
      <c r="L6" s="0" t="n">
        <f aca="false">K6*(1+L5/100)</f>
        <v>11039.855996637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16.5</v>
      </c>
      <c r="D7" s="4" t="n">
        <f aca="false">Assumptions!D28</f>
        <v>16.5</v>
      </c>
      <c r="E7" s="4" t="n">
        <f aca="false">Assumptions!E28</f>
        <v>17</v>
      </c>
      <c r="F7" s="4" t="n">
        <f aca="false">Assumptions!F28</f>
        <v>17.5</v>
      </c>
      <c r="G7" s="4" t="n">
        <f aca="false">Assumptions!G28</f>
        <v>18</v>
      </c>
      <c r="H7" s="4" t="n">
        <f aca="false">Assumptions!H28</f>
        <v>18</v>
      </c>
      <c r="I7" s="4" t="n">
        <f aca="false">Assumptions!I28</f>
        <v>18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1642.890225075</v>
      </c>
      <c r="D8" s="0" t="n">
        <f aca="false">D6*D7/100</f>
        <v>1593.60351832275</v>
      </c>
      <c r="E8" s="0" t="n">
        <f aca="false">E6*E7/100</f>
        <v>1641.8945340295</v>
      </c>
      <c r="F8" s="0" t="n">
        <f aca="false">F6*F7/100</f>
        <v>1715.53833298229</v>
      </c>
      <c r="G8" s="0" t="n">
        <f aca="false">G6*G7/100</f>
        <v>1799.84478820314</v>
      </c>
      <c r="H8" s="0" t="n">
        <f aca="false">H6*H7/100</f>
        <v>1835.8416839672</v>
      </c>
      <c r="I8" s="0" t="n">
        <f aca="false">I6*I7/100</f>
        <v>1872.55851764654</v>
      </c>
      <c r="J8" s="0" t="n">
        <f aca="false">J6*J7/100</f>
        <v>1910.00968799948</v>
      </c>
      <c r="K8" s="0" t="n">
        <f aca="false">K6*K7/100</f>
        <v>1948.20988175947</v>
      </c>
      <c r="L8" s="0" t="n">
        <f aca="false">L6*L7/100</f>
        <v>1987.17407939465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1626.959168347</v>
      </c>
      <c r="D11" s="0" t="n">
        <f aca="false">D8+D10+D24</f>
        <v>1578.15039329659</v>
      </c>
      <c r="E11" s="0" t="n">
        <f aca="false">E8+E10+E24</f>
        <v>1626.44140900334</v>
      </c>
      <c r="F11" s="0" t="n">
        <f aca="false">F8+F10+F24</f>
        <v>1699.85341108074</v>
      </c>
      <c r="G11" s="0" t="n">
        <f aca="false">G8+G10+G24</f>
        <v>1783.84616786355</v>
      </c>
      <c r="H11" s="0" t="n">
        <f aca="false">H8+H10+H24</f>
        <v>1819.52309122083</v>
      </c>
      <c r="I11" s="0" t="n">
        <f aca="false">I8+I10+I24</f>
        <v>1855.91355304524</v>
      </c>
      <c r="J11" s="0" t="n">
        <f aca="false">J8+J10+J24</f>
        <v>1893.03182410615</v>
      </c>
      <c r="K11" s="0" t="n">
        <f aca="false">K8+K10+K24</f>
        <v>1930.89246058827</v>
      </c>
      <c r="L11" s="0" t="n">
        <f aca="false">L8+L10+L24</f>
        <v>1969.51030980004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-716.89755276</v>
      </c>
      <c r="D12" s="4" t="n">
        <f aca="false">-D6*Assumptions!D31/100</f>
        <v>-695.3906261772</v>
      </c>
      <c r="E12" s="4" t="n">
        <f aca="false">-E6*Assumptions!E31/100</f>
        <v>-695.3906261772</v>
      </c>
      <c r="F12" s="4" t="n">
        <f aca="false">-F6*Assumptions!F31/100</f>
        <v>-705.821485569858</v>
      </c>
      <c r="G12" s="4" t="n">
        <f aca="false">-G6*Assumptions!G31/100</f>
        <v>-719.937915281255</v>
      </c>
      <c r="H12" s="4" t="n">
        <f aca="false">-H6*Assumptions!H31/100</f>
        <v>-734.33667358688</v>
      </c>
      <c r="I12" s="4" t="n">
        <f aca="false">-I6*Assumptions!I31/100</f>
        <v>-749.023407058618</v>
      </c>
      <c r="J12" s="4" t="n">
        <f aca="false">-J6*Assumptions!J31/100</f>
        <v>-764.00387519979</v>
      </c>
      <c r="K12" s="4" t="n">
        <f aca="false">-K6*Assumptions!K31/100</f>
        <v>-779.283952703786</v>
      </c>
      <c r="L12" s="4" t="n">
        <f aca="false">-L6*Assumptions!L31/100</f>
        <v>-794.869631757862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910.061615587</v>
      </c>
      <c r="D13" s="0" t="n">
        <f aca="false">D11+D12</f>
        <v>882.75976711939</v>
      </c>
      <c r="E13" s="0" t="n">
        <f aca="false">E11+E12</f>
        <v>931.05078282614</v>
      </c>
      <c r="F13" s="0" t="n">
        <f aca="false">F11+F12</f>
        <v>994.031925510883</v>
      </c>
      <c r="G13" s="0" t="n">
        <f aca="false">G11+G12</f>
        <v>1063.9082525823</v>
      </c>
      <c r="H13" s="0" t="n">
        <f aca="false">H11+H12</f>
        <v>1085.18641763395</v>
      </c>
      <c r="I13" s="0" t="n">
        <f aca="false">I11+I12</f>
        <v>1106.89014598662</v>
      </c>
      <c r="J13" s="0" t="n">
        <f aca="false">J11+J12</f>
        <v>1129.02794890636</v>
      </c>
      <c r="K13" s="0" t="n">
        <f aca="false">K11+K12</f>
        <v>1151.60850788448</v>
      </c>
      <c r="L13" s="0" t="n">
        <f aca="false">L11+L12</f>
        <v>1174.64067804217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682.54621169025</v>
      </c>
      <c r="D15" s="0" t="n">
        <f aca="false">D13-MAX(0,D13)*D14/100</f>
        <v>662.069825339543</v>
      </c>
      <c r="E15" s="0" t="n">
        <f aca="false">E13-MAX(0,E13)*E14/100</f>
        <v>698.288087119605</v>
      </c>
      <c r="F15" s="0" t="n">
        <f aca="false">F13-MAX(0,F13)*F14/100</f>
        <v>745.523944133162</v>
      </c>
      <c r="G15" s="0" t="n">
        <f aca="false">G13-MAX(0,G13)*G14/100</f>
        <v>797.931189436724</v>
      </c>
      <c r="H15" s="0" t="n">
        <f aca="false">H13-MAX(0,H13)*H14/100</f>
        <v>813.889813225459</v>
      </c>
      <c r="I15" s="0" t="n">
        <f aca="false">I13-MAX(0,I13)*I14/100</f>
        <v>830.167609489968</v>
      </c>
      <c r="J15" s="0" t="n">
        <f aca="false">J13-MAX(0,J13)*J14/100</f>
        <v>846.770961679767</v>
      </c>
      <c r="K15" s="0" t="n">
        <f aca="false">K13-MAX(0,K13)*K14/100</f>
        <v>863.706380913363</v>
      </c>
      <c r="L15" s="0" t="n">
        <f aca="false">L13-MAX(0,L13)*L14/100</f>
        <v>880.98050853163</v>
      </c>
    </row>
    <row r="16" customFormat="false" ht="15" hidden="false" customHeight="false" outlineLevel="0" collapsed="false">
      <c r="A16" s="0" t="s">
        <v>117</v>
      </c>
      <c r="C16" s="0" t="n">
        <f aca="false">-C12</f>
        <v>716.89755276</v>
      </c>
      <c r="D16" s="0" t="n">
        <f aca="false">-D12</f>
        <v>695.3906261772</v>
      </c>
      <c r="E16" s="0" t="n">
        <f aca="false">-E12</f>
        <v>695.3906261772</v>
      </c>
      <c r="F16" s="0" t="n">
        <f aca="false">-F12</f>
        <v>705.821485569858</v>
      </c>
      <c r="G16" s="0" t="n">
        <f aca="false">-G12</f>
        <v>719.937915281255</v>
      </c>
      <c r="H16" s="0" t="n">
        <f aca="false">-H12</f>
        <v>734.33667358688</v>
      </c>
      <c r="I16" s="0" t="n">
        <f aca="false">-I12</f>
        <v>749.023407058618</v>
      </c>
      <c r="J16" s="0" t="n">
        <f aca="false">-J12</f>
        <v>764.00387519979</v>
      </c>
      <c r="K16" s="0" t="n">
        <f aca="false">-K12</f>
        <v>779.283952703786</v>
      </c>
      <c r="L16" s="0" t="n">
        <f aca="false">-L12</f>
        <v>794.869631757862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-846.337388675</v>
      </c>
      <c r="D17" s="4" t="n">
        <f aca="false">-D6*Assumptions!D32/100</f>
        <v>-772.656251308</v>
      </c>
      <c r="E17" s="4" t="n">
        <f aca="false">-E6*Assumptions!E32/100</f>
        <v>-724.36523560125</v>
      </c>
      <c r="F17" s="4" t="n">
        <f aca="false">-F6*Assumptions!F32/100</f>
        <v>-735.230714135269</v>
      </c>
      <c r="G17" s="4" t="n">
        <f aca="false">-G6*Assumptions!G32/100</f>
        <v>-749.935328417974</v>
      </c>
      <c r="H17" s="4" t="n">
        <f aca="false">-H6*Assumptions!H32/100</f>
        <v>-764.934034986334</v>
      </c>
      <c r="I17" s="4" t="n">
        <f aca="false">-I6*Assumptions!I32/100</f>
        <v>-780.23271568606</v>
      </c>
      <c r="J17" s="4" t="n">
        <f aca="false">-J6*Assumptions!J32/100</f>
        <v>-795.837369999782</v>
      </c>
      <c r="K17" s="4" t="n">
        <f aca="false">-K6*Assumptions!K32/100</f>
        <v>-811.754117399777</v>
      </c>
      <c r="L17" s="4" t="n">
        <f aca="false">-L6*Assumptions!L32/100</f>
        <v>-827.989199747773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-104.5200545</v>
      </c>
      <c r="D18" s="4" t="n">
        <f aca="false">(D6-C6)*Assumptions!$B$37/100</f>
        <v>-29.870731365</v>
      </c>
      <c r="E18" s="4" t="n">
        <f aca="false">(E6-D6)*Assumptions!$B$37/100</f>
        <v>0</v>
      </c>
      <c r="F18" s="4" t="n">
        <f aca="false">(F6-E6)*Assumptions!$B$37/100</f>
        <v>14.4873047120249</v>
      </c>
      <c r="G18" s="4" t="n">
        <f aca="false">(G6-F6)*Assumptions!$B$37/100</f>
        <v>19.6061523769406</v>
      </c>
      <c r="H18" s="4" t="n">
        <f aca="false">(H6-G6)*Assumptions!$B$37/100</f>
        <v>19.9982754244793</v>
      </c>
      <c r="I18" s="4" t="n">
        <f aca="false">(I6-H6)*Assumptions!$B$37/100</f>
        <v>20.3982409329688</v>
      </c>
      <c r="J18" s="4" t="n">
        <f aca="false">(J6-I6)*Assumptions!$B$37/100</f>
        <v>20.8062057516283</v>
      </c>
      <c r="K18" s="4" t="n">
        <f aca="false">(K6-J6)*Assumptions!$B$37/100</f>
        <v>21.222329866661</v>
      </c>
      <c r="L18" s="4" t="n">
        <f aca="false">(L6-K6)*Assumptions!$B$37/100</f>
        <v>21.6467764639941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448.58632127525</v>
      </c>
      <c r="D19" s="0" t="n">
        <f aca="false">D15+D16+D17+D18</f>
        <v>554.933468843743</v>
      </c>
      <c r="E19" s="0" t="n">
        <f aca="false">E15+E16+E17+E18</f>
        <v>669.313477695555</v>
      </c>
      <c r="F19" s="0" t="n">
        <f aca="false">F15+F16+F17+F18</f>
        <v>730.602020279777</v>
      </c>
      <c r="G19" s="0" t="n">
        <f aca="false">G15+G16+G17+G18</f>
        <v>787.539928676946</v>
      </c>
      <c r="H19" s="0" t="n">
        <f aca="false">H15+H16+H17+H18</f>
        <v>803.290727250485</v>
      </c>
      <c r="I19" s="0" t="n">
        <f aca="false">I15+I16+I17+I18</f>
        <v>819.356541795494</v>
      </c>
      <c r="J19" s="0" t="n">
        <f aca="false">J15+J16+J17+J18</f>
        <v>835.743672631405</v>
      </c>
      <c r="K19" s="0" t="n">
        <f aca="false">K15+K16+K17+K18</f>
        <v>852.458546084033</v>
      </c>
      <c r="L19" s="0" t="n">
        <f aca="false">L15+L16+L17+L18</f>
        <v>869.507717005714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411.547083738762</v>
      </c>
      <c r="D21" s="0" t="n">
        <f aca="false">D19*D20</f>
        <v>467.07639831979</v>
      </c>
      <c r="E21" s="0" t="n">
        <f aca="false">E19*E20</f>
        <v>516.832810458727</v>
      </c>
      <c r="F21" s="0" t="n">
        <f aca="false">F19*F20</f>
        <v>517.57689042136</v>
      </c>
      <c r="G21" s="0" t="n">
        <f aca="false">G19*G20</f>
        <v>511.846917610307</v>
      </c>
      <c r="H21" s="0" t="n">
        <f aca="false">H19*H20</f>
        <v>478.976014644508</v>
      </c>
      <c r="I21" s="0" t="n">
        <f aca="false">I19*I20</f>
        <v>448.21608709853</v>
      </c>
      <c r="J21" s="0" t="n">
        <f aca="false">J19*J20</f>
        <v>419.431567743579</v>
      </c>
      <c r="K21" s="0" t="n">
        <f aca="false">K19*K20</f>
        <v>392.495595503165</v>
      </c>
      <c r="L21" s="0" t="n">
        <f aca="false">L19*L20</f>
        <v>367.289456342412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0.16</v>
      </c>
      <c r="D23" s="4" t="n">
        <f aca="false">Assumptions!D30</f>
        <v>0.16</v>
      </c>
      <c r="E23" s="4" t="n">
        <f aca="false">Assumptions!E30</f>
        <v>0.16</v>
      </c>
      <c r="F23" s="4" t="n">
        <f aca="false">Assumptions!F30</f>
        <v>0.16</v>
      </c>
      <c r="G23" s="4" t="n">
        <f aca="false">Assumptions!G30</f>
        <v>0.16</v>
      </c>
      <c r="H23" s="4" t="n">
        <f aca="false">Assumptions!H30</f>
        <v>0.16</v>
      </c>
      <c r="I23" s="4" t="n">
        <f aca="false">Assumptions!I30</f>
        <v>0.16</v>
      </c>
      <c r="J23" s="4" t="n">
        <f aca="false">Assumptions!J30</f>
        <v>0.16</v>
      </c>
      <c r="K23" s="4" t="n">
        <f aca="false">Assumptions!K30</f>
        <v>0.16</v>
      </c>
      <c r="L23" s="4" t="n">
        <f aca="false">Assumptions!L30</f>
        <v>0.16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-15.931056728</v>
      </c>
      <c r="D24" s="0" t="n">
        <f aca="false">-D6*D23/100</f>
        <v>-15.45312502616</v>
      </c>
      <c r="E24" s="0" t="n">
        <f aca="false">-E6*E23/100</f>
        <v>-15.45312502616</v>
      </c>
      <c r="F24" s="0" t="n">
        <f aca="false">-F6*F23/100</f>
        <v>-15.6849219015524</v>
      </c>
      <c r="G24" s="0" t="n">
        <f aca="false">-G6*G23/100</f>
        <v>-15.9986203395834</v>
      </c>
      <c r="H24" s="0" t="n">
        <f aca="false">-H6*H23/100</f>
        <v>-16.3185927463751</v>
      </c>
      <c r="I24" s="0" t="n">
        <f aca="false">-I6*I23/100</f>
        <v>-16.6449646013026</v>
      </c>
      <c r="J24" s="0" t="n">
        <f aca="false">-J6*J23/100</f>
        <v>-16.9778638933287</v>
      </c>
      <c r="K24" s="0" t="n">
        <f aca="false">-K6*K23/100</f>
        <v>-17.3174211711952</v>
      </c>
      <c r="L24" s="0" t="n">
        <f aca="false">-L6*L23/100</f>
        <v>-17.6637695946192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4531.28882188114</v>
      </c>
    </row>
    <row r="31" customFormat="false" ht="15" hidden="false" customHeight="false" outlineLevel="0" collapsed="false">
      <c r="A31" s="0" t="s">
        <v>126</v>
      </c>
      <c r="B31" s="0" t="n">
        <f aca="false">L19</f>
        <v>869.507717005714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12669.9695906547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13042.6157550857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12669.9695906547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5351.93207813228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9883.22090001342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15650.0969000134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7.65082001419222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0.0596703620764849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7.65082001419222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6822.29131804483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5.32769980615196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-7</v>
      </c>
      <c r="D5" s="4" t="n">
        <f aca="false">Assumptions!D41</f>
        <v>2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11002.111</v>
      </c>
      <c r="C6" s="0" t="n">
        <f aca="false">B6*(1+C5/100)</f>
        <v>10231.96323</v>
      </c>
      <c r="D6" s="0" t="n">
        <f aca="false">C6*(1+D5/100)</f>
        <v>10436.6024946</v>
      </c>
      <c r="E6" s="0" t="n">
        <f aca="false">D6*(1+E5/100)</f>
        <v>10958.43261933</v>
      </c>
      <c r="F6" s="0" t="n">
        <f aca="false">E6*(1+F5/100)</f>
        <v>11506.3542502965</v>
      </c>
      <c r="G6" s="0" t="n">
        <f aca="false">F6*(1+G5/100)</f>
        <v>12024.1401915598</v>
      </c>
      <c r="H6" s="0" t="n">
        <f aca="false">G6*(1+H5/100)</f>
        <v>12505.1057992222</v>
      </c>
      <c r="I6" s="0" t="n">
        <f aca="false">H6*(1+I5/100)</f>
        <v>12942.784502195</v>
      </c>
      <c r="J6" s="0" t="n">
        <f aca="false">I6*(1+J5/100)</f>
        <v>13331.0680372609</v>
      </c>
      <c r="K6" s="0" t="n">
        <f aca="false">J6*(1+K5/100)</f>
        <v>13731.0000783787</v>
      </c>
      <c r="L6" s="0" t="n">
        <f aca="false">K6*(1+L5/100)</f>
        <v>14074.2750803382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17</v>
      </c>
      <c r="D7" s="4" t="n">
        <f aca="false">Assumptions!D42</f>
        <v>18</v>
      </c>
      <c r="E7" s="4" t="n">
        <f aca="false">Assumptions!E42</f>
        <v>19</v>
      </c>
      <c r="F7" s="4" t="n">
        <f aca="false">Assumptions!F42</f>
        <v>20</v>
      </c>
      <c r="G7" s="4" t="n">
        <f aca="false">Assumptions!G42</f>
        <v>20.5</v>
      </c>
      <c r="H7" s="4" t="n">
        <f aca="false">Assumptions!H42</f>
        <v>21</v>
      </c>
      <c r="I7" s="4" t="n">
        <f aca="false">Assumptions!I42</f>
        <v>21</v>
      </c>
      <c r="J7" s="4" t="n">
        <f aca="false">Assumptions!J42</f>
        <v>21</v>
      </c>
      <c r="K7" s="4" t="n">
        <f aca="false">Assumptions!K42</f>
        <v>21</v>
      </c>
      <c r="L7" s="4" t="n">
        <f aca="false">Assumptions!L42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1739.4337491</v>
      </c>
      <c r="D8" s="0" t="n">
        <f aca="false">D6*D7/100</f>
        <v>1878.588449028</v>
      </c>
      <c r="E8" s="0" t="n">
        <f aca="false">E6*E7/100</f>
        <v>2082.1021976727</v>
      </c>
      <c r="F8" s="0" t="n">
        <f aca="false">F6*F7/100</f>
        <v>2301.2708500593</v>
      </c>
      <c r="G8" s="0" t="n">
        <f aca="false">G6*G7/100</f>
        <v>2464.94873926977</v>
      </c>
      <c r="H8" s="0" t="n">
        <f aca="false">H6*H7/100</f>
        <v>2626.07221783667</v>
      </c>
      <c r="I8" s="0" t="n">
        <f aca="false">I6*I7/100</f>
        <v>2717.98474546095</v>
      </c>
      <c r="J8" s="0" t="n">
        <f aca="false">J6*J7/100</f>
        <v>2799.52428782478</v>
      </c>
      <c r="K8" s="0" t="n">
        <f aca="false">K6*K7/100</f>
        <v>2883.51001645953</v>
      </c>
      <c r="L8" s="0" t="n">
        <f aca="false">L6*L7/100</f>
        <v>2955.59776687101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1723.062607932</v>
      </c>
      <c r="D11" s="0" t="n">
        <f aca="false">D8+D10+D24</f>
        <v>1861.88988503664</v>
      </c>
      <c r="E11" s="0" t="n">
        <f aca="false">E8+E10+E24</f>
        <v>2064.56870548177</v>
      </c>
      <c r="F11" s="0" t="n">
        <f aca="false">F8+F10+F24</f>
        <v>2282.86068325883</v>
      </c>
      <c r="G11" s="0" t="n">
        <f aca="false">G8+G10+G24</f>
        <v>2445.71011496327</v>
      </c>
      <c r="H11" s="0" t="n">
        <f aca="false">H8+H10+H24</f>
        <v>2606.06404855791</v>
      </c>
      <c r="I11" s="0" t="n">
        <f aca="false">I8+I10+I24</f>
        <v>2697.27629025744</v>
      </c>
      <c r="J11" s="0" t="n">
        <f aca="false">J8+J10+J24</f>
        <v>2778.19457896517</v>
      </c>
      <c r="K11" s="0" t="n">
        <f aca="false">K8+K10+K24</f>
        <v>2861.54041633412</v>
      </c>
      <c r="L11" s="0" t="n">
        <f aca="false">L8+L10+L24</f>
        <v>2933.07892674247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-736.70135256</v>
      </c>
      <c r="D12" s="4" t="n">
        <f aca="false">-D6*Assumptions!D45/100</f>
        <v>-751.4353796112</v>
      </c>
      <c r="E12" s="4" t="n">
        <f aca="false">-E6*Assumptions!E45/100</f>
        <v>-789.00714859176</v>
      </c>
      <c r="F12" s="4" t="n">
        <f aca="false">-F6*Assumptions!F45/100</f>
        <v>-828.457506021348</v>
      </c>
      <c r="G12" s="4" t="n">
        <f aca="false">-G6*Assumptions!G45/100</f>
        <v>-865.738093792309</v>
      </c>
      <c r="H12" s="4" t="n">
        <f aca="false">-H6*Assumptions!H45/100</f>
        <v>-900.367617544001</v>
      </c>
      <c r="I12" s="4" t="n">
        <f aca="false">-I6*Assumptions!I45/100</f>
        <v>-931.880484158041</v>
      </c>
      <c r="J12" s="4" t="n">
        <f aca="false">-J6*Assumptions!J45/100</f>
        <v>-959.836898682782</v>
      </c>
      <c r="K12" s="4" t="n">
        <f aca="false">-K6*Assumptions!K45/100</f>
        <v>-988.632005643266</v>
      </c>
      <c r="L12" s="4" t="n">
        <f aca="false">-L6*Assumptions!L45/100</f>
        <v>-1013.34780578435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986.361255372</v>
      </c>
      <c r="D13" s="0" t="n">
        <f aca="false">D11+D12</f>
        <v>1110.45450542544</v>
      </c>
      <c r="E13" s="0" t="n">
        <f aca="false">E11+E12</f>
        <v>1275.56155689001</v>
      </c>
      <c r="F13" s="0" t="n">
        <f aca="false">F11+F12</f>
        <v>1454.40317723748</v>
      </c>
      <c r="G13" s="0" t="n">
        <f aca="false">G11+G12</f>
        <v>1579.97202117096</v>
      </c>
      <c r="H13" s="0" t="n">
        <f aca="false">H11+H12</f>
        <v>1705.69643101391</v>
      </c>
      <c r="I13" s="0" t="n">
        <f aca="false">I11+I12</f>
        <v>1765.3958060994</v>
      </c>
      <c r="J13" s="0" t="n">
        <f aca="false">J11+J12</f>
        <v>1818.35768028238</v>
      </c>
      <c r="K13" s="0" t="n">
        <f aca="false">K11+K12</f>
        <v>1872.90841069085</v>
      </c>
      <c r="L13" s="0" t="n">
        <f aca="false">L11+L12</f>
        <v>1919.73112095813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739.770941529</v>
      </c>
      <c r="D15" s="0" t="n">
        <f aca="false">D13-MAX(0,D13)*D14/100</f>
        <v>832.84087906908</v>
      </c>
      <c r="E15" s="0" t="n">
        <f aca="false">E13-MAX(0,E13)*E14/100</f>
        <v>956.671167667509</v>
      </c>
      <c r="F15" s="0" t="n">
        <f aca="false">F13-MAX(0,F13)*F14/100</f>
        <v>1090.80238292811</v>
      </c>
      <c r="G15" s="0" t="n">
        <f aca="false">G13-MAX(0,G13)*G14/100</f>
        <v>1184.97901587822</v>
      </c>
      <c r="H15" s="0" t="n">
        <f aca="false">H13-MAX(0,H13)*H14/100</f>
        <v>1279.27232326043</v>
      </c>
      <c r="I15" s="0" t="n">
        <f aca="false">I13-MAX(0,I13)*I14/100</f>
        <v>1324.04685457455</v>
      </c>
      <c r="J15" s="0" t="n">
        <f aca="false">J13-MAX(0,J13)*J14/100</f>
        <v>1363.76826021179</v>
      </c>
      <c r="K15" s="0" t="n">
        <f aca="false">K13-MAX(0,K13)*K14/100</f>
        <v>1404.68130801814</v>
      </c>
      <c r="L15" s="0" t="n">
        <f aca="false">L13-MAX(0,L13)*L14/100</f>
        <v>1439.79834071859</v>
      </c>
    </row>
    <row r="16" customFormat="false" ht="15" hidden="false" customHeight="false" outlineLevel="0" collapsed="false">
      <c r="A16" s="0" t="s">
        <v>117</v>
      </c>
      <c r="C16" s="0" t="n">
        <f aca="false">-C12</f>
        <v>736.70135256</v>
      </c>
      <c r="D16" s="0" t="n">
        <f aca="false">-D12</f>
        <v>751.4353796112</v>
      </c>
      <c r="E16" s="0" t="n">
        <f aca="false">-E12</f>
        <v>789.00714859176</v>
      </c>
      <c r="F16" s="0" t="n">
        <f aca="false">-F12</f>
        <v>828.457506021348</v>
      </c>
      <c r="G16" s="0" t="n">
        <f aca="false">-G12</f>
        <v>865.738093792309</v>
      </c>
      <c r="H16" s="0" t="n">
        <f aca="false">-H12</f>
        <v>900.367617544001</v>
      </c>
      <c r="I16" s="0" t="n">
        <f aca="false">-I12</f>
        <v>931.880484158041</v>
      </c>
      <c r="J16" s="0" t="n">
        <f aca="false">-J12</f>
        <v>959.836898682782</v>
      </c>
      <c r="K16" s="0" t="n">
        <f aca="false">-K12</f>
        <v>988.632005643266</v>
      </c>
      <c r="L16" s="0" t="n">
        <f aca="false">-L12</f>
        <v>1013.34780578435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-869.71687455</v>
      </c>
      <c r="D17" s="4" t="n">
        <f aca="false">-D6*Assumptions!D46/100</f>
        <v>-834.928199568</v>
      </c>
      <c r="E17" s="4" t="n">
        <f aca="false">-E6*Assumptions!E46/100</f>
        <v>-821.88244644975</v>
      </c>
      <c r="F17" s="4" t="n">
        <f aca="false">-F6*Assumptions!F46/100</f>
        <v>-862.976568772238</v>
      </c>
      <c r="G17" s="4" t="n">
        <f aca="false">-G6*Assumptions!G46/100</f>
        <v>-901.810514366988</v>
      </c>
      <c r="H17" s="4" t="n">
        <f aca="false">-H6*Assumptions!H46/100</f>
        <v>-937.882934941668</v>
      </c>
      <c r="I17" s="4" t="n">
        <f aca="false">-I6*Assumptions!I46/100</f>
        <v>-970.708837664626</v>
      </c>
      <c r="J17" s="4" t="n">
        <f aca="false">-J6*Assumptions!J46/100</f>
        <v>-999.830102794565</v>
      </c>
      <c r="K17" s="4" t="n">
        <f aca="false">-K6*Assumptions!K46/100</f>
        <v>-1029.8250058784</v>
      </c>
      <c r="L17" s="4" t="n">
        <f aca="false">-L6*Assumptions!L46/100</f>
        <v>-1055.57063102536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-77.0147770000001</v>
      </c>
      <c r="D18" s="4" t="n">
        <f aca="false">(D6-C6)*Assumptions!$B$51/100</f>
        <v>20.46392646</v>
      </c>
      <c r="E18" s="4" t="n">
        <f aca="false">(E6-D6)*Assumptions!$B$51/100</f>
        <v>52.1830124730001</v>
      </c>
      <c r="F18" s="4" t="n">
        <f aca="false">(F6-E6)*Assumptions!$B$51/100</f>
        <v>54.7921630966501</v>
      </c>
      <c r="G18" s="4" t="n">
        <f aca="false">(G6-F6)*Assumptions!$B$51/100</f>
        <v>51.7785941263343</v>
      </c>
      <c r="H18" s="4" t="n">
        <f aca="false">(H6-G6)*Assumptions!$B$51/100</f>
        <v>48.0965607662394</v>
      </c>
      <c r="I18" s="4" t="n">
        <f aca="false">(I6-H6)*Assumptions!$B$51/100</f>
        <v>43.7678702972777</v>
      </c>
      <c r="J18" s="4" t="n">
        <f aca="false">(J6-I6)*Assumptions!$B$51/100</f>
        <v>38.8283535065852</v>
      </c>
      <c r="K18" s="4" t="n">
        <f aca="false">(K6-J6)*Assumptions!$B$51/100</f>
        <v>39.9932041117827</v>
      </c>
      <c r="L18" s="4" t="n">
        <f aca="false">(L6-K6)*Assumptions!$B$51/100</f>
        <v>34.3275001959466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529.740642539</v>
      </c>
      <c r="D19" s="0" t="n">
        <f aca="false">D15+D16+D17+D18</f>
        <v>769.81198557228</v>
      </c>
      <c r="E19" s="0" t="n">
        <f aca="false">E15+E16+E17+E18</f>
        <v>975.978882282519</v>
      </c>
      <c r="F19" s="0" t="n">
        <f aca="false">F15+F16+F17+F18</f>
        <v>1111.07548327387</v>
      </c>
      <c r="G19" s="0" t="n">
        <f aca="false">G15+G16+G17+G18</f>
        <v>1200.68518942988</v>
      </c>
      <c r="H19" s="0" t="n">
        <f aca="false">H15+H16+H17+H18</f>
        <v>1289.85356662901</v>
      </c>
      <c r="I19" s="0" t="n">
        <f aca="false">I15+I16+I17+I18</f>
        <v>1328.98637136524</v>
      </c>
      <c r="J19" s="0" t="n">
        <f aca="false">J15+J16+J17+J18</f>
        <v>1362.60340960659</v>
      </c>
      <c r="K19" s="0" t="n">
        <f aca="false">K15+K16+K17+K18</f>
        <v>1403.48151189479</v>
      </c>
      <c r="L19" s="0" t="n">
        <f aca="false">L15+L16+L17+L18</f>
        <v>1431.90301567353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486.000589485321</v>
      </c>
      <c r="D21" s="0" t="n">
        <f aca="false">D19*D20</f>
        <v>647.935346832994</v>
      </c>
      <c r="E21" s="0" t="n">
        <f aca="false">E19*E20</f>
        <v>753.634769787023</v>
      </c>
      <c r="F21" s="0" t="n">
        <f aca="false">F19*F20</f>
        <v>787.113883747655</v>
      </c>
      <c r="G21" s="0" t="n">
        <f aca="false">G19*G20</f>
        <v>780.362989674052</v>
      </c>
      <c r="H21" s="0" t="n">
        <f aca="false">H19*H20</f>
        <v>769.097538239501</v>
      </c>
      <c r="I21" s="0" t="n">
        <f aca="false">I19*I20</f>
        <v>727.001056066846</v>
      </c>
      <c r="J21" s="0" t="n">
        <f aca="false">J19*J20</f>
        <v>683.844703848688</v>
      </c>
      <c r="K21" s="0" t="n">
        <f aca="false">K19*K20</f>
        <v>646.201876113897</v>
      </c>
      <c r="L21" s="0" t="n">
        <f aca="false">L19*L20</f>
        <v>604.851308247024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0.16</v>
      </c>
      <c r="D23" s="4" t="n">
        <f aca="false">Assumptions!D44</f>
        <v>0.16</v>
      </c>
      <c r="E23" s="4" t="n">
        <f aca="false">Assumptions!E44</f>
        <v>0.16</v>
      </c>
      <c r="F23" s="4" t="n">
        <f aca="false">Assumptions!F44</f>
        <v>0.16</v>
      </c>
      <c r="G23" s="4" t="n">
        <f aca="false">Assumptions!G44</f>
        <v>0.16</v>
      </c>
      <c r="H23" s="4" t="n">
        <f aca="false">Assumptions!H44</f>
        <v>0.16</v>
      </c>
      <c r="I23" s="4" t="n">
        <f aca="false">Assumptions!I44</f>
        <v>0.16</v>
      </c>
      <c r="J23" s="4" t="n">
        <f aca="false">Assumptions!J44</f>
        <v>0.16</v>
      </c>
      <c r="K23" s="4" t="n">
        <f aca="false">Assumptions!K44</f>
        <v>0.16</v>
      </c>
      <c r="L23" s="4" t="n">
        <f aca="false">Assumptions!L44</f>
        <v>0.16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-16.371141168</v>
      </c>
      <c r="D24" s="0" t="n">
        <f aca="false">-D6*D23/100</f>
        <v>-16.69856399136</v>
      </c>
      <c r="E24" s="0" t="n">
        <f aca="false">-E6*E23/100</f>
        <v>-17.533492190928</v>
      </c>
      <c r="F24" s="0" t="n">
        <f aca="false">-F6*F23/100</f>
        <v>-18.4101668004744</v>
      </c>
      <c r="G24" s="0" t="n">
        <f aca="false">-G6*G23/100</f>
        <v>-19.2386243064957</v>
      </c>
      <c r="H24" s="0" t="n">
        <f aca="false">-H6*H23/100</f>
        <v>-20.0081692787556</v>
      </c>
      <c r="I24" s="0" t="n">
        <f aca="false">-I6*I23/100</f>
        <v>-20.708455203512</v>
      </c>
      <c r="J24" s="0" t="n">
        <f aca="false">-J6*J23/100</f>
        <v>-21.3297088596174</v>
      </c>
      <c r="K24" s="0" t="n">
        <f aca="false">-K6*K23/100</f>
        <v>-21.9696001254059</v>
      </c>
      <c r="L24" s="0" t="n">
        <f aca="false">-L6*L23/100</f>
        <v>-22.5188401285411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6886.044062043</v>
      </c>
    </row>
    <row r="31" customFormat="false" ht="15" hidden="false" customHeight="false" outlineLevel="0" collapsed="false">
      <c r="A31" s="0" t="s">
        <v>126</v>
      </c>
      <c r="B31" s="0" t="n">
        <f aca="false">L19</f>
        <v>1431.90301567353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22580.0090933133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21478.5452351029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21478.5452351029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9072.76962370537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15958.8136857484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21725.6896857484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10.6209784215273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0.47104964287081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10.6209784215273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11741.6047285229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6.76664781867982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4.64224872705787</v>
      </c>
      <c r="C4" s="0" t="n">
        <f aca="false">B4/Assumptions!$B$2-1</f>
        <v>-0.35702926218035</v>
      </c>
      <c r="D4" s="4" t="n">
        <f aca="false">Assumptions!$B$24</f>
        <v>0.3</v>
      </c>
      <c r="E4" s="4" t="n">
        <f aca="false">DCF_Bear!$B$43</f>
        <v>4.64224872705787</v>
      </c>
      <c r="F4" s="4" t="n">
        <f aca="false">DCF_Bear!$B$47</f>
        <v>3.86659474564372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7.65082001419222</v>
      </c>
      <c r="C5" s="0" t="n">
        <f aca="false">B5/Assumptions!$B$2-1</f>
        <v>0.0596703620764849</v>
      </c>
      <c r="D5" s="4" t="n">
        <f aca="false">Assumptions!$B$38</f>
        <v>0.5</v>
      </c>
      <c r="E5" s="4" t="n">
        <f aca="false">DCF_Base!$B$43</f>
        <v>7.65082001419222</v>
      </c>
      <c r="F5" s="4" t="n">
        <f aca="false">DCF_Base!$B$47</f>
        <v>5.32769980615196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10.6209784215273</v>
      </c>
      <c r="C6" s="0" t="n">
        <f aca="false">B6/Assumptions!$B$2-1</f>
        <v>0.47104964287081</v>
      </c>
      <c r="D6" s="4" t="n">
        <f aca="false">Assumptions!$B$52</f>
        <v>0.2</v>
      </c>
      <c r="E6" s="4" t="n">
        <f aca="false">DCF_Bull!$B$43</f>
        <v>10.6209784215273</v>
      </c>
      <c r="F6" s="4" t="n">
        <f aca="false">DCF_Bull!$B$47</f>
        <v>6.76664781867982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7.34228030951892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7.34228030951892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0.0166542687508663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5.17715789050506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7.65082001419222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7.01961331983209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6.52943774749578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6.13795461428989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5.32769980615196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8.508188667359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8.508188667359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8.508188667359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8.508188667359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8.508188667359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7.98733278485761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8.0998421804474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8.0998421804474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8.0998421804474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8.0998421804474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7.3013274929868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7.46442400288267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7.65082001419222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7.72777249592552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7.72777249592552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6.76923441681729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6.8870597829419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7.01961331983209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7.16984066164097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7.34152905227969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6.34480230283567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6.43226119767467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6.52943774749578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6.63804683258996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6.76023205332092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2026-10-18T05:07:09Z</dcterms:created>
  <dc:creator>openpyxl</dc:creator>
  <dc:description/>
  <dc:language>en-NZ</dc:language>
  <cp:lastModifiedBy/>
  <dcterms:modified xsi:type="dcterms:W3CDTF">2026-10-18T05:07:09Z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