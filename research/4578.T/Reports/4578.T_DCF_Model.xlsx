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<sst xmlns="http://schemas.openxmlformats.org/spreadsheetml/2006/main" count="383" uniqueCount="175">
  <si>
    <t xml:space="preserve">Ticker</t>
  </si>
  <si>
    <t xml:space="preserve">4578.T</t>
  </si>
  <si>
    <t xml:space="preserve">Company</t>
  </si>
  <si>
    <t xml:space="preserve">Otsuka Holdings Co., Ltd.</t>
  </si>
  <si>
    <t xml:space="preserve">Valuation date</t>
  </si>
  <si>
    <t xml:space="preserve">2026-10-31</t>
  </si>
  <si>
    <t xml:space="preserve">Current price</t>
  </si>
  <si>
    <t xml:space="preserve">Price as of</t>
  </si>
  <si>
    <t xml:space="preserve">2026-10-30T06:30:00Z (TSE regular close, 30 Oct 2026; not an after-hours print)</t>
  </si>
  <si>
    <t xml:space="preserve">Balance sheet date</t>
  </si>
  <si>
    <t xml:space="preserve">2026-09-30</t>
  </si>
  <si>
    <t xml:space="preserve">Model</t>
  </si>
  <si>
    <t xml:space="preserve">owner_fcf_dcf_component</t>
  </si>
  <si>
    <t xml:space="preserve">Currency (model)</t>
  </si>
  <si>
    <t xml:space="preserve">JPY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</si>
  <si>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</si>
  <si>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</si>
  <si>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</si>
  <si>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</si>
  <si>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</si>
  <si>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</si>
  <si>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2026-10-31T05:00:05Z</t>
  </si>
  <si>
    <t xml:space="preserve">Drivers file</t>
  </si>
  <si>
    <t xml:space="preserve">4578.T_Drivers.json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</si>
  <si>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</si>
  <si>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</si>
  <si>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</si>
  <si>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Otsuka is valued as a stream of fully loaded owner cash flow: core operating EBITDA (ex equity-method profit, after impairments), less the full lease cost, less tax at the book rate, less PP&amp;E, intangible AND bolt-on pipeline purchases at ~7% of revenue, less working capital consumed by growth; the equity-method investments and financial assets are added back at book because their income is stripped from the flows. The build deliberately models the FY2029-31 LOE as a dip rather than smoothing it, charges the pipeline-replacement treadmill as maintenance capex, and caps the terminal multiple at 15x so none of the value depends on a re-rating. Dividends (JPY 200/share FY2026, 27.7% payout) and buybacks are the channel through which that FCF reaches shareholders; they are not added on top.
key_risks_to_valuation: Timing and depth of REXULTI and ABILIFY MAINTENA US generic entry (modelled from ~2029): a two-year delay or a 30/70 rather than 70/30 erosion split is worth several hundred yen per share either way; Capex basis: charging bolt-on acquisitions as recurring (7.0% vs the 5.7% PP&amp;E+intangibles-only basis of reported FCF) is ~1,200 yen/share of value; if the Transcend/Araris/ICU run was a one-off bulge, the base is too low; VOYXACT peak sales (IgAN market estimated USD 6-10bn) and label expansion -- the single largest swing between bull and base; USD/JPY and EUR/JPY: guidance rests on 158/185; every 10 yen of USD/JPY strength is roughly 4-5% of pharma revenue in translation; Equity-method investments (374.6bn) and other financial assets (273.1bn) are taken at book; a 25% haircut is ~300 yen/share; US drug-pricing and tariff policy, flagged by management in the Q3 FY2026 filing, could pressure the US-weighted CNS and oncology franchises before the LOE</t>
  </si>
  <si>
    <t xml:space="preserve">Data sources</t>
  </si>
  <si>
    <t xml:space="preserve">price: Yahoo Finance chart API at inputs.price_as_of (TSE regular close); 52-week range 8,083-12,795.
financials: 4578.T_Metrics.csv (core_metrics, IFRS from FY2016; FY2014 9-month stub and J-GAAP years excluded from all growth maths); balance sheet, share count and cash flow anchors from 4578.T_Quarterly_Q3-FY2026.txt (30 Sep 2026) and 4578.T_Annual_FY2025.txt; FY2026 guidance from the 30 Oct 2026 Q3 filing and presentation (4578.T_Presentation_Q3-FY2026.txt).
qualitative: 4578.T_Analysis.json (2026-10-31): business model, product-level growth drivers, LOE and launch risks, guidance history and FX assumptions.</t>
  </si>
  <si>
    <t xml:space="preserve">Scenario narrative: bear</t>
  </si>
  <si>
    <t xml:space="preserve">Launches disappoint, the yen strengthens, and the FY2029-31 LOE lands in full (-16% cumulative) with margins resetting to 14-15% while pipeline purchases continue at 7.5% of revenue; profitable and net-cash throughout.</t>
  </si>
  <si>
    <t xml:space="preserve">Scenario narrative: base</t>
  </si>
  <si>
    <t xml:space="preserve">Three launches (VOYXACT, SIMTRIYO, zipalertinib) plus compounding royalties carry growth through FY2028, then the REXULTI/ABILIFY MAINTENA US loss of exclusivity produces a shallow FY2029-31 revenue dip (cumulative ~-1%) and a margin trough at 17% before a 2-3% mature recovery; pipeline-replacement spend is charged at 7% of revenue and the terminal multiple is capped at 15x FCF.</t>
  </si>
  <si>
    <t xml:space="preserve">Scenario narrative: bull</t>
  </si>
  <si>
    <t xml:space="preserve">The launches scale to blockbuster size and ASIMTUFII/Japan hold the CNS franchise, so the LOE is a plateau; margins hold 21-22% and bolt-on spend eases to 6.5%.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</si>
  <si>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</si>
  <si>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</si>
  <si>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</si>
  <si>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</si>
  <si>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</si>
  <si>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</si>
  <si>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</si>
  <si>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</si>
  <si>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</si>
  <si>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</si>
  <si>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</si>
  <si>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</si>
  <si>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</si>
  <si>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</si>
  <si>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</si>
  <si>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</si>
  <si>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</si>
  <si>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</si>
  <si>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</si>
  <si>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</si>
  <si>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</si>
  <si>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</si>
  <si>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</si>
  <si>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</si>
  <si>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</si>
  <si>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</si>
  <si>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</si>
  <si>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EPSBasic</t>
  </si>
  <si>
    <t xml:space="preserve">NonControllingInterests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</si>
  <si>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</si>
  <si>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</si>
  <si>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</si>
  <si>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</si>
  <si>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</si>
  <si>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</si>
  <si>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</si>
  <si>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</si>
  <si>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</si>
  <si>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</si>
  <si>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</si>
  <si>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</si>
  <si>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</si>
  <si>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</si>
  <si>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</si>
  <si>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</si>
  <si>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</si>
  <si>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</si>
  <si>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</si>
  <si>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</si>
  <si>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</si>
  <si>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</si>
  <si>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</si>
  <si>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</si>
  <si>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</si>
  <si>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</si>
  <si>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</t>
  </si>
  <si>
    <t xml:space="preserve">Currency / units</t>
  </si>
  <si>
    <t xml:space="preserve">JPY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</si>
  <si>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</si>
  <si>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</si>
  <si>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</si>
  <si>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</si>
  <si>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</si>
  <si>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</si>
  <si>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</si>
  <si>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</si>
  <si>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</si>
  <si>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</si>
  <si>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</si>
  <si>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</si>
  <si>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</si>
  <si>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</si>
  <si>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</si>
  <si>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</si>
  <si>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</si>
  <si>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</si>
  <si>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</si>
  <si>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</si>
  <si>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</si>
  <si>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</si>
  <si>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</si>
  <si>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</si>
  <si>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</si>
  <si>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</si>
  <si>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4578.T owner-FCF component DCF: bear case (millions, JPY)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</si>
  <si>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</si>
  <si>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</si>
  <si>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</si>
  <si>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</si>
  <si>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</si>
  <si>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</si>
  <si>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</si>
  <si>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</si>
  <si>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</si>
  <si>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</si>
  <si>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</si>
  <si>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</si>
  <si>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</si>
  <si>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</si>
  <si>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</si>
  <si>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</si>
  <si>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</si>
  <si>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</si>
  <si>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</si>
  <si>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</si>
  <si>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</si>
  <si>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</si>
  <si>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</si>
  <si>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</si>
  <si>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</si>
  <si>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</si>
  <si>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</si>
  <si>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</si>
  <si>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</si>
  <si>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</si>
  <si>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4578.T owner-FCF component DCF: base case (millions, JPY)</t>
  </si>
  <si>
    <t xml:space="preserve">4578.T owner-FCF component DCF: bull case (millions, JPY)</t>
  </si>
  <si>
    <t xml:space="preserve">4578.T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</si>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</sst>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12015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</row>
    <row r="2" customFormat="false" ht="15" hidden="false" customHeight="false" outlineLevel="0" collapsed="false">
      <c r="A2" s="0" t="s">
        <v>65</v>
      </c>
      <c r="B2" s="0" t="n">
        <v>955947</v>
      </c>
      <c r="F2" s="0" t="n">
        <v>91520</v>
      </c>
      <c r="G2" s="0" t="n">
        <v>9.6</v>
      </c>
      <c r="I2" s="0" t="n">
        <v>47083</v>
      </c>
      <c r="J2" s="0" t="n">
        <v>4.9</v>
      </c>
      <c r="L2" s="0" t="n">
        <v>58470</v>
      </c>
      <c r="P2" s="0" t="n">
        <v>1298789</v>
      </c>
      <c r="Q2" s="0" t="n">
        <v>434974</v>
      </c>
      <c r="S2" s="0" t="n">
        <v>230104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66</v>
      </c>
      <c r="B3" s="0" t="n">
        <v>1084291</v>
      </c>
      <c r="F3" s="0" t="n">
        <v>98481</v>
      </c>
      <c r="G3" s="0" t="n">
        <v>9.1</v>
      </c>
      <c r="I3" s="0" t="n">
        <v>67443</v>
      </c>
      <c r="J3" s="0" t="n">
        <v>6.2</v>
      </c>
      <c r="K3" s="0" t="n">
        <v>143.47</v>
      </c>
      <c r="L3" s="0" t="n">
        <v>173508</v>
      </c>
      <c r="O3" s="0" t="n">
        <v>936289</v>
      </c>
      <c r="P3" s="0" t="n">
        <v>1458375</v>
      </c>
      <c r="Q3" s="0" t="n">
        <v>509919</v>
      </c>
      <c r="S3" s="0" t="n">
        <v>321306</v>
      </c>
      <c r="V3" s="0" t="n">
        <v>12.5</v>
      </c>
      <c r="AA3" s="0" t="s">
        <v>17</v>
      </c>
      <c r="AB3" s="0" t="s">
        <v>14</v>
      </c>
      <c r="AC3" s="0" t="n">
        <v>143.5</v>
      </c>
      <c r="AD3" s="0" t="n">
        <v>12167</v>
      </c>
    </row>
    <row r="4" customFormat="false" ht="15" hidden="false" customHeight="false" outlineLevel="0" collapsed="false">
      <c r="A4" s="0" t="s">
        <v>67</v>
      </c>
      <c r="B4" s="0" t="n">
        <v>1090212</v>
      </c>
      <c r="C4" s="0" t="n">
        <v>367092</v>
      </c>
      <c r="D4" s="0" t="n">
        <v>723120</v>
      </c>
      <c r="E4" s="0" t="n">
        <v>66.3</v>
      </c>
      <c r="F4" s="0" t="n">
        <v>117502</v>
      </c>
      <c r="G4" s="0" t="n">
        <v>10.8</v>
      </c>
      <c r="H4" s="0" t="n">
        <v>160470</v>
      </c>
      <c r="I4" s="0" t="n">
        <v>81001</v>
      </c>
      <c r="J4" s="0" t="n">
        <v>7.4</v>
      </c>
      <c r="K4" s="0" t="n">
        <v>161.59</v>
      </c>
      <c r="L4" s="0" t="n">
        <v>86393</v>
      </c>
      <c r="M4" s="0" t="n">
        <v>34756</v>
      </c>
      <c r="N4" s="0" t="n">
        <v>51637</v>
      </c>
      <c r="O4" s="0" t="n">
        <v>1150124</v>
      </c>
      <c r="P4" s="0" t="n">
        <v>1589639</v>
      </c>
      <c r="Q4" s="0" t="n">
        <v>426392</v>
      </c>
      <c r="R4" s="0" t="n">
        <v>81968</v>
      </c>
      <c r="S4" s="0" t="n">
        <v>387325</v>
      </c>
      <c r="T4" s="0" t="n">
        <v>557.8336</v>
      </c>
      <c r="V4" s="0" t="n">
        <v>28</v>
      </c>
      <c r="AA4" s="0" t="s">
        <v>17</v>
      </c>
      <c r="AB4" s="0" t="s">
        <v>14</v>
      </c>
      <c r="AC4" s="0" t="n">
        <v>161.78</v>
      </c>
      <c r="AD4" s="0" t="n">
        <v>13123</v>
      </c>
    </row>
    <row r="5" customFormat="false" ht="15" hidden="false" customHeight="false" outlineLevel="0" collapsed="false">
      <c r="A5" s="0" t="s">
        <v>68</v>
      </c>
      <c r="B5" s="0" t="n">
        <v>1154573</v>
      </c>
      <c r="C5" s="0" t="n">
        <v>389262</v>
      </c>
      <c r="D5" s="0" t="n">
        <v>765311</v>
      </c>
      <c r="E5" s="0" t="n">
        <v>66.3</v>
      </c>
      <c r="F5" s="0" t="n">
        <v>148661</v>
      </c>
      <c r="G5" s="0" t="n">
        <v>12.9</v>
      </c>
      <c r="H5" s="0" t="n">
        <v>192055</v>
      </c>
      <c r="I5" s="0" t="n">
        <v>92174</v>
      </c>
      <c r="J5" s="0" t="n">
        <v>8</v>
      </c>
      <c r="K5" s="0" t="n">
        <v>164.73</v>
      </c>
      <c r="L5" s="0" t="n">
        <v>147618</v>
      </c>
      <c r="M5" s="0" t="n">
        <v>36033</v>
      </c>
      <c r="N5" s="0" t="n">
        <v>111585</v>
      </c>
      <c r="O5" s="0" t="n">
        <v>1208588</v>
      </c>
      <c r="P5" s="0" t="n">
        <v>1666767</v>
      </c>
      <c r="Q5" s="0" t="n">
        <v>444002</v>
      </c>
      <c r="R5" s="0" t="n">
        <v>65639</v>
      </c>
      <c r="S5" s="0" t="n">
        <v>384194</v>
      </c>
      <c r="T5" s="0" t="n">
        <v>557.8316</v>
      </c>
      <c r="V5" s="0" t="n">
        <v>45</v>
      </c>
      <c r="AA5" s="0" t="s">
        <v>17</v>
      </c>
      <c r="AB5" s="0" t="s">
        <v>14</v>
      </c>
      <c r="AC5" s="0" t="n">
        <v>165.2</v>
      </c>
      <c r="AD5" s="0" t="n">
        <v>14176</v>
      </c>
    </row>
    <row r="6" customFormat="false" ht="15" hidden="false" customHeight="false" outlineLevel="0" collapsed="false">
      <c r="A6" s="0" t="s">
        <v>69</v>
      </c>
      <c r="B6" s="0" t="n">
        <v>1218055</v>
      </c>
      <c r="C6" s="0" t="n">
        <v>393831</v>
      </c>
      <c r="D6" s="0" t="n">
        <v>824224</v>
      </c>
      <c r="E6" s="0" t="n">
        <v>67.7</v>
      </c>
      <c r="F6" s="0" t="n">
        <v>169660</v>
      </c>
      <c r="G6" s="0" t="n">
        <v>13.9</v>
      </c>
      <c r="H6" s="0" t="n">
        <v>210274</v>
      </c>
      <c r="I6" s="0" t="n">
        <v>122429</v>
      </c>
      <c r="J6" s="0" t="n">
        <v>10.1</v>
      </c>
      <c r="K6" s="0" t="n">
        <v>221.41</v>
      </c>
      <c r="L6" s="0" t="n">
        <v>119340</v>
      </c>
      <c r="M6" s="0" t="n">
        <v>50540</v>
      </c>
      <c r="N6" s="0" t="n">
        <v>68800</v>
      </c>
      <c r="O6" s="0" t="n">
        <v>1310497</v>
      </c>
      <c r="P6" s="0" t="n">
        <v>1779207</v>
      </c>
      <c r="Q6" s="0" t="n">
        <v>454136</v>
      </c>
      <c r="R6" s="0" t="n">
        <v>58040</v>
      </c>
      <c r="S6" s="0" t="n">
        <v>347571</v>
      </c>
      <c r="T6" s="0" t="n">
        <v>550.2425</v>
      </c>
      <c r="V6" s="0" t="n">
        <v>58</v>
      </c>
      <c r="AA6" s="0" t="s">
        <v>17</v>
      </c>
      <c r="AB6" s="0" t="s">
        <v>14</v>
      </c>
      <c r="AC6" s="0" t="n">
        <v>221.9</v>
      </c>
      <c r="AD6" s="0" t="n">
        <v>14574</v>
      </c>
    </row>
    <row r="7" customFormat="false" ht="15" hidden="false" customHeight="false" outlineLevel="0" collapsed="false">
      <c r="A7" s="0" t="s">
        <v>70</v>
      </c>
      <c r="B7" s="0" t="n">
        <v>1452759</v>
      </c>
      <c r="C7" s="0" t="n">
        <v>441633</v>
      </c>
      <c r="D7" s="0" t="n">
        <v>1011126</v>
      </c>
      <c r="E7" s="0" t="n">
        <v>69.6</v>
      </c>
      <c r="F7" s="0" t="n">
        <v>198702</v>
      </c>
      <c r="G7" s="0" t="n">
        <v>13.7</v>
      </c>
      <c r="H7" s="0" t="n">
        <v>244734</v>
      </c>
      <c r="I7" s="0" t="n">
        <v>150989</v>
      </c>
      <c r="J7" s="0" t="n">
        <v>10.4</v>
      </c>
      <c r="K7" s="0" t="n">
        <v>277.52</v>
      </c>
      <c r="L7" s="0" t="n">
        <v>226461</v>
      </c>
      <c r="M7" s="0" t="n">
        <v>69943</v>
      </c>
      <c r="N7" s="0" t="n">
        <v>156518</v>
      </c>
      <c r="O7" s="0" t="n">
        <v>1484569</v>
      </c>
      <c r="P7" s="0" t="n">
        <v>2028399</v>
      </c>
      <c r="Q7" s="0" t="n">
        <v>517640</v>
      </c>
      <c r="R7" s="0" t="n">
        <v>67707</v>
      </c>
      <c r="S7" s="0" t="n">
        <v>417538</v>
      </c>
      <c r="T7" s="0" t="n">
        <v>541.6245</v>
      </c>
      <c r="V7" s="0" t="n">
        <v>65</v>
      </c>
      <c r="AA7" s="0" t="s">
        <v>17</v>
      </c>
      <c r="AB7" s="0" t="s">
        <v>14</v>
      </c>
      <c r="AC7" s="0" t="n">
        <v>278.07</v>
      </c>
      <c r="AD7" s="0" t="n">
        <v>26190</v>
      </c>
    </row>
    <row r="8" customFormat="false" ht="15" hidden="false" customHeight="false" outlineLevel="0" collapsed="false">
      <c r="A8" s="0" t="s">
        <v>71</v>
      </c>
      <c r="B8" s="0" t="n">
        <v>1445227</v>
      </c>
      <c r="F8" s="0" t="n">
        <v>151837</v>
      </c>
      <c r="G8" s="0" t="n">
        <v>10.5</v>
      </c>
      <c r="H8" s="0" t="n">
        <v>209323</v>
      </c>
      <c r="I8" s="0" t="n">
        <v>84086</v>
      </c>
      <c r="J8" s="0" t="n">
        <v>5.8</v>
      </c>
      <c r="K8" s="0" t="n">
        <v>155.11</v>
      </c>
      <c r="L8" s="0" t="n">
        <v>253873</v>
      </c>
      <c r="M8" s="0" t="n">
        <v>72837</v>
      </c>
      <c r="N8" s="0" t="n">
        <v>181036</v>
      </c>
      <c r="O8" s="0" t="n">
        <v>1654746</v>
      </c>
      <c r="P8" s="0" t="n">
        <v>2528510</v>
      </c>
      <c r="Q8" s="0" t="n">
        <v>845073</v>
      </c>
      <c r="R8" s="0" t="n">
        <v>313908</v>
      </c>
      <c r="S8" s="0" t="n">
        <v>460609</v>
      </c>
      <c r="T8" s="0" t="n">
        <v>541.8497</v>
      </c>
      <c r="V8" s="0" t="n">
        <v>100</v>
      </c>
      <c r="AA8" s="0" t="s">
        <v>17</v>
      </c>
      <c r="AB8" s="0" t="s">
        <v>14</v>
      </c>
      <c r="AC8" s="0" t="n">
        <v>155.12</v>
      </c>
      <c r="AD8" s="0" t="n">
        <v>28690</v>
      </c>
    </row>
    <row r="9" customFormat="false" ht="15" hidden="false" customHeight="false" outlineLevel="0" collapsed="false">
      <c r="A9" s="0" t="s">
        <v>72</v>
      </c>
      <c r="B9" s="0" t="n">
        <v>1195547</v>
      </c>
      <c r="C9" s="0" t="n">
        <v>406331</v>
      </c>
      <c r="D9" s="0" t="n">
        <v>789216</v>
      </c>
      <c r="E9" s="0" t="n">
        <v>66</v>
      </c>
      <c r="F9" s="0" t="n">
        <v>101145</v>
      </c>
      <c r="G9" s="0" t="n">
        <v>8.5</v>
      </c>
      <c r="H9" s="0" t="n">
        <v>160719</v>
      </c>
      <c r="I9" s="0" t="n">
        <v>92563</v>
      </c>
      <c r="J9" s="0" t="n">
        <v>7.7</v>
      </c>
      <c r="K9" s="0" t="n">
        <v>170.7</v>
      </c>
      <c r="L9" s="0" t="n">
        <v>142004</v>
      </c>
      <c r="M9" s="0" t="n">
        <v>71587</v>
      </c>
      <c r="N9" s="0" t="n">
        <v>70417</v>
      </c>
      <c r="O9" s="0" t="n">
        <v>1710531</v>
      </c>
      <c r="P9" s="0" t="n">
        <v>2478290</v>
      </c>
      <c r="Q9" s="0" t="n">
        <v>739848</v>
      </c>
      <c r="R9" s="0" t="n">
        <v>273236</v>
      </c>
      <c r="S9" s="0" t="n">
        <v>369875</v>
      </c>
      <c r="T9" s="0" t="n">
        <v>541.8493</v>
      </c>
      <c r="V9" s="0" t="n">
        <v>100</v>
      </c>
      <c r="AA9" s="0" t="s">
        <v>17</v>
      </c>
      <c r="AB9" s="0" t="s">
        <v>14</v>
      </c>
      <c r="AC9" s="0" t="n">
        <v>170.82</v>
      </c>
      <c r="AD9" s="0" t="n">
        <v>27910</v>
      </c>
    </row>
    <row r="10" customFormat="false" ht="15" hidden="false" customHeight="false" outlineLevel="0" collapsed="false">
      <c r="A10" s="0" t="s">
        <v>73</v>
      </c>
      <c r="B10" s="0" t="n">
        <v>1239952</v>
      </c>
      <c r="C10" s="0" t="n">
        <v>422474</v>
      </c>
      <c r="D10" s="0" t="n">
        <v>817478</v>
      </c>
      <c r="E10" s="0" t="n">
        <v>65.9</v>
      </c>
      <c r="F10" s="0" t="n">
        <v>104181</v>
      </c>
      <c r="G10" s="0" t="n">
        <v>8.4</v>
      </c>
      <c r="H10" s="0" t="n">
        <v>166416</v>
      </c>
      <c r="I10" s="0" t="n">
        <v>112492</v>
      </c>
      <c r="J10" s="0" t="n">
        <v>9.1</v>
      </c>
      <c r="K10" s="0" t="n">
        <v>206.99</v>
      </c>
      <c r="L10" s="0" t="n">
        <v>102832</v>
      </c>
      <c r="M10" s="0" t="n">
        <v>77541</v>
      </c>
      <c r="N10" s="0" t="n">
        <v>25291</v>
      </c>
      <c r="O10" s="0" t="n">
        <v>1793278</v>
      </c>
      <c r="P10" s="0" t="n">
        <v>2480256</v>
      </c>
      <c r="Q10" s="0" t="n">
        <v>658306</v>
      </c>
      <c r="R10" s="0" t="n">
        <v>241433</v>
      </c>
      <c r="S10" s="0" t="n">
        <v>336613</v>
      </c>
      <c r="T10" s="0" t="n">
        <v>541.8487</v>
      </c>
      <c r="V10" s="0" t="n">
        <v>100</v>
      </c>
      <c r="AA10" s="0" t="s">
        <v>17</v>
      </c>
      <c r="AB10" s="0" t="s">
        <v>14</v>
      </c>
      <c r="AC10" s="0" t="n">
        <v>207.6</v>
      </c>
      <c r="AD10" s="0" t="n">
        <v>28672</v>
      </c>
    </row>
    <row r="11" customFormat="false" ht="15" hidden="false" customHeight="false" outlineLevel="0" collapsed="false">
      <c r="A11" s="0" t="s">
        <v>74</v>
      </c>
      <c r="B11" s="0" t="n">
        <v>1291981</v>
      </c>
      <c r="C11" s="0" t="n">
        <v>441824</v>
      </c>
      <c r="D11" s="0" t="n">
        <v>850157</v>
      </c>
      <c r="E11" s="0" t="n">
        <v>65.8</v>
      </c>
      <c r="F11" s="0" t="n">
        <v>108304</v>
      </c>
      <c r="G11" s="0" t="n">
        <v>8.4</v>
      </c>
      <c r="H11" s="0" t="n">
        <v>167579</v>
      </c>
      <c r="I11" s="0" t="n">
        <v>82492</v>
      </c>
      <c r="J11" s="0" t="n">
        <v>6.4</v>
      </c>
      <c r="K11" s="0" t="n">
        <v>151.26</v>
      </c>
      <c r="L11" s="0" t="n">
        <v>135821</v>
      </c>
      <c r="M11" s="0" t="n">
        <v>73608</v>
      </c>
      <c r="N11" s="0" t="n">
        <v>62213</v>
      </c>
      <c r="O11" s="0" t="n">
        <v>1704499</v>
      </c>
      <c r="P11" s="0" t="n">
        <v>2476634</v>
      </c>
      <c r="Q11" s="0" t="n">
        <v>744368</v>
      </c>
      <c r="R11" s="0" t="n">
        <v>205885</v>
      </c>
      <c r="S11" s="0" t="n">
        <v>285022</v>
      </c>
      <c r="T11" s="0" t="n">
        <v>541.8484</v>
      </c>
      <c r="V11" s="0" t="n">
        <v>100</v>
      </c>
      <c r="AA11" s="0" t="s">
        <v>17</v>
      </c>
      <c r="AB11" s="0" t="s">
        <v>14</v>
      </c>
      <c r="AC11" s="0" t="n">
        <v>152.24</v>
      </c>
      <c r="AD11" s="0" t="n">
        <v>27767</v>
      </c>
    </row>
    <row r="12" customFormat="false" ht="15" hidden="false" customHeight="false" outlineLevel="0" collapsed="false">
      <c r="A12" s="0" t="s">
        <v>75</v>
      </c>
      <c r="B12" s="0" t="n">
        <v>1396240</v>
      </c>
      <c r="C12" s="0" t="n">
        <v>451297</v>
      </c>
      <c r="D12" s="0" t="n">
        <v>944943</v>
      </c>
      <c r="E12" s="0" t="n">
        <v>67.7</v>
      </c>
      <c r="F12" s="0" t="n">
        <v>176585</v>
      </c>
      <c r="G12" s="0" t="n">
        <v>12.6</v>
      </c>
      <c r="H12" s="0" t="n">
        <v>252275</v>
      </c>
      <c r="I12" s="0" t="n">
        <v>127151</v>
      </c>
      <c r="J12" s="0" t="n">
        <v>9.1</v>
      </c>
      <c r="K12" s="0" t="n">
        <v>231.13</v>
      </c>
      <c r="L12" s="0" t="n">
        <v>192634</v>
      </c>
      <c r="M12" s="0" t="n">
        <v>63437</v>
      </c>
      <c r="N12" s="0" t="n">
        <v>129197</v>
      </c>
      <c r="O12" s="0" t="n">
        <v>1766271</v>
      </c>
      <c r="P12" s="0" t="n">
        <v>2581309</v>
      </c>
      <c r="Q12" s="0" t="n">
        <v>785869</v>
      </c>
      <c r="R12" s="0" t="n">
        <v>186526</v>
      </c>
      <c r="S12" s="0" t="n">
        <v>334040</v>
      </c>
      <c r="T12" s="0" t="n">
        <v>542.2714</v>
      </c>
      <c r="V12" s="0" t="n">
        <v>100</v>
      </c>
      <c r="AA12" s="0" t="s">
        <v>17</v>
      </c>
      <c r="AB12" s="0" t="s">
        <v>14</v>
      </c>
      <c r="AC12" s="0" t="n">
        <v>234.55</v>
      </c>
      <c r="AD12" s="0" t="n">
        <v>29169</v>
      </c>
    </row>
    <row r="13" customFormat="false" ht="15" hidden="false" customHeight="false" outlineLevel="0" collapsed="false">
      <c r="A13" s="0" t="s">
        <v>76</v>
      </c>
      <c r="B13" s="0" t="n">
        <v>1422826</v>
      </c>
      <c r="C13" s="0" t="n">
        <v>439750</v>
      </c>
      <c r="D13" s="0" t="n">
        <v>983076</v>
      </c>
      <c r="E13" s="0" t="n">
        <v>69.1</v>
      </c>
      <c r="F13" s="0" t="n">
        <v>198582</v>
      </c>
      <c r="G13" s="0" t="n">
        <v>14</v>
      </c>
      <c r="H13" s="0" t="n">
        <v>278005</v>
      </c>
      <c r="I13" s="0" t="n">
        <v>148137</v>
      </c>
      <c r="J13" s="0" t="n">
        <v>10.4</v>
      </c>
      <c r="K13" s="0" t="n">
        <v>272.35</v>
      </c>
      <c r="L13" s="0" t="n">
        <v>232839</v>
      </c>
      <c r="M13" s="0" t="n">
        <v>97875</v>
      </c>
      <c r="N13" s="0" t="n">
        <v>134964</v>
      </c>
      <c r="O13" s="0" t="n">
        <v>1852375</v>
      </c>
      <c r="P13" s="0" t="n">
        <v>2627807</v>
      </c>
      <c r="Q13" s="0" t="n">
        <v>744374</v>
      </c>
      <c r="R13" s="0" t="n">
        <v>153254</v>
      </c>
      <c r="S13" s="0" t="n">
        <v>356851</v>
      </c>
      <c r="T13" s="0" t="n">
        <v>542.3365</v>
      </c>
      <c r="V13" s="0" t="n">
        <v>100</v>
      </c>
      <c r="AA13" s="0" t="s">
        <v>17</v>
      </c>
      <c r="AB13" s="0" t="s">
        <v>14</v>
      </c>
      <c r="AC13" s="0" t="n">
        <v>273.15</v>
      </c>
      <c r="AD13" s="0" t="n">
        <v>31057</v>
      </c>
    </row>
    <row r="14" customFormat="false" ht="15" hidden="false" customHeight="false" outlineLevel="0" collapsed="false">
      <c r="A14" s="0" t="s">
        <v>77</v>
      </c>
      <c r="B14" s="0" t="n">
        <v>1498276</v>
      </c>
      <c r="C14" s="0" t="n">
        <v>495031</v>
      </c>
      <c r="D14" s="0" t="n">
        <v>1003245</v>
      </c>
      <c r="E14" s="0" t="n">
        <v>67</v>
      </c>
      <c r="F14" s="0" t="n">
        <v>154497</v>
      </c>
      <c r="G14" s="0" t="n">
        <v>10.3</v>
      </c>
      <c r="H14" s="0" t="n">
        <v>239352</v>
      </c>
      <c r="I14" s="0" t="n">
        <v>125463</v>
      </c>
      <c r="J14" s="0" t="n">
        <v>8.4</v>
      </c>
      <c r="K14" s="0" t="n">
        <v>231.15</v>
      </c>
      <c r="L14" s="0" t="n">
        <v>228864</v>
      </c>
      <c r="M14" s="0" t="n">
        <v>113152</v>
      </c>
      <c r="N14" s="0" t="n">
        <v>115712</v>
      </c>
      <c r="O14" s="0" t="n">
        <v>2010994</v>
      </c>
      <c r="P14" s="0" t="n">
        <v>2820915</v>
      </c>
      <c r="Q14" s="0" t="n">
        <v>775725</v>
      </c>
      <c r="R14" s="0" t="n">
        <v>135631</v>
      </c>
      <c r="S14" s="0" t="n">
        <v>410684</v>
      </c>
      <c r="T14" s="0" t="n">
        <v>542.3919</v>
      </c>
      <c r="V14" s="0" t="n">
        <v>100</v>
      </c>
      <c r="AA14" s="0" t="s">
        <v>17</v>
      </c>
      <c r="AB14" s="0" t="s">
        <v>14</v>
      </c>
      <c r="AC14" s="0" t="n">
        <v>231.32</v>
      </c>
      <c r="AD14" s="0" t="n">
        <v>34195</v>
      </c>
    </row>
    <row r="15" customFormat="false" ht="15" hidden="false" customHeight="false" outlineLevel="0" collapsed="false">
      <c r="A15" s="0" t="s">
        <v>78</v>
      </c>
      <c r="B15" s="0" t="n">
        <v>1737998</v>
      </c>
      <c r="C15" s="0" t="n">
        <v>569502</v>
      </c>
      <c r="D15" s="0" t="n">
        <v>1168496</v>
      </c>
      <c r="E15" s="0" t="n">
        <v>67.2</v>
      </c>
      <c r="F15" s="0" t="n">
        <v>150323</v>
      </c>
      <c r="G15" s="0" t="n">
        <v>8.6</v>
      </c>
      <c r="H15" s="0" t="n">
        <v>244084</v>
      </c>
      <c r="I15" s="0" t="n">
        <v>134019</v>
      </c>
      <c r="J15" s="0" t="n">
        <v>7.7</v>
      </c>
      <c r="K15" s="0" t="n">
        <v>246.99</v>
      </c>
      <c r="L15" s="0" t="n">
        <v>211848</v>
      </c>
      <c r="M15" s="0" t="n">
        <v>107787</v>
      </c>
      <c r="N15" s="0" t="n">
        <v>104061</v>
      </c>
      <c r="O15" s="0" t="n">
        <v>2225407</v>
      </c>
      <c r="P15" s="0" t="n">
        <v>3102716</v>
      </c>
      <c r="Q15" s="0" t="n">
        <v>840168</v>
      </c>
      <c r="R15" s="0" t="n">
        <v>120215</v>
      </c>
      <c r="S15" s="0" t="n">
        <v>471634</v>
      </c>
      <c r="T15" s="0" t="n">
        <v>542.6337</v>
      </c>
      <c r="V15" s="0" t="n">
        <v>100</v>
      </c>
      <c r="AA15" s="0" t="s">
        <v>17</v>
      </c>
      <c r="AB15" s="0" t="s">
        <v>14</v>
      </c>
      <c r="AC15" s="0" t="n">
        <v>247.01</v>
      </c>
      <c r="AD15" s="0" t="n">
        <v>37140</v>
      </c>
    </row>
    <row r="16" customFormat="false" ht="15" hidden="false" customHeight="false" outlineLevel="0" collapsed="false">
      <c r="A16" s="0" t="s">
        <v>79</v>
      </c>
      <c r="B16" s="0" t="n">
        <v>2018568</v>
      </c>
      <c r="C16" s="0" t="n">
        <v>611220</v>
      </c>
      <c r="D16" s="0" t="n">
        <v>1407348</v>
      </c>
      <c r="E16" s="0" t="n">
        <v>69.7</v>
      </c>
      <c r="F16" s="0" t="n">
        <v>139612</v>
      </c>
      <c r="G16" s="0" t="n">
        <v>6.9</v>
      </c>
      <c r="H16" s="0" t="n">
        <v>237389</v>
      </c>
      <c r="I16" s="0" t="n">
        <v>121616</v>
      </c>
      <c r="J16" s="0" t="n">
        <v>6</v>
      </c>
      <c r="K16" s="0" t="n">
        <v>224.1</v>
      </c>
      <c r="L16" s="0" t="n">
        <v>283232</v>
      </c>
      <c r="M16" s="0" t="n">
        <v>114673</v>
      </c>
      <c r="N16" s="0" t="n">
        <v>168559</v>
      </c>
      <c r="O16" s="0" t="n">
        <v>2393683</v>
      </c>
      <c r="P16" s="0" t="n">
        <v>3361244</v>
      </c>
      <c r="Q16" s="0" t="n">
        <v>924926</v>
      </c>
      <c r="R16" s="0" t="n">
        <v>138625</v>
      </c>
      <c r="S16" s="0" t="n">
        <v>513341</v>
      </c>
      <c r="T16" s="0" t="n">
        <v>542.686</v>
      </c>
      <c r="V16" s="0" t="n">
        <v>110</v>
      </c>
      <c r="AA16" s="0" t="s">
        <v>17</v>
      </c>
      <c r="AB16" s="0" t="s">
        <v>14</v>
      </c>
      <c r="AC16" s="0" t="n">
        <v>224.1</v>
      </c>
      <c r="AD16" s="0" t="n">
        <v>42634</v>
      </c>
    </row>
    <row r="17" customFormat="false" ht="15" hidden="false" customHeight="false" outlineLevel="0" collapsed="false">
      <c r="A17" s="0" t="s">
        <v>80</v>
      </c>
      <c r="B17" s="0" t="n">
        <v>2329861</v>
      </c>
      <c r="C17" s="0" t="n">
        <v>660433</v>
      </c>
      <c r="D17" s="0" t="n">
        <v>1669428</v>
      </c>
      <c r="E17" s="0" t="n">
        <v>71.7</v>
      </c>
      <c r="F17" s="0" t="n">
        <v>323564</v>
      </c>
      <c r="G17" s="0" t="n">
        <v>13.9</v>
      </c>
      <c r="H17" s="0" t="n">
        <v>431543</v>
      </c>
      <c r="I17" s="0" t="n">
        <v>343120</v>
      </c>
      <c r="J17" s="0" t="n">
        <v>14.7</v>
      </c>
      <c r="K17" s="0" t="n">
        <v>633.76</v>
      </c>
      <c r="L17" s="0" t="n">
        <v>354638</v>
      </c>
      <c r="M17" s="0" t="n">
        <v>129362</v>
      </c>
      <c r="N17" s="0" t="n">
        <v>225276</v>
      </c>
      <c r="O17" s="0" t="n">
        <v>2733580</v>
      </c>
      <c r="P17" s="0" t="n">
        <v>3739251</v>
      </c>
      <c r="Q17" s="0" t="n">
        <v>961085</v>
      </c>
      <c r="R17" s="0" t="n">
        <v>94625</v>
      </c>
      <c r="S17" s="0" t="n">
        <v>426173</v>
      </c>
      <c r="T17" s="0" t="n">
        <v>537.0927</v>
      </c>
      <c r="V17" s="0" t="n">
        <v>120</v>
      </c>
      <c r="AA17" s="0" t="s">
        <v>17</v>
      </c>
      <c r="AB17" s="0" t="s">
        <v>14</v>
      </c>
      <c r="AC17" s="0" t="n">
        <v>633.76</v>
      </c>
      <c r="AD17" s="0" t="n">
        <v>44585</v>
      </c>
    </row>
    <row r="18" customFormat="false" ht="15" hidden="false" customHeight="false" outlineLevel="0" collapsed="false">
      <c r="A18" s="0" t="s">
        <v>81</v>
      </c>
      <c r="B18" s="0" t="n">
        <v>2468892</v>
      </c>
      <c r="C18" s="0" t="n">
        <v>699116</v>
      </c>
      <c r="D18" s="0" t="n">
        <v>1769776</v>
      </c>
      <c r="E18" s="0" t="n">
        <v>71.7</v>
      </c>
      <c r="F18" s="0" t="n">
        <v>479375</v>
      </c>
      <c r="G18" s="0" t="n">
        <v>19.4</v>
      </c>
      <c r="H18" s="0" t="n">
        <v>595542</v>
      </c>
      <c r="I18" s="0" t="n">
        <v>363150</v>
      </c>
      <c r="J18" s="0" t="n">
        <v>14.7</v>
      </c>
      <c r="K18" s="0" t="n">
        <v>685.06</v>
      </c>
      <c r="L18" s="0" t="n">
        <v>403579</v>
      </c>
      <c r="M18" s="0" t="n">
        <v>141669</v>
      </c>
      <c r="N18" s="0" t="n">
        <v>261910</v>
      </c>
      <c r="O18" s="0" t="n">
        <v>3033444</v>
      </c>
      <c r="P18" s="0" t="n">
        <v>4197562</v>
      </c>
      <c r="Q18" s="0" t="n">
        <v>1097801</v>
      </c>
      <c r="R18" s="0" t="n">
        <v>127006</v>
      </c>
      <c r="S18" s="0" t="n">
        <v>534645</v>
      </c>
      <c r="T18" s="0" t="n">
        <v>528.1314</v>
      </c>
      <c r="V18" s="0" t="n">
        <v>140</v>
      </c>
      <c r="AA18" s="0" t="s">
        <v>17</v>
      </c>
      <c r="AB18" s="0" t="s">
        <v>14</v>
      </c>
      <c r="AC18" s="0" t="n">
        <v>685.06</v>
      </c>
      <c r="AD18" s="0" t="n">
        <v>66317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12015</v>
      </c>
    </row>
    <row r="3" customFormat="false" ht="15" hidden="false" customHeight="false" outlineLevel="0" collapsed="false">
      <c r="A3" s="0" t="s">
        <v>85</v>
      </c>
      <c r="B3" s="3" t="n">
        <v>523.908</v>
      </c>
    </row>
    <row r="4" customFormat="false" ht="15" hidden="false" customHeight="false" outlineLevel="0" collapsed="false">
      <c r="A4" s="0" t="s">
        <v>86</v>
      </c>
      <c r="B4" s="3" t="n">
        <v>-378463</v>
      </c>
    </row>
    <row r="5" customFormat="false" ht="15" hidden="false" customHeight="false" outlineLevel="0" collapsed="false">
      <c r="A5" s="0" t="s">
        <v>87</v>
      </c>
      <c r="B5" s="3" t="n">
        <v>506118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2725000</v>
      </c>
    </row>
    <row r="8" customFormat="false" ht="15" hidden="false" customHeight="false" outlineLevel="0" collapsed="false">
      <c r="A8" s="0" t="s">
        <v>90</v>
      </c>
      <c r="B8" s="3" t="s">
        <v>91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3</v>
      </c>
      <c r="D13" s="3" t="n">
        <v>1</v>
      </c>
      <c r="E13" s="3" t="n">
        <v>-4</v>
      </c>
      <c r="F13" s="3" t="n">
        <v>-8</v>
      </c>
      <c r="G13" s="3" t="n">
        <v>-5</v>
      </c>
      <c r="H13" s="3" t="n">
        <v>0</v>
      </c>
      <c r="I13" s="3" t="n">
        <v>1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107</v>
      </c>
      <c r="C14" s="3" t="n">
        <v>20</v>
      </c>
      <c r="D14" s="3" t="n">
        <v>19.5</v>
      </c>
      <c r="E14" s="3" t="n">
        <v>17.5</v>
      </c>
      <c r="F14" s="3" t="n">
        <v>15</v>
      </c>
      <c r="G14" s="3" t="n">
        <v>14</v>
      </c>
      <c r="H14" s="3" t="n">
        <v>14</v>
      </c>
      <c r="I14" s="3" t="n">
        <v>14.5</v>
      </c>
      <c r="J14" s="3" t="n">
        <v>15</v>
      </c>
      <c r="K14" s="3" t="n">
        <v>15</v>
      </c>
      <c r="L14" s="3" t="n">
        <v>15</v>
      </c>
    </row>
    <row r="15" customFormat="false" ht="15" hidden="false" customHeight="false" outlineLevel="0" collapsed="false">
      <c r="A15" s="0" t="s">
        <v>108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109</v>
      </c>
      <c r="C16" s="3" t="n">
        <v>1</v>
      </c>
      <c r="D16" s="3" t="n">
        <v>1</v>
      </c>
      <c r="E16" s="3" t="n">
        <v>1</v>
      </c>
      <c r="F16" s="3" t="n">
        <v>1</v>
      </c>
      <c r="G16" s="3" t="n">
        <v>1</v>
      </c>
      <c r="H16" s="3" t="n">
        <v>1</v>
      </c>
      <c r="I16" s="3" t="n">
        <v>1</v>
      </c>
      <c r="J16" s="3" t="n">
        <v>1</v>
      </c>
      <c r="K16" s="3" t="n">
        <v>1</v>
      </c>
      <c r="L16" s="3" t="n">
        <v>1</v>
      </c>
    </row>
    <row r="17" customFormat="false" ht="15" hidden="false" customHeight="false" outlineLevel="0" collapsed="false">
      <c r="A17" s="0" t="s">
        <v>110</v>
      </c>
      <c r="C17" s="3" t="n">
        <v>3.5</v>
      </c>
      <c r="D17" s="3" t="n">
        <v>3.5</v>
      </c>
      <c r="E17" s="3" t="n">
        <v>3.5</v>
      </c>
      <c r="F17" s="3" t="n">
        <v>3.5</v>
      </c>
      <c r="G17" s="3" t="n">
        <v>3.5</v>
      </c>
      <c r="H17" s="3" t="n">
        <v>3.5</v>
      </c>
      <c r="I17" s="3" t="n">
        <v>3.5</v>
      </c>
      <c r="J17" s="3" t="n">
        <v>3.5</v>
      </c>
      <c r="K17" s="3" t="n">
        <v>3.5</v>
      </c>
      <c r="L17" s="3" t="n">
        <v>3.5</v>
      </c>
    </row>
    <row r="18" customFormat="false" ht="15" hidden="false" customHeight="false" outlineLevel="0" collapsed="false">
      <c r="A18" s="0" t="s">
        <v>111</v>
      </c>
      <c r="C18" s="3" t="n">
        <v>7.5</v>
      </c>
      <c r="D18" s="3" t="n">
        <v>7.5</v>
      </c>
      <c r="E18" s="3" t="n">
        <v>7.5</v>
      </c>
      <c r="F18" s="3" t="n">
        <v>7.5</v>
      </c>
      <c r="G18" s="3" t="n">
        <v>7.5</v>
      </c>
      <c r="H18" s="3" t="n">
        <v>7.5</v>
      </c>
      <c r="I18" s="3" t="n">
        <v>7.5</v>
      </c>
      <c r="J18" s="3" t="n">
        <v>7.5</v>
      </c>
      <c r="K18" s="3" t="n">
        <v>7.5</v>
      </c>
      <c r="L18" s="3" t="n">
        <v>7.5</v>
      </c>
    </row>
    <row r="19" customFormat="false" ht="15" hidden="false" customHeight="false" outlineLevel="0" collapsed="false">
      <c r="A19" s="0" t="s">
        <v>112</v>
      </c>
      <c r="C19" s="3" t="n">
        <v>23</v>
      </c>
      <c r="D19" s="3" t="n">
        <v>23</v>
      </c>
      <c r="E19" s="3" t="n">
        <v>23</v>
      </c>
      <c r="F19" s="3" t="n">
        <v>24</v>
      </c>
      <c r="G19" s="3" t="n">
        <v>24</v>
      </c>
      <c r="H19" s="3" t="n">
        <v>24</v>
      </c>
      <c r="I19" s="3" t="n">
        <v>24</v>
      </c>
      <c r="J19" s="3" t="n">
        <v>24</v>
      </c>
      <c r="K19" s="3" t="n">
        <v>24</v>
      </c>
      <c r="L19" s="3" t="n">
        <v>24</v>
      </c>
    </row>
    <row r="20" customFormat="false" ht="15" hidden="false" customHeight="false" outlineLevel="0" collapsed="false">
      <c r="A20" s="0" t="s">
        <v>113</v>
      </c>
      <c r="B20" s="3" t="n">
        <v>7</v>
      </c>
    </row>
    <row r="21" customFormat="false" ht="15" hidden="false" customHeight="false" outlineLevel="0" collapsed="false">
      <c r="A21" s="0" t="s">
        <v>114</v>
      </c>
      <c r="B21" s="3" t="n">
        <v>1</v>
      </c>
    </row>
    <row r="22" customFormat="false" ht="15" hidden="false" customHeight="false" outlineLevel="0" collapsed="false">
      <c r="A22" s="0" t="s">
        <v>115</v>
      </c>
      <c r="B22" s="3" t="n">
        <v>15</v>
      </c>
    </row>
    <row r="23" customFormat="false" ht="15" hidden="false" customHeight="false" outlineLevel="0" collapsed="false">
      <c r="A23" s="0" t="s">
        <v>116</v>
      </c>
      <c r="B23" s="3" t="n">
        <v>-25</v>
      </c>
    </row>
    <row r="24" customFormat="false" ht="15" hidden="false" customHeight="false" outlineLevel="0" collapsed="false">
      <c r="A24" s="0" t="s">
        <v>117</v>
      </c>
      <c r="B24" s="3" t="n">
        <v>0.3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6</v>
      </c>
      <c r="D27" s="3" t="n">
        <v>5</v>
      </c>
      <c r="E27" s="3" t="n">
        <v>2</v>
      </c>
      <c r="F27" s="3" t="n">
        <v>-2</v>
      </c>
      <c r="G27" s="3" t="n">
        <v>-1</v>
      </c>
      <c r="H27" s="3" t="n">
        <v>2</v>
      </c>
      <c r="I27" s="3" t="n">
        <v>3</v>
      </c>
      <c r="J27" s="3" t="n">
        <v>3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107</v>
      </c>
      <c r="C28" s="3" t="n">
        <v>21</v>
      </c>
      <c r="D28" s="3" t="n">
        <v>21.3</v>
      </c>
      <c r="E28" s="3" t="n">
        <v>20</v>
      </c>
      <c r="F28" s="3" t="n">
        <v>18</v>
      </c>
      <c r="G28" s="3" t="n">
        <v>17</v>
      </c>
      <c r="H28" s="3" t="n">
        <v>17</v>
      </c>
      <c r="I28" s="3" t="n">
        <v>17.5</v>
      </c>
      <c r="J28" s="3" t="n">
        <v>18</v>
      </c>
      <c r="K28" s="3" t="n">
        <v>18</v>
      </c>
      <c r="L28" s="3" t="n">
        <v>18</v>
      </c>
    </row>
    <row r="29" customFormat="false" ht="15" hidden="false" customHeight="false" outlineLevel="0" collapsed="false">
      <c r="A29" s="0" t="s">
        <v>108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109</v>
      </c>
      <c r="C30" s="3" t="n">
        <v>1</v>
      </c>
      <c r="D30" s="3" t="n">
        <v>1</v>
      </c>
      <c r="E30" s="3" t="n">
        <v>1</v>
      </c>
      <c r="F30" s="3" t="n">
        <v>1</v>
      </c>
      <c r="G30" s="3" t="n">
        <v>1</v>
      </c>
      <c r="H30" s="3" t="n">
        <v>1</v>
      </c>
      <c r="I30" s="3" t="n">
        <v>1</v>
      </c>
      <c r="J30" s="3" t="n">
        <v>1</v>
      </c>
      <c r="K30" s="3" t="n">
        <v>1</v>
      </c>
      <c r="L30" s="3" t="n">
        <v>1</v>
      </c>
    </row>
    <row r="31" customFormat="false" ht="15" hidden="false" customHeight="false" outlineLevel="0" collapsed="false">
      <c r="A31" s="0" t="s">
        <v>110</v>
      </c>
      <c r="C31" s="3" t="n">
        <v>3.5</v>
      </c>
      <c r="D31" s="3" t="n">
        <v>3.5</v>
      </c>
      <c r="E31" s="3" t="n">
        <v>3.5</v>
      </c>
      <c r="F31" s="3" t="n">
        <v>3.5</v>
      </c>
      <c r="G31" s="3" t="n">
        <v>3.5</v>
      </c>
      <c r="H31" s="3" t="n">
        <v>3.5</v>
      </c>
      <c r="I31" s="3" t="n">
        <v>3.5</v>
      </c>
      <c r="J31" s="3" t="n">
        <v>3.5</v>
      </c>
      <c r="K31" s="3" t="n">
        <v>3.5</v>
      </c>
      <c r="L31" s="3" t="n">
        <v>3.5</v>
      </c>
    </row>
    <row r="32" customFormat="false" ht="15" hidden="false" customHeight="false" outlineLevel="0" collapsed="false">
      <c r="A32" s="0" t="s">
        <v>111</v>
      </c>
      <c r="C32" s="3" t="n">
        <v>7</v>
      </c>
      <c r="D32" s="3" t="n">
        <v>7</v>
      </c>
      <c r="E32" s="3" t="n">
        <v>7</v>
      </c>
      <c r="F32" s="3" t="n">
        <v>7</v>
      </c>
      <c r="G32" s="3" t="n">
        <v>7</v>
      </c>
      <c r="H32" s="3" t="n">
        <v>7</v>
      </c>
      <c r="I32" s="3" t="n">
        <v>7</v>
      </c>
      <c r="J32" s="3" t="n">
        <v>7</v>
      </c>
      <c r="K32" s="3" t="n">
        <v>7</v>
      </c>
      <c r="L32" s="3" t="n">
        <v>7</v>
      </c>
    </row>
    <row r="33" customFormat="false" ht="15" hidden="false" customHeight="false" outlineLevel="0" collapsed="false">
      <c r="A33" s="0" t="s">
        <v>112</v>
      </c>
      <c r="C33" s="3" t="n">
        <v>23</v>
      </c>
      <c r="D33" s="3" t="n">
        <v>23</v>
      </c>
      <c r="E33" s="3" t="n">
        <v>23</v>
      </c>
      <c r="F33" s="3" t="n">
        <v>24</v>
      </c>
      <c r="G33" s="3" t="n">
        <v>24</v>
      </c>
      <c r="H33" s="3" t="n">
        <v>24</v>
      </c>
      <c r="I33" s="3" t="n">
        <v>24</v>
      </c>
      <c r="J33" s="3" t="n">
        <v>24</v>
      </c>
      <c r="K33" s="3" t="n">
        <v>24</v>
      </c>
      <c r="L33" s="3" t="n">
        <v>24</v>
      </c>
    </row>
    <row r="34" customFormat="false" ht="15" hidden="false" customHeight="false" outlineLevel="0" collapsed="false">
      <c r="A34" s="0" t="s">
        <v>113</v>
      </c>
      <c r="B34" s="3" t="n">
        <v>7</v>
      </c>
    </row>
    <row r="35" customFormat="false" ht="15" hidden="false" customHeight="false" outlineLevel="0" collapsed="false">
      <c r="A35" s="0" t="s">
        <v>114</v>
      </c>
      <c r="B35" s="3" t="n">
        <v>1.5</v>
      </c>
    </row>
    <row r="36" customFormat="false" ht="15" hidden="false" customHeight="false" outlineLevel="0" collapsed="false">
      <c r="A36" s="0" t="s">
        <v>115</v>
      </c>
      <c r="B36" s="3" t="n">
        <v>15</v>
      </c>
    </row>
    <row r="37" customFormat="false" ht="15" hidden="false" customHeight="false" outlineLevel="0" collapsed="false">
      <c r="A37" s="0" t="s">
        <v>116</v>
      </c>
      <c r="B37" s="3" t="n">
        <v>-25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8</v>
      </c>
      <c r="D41" s="3" t="n">
        <v>7</v>
      </c>
      <c r="E41" s="3" t="n">
        <v>5</v>
      </c>
      <c r="F41" s="3" t="n">
        <v>2</v>
      </c>
      <c r="G41" s="3" t="n">
        <v>2</v>
      </c>
      <c r="H41" s="3" t="n">
        <v>4</v>
      </c>
      <c r="I41" s="3" t="n">
        <v>4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107</v>
      </c>
      <c r="C42" s="3" t="n">
        <v>21.5</v>
      </c>
      <c r="D42" s="3" t="n">
        <v>22</v>
      </c>
      <c r="E42" s="3" t="n">
        <v>22</v>
      </c>
      <c r="F42" s="3" t="n">
        <v>21</v>
      </c>
      <c r="G42" s="3" t="n">
        <v>20.5</v>
      </c>
      <c r="H42" s="3" t="n">
        <v>21</v>
      </c>
      <c r="I42" s="3" t="n">
        <v>21.5</v>
      </c>
      <c r="J42" s="3" t="n">
        <v>22</v>
      </c>
      <c r="K42" s="3" t="n">
        <v>22</v>
      </c>
      <c r="L42" s="3" t="n">
        <v>22</v>
      </c>
    </row>
    <row r="43" customFormat="false" ht="15" hidden="false" customHeight="false" outlineLevel="0" collapsed="false">
      <c r="A43" s="0" t="s">
        <v>108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109</v>
      </c>
      <c r="C44" s="3" t="n">
        <v>1</v>
      </c>
      <c r="D44" s="3" t="n">
        <v>1</v>
      </c>
      <c r="E44" s="3" t="n">
        <v>1</v>
      </c>
      <c r="F44" s="3" t="n">
        <v>1</v>
      </c>
      <c r="G44" s="3" t="n">
        <v>1</v>
      </c>
      <c r="H44" s="3" t="n">
        <v>1</v>
      </c>
      <c r="I44" s="3" t="n">
        <v>1</v>
      </c>
      <c r="J44" s="3" t="n">
        <v>1</v>
      </c>
      <c r="K44" s="3" t="n">
        <v>1</v>
      </c>
      <c r="L44" s="3" t="n">
        <v>1</v>
      </c>
    </row>
    <row r="45" customFormat="false" ht="15" hidden="false" customHeight="false" outlineLevel="0" collapsed="false">
      <c r="A45" s="0" t="s">
        <v>110</v>
      </c>
      <c r="C45" s="3" t="n">
        <v>3.5</v>
      </c>
      <c r="D45" s="3" t="n">
        <v>3.5</v>
      </c>
      <c r="E45" s="3" t="n">
        <v>3.5</v>
      </c>
      <c r="F45" s="3" t="n">
        <v>3.5</v>
      </c>
      <c r="G45" s="3" t="n">
        <v>3.5</v>
      </c>
      <c r="H45" s="3" t="n">
        <v>3.5</v>
      </c>
      <c r="I45" s="3" t="n">
        <v>3.5</v>
      </c>
      <c r="J45" s="3" t="n">
        <v>3.5</v>
      </c>
      <c r="K45" s="3" t="n">
        <v>3.5</v>
      </c>
      <c r="L45" s="3" t="n">
        <v>3.5</v>
      </c>
    </row>
    <row r="46" customFormat="false" ht="15" hidden="false" customHeight="false" outlineLevel="0" collapsed="false">
      <c r="A46" s="0" t="s">
        <v>111</v>
      </c>
      <c r="C46" s="3" t="n">
        <v>6.5</v>
      </c>
      <c r="D46" s="3" t="n">
        <v>6.5</v>
      </c>
      <c r="E46" s="3" t="n">
        <v>6.5</v>
      </c>
      <c r="F46" s="3" t="n">
        <v>6.5</v>
      </c>
      <c r="G46" s="3" t="n">
        <v>6.5</v>
      </c>
      <c r="H46" s="3" t="n">
        <v>6.5</v>
      </c>
      <c r="I46" s="3" t="n">
        <v>6.5</v>
      </c>
      <c r="J46" s="3" t="n">
        <v>6.5</v>
      </c>
      <c r="K46" s="3" t="n">
        <v>6.5</v>
      </c>
      <c r="L46" s="3" t="n">
        <v>6.5</v>
      </c>
    </row>
    <row r="47" customFormat="false" ht="15" hidden="false" customHeight="false" outlineLevel="0" collapsed="false">
      <c r="A47" s="0" t="s">
        <v>112</v>
      </c>
      <c r="C47" s="3" t="n">
        <v>23</v>
      </c>
      <c r="D47" s="3" t="n">
        <v>23</v>
      </c>
      <c r="E47" s="3" t="n">
        <v>23</v>
      </c>
      <c r="F47" s="3" t="n">
        <v>24</v>
      </c>
      <c r="G47" s="3" t="n">
        <v>24</v>
      </c>
      <c r="H47" s="3" t="n">
        <v>24</v>
      </c>
      <c r="I47" s="3" t="n">
        <v>24</v>
      </c>
      <c r="J47" s="3" t="n">
        <v>24</v>
      </c>
      <c r="K47" s="3" t="n">
        <v>24</v>
      </c>
      <c r="L47" s="3" t="n">
        <v>24</v>
      </c>
    </row>
    <row r="48" customFormat="false" ht="15" hidden="false" customHeight="false" outlineLevel="0" collapsed="false">
      <c r="A48" s="0" t="s">
        <v>113</v>
      </c>
      <c r="B48" s="3" t="n">
        <v>7</v>
      </c>
    </row>
    <row r="49" customFormat="false" ht="15" hidden="false" customHeight="false" outlineLevel="0" collapsed="false">
      <c r="A49" s="0" t="s">
        <v>114</v>
      </c>
      <c r="B49" s="3" t="n">
        <v>2</v>
      </c>
    </row>
    <row r="50" customFormat="false" ht="15" hidden="false" customHeight="false" outlineLevel="0" collapsed="false">
      <c r="A50" s="0" t="s">
        <v>115</v>
      </c>
      <c r="B50" s="3" t="n">
        <v>15</v>
      </c>
    </row>
    <row r="51" customFormat="false" ht="15" hidden="false" customHeight="false" outlineLevel="0" collapsed="false">
      <c r="A51" s="0" t="s">
        <v>116</v>
      </c>
      <c r="B51" s="3" t="n">
        <v>-20</v>
      </c>
    </row>
    <row r="52" customFormat="false" ht="15" hidden="false" customHeight="false" outlineLevel="0" collapsed="false">
      <c r="A52" s="0" t="s">
        <v>117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91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3</v>
      </c>
      <c r="D5" s="4" t="n">
        <f aca="false">Assumptions!D13</f>
        <v>1</v>
      </c>
      <c r="E5" s="4" t="n">
        <f aca="false">Assumptions!E13</f>
        <v>-4</v>
      </c>
      <c r="F5" s="4" t="n">
        <f aca="false">Assumptions!F13</f>
        <v>-8</v>
      </c>
      <c r="G5" s="4" t="n">
        <f aca="false">Assumptions!G13</f>
        <v>-5</v>
      </c>
      <c r="H5" s="4" t="n">
        <f aca="false">Assumptions!H13</f>
        <v>0</v>
      </c>
      <c r="I5" s="4" t="n">
        <f aca="false">Assumptions!I13</f>
        <v>1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2725000</v>
      </c>
      <c r="C6" s="0" t="n">
        <f aca="false">B6*(1+C5/100)</f>
        <v>2806750</v>
      </c>
      <c r="D6" s="0" t="n">
        <f aca="false">C6*(1+D5/100)</f>
        <v>2834817.5</v>
      </c>
      <c r="E6" s="0" t="n">
        <f aca="false">D6*(1+E5/100)</f>
        <v>2721424.8</v>
      </c>
      <c r="F6" s="0" t="n">
        <f aca="false">E6*(1+F5/100)</f>
        <v>2503710.816</v>
      </c>
      <c r="G6" s="0" t="n">
        <f aca="false">F6*(1+G5/100)</f>
        <v>2378525.2752</v>
      </c>
      <c r="H6" s="0" t="n">
        <f aca="false">G6*(1+H5/100)</f>
        <v>2378525.2752</v>
      </c>
      <c r="I6" s="0" t="n">
        <f aca="false">H6*(1+I5/100)</f>
        <v>2402310.527952</v>
      </c>
      <c r="J6" s="0" t="n">
        <f aca="false">I6*(1+J5/100)</f>
        <v>2450356.73851104</v>
      </c>
      <c r="K6" s="0" t="n">
        <f aca="false">J6*(1+K5/100)</f>
        <v>2499363.87328126</v>
      </c>
      <c r="L6" s="0" t="n">
        <f aca="false">K6*(1+L5/100)</f>
        <v>2549351.15074689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20</v>
      </c>
      <c r="D7" s="4" t="n">
        <f aca="false">Assumptions!D14</f>
        <v>19.5</v>
      </c>
      <c r="E7" s="4" t="n">
        <f aca="false">Assumptions!E14</f>
        <v>17.5</v>
      </c>
      <c r="F7" s="4" t="n">
        <f aca="false">Assumptions!F14</f>
        <v>15</v>
      </c>
      <c r="G7" s="4" t="n">
        <f aca="false">Assumptions!G14</f>
        <v>14</v>
      </c>
      <c r="H7" s="4" t="n">
        <f aca="false">Assumptions!H14</f>
        <v>14</v>
      </c>
      <c r="I7" s="4" t="n">
        <f aca="false">Assumptions!I14</f>
        <v>14.5</v>
      </c>
      <c r="J7" s="4" t="n">
        <f aca="false">Assumptions!J14</f>
        <v>15</v>
      </c>
      <c r="K7" s="4" t="n">
        <f aca="false">Assumptions!K14</f>
        <v>15</v>
      </c>
      <c r="L7" s="4" t="n">
        <f aca="false">Assumptions!L14</f>
        <v>15</v>
      </c>
    </row>
    <row r="8" customFormat="false" ht="15" hidden="false" customHeight="false" outlineLevel="0" collapsed="false">
      <c r="A8" s="0" t="s">
        <v>43</v>
      </c>
      <c r="C8" s="0" t="n">
        <f aca="false">C6*C7/100</f>
        <v>561350</v>
      </c>
      <c r="D8" s="0" t="n">
        <f aca="false">D6*D7/100</f>
        <v>552789.4125</v>
      </c>
      <c r="E8" s="0" t="n">
        <f aca="false">E6*E7/100</f>
        <v>476249.34</v>
      </c>
      <c r="F8" s="0" t="n">
        <f aca="false">F6*F7/100</f>
        <v>375556.6224</v>
      </c>
      <c r="G8" s="0" t="n">
        <f aca="false">G6*G7/100</f>
        <v>332993.538528</v>
      </c>
      <c r="H8" s="0" t="n">
        <f aca="false">H6*H7/100</f>
        <v>332993.538528</v>
      </c>
      <c r="I8" s="0" t="n">
        <f aca="false">I6*I7/100</f>
        <v>348335.02655304</v>
      </c>
      <c r="J8" s="0" t="n">
        <f aca="false">J6*J7/100</f>
        <v>367553.510776656</v>
      </c>
      <c r="K8" s="0" t="n">
        <f aca="false">K6*K7/100</f>
        <v>374904.580992189</v>
      </c>
      <c r="L8" s="0" t="n">
        <f aca="false">L6*L7/100</f>
        <v>382402.672612033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533282.5</v>
      </c>
      <c r="D11" s="0" t="n">
        <f aca="false">D8+D10+D24</f>
        <v>524441.2375</v>
      </c>
      <c r="E11" s="0" t="n">
        <f aca="false">E8+E10+E24</f>
        <v>449035.092</v>
      </c>
      <c r="F11" s="0" t="n">
        <f aca="false">F8+F10+F24</f>
        <v>350519.51424</v>
      </c>
      <c r="G11" s="0" t="n">
        <f aca="false">G8+G10+G24</f>
        <v>309208.285776</v>
      </c>
      <c r="H11" s="0" t="n">
        <f aca="false">H8+H10+H24</f>
        <v>309208.285776</v>
      </c>
      <c r="I11" s="0" t="n">
        <f aca="false">I8+I10+I24</f>
        <v>324311.92127352</v>
      </c>
      <c r="J11" s="0" t="n">
        <f aca="false">J8+J10+J24</f>
        <v>343049.943391546</v>
      </c>
      <c r="K11" s="0" t="n">
        <f aca="false">K8+K10+K24</f>
        <v>349910.942259376</v>
      </c>
      <c r="L11" s="0" t="n">
        <f aca="false">L8+L10+L24</f>
        <v>356909.161104564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-98236.25</v>
      </c>
      <c r="D12" s="4" t="n">
        <f aca="false">-D6*Assumptions!D17/100</f>
        <v>-99218.6125</v>
      </c>
      <c r="E12" s="4" t="n">
        <f aca="false">-E6*Assumptions!E17/100</f>
        <v>-95249.868</v>
      </c>
      <c r="F12" s="4" t="n">
        <f aca="false">-F6*Assumptions!F17/100</f>
        <v>-87629.87856</v>
      </c>
      <c r="G12" s="4" t="n">
        <f aca="false">-G6*Assumptions!G17/100</f>
        <v>-83248.384632</v>
      </c>
      <c r="H12" s="4" t="n">
        <f aca="false">-H6*Assumptions!H17/100</f>
        <v>-83248.384632</v>
      </c>
      <c r="I12" s="4" t="n">
        <f aca="false">-I6*Assumptions!I17/100</f>
        <v>-84080.86847832</v>
      </c>
      <c r="J12" s="4" t="n">
        <f aca="false">-J6*Assumptions!J17/100</f>
        <v>-85762.4858478864</v>
      </c>
      <c r="K12" s="4" t="n">
        <f aca="false">-K6*Assumptions!K17/100</f>
        <v>-87477.7355648441</v>
      </c>
      <c r="L12" s="4" t="n">
        <f aca="false">-L6*Assumptions!L17/100</f>
        <v>-89227.290276141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435046.25</v>
      </c>
      <c r="D13" s="0" t="n">
        <f aca="false">D11+D12</f>
        <v>425222.625</v>
      </c>
      <c r="E13" s="0" t="n">
        <f aca="false">E11+E12</f>
        <v>353785.224</v>
      </c>
      <c r="F13" s="0" t="n">
        <f aca="false">F11+F12</f>
        <v>262889.63568</v>
      </c>
      <c r="G13" s="0" t="n">
        <f aca="false">G11+G12</f>
        <v>225959.901144</v>
      </c>
      <c r="H13" s="0" t="n">
        <f aca="false">H11+H12</f>
        <v>225959.901144</v>
      </c>
      <c r="I13" s="0" t="n">
        <f aca="false">I11+I12</f>
        <v>240231.0527952</v>
      </c>
      <c r="J13" s="0" t="n">
        <f aca="false">J11+J12</f>
        <v>257287.457543659</v>
      </c>
      <c r="K13" s="0" t="n">
        <f aca="false">K11+K12</f>
        <v>262433.206694532</v>
      </c>
      <c r="L13" s="0" t="n">
        <f aca="false">L11+L12</f>
        <v>267681.870828423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23</v>
      </c>
      <c r="D14" s="4" t="n">
        <f aca="false">Assumptions!D19</f>
        <v>23</v>
      </c>
      <c r="E14" s="4" t="n">
        <f aca="false">Assumptions!E19</f>
        <v>23</v>
      </c>
      <c r="F14" s="4" t="n">
        <f aca="false">Assumptions!F19</f>
        <v>24</v>
      </c>
      <c r="G14" s="4" t="n">
        <f aca="false">Assumptions!G19</f>
        <v>24</v>
      </c>
      <c r="H14" s="4" t="n">
        <f aca="false">Assumptions!H19</f>
        <v>24</v>
      </c>
      <c r="I14" s="4" t="n">
        <f aca="false">Assumptions!I19</f>
        <v>24</v>
      </c>
      <c r="J14" s="4" t="n">
        <f aca="false">Assumptions!J19</f>
        <v>24</v>
      </c>
      <c r="K14" s="4" t="n">
        <f aca="false">Assumptions!K19</f>
        <v>24</v>
      </c>
      <c r="L14" s="4" t="n">
        <f aca="false">Assumptions!L19</f>
        <v>24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334985.6125</v>
      </c>
      <c r="D15" s="0" t="n">
        <f aca="false">D13-MAX(0,D13)*D14/100</f>
        <v>327421.42125</v>
      </c>
      <c r="E15" s="0" t="n">
        <f aca="false">E13-MAX(0,E13)*E14/100</f>
        <v>272414.62248</v>
      </c>
      <c r="F15" s="0" t="n">
        <f aca="false">F13-MAX(0,F13)*F14/100</f>
        <v>199796.1231168</v>
      </c>
      <c r="G15" s="0" t="n">
        <f aca="false">G13-MAX(0,G13)*G14/100</f>
        <v>171729.52486944</v>
      </c>
      <c r="H15" s="0" t="n">
        <f aca="false">H13-MAX(0,H13)*H14/100</f>
        <v>171729.52486944</v>
      </c>
      <c r="I15" s="0" t="n">
        <f aca="false">I13-MAX(0,I13)*I14/100</f>
        <v>182575.600124352</v>
      </c>
      <c r="J15" s="0" t="n">
        <f aca="false">J13-MAX(0,J13)*J14/100</f>
        <v>195538.467733181</v>
      </c>
      <c r="K15" s="0" t="n">
        <f aca="false">K13-MAX(0,K13)*K14/100</f>
        <v>199449.237087845</v>
      </c>
      <c r="L15" s="0" t="n">
        <f aca="false">L13-MAX(0,L13)*L14/100</f>
        <v>203438.221829602</v>
      </c>
    </row>
    <row r="16" customFormat="false" ht="15" hidden="false" customHeight="false" outlineLevel="0" collapsed="false">
      <c r="A16" s="0" t="s">
        <v>128</v>
      </c>
      <c r="C16" s="0" t="n">
        <f aca="false">-C12</f>
        <v>98236.25</v>
      </c>
      <c r="D16" s="0" t="n">
        <f aca="false">-D12</f>
        <v>99218.6125</v>
      </c>
      <c r="E16" s="0" t="n">
        <f aca="false">-E12</f>
        <v>95249.868</v>
      </c>
      <c r="F16" s="0" t="n">
        <f aca="false">-F12</f>
        <v>87629.87856</v>
      </c>
      <c r="G16" s="0" t="n">
        <f aca="false">-G12</f>
        <v>83248.384632</v>
      </c>
      <c r="H16" s="0" t="n">
        <f aca="false">-H12</f>
        <v>83248.384632</v>
      </c>
      <c r="I16" s="0" t="n">
        <f aca="false">-I12</f>
        <v>84080.86847832</v>
      </c>
      <c r="J16" s="0" t="n">
        <f aca="false">-J12</f>
        <v>85762.4858478864</v>
      </c>
      <c r="K16" s="0" t="n">
        <f aca="false">-K12</f>
        <v>87477.7355648441</v>
      </c>
      <c r="L16" s="0" t="n">
        <f aca="false">-L12</f>
        <v>89227.290276141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-210506.25</v>
      </c>
      <c r="D17" s="4" t="n">
        <f aca="false">-D6*Assumptions!D18/100</f>
        <v>-212611.3125</v>
      </c>
      <c r="E17" s="4" t="n">
        <f aca="false">-E6*Assumptions!E18/100</f>
        <v>-204106.86</v>
      </c>
      <c r="F17" s="4" t="n">
        <f aca="false">-F6*Assumptions!F18/100</f>
        <v>-187778.3112</v>
      </c>
      <c r="G17" s="4" t="n">
        <f aca="false">-G6*Assumptions!G18/100</f>
        <v>-178389.39564</v>
      </c>
      <c r="H17" s="4" t="n">
        <f aca="false">-H6*Assumptions!H18/100</f>
        <v>-178389.39564</v>
      </c>
      <c r="I17" s="4" t="n">
        <f aca="false">-I6*Assumptions!I18/100</f>
        <v>-180173.2895964</v>
      </c>
      <c r="J17" s="4" t="n">
        <f aca="false">-J6*Assumptions!J18/100</f>
        <v>-183776.755388328</v>
      </c>
      <c r="K17" s="4" t="n">
        <f aca="false">-K6*Assumptions!K18/100</f>
        <v>-187452.290496095</v>
      </c>
      <c r="L17" s="4" t="n">
        <f aca="false">-L6*Assumptions!L18/100</f>
        <v>-191201.336306016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-20437.5</v>
      </c>
      <c r="D18" s="4" t="n">
        <f aca="false">(D6-C6)*Assumptions!$B$23/100</f>
        <v>-7016.875</v>
      </c>
      <c r="E18" s="4" t="n">
        <f aca="false">(E6-D6)*Assumptions!$B$23/100</f>
        <v>28348.175</v>
      </c>
      <c r="F18" s="4" t="n">
        <f aca="false">(F6-E6)*Assumptions!$B$23/100</f>
        <v>54428.4959999999</v>
      </c>
      <c r="G18" s="4" t="n">
        <f aca="false">(G6-F6)*Assumptions!$B$23/100</f>
        <v>31296.3852</v>
      </c>
      <c r="H18" s="4" t="n">
        <f aca="false">(H6-G6)*Assumptions!$B$23/100</f>
        <v>-0</v>
      </c>
      <c r="I18" s="4" t="n">
        <f aca="false">(I6-H6)*Assumptions!$B$23/100</f>
        <v>-5946.313188</v>
      </c>
      <c r="J18" s="4" t="n">
        <f aca="false">(J6-I6)*Assumptions!$B$23/100</f>
        <v>-12011.55263976</v>
      </c>
      <c r="K18" s="4" t="n">
        <f aca="false">(K6-J6)*Assumptions!$B$23/100</f>
        <v>-12251.7836925552</v>
      </c>
      <c r="L18" s="4" t="n">
        <f aca="false">(L6-K6)*Assumptions!$B$23/100</f>
        <v>-12496.8193664063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202278.1125</v>
      </c>
      <c r="D19" s="0" t="n">
        <f aca="false">D15+D16+D17+D18</f>
        <v>207011.84625</v>
      </c>
      <c r="E19" s="0" t="n">
        <f aca="false">E15+E16+E17+E18</f>
        <v>191905.80548</v>
      </c>
      <c r="F19" s="0" t="n">
        <f aca="false">F15+F16+F17+F18</f>
        <v>154076.1864768</v>
      </c>
      <c r="G19" s="0" t="n">
        <f aca="false">G15+G16+G17+G18</f>
        <v>107884.89906144</v>
      </c>
      <c r="H19" s="0" t="n">
        <f aca="false">H15+H16+H17+H18</f>
        <v>76588.51386144</v>
      </c>
      <c r="I19" s="0" t="n">
        <f aca="false">I15+I16+I17+I18</f>
        <v>80536.8658182721</v>
      </c>
      <c r="J19" s="0" t="n">
        <f aca="false">J15+J16+J17+J18</f>
        <v>85512.6455529794</v>
      </c>
      <c r="K19" s="0" t="n">
        <f aca="false">K15+K16+K17+K18</f>
        <v>87222.898464039</v>
      </c>
      <c r="L19" s="0" t="n">
        <f aca="false">L15+L16+L17+L18</f>
        <v>88967.3564333198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189044.964953271</v>
      </c>
      <c r="D21" s="0" t="n">
        <f aca="false">D19*D20</f>
        <v>180812.16372609</v>
      </c>
      <c r="E21" s="0" t="n">
        <f aca="false">E19*E20</f>
        <v>156652.301576353</v>
      </c>
      <c r="F21" s="0" t="n">
        <f aca="false">F19*F20</f>
        <v>117543.984953692</v>
      </c>
      <c r="G21" s="0" t="n">
        <f aca="false">G19*G20</f>
        <v>76920.4420057973</v>
      </c>
      <c r="H21" s="0" t="n">
        <f aca="false">H19*H20</f>
        <v>51034.1606452337</v>
      </c>
      <c r="I21" s="0" t="n">
        <f aca="false">I19*I20</f>
        <v>50154.3124005229</v>
      </c>
      <c r="J21" s="0" t="n">
        <f aca="false">J19*J20</f>
        <v>49769.1382672771</v>
      </c>
      <c r="K21" s="0" t="n">
        <f aca="false">K19*K20</f>
        <v>47443.4776005819</v>
      </c>
      <c r="L21" s="0" t="n">
        <f aca="false">L19*L20</f>
        <v>45226.4926659752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1</v>
      </c>
      <c r="D23" s="4" t="n">
        <f aca="false">Assumptions!D16</f>
        <v>1</v>
      </c>
      <c r="E23" s="4" t="n">
        <f aca="false">Assumptions!E16</f>
        <v>1</v>
      </c>
      <c r="F23" s="4" t="n">
        <f aca="false">Assumptions!F16</f>
        <v>1</v>
      </c>
      <c r="G23" s="4" t="n">
        <f aca="false">Assumptions!G16</f>
        <v>1</v>
      </c>
      <c r="H23" s="4" t="n">
        <f aca="false">Assumptions!H16</f>
        <v>1</v>
      </c>
      <c r="I23" s="4" t="n">
        <f aca="false">Assumptions!I16</f>
        <v>1</v>
      </c>
      <c r="J23" s="4" t="n">
        <f aca="false">Assumptions!J16</f>
        <v>1</v>
      </c>
      <c r="K23" s="4" t="n">
        <f aca="false">Assumptions!K16</f>
        <v>1</v>
      </c>
      <c r="L23" s="4" t="n">
        <f aca="false">Assumptions!L16</f>
        <v>1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-28067.5</v>
      </c>
      <c r="D24" s="0" t="n">
        <f aca="false">-D6*D23/100</f>
        <v>-28348.175</v>
      </c>
      <c r="E24" s="0" t="n">
        <f aca="false">-E6*E23/100</f>
        <v>-27214.248</v>
      </c>
      <c r="F24" s="0" t="n">
        <f aca="false">-F6*F23/100</f>
        <v>-25037.10816</v>
      </c>
      <c r="G24" s="0" t="n">
        <f aca="false">-G6*G23/100</f>
        <v>-23785.252752</v>
      </c>
      <c r="H24" s="0" t="n">
        <f aca="false">-H6*H23/100</f>
        <v>-23785.252752</v>
      </c>
      <c r="I24" s="0" t="n">
        <f aca="false">-I6*I23/100</f>
        <v>-24023.10527952</v>
      </c>
      <c r="J24" s="0" t="n">
        <f aca="false">-J6*J23/100</f>
        <v>-24503.5673851104</v>
      </c>
      <c r="K24" s="0" t="n">
        <f aca="false">-K6*K23/100</f>
        <v>-24993.6387328126</v>
      </c>
      <c r="L24" s="0" t="n">
        <f aca="false">-L6*L23/100</f>
        <v>-25493.5115074689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7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1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964601.438794794</v>
      </c>
    </row>
    <row r="31" customFormat="false" ht="15" hidden="false" customHeight="false" outlineLevel="0" collapsed="false">
      <c r="A31" s="0" t="s">
        <v>137</v>
      </c>
      <c r="B31" s="0" t="n">
        <f aca="false">L19</f>
        <v>88967.3564333198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1497617.16662755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1334510.3464998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1334510.3464998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678397.389989628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1642998.82878442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2527579.82878442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4824.47267227151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-0.598462532478443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4824.47267227151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641835.928554664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3400.78458913262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91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6</v>
      </c>
      <c r="D5" s="4" t="n">
        <f aca="false">Assumptions!D27</f>
        <v>5</v>
      </c>
      <c r="E5" s="4" t="n">
        <f aca="false">Assumptions!E27</f>
        <v>2</v>
      </c>
      <c r="F5" s="4" t="n">
        <f aca="false">Assumptions!F27</f>
        <v>-2</v>
      </c>
      <c r="G5" s="4" t="n">
        <f aca="false">Assumptions!G27</f>
        <v>-1</v>
      </c>
      <c r="H5" s="4" t="n">
        <f aca="false">Assumptions!H27</f>
        <v>2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2725000</v>
      </c>
      <c r="C6" s="0" t="n">
        <f aca="false">B6*(1+C5/100)</f>
        <v>2888500</v>
      </c>
      <c r="D6" s="0" t="n">
        <f aca="false">C6*(1+D5/100)</f>
        <v>3032925</v>
      </c>
      <c r="E6" s="0" t="n">
        <f aca="false">D6*(1+E5/100)</f>
        <v>3093583.5</v>
      </c>
      <c r="F6" s="0" t="n">
        <f aca="false">E6*(1+F5/100)</f>
        <v>3031711.83</v>
      </c>
      <c r="G6" s="0" t="n">
        <f aca="false">F6*(1+G5/100)</f>
        <v>3001394.7117</v>
      </c>
      <c r="H6" s="0" t="n">
        <f aca="false">G6*(1+H5/100)</f>
        <v>3061422.605934</v>
      </c>
      <c r="I6" s="0" t="n">
        <f aca="false">H6*(1+I5/100)</f>
        <v>3153265.28411202</v>
      </c>
      <c r="J6" s="0" t="n">
        <f aca="false">I6*(1+J5/100)</f>
        <v>3247863.24263538</v>
      </c>
      <c r="K6" s="0" t="n">
        <f aca="false">J6*(1+K5/100)</f>
        <v>3329059.82370127</v>
      </c>
      <c r="L6" s="0" t="n">
        <f aca="false">K6*(1+L5/100)</f>
        <v>3412286.3192938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21</v>
      </c>
      <c r="D7" s="4" t="n">
        <f aca="false">Assumptions!D28</f>
        <v>21.3</v>
      </c>
      <c r="E7" s="4" t="n">
        <f aca="false">Assumptions!E28</f>
        <v>20</v>
      </c>
      <c r="F7" s="4" t="n">
        <f aca="false">Assumptions!F28</f>
        <v>18</v>
      </c>
      <c r="G7" s="4" t="n">
        <f aca="false">Assumptions!G28</f>
        <v>17</v>
      </c>
      <c r="H7" s="4" t="n">
        <f aca="false">Assumptions!H28</f>
        <v>17</v>
      </c>
      <c r="I7" s="4" t="n">
        <f aca="false">Assumptions!I28</f>
        <v>17.5</v>
      </c>
      <c r="J7" s="4" t="n">
        <f aca="false">Assumptions!J28</f>
        <v>18</v>
      </c>
      <c r="K7" s="4" t="n">
        <f aca="false">Assumptions!K28</f>
        <v>18</v>
      </c>
      <c r="L7" s="4" t="n">
        <f aca="false">Assumptions!L28</f>
        <v>18</v>
      </c>
    </row>
    <row r="8" customFormat="false" ht="15" hidden="false" customHeight="false" outlineLevel="0" collapsed="false">
      <c r="A8" s="0" t="s">
        <v>43</v>
      </c>
      <c r="C8" s="0" t="n">
        <f aca="false">C6*C7/100</f>
        <v>606585</v>
      </c>
      <c r="D8" s="0" t="n">
        <f aca="false">D6*D7/100</f>
        <v>646013.025</v>
      </c>
      <c r="E8" s="0" t="n">
        <f aca="false">E6*E7/100</f>
        <v>618716.7</v>
      </c>
      <c r="F8" s="0" t="n">
        <f aca="false">F6*F7/100</f>
        <v>545708.1294</v>
      </c>
      <c r="G8" s="0" t="n">
        <f aca="false">G6*G7/100</f>
        <v>510237.100989</v>
      </c>
      <c r="H8" s="0" t="n">
        <f aca="false">H6*H7/100</f>
        <v>520441.84300878</v>
      </c>
      <c r="I8" s="0" t="n">
        <f aca="false">I6*I7/100</f>
        <v>551821.424719604</v>
      </c>
      <c r="J8" s="0" t="n">
        <f aca="false">J6*J7/100</f>
        <v>584615.383674369</v>
      </c>
      <c r="K8" s="0" t="n">
        <f aca="false">K6*K7/100</f>
        <v>599230.768266228</v>
      </c>
      <c r="L8" s="0" t="n">
        <f aca="false">L6*L7/100</f>
        <v>614211.537472883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577700</v>
      </c>
      <c r="D11" s="0" t="n">
        <f aca="false">D8+D10+D24</f>
        <v>615683.775</v>
      </c>
      <c r="E11" s="0" t="n">
        <f aca="false">E8+E10+E24</f>
        <v>587780.865</v>
      </c>
      <c r="F11" s="0" t="n">
        <f aca="false">F8+F10+F24</f>
        <v>515391.0111</v>
      </c>
      <c r="G11" s="0" t="n">
        <f aca="false">G8+G10+G24</f>
        <v>480223.153872</v>
      </c>
      <c r="H11" s="0" t="n">
        <f aca="false">H8+H10+H24</f>
        <v>489827.61694944</v>
      </c>
      <c r="I11" s="0" t="n">
        <f aca="false">I8+I10+I24</f>
        <v>520288.771878483</v>
      </c>
      <c r="J11" s="0" t="n">
        <f aca="false">J8+J10+J24</f>
        <v>552136.751248015</v>
      </c>
      <c r="K11" s="0" t="n">
        <f aca="false">K8+K10+K24</f>
        <v>565940.170029215</v>
      </c>
      <c r="L11" s="0" t="n">
        <f aca="false">L8+L10+L24</f>
        <v>580088.674279945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-101097.5</v>
      </c>
      <c r="D12" s="4" t="n">
        <f aca="false">-D6*Assumptions!D31/100</f>
        <v>-106152.375</v>
      </c>
      <c r="E12" s="4" t="n">
        <f aca="false">-E6*Assumptions!E31/100</f>
        <v>-108275.4225</v>
      </c>
      <c r="F12" s="4" t="n">
        <f aca="false">-F6*Assumptions!F31/100</f>
        <v>-106109.91405</v>
      </c>
      <c r="G12" s="4" t="n">
        <f aca="false">-G6*Assumptions!G31/100</f>
        <v>-105048.8149095</v>
      </c>
      <c r="H12" s="4" t="n">
        <f aca="false">-H6*Assumptions!H31/100</f>
        <v>-107149.79120769</v>
      </c>
      <c r="I12" s="4" t="n">
        <f aca="false">-I6*Assumptions!I31/100</f>
        <v>-110364.284943921</v>
      </c>
      <c r="J12" s="4" t="n">
        <f aca="false">-J6*Assumptions!J31/100</f>
        <v>-113675.213492238</v>
      </c>
      <c r="K12" s="4" t="n">
        <f aca="false">-K6*Assumptions!K31/100</f>
        <v>-116517.093829544</v>
      </c>
      <c r="L12" s="4" t="n">
        <f aca="false">-L6*Assumptions!L31/100</f>
        <v>-119430.021175283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476602.5</v>
      </c>
      <c r="D13" s="0" t="n">
        <f aca="false">D11+D12</f>
        <v>509531.4</v>
      </c>
      <c r="E13" s="0" t="n">
        <f aca="false">E11+E12</f>
        <v>479505.4425</v>
      </c>
      <c r="F13" s="0" t="n">
        <f aca="false">F11+F12</f>
        <v>409281.09705</v>
      </c>
      <c r="G13" s="0" t="n">
        <f aca="false">G11+G12</f>
        <v>375174.3389625</v>
      </c>
      <c r="H13" s="0" t="n">
        <f aca="false">H11+H12</f>
        <v>382677.82574175</v>
      </c>
      <c r="I13" s="0" t="n">
        <f aca="false">I11+I12</f>
        <v>409924.486934563</v>
      </c>
      <c r="J13" s="0" t="n">
        <f aca="false">J11+J12</f>
        <v>438461.537755777</v>
      </c>
      <c r="K13" s="0" t="n">
        <f aca="false">K11+K12</f>
        <v>449423.076199671</v>
      </c>
      <c r="L13" s="0" t="n">
        <f aca="false">L11+L12</f>
        <v>460658.653104663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23</v>
      </c>
      <c r="D14" s="4" t="n">
        <f aca="false">Assumptions!D33</f>
        <v>23</v>
      </c>
      <c r="E14" s="4" t="n">
        <f aca="false">Assumptions!E33</f>
        <v>23</v>
      </c>
      <c r="F14" s="4" t="n">
        <f aca="false">Assumptions!F33</f>
        <v>24</v>
      </c>
      <c r="G14" s="4" t="n">
        <f aca="false">Assumptions!G33</f>
        <v>24</v>
      </c>
      <c r="H14" s="4" t="n">
        <f aca="false">Assumptions!H33</f>
        <v>24</v>
      </c>
      <c r="I14" s="4" t="n">
        <f aca="false">Assumptions!I33</f>
        <v>24</v>
      </c>
      <c r="J14" s="4" t="n">
        <f aca="false">Assumptions!J33</f>
        <v>24</v>
      </c>
      <c r="K14" s="4" t="n">
        <f aca="false">Assumptions!K33</f>
        <v>24</v>
      </c>
      <c r="L14" s="4" t="n">
        <f aca="false">Assumptions!L33</f>
        <v>24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366983.925</v>
      </c>
      <c r="D15" s="0" t="n">
        <f aca="false">D13-MAX(0,D13)*D14/100</f>
        <v>392339.178</v>
      </c>
      <c r="E15" s="0" t="n">
        <f aca="false">E13-MAX(0,E13)*E14/100</f>
        <v>369219.190725</v>
      </c>
      <c r="F15" s="0" t="n">
        <f aca="false">F13-MAX(0,F13)*F14/100</f>
        <v>311053.633758</v>
      </c>
      <c r="G15" s="0" t="n">
        <f aca="false">G13-MAX(0,G13)*G14/100</f>
        <v>285132.4976115</v>
      </c>
      <c r="H15" s="0" t="n">
        <f aca="false">H13-MAX(0,H13)*H14/100</f>
        <v>290835.14756373</v>
      </c>
      <c r="I15" s="0" t="n">
        <f aca="false">I13-MAX(0,I13)*I14/100</f>
        <v>311542.610070268</v>
      </c>
      <c r="J15" s="0" t="n">
        <f aca="false">J13-MAX(0,J13)*J14/100</f>
        <v>333230.76869439</v>
      </c>
      <c r="K15" s="0" t="n">
        <f aca="false">K13-MAX(0,K13)*K14/100</f>
        <v>341561.53791175</v>
      </c>
      <c r="L15" s="0" t="n">
        <f aca="false">L13-MAX(0,L13)*L14/100</f>
        <v>350100.576359544</v>
      </c>
    </row>
    <row r="16" customFormat="false" ht="15" hidden="false" customHeight="false" outlineLevel="0" collapsed="false">
      <c r="A16" s="0" t="s">
        <v>128</v>
      </c>
      <c r="C16" s="0" t="n">
        <f aca="false">-C12</f>
        <v>101097.5</v>
      </c>
      <c r="D16" s="0" t="n">
        <f aca="false">-D12</f>
        <v>106152.375</v>
      </c>
      <c r="E16" s="0" t="n">
        <f aca="false">-E12</f>
        <v>108275.4225</v>
      </c>
      <c r="F16" s="0" t="n">
        <f aca="false">-F12</f>
        <v>106109.91405</v>
      </c>
      <c r="G16" s="0" t="n">
        <f aca="false">-G12</f>
        <v>105048.8149095</v>
      </c>
      <c r="H16" s="0" t="n">
        <f aca="false">-H12</f>
        <v>107149.79120769</v>
      </c>
      <c r="I16" s="0" t="n">
        <f aca="false">-I12</f>
        <v>110364.284943921</v>
      </c>
      <c r="J16" s="0" t="n">
        <f aca="false">-J12</f>
        <v>113675.213492238</v>
      </c>
      <c r="K16" s="0" t="n">
        <f aca="false">-K12</f>
        <v>116517.093829544</v>
      </c>
      <c r="L16" s="0" t="n">
        <f aca="false">-L12</f>
        <v>119430.021175283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-202195</v>
      </c>
      <c r="D17" s="4" t="n">
        <f aca="false">-D6*Assumptions!D32/100</f>
        <v>-212304.75</v>
      </c>
      <c r="E17" s="4" t="n">
        <f aca="false">-E6*Assumptions!E32/100</f>
        <v>-216550.845</v>
      </c>
      <c r="F17" s="4" t="n">
        <f aca="false">-F6*Assumptions!F32/100</f>
        <v>-212219.8281</v>
      </c>
      <c r="G17" s="4" t="n">
        <f aca="false">-G6*Assumptions!G32/100</f>
        <v>-210097.629819</v>
      </c>
      <c r="H17" s="4" t="n">
        <f aca="false">-H6*Assumptions!H32/100</f>
        <v>-214299.58241538</v>
      </c>
      <c r="I17" s="4" t="n">
        <f aca="false">-I6*Assumptions!I32/100</f>
        <v>-220728.569887841</v>
      </c>
      <c r="J17" s="4" t="n">
        <f aca="false">-J6*Assumptions!J32/100</f>
        <v>-227350.426984477</v>
      </c>
      <c r="K17" s="4" t="n">
        <f aca="false">-K6*Assumptions!K32/100</f>
        <v>-233034.187659089</v>
      </c>
      <c r="L17" s="4" t="n">
        <f aca="false">-L6*Assumptions!L32/100</f>
        <v>-238860.042350566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-40875</v>
      </c>
      <c r="D18" s="4" t="n">
        <f aca="false">(D6-C6)*Assumptions!$B$37/100</f>
        <v>-36106.25</v>
      </c>
      <c r="E18" s="4" t="n">
        <f aca="false">(E6-D6)*Assumptions!$B$37/100</f>
        <v>-15164.625</v>
      </c>
      <c r="F18" s="4" t="n">
        <f aca="false">(F6-E6)*Assumptions!$B$37/100</f>
        <v>15467.9175</v>
      </c>
      <c r="G18" s="4" t="n">
        <f aca="false">(G6-F6)*Assumptions!$B$37/100</f>
        <v>7579.27957500005</v>
      </c>
      <c r="H18" s="4" t="n">
        <f aca="false">(H6-G6)*Assumptions!$B$37/100</f>
        <v>-15006.9735585001</v>
      </c>
      <c r="I18" s="4" t="n">
        <f aca="false">(I6-H6)*Assumptions!$B$37/100</f>
        <v>-22960.6695445051</v>
      </c>
      <c r="J18" s="4" t="n">
        <f aca="false">(J6-I6)*Assumptions!$B$37/100</f>
        <v>-23649.4896308401</v>
      </c>
      <c r="K18" s="4" t="n">
        <f aca="false">(K6-J6)*Assumptions!$B$37/100</f>
        <v>-20299.1452664711</v>
      </c>
      <c r="L18" s="4" t="n">
        <f aca="false">(L6-K6)*Assumptions!$B$37/100</f>
        <v>-20806.6238981328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225011.425</v>
      </c>
      <c r="D19" s="0" t="n">
        <f aca="false">D15+D16+D17+D18</f>
        <v>250080.553</v>
      </c>
      <c r="E19" s="0" t="n">
        <f aca="false">E15+E16+E17+E18</f>
        <v>245779.143225</v>
      </c>
      <c r="F19" s="0" t="n">
        <f aca="false">F15+F16+F17+F18</f>
        <v>220411.637208</v>
      </c>
      <c r="G19" s="0" t="n">
        <f aca="false">G15+G16+G17+G18</f>
        <v>187662.962277</v>
      </c>
      <c r="H19" s="0" t="n">
        <f aca="false">H15+H16+H17+H18</f>
        <v>168678.38279754</v>
      </c>
      <c r="I19" s="0" t="n">
        <f aca="false">I15+I16+I17+I18</f>
        <v>178217.655581842</v>
      </c>
      <c r="J19" s="0" t="n">
        <f aca="false">J15+J16+J17+J18</f>
        <v>195906.065571312</v>
      </c>
      <c r="K19" s="0" t="n">
        <f aca="false">K15+K16+K17+K18</f>
        <v>204745.298815735</v>
      </c>
      <c r="L19" s="0" t="n">
        <f aca="false">L15+L16+L17+L18</f>
        <v>209863.931286128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210291.051401869</v>
      </c>
      <c r="D21" s="0" t="n">
        <f aca="false">D19*D20</f>
        <v>218430.040178182</v>
      </c>
      <c r="E21" s="0" t="n">
        <f aca="false">E19*E20</f>
        <v>200628.99279862</v>
      </c>
      <c r="F21" s="0" t="n">
        <f aca="false">F19*F20</f>
        <v>168150.982705539</v>
      </c>
      <c r="G21" s="0" t="n">
        <f aca="false">G19*G20</f>
        <v>133801.098504466</v>
      </c>
      <c r="H21" s="0" t="n">
        <f aca="false">H19*H20</f>
        <v>112397.528703086</v>
      </c>
      <c r="I21" s="0" t="n">
        <f aca="false">I19*I20</f>
        <v>110984.999012869</v>
      </c>
      <c r="J21" s="0" t="n">
        <f aca="false">J19*J20</f>
        <v>114019.113802019</v>
      </c>
      <c r="K21" s="0" t="n">
        <f aca="false">K19*K20</f>
        <v>111367.876661352</v>
      </c>
      <c r="L21" s="0" t="n">
        <f aca="false">L19*L20</f>
        <v>106684.180913912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1</v>
      </c>
      <c r="D23" s="4" t="n">
        <f aca="false">Assumptions!D30</f>
        <v>1</v>
      </c>
      <c r="E23" s="4" t="n">
        <f aca="false">Assumptions!E30</f>
        <v>1</v>
      </c>
      <c r="F23" s="4" t="n">
        <f aca="false">Assumptions!F30</f>
        <v>1</v>
      </c>
      <c r="G23" s="4" t="n">
        <f aca="false">Assumptions!G30</f>
        <v>1</v>
      </c>
      <c r="H23" s="4" t="n">
        <f aca="false">Assumptions!H30</f>
        <v>1</v>
      </c>
      <c r="I23" s="4" t="n">
        <f aca="false">Assumptions!I30</f>
        <v>1</v>
      </c>
      <c r="J23" s="4" t="n">
        <f aca="false">Assumptions!J30</f>
        <v>1</v>
      </c>
      <c r="K23" s="4" t="n">
        <f aca="false">Assumptions!K30</f>
        <v>1</v>
      </c>
      <c r="L23" s="4" t="n">
        <f aca="false">Assumptions!L30</f>
        <v>1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-28885</v>
      </c>
      <c r="D24" s="0" t="n">
        <f aca="false">-D6*D23/100</f>
        <v>-30329.25</v>
      </c>
      <c r="E24" s="0" t="n">
        <f aca="false">-E6*E23/100</f>
        <v>-30935.835</v>
      </c>
      <c r="F24" s="0" t="n">
        <f aca="false">-F6*F23/100</f>
        <v>-30317.1183</v>
      </c>
      <c r="G24" s="0" t="n">
        <f aca="false">-G6*G23/100</f>
        <v>-30013.947117</v>
      </c>
      <c r="H24" s="0" t="n">
        <f aca="false">-H6*H23/100</f>
        <v>-30614.22605934</v>
      </c>
      <c r="I24" s="0" t="n">
        <f aca="false">-I6*I23/100</f>
        <v>-31532.6528411202</v>
      </c>
      <c r="J24" s="0" t="n">
        <f aca="false">-J6*J23/100</f>
        <v>-32478.6324263538</v>
      </c>
      <c r="K24" s="0" t="n">
        <f aca="false">-K6*K23/100</f>
        <v>-33290.5982370127</v>
      </c>
      <c r="L24" s="0" t="n">
        <f aca="false">-L6*L23/100</f>
        <v>-34122.863192938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7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1.5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1486755.86468191</v>
      </c>
    </row>
    <row r="31" customFormat="false" ht="15" hidden="false" customHeight="false" outlineLevel="0" collapsed="false">
      <c r="A31" s="0" t="s">
        <v>137</v>
      </c>
      <c r="B31" s="0" t="n">
        <f aca="false">L19</f>
        <v>209863.931286128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3872943.45918945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3147958.96929192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3147958.96929192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1600262.71370868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3087018.5783906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3971599.5783906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7580.71947439359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-0.369062049571903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7580.71947439359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1577865.85374385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4493.78950365336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91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8</v>
      </c>
      <c r="D5" s="4" t="n">
        <f aca="false">Assumptions!D41</f>
        <v>7</v>
      </c>
      <c r="E5" s="4" t="n">
        <f aca="false">Assumptions!E41</f>
        <v>5</v>
      </c>
      <c r="F5" s="4" t="n">
        <f aca="false">Assumptions!F41</f>
        <v>2</v>
      </c>
      <c r="G5" s="4" t="n">
        <f aca="false">Assumptions!G41</f>
        <v>2</v>
      </c>
      <c r="H5" s="4" t="n">
        <f aca="false">Assumptions!H41</f>
        <v>4</v>
      </c>
      <c r="I5" s="4" t="n">
        <f aca="false">Assumptions!I41</f>
        <v>4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2725000</v>
      </c>
      <c r="C6" s="0" t="n">
        <f aca="false">B6*(1+C5/100)</f>
        <v>2943000</v>
      </c>
      <c r="D6" s="0" t="n">
        <f aca="false">C6*(1+D5/100)</f>
        <v>3149010</v>
      </c>
      <c r="E6" s="0" t="n">
        <f aca="false">D6*(1+E5/100)</f>
        <v>3306460.5</v>
      </c>
      <c r="F6" s="0" t="n">
        <f aca="false">E6*(1+F5/100)</f>
        <v>3372589.71</v>
      </c>
      <c r="G6" s="0" t="n">
        <f aca="false">F6*(1+G5/100)</f>
        <v>3440041.5042</v>
      </c>
      <c r="H6" s="0" t="n">
        <f aca="false">G6*(1+H5/100)</f>
        <v>3577643.164368</v>
      </c>
      <c r="I6" s="0" t="n">
        <f aca="false">H6*(1+I5/100)</f>
        <v>3720748.89094272</v>
      </c>
      <c r="J6" s="0" t="n">
        <f aca="false">I6*(1+J5/100)</f>
        <v>3869578.84658043</v>
      </c>
      <c r="K6" s="0" t="n">
        <f aca="false">J6*(1+K5/100)</f>
        <v>4005014.10621074</v>
      </c>
      <c r="L6" s="0" t="n">
        <f aca="false">K6*(1+L5/100)</f>
        <v>4125164.52939707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21.5</v>
      </c>
      <c r="D7" s="4" t="n">
        <f aca="false">Assumptions!D42</f>
        <v>22</v>
      </c>
      <c r="E7" s="4" t="n">
        <f aca="false">Assumptions!E42</f>
        <v>22</v>
      </c>
      <c r="F7" s="4" t="n">
        <f aca="false">Assumptions!F42</f>
        <v>21</v>
      </c>
      <c r="G7" s="4" t="n">
        <f aca="false">Assumptions!G42</f>
        <v>20.5</v>
      </c>
      <c r="H7" s="4" t="n">
        <f aca="false">Assumptions!H42</f>
        <v>21</v>
      </c>
      <c r="I7" s="4" t="n">
        <f aca="false">Assumptions!I42</f>
        <v>21.5</v>
      </c>
      <c r="J7" s="4" t="n">
        <f aca="false">Assumptions!J42</f>
        <v>22</v>
      </c>
      <c r="K7" s="4" t="n">
        <f aca="false">Assumptions!K42</f>
        <v>22</v>
      </c>
      <c r="L7" s="4" t="n">
        <f aca="false">Assumptions!L42</f>
        <v>22</v>
      </c>
    </row>
    <row r="8" customFormat="false" ht="15" hidden="false" customHeight="false" outlineLevel="0" collapsed="false">
      <c r="A8" s="0" t="s">
        <v>43</v>
      </c>
      <c r="C8" s="0" t="n">
        <f aca="false">C6*C7/100</f>
        <v>632745</v>
      </c>
      <c r="D8" s="0" t="n">
        <f aca="false">D6*D7/100</f>
        <v>692782.2</v>
      </c>
      <c r="E8" s="0" t="n">
        <f aca="false">E6*E7/100</f>
        <v>727421.31</v>
      </c>
      <c r="F8" s="0" t="n">
        <f aca="false">F6*F7/100</f>
        <v>708243.8391</v>
      </c>
      <c r="G8" s="0" t="n">
        <f aca="false">G6*G7/100</f>
        <v>705208.508361</v>
      </c>
      <c r="H8" s="0" t="n">
        <f aca="false">H6*H7/100</f>
        <v>751305.06451728</v>
      </c>
      <c r="I8" s="0" t="n">
        <f aca="false">I6*I7/100</f>
        <v>799961.011552685</v>
      </c>
      <c r="J8" s="0" t="n">
        <f aca="false">J6*J7/100</f>
        <v>851307.346247694</v>
      </c>
      <c r="K8" s="0" t="n">
        <f aca="false">K6*K7/100</f>
        <v>881103.103366364</v>
      </c>
      <c r="L8" s="0" t="n">
        <f aca="false">L6*L7/100</f>
        <v>907536.196467354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603315</v>
      </c>
      <c r="D11" s="0" t="n">
        <f aca="false">D8+D10+D24</f>
        <v>661292.1</v>
      </c>
      <c r="E11" s="0" t="n">
        <f aca="false">E8+E10+E24</f>
        <v>694356.705</v>
      </c>
      <c r="F11" s="0" t="n">
        <f aca="false">F8+F10+F24</f>
        <v>674517.942</v>
      </c>
      <c r="G11" s="0" t="n">
        <f aca="false">G8+G10+G24</f>
        <v>670808.093319</v>
      </c>
      <c r="H11" s="0" t="n">
        <f aca="false">H8+H10+H24</f>
        <v>715528.6328736</v>
      </c>
      <c r="I11" s="0" t="n">
        <f aca="false">I8+I10+I24</f>
        <v>762753.522643258</v>
      </c>
      <c r="J11" s="0" t="n">
        <f aca="false">J8+J10+J24</f>
        <v>812611.55778189</v>
      </c>
      <c r="K11" s="0" t="n">
        <f aca="false">K8+K10+K24</f>
        <v>841052.962304256</v>
      </c>
      <c r="L11" s="0" t="n">
        <f aca="false">L8+L10+L24</f>
        <v>866284.551173384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-103005</v>
      </c>
      <c r="D12" s="4" t="n">
        <f aca="false">-D6*Assumptions!D45/100</f>
        <v>-110215.35</v>
      </c>
      <c r="E12" s="4" t="n">
        <f aca="false">-E6*Assumptions!E45/100</f>
        <v>-115726.1175</v>
      </c>
      <c r="F12" s="4" t="n">
        <f aca="false">-F6*Assumptions!F45/100</f>
        <v>-118040.63985</v>
      </c>
      <c r="G12" s="4" t="n">
        <f aca="false">-G6*Assumptions!G45/100</f>
        <v>-120401.452647</v>
      </c>
      <c r="H12" s="4" t="n">
        <f aca="false">-H6*Assumptions!H45/100</f>
        <v>-125217.51075288</v>
      </c>
      <c r="I12" s="4" t="n">
        <f aca="false">-I6*Assumptions!I45/100</f>
        <v>-130226.211182995</v>
      </c>
      <c r="J12" s="4" t="n">
        <f aca="false">-J6*Assumptions!J45/100</f>
        <v>-135435.259630315</v>
      </c>
      <c r="K12" s="4" t="n">
        <f aca="false">-K6*Assumptions!K45/100</f>
        <v>-140175.493717376</v>
      </c>
      <c r="L12" s="4" t="n">
        <f aca="false">-L6*Assumptions!L45/100</f>
        <v>-144380.758528897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500310</v>
      </c>
      <c r="D13" s="0" t="n">
        <f aca="false">D11+D12</f>
        <v>551076.75</v>
      </c>
      <c r="E13" s="0" t="n">
        <f aca="false">E11+E12</f>
        <v>578630.5875</v>
      </c>
      <c r="F13" s="0" t="n">
        <f aca="false">F11+F12</f>
        <v>556477.30215</v>
      </c>
      <c r="G13" s="0" t="n">
        <f aca="false">G11+G12</f>
        <v>550406.640672</v>
      </c>
      <c r="H13" s="0" t="n">
        <f aca="false">H11+H12</f>
        <v>590311.12212072</v>
      </c>
      <c r="I13" s="0" t="n">
        <f aca="false">I11+I12</f>
        <v>632527.311460263</v>
      </c>
      <c r="J13" s="0" t="n">
        <f aca="false">J11+J12</f>
        <v>677176.298151575</v>
      </c>
      <c r="K13" s="0" t="n">
        <f aca="false">K11+K12</f>
        <v>700877.46858688</v>
      </c>
      <c r="L13" s="0" t="n">
        <f aca="false">L11+L12</f>
        <v>721903.792644486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23</v>
      </c>
      <c r="D14" s="4" t="n">
        <f aca="false">Assumptions!D47</f>
        <v>23</v>
      </c>
      <c r="E14" s="4" t="n">
        <f aca="false">Assumptions!E47</f>
        <v>23</v>
      </c>
      <c r="F14" s="4" t="n">
        <f aca="false">Assumptions!F47</f>
        <v>24</v>
      </c>
      <c r="G14" s="4" t="n">
        <f aca="false">Assumptions!G47</f>
        <v>24</v>
      </c>
      <c r="H14" s="4" t="n">
        <f aca="false">Assumptions!H47</f>
        <v>24</v>
      </c>
      <c r="I14" s="4" t="n">
        <f aca="false">Assumptions!I47</f>
        <v>24</v>
      </c>
      <c r="J14" s="4" t="n">
        <f aca="false">Assumptions!J47</f>
        <v>24</v>
      </c>
      <c r="K14" s="4" t="n">
        <f aca="false">Assumptions!K47</f>
        <v>24</v>
      </c>
      <c r="L14" s="4" t="n">
        <f aca="false">Assumptions!L47</f>
        <v>24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385238.7</v>
      </c>
      <c r="D15" s="0" t="n">
        <f aca="false">D13-MAX(0,D13)*D14/100</f>
        <v>424329.0975</v>
      </c>
      <c r="E15" s="0" t="n">
        <f aca="false">E13-MAX(0,E13)*E14/100</f>
        <v>445545.552375</v>
      </c>
      <c r="F15" s="0" t="n">
        <f aca="false">F13-MAX(0,F13)*F14/100</f>
        <v>422922.749634</v>
      </c>
      <c r="G15" s="0" t="n">
        <f aca="false">G13-MAX(0,G13)*G14/100</f>
        <v>418309.04691072</v>
      </c>
      <c r="H15" s="0" t="n">
        <f aca="false">H13-MAX(0,H13)*H14/100</f>
        <v>448636.452811747</v>
      </c>
      <c r="I15" s="0" t="n">
        <f aca="false">I13-MAX(0,I13)*I14/100</f>
        <v>480720.7567098</v>
      </c>
      <c r="J15" s="0" t="n">
        <f aca="false">J13-MAX(0,J13)*J14/100</f>
        <v>514653.986595197</v>
      </c>
      <c r="K15" s="0" t="n">
        <f aca="false">K13-MAX(0,K13)*K14/100</f>
        <v>532666.876126029</v>
      </c>
      <c r="L15" s="0" t="n">
        <f aca="false">L13-MAX(0,L13)*L14/100</f>
        <v>548646.88240981</v>
      </c>
    </row>
    <row r="16" customFormat="false" ht="15" hidden="false" customHeight="false" outlineLevel="0" collapsed="false">
      <c r="A16" s="0" t="s">
        <v>128</v>
      </c>
      <c r="C16" s="0" t="n">
        <f aca="false">-C12</f>
        <v>103005</v>
      </c>
      <c r="D16" s="0" t="n">
        <f aca="false">-D12</f>
        <v>110215.35</v>
      </c>
      <c r="E16" s="0" t="n">
        <f aca="false">-E12</f>
        <v>115726.1175</v>
      </c>
      <c r="F16" s="0" t="n">
        <f aca="false">-F12</f>
        <v>118040.63985</v>
      </c>
      <c r="G16" s="0" t="n">
        <f aca="false">-G12</f>
        <v>120401.452647</v>
      </c>
      <c r="H16" s="0" t="n">
        <f aca="false">-H12</f>
        <v>125217.51075288</v>
      </c>
      <c r="I16" s="0" t="n">
        <f aca="false">-I12</f>
        <v>130226.211182995</v>
      </c>
      <c r="J16" s="0" t="n">
        <f aca="false">-J12</f>
        <v>135435.259630315</v>
      </c>
      <c r="K16" s="0" t="n">
        <f aca="false">-K12</f>
        <v>140175.493717376</v>
      </c>
      <c r="L16" s="0" t="n">
        <f aca="false">-L12</f>
        <v>144380.758528897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-191295</v>
      </c>
      <c r="D17" s="4" t="n">
        <f aca="false">-D6*Assumptions!D46/100</f>
        <v>-204685.65</v>
      </c>
      <c r="E17" s="4" t="n">
        <f aca="false">-E6*Assumptions!E46/100</f>
        <v>-214919.9325</v>
      </c>
      <c r="F17" s="4" t="n">
        <f aca="false">-F6*Assumptions!F46/100</f>
        <v>-219218.33115</v>
      </c>
      <c r="G17" s="4" t="n">
        <f aca="false">-G6*Assumptions!G46/100</f>
        <v>-223602.697773</v>
      </c>
      <c r="H17" s="4" t="n">
        <f aca="false">-H6*Assumptions!H46/100</f>
        <v>-232546.80568392</v>
      </c>
      <c r="I17" s="4" t="n">
        <f aca="false">-I6*Assumptions!I46/100</f>
        <v>-241848.677911277</v>
      </c>
      <c r="J17" s="4" t="n">
        <f aca="false">-J6*Assumptions!J46/100</f>
        <v>-251522.625027728</v>
      </c>
      <c r="K17" s="4" t="n">
        <f aca="false">-K6*Assumptions!K46/100</f>
        <v>-260325.916903698</v>
      </c>
      <c r="L17" s="4" t="n">
        <f aca="false">-L6*Assumptions!L46/100</f>
        <v>-268135.694410809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-43600</v>
      </c>
      <c r="D18" s="4" t="n">
        <f aca="false">(D6-C6)*Assumptions!$B$51/100</f>
        <v>-41202</v>
      </c>
      <c r="E18" s="4" t="n">
        <f aca="false">(E6-D6)*Assumptions!$B$51/100</f>
        <v>-31490.1</v>
      </c>
      <c r="F18" s="4" t="n">
        <f aca="false">(F6-E6)*Assumptions!$B$51/100</f>
        <v>-13225.842</v>
      </c>
      <c r="G18" s="4" t="n">
        <f aca="false">(G6-F6)*Assumptions!$B$51/100</f>
        <v>-13490.35884</v>
      </c>
      <c r="H18" s="4" t="n">
        <f aca="false">(H6-G6)*Assumptions!$B$51/100</f>
        <v>-27520.3320336</v>
      </c>
      <c r="I18" s="4" t="n">
        <f aca="false">(I6-H6)*Assumptions!$B$51/100</f>
        <v>-28621.1453149441</v>
      </c>
      <c r="J18" s="4" t="n">
        <f aca="false">(J6-I6)*Assumptions!$B$51/100</f>
        <v>-29765.9911275418</v>
      </c>
      <c r="K18" s="4" t="n">
        <f aca="false">(K6-J6)*Assumptions!$B$51/100</f>
        <v>-27087.0519260629</v>
      </c>
      <c r="L18" s="4" t="n">
        <f aca="false">(L6-K6)*Assumptions!$B$51/100</f>
        <v>-24030.0846372644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253348.7</v>
      </c>
      <c r="D19" s="0" t="n">
        <f aca="false">D15+D16+D17+D18</f>
        <v>288656.7975</v>
      </c>
      <c r="E19" s="0" t="n">
        <f aca="false">E15+E16+E17+E18</f>
        <v>314861.637375</v>
      </c>
      <c r="F19" s="0" t="n">
        <f aca="false">F15+F16+F17+F18</f>
        <v>308519.216334</v>
      </c>
      <c r="G19" s="0" t="n">
        <f aca="false">G15+G16+G17+G18</f>
        <v>301617.44294472</v>
      </c>
      <c r="H19" s="0" t="n">
        <f aca="false">H15+H16+H17+H18</f>
        <v>313786.825847107</v>
      </c>
      <c r="I19" s="0" t="n">
        <f aca="false">I15+I16+I17+I18</f>
        <v>340477.144666574</v>
      </c>
      <c r="J19" s="0" t="n">
        <f aca="false">J15+J16+J17+J18</f>
        <v>368800.630070242</v>
      </c>
      <c r="K19" s="0" t="n">
        <f aca="false">K15+K16+K17+K18</f>
        <v>385429.401013644</v>
      </c>
      <c r="L19" s="0" t="n">
        <f aca="false">L15+L16+L17+L18</f>
        <v>400861.861890633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236774.485981308</v>
      </c>
      <c r="D21" s="0" t="n">
        <f aca="false">D19*D20</f>
        <v>252124.026115818</v>
      </c>
      <c r="E21" s="0" t="n">
        <f aca="false">E19*E20</f>
        <v>257020.88610359</v>
      </c>
      <c r="F21" s="0" t="n">
        <f aca="false">F19*F20</f>
        <v>235367.832965863</v>
      </c>
      <c r="G21" s="0" t="n">
        <f aca="false">G19*G20</f>
        <v>215049.068310789</v>
      </c>
      <c r="H21" s="0" t="n">
        <f aca="false">H19*H20</f>
        <v>209089.411339286</v>
      </c>
      <c r="I21" s="0" t="n">
        <f aca="false">I19*I20</f>
        <v>212032.053958711</v>
      </c>
      <c r="J21" s="0" t="n">
        <f aca="false">J19*J20</f>
        <v>214645.324470204</v>
      </c>
      <c r="K21" s="0" t="n">
        <f aca="false">K19*K20</f>
        <v>209648.056595318</v>
      </c>
      <c r="L21" s="0" t="n">
        <f aca="false">L19*L20</f>
        <v>203777.843735908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1</v>
      </c>
      <c r="D23" s="4" t="n">
        <f aca="false">Assumptions!D44</f>
        <v>1</v>
      </c>
      <c r="E23" s="4" t="n">
        <f aca="false">Assumptions!E44</f>
        <v>1</v>
      </c>
      <c r="F23" s="4" t="n">
        <f aca="false">Assumptions!F44</f>
        <v>1</v>
      </c>
      <c r="G23" s="4" t="n">
        <f aca="false">Assumptions!G44</f>
        <v>1</v>
      </c>
      <c r="H23" s="4" t="n">
        <f aca="false">Assumptions!H44</f>
        <v>1</v>
      </c>
      <c r="I23" s="4" t="n">
        <f aca="false">Assumptions!I44</f>
        <v>1</v>
      </c>
      <c r="J23" s="4" t="n">
        <f aca="false">Assumptions!J44</f>
        <v>1</v>
      </c>
      <c r="K23" s="4" t="n">
        <f aca="false">Assumptions!K44</f>
        <v>1</v>
      </c>
      <c r="L23" s="4" t="n">
        <f aca="false">Assumptions!L44</f>
        <v>1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-29430</v>
      </c>
      <c r="D24" s="0" t="n">
        <f aca="false">-D6*D23/100</f>
        <v>-31490.1</v>
      </c>
      <c r="E24" s="0" t="n">
        <f aca="false">-E6*E23/100</f>
        <v>-33064.605</v>
      </c>
      <c r="F24" s="0" t="n">
        <f aca="false">-F6*F23/100</f>
        <v>-33725.8971</v>
      </c>
      <c r="G24" s="0" t="n">
        <f aca="false">-G6*G23/100</f>
        <v>-34400.415042</v>
      </c>
      <c r="H24" s="0" t="n">
        <f aca="false">-H6*H23/100</f>
        <v>-35776.43164368</v>
      </c>
      <c r="I24" s="0" t="n">
        <f aca="false">-I6*I23/100</f>
        <v>-37207.4889094272</v>
      </c>
      <c r="J24" s="0" t="n">
        <f aca="false">-J6*J23/100</f>
        <v>-38695.7884658043</v>
      </c>
      <c r="K24" s="0" t="n">
        <f aca="false">-K6*K23/100</f>
        <v>-40050.1410621074</v>
      </c>
      <c r="L24" s="0" t="n">
        <f aca="false">-L6*L23/100</f>
        <v>-41251.6452939707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7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2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2245528.9895768</v>
      </c>
    </row>
    <row r="31" customFormat="false" ht="15" hidden="false" customHeight="false" outlineLevel="0" collapsed="false">
      <c r="A31" s="0" t="s">
        <v>137</v>
      </c>
      <c r="B31" s="0" t="n">
        <f aca="false">L19</f>
        <v>400861.861890633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8177581.98256892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6012927.9283595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6012927.9283595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3056667.65603862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5302196.64561542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6186777.64561542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11808.9008864446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-0.0171534842742734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11808.9008864446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3145223.83944958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6159.19283644945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4824.47267227151</v>
      </c>
      <c r="C4" s="0" t="n">
        <f aca="false">B4/Assumptions!$B$2-1</f>
        <v>-0.598462532478443</v>
      </c>
      <c r="D4" s="4" t="n">
        <f aca="false">Assumptions!$B$24</f>
        <v>0.3</v>
      </c>
      <c r="E4" s="4" t="n">
        <f aca="false">DCF_Bear!$B$43</f>
        <v>4824.47267227151</v>
      </c>
      <c r="F4" s="4" t="n">
        <f aca="false">DCF_Bear!$B$47</f>
        <v>3400.78458913262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7580.71947439359</v>
      </c>
      <c r="C5" s="0" t="n">
        <f aca="false">B5/Assumptions!$B$2-1</f>
        <v>-0.369062049571903</v>
      </c>
      <c r="D5" s="4" t="n">
        <f aca="false">Assumptions!$B$38</f>
        <v>0.5</v>
      </c>
      <c r="E5" s="4" t="n">
        <f aca="false">DCF_Base!$B$43</f>
        <v>7580.71947439359</v>
      </c>
      <c r="F5" s="4" t="n">
        <f aca="false">DCF_Base!$B$47</f>
        <v>4493.78950365336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11808.9008864446</v>
      </c>
      <c r="C6" s="0" t="n">
        <f aca="false">B6/Assumptions!$B$2-1</f>
        <v>-0.0171534842742734</v>
      </c>
      <c r="D6" s="4" t="n">
        <f aca="false">Assumptions!$B$52</f>
        <v>0.2</v>
      </c>
      <c r="E6" s="4" t="n">
        <f aca="false">DCF_Bull!$B$43</f>
        <v>11808.9008864446</v>
      </c>
      <c r="F6" s="4" t="n">
        <f aca="false">DCF_Bull!$B$47</f>
        <v>6159.19283644945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7599.48171616717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7599.48171616717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-0.58102887127674</v>
      </c>
    </row>
    <row r="11" customFormat="false" ht="15" hidden="false" customHeight="false" outlineLevel="0" collapsed="false">
      <c r="A11" s="0" t="s">
        <v>164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4498.96869585636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7580.71947439359</v>
      </c>
      <c r="C15" s="3" t="n">
        <v>7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6582.11211617503</v>
      </c>
      <c r="C16" s="3" t="n">
        <v>9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6030.68522275443</v>
      </c>
      <c r="C17" s="3" t="n">
        <v>10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5594.87196003833</v>
      </c>
      <c r="C18" s="3" t="n">
        <v>11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5241.62929839393</v>
      </c>
      <c r="C19" s="3" t="n">
        <v>12</v>
      </c>
    </row>
    <row r="20" customFormat="false" ht="15" hidden="false" customHeight="false" outlineLevel="0" collapsed="false">
      <c r="A20" s="0" t="s">
        <v>173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4493.78950365336</v>
      </c>
      <c r="C20" s="3" t="n">
        <v>15</v>
      </c>
    </row>
    <row r="22" customFormat="false" ht="15" hidden="false" customHeight="false" outlineLevel="0" collapsed="false">
      <c r="A22" s="2" t="s">
        <v>174</v>
      </c>
    </row>
    <row r="23" customFormat="false" ht="15" hidden="false" customHeight="false" outlineLevel="0" collapsed="false">
      <c r="B23" s="3" t="n">
        <v>0.5</v>
      </c>
      <c r="C23" s="3" t="n">
        <v>1</v>
      </c>
      <c r="D23" s="3" t="n">
        <v>1.5</v>
      </c>
      <c r="E23" s="3" t="n">
        <v>2</v>
      </c>
      <c r="F23" s="3" t="n">
        <v>2.5</v>
      </c>
    </row>
    <row r="24" customFormat="false" ht="15" hidden="false" customHeight="false" outlineLevel="0" collapsed="false">
      <c r="A24" s="3" t="n">
        <v>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8484.14085037316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8484.14085037316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8484.14085037316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8484.14085037316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8484.14085037316</v>
      </c>
    </row>
    <row r="25" customFormat="false" ht="15" hidden="false" customHeight="false" outlineLevel="0" collapsed="false">
      <c r="A25" s="3" t="n">
        <v>6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8011.20920570297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8011.20920570297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8011.20920570297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8011.20920570297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8011.20920570297</v>
      </c>
    </row>
    <row r="26" customFormat="false" ht="15" hidden="false" customHeight="false" outlineLevel="0" collapsed="false">
      <c r="A26" s="3" t="n">
        <v>7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7580.71947439359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7580.71947439359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7580.71947439359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7580.71947439359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7580.71947439359</v>
      </c>
    </row>
    <row r="27" customFormat="false" ht="15" hidden="false" customHeight="false" outlineLevel="0" collapsed="false">
      <c r="A27" s="3" t="n">
        <v>8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6891.48642435704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7082.33093625068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7188.35566508048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7188.35566508048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7188.35566508048</v>
      </c>
    </row>
    <row r="28" customFormat="false" ht="15" hidden="false" customHeight="false" outlineLevel="0" collapsed="false">
      <c r="A28" s="3" t="n">
        <v>9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6292.80167779801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6428.41594578724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6582.11211617503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6757.76488233251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6830.28207937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2026-10-31T05:00:05Z</dcterms:created>
  <dc:creator>openpyxl</dc:creator>
  <dc:description/>
  <dc:language>en-NZ</dc:language>
  <cp:lastModifiedBy/>
  <dcterms:modified xsi:type="dcterms:W3CDTF">2026-10-31T05:00:05Z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