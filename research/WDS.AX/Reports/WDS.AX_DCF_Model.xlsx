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<sst xmlns="http://schemas.openxmlformats.org/spreadsheetml/2006/main" count="357" uniqueCount="165">
  <si>
    <t xml:space="preserve">Ticker</t>
  </si>
  <si>
    <t xml:space="preserve">WDS.AX</t>
  </si>
  <si>
    <t xml:space="preserve">Company</t>
  </si>
  <si>
    <t xml:space="preserve">Woodside Energy Group Ltd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</si>
  <si>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</si>
  <si>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</si>
  <si>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</si>
  <si>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</si>
  <si>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2026-09-25T05:32:46Z regular session (ASX)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</si>
  <si>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</si>
  <si>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</si>
  <si>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</si>
  <si>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</si>
  <si>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</si>
  <si>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</si>
  <si>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</si>
  <si>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AUD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</si>
  <si>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</si>
  <si>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</si>
  <si>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</si>
  <si>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</si>
  <si>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</si>
  <si>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2026-09-25T05:58:55Z</t>
  </si>
  <si>
    <t xml:space="preserve">Drivers file</t>
  </si>
  <si>
    <t xml:space="preserve">WDS.AX_Drivers.json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</si>
  <si>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</si>
  <si>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</si>
  <si>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</si>
  <si>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Woodside is valued as a commodity-price-geared oil &amp; gas producer via an owner-FCF DCF built on mid-cycle (not trailing-CAGR) assumptions: realized price held near its stable ~$60-65/boe band (excluding the FY2022 energy-crisis spike) while volume growth is built bottom-up from three disclosed, substantially de-risked growth projects (Scarborough, Trion, Louisiana LNG) already under construction and largely funded via committed partner capital (Stonepeak, Williams, LNG Japan, PEMEX). A 10-year explicit horizon is used because capex intensity and D&amp;A are still normalizing from the current growth-capex peak toward a lower sustaining level well past year 5. The FY2025 reported free cash flow of -$782m is explicitly treated as a capex-cycle trough, not a valuation base.
key_risks_to_valuation: Concurrent execution risk across Scarborough, Trion and Louisiana LNG -- a delay or cost overrun on any one materially changes the capex and revenue-growth paths this model assumes; Louisiana LNG lacks offtake contracts for most of its volumes; a softer-than-modelled contracted price or a further required capital partner sell-down would compress both margin and Woodside's retained economic interest; Commodity price cyclicality dominates realized revenue even though EBITDA margin has been comparatively stable -- a sustained move below the ~$60/boe mid-cycle band (as in FY2020) would compress cash flow well below the base case regardless of production growth; The terminal value (8x cap multiple, 2.0% terminal growth, capturing ~depleting long-life reserves under an energy-transition backdrop) accounts for a large share of enterprise value typical of a resource producer; any structural acceleration of oil demand destruction would pressure this further out than the explicit horizon models</t>
  </si>
  <si>
    <t xml:space="preserve">Data sources</t>
  </si>
  <si>
    <t xml:space="preserve">price: Yahoo Finance chart API at inputs.price_as_of; 52-week range 21.96-35.82 (AUD)
financials: WDS.AX_Metrics.csv (core_metrics-derived, USD millions) and WDS.AX_Annual_FY2025.txt (component lines: net debt/gearing note 6.6, NCI note E.8, cash tax/PRRT reconciliation note A.5, EPS/dilution note A.4)
qualitative: WDS.AX_Analysis.json (guidance, growth drivers, bull/bear case, recent developments through H1 2026 results and September 2026 Pemex MOU)</t>
  </si>
  <si>
    <t xml:space="preserve">Scenario narrative: bear</t>
  </si>
  <si>
    <t xml:space="preserve">A commodity downturn (echoing FY2020/FY2025 price troughs) combined with execution slippage or contracting shortfalls on Louisiana LNG (which lacks offtake for most volumes) and/or cost overruns on Scarborough/Trion, compressing margins to the low-60s% and keeping capex intensity elevated relative to a smaller revenue base.</t>
  </si>
  <si>
    <t xml:space="preserve">Scenario narrative: base</t>
  </si>
  <si>
    <t xml:space="preserve">Mid-cycle commodity prices, on-schedule delivery of Scarborough (2026), Trion (2028) and Louisiana LNG (2029), stable 69-71% EBITDA margins, capex tapering to a ~19-20% sustaining level once the growth pipeline completes around FY2032.</t>
  </si>
  <si>
    <t xml:space="preserve">Scenario narrative: bull</t>
  </si>
  <si>
    <t xml:space="preserve">Structurally stronger LNG pricing on accelerated Asian coal-to-gas switching, full on-time/under-capital-intensity delivery of all three growth projects, and continued de-risking via strategic partner capital, supporting margin expansion toward 73% and a modest exit-multiple premium.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</si>
  <si>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</si>
  <si>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</si>
  <si>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</si>
  <si>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</si>
  <si>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</si>
  <si>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</si>
  <si>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</si>
  <si>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</si>
  <si>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</si>
  <si>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</si>
  <si>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</si>
  <si>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</si>
  <si>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</si>
  <si>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</si>
  <si>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</si>
  <si>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</si>
  <si>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</si>
  <si>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</si>
  <si>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</si>
  <si>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</si>
  <si>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</si>
  <si>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</si>
  <si>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</si>
  <si>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</si>
  <si>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</si>
  <si>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</si>
  <si>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</si>
  <si>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</si>
  <si>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</si>
  <si>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</si>
  <si>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</si>
  <si>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</si>
  <si>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</si>
  <si>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</si>
  <si>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</si>
  <si>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</si>
  <si>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</si>
  <si>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</si>
  <si>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</si>
  <si>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</si>
  <si>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</si>
  <si>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</si>
  <si>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</si>
  <si>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</si>
  <si>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</si>
  <si>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</si>
  <si>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</si>
  <si>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</si>
  <si>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</si>
  <si>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</si>
  <si>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</si>
  <si>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</si>
  <si>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</si>
  <si>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</si>
  <si>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</si>
  <si>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</si>
  <si>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</si>
  <si>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</si>
  <si>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</si>
  <si>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</si>
  <si>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</si>
  <si>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</si>
  <si>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</si>
  <si>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</si>
  <si>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</si>
  <si>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</si>
  <si>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</si>
  <si>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</si>
  <si>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</si>
  <si>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</si>
  <si>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</si>
  <si>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</si>
  <si>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</si>
  <si>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WDS.AX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</si>
  <si>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</si>
  <si>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</si>
  <si>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</si>
  <si>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</si>
  <si>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</si>
  <si>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</si>
  <si>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</si>
  <si>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</si>
  <si>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</si>
  <si>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</si>
  <si>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</si>
  <si>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</si>
  <si>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</si>
  <si>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</si>
  <si>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</si>
  <si>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</si>
  <si>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</si>
  <si>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</si>
  <si>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</si>
  <si>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</si>
  <si>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</si>
  <si>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</si>
  <si>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</si>
  <si>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</si>
  <si>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</si>
  <si>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</si>
  <si>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</si>
  <si>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</si>
  <si>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</si>
  <si>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</si>
  <si>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WDS.AX owner-FCF component DCF: base case (millions, USD)</t>
  </si>
  <si>
    <t xml:space="preserve">WDS.AX owner-FCF component DCF: bull case (millions, USD)</t>
  </si>
  <si>
    <t xml:space="preserve">WDS.AX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</si>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</sst>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31.72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3975</v>
      </c>
      <c r="C2" s="0" t="n">
        <v>1963</v>
      </c>
      <c r="D2" s="0" t="n">
        <v>2012</v>
      </c>
      <c r="E2" s="0" t="n">
        <v>50.6</v>
      </c>
      <c r="F2" s="0" t="n">
        <v>1714</v>
      </c>
      <c r="G2" s="0" t="n">
        <v>43.1</v>
      </c>
      <c r="H2" s="0" t="n">
        <v>2918</v>
      </c>
      <c r="I2" s="0" t="n">
        <v>1069</v>
      </c>
      <c r="J2" s="0" t="n">
        <v>26.9</v>
      </c>
      <c r="K2" s="0" t="n">
        <v>1.234</v>
      </c>
      <c r="L2" s="0" t="n">
        <v>2400</v>
      </c>
      <c r="M2" s="0" t="n">
        <v>1390</v>
      </c>
      <c r="N2" s="0" t="n">
        <v>1010</v>
      </c>
      <c r="O2" s="0" t="n">
        <v>15081</v>
      </c>
      <c r="P2" s="0" t="n">
        <v>25399</v>
      </c>
      <c r="Q2" s="0" t="n">
        <v>9488</v>
      </c>
      <c r="R2" s="0" t="n">
        <v>5065</v>
      </c>
      <c r="S2" s="0" t="n">
        <v>318</v>
      </c>
      <c r="T2" s="0" t="n">
        <v>866.202</v>
      </c>
      <c r="U2" s="0" t="n">
        <v>50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5240</v>
      </c>
      <c r="C3" s="0" t="n">
        <v>2604</v>
      </c>
      <c r="D3" s="0" t="n">
        <v>2636</v>
      </c>
      <c r="E3" s="0" t="n">
        <v>50.3</v>
      </c>
      <c r="F3" s="0" t="n">
        <v>2278</v>
      </c>
      <c r="G3" s="0" t="n">
        <v>43.5</v>
      </c>
      <c r="H3" s="0" t="n">
        <v>3814</v>
      </c>
      <c r="I3" s="0" t="n">
        <v>1364</v>
      </c>
      <c r="J3" s="0" t="n">
        <v>26</v>
      </c>
      <c r="K3" s="0" t="n">
        <v>1.481</v>
      </c>
      <c r="L3" s="0" t="n">
        <v>3296</v>
      </c>
      <c r="M3" s="0" t="n">
        <v>1334</v>
      </c>
      <c r="N3" s="0" t="n">
        <v>1962</v>
      </c>
      <c r="O3" s="0" t="n">
        <v>17489</v>
      </c>
      <c r="P3" s="0" t="n">
        <v>27088</v>
      </c>
      <c r="Q3" s="0" t="n">
        <v>8766</v>
      </c>
      <c r="R3" s="0" t="n">
        <v>4071</v>
      </c>
      <c r="S3" s="0" t="n">
        <v>1674</v>
      </c>
      <c r="T3" s="0" t="n">
        <v>921.165</v>
      </c>
      <c r="U3" s="0" t="n">
        <v>51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4873</v>
      </c>
      <c r="C4" s="0" t="n">
        <v>2727</v>
      </c>
      <c r="D4" s="0" t="n">
        <v>2146</v>
      </c>
      <c r="E4" s="0" t="n">
        <v>44</v>
      </c>
      <c r="F4" s="0" t="n">
        <v>1091</v>
      </c>
      <c r="G4" s="0" t="n">
        <v>22.4</v>
      </c>
      <c r="H4" s="0" t="n">
        <v>3531</v>
      </c>
      <c r="I4" s="0" t="n">
        <v>343</v>
      </c>
      <c r="J4" s="0" t="n">
        <v>7</v>
      </c>
      <c r="K4" s="0" t="n">
        <v>0.367</v>
      </c>
      <c r="L4" s="0" t="n">
        <v>3305</v>
      </c>
      <c r="M4" s="0" t="n">
        <v>1213</v>
      </c>
      <c r="N4" s="0" t="n">
        <v>2092</v>
      </c>
      <c r="O4" s="0" t="n">
        <v>16617</v>
      </c>
      <c r="P4" s="0" t="n">
        <v>29353</v>
      </c>
      <c r="Q4" s="0" t="n">
        <v>11944</v>
      </c>
      <c r="R4" s="0" t="n">
        <v>5679</v>
      </c>
      <c r="S4" s="0" t="n">
        <v>4058</v>
      </c>
      <c r="T4" s="0" t="n">
        <v>935.833</v>
      </c>
      <c r="U4" s="0" t="n">
        <v>61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3600</v>
      </c>
      <c r="C5" s="0" t="n">
        <v>2985</v>
      </c>
      <c r="D5" s="0" t="n">
        <v>615</v>
      </c>
      <c r="E5" s="0" t="n">
        <v>17.1</v>
      </c>
      <c r="F5" s="0" t="n">
        <v>-5171</v>
      </c>
      <c r="G5" s="0" t="n">
        <v>-143.6</v>
      </c>
      <c r="H5" s="0" t="n">
        <v>1922</v>
      </c>
      <c r="I5" s="0" t="n">
        <v>-4028</v>
      </c>
      <c r="J5" s="0" t="n">
        <v>-111.9</v>
      </c>
      <c r="K5" s="0" t="n">
        <v>-4.235</v>
      </c>
      <c r="L5" s="0" t="n">
        <v>1849</v>
      </c>
      <c r="M5" s="0" t="n">
        <v>1418</v>
      </c>
      <c r="N5" s="0" t="n">
        <v>431</v>
      </c>
      <c r="O5" s="0" t="n">
        <v>12075</v>
      </c>
      <c r="P5" s="0" t="n">
        <v>24623</v>
      </c>
      <c r="Q5" s="0" t="n">
        <v>11748</v>
      </c>
      <c r="R5" s="0" t="n">
        <v>6214</v>
      </c>
      <c r="S5" s="0" t="n">
        <v>3604</v>
      </c>
      <c r="T5" s="0" t="n">
        <v>951.113</v>
      </c>
      <c r="U5" s="0" t="n">
        <v>54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6962</v>
      </c>
      <c r="C6" s="0" t="n">
        <v>3845</v>
      </c>
      <c r="D6" s="0" t="n">
        <v>3117</v>
      </c>
      <c r="E6" s="0" t="n">
        <v>44.8</v>
      </c>
      <c r="F6" s="0" t="n">
        <v>3493</v>
      </c>
      <c r="G6" s="0" t="n">
        <v>50.2</v>
      </c>
      <c r="H6" s="0" t="n">
        <v>4135</v>
      </c>
      <c r="I6" s="0" t="n">
        <v>1983</v>
      </c>
      <c r="J6" s="0" t="n">
        <v>28.5</v>
      </c>
      <c r="K6" s="0" t="n">
        <v>2.041</v>
      </c>
      <c r="L6" s="0" t="n">
        <v>3792</v>
      </c>
      <c r="M6" s="0" t="n">
        <v>2406</v>
      </c>
      <c r="N6" s="0" t="n">
        <v>1386</v>
      </c>
      <c r="O6" s="0" t="n">
        <v>13443</v>
      </c>
      <c r="P6" s="0" t="n">
        <v>26474</v>
      </c>
      <c r="Q6" s="0" t="n">
        <v>12245</v>
      </c>
      <c r="R6" s="0" t="n">
        <v>5430</v>
      </c>
      <c r="S6" s="0" t="n">
        <v>3025</v>
      </c>
      <c r="T6" s="0" t="n">
        <v>971.628</v>
      </c>
      <c r="U6" s="0" t="n">
        <v>40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16817</v>
      </c>
      <c r="C7" s="0" t="n">
        <v>6540</v>
      </c>
      <c r="D7" s="0" t="n">
        <v>10277</v>
      </c>
      <c r="E7" s="0" t="n">
        <v>61.1</v>
      </c>
      <c r="F7" s="0" t="n">
        <v>9186</v>
      </c>
      <c r="G7" s="0" t="n">
        <v>54.6</v>
      </c>
      <c r="H7" s="0" t="n">
        <v>11234</v>
      </c>
      <c r="I7" s="0" t="n">
        <v>6498</v>
      </c>
      <c r="J7" s="0" t="n">
        <v>38.6</v>
      </c>
      <c r="K7" s="0" t="n">
        <v>4.263</v>
      </c>
      <c r="L7" s="0" t="n">
        <v>8811</v>
      </c>
      <c r="M7" s="0" t="n">
        <v>3136</v>
      </c>
      <c r="N7" s="0" t="n">
        <v>5675</v>
      </c>
      <c r="O7" s="0" t="n">
        <v>36336</v>
      </c>
      <c r="P7" s="0" t="n">
        <v>59321</v>
      </c>
      <c r="Q7" s="0" t="n">
        <v>22194</v>
      </c>
      <c r="R7" s="0" t="n">
        <v>5138</v>
      </c>
      <c r="S7" s="0" t="n">
        <v>6201</v>
      </c>
      <c r="T7" s="0" t="n">
        <v>1524.319</v>
      </c>
      <c r="U7" s="0" t="n">
        <v>65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13994</v>
      </c>
      <c r="C8" s="0" t="n">
        <v>7519</v>
      </c>
      <c r="D8" s="0" t="n">
        <v>6475</v>
      </c>
      <c r="E8" s="0" t="n">
        <v>46.3</v>
      </c>
      <c r="F8" s="0" t="n">
        <v>3307</v>
      </c>
      <c r="G8" s="0" t="n">
        <v>23.6</v>
      </c>
      <c r="H8" s="0" t="n">
        <v>9363</v>
      </c>
      <c r="I8" s="0" t="n">
        <v>1660</v>
      </c>
      <c r="J8" s="0" t="n">
        <v>11.9</v>
      </c>
      <c r="K8" s="0" t="n">
        <v>0.869</v>
      </c>
      <c r="L8" s="0" t="n">
        <v>6145</v>
      </c>
      <c r="M8" s="0" t="n">
        <v>5291</v>
      </c>
      <c r="N8" s="0" t="n">
        <v>854</v>
      </c>
      <c r="O8" s="0" t="n">
        <v>34399</v>
      </c>
      <c r="P8" s="0" t="n">
        <v>55361</v>
      </c>
      <c r="Q8" s="0" t="n">
        <v>20191</v>
      </c>
      <c r="R8" s="0" t="n">
        <v>4883</v>
      </c>
      <c r="S8" s="0" t="n">
        <v>1740</v>
      </c>
      <c r="T8" s="0" t="n">
        <v>1910.943</v>
      </c>
      <c r="U8" s="0" t="n">
        <v>58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13179</v>
      </c>
      <c r="C9" s="0" t="n">
        <v>7501</v>
      </c>
      <c r="D9" s="0" t="n">
        <v>5678</v>
      </c>
      <c r="E9" s="0" t="n">
        <v>43.1</v>
      </c>
      <c r="F9" s="0" t="n">
        <v>4514</v>
      </c>
      <c r="G9" s="0" t="n">
        <v>34.3</v>
      </c>
      <c r="H9" s="0" t="n">
        <v>9276</v>
      </c>
      <c r="I9" s="0" t="n">
        <v>3573</v>
      </c>
      <c r="J9" s="0" t="n">
        <v>27.1</v>
      </c>
      <c r="K9" s="0" t="n">
        <v>1.869</v>
      </c>
      <c r="L9" s="0" t="n">
        <v>5847</v>
      </c>
      <c r="M9" s="0" t="n">
        <v>4902</v>
      </c>
      <c r="N9" s="0" t="n">
        <v>945</v>
      </c>
      <c r="O9" s="0" t="n">
        <v>35399</v>
      </c>
      <c r="P9" s="0" t="n">
        <v>61264</v>
      </c>
      <c r="Q9" s="0" t="n">
        <v>25111</v>
      </c>
      <c r="R9" s="0" t="n">
        <v>9997</v>
      </c>
      <c r="S9" s="0" t="n">
        <v>3923</v>
      </c>
      <c r="T9" s="0" t="n">
        <v>1911.925</v>
      </c>
      <c r="U9" s="0" t="n">
        <v>63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12984</v>
      </c>
      <c r="C10" s="0" t="n">
        <v>8448</v>
      </c>
      <c r="D10" s="0" t="n">
        <v>4536</v>
      </c>
      <c r="E10" s="0" t="n">
        <v>34.9</v>
      </c>
      <c r="F10" s="0" t="n">
        <v>3889</v>
      </c>
      <c r="G10" s="0" t="n">
        <v>30</v>
      </c>
      <c r="H10" s="0" t="n">
        <v>9277</v>
      </c>
      <c r="I10" s="0" t="n">
        <v>2718</v>
      </c>
      <c r="J10" s="0" t="n">
        <v>20.9</v>
      </c>
      <c r="K10" s="0" t="n">
        <v>1.42</v>
      </c>
      <c r="L10" s="0" t="n">
        <v>7192</v>
      </c>
      <c r="M10" s="0" t="n">
        <v>7974</v>
      </c>
      <c r="N10" s="0" t="n">
        <v>-782</v>
      </c>
      <c r="O10" s="0" t="n">
        <v>35914</v>
      </c>
      <c r="P10" s="0" t="n">
        <v>66501</v>
      </c>
      <c r="Q10" s="0" t="n">
        <v>26658</v>
      </c>
      <c r="R10" s="0" t="n">
        <v>11963</v>
      </c>
      <c r="S10" s="0" t="n">
        <v>5712</v>
      </c>
      <c r="T10" s="0" t="n">
        <v>1913.421</v>
      </c>
      <c r="U10" s="0" t="n">
        <v>70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31.72</v>
      </c>
    </row>
    <row r="3" customFormat="false" ht="15" hidden="false" customHeight="false" outlineLevel="0" collapsed="false">
      <c r="A3" s="0" t="s">
        <v>76</v>
      </c>
      <c r="B3" s="3" t="n">
        <v>1913.421</v>
      </c>
    </row>
    <row r="4" customFormat="false" ht="15" hidden="false" customHeight="false" outlineLevel="0" collapsed="false">
      <c r="A4" s="0" t="s">
        <v>77</v>
      </c>
      <c r="B4" s="3" t="n">
        <v>8010</v>
      </c>
    </row>
    <row r="5" customFormat="false" ht="15" hidden="false" customHeight="false" outlineLevel="0" collapsed="false">
      <c r="A5" s="0" t="s">
        <v>78</v>
      </c>
      <c r="B5" s="3" t="n">
        <v>-3929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12984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0.702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-8</v>
      </c>
      <c r="D13" s="3" t="n">
        <v>3</v>
      </c>
      <c r="E13" s="3" t="n">
        <v>2</v>
      </c>
      <c r="F13" s="3" t="n">
        <v>1</v>
      </c>
      <c r="G13" s="3" t="n">
        <v>4</v>
      </c>
      <c r="H13" s="3" t="n">
        <v>3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97</v>
      </c>
      <c r="C14" s="3" t="n">
        <v>63</v>
      </c>
      <c r="D14" s="3" t="n">
        <v>62</v>
      </c>
      <c r="E14" s="3" t="n">
        <v>62</v>
      </c>
      <c r="F14" s="3" t="n">
        <v>62.5</v>
      </c>
      <c r="G14" s="3" t="n">
        <v>63</v>
      </c>
      <c r="H14" s="3" t="n">
        <v>63</v>
      </c>
      <c r="I14" s="3" t="n">
        <v>63.5</v>
      </c>
      <c r="J14" s="3" t="n">
        <v>63.5</v>
      </c>
      <c r="K14" s="3" t="n">
        <v>63.5</v>
      </c>
      <c r="L14" s="3" t="n">
        <v>63.5</v>
      </c>
    </row>
    <row r="15" customFormat="false" ht="15" hidden="false" customHeight="false" outlineLevel="0" collapsed="false">
      <c r="A15" s="0" t="s">
        <v>98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39</v>
      </c>
      <c r="D17" s="3" t="n">
        <v>39</v>
      </c>
      <c r="E17" s="3" t="n">
        <v>38</v>
      </c>
      <c r="F17" s="3" t="n">
        <v>37</v>
      </c>
      <c r="G17" s="3" t="n">
        <v>36</v>
      </c>
      <c r="H17" s="3" t="n">
        <v>35</v>
      </c>
      <c r="I17" s="3" t="n">
        <v>34</v>
      </c>
      <c r="J17" s="3" t="n">
        <v>34</v>
      </c>
      <c r="K17" s="3" t="n">
        <v>34</v>
      </c>
      <c r="L17" s="3" t="n">
        <v>34</v>
      </c>
    </row>
    <row r="18" customFormat="false" ht="15" hidden="false" customHeight="false" outlineLevel="0" collapsed="false">
      <c r="A18" s="0" t="s">
        <v>101</v>
      </c>
      <c r="C18" s="3" t="n">
        <v>35</v>
      </c>
      <c r="D18" s="3" t="n">
        <v>34</v>
      </c>
      <c r="E18" s="3" t="n">
        <v>31</v>
      </c>
      <c r="F18" s="3" t="n">
        <v>27</v>
      </c>
      <c r="G18" s="3" t="n">
        <v>27</v>
      </c>
      <c r="H18" s="3" t="n">
        <v>25</v>
      </c>
      <c r="I18" s="3" t="n">
        <v>22</v>
      </c>
      <c r="J18" s="3" t="n">
        <v>21</v>
      </c>
      <c r="K18" s="3" t="n">
        <v>21</v>
      </c>
      <c r="L18" s="3" t="n">
        <v>21</v>
      </c>
    </row>
    <row r="19" customFormat="false" ht="15" hidden="false" customHeight="false" outlineLevel="0" collapsed="false">
      <c r="A19" s="0" t="s">
        <v>102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103</v>
      </c>
      <c r="B20" s="3" t="n">
        <v>8.5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6</v>
      </c>
    </row>
    <row r="23" customFormat="false" ht="15" hidden="false" customHeight="false" outlineLevel="0" collapsed="false">
      <c r="A23" s="0" t="s">
        <v>106</v>
      </c>
      <c r="B23" s="3" t="n">
        <v>-8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1</v>
      </c>
      <c r="D27" s="3" t="n">
        <v>9</v>
      </c>
      <c r="E27" s="3" t="n">
        <v>6</v>
      </c>
      <c r="F27" s="3" t="n">
        <v>4</v>
      </c>
      <c r="G27" s="3" t="n">
        <v>10</v>
      </c>
      <c r="H27" s="3" t="n">
        <v>8</v>
      </c>
      <c r="I27" s="3" t="n">
        <v>4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69</v>
      </c>
      <c r="D28" s="3" t="n">
        <v>69.5</v>
      </c>
      <c r="E28" s="3" t="n">
        <v>70</v>
      </c>
      <c r="F28" s="3" t="n">
        <v>70</v>
      </c>
      <c r="G28" s="3" t="n">
        <v>70.5</v>
      </c>
      <c r="H28" s="3" t="n">
        <v>71</v>
      </c>
      <c r="I28" s="3" t="n">
        <v>71</v>
      </c>
      <c r="J28" s="3" t="n">
        <v>71</v>
      </c>
      <c r="K28" s="3" t="n">
        <v>71</v>
      </c>
      <c r="L28" s="3" t="n">
        <v>71</v>
      </c>
    </row>
    <row r="29" customFormat="false" ht="15" hidden="false" customHeight="false" outlineLevel="0" collapsed="false">
      <c r="A29" s="0" t="s">
        <v>98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38</v>
      </c>
      <c r="D31" s="3" t="n">
        <v>37</v>
      </c>
      <c r="E31" s="3" t="n">
        <v>35</v>
      </c>
      <c r="F31" s="3" t="n">
        <v>33</v>
      </c>
      <c r="G31" s="3" t="n">
        <v>32</v>
      </c>
      <c r="H31" s="3" t="n">
        <v>31</v>
      </c>
      <c r="I31" s="3" t="n">
        <v>30</v>
      </c>
      <c r="J31" s="3" t="n">
        <v>30</v>
      </c>
      <c r="K31" s="3" t="n">
        <v>30</v>
      </c>
      <c r="L31" s="3" t="n">
        <v>30</v>
      </c>
    </row>
    <row r="32" customFormat="false" ht="15" hidden="false" customHeight="false" outlineLevel="0" collapsed="false">
      <c r="A32" s="0" t="s">
        <v>101</v>
      </c>
      <c r="C32" s="3" t="n">
        <v>33</v>
      </c>
      <c r="D32" s="3" t="n">
        <v>32</v>
      </c>
      <c r="E32" s="3" t="n">
        <v>28</v>
      </c>
      <c r="F32" s="3" t="n">
        <v>24</v>
      </c>
      <c r="G32" s="3" t="n">
        <v>26</v>
      </c>
      <c r="H32" s="3" t="n">
        <v>24</v>
      </c>
      <c r="I32" s="3" t="n">
        <v>20</v>
      </c>
      <c r="J32" s="3" t="n">
        <v>19</v>
      </c>
      <c r="K32" s="3" t="n">
        <v>19</v>
      </c>
      <c r="L32" s="3" t="n">
        <v>19</v>
      </c>
    </row>
    <row r="33" customFormat="false" ht="15" hidden="false" customHeight="false" outlineLevel="0" collapsed="false">
      <c r="A33" s="0" t="s">
        <v>102</v>
      </c>
      <c r="C33" s="3" t="n">
        <v>29</v>
      </c>
      <c r="D33" s="3" t="n">
        <v>29</v>
      </c>
      <c r="E33" s="3" t="n">
        <v>29</v>
      </c>
      <c r="F33" s="3" t="n">
        <v>29</v>
      </c>
      <c r="G33" s="3" t="n">
        <v>29</v>
      </c>
      <c r="H33" s="3" t="n">
        <v>29</v>
      </c>
      <c r="I33" s="3" t="n">
        <v>29</v>
      </c>
      <c r="J33" s="3" t="n">
        <v>29</v>
      </c>
      <c r="K33" s="3" t="n">
        <v>29</v>
      </c>
      <c r="L33" s="3" t="n">
        <v>29</v>
      </c>
    </row>
    <row r="34" customFormat="false" ht="15" hidden="false" customHeight="false" outlineLevel="0" collapsed="false">
      <c r="A34" s="0" t="s">
        <v>103</v>
      </c>
      <c r="B34" s="3" t="n">
        <v>8.5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8</v>
      </c>
    </row>
    <row r="37" customFormat="false" ht="15" hidden="false" customHeight="false" outlineLevel="0" collapsed="false">
      <c r="A37" s="0" t="s">
        <v>106</v>
      </c>
      <c r="B37" s="3" t="n">
        <v>-5</v>
      </c>
    </row>
    <row r="38" customFormat="false" ht="15" hidden="false" customHeight="false" outlineLevel="0" collapsed="false">
      <c r="A38" s="0" t="s">
        <v>107</v>
      </c>
      <c r="B38" s="3" t="n">
        <v>0.45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4</v>
      </c>
      <c r="D41" s="3" t="n">
        <v>14</v>
      </c>
      <c r="E41" s="3" t="n">
        <v>10</v>
      </c>
      <c r="F41" s="3" t="n">
        <v>7</v>
      </c>
      <c r="G41" s="3" t="n">
        <v>14</v>
      </c>
      <c r="H41" s="3" t="n">
        <v>11</v>
      </c>
      <c r="I41" s="3" t="n">
        <v>6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70</v>
      </c>
      <c r="D42" s="3" t="n">
        <v>71</v>
      </c>
      <c r="E42" s="3" t="n">
        <v>71.5</v>
      </c>
      <c r="F42" s="3" t="n">
        <v>72</v>
      </c>
      <c r="G42" s="3" t="n">
        <v>72.5</v>
      </c>
      <c r="H42" s="3" t="n">
        <v>73</v>
      </c>
      <c r="I42" s="3" t="n">
        <v>73</v>
      </c>
      <c r="J42" s="3" t="n">
        <v>73</v>
      </c>
      <c r="K42" s="3" t="n">
        <v>73</v>
      </c>
      <c r="L42" s="3" t="n">
        <v>73</v>
      </c>
    </row>
    <row r="43" customFormat="false" ht="15" hidden="false" customHeight="false" outlineLevel="0" collapsed="false">
      <c r="A43" s="0" t="s">
        <v>98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37</v>
      </c>
      <c r="D45" s="3" t="n">
        <v>35</v>
      </c>
      <c r="E45" s="3" t="n">
        <v>33</v>
      </c>
      <c r="F45" s="3" t="n">
        <v>31</v>
      </c>
      <c r="G45" s="3" t="n">
        <v>30</v>
      </c>
      <c r="H45" s="3" t="n">
        <v>29</v>
      </c>
      <c r="I45" s="3" t="n">
        <v>28</v>
      </c>
      <c r="J45" s="3" t="n">
        <v>28</v>
      </c>
      <c r="K45" s="3" t="n">
        <v>28</v>
      </c>
      <c r="L45" s="3" t="n">
        <v>28</v>
      </c>
    </row>
    <row r="46" customFormat="false" ht="15" hidden="false" customHeight="false" outlineLevel="0" collapsed="false">
      <c r="A46" s="0" t="s">
        <v>101</v>
      </c>
      <c r="C46" s="3" t="n">
        <v>33</v>
      </c>
      <c r="D46" s="3" t="n">
        <v>31</v>
      </c>
      <c r="E46" s="3" t="n">
        <v>26</v>
      </c>
      <c r="F46" s="3" t="n">
        <v>22</v>
      </c>
      <c r="G46" s="3" t="n">
        <v>24</v>
      </c>
      <c r="H46" s="3" t="n">
        <v>21</v>
      </c>
      <c r="I46" s="3" t="n">
        <v>18</v>
      </c>
      <c r="J46" s="3" t="n">
        <v>18</v>
      </c>
      <c r="K46" s="3" t="n">
        <v>18</v>
      </c>
      <c r="L46" s="3" t="n">
        <v>18</v>
      </c>
    </row>
    <row r="47" customFormat="false" ht="15" hidden="false" customHeight="false" outlineLevel="0" collapsed="false">
      <c r="A47" s="0" t="s">
        <v>102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103</v>
      </c>
      <c r="B48" s="3" t="n">
        <v>8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9</v>
      </c>
    </row>
    <row r="51" customFormat="false" ht="15" hidden="false" customHeight="false" outlineLevel="0" collapsed="false">
      <c r="A51" s="0" t="s">
        <v>106</v>
      </c>
      <c r="B51" s="3" t="n">
        <v>-3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-8</v>
      </c>
      <c r="D5" s="4" t="n">
        <f aca="false">Assumptions!D13</f>
        <v>3</v>
      </c>
      <c r="E5" s="4" t="n">
        <f aca="false">Assumptions!E13</f>
        <v>2</v>
      </c>
      <c r="F5" s="4" t="n">
        <f aca="false">Assumptions!F13</f>
        <v>1</v>
      </c>
      <c r="G5" s="4" t="n">
        <f aca="false">Assumptions!G13</f>
        <v>4</v>
      </c>
      <c r="H5" s="4" t="n">
        <f aca="false">Assumptions!H13</f>
        <v>3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12984</v>
      </c>
      <c r="C6" s="0" t="n">
        <f aca="false">B6*(1+C5/100)</f>
        <v>11945.28</v>
      </c>
      <c r="D6" s="0" t="n">
        <f aca="false">C6*(1+D5/100)</f>
        <v>12303.6384</v>
      </c>
      <c r="E6" s="0" t="n">
        <f aca="false">D6*(1+E5/100)</f>
        <v>12549.711168</v>
      </c>
      <c r="F6" s="0" t="n">
        <f aca="false">E6*(1+F5/100)</f>
        <v>12675.20827968</v>
      </c>
      <c r="G6" s="0" t="n">
        <f aca="false">F6*(1+G5/100)</f>
        <v>13182.2166108672</v>
      </c>
      <c r="H6" s="0" t="n">
        <f aca="false">G6*(1+H5/100)</f>
        <v>13577.6831091932</v>
      </c>
      <c r="I6" s="0" t="n">
        <f aca="false">H6*(1+I5/100)</f>
        <v>13781.3483558311</v>
      </c>
      <c r="J6" s="0" t="n">
        <f aca="false">I6*(1+J5/100)</f>
        <v>13988.0685811686</v>
      </c>
      <c r="K6" s="0" t="n">
        <f aca="false">J6*(1+K5/100)</f>
        <v>14197.8896098861</v>
      </c>
      <c r="L6" s="0" t="n">
        <f aca="false">K6*(1+L5/100)</f>
        <v>14410.8579540344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63</v>
      </c>
      <c r="D7" s="4" t="n">
        <f aca="false">Assumptions!D14</f>
        <v>62</v>
      </c>
      <c r="E7" s="4" t="n">
        <f aca="false">Assumptions!E14</f>
        <v>62</v>
      </c>
      <c r="F7" s="4" t="n">
        <f aca="false">Assumptions!F14</f>
        <v>62.5</v>
      </c>
      <c r="G7" s="4" t="n">
        <f aca="false">Assumptions!G14</f>
        <v>63</v>
      </c>
      <c r="H7" s="4" t="n">
        <f aca="false">Assumptions!H14</f>
        <v>63</v>
      </c>
      <c r="I7" s="4" t="n">
        <f aca="false">Assumptions!I14</f>
        <v>63.5</v>
      </c>
      <c r="J7" s="4" t="n">
        <f aca="false">Assumptions!J14</f>
        <v>63.5</v>
      </c>
      <c r="K7" s="4" t="n">
        <f aca="false">Assumptions!K14</f>
        <v>63.5</v>
      </c>
      <c r="L7" s="4" t="n">
        <f aca="false">Assumptions!L14</f>
        <v>63.5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7525.5264</v>
      </c>
      <c r="D8" s="0" t="n">
        <f aca="false">D6*D7/100</f>
        <v>7628.255808</v>
      </c>
      <c r="E8" s="0" t="n">
        <f aca="false">E6*E7/100</f>
        <v>7780.82092416</v>
      </c>
      <c r="F8" s="0" t="n">
        <f aca="false">F6*F7/100</f>
        <v>7922.0051748</v>
      </c>
      <c r="G8" s="0" t="n">
        <f aca="false">G6*G7/100</f>
        <v>8304.79646484634</v>
      </c>
      <c r="H8" s="0" t="n">
        <f aca="false">H6*H7/100</f>
        <v>8553.94035879173</v>
      </c>
      <c r="I8" s="0" t="n">
        <f aca="false">I6*I7/100</f>
        <v>8751.15620595276</v>
      </c>
      <c r="J8" s="0" t="n">
        <f aca="false">J6*J7/100</f>
        <v>8882.42354904205</v>
      </c>
      <c r="K8" s="0" t="n">
        <f aca="false">K6*K7/100</f>
        <v>9015.65990227768</v>
      </c>
      <c r="L8" s="0" t="n">
        <f aca="false">L6*L7/100</f>
        <v>9150.89480081184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-59.7264</v>
      </c>
      <c r="D10" s="0" t="n">
        <f aca="false">-D6*D9/100</f>
        <v>-61.518192</v>
      </c>
      <c r="E10" s="0" t="n">
        <f aca="false">-E6*E9/100</f>
        <v>-62.74855584</v>
      </c>
      <c r="F10" s="0" t="n">
        <f aca="false">-F6*F9/100</f>
        <v>-63.3760413984</v>
      </c>
      <c r="G10" s="0" t="n">
        <f aca="false">-G6*G9/100</f>
        <v>-65.911083054336</v>
      </c>
      <c r="H10" s="0" t="n">
        <f aca="false">-H6*H9/100</f>
        <v>-67.8884155459661</v>
      </c>
      <c r="I10" s="0" t="n">
        <f aca="false">-I6*I9/100</f>
        <v>-68.9067417791556</v>
      </c>
      <c r="J10" s="0" t="n">
        <f aca="false">-J6*J9/100</f>
        <v>-69.9403429058429</v>
      </c>
      <c r="K10" s="0" t="n">
        <f aca="false">-K6*K9/100</f>
        <v>-70.9894480494306</v>
      </c>
      <c r="L10" s="0" t="n">
        <f aca="false">-L6*L9/100</f>
        <v>-72.054289770172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7465.8</v>
      </c>
      <c r="D11" s="0" t="n">
        <f aca="false">D8+D10+D24</f>
        <v>7566.737616</v>
      </c>
      <c r="E11" s="0" t="n">
        <f aca="false">E8+E10+E24</f>
        <v>7718.07236832</v>
      </c>
      <c r="F11" s="0" t="n">
        <f aca="false">F8+F10+F24</f>
        <v>7858.6291334016</v>
      </c>
      <c r="G11" s="0" t="n">
        <f aca="false">G8+G10+G24</f>
        <v>8238.885381792</v>
      </c>
      <c r="H11" s="0" t="n">
        <f aca="false">H8+H10+H24</f>
        <v>8486.05194324576</v>
      </c>
      <c r="I11" s="0" t="n">
        <f aca="false">I8+I10+I24</f>
        <v>8682.2494641736</v>
      </c>
      <c r="J11" s="0" t="n">
        <f aca="false">J8+J10+J24</f>
        <v>8812.48320613621</v>
      </c>
      <c r="K11" s="0" t="n">
        <f aca="false">K8+K10+K24</f>
        <v>8944.67045422825</v>
      </c>
      <c r="L11" s="0" t="n">
        <f aca="false">L8+L10+L24</f>
        <v>9078.84051104167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-4658.6592</v>
      </c>
      <c r="D12" s="4" t="n">
        <f aca="false">-D6*Assumptions!D17/100</f>
        <v>-4798.418976</v>
      </c>
      <c r="E12" s="4" t="n">
        <f aca="false">-E6*Assumptions!E17/100</f>
        <v>-4768.89024384</v>
      </c>
      <c r="F12" s="4" t="n">
        <f aca="false">-F6*Assumptions!F17/100</f>
        <v>-4689.8270634816</v>
      </c>
      <c r="G12" s="4" t="n">
        <f aca="false">-G6*Assumptions!G17/100</f>
        <v>-4745.59797991219</v>
      </c>
      <c r="H12" s="4" t="n">
        <f aca="false">-H6*Assumptions!H17/100</f>
        <v>-4752.18908821763</v>
      </c>
      <c r="I12" s="4" t="n">
        <f aca="false">-I6*Assumptions!I17/100</f>
        <v>-4685.65844098258</v>
      </c>
      <c r="J12" s="4" t="n">
        <f aca="false">-J6*Assumptions!J17/100</f>
        <v>-4755.94331759732</v>
      </c>
      <c r="K12" s="4" t="n">
        <f aca="false">-K6*Assumptions!K17/100</f>
        <v>-4827.28246736128</v>
      </c>
      <c r="L12" s="4" t="n">
        <f aca="false">-L6*Assumptions!L17/100</f>
        <v>-4899.6917043717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2807.1408</v>
      </c>
      <c r="D13" s="0" t="n">
        <f aca="false">D11+D12</f>
        <v>2768.31864</v>
      </c>
      <c r="E13" s="0" t="n">
        <f aca="false">E11+E12</f>
        <v>2949.18212448</v>
      </c>
      <c r="F13" s="0" t="n">
        <f aca="false">F11+F12</f>
        <v>3168.80206992</v>
      </c>
      <c r="G13" s="0" t="n">
        <f aca="false">G11+G12</f>
        <v>3493.28740187981</v>
      </c>
      <c r="H13" s="0" t="n">
        <f aca="false">H11+H12</f>
        <v>3733.86285502814</v>
      </c>
      <c r="I13" s="0" t="n">
        <f aca="false">I11+I12</f>
        <v>3996.59102319102</v>
      </c>
      <c r="J13" s="0" t="n">
        <f aca="false">J11+J12</f>
        <v>4056.53988853889</v>
      </c>
      <c r="K13" s="0" t="n">
        <f aca="false">K11+K12</f>
        <v>4117.38798686697</v>
      </c>
      <c r="L13" s="0" t="n">
        <f aca="false">L11+L12</f>
        <v>4179.14880666998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1964.99856</v>
      </c>
      <c r="D15" s="0" t="n">
        <f aca="false">D13-MAX(0,D13)*D14/100</f>
        <v>1937.823048</v>
      </c>
      <c r="E15" s="0" t="n">
        <f aca="false">E13-MAX(0,E13)*E14/100</f>
        <v>2064.427487136</v>
      </c>
      <c r="F15" s="0" t="n">
        <f aca="false">F13-MAX(0,F13)*F14/100</f>
        <v>2218.161448944</v>
      </c>
      <c r="G15" s="0" t="n">
        <f aca="false">G13-MAX(0,G13)*G14/100</f>
        <v>2445.30118131587</v>
      </c>
      <c r="H15" s="0" t="n">
        <f aca="false">H13-MAX(0,H13)*H14/100</f>
        <v>2613.7039985197</v>
      </c>
      <c r="I15" s="0" t="n">
        <f aca="false">I13-MAX(0,I13)*I14/100</f>
        <v>2797.61371623372</v>
      </c>
      <c r="J15" s="0" t="n">
        <f aca="false">J13-MAX(0,J13)*J14/100</f>
        <v>2839.57792197722</v>
      </c>
      <c r="K15" s="0" t="n">
        <f aca="false">K13-MAX(0,K13)*K14/100</f>
        <v>2882.17159080688</v>
      </c>
      <c r="L15" s="0" t="n">
        <f aca="false">L13-MAX(0,L13)*L14/100</f>
        <v>2925.40416466898</v>
      </c>
    </row>
    <row r="16" customFormat="false" ht="15" hidden="false" customHeight="false" outlineLevel="0" collapsed="false">
      <c r="A16" s="0" t="s">
        <v>118</v>
      </c>
      <c r="C16" s="0" t="n">
        <f aca="false">-C12</f>
        <v>4658.6592</v>
      </c>
      <c r="D16" s="0" t="n">
        <f aca="false">-D12</f>
        <v>4798.418976</v>
      </c>
      <c r="E16" s="0" t="n">
        <f aca="false">-E12</f>
        <v>4768.89024384</v>
      </c>
      <c r="F16" s="0" t="n">
        <f aca="false">-F12</f>
        <v>4689.8270634816</v>
      </c>
      <c r="G16" s="0" t="n">
        <f aca="false">-G12</f>
        <v>4745.59797991219</v>
      </c>
      <c r="H16" s="0" t="n">
        <f aca="false">-H12</f>
        <v>4752.18908821763</v>
      </c>
      <c r="I16" s="0" t="n">
        <f aca="false">-I12</f>
        <v>4685.65844098258</v>
      </c>
      <c r="J16" s="0" t="n">
        <f aca="false">-J12</f>
        <v>4755.94331759732</v>
      </c>
      <c r="K16" s="0" t="n">
        <f aca="false">-K12</f>
        <v>4827.28246736128</v>
      </c>
      <c r="L16" s="0" t="n">
        <f aca="false">-L12</f>
        <v>4899.6917043717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-4180.848</v>
      </c>
      <c r="D17" s="4" t="n">
        <f aca="false">-D6*Assumptions!D18/100</f>
        <v>-4183.237056</v>
      </c>
      <c r="E17" s="4" t="n">
        <f aca="false">-E6*Assumptions!E18/100</f>
        <v>-3890.41046208</v>
      </c>
      <c r="F17" s="4" t="n">
        <f aca="false">-F6*Assumptions!F18/100</f>
        <v>-3422.3062355136</v>
      </c>
      <c r="G17" s="4" t="n">
        <f aca="false">-G6*Assumptions!G18/100</f>
        <v>-3559.19848493414</v>
      </c>
      <c r="H17" s="4" t="n">
        <f aca="false">-H6*Assumptions!H18/100</f>
        <v>-3394.42077729831</v>
      </c>
      <c r="I17" s="4" t="n">
        <f aca="false">-I6*Assumptions!I18/100</f>
        <v>-3031.89663828285</v>
      </c>
      <c r="J17" s="4" t="n">
        <f aca="false">-J6*Assumptions!J18/100</f>
        <v>-2937.4944020454</v>
      </c>
      <c r="K17" s="4" t="n">
        <f aca="false">-K6*Assumptions!K18/100</f>
        <v>-2981.55681807608</v>
      </c>
      <c r="L17" s="4" t="n">
        <f aca="false">-L6*Assumptions!L18/100</f>
        <v>-3026.28017034722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83.0975999999999</v>
      </c>
      <c r="D18" s="4" t="n">
        <f aca="false">(D6-C6)*Assumptions!$B$23/100</f>
        <v>-28.6686720000001</v>
      </c>
      <c r="E18" s="4" t="n">
        <f aca="false">(E6-D6)*Assumptions!$B$23/100</f>
        <v>-19.68582144</v>
      </c>
      <c r="F18" s="4" t="n">
        <f aca="false">(F6-E6)*Assumptions!$B$23/100</f>
        <v>-10.0397689344001</v>
      </c>
      <c r="G18" s="4" t="n">
        <f aca="false">(G6-F6)*Assumptions!$B$23/100</f>
        <v>-40.560666494976</v>
      </c>
      <c r="H18" s="4" t="n">
        <f aca="false">(H6-G6)*Assumptions!$B$23/100</f>
        <v>-31.6373198660814</v>
      </c>
      <c r="I18" s="4" t="n">
        <f aca="false">(I6-H6)*Assumptions!$B$23/100</f>
        <v>-16.2932197310317</v>
      </c>
      <c r="J18" s="4" t="n">
        <f aca="false">(J6-I6)*Assumptions!$B$23/100</f>
        <v>-16.5376180269972</v>
      </c>
      <c r="K18" s="4" t="n">
        <f aca="false">(K6-J6)*Assumptions!$B$23/100</f>
        <v>-16.7856822974022</v>
      </c>
      <c r="L18" s="4" t="n">
        <f aca="false">(L6-K6)*Assumptions!$B$23/100</f>
        <v>-17.0374675318632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2525.90736</v>
      </c>
      <c r="D19" s="0" t="n">
        <f aca="false">D15+D16+D17+D18</f>
        <v>2524.336296</v>
      </c>
      <c r="E19" s="0" t="n">
        <f aca="false">E15+E16+E17+E18</f>
        <v>2923.221447456</v>
      </c>
      <c r="F19" s="0" t="n">
        <f aca="false">F15+F16+F17+F18</f>
        <v>3475.6425079776</v>
      </c>
      <c r="G19" s="0" t="n">
        <f aca="false">G15+G16+G17+G18</f>
        <v>3591.14000979894</v>
      </c>
      <c r="H19" s="0" t="n">
        <f aca="false">H15+H16+H17+H18</f>
        <v>3939.83498957294</v>
      </c>
      <c r="I19" s="0" t="n">
        <f aca="false">I15+I16+I17+I18</f>
        <v>4435.08229920242</v>
      </c>
      <c r="J19" s="0" t="n">
        <f aca="false">J15+J16+J17+J18</f>
        <v>4641.48921950214</v>
      </c>
      <c r="K19" s="0" t="n">
        <f aca="false">K15+K16+K17+K18</f>
        <v>4711.11155779467</v>
      </c>
      <c r="L19" s="0" t="n">
        <f aca="false">L15+L16+L17+L18</f>
        <v>4781.77823116159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2328.02521658986</v>
      </c>
      <c r="D21" s="0" t="n">
        <f aca="false">D19*D20</f>
        <v>2144.31081229162</v>
      </c>
      <c r="E21" s="0" t="n">
        <f aca="false">E19*E20</f>
        <v>2288.6137447197</v>
      </c>
      <c r="F21" s="0" t="n">
        <f aca="false">F19*F20</f>
        <v>2507.93425506521</v>
      </c>
      <c r="G21" s="0" t="n">
        <f aca="false">G19*G20</f>
        <v>2388.27122790477</v>
      </c>
      <c r="H21" s="0" t="n">
        <f aca="false">H19*H20</f>
        <v>2414.90251458721</v>
      </c>
      <c r="I21" s="0" t="n">
        <f aca="false">I19*I20</f>
        <v>2505.49485866519</v>
      </c>
      <c r="J21" s="0" t="n">
        <f aca="false">J19*J20</f>
        <v>2416.6816285017</v>
      </c>
      <c r="K21" s="0" t="n">
        <f aca="false">K19*K20</f>
        <v>2260.7666847274</v>
      </c>
      <c r="L21" s="0" t="n">
        <f aca="false">L19*L20</f>
        <v>2114.9107695837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6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23369.9117126364</v>
      </c>
    </row>
    <row r="31" customFormat="false" ht="15" hidden="false" customHeight="false" outlineLevel="0" collapsed="false">
      <c r="A31" s="0" t="s">
        <v>127</v>
      </c>
      <c r="B31" s="0" t="n">
        <f aca="false">L19</f>
        <v>4781.77823116159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69335.7843518431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28690.6693869696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28690.6693869696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12689.4646175022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36059.3763301385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24120.3763301385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8.84933539652656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-0.721017169088066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428.884924718046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462.094141114744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9.17621970699175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28690.6693869696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4.53536038790222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1</v>
      </c>
      <c r="D5" s="4" t="n">
        <f aca="false">Assumptions!D27</f>
        <v>9</v>
      </c>
      <c r="E5" s="4" t="n">
        <f aca="false">Assumptions!E27</f>
        <v>6</v>
      </c>
      <c r="F5" s="4" t="n">
        <f aca="false">Assumptions!F27</f>
        <v>4</v>
      </c>
      <c r="G5" s="4" t="n">
        <f aca="false">Assumptions!G27</f>
        <v>10</v>
      </c>
      <c r="H5" s="4" t="n">
        <f aca="false">Assumptions!H27</f>
        <v>8</v>
      </c>
      <c r="I5" s="4" t="n">
        <f aca="false">Assumptions!I27</f>
        <v>4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12984</v>
      </c>
      <c r="C6" s="0" t="n">
        <f aca="false">B6*(1+C5/100)</f>
        <v>13113.84</v>
      </c>
      <c r="D6" s="0" t="n">
        <f aca="false">C6*(1+D5/100)</f>
        <v>14294.0856</v>
      </c>
      <c r="E6" s="0" t="n">
        <f aca="false">D6*(1+E5/100)</f>
        <v>15151.730736</v>
      </c>
      <c r="F6" s="0" t="n">
        <f aca="false">E6*(1+F5/100)</f>
        <v>15757.79996544</v>
      </c>
      <c r="G6" s="0" t="n">
        <f aca="false">F6*(1+G5/100)</f>
        <v>17333.579961984</v>
      </c>
      <c r="H6" s="0" t="n">
        <f aca="false">G6*(1+H5/100)</f>
        <v>18720.2663589427</v>
      </c>
      <c r="I6" s="0" t="n">
        <f aca="false">H6*(1+I5/100)</f>
        <v>19469.0770133004</v>
      </c>
      <c r="J6" s="0" t="n">
        <f aca="false">I6*(1+J5/100)</f>
        <v>19955.8039386329</v>
      </c>
      <c r="K6" s="0" t="n">
        <f aca="false">J6*(1+K5/100)</f>
        <v>20454.6990370988</v>
      </c>
      <c r="L6" s="0" t="n">
        <f aca="false">K6*(1+L5/100)</f>
        <v>20966.0665130262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69</v>
      </c>
      <c r="D7" s="4" t="n">
        <f aca="false">Assumptions!D28</f>
        <v>69.5</v>
      </c>
      <c r="E7" s="4" t="n">
        <f aca="false">Assumptions!E28</f>
        <v>70</v>
      </c>
      <c r="F7" s="4" t="n">
        <f aca="false">Assumptions!F28</f>
        <v>70</v>
      </c>
      <c r="G7" s="4" t="n">
        <f aca="false">Assumptions!G28</f>
        <v>70.5</v>
      </c>
      <c r="H7" s="4" t="n">
        <f aca="false">Assumptions!H28</f>
        <v>71</v>
      </c>
      <c r="I7" s="4" t="n">
        <f aca="false">Assumptions!I28</f>
        <v>71</v>
      </c>
      <c r="J7" s="4" t="n">
        <f aca="false">Assumptions!J28</f>
        <v>71</v>
      </c>
      <c r="K7" s="4" t="n">
        <f aca="false">Assumptions!K28</f>
        <v>71</v>
      </c>
      <c r="L7" s="4" t="n">
        <f aca="false">Assumptions!L28</f>
        <v>71</v>
      </c>
    </row>
    <row r="8" customFormat="false" ht="15" hidden="false" customHeight="false" outlineLevel="0" collapsed="false">
      <c r="A8" s="0" t="s">
        <v>44</v>
      </c>
      <c r="C8" s="0" t="n">
        <f aca="false">C6*C7/100</f>
        <v>9048.5496</v>
      </c>
      <c r="D8" s="0" t="n">
        <f aca="false">D6*D7/100</f>
        <v>9934.389492</v>
      </c>
      <c r="E8" s="0" t="n">
        <f aca="false">E6*E7/100</f>
        <v>10606.2115152</v>
      </c>
      <c r="F8" s="0" t="n">
        <f aca="false">F6*F7/100</f>
        <v>11030.459975808</v>
      </c>
      <c r="G8" s="0" t="n">
        <f aca="false">G6*G7/100</f>
        <v>12220.1738731987</v>
      </c>
      <c r="H8" s="0" t="n">
        <f aca="false">H6*H7/100</f>
        <v>13291.3891148493</v>
      </c>
      <c r="I8" s="0" t="n">
        <f aca="false">I6*I7/100</f>
        <v>13823.0446794433</v>
      </c>
      <c r="J8" s="0" t="n">
        <f aca="false">J6*J7/100</f>
        <v>14168.6207964294</v>
      </c>
      <c r="K8" s="0" t="n">
        <f aca="false">K6*K7/100</f>
        <v>14522.8363163401</v>
      </c>
      <c r="L8" s="0" t="n">
        <f aca="false">L6*L7/100</f>
        <v>14885.9072242486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-65.5692</v>
      </c>
      <c r="D10" s="0" t="n">
        <f aca="false">-D6*D9/100</f>
        <v>-71.470428</v>
      </c>
      <c r="E10" s="0" t="n">
        <f aca="false">-E6*E9/100</f>
        <v>-75.75865368</v>
      </c>
      <c r="F10" s="0" t="n">
        <f aca="false">-F6*F9/100</f>
        <v>-78.7889998272</v>
      </c>
      <c r="G10" s="0" t="n">
        <f aca="false">-G6*G9/100</f>
        <v>-86.66789980992</v>
      </c>
      <c r="H10" s="0" t="n">
        <f aca="false">-H6*H9/100</f>
        <v>-93.6013317947136</v>
      </c>
      <c r="I10" s="0" t="n">
        <f aca="false">-I6*I9/100</f>
        <v>-97.3453850665022</v>
      </c>
      <c r="J10" s="0" t="n">
        <f aca="false">-J6*J9/100</f>
        <v>-99.7790196931647</v>
      </c>
      <c r="K10" s="0" t="n">
        <f aca="false">-K6*K9/100</f>
        <v>-102.273495185494</v>
      </c>
      <c r="L10" s="0" t="n">
        <f aca="false">-L6*L9/100</f>
        <v>-104.830332565131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8982.9804</v>
      </c>
      <c r="D11" s="0" t="n">
        <f aca="false">D8+D10+D24</f>
        <v>9862.919064</v>
      </c>
      <c r="E11" s="0" t="n">
        <f aca="false">E8+E10+E24</f>
        <v>10530.45286152</v>
      </c>
      <c r="F11" s="0" t="n">
        <f aca="false">F8+F10+F24</f>
        <v>10951.6709759808</v>
      </c>
      <c r="G11" s="0" t="n">
        <f aca="false">G8+G10+G24</f>
        <v>12133.5059733888</v>
      </c>
      <c r="H11" s="0" t="n">
        <f aca="false">H8+H10+H24</f>
        <v>13197.7877830546</v>
      </c>
      <c r="I11" s="0" t="n">
        <f aca="false">I8+I10+I24</f>
        <v>13725.6992943768</v>
      </c>
      <c r="J11" s="0" t="n">
        <f aca="false">J8+J10+J24</f>
        <v>14068.8417767362</v>
      </c>
      <c r="K11" s="0" t="n">
        <f aca="false">K8+K10+K24</f>
        <v>14420.5628211546</v>
      </c>
      <c r="L11" s="0" t="n">
        <f aca="false">L8+L10+L24</f>
        <v>14781.0768916835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-4983.2592</v>
      </c>
      <c r="D12" s="4" t="n">
        <f aca="false">-D6*Assumptions!D31/100</f>
        <v>-5288.811672</v>
      </c>
      <c r="E12" s="4" t="n">
        <f aca="false">-E6*Assumptions!E31/100</f>
        <v>-5303.1057576</v>
      </c>
      <c r="F12" s="4" t="n">
        <f aca="false">-F6*Assumptions!F31/100</f>
        <v>-5200.0739885952</v>
      </c>
      <c r="G12" s="4" t="n">
        <f aca="false">-G6*Assumptions!G31/100</f>
        <v>-5546.74558783488</v>
      </c>
      <c r="H12" s="4" t="n">
        <f aca="false">-H6*Assumptions!H31/100</f>
        <v>-5803.28257127224</v>
      </c>
      <c r="I12" s="4" t="n">
        <f aca="false">-I6*Assumptions!I31/100</f>
        <v>-5840.72310399013</v>
      </c>
      <c r="J12" s="4" t="n">
        <f aca="false">-J6*Assumptions!J31/100</f>
        <v>-5986.74118158988</v>
      </c>
      <c r="K12" s="4" t="n">
        <f aca="false">-K6*Assumptions!K31/100</f>
        <v>-6136.40971112963</v>
      </c>
      <c r="L12" s="4" t="n">
        <f aca="false">-L6*Assumptions!L31/100</f>
        <v>-6289.81995390787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3999.7212</v>
      </c>
      <c r="D13" s="0" t="n">
        <f aca="false">D11+D12</f>
        <v>4574.107392</v>
      </c>
      <c r="E13" s="0" t="n">
        <f aca="false">E11+E12</f>
        <v>5227.34710392</v>
      </c>
      <c r="F13" s="0" t="n">
        <f aca="false">F11+F12</f>
        <v>5751.5969873856</v>
      </c>
      <c r="G13" s="0" t="n">
        <f aca="false">G11+G12</f>
        <v>6586.76038555392</v>
      </c>
      <c r="H13" s="0" t="n">
        <f aca="false">H11+H12</f>
        <v>7394.50521178238</v>
      </c>
      <c r="I13" s="0" t="n">
        <f aca="false">I11+I12</f>
        <v>7884.97619038668</v>
      </c>
      <c r="J13" s="0" t="n">
        <f aca="false">J11+J12</f>
        <v>8082.10059514634</v>
      </c>
      <c r="K13" s="0" t="n">
        <f aca="false">K11+K12</f>
        <v>8284.153110025</v>
      </c>
      <c r="L13" s="0" t="n">
        <f aca="false">L11+L12</f>
        <v>8491.25693777563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29</v>
      </c>
      <c r="D14" s="4" t="n">
        <f aca="false">Assumptions!D33</f>
        <v>29</v>
      </c>
      <c r="E14" s="4" t="n">
        <f aca="false">Assumptions!E33</f>
        <v>29</v>
      </c>
      <c r="F14" s="4" t="n">
        <f aca="false">Assumptions!F33</f>
        <v>29</v>
      </c>
      <c r="G14" s="4" t="n">
        <f aca="false">Assumptions!G33</f>
        <v>29</v>
      </c>
      <c r="H14" s="4" t="n">
        <f aca="false">Assumptions!H33</f>
        <v>29</v>
      </c>
      <c r="I14" s="4" t="n">
        <f aca="false">Assumptions!I33</f>
        <v>29</v>
      </c>
      <c r="J14" s="4" t="n">
        <f aca="false">Assumptions!J33</f>
        <v>29</v>
      </c>
      <c r="K14" s="4" t="n">
        <f aca="false">Assumptions!K33</f>
        <v>29</v>
      </c>
      <c r="L14" s="4" t="n">
        <f aca="false">Assumptions!L33</f>
        <v>29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2839.802052</v>
      </c>
      <c r="D15" s="0" t="n">
        <f aca="false">D13-MAX(0,D13)*D14/100</f>
        <v>3247.61624832</v>
      </c>
      <c r="E15" s="0" t="n">
        <f aca="false">E13-MAX(0,E13)*E14/100</f>
        <v>3711.4164437832</v>
      </c>
      <c r="F15" s="0" t="n">
        <f aca="false">F13-MAX(0,F13)*F14/100</f>
        <v>4083.63386104378</v>
      </c>
      <c r="G15" s="0" t="n">
        <f aca="false">G13-MAX(0,G13)*G14/100</f>
        <v>4676.59987374328</v>
      </c>
      <c r="H15" s="0" t="n">
        <f aca="false">H13-MAX(0,H13)*H14/100</f>
        <v>5250.09870036549</v>
      </c>
      <c r="I15" s="0" t="n">
        <f aca="false">I13-MAX(0,I13)*I14/100</f>
        <v>5598.33309517454</v>
      </c>
      <c r="J15" s="0" t="n">
        <f aca="false">J13-MAX(0,J13)*J14/100</f>
        <v>5738.2914225539</v>
      </c>
      <c r="K15" s="0" t="n">
        <f aca="false">K13-MAX(0,K13)*K14/100</f>
        <v>5881.74870811775</v>
      </c>
      <c r="L15" s="0" t="n">
        <f aca="false">L13-MAX(0,L13)*L14/100</f>
        <v>6028.7924258207</v>
      </c>
    </row>
    <row r="16" customFormat="false" ht="15" hidden="false" customHeight="false" outlineLevel="0" collapsed="false">
      <c r="A16" s="0" t="s">
        <v>118</v>
      </c>
      <c r="C16" s="0" t="n">
        <f aca="false">-C12</f>
        <v>4983.2592</v>
      </c>
      <c r="D16" s="0" t="n">
        <f aca="false">-D12</f>
        <v>5288.811672</v>
      </c>
      <c r="E16" s="0" t="n">
        <f aca="false">-E12</f>
        <v>5303.1057576</v>
      </c>
      <c r="F16" s="0" t="n">
        <f aca="false">-F12</f>
        <v>5200.0739885952</v>
      </c>
      <c r="G16" s="0" t="n">
        <f aca="false">-G12</f>
        <v>5546.74558783488</v>
      </c>
      <c r="H16" s="0" t="n">
        <f aca="false">-H12</f>
        <v>5803.28257127224</v>
      </c>
      <c r="I16" s="0" t="n">
        <f aca="false">-I12</f>
        <v>5840.72310399013</v>
      </c>
      <c r="J16" s="0" t="n">
        <f aca="false">-J12</f>
        <v>5986.74118158988</v>
      </c>
      <c r="K16" s="0" t="n">
        <f aca="false">-K12</f>
        <v>6136.40971112963</v>
      </c>
      <c r="L16" s="0" t="n">
        <f aca="false">-L12</f>
        <v>6289.81995390787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-4327.5672</v>
      </c>
      <c r="D17" s="4" t="n">
        <f aca="false">-D6*Assumptions!D32/100</f>
        <v>-4574.107392</v>
      </c>
      <c r="E17" s="4" t="n">
        <f aca="false">-E6*Assumptions!E32/100</f>
        <v>-4242.48460608</v>
      </c>
      <c r="F17" s="4" t="n">
        <f aca="false">-F6*Assumptions!F32/100</f>
        <v>-3781.8719917056</v>
      </c>
      <c r="G17" s="4" t="n">
        <f aca="false">-G6*Assumptions!G32/100</f>
        <v>-4506.73079011584</v>
      </c>
      <c r="H17" s="4" t="n">
        <f aca="false">-H6*Assumptions!H32/100</f>
        <v>-4492.86392614625</v>
      </c>
      <c r="I17" s="4" t="n">
        <f aca="false">-I6*Assumptions!I32/100</f>
        <v>-3893.81540266009</v>
      </c>
      <c r="J17" s="4" t="n">
        <f aca="false">-J6*Assumptions!J32/100</f>
        <v>-3791.60274834026</v>
      </c>
      <c r="K17" s="4" t="n">
        <f aca="false">-K6*Assumptions!K32/100</f>
        <v>-3886.39281704877</v>
      </c>
      <c r="L17" s="4" t="n">
        <f aca="false">-L6*Assumptions!L32/100</f>
        <v>-3983.55263747498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-6.49200000000001</v>
      </c>
      <c r="D18" s="4" t="n">
        <f aca="false">(D6-C6)*Assumptions!$B$37/100</f>
        <v>-59.01228</v>
      </c>
      <c r="E18" s="4" t="n">
        <f aca="false">(E6-D6)*Assumptions!$B$37/100</f>
        <v>-42.8822568000001</v>
      </c>
      <c r="F18" s="4" t="n">
        <f aca="false">(F6-E6)*Assumptions!$B$37/100</f>
        <v>-30.3034614720001</v>
      </c>
      <c r="G18" s="4" t="n">
        <f aca="false">(G6-F6)*Assumptions!$B$37/100</f>
        <v>-78.7889998272</v>
      </c>
      <c r="H18" s="4" t="n">
        <f aca="false">(H6-G6)*Assumptions!$B$37/100</f>
        <v>-69.3343198479361</v>
      </c>
      <c r="I18" s="4" t="n">
        <f aca="false">(I6-H6)*Assumptions!$B$37/100</f>
        <v>-37.4405327178854</v>
      </c>
      <c r="J18" s="4" t="n">
        <f aca="false">(J6-I6)*Assumptions!$B$37/100</f>
        <v>-24.3363462666255</v>
      </c>
      <c r="K18" s="4" t="n">
        <f aca="false">(K6-J6)*Assumptions!$B$37/100</f>
        <v>-24.9447549232911</v>
      </c>
      <c r="L18" s="4" t="n">
        <f aca="false">(L6-K6)*Assumptions!$B$37/100</f>
        <v>-25.5683737963735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3489.002052</v>
      </c>
      <c r="D19" s="0" t="n">
        <f aca="false">D15+D16+D17+D18</f>
        <v>3903.30824832</v>
      </c>
      <c r="E19" s="0" t="n">
        <f aca="false">E15+E16+E17+E18</f>
        <v>4729.1553385032</v>
      </c>
      <c r="F19" s="0" t="n">
        <f aca="false">F15+F16+F17+F18</f>
        <v>5471.53239646138</v>
      </c>
      <c r="G19" s="0" t="n">
        <f aca="false">G15+G16+G17+G18</f>
        <v>5637.82567163512</v>
      </c>
      <c r="H19" s="0" t="n">
        <f aca="false">H15+H16+H17+H18</f>
        <v>6491.18302564354</v>
      </c>
      <c r="I19" s="0" t="n">
        <f aca="false">I15+I16+I17+I18</f>
        <v>7507.8002637867</v>
      </c>
      <c r="J19" s="0" t="n">
        <f aca="false">J15+J16+J17+J18</f>
        <v>7909.0935095369</v>
      </c>
      <c r="K19" s="0" t="n">
        <f aca="false">K15+K16+K17+K18</f>
        <v>8106.82084727532</v>
      </c>
      <c r="L19" s="0" t="n">
        <f aca="false">L15+L16+L17+L18</f>
        <v>8309.49136845721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3215.67009400922</v>
      </c>
      <c r="D21" s="0" t="n">
        <f aca="false">D19*D20</f>
        <v>3315.68582753509</v>
      </c>
      <c r="E21" s="0" t="n">
        <f aca="false">E19*E20</f>
        <v>3702.49401325107</v>
      </c>
      <c r="F21" s="0" t="n">
        <f aca="false">F19*F20</f>
        <v>3948.11707282554</v>
      </c>
      <c r="G21" s="0" t="n">
        <f aca="false">G19*G20</f>
        <v>3749.41016021899</v>
      </c>
      <c r="H21" s="0" t="n">
        <f aca="false">H19*H20</f>
        <v>3978.7387676791</v>
      </c>
      <c r="I21" s="0" t="n">
        <f aca="false">I19*I20</f>
        <v>4241.35420535162</v>
      </c>
      <c r="J21" s="0" t="n">
        <f aca="false">J19*J20</f>
        <v>4118.02334955118</v>
      </c>
      <c r="K21" s="0" t="n">
        <f aca="false">K19*K20</f>
        <v>3890.29855602761</v>
      </c>
      <c r="L21" s="0" t="n">
        <f aca="false">L19*L20</f>
        <v>3675.1668386436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37834.958885093</v>
      </c>
    </row>
    <row r="31" customFormat="false" ht="15" hidden="false" customHeight="false" outlineLevel="0" collapsed="false">
      <c r="A31" s="0" t="s">
        <v>127</v>
      </c>
      <c r="B31" s="0" t="n">
        <f aca="false">L19</f>
        <v>8309.49136845721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130395.095320405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66475.9309476577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66475.9309476577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29401.3347091488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67236.2935942418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55297.2935942418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20.2875896643539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-0.360416467075854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554.706880909602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727.572702922543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20.7580351480453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65197.5476602027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11.6579699651159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4</v>
      </c>
      <c r="D5" s="4" t="n">
        <f aca="false">Assumptions!D41</f>
        <v>14</v>
      </c>
      <c r="E5" s="4" t="n">
        <f aca="false">Assumptions!E41</f>
        <v>10</v>
      </c>
      <c r="F5" s="4" t="n">
        <f aca="false">Assumptions!F41</f>
        <v>7</v>
      </c>
      <c r="G5" s="4" t="n">
        <f aca="false">Assumptions!G41</f>
        <v>14</v>
      </c>
      <c r="H5" s="4" t="n">
        <f aca="false">Assumptions!H41</f>
        <v>11</v>
      </c>
      <c r="I5" s="4" t="n">
        <f aca="false">Assumptions!I41</f>
        <v>6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12984</v>
      </c>
      <c r="C6" s="0" t="n">
        <f aca="false">B6*(1+C5/100)</f>
        <v>13503.36</v>
      </c>
      <c r="D6" s="0" t="n">
        <f aca="false">C6*(1+D5/100)</f>
        <v>15393.8304</v>
      </c>
      <c r="E6" s="0" t="n">
        <f aca="false">D6*(1+E5/100)</f>
        <v>16933.21344</v>
      </c>
      <c r="F6" s="0" t="n">
        <f aca="false">E6*(1+F5/100)</f>
        <v>18118.5383808</v>
      </c>
      <c r="G6" s="0" t="n">
        <f aca="false">F6*(1+G5/100)</f>
        <v>20655.133754112</v>
      </c>
      <c r="H6" s="0" t="n">
        <f aca="false">G6*(1+H5/100)</f>
        <v>22927.1984670643</v>
      </c>
      <c r="I6" s="0" t="n">
        <f aca="false">H6*(1+I5/100)</f>
        <v>24302.8303750882</v>
      </c>
      <c r="J6" s="0" t="n">
        <f aca="false">I6*(1+J5/100)</f>
        <v>25153.4294382163</v>
      </c>
      <c r="K6" s="0" t="n">
        <f aca="false">J6*(1+K5/100)</f>
        <v>25908.0323213628</v>
      </c>
      <c r="L6" s="0" t="n">
        <f aca="false">K6*(1+L5/100)</f>
        <v>26685.2732910037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70</v>
      </c>
      <c r="D7" s="4" t="n">
        <f aca="false">Assumptions!D42</f>
        <v>71</v>
      </c>
      <c r="E7" s="4" t="n">
        <f aca="false">Assumptions!E42</f>
        <v>71.5</v>
      </c>
      <c r="F7" s="4" t="n">
        <f aca="false">Assumptions!F42</f>
        <v>72</v>
      </c>
      <c r="G7" s="4" t="n">
        <f aca="false">Assumptions!G42</f>
        <v>72.5</v>
      </c>
      <c r="H7" s="4" t="n">
        <f aca="false">Assumptions!H42</f>
        <v>73</v>
      </c>
      <c r="I7" s="4" t="n">
        <f aca="false">Assumptions!I42</f>
        <v>73</v>
      </c>
      <c r="J7" s="4" t="n">
        <f aca="false">Assumptions!J42</f>
        <v>73</v>
      </c>
      <c r="K7" s="4" t="n">
        <f aca="false">Assumptions!K42</f>
        <v>73</v>
      </c>
      <c r="L7" s="4" t="n">
        <f aca="false">Assumptions!L42</f>
        <v>73</v>
      </c>
    </row>
    <row r="8" customFormat="false" ht="15" hidden="false" customHeight="false" outlineLevel="0" collapsed="false">
      <c r="A8" s="0" t="s">
        <v>44</v>
      </c>
      <c r="C8" s="0" t="n">
        <f aca="false">C6*C7/100</f>
        <v>9452.352</v>
      </c>
      <c r="D8" s="0" t="n">
        <f aca="false">D6*D7/100</f>
        <v>10929.619584</v>
      </c>
      <c r="E8" s="0" t="n">
        <f aca="false">E6*E7/100</f>
        <v>12107.2476096</v>
      </c>
      <c r="F8" s="0" t="n">
        <f aca="false">F6*F7/100</f>
        <v>13045.347634176</v>
      </c>
      <c r="G8" s="0" t="n">
        <f aca="false">G6*G7/100</f>
        <v>14974.9719717312</v>
      </c>
      <c r="H8" s="0" t="n">
        <f aca="false">H6*H7/100</f>
        <v>16736.854880957</v>
      </c>
      <c r="I8" s="0" t="n">
        <f aca="false">I6*I7/100</f>
        <v>17741.0661738144</v>
      </c>
      <c r="J8" s="0" t="n">
        <f aca="false">J6*J7/100</f>
        <v>18362.0034898979</v>
      </c>
      <c r="K8" s="0" t="n">
        <f aca="false">K6*K7/100</f>
        <v>18912.8635945948</v>
      </c>
      <c r="L8" s="0" t="n">
        <f aca="false">L6*L7/100</f>
        <v>19480.2495024327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-67.5168</v>
      </c>
      <c r="D10" s="0" t="n">
        <f aca="false">-D6*D9/100</f>
        <v>-76.969152</v>
      </c>
      <c r="E10" s="0" t="n">
        <f aca="false">-E6*E9/100</f>
        <v>-84.6660672</v>
      </c>
      <c r="F10" s="0" t="n">
        <f aca="false">-F6*F9/100</f>
        <v>-90.592691904</v>
      </c>
      <c r="G10" s="0" t="n">
        <f aca="false">-G6*G9/100</f>
        <v>-103.27566877056</v>
      </c>
      <c r="H10" s="0" t="n">
        <f aca="false">-H6*H9/100</f>
        <v>-114.635992335322</v>
      </c>
      <c r="I10" s="0" t="n">
        <f aca="false">-I6*I9/100</f>
        <v>-121.514151875441</v>
      </c>
      <c r="J10" s="0" t="n">
        <f aca="false">-J6*J9/100</f>
        <v>-125.767147191081</v>
      </c>
      <c r="K10" s="0" t="n">
        <f aca="false">-K6*K9/100</f>
        <v>-129.540161606814</v>
      </c>
      <c r="L10" s="0" t="n">
        <f aca="false">-L6*L9/100</f>
        <v>-133.426366455018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9384.8352</v>
      </c>
      <c r="D11" s="0" t="n">
        <f aca="false">D8+D10+D24</f>
        <v>10852.650432</v>
      </c>
      <c r="E11" s="0" t="n">
        <f aca="false">E8+E10+E24</f>
        <v>12022.5815424</v>
      </c>
      <c r="F11" s="0" t="n">
        <f aca="false">F8+F10+F24</f>
        <v>12954.754942272</v>
      </c>
      <c r="G11" s="0" t="n">
        <f aca="false">G8+G10+G24</f>
        <v>14871.6963029606</v>
      </c>
      <c r="H11" s="0" t="n">
        <f aca="false">H8+H10+H24</f>
        <v>16622.2188886216</v>
      </c>
      <c r="I11" s="0" t="n">
        <f aca="false">I8+I10+I24</f>
        <v>17619.5520219389</v>
      </c>
      <c r="J11" s="0" t="n">
        <f aca="false">J8+J10+J24</f>
        <v>18236.2363427068</v>
      </c>
      <c r="K11" s="0" t="n">
        <f aca="false">K8+K10+K24</f>
        <v>18783.323432988</v>
      </c>
      <c r="L11" s="0" t="n">
        <f aca="false">L8+L10+L24</f>
        <v>19346.8231359776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-4996.2432</v>
      </c>
      <c r="D12" s="4" t="n">
        <f aca="false">-D6*Assumptions!D45/100</f>
        <v>-5387.84064</v>
      </c>
      <c r="E12" s="4" t="n">
        <f aca="false">-E6*Assumptions!E45/100</f>
        <v>-5587.9604352</v>
      </c>
      <c r="F12" s="4" t="n">
        <f aca="false">-F6*Assumptions!F45/100</f>
        <v>-5616.746898048</v>
      </c>
      <c r="G12" s="4" t="n">
        <f aca="false">-G6*Assumptions!G45/100</f>
        <v>-6196.5401262336</v>
      </c>
      <c r="H12" s="4" t="n">
        <f aca="false">-H6*Assumptions!H45/100</f>
        <v>-6648.88755544866</v>
      </c>
      <c r="I12" s="4" t="n">
        <f aca="false">-I6*Assumptions!I45/100</f>
        <v>-6804.79250502469</v>
      </c>
      <c r="J12" s="4" t="n">
        <f aca="false">-J6*Assumptions!J45/100</f>
        <v>-7042.96024270056</v>
      </c>
      <c r="K12" s="4" t="n">
        <f aca="false">-K6*Assumptions!K45/100</f>
        <v>-7254.24904998158</v>
      </c>
      <c r="L12" s="4" t="n">
        <f aca="false">-L6*Assumptions!L45/100</f>
        <v>-7471.87652148102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4388.592</v>
      </c>
      <c r="D13" s="0" t="n">
        <f aca="false">D11+D12</f>
        <v>5464.809792</v>
      </c>
      <c r="E13" s="0" t="n">
        <f aca="false">E11+E12</f>
        <v>6434.6211072</v>
      </c>
      <c r="F13" s="0" t="n">
        <f aca="false">F11+F12</f>
        <v>7338.008044224</v>
      </c>
      <c r="G13" s="0" t="n">
        <f aca="false">G11+G12</f>
        <v>8675.15617672704</v>
      </c>
      <c r="H13" s="0" t="n">
        <f aca="false">H11+H12</f>
        <v>9973.33133317298</v>
      </c>
      <c r="I13" s="0" t="n">
        <f aca="false">I11+I12</f>
        <v>10814.7595169142</v>
      </c>
      <c r="J13" s="0" t="n">
        <f aca="false">J11+J12</f>
        <v>11193.2761000062</v>
      </c>
      <c r="K13" s="0" t="n">
        <f aca="false">K11+K12</f>
        <v>11529.0743830064</v>
      </c>
      <c r="L13" s="0" t="n">
        <f aca="false">L11+L12</f>
        <v>11874.9466144966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28</v>
      </c>
      <c r="D14" s="4" t="n">
        <f aca="false">Assumptions!D47</f>
        <v>28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3159.78624</v>
      </c>
      <c r="D15" s="0" t="n">
        <f aca="false">D13-MAX(0,D13)*D14/100</f>
        <v>3934.66305024</v>
      </c>
      <c r="E15" s="0" t="n">
        <f aca="false">E13-MAX(0,E13)*E14/100</f>
        <v>4632.927197184</v>
      </c>
      <c r="F15" s="0" t="n">
        <f aca="false">F13-MAX(0,F13)*F14/100</f>
        <v>5283.36579184128</v>
      </c>
      <c r="G15" s="0" t="n">
        <f aca="false">G13-MAX(0,G13)*G14/100</f>
        <v>6246.11244724347</v>
      </c>
      <c r="H15" s="0" t="n">
        <f aca="false">H13-MAX(0,H13)*H14/100</f>
        <v>7180.79855988455</v>
      </c>
      <c r="I15" s="0" t="n">
        <f aca="false">I13-MAX(0,I13)*I14/100</f>
        <v>7786.62685217826</v>
      </c>
      <c r="J15" s="0" t="n">
        <f aca="false">J13-MAX(0,J13)*J14/100</f>
        <v>8059.1587920045</v>
      </c>
      <c r="K15" s="0" t="n">
        <f aca="false">K13-MAX(0,K13)*K14/100</f>
        <v>8300.93355576463</v>
      </c>
      <c r="L15" s="0" t="n">
        <f aca="false">L13-MAX(0,L13)*L14/100</f>
        <v>8549.96156243757</v>
      </c>
    </row>
    <row r="16" customFormat="false" ht="15" hidden="false" customHeight="false" outlineLevel="0" collapsed="false">
      <c r="A16" s="0" t="s">
        <v>118</v>
      </c>
      <c r="C16" s="0" t="n">
        <f aca="false">-C12</f>
        <v>4996.2432</v>
      </c>
      <c r="D16" s="0" t="n">
        <f aca="false">-D12</f>
        <v>5387.84064</v>
      </c>
      <c r="E16" s="0" t="n">
        <f aca="false">-E12</f>
        <v>5587.9604352</v>
      </c>
      <c r="F16" s="0" t="n">
        <f aca="false">-F12</f>
        <v>5616.746898048</v>
      </c>
      <c r="G16" s="0" t="n">
        <f aca="false">-G12</f>
        <v>6196.5401262336</v>
      </c>
      <c r="H16" s="0" t="n">
        <f aca="false">-H12</f>
        <v>6648.88755544866</v>
      </c>
      <c r="I16" s="0" t="n">
        <f aca="false">-I12</f>
        <v>6804.79250502469</v>
      </c>
      <c r="J16" s="0" t="n">
        <f aca="false">-J12</f>
        <v>7042.96024270056</v>
      </c>
      <c r="K16" s="0" t="n">
        <f aca="false">-K12</f>
        <v>7254.24904998158</v>
      </c>
      <c r="L16" s="0" t="n">
        <f aca="false">-L12</f>
        <v>7471.87652148102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-4456.1088</v>
      </c>
      <c r="D17" s="4" t="n">
        <f aca="false">-D6*Assumptions!D46/100</f>
        <v>-4772.087424</v>
      </c>
      <c r="E17" s="4" t="n">
        <f aca="false">-E6*Assumptions!E46/100</f>
        <v>-4402.6354944</v>
      </c>
      <c r="F17" s="4" t="n">
        <f aca="false">-F6*Assumptions!F46/100</f>
        <v>-3986.078443776</v>
      </c>
      <c r="G17" s="4" t="n">
        <f aca="false">-G6*Assumptions!G46/100</f>
        <v>-4957.23210098688</v>
      </c>
      <c r="H17" s="4" t="n">
        <f aca="false">-H6*Assumptions!H46/100</f>
        <v>-4814.71167808351</v>
      </c>
      <c r="I17" s="4" t="n">
        <f aca="false">-I6*Assumptions!I46/100</f>
        <v>-4374.50946751588</v>
      </c>
      <c r="J17" s="4" t="n">
        <f aca="false">-J6*Assumptions!J46/100</f>
        <v>-4527.61729887893</v>
      </c>
      <c r="K17" s="4" t="n">
        <f aca="false">-K6*Assumptions!K46/100</f>
        <v>-4663.4458178453</v>
      </c>
      <c r="L17" s="4" t="n">
        <f aca="false">-L6*Assumptions!L46/100</f>
        <v>-4803.34919238066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-15.5808</v>
      </c>
      <c r="D18" s="4" t="n">
        <f aca="false">(D6-C6)*Assumptions!$B$51/100</f>
        <v>-56.7141120000001</v>
      </c>
      <c r="E18" s="4" t="n">
        <f aca="false">(E6-D6)*Assumptions!$B$51/100</f>
        <v>-46.1814912</v>
      </c>
      <c r="F18" s="4" t="n">
        <f aca="false">(F6-E6)*Assumptions!$B$51/100</f>
        <v>-35.559748224</v>
      </c>
      <c r="G18" s="4" t="n">
        <f aca="false">(G6-F6)*Assumptions!$B$51/100</f>
        <v>-76.0978611993601</v>
      </c>
      <c r="H18" s="4" t="n">
        <f aca="false">(H6-G6)*Assumptions!$B$51/100</f>
        <v>-68.1619413885697</v>
      </c>
      <c r="I18" s="4" t="n">
        <f aca="false">(I6-H6)*Assumptions!$B$51/100</f>
        <v>-41.2689572407158</v>
      </c>
      <c r="J18" s="4" t="n">
        <f aca="false">(J6-I6)*Assumptions!$B$51/100</f>
        <v>-25.5179718938425</v>
      </c>
      <c r="K18" s="4" t="n">
        <f aca="false">(K6-J6)*Assumptions!$B$51/100</f>
        <v>-22.6380864943947</v>
      </c>
      <c r="L18" s="4" t="n">
        <f aca="false">(L6-K6)*Assumptions!$B$51/100</f>
        <v>-23.3172290892265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3684.33984</v>
      </c>
      <c r="D19" s="0" t="n">
        <f aca="false">D15+D16+D17+D18</f>
        <v>4493.70215424</v>
      </c>
      <c r="E19" s="0" t="n">
        <f aca="false">E15+E16+E17+E18</f>
        <v>5772.070646784</v>
      </c>
      <c r="F19" s="0" t="n">
        <f aca="false">F15+F16+F17+F18</f>
        <v>6878.47449788928</v>
      </c>
      <c r="G19" s="0" t="n">
        <f aca="false">G15+G16+G17+G18</f>
        <v>7409.32261129083</v>
      </c>
      <c r="H19" s="0" t="n">
        <f aca="false">H15+H16+H17+H18</f>
        <v>8946.81249586113</v>
      </c>
      <c r="I19" s="0" t="n">
        <f aca="false">I15+I16+I17+I18</f>
        <v>10175.6409324464</v>
      </c>
      <c r="J19" s="0" t="n">
        <f aca="false">J15+J16+J17+J18</f>
        <v>10548.9837639323</v>
      </c>
      <c r="K19" s="0" t="n">
        <f aca="false">K15+K16+K17+K18</f>
        <v>10869.0987014065</v>
      </c>
      <c r="L19" s="0" t="n">
        <f aca="false">L15+L16+L17+L18</f>
        <v>11195.1716624487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3411.42577777778</v>
      </c>
      <c r="D21" s="0" t="n">
        <f aca="false">D19*D20</f>
        <v>3852.62530370371</v>
      </c>
      <c r="E21" s="0" t="n">
        <f aca="false">E19*E20</f>
        <v>4582.05577686328</v>
      </c>
      <c r="F21" s="0" t="n">
        <f aca="false">F19*F20</f>
        <v>5055.88409764772</v>
      </c>
      <c r="G21" s="0" t="n">
        <f aca="false">G19*G20</f>
        <v>5042.66047064679</v>
      </c>
      <c r="H21" s="0" t="n">
        <f aca="false">H19*H20</f>
        <v>5638.0094923099</v>
      </c>
      <c r="I21" s="0" t="n">
        <f aca="false">I19*I20</f>
        <v>5937.38874971867</v>
      </c>
      <c r="J21" s="0" t="n">
        <f aca="false">J19*J20</f>
        <v>5699.28769076915</v>
      </c>
      <c r="K21" s="0" t="n">
        <f aca="false">K19*K20</f>
        <v>5437.25539902849</v>
      </c>
      <c r="L21" s="0" t="n">
        <f aca="false">L19*L20</f>
        <v>5185.53061203643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9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49842.1233705019</v>
      </c>
    </row>
    <row r="31" customFormat="false" ht="15" hidden="false" customHeight="false" outlineLevel="0" collapsed="false">
      <c r="A31" s="0" t="s">
        <v>127</v>
      </c>
      <c r="B31" s="0" t="n">
        <f aca="false">L19</f>
        <v>11195.1716624487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208637.290072908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100756.544962038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100756.544962038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46669.7755083278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96511.8988788298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84572.8988788298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31.0282865155857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-0.0218068563812833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670.285962688508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1151.76872150517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31.6967658456986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91800.4076320794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16.7903119204673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8.84933539652656</v>
      </c>
      <c r="C4" s="0" t="n">
        <f aca="false">B4/Assumptions!$B$2-1</f>
        <v>-0.721017169088066</v>
      </c>
      <c r="D4" s="4" t="n">
        <f aca="false">Assumptions!$B$24</f>
        <v>0.3</v>
      </c>
      <c r="E4" s="4" t="n">
        <f aca="false">DCF_Bear!$B$43</f>
        <v>9.17621970699175</v>
      </c>
      <c r="F4" s="4" t="n">
        <f aca="false">DCF_Bear!$B$47</f>
        <v>4.53536038790222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20.2875896643539</v>
      </c>
      <c r="C5" s="0" t="n">
        <f aca="false">B5/Assumptions!$B$2-1</f>
        <v>-0.360416467075854</v>
      </c>
      <c r="D5" s="4" t="n">
        <f aca="false">Assumptions!$B$38</f>
        <v>0.45</v>
      </c>
      <c r="E5" s="4" t="n">
        <f aca="false">DCF_Base!$B$43</f>
        <v>20.7580351480453</v>
      </c>
      <c r="F5" s="4" t="n">
        <f aca="false">DCF_Base!$B$47</f>
        <v>11.6579699651159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31.0282865155857</v>
      </c>
      <c r="C6" s="0" t="n">
        <f aca="false">B6/Assumptions!$B$2-1</f>
        <v>-0.0218068563812833</v>
      </c>
      <c r="D6" s="4" t="n">
        <f aca="false">Assumptions!$B$52</f>
        <v>0.25</v>
      </c>
      <c r="E6" s="4" t="n">
        <f aca="false">DCF_Bull!$B$43</f>
        <v>31.6967658456986</v>
      </c>
      <c r="F6" s="4" t="n">
        <f aca="false">DCF_Bull!$B$47</f>
        <v>16.7903119204673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19.5412875968137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20.0181731901425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-0.623229781704465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2553.80170287241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10.8042725807896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20.2875896643539</v>
      </c>
      <c r="C15" s="3" t="n">
        <v>8.5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19.4480520767079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17.8771027038372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16.4386139048865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15.1198526908331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11.6579699651159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24.052793903318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24.052793903318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24.052793903318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24.052793903318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24.052793903318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22.0844899598129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22.0844899598129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22.0844899598129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22.0844899598129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22.0844899598129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20.2875896643539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20.2875896643539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20.2875896643539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20.2875896643539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20.2875896643539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18.6451667405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18.6451667405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18.6451667405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18.6451667405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18.6451667405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17.1421300631165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17.1421300631165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17.1421300631165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17.1421300631165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17.1421300631165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2026-09-25T05:58:55Z</dcterms:created>
  <dc:creator>openpyxl</dc:creator>
  <dc:description/>
  <dc:language>en-NZ</dc:language>
  <cp:lastModifiedBy/>
  <dcterms:modified xsi:type="dcterms:W3CDTF">2026-09-25T05:58:55Z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