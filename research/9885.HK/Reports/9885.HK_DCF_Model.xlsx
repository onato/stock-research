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<sst xmlns="http://schemas.openxmlformats.org/spreadsheetml/2006/main" count="375" uniqueCount="191">
  <si>
    <t xml:space="preserve">Ticker</t>
  </si>
  <si>
    <t xml:space="preserve">9885.HK</t>
  </si>
  <si>
    <t xml:space="preserve">Company</t>
  </si>
  <si>
    <t xml:space="preserve">YSB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</si>
  <si>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</si>
  <si>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</si>
  <si>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</si>
  <si>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</si>
  <si>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</si>
  <si>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</si>
  <si>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</si>
  <si>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</si>
  <si>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</si>
  <si>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</si>
  <si>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</si>
  <si>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</si>
  <si>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</si>
  <si>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</si>
  <si>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</si>
  <si>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</si>
  <si>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</si>
  <si>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</si>
  <si>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2026-10-23T19:29:24Z</t>
  </si>
  <si>
    <t xml:space="preserve">Drivers file</t>
  </si>
  <si>
    <t xml:space="preserve">9885.HK_Drivers.json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</si>
  <si>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</si>
  <si>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</si>
  <si>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</si>
  <si>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component build (revenue x adjusted-EBITDA margin, less SBC, lease cash and D&amp;A ex-ROU, tax ramping from 0% to 20%, plus the supplier-float working-capital capture on revenue CHANGE), 10-year horizon because the margin is still maturing, 13% CNY WACC in all scenarios (10% base rate plus 3pp of documented structural premiums for illiquidity, PRC regulatory dependence and single-country exposure), with operating risk carried in the flows and the weights, terminal value = max(0, min(Gordon, 12-15x FCF)). Values computed in CNY and converted to the HKD quote at the dated CNY/HKD rate. The headline finding is that the market capitalisation is below net cash: the valuation therefore turns less on the growth path than on whether the RMB2.1bn supplier float inside net cash is genuinely shareholders' - it is on a going-concern basis, and the bear scenario models its unwind explicitly.
key_risks_to_valuation: Supplier float: ~RMB2.1bn of the RMB2.5bn net cash is payables-funded (payables 4.6bn vs inventories + receivables 2.5bn); a sustained revenue decline unwinds it, and bank-acceptance notes payable (2.15bn) exceed pledged deposits (1.24bn) by ~0.9bn that some would classify as debt (~HKD 1.5/share); Buyer saturation: average monthly active buyers flat at ~460k in H1 FY2026 after +18% (FY2024) and +6.5% (FY2025); every scenario's growth now rests on wallet share and mix rather than buyer adds; Margin thinness: adjusted EBITDA ~1.5% of revenue, so a 0.1pp move in the margin path moves owner FCF by ~7-10%; the base case's rise to 2.2% depends on private-label mix continuing; Competition from SOE distributors (Jointown, Shanghai Pharmaceuticals) and JD Health / Alibaba Health B2B channels, which can subsidise commission rates and buyer acquisition; Cash tax: no tax has been paid to date; the model ramps to 20% by year 7 but the RMB1.3bn of unrecognised losses expiring 2026-28 could run off faster or slower than assumed, and HNTE status is renewed every three years; Governance/China small-cap discount: the ~70% share-price fall around the IPO lock-up expiry, continuing earn-out share issuance and PRC drug-distribution and lending regulation are reasons the market may not credit the cash at par; the DCF credits it fully; Discount rate: the 13% WACC embeds 3pp of structural premiums; at the unstacked 10% the weighted IV is HKD 10.46, so roughly a fifth of the value turns on whether the illiquidity/regulatory/geography premiums are the right way to price risks that the bear scenario and the 30% bear weight already partly carry (a possible double charge, deliberately accepted on the conservative side)
sanity_check_fix: MULTIPLES SANITY CHECK TRIPPED AND FIXED (2026-10-24). At the first build (10% WACC) the weighted intrinsic value of HKD 10.46 implied P/B 3.13x and EV/EBITDA 46.5x against 10-year maxima of 2.02x and 26.2x, and the check diagnosed the WACC as too low for the structural risks in the qualitative analysis. What changed: the discount rate was raised from 10% to 13% in every scenario by adding explicit premiums on top of the base cost of equity - small-cap illiquidity +1.5% (HKD ~2.5bn market cap, 70% drawdown since the lock-up expiry), PRC regulatory single-point-of-failure +1.0% (GSP/online drug-sale licences through a VIE, HNTE status, lending rules), concentrated geography +0.5% (100% PRC) - and an exit-multiple cap of 26.2x EV/EBITDA (the one-year historical range) was added per scenario; it does not bind because the implied terminal EV/EBITDA is 2-7x. The scenario growth, margin, SBC, tax, working-capital and terminal-growth paths, the 30/50/20 weights and every balance-sheet anchor are unchanged. Effect: base HKD 10.99 -&gt; 8.95, bull 16.83 -&gt; 12.81, bear 5.33 -&gt; 5.05, weighted 10.46 -&gt; 8.55; the current price (inputs.price_as_of) remains below net cash of ~HKD 4.21 per share, so the 'below net cash' finding survives the fix. Caveat on the check itself: the script measures EV with the CSV's bank balances (RMB710m) rather than the model's full net-cash bridge (RMB2,628m including time deposits, redeemable wealth-management products and principal-protected notes), and its 'ten-year range' is a single FY2025 observation; on the model's own bridge the implied EV/EBITDA at the weighted IV is ~12x. The higher WACC is kept because it is a defensible rate for this security in its own right, not because the check demands it.</t>
  </si>
  <si>
    <t xml:space="preserve">Data sources</t>
  </si>
  <si>
    <t xml:space="preserve">price: Yahoo Finance chart API at inputs.price_as_of (HKEX regular close); 52-week range 2.96-10.45 HKD. CNY/HKD from Yahoo CNYHKD=X, 2026-10-23.
financials: 9885.HK_Metrics.csv and kpis (RMB thousands, normalised to millions); FY2025 Annual Report (year to 31 Dec 2025, published 23 March 2026) for the income statement, tax note 9a, other income note 6, other gains note 7, D&amp;A and lease lines; H1 FY2026 Interim Report (six months to 30 June 2026) for the balance sheet, cash flow, diluted-EPS note 11, notes 14 and 15.
qualitative: 9885.HK_Analysis.json (2026-10-24): business model, segment trends, buyer KPIs, bull/bear cases, guidance.</t>
  </si>
  <si>
    <t xml:space="preserve">Scenario narrative: bear</t>
  </si>
  <si>
    <t xml:space="preserve">Saturation and competition: the registered pharmacy/clinic base is fully penetrated, SOE distributors and internet-health platforms subsidise B2B channels, the high-margin marketplace keeps shrinking (-13% H1 FY2026), and private-label margin gains are competed away. Revenue goes flat in FY2027 and declines in FY2028-29; the supplier float that produced FY2024-25's cash inflows reverses and owner FCF falls to near zero. Adjusted EBITDA settles at 1.1%, the terminal multiple is 12x, and equity value is essentially the residual cash - the scenario in which the market's below-net-cash price is the right one if the float is not fully shareholders'.</t>
  </si>
  <si>
    <t xml:space="preserve">Scenario narrative: base</t>
  </si>
  <si>
    <t xml:space="preserve">YSB stays the largest independent outside-of-hospital B2B pharma platform, with ~460k active buyers and a 94% paying ratio, but the core two-sided marketplace has stopped growing and the business is now a thin-margin distributor whose profit growth comes from mix: own-brand and Targeted Product Launch SKUs lift Self-operation gross margin ~0.3pp a year, revenue grows mid-single digits (run-rate +4.5%) with bolt-on acquisitions, and the negative cash-conversion cycle keeps the business self-funding. Adjusted EBITDA margin reaches 2.2% by year 8 (owner FCF ~1.3% of revenue), cash tax ramps in from year 3 as the RMB1.3bn tax-loss stock expires, and the RMB2.5bn net cash (of which ~2.1bn is supplier float) is retained at full value on a going-concern basis.</t>
  </si>
  <si>
    <t xml:space="preserve">Scenario narrative: bull</t>
  </si>
  <si>
    <t xml:space="preserve">The pharmaceutical retail downturn that stalled buyer growth in 2025-26 ends; primary-care policy ('Healthy China 2030') and lower-tier penetration restart buyer growth at mid-single digits, private label compounds at 30%+ to a double-digit share of Self-operation, Jinfang TCM standards and SaaS/AI tools lift take-rates, on-demand retail becomes a second leg, and M&amp;A on the Yikuai template adds scale. Adjusted EBITDA margin triples to 3% and revenue reaches ~RMB37bn by year 10; the buyback and dividend confirm cash is for shareholders.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</si>
  <si>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</si>
  <si>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</si>
  <si>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</si>
  <si>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</si>
  <si>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label</t>
  </si>
  <si>
    <t xml:space="preserve">same-day pre-fix build (WACC 10%)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</si>
  <si>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</si>
  <si>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</si>
  <si>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</si>
  <si>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</si>
  <si>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</si>
  <si>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</si>
  <si>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</si>
  <si>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</si>
  <si>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</si>
  <si>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</si>
  <si>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</si>
  <si>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</si>
  <si>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(pre-fix build, 10% WACC)</t>
  </si>
  <si>
    <t xml:space="preserve">Anchor refresh (price, net cash, shares, FX): none - same day</t>
  </si>
  <si>
    <t xml:space="preserve">Driver paths (growth, margin, SBC, tax, WC, terminal growth, weights): unchanged</t>
  </si>
  <si>
    <t xml:space="preserve">WACC 10.0% -&gt; 13.0% (structural premiums: illiquidity +1.5, regulatory +1.0, geography +0.5) in all scenarios</t>
  </si>
  <si>
    <t xml:space="preserve">bear -0.28 x 0.30, base -2.04 x 0.50, bull -4.02 x 0.20 = -0.084 -1.02 -0.804 = -1.91</t>
  </si>
  <si>
    <t xml:space="preserve">exit_multiple_cap added (26.2x EV/EBITDA): non-binding, Gordon still binds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</si>
  <si>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</si>
  <si>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</si>
  <si>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</si>
  <si>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</si>
  <si>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</si>
  <si>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</si>
  <si>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</si>
  <si>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</si>
  <si>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</si>
  <si>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</si>
  <si>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</si>
  <si>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</si>
  <si>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</si>
  <si>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</si>
  <si>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</si>
  <si>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</si>
  <si>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</si>
  <si>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</si>
  <si>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</si>
  <si>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</si>
  <si>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</si>
  <si>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</si>
  <si>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</si>
  <si>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</si>
  <si>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</si>
  <si>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</si>
  <si>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</si>
  <si>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</si>
  <si>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</si>
  <si>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LeasePrincipalRepaid</t>
  </si>
  <si>
    <t xml:space="preserve">MAU</t>
  </si>
  <si>
    <t xml:space="preserve">NetIncomeInclNCI</t>
  </si>
  <si>
    <t xml:space="preserve">RestrictedCash</t>
  </si>
  <si>
    <t xml:space="preserve">ShortTermInvestments</t>
  </si>
  <si>
    <t xml:space="preserve">FY2022</t>
  </si>
  <si>
    <t xml:space="preserve">thousands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</si>
  <si>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</si>
  <si>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</si>
  <si>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</si>
  <si>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</si>
  <si>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</si>
  <si>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</si>
  <si>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</si>
  <si>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</si>
  <si>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</si>
  <si>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</si>
  <si>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</si>
  <si>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</si>
  <si>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</si>
  <si>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</si>
  <si>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</si>
  <si>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</si>
  <si>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</si>
  <si>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</si>
  <si>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</si>
  <si>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</si>
  <si>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</si>
  <si>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</si>
  <si>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</si>
  <si>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</si>
  <si>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</si>
  <si>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</si>
  <si>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</si>
  <si>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</si>
  <si>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</si>
  <si>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</si>
  <si>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</si>
  <si>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</si>
  <si>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</si>
  <si>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</si>
  <si>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</si>
  <si>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</si>
  <si>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</si>
  <si>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</si>
  <si>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</si>
  <si>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9885.HK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</si>
  <si>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</si>
  <si>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</si>
  <si>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</si>
  <si>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</si>
  <si>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</si>
  <si>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</si>
  <si>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</si>
  <si>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</si>
  <si>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</si>
  <si>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</si>
  <si>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</si>
  <si>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</si>
  <si>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</si>
  <si>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</si>
  <si>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</si>
  <si>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</si>
  <si>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</si>
  <si>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</si>
  <si>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</si>
  <si>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</si>
  <si>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</si>
  <si>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</si>
  <si>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</si>
  <si>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</si>
  <si>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</si>
  <si>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</si>
  <si>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</si>
  <si>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</si>
  <si>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</si>
  <si>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</si>
  <si>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9885.HK owner-FCF component DCF: base case (millions, CNY)</t>
  </si>
  <si>
    <t xml:space="preserve">9885.HK owner-FCF component DCF: bull case (millions, CNY)</t>
  </si>
  <si>
    <t xml:space="preserve">9885.HK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</si>
  <si>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</si>
  <si>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</si>
  <si>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</si>
  <si>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</si>
  <si>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</si>
  <si>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</si>
  <si>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</si>
  <si>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</si>
  <si>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</si>
  <si>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</si>
  <si>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</si>
  <si>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</si>
  <si>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</si>
  <si>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</si>
  <si>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</si>
  <si>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</si>
  <si>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</si>
  <si>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</si>
  <si>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13%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</si>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</sst>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3.585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</row>
    <row r="2" customFormat="false" ht="15" hidden="false" customHeight="false" outlineLevel="0" collapsed="false">
      <c r="A2" s="0" t="s">
        <v>40</v>
      </c>
      <c r="B2" s="0" t="s">
        <v>5</v>
      </c>
    </row>
    <row r="3" customFormat="false" ht="15" hidden="false" customHeight="false" outlineLevel="0" collapsed="false">
      <c r="A3" s="0" t="s">
        <v>41</v>
      </c>
      <c r="B3" s="0" t="s">
        <v>42</v>
      </c>
    </row>
    <row r="4" customFormat="false" ht="15" hidden="false" customHeight="false" outlineLevel="0" collapsed="false">
      <c r="A4" s="0" t="s">
        <v>43</v>
      </c>
      <c r="B4" s="0" t="n">
        <v>3.585</v>
      </c>
    </row>
    <row r="5" customFormat="false" ht="15" hidden="false" customHeight="false" outlineLevel="0" collapsed="false">
      <c r="A5" s="0" t="s">
        <v>44</v>
      </c>
      <c r="B5" s="0" t="n">
        <v>5.33</v>
      </c>
    </row>
    <row r="6" customFormat="false" ht="15" hidden="false" customHeight="false" outlineLevel="0" collapsed="false">
      <c r="A6" s="0" t="s">
        <v>45</v>
      </c>
      <c r="B6" s="0" t="n">
        <v>10.99</v>
      </c>
    </row>
    <row r="7" customFormat="false" ht="15" hidden="false" customHeight="false" outlineLevel="0" collapsed="false">
      <c r="A7" s="0" t="s">
        <v>46</v>
      </c>
      <c r="B7" s="0" t="n">
        <v>16.83</v>
      </c>
    </row>
    <row r="8" customFormat="false" ht="15" hidden="false" customHeight="false" outlineLevel="0" collapsed="false">
      <c r="A8" s="0" t="s">
        <v>47</v>
      </c>
      <c r="B8" s="0" t="n">
        <v>10.46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3.585</v>
      </c>
    </row>
    <row r="11" customFormat="false" ht="15" hidden="false" customHeight="false" outlineLevel="0" collapsed="false">
      <c r="A11" s="0" t="s">
        <v>50</v>
      </c>
      <c r="B11" s="0" t="n">
        <v>5.05</v>
      </c>
    </row>
    <row r="12" customFormat="false" ht="15" hidden="false" customHeight="false" outlineLevel="0" collapsed="false">
      <c r="A12" s="0" t="s">
        <v>51</v>
      </c>
      <c r="B12" s="0" t="n">
        <v>8.95</v>
      </c>
    </row>
    <row r="13" customFormat="false" ht="15" hidden="false" customHeight="false" outlineLevel="0" collapsed="false">
      <c r="A13" s="0" t="s">
        <v>52</v>
      </c>
      <c r="B13" s="0" t="n">
        <v>12.81</v>
      </c>
    </row>
    <row r="14" customFormat="false" ht="15" hidden="false" customHeight="false" outlineLevel="0" collapsed="false">
      <c r="A14" s="0" t="s">
        <v>53</v>
      </c>
      <c r="B14" s="0" t="n">
        <v>8.55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10.46</v>
      </c>
    </row>
    <row r="18" customFormat="false" ht="15" hidden="false" customHeight="false" outlineLevel="0" collapsed="false">
      <c r="A18" s="0" t="s">
        <v>56</v>
      </c>
      <c r="B18" s="0" t="n">
        <v>0</v>
      </c>
    </row>
    <row r="19" customFormat="false" ht="15" hidden="false" customHeight="false" outlineLevel="0" collapsed="false">
      <c r="A19" s="0" t="s">
        <v>57</v>
      </c>
      <c r="B19" s="0" t="n">
        <v>0</v>
      </c>
    </row>
    <row r="20" customFormat="false" ht="15" hidden="false" customHeight="false" outlineLevel="0" collapsed="false">
      <c r="A20" s="0" t="s">
        <v>58</v>
      </c>
      <c r="B20" s="0" t="n">
        <v>-1.91</v>
      </c>
      <c r="C20" s="0" t="s">
        <v>59</v>
      </c>
    </row>
    <row r="21" customFormat="false" ht="15" hidden="false" customHeight="false" outlineLevel="0" collapsed="false">
      <c r="A21" s="0" t="s">
        <v>60</v>
      </c>
      <c r="B21" s="0" t="n">
        <v>0</v>
      </c>
    </row>
    <row r="22" customFormat="false" ht="15" hidden="false" customHeight="false" outlineLevel="0" collapsed="false">
      <c r="A22" s="0" t="s">
        <v>61</v>
      </c>
      <c r="B22" s="0" t="n">
        <v>8.55</v>
      </c>
      <c r="C22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2" t="s">
        <v>86</v>
      </c>
      <c r="Y1" s="2" t="s">
        <v>87</v>
      </c>
      <c r="Z1" s="2" t="s">
        <v>88</v>
      </c>
      <c r="AA1" s="2" t="s">
        <v>17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</row>
    <row r="2" customFormat="false" ht="15" hidden="false" customHeight="false" outlineLevel="0" collapsed="false">
      <c r="A2" s="0" t="s">
        <v>95</v>
      </c>
      <c r="B2" s="0" t="n">
        <v>14274810</v>
      </c>
      <c r="C2" s="0" t="n">
        <v>-12840093</v>
      </c>
      <c r="D2" s="0" t="n">
        <v>1434717</v>
      </c>
      <c r="E2" s="0" t="n">
        <v>10.1</v>
      </c>
      <c r="F2" s="0" t="n">
        <v>-256856</v>
      </c>
      <c r="G2" s="0" t="n">
        <v>-1.8</v>
      </c>
      <c r="H2" s="0" t="n">
        <v>-121829</v>
      </c>
      <c r="I2" s="0" t="n">
        <v>-1488688</v>
      </c>
      <c r="J2" s="0" t="n">
        <v>-10.4</v>
      </c>
      <c r="K2" s="0" t="n">
        <v>-11.88</v>
      </c>
      <c r="L2" s="0" t="n">
        <v>98200</v>
      </c>
      <c r="M2" s="0" t="n">
        <v>43709</v>
      </c>
      <c r="N2" s="0" t="n">
        <v>54491</v>
      </c>
      <c r="O2" s="0" t="n">
        <v>-4350781</v>
      </c>
      <c r="P2" s="0" t="n">
        <v>4108740</v>
      </c>
      <c r="Q2" s="0" t="n">
        <v>8478450</v>
      </c>
      <c r="R2" s="0" t="n">
        <v>0</v>
      </c>
      <c r="S2" s="0" t="n">
        <v>835394</v>
      </c>
      <c r="T2" s="0" t="n">
        <v>125316.184</v>
      </c>
      <c r="U2" s="0" t="n">
        <v>38817</v>
      </c>
      <c r="AA2" s="0" t="s">
        <v>96</v>
      </c>
      <c r="AB2" s="0" t="s">
        <v>14</v>
      </c>
      <c r="AC2" s="0" t="n">
        <v>75276</v>
      </c>
      <c r="AE2" s="0" t="n">
        <v>-1500038</v>
      </c>
      <c r="AF2" s="0" t="n">
        <v>298404</v>
      </c>
      <c r="AG2" s="0" t="n">
        <v>1031563</v>
      </c>
    </row>
    <row r="3" customFormat="false" ht="15" hidden="false" customHeight="false" outlineLevel="0" collapsed="false">
      <c r="A3" s="0" t="s">
        <v>97</v>
      </c>
      <c r="B3" s="0" t="n">
        <v>16972276</v>
      </c>
      <c r="C3" s="0" t="n">
        <v>-15231353</v>
      </c>
      <c r="D3" s="0" t="n">
        <v>1740923</v>
      </c>
      <c r="E3" s="0" t="n">
        <v>10.3</v>
      </c>
      <c r="F3" s="0" t="n">
        <v>-72565</v>
      </c>
      <c r="G3" s="0" t="n">
        <v>-0.4</v>
      </c>
      <c r="H3" s="0" t="n">
        <v>61505</v>
      </c>
      <c r="I3" s="0" t="n">
        <v>-3189212</v>
      </c>
      <c r="J3" s="0" t="n">
        <v>-18.8</v>
      </c>
      <c r="K3" s="0" t="n">
        <v>-8.26</v>
      </c>
      <c r="L3" s="0" t="n">
        <v>451202</v>
      </c>
      <c r="M3" s="0" t="n">
        <v>17549</v>
      </c>
      <c r="N3" s="0" t="n">
        <v>433653</v>
      </c>
      <c r="O3" s="0" t="n">
        <v>1919762</v>
      </c>
      <c r="P3" s="0" t="n">
        <v>5211843</v>
      </c>
      <c r="Q3" s="0" t="n">
        <v>3328305</v>
      </c>
      <c r="R3" s="0" t="n">
        <v>57508</v>
      </c>
      <c r="S3" s="0" t="n">
        <v>745693</v>
      </c>
      <c r="T3" s="0" t="n">
        <v>386102.9</v>
      </c>
      <c r="U3" s="0" t="n">
        <v>118278</v>
      </c>
      <c r="AA3" s="0" t="s">
        <v>96</v>
      </c>
      <c r="AB3" s="0" t="s">
        <v>14</v>
      </c>
      <c r="AC3" s="0" t="n">
        <v>81461</v>
      </c>
      <c r="AD3" s="0" t="n">
        <v>367000</v>
      </c>
      <c r="AE3" s="0" t="n">
        <v>-3206507</v>
      </c>
      <c r="AF3" s="0" t="n">
        <v>1105992</v>
      </c>
      <c r="AG3" s="0" t="n">
        <v>1155166</v>
      </c>
    </row>
    <row r="4" customFormat="false" ht="15" hidden="false" customHeight="false" outlineLevel="0" collapsed="false">
      <c r="A4" s="0" t="s">
        <v>98</v>
      </c>
      <c r="B4" s="0" t="n">
        <v>17903608</v>
      </c>
      <c r="C4" s="0" t="n">
        <v>-16090157</v>
      </c>
      <c r="D4" s="0" t="n">
        <v>1813451</v>
      </c>
      <c r="E4" s="0" t="n">
        <v>10.1</v>
      </c>
      <c r="F4" s="0" t="n">
        <v>-95973</v>
      </c>
      <c r="G4" s="0" t="n">
        <v>-0.5</v>
      </c>
      <c r="H4" s="0" t="n">
        <v>32613</v>
      </c>
      <c r="I4" s="0" t="n">
        <v>30013</v>
      </c>
      <c r="J4" s="0" t="n">
        <v>0.2</v>
      </c>
      <c r="K4" s="0" t="n">
        <v>0.046</v>
      </c>
      <c r="L4" s="0" t="n">
        <v>655858</v>
      </c>
      <c r="M4" s="0" t="n">
        <v>23403</v>
      </c>
      <c r="N4" s="0" t="n">
        <v>632455</v>
      </c>
      <c r="O4" s="0" t="n">
        <v>2319063</v>
      </c>
      <c r="P4" s="0" t="n">
        <v>6495107</v>
      </c>
      <c r="Q4" s="0" t="n">
        <v>4226463</v>
      </c>
      <c r="R4" s="0" t="n">
        <v>21207</v>
      </c>
      <c r="S4" s="0" t="n">
        <v>1041228</v>
      </c>
      <c r="T4" s="0" t="n">
        <v>657347.467</v>
      </c>
      <c r="U4" s="0" t="n">
        <v>137692</v>
      </c>
      <c r="AA4" s="0" t="s">
        <v>96</v>
      </c>
      <c r="AB4" s="0" t="s">
        <v>14</v>
      </c>
      <c r="AC4" s="0" t="n">
        <v>81608</v>
      </c>
      <c r="AD4" s="0" t="n">
        <v>433000</v>
      </c>
      <c r="AE4" s="0" t="n">
        <v>15081</v>
      </c>
      <c r="AF4" s="0" t="n">
        <v>1134621</v>
      </c>
      <c r="AG4" s="0" t="n">
        <v>977523</v>
      </c>
    </row>
    <row r="5" customFormat="false" ht="15" hidden="false" customHeight="false" outlineLevel="0" collapsed="false">
      <c r="A5" s="0" t="s">
        <v>99</v>
      </c>
      <c r="B5" s="0" t="n">
        <v>20969650</v>
      </c>
      <c r="C5" s="0" t="n">
        <v>-18662668</v>
      </c>
      <c r="D5" s="0" t="n">
        <v>2306982</v>
      </c>
      <c r="E5" s="0" t="n">
        <v>11</v>
      </c>
      <c r="F5" s="0" t="n">
        <v>63481</v>
      </c>
      <c r="G5" s="0" t="n">
        <v>0.3</v>
      </c>
      <c r="H5" s="0" t="n">
        <v>216201</v>
      </c>
      <c r="I5" s="0" t="n">
        <v>152965</v>
      </c>
      <c r="J5" s="0" t="n">
        <v>0.7</v>
      </c>
      <c r="K5" s="0" t="n">
        <v>0.22</v>
      </c>
      <c r="L5" s="0" t="n">
        <v>637700</v>
      </c>
      <c r="M5" s="0" t="n">
        <v>18236</v>
      </c>
      <c r="N5" s="0" t="n">
        <v>619464</v>
      </c>
      <c r="O5" s="0" t="n">
        <v>2443318</v>
      </c>
      <c r="P5" s="0" t="n">
        <v>7562543</v>
      </c>
      <c r="Q5" s="0" t="n">
        <v>5176350</v>
      </c>
      <c r="R5" s="0" t="n">
        <v>151653</v>
      </c>
      <c r="S5" s="0" t="n">
        <v>709959</v>
      </c>
      <c r="T5" s="0" t="n">
        <v>694873.635</v>
      </c>
      <c r="U5" s="0" t="n">
        <v>64128</v>
      </c>
      <c r="AA5" s="0" t="s">
        <v>96</v>
      </c>
      <c r="AB5" s="0" t="s">
        <v>14</v>
      </c>
      <c r="AC5" s="0" t="n">
        <v>81378</v>
      </c>
      <c r="AD5" s="0" t="n">
        <v>461000</v>
      </c>
      <c r="AE5" s="0" t="n">
        <v>145982</v>
      </c>
      <c r="AF5" s="0" t="n">
        <v>1636628</v>
      </c>
      <c r="AG5" s="0" t="n">
        <v>1038589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100</v>
      </c>
      <c r="B1" s="2" t="s">
        <v>38</v>
      </c>
    </row>
    <row r="2" customFormat="false" ht="15" hidden="false" customHeight="false" outlineLevel="0" collapsed="false">
      <c r="A2" s="0" t="s">
        <v>101</v>
      </c>
      <c r="B2" s="3" t="n">
        <v>3.585</v>
      </c>
    </row>
    <row r="3" customFormat="false" ht="15" hidden="false" customHeight="false" outlineLevel="0" collapsed="false">
      <c r="A3" s="0" t="s">
        <v>102</v>
      </c>
      <c r="B3" s="3" t="n">
        <v>697.06</v>
      </c>
    </row>
    <row r="4" customFormat="false" ht="15" hidden="false" customHeight="false" outlineLevel="0" collapsed="false">
      <c r="A4" s="0" t="s">
        <v>103</v>
      </c>
      <c r="B4" s="3" t="n">
        <v>-2497.46</v>
      </c>
    </row>
    <row r="5" customFormat="false" ht="15" hidden="false" customHeight="false" outlineLevel="0" collapsed="false">
      <c r="A5" s="0" t="s">
        <v>104</v>
      </c>
      <c r="B5" s="3" t="n">
        <v>0</v>
      </c>
    </row>
    <row r="6" customFormat="false" ht="15" hidden="false" customHeight="false" outlineLevel="0" collapsed="false">
      <c r="A6" s="0" t="s">
        <v>105</v>
      </c>
      <c r="B6" s="3" t="n">
        <v>15</v>
      </c>
    </row>
    <row r="7" customFormat="false" ht="15" hidden="false" customHeight="false" outlineLevel="0" collapsed="false">
      <c r="A7" s="0" t="s">
        <v>106</v>
      </c>
      <c r="B7" s="3" t="n">
        <v>20969.65</v>
      </c>
    </row>
    <row r="8" customFormat="false" ht="15" hidden="false" customHeight="false" outlineLevel="0" collapsed="false">
      <c r="A8" s="0" t="s">
        <v>107</v>
      </c>
      <c r="B8" s="3" t="s">
        <v>99</v>
      </c>
    </row>
    <row r="9" customFormat="false" ht="15" hidden="false" customHeight="false" outlineLevel="0" collapsed="false">
      <c r="A9" s="0" t="s">
        <v>108</v>
      </c>
      <c r="B9" s="3" t="s">
        <v>109</v>
      </c>
    </row>
    <row r="10" customFormat="false" ht="15" hidden="false" customHeight="false" outlineLevel="0" collapsed="false">
      <c r="A10" s="0" t="s">
        <v>110</v>
      </c>
      <c r="B10" s="3" t="n">
        <v>1.1754</v>
      </c>
    </row>
    <row r="12" customFormat="false" ht="15" hidden="false" customHeight="false" outlineLevel="0" collapsed="false">
      <c r="A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</row>
    <row r="13" customFormat="false" ht="15" hidden="false" customHeight="false" outlineLevel="0" collapsed="false">
      <c r="A13" s="0" t="s">
        <v>122</v>
      </c>
      <c r="C13" s="3" t="n">
        <v>3</v>
      </c>
      <c r="D13" s="3" t="n">
        <v>0</v>
      </c>
      <c r="E13" s="3" t="n">
        <v>-3</v>
      </c>
      <c r="F13" s="3" t="n">
        <v>-2</v>
      </c>
      <c r="G13" s="3" t="n">
        <v>0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123</v>
      </c>
      <c r="C14" s="3" t="n">
        <v>1.4</v>
      </c>
      <c r="D14" s="3" t="n">
        <v>1.3</v>
      </c>
      <c r="E14" s="3" t="n">
        <v>1.2</v>
      </c>
      <c r="F14" s="3" t="n">
        <v>1.1</v>
      </c>
      <c r="G14" s="3" t="n">
        <v>1.1</v>
      </c>
      <c r="H14" s="3" t="n">
        <v>1.1</v>
      </c>
      <c r="I14" s="3" t="n">
        <v>1.1</v>
      </c>
      <c r="J14" s="3" t="n">
        <v>1.1</v>
      </c>
      <c r="K14" s="3" t="n">
        <v>1.1</v>
      </c>
      <c r="L14" s="3" t="n">
        <v>1.1</v>
      </c>
    </row>
    <row r="15" customFormat="false" ht="15" hidden="false" customHeight="false" outlineLevel="0" collapsed="false">
      <c r="A15" s="0" t="s">
        <v>124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125</v>
      </c>
      <c r="C16" s="3" t="n">
        <v>0.43</v>
      </c>
      <c r="D16" s="3" t="n">
        <v>0.43</v>
      </c>
      <c r="E16" s="3" t="n">
        <v>0.43</v>
      </c>
      <c r="F16" s="3" t="n">
        <v>0.43</v>
      </c>
      <c r="G16" s="3" t="n">
        <v>0.43</v>
      </c>
      <c r="H16" s="3" t="n">
        <v>0.43</v>
      </c>
      <c r="I16" s="3" t="n">
        <v>0.43</v>
      </c>
      <c r="J16" s="3" t="n">
        <v>0.43</v>
      </c>
      <c r="K16" s="3" t="n">
        <v>0.43</v>
      </c>
      <c r="L16" s="3" t="n">
        <v>0.43</v>
      </c>
    </row>
    <row r="17" customFormat="false" ht="15" hidden="false" customHeight="false" outlineLevel="0" collapsed="false">
      <c r="A17" s="0" t="s">
        <v>126</v>
      </c>
      <c r="C17" s="3" t="n">
        <v>0.35</v>
      </c>
      <c r="D17" s="3" t="n">
        <v>0.33</v>
      </c>
      <c r="E17" s="3" t="n">
        <v>0.31</v>
      </c>
      <c r="F17" s="3" t="n">
        <v>0.29</v>
      </c>
      <c r="G17" s="3" t="n">
        <v>0.27</v>
      </c>
      <c r="H17" s="3" t="n">
        <v>0.25</v>
      </c>
      <c r="I17" s="3" t="n">
        <v>0.25</v>
      </c>
      <c r="J17" s="3" t="n">
        <v>0.25</v>
      </c>
      <c r="K17" s="3" t="n">
        <v>0.25</v>
      </c>
      <c r="L17" s="3" t="n">
        <v>0.25</v>
      </c>
    </row>
    <row r="18" customFormat="false" ht="15" hidden="false" customHeight="false" outlineLevel="0" collapsed="false">
      <c r="A18" s="0" t="s">
        <v>127</v>
      </c>
      <c r="C18" s="3" t="n">
        <v>0.2</v>
      </c>
      <c r="D18" s="3" t="n">
        <v>0.2</v>
      </c>
      <c r="E18" s="3" t="n">
        <v>0.2</v>
      </c>
      <c r="F18" s="3" t="n">
        <v>0.2</v>
      </c>
      <c r="G18" s="3" t="n">
        <v>0.2</v>
      </c>
      <c r="H18" s="3" t="n">
        <v>0.2</v>
      </c>
      <c r="I18" s="3" t="n">
        <v>0.2</v>
      </c>
      <c r="J18" s="3" t="n">
        <v>0.2</v>
      </c>
      <c r="K18" s="3" t="n">
        <v>0.2</v>
      </c>
      <c r="L18" s="3" t="n">
        <v>0.2</v>
      </c>
    </row>
    <row r="19" customFormat="false" ht="15" hidden="false" customHeight="false" outlineLevel="0" collapsed="false">
      <c r="A19" s="0" t="s">
        <v>128</v>
      </c>
      <c r="C19" s="3" t="n">
        <v>0</v>
      </c>
      <c r="D19" s="3" t="n">
        <v>0</v>
      </c>
      <c r="E19" s="3" t="n">
        <v>0</v>
      </c>
      <c r="F19" s="3" t="n">
        <v>5</v>
      </c>
      <c r="G19" s="3" t="n">
        <v>10</v>
      </c>
      <c r="H19" s="3" t="n">
        <v>15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129</v>
      </c>
      <c r="B20" s="3" t="n">
        <v>13</v>
      </c>
    </row>
    <row r="21" customFormat="false" ht="15" hidden="false" customHeight="false" outlineLevel="0" collapsed="false">
      <c r="A21" s="0" t="s">
        <v>130</v>
      </c>
      <c r="B21" s="3" t="n">
        <v>1.5</v>
      </c>
    </row>
    <row r="22" customFormat="false" ht="15" hidden="false" customHeight="false" outlineLevel="0" collapsed="false">
      <c r="A22" s="0" t="s">
        <v>131</v>
      </c>
      <c r="B22" s="3" t="n">
        <v>12</v>
      </c>
    </row>
    <row r="23" customFormat="false" ht="15" hidden="false" customHeight="false" outlineLevel="0" collapsed="false">
      <c r="A23" s="0" t="s">
        <v>132</v>
      </c>
      <c r="B23" s="3" t="n">
        <v>10</v>
      </c>
    </row>
    <row r="24" customFormat="false" ht="15" hidden="false" customHeight="false" outlineLevel="0" collapsed="false">
      <c r="A24" s="0" t="s">
        <v>133</v>
      </c>
      <c r="B24" s="3" t="n">
        <v>0.3</v>
      </c>
    </row>
    <row r="26" customFormat="false" ht="15" hidden="false" customHeight="false" outlineLevel="0" collapsed="false">
      <c r="A26" s="2" t="s">
        <v>134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116</v>
      </c>
      <c r="H26" s="2" t="s">
        <v>117</v>
      </c>
      <c r="I26" s="2" t="s">
        <v>118</v>
      </c>
      <c r="J26" s="2" t="s">
        <v>119</v>
      </c>
      <c r="K26" s="2" t="s">
        <v>120</v>
      </c>
      <c r="L26" s="2" t="s">
        <v>121</v>
      </c>
    </row>
    <row r="27" customFormat="false" ht="15" hidden="false" customHeight="false" outlineLevel="0" collapsed="false">
      <c r="A27" s="0" t="s">
        <v>122</v>
      </c>
      <c r="C27" s="3" t="n">
        <v>4.5</v>
      </c>
      <c r="D27" s="3" t="n">
        <v>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123</v>
      </c>
      <c r="C28" s="3" t="n">
        <v>1.5</v>
      </c>
      <c r="D28" s="3" t="n">
        <v>1.6</v>
      </c>
      <c r="E28" s="3" t="n">
        <v>1.7</v>
      </c>
      <c r="F28" s="3" t="n">
        <v>1.8</v>
      </c>
      <c r="G28" s="3" t="n">
        <v>1.9</v>
      </c>
      <c r="H28" s="3" t="n">
        <v>2</v>
      </c>
      <c r="I28" s="3" t="n">
        <v>2.1</v>
      </c>
      <c r="J28" s="3" t="n">
        <v>2.2</v>
      </c>
      <c r="K28" s="3" t="n">
        <v>2.2</v>
      </c>
      <c r="L28" s="3" t="n">
        <v>2.2</v>
      </c>
    </row>
    <row r="29" customFormat="false" ht="15" hidden="false" customHeight="false" outlineLevel="0" collapsed="false">
      <c r="A29" s="0" t="s">
        <v>124</v>
      </c>
      <c r="C29" s="3" t="n">
        <v>0.25</v>
      </c>
      <c r="D29" s="3" t="n">
        <v>0.25</v>
      </c>
      <c r="E29" s="3" t="n">
        <v>0.25</v>
      </c>
      <c r="F29" s="3" t="n">
        <v>0.22</v>
      </c>
      <c r="G29" s="3" t="n">
        <v>0.22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125</v>
      </c>
      <c r="C30" s="3" t="n">
        <v>0.43</v>
      </c>
      <c r="D30" s="3" t="n">
        <v>0.43</v>
      </c>
      <c r="E30" s="3" t="n">
        <v>0.42</v>
      </c>
      <c r="F30" s="3" t="n">
        <v>0.42</v>
      </c>
      <c r="G30" s="3" t="n">
        <v>0.41</v>
      </c>
      <c r="H30" s="3" t="n">
        <v>0.41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126</v>
      </c>
      <c r="C31" s="3" t="n">
        <v>0.35</v>
      </c>
      <c r="D31" s="3" t="n">
        <v>0.33</v>
      </c>
      <c r="E31" s="3" t="n">
        <v>0.31</v>
      </c>
      <c r="F31" s="3" t="n">
        <v>0.29</v>
      </c>
      <c r="G31" s="3" t="n">
        <v>0.27</v>
      </c>
      <c r="H31" s="3" t="n">
        <v>0.25</v>
      </c>
      <c r="I31" s="3" t="n">
        <v>0.25</v>
      </c>
      <c r="J31" s="3" t="n">
        <v>0.25</v>
      </c>
      <c r="K31" s="3" t="n">
        <v>0.25</v>
      </c>
      <c r="L31" s="3" t="n">
        <v>0.25</v>
      </c>
    </row>
    <row r="32" customFormat="false" ht="15" hidden="false" customHeight="false" outlineLevel="0" collapsed="false">
      <c r="A32" s="0" t="s">
        <v>127</v>
      </c>
      <c r="C32" s="3" t="n">
        <v>0.2</v>
      </c>
      <c r="D32" s="3" t="n">
        <v>0.2</v>
      </c>
      <c r="E32" s="3" t="n">
        <v>0.2</v>
      </c>
      <c r="F32" s="3" t="n">
        <v>0.2</v>
      </c>
      <c r="G32" s="3" t="n">
        <v>0.2</v>
      </c>
      <c r="H32" s="3" t="n">
        <v>0.2</v>
      </c>
      <c r="I32" s="3" t="n">
        <v>0.2</v>
      </c>
      <c r="J32" s="3" t="n">
        <v>0.2</v>
      </c>
      <c r="K32" s="3" t="n">
        <v>0.2</v>
      </c>
      <c r="L32" s="3" t="n">
        <v>0.2</v>
      </c>
    </row>
    <row r="33" customFormat="false" ht="15" hidden="false" customHeight="false" outlineLevel="0" collapsed="false">
      <c r="A33" s="0" t="s">
        <v>128</v>
      </c>
      <c r="C33" s="3" t="n">
        <v>0</v>
      </c>
      <c r="D33" s="3" t="n">
        <v>0</v>
      </c>
      <c r="E33" s="3" t="n">
        <v>5</v>
      </c>
      <c r="F33" s="3" t="n">
        <v>10</v>
      </c>
      <c r="G33" s="3" t="n">
        <v>15</v>
      </c>
      <c r="H33" s="3" t="n">
        <v>18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129</v>
      </c>
      <c r="B34" s="3" t="n">
        <v>13</v>
      </c>
    </row>
    <row r="35" customFormat="false" ht="15" hidden="false" customHeight="false" outlineLevel="0" collapsed="false">
      <c r="A35" s="0" t="s">
        <v>130</v>
      </c>
      <c r="B35" s="3" t="n">
        <v>2.5</v>
      </c>
    </row>
    <row r="36" customFormat="false" ht="15" hidden="false" customHeight="false" outlineLevel="0" collapsed="false">
      <c r="A36" s="0" t="s">
        <v>131</v>
      </c>
      <c r="B36" s="3" t="n">
        <v>14</v>
      </c>
    </row>
    <row r="37" customFormat="false" ht="15" hidden="false" customHeight="false" outlineLevel="0" collapsed="false">
      <c r="A37" s="0" t="s">
        <v>132</v>
      </c>
      <c r="B37" s="3" t="n">
        <v>8</v>
      </c>
    </row>
    <row r="38" customFormat="false" ht="15" hidden="false" customHeight="false" outlineLevel="0" collapsed="false">
      <c r="A38" s="0" t="s">
        <v>133</v>
      </c>
      <c r="B38" s="3" t="n">
        <v>0.5</v>
      </c>
    </row>
    <row r="40" customFormat="false" ht="15" hidden="false" customHeight="false" outlineLevel="0" collapsed="false">
      <c r="A40" s="2" t="s">
        <v>135</v>
      </c>
      <c r="C40" s="2" t="s">
        <v>112</v>
      </c>
      <c r="D40" s="2" t="s">
        <v>113</v>
      </c>
      <c r="E40" s="2" t="s">
        <v>114</v>
      </c>
      <c r="F40" s="2" t="s">
        <v>115</v>
      </c>
      <c r="G40" s="2" t="s">
        <v>116</v>
      </c>
      <c r="H40" s="2" t="s">
        <v>117</v>
      </c>
      <c r="I40" s="2" t="s">
        <v>118</v>
      </c>
      <c r="J40" s="2" t="s">
        <v>119</v>
      </c>
      <c r="K40" s="2" t="s">
        <v>120</v>
      </c>
      <c r="L40" s="2" t="s">
        <v>121</v>
      </c>
    </row>
    <row r="41" customFormat="false" ht="15" hidden="false" customHeight="false" outlineLevel="0" collapsed="false">
      <c r="A41" s="0" t="s">
        <v>122</v>
      </c>
      <c r="C41" s="3" t="n">
        <v>6</v>
      </c>
      <c r="D41" s="3" t="n">
        <v>8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123</v>
      </c>
      <c r="C42" s="3" t="n">
        <v>1.65</v>
      </c>
      <c r="D42" s="3" t="n">
        <v>1.85</v>
      </c>
      <c r="E42" s="3" t="n">
        <v>2.05</v>
      </c>
      <c r="F42" s="3" t="n">
        <v>2.25</v>
      </c>
      <c r="G42" s="3" t="n">
        <v>2.45</v>
      </c>
      <c r="H42" s="3" t="n">
        <v>2.65</v>
      </c>
      <c r="I42" s="3" t="n">
        <v>2.8</v>
      </c>
      <c r="J42" s="3" t="n">
        <v>2.95</v>
      </c>
      <c r="K42" s="3" t="n">
        <v>3</v>
      </c>
      <c r="L42" s="3" t="n">
        <v>3</v>
      </c>
    </row>
    <row r="43" customFormat="false" ht="15" hidden="false" customHeight="false" outlineLevel="0" collapsed="false">
      <c r="A43" s="0" t="s">
        <v>124</v>
      </c>
      <c r="C43" s="3" t="n">
        <v>0.25</v>
      </c>
      <c r="D43" s="3" t="n">
        <v>0.25</v>
      </c>
      <c r="E43" s="3" t="n">
        <v>0.25</v>
      </c>
      <c r="F43" s="3" t="n">
        <v>0.22</v>
      </c>
      <c r="G43" s="3" t="n">
        <v>0.22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125</v>
      </c>
      <c r="C44" s="3" t="n">
        <v>0.43</v>
      </c>
      <c r="D44" s="3" t="n">
        <v>0.42</v>
      </c>
      <c r="E44" s="3" t="n">
        <v>0.41</v>
      </c>
      <c r="F44" s="3" t="n">
        <v>0.4</v>
      </c>
      <c r="G44" s="3" t="n">
        <v>0.39</v>
      </c>
      <c r="H44" s="3" t="n">
        <v>0.38</v>
      </c>
      <c r="I44" s="3" t="n">
        <v>0.38</v>
      </c>
      <c r="J44" s="3" t="n">
        <v>0.38</v>
      </c>
      <c r="K44" s="3" t="n">
        <v>0.38</v>
      </c>
      <c r="L44" s="3" t="n">
        <v>0.38</v>
      </c>
    </row>
    <row r="45" customFormat="false" ht="15" hidden="false" customHeight="false" outlineLevel="0" collapsed="false">
      <c r="A45" s="0" t="s">
        <v>126</v>
      </c>
      <c r="C45" s="3" t="n">
        <v>0.35</v>
      </c>
      <c r="D45" s="3" t="n">
        <v>0.33</v>
      </c>
      <c r="E45" s="3" t="n">
        <v>0.31</v>
      </c>
      <c r="F45" s="3" t="n">
        <v>0.29</v>
      </c>
      <c r="G45" s="3" t="n">
        <v>0.27</v>
      </c>
      <c r="H45" s="3" t="n">
        <v>0.25</v>
      </c>
      <c r="I45" s="3" t="n">
        <v>0.25</v>
      </c>
      <c r="J45" s="3" t="n">
        <v>0.25</v>
      </c>
      <c r="K45" s="3" t="n">
        <v>0.25</v>
      </c>
      <c r="L45" s="3" t="n">
        <v>0.25</v>
      </c>
    </row>
    <row r="46" customFormat="false" ht="15" hidden="false" customHeight="false" outlineLevel="0" collapsed="false">
      <c r="A46" s="0" t="s">
        <v>127</v>
      </c>
      <c r="C46" s="3" t="n">
        <v>0.2</v>
      </c>
      <c r="D46" s="3" t="n">
        <v>0.2</v>
      </c>
      <c r="E46" s="3" t="n">
        <v>0.2</v>
      </c>
      <c r="F46" s="3" t="n">
        <v>0.2</v>
      </c>
      <c r="G46" s="3" t="n">
        <v>0.2</v>
      </c>
      <c r="H46" s="3" t="n">
        <v>0.2</v>
      </c>
      <c r="I46" s="3" t="n">
        <v>0.2</v>
      </c>
      <c r="J46" s="3" t="n">
        <v>0.2</v>
      </c>
      <c r="K46" s="3" t="n">
        <v>0.2</v>
      </c>
      <c r="L46" s="3" t="n">
        <v>0.2</v>
      </c>
    </row>
    <row r="47" customFormat="false" ht="15" hidden="false" customHeight="false" outlineLevel="0" collapsed="false">
      <c r="A47" s="0" t="s">
        <v>128</v>
      </c>
      <c r="C47" s="3" t="n">
        <v>0</v>
      </c>
      <c r="D47" s="3" t="n">
        <v>0</v>
      </c>
      <c r="E47" s="3" t="n">
        <v>5</v>
      </c>
      <c r="F47" s="3" t="n">
        <v>10</v>
      </c>
      <c r="G47" s="3" t="n">
        <v>15</v>
      </c>
      <c r="H47" s="3" t="n">
        <v>18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129</v>
      </c>
      <c r="B48" s="3" t="n">
        <v>13</v>
      </c>
    </row>
    <row r="49" customFormat="false" ht="15" hidden="false" customHeight="false" outlineLevel="0" collapsed="false">
      <c r="A49" s="0" t="s">
        <v>130</v>
      </c>
      <c r="B49" s="3" t="n">
        <v>3</v>
      </c>
    </row>
    <row r="50" customFormat="false" ht="15" hidden="false" customHeight="false" outlineLevel="0" collapsed="false">
      <c r="A50" s="0" t="s">
        <v>131</v>
      </c>
      <c r="B50" s="3" t="n">
        <v>15</v>
      </c>
    </row>
    <row r="51" customFormat="false" ht="15" hidden="false" customHeight="false" outlineLevel="0" collapsed="false">
      <c r="A51" s="0" t="s">
        <v>132</v>
      </c>
      <c r="B51" s="3" t="n">
        <v>10</v>
      </c>
    </row>
    <row r="52" customFormat="false" ht="15" hidden="false" customHeight="false" outlineLevel="0" collapsed="false">
      <c r="A52" s="0" t="s">
        <v>133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64</v>
      </c>
      <c r="B6" s="3" t="n">
        <v>20969.65</v>
      </c>
      <c r="C6" s="0" t="n">
        <f aca="false">B6*(1+C5/100)</f>
        <v>21598.7395</v>
      </c>
      <c r="D6" s="0" t="n">
        <f aca="false">C6*(1+D5/100)</f>
        <v>21598.7395</v>
      </c>
      <c r="E6" s="0" t="n">
        <f aca="false">D6*(1+E5/100)</f>
        <v>20950.777315</v>
      </c>
      <c r="F6" s="0" t="n">
        <f aca="false">E6*(1+F5/100)</f>
        <v>20531.7617687</v>
      </c>
      <c r="G6" s="0" t="n">
        <f aca="false">F6*(1+G5/100)</f>
        <v>20531.7617687</v>
      </c>
      <c r="H6" s="0" t="n">
        <f aca="false">G6*(1+H5/100)</f>
        <v>20737.079386387</v>
      </c>
      <c r="I6" s="0" t="n">
        <f aca="false">H6*(1+I5/100)</f>
        <v>21048.1355771828</v>
      </c>
      <c r="J6" s="0" t="n">
        <f aca="false">I6*(1+J5/100)</f>
        <v>21363.8576108405</v>
      </c>
      <c r="K6" s="0" t="n">
        <f aca="false">J6*(1+K5/100)</f>
        <v>21684.3154750032</v>
      </c>
      <c r="L6" s="0" t="n">
        <f aca="false">K6*(1+L5/100)</f>
        <v>22009.5802071282</v>
      </c>
    </row>
    <row r="7" customFormat="false" ht="15" hidden="false" customHeight="false" outlineLevel="0" collapsed="false">
      <c r="A7" s="0" t="s">
        <v>123</v>
      </c>
      <c r="C7" s="4" t="n">
        <f aca="false">Assumptions!C14</f>
        <v>1.4</v>
      </c>
      <c r="D7" s="4" t="n">
        <f aca="false">Assumptions!D14</f>
        <v>1.3</v>
      </c>
      <c r="E7" s="4" t="n">
        <f aca="false">Assumptions!E14</f>
        <v>1.2</v>
      </c>
      <c r="F7" s="4" t="n">
        <f aca="false">Assumptions!F14</f>
        <v>1.1</v>
      </c>
      <c r="G7" s="4" t="n">
        <f aca="false">Assumptions!G14</f>
        <v>1.1</v>
      </c>
      <c r="H7" s="4" t="n">
        <f aca="false">Assumptions!H14</f>
        <v>1.1</v>
      </c>
      <c r="I7" s="4" t="n">
        <f aca="false">Assumptions!I14</f>
        <v>1.1</v>
      </c>
      <c r="J7" s="4" t="n">
        <f aca="false">Assumptions!J14</f>
        <v>1.1</v>
      </c>
      <c r="K7" s="4" t="n">
        <f aca="false">Assumptions!K14</f>
        <v>1.1</v>
      </c>
      <c r="L7" s="4" t="n">
        <f aca="false">Assumptions!L14</f>
        <v>1.1</v>
      </c>
    </row>
    <row r="8" customFormat="false" ht="15" hidden="false" customHeight="false" outlineLevel="0" collapsed="false">
      <c r="A8" s="0" t="s">
        <v>70</v>
      </c>
      <c r="C8" s="0" t="n">
        <f aca="false">C6*C7/100</f>
        <v>302.382353</v>
      </c>
      <c r="D8" s="0" t="n">
        <f aca="false">D6*D7/100</f>
        <v>280.7836135</v>
      </c>
      <c r="E8" s="0" t="n">
        <f aca="false">E6*E7/100</f>
        <v>251.40932778</v>
      </c>
      <c r="F8" s="0" t="n">
        <f aca="false">F6*F7/100</f>
        <v>225.8493794557</v>
      </c>
      <c r="G8" s="0" t="n">
        <f aca="false">G6*G7/100</f>
        <v>225.8493794557</v>
      </c>
      <c r="H8" s="0" t="n">
        <f aca="false">H6*H7/100</f>
        <v>228.107873250257</v>
      </c>
      <c r="I8" s="0" t="n">
        <f aca="false">I6*I7/100</f>
        <v>231.529491349011</v>
      </c>
      <c r="J8" s="0" t="n">
        <f aca="false">J6*J7/100</f>
        <v>235.002433719246</v>
      </c>
      <c r="K8" s="0" t="n">
        <f aca="false">K6*K7/100</f>
        <v>238.527470225035</v>
      </c>
      <c r="L8" s="0" t="n">
        <f aca="false">L6*L7/100</f>
        <v>242.10538227841</v>
      </c>
    </row>
    <row r="9" customFormat="false" ht="15" hidden="false" customHeight="false" outlineLevel="0" collapsed="false">
      <c r="A9" s="0" t="s">
        <v>124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-64.7962185</v>
      </c>
      <c r="D10" s="0" t="n">
        <f aca="false">-D6*D9/100</f>
        <v>-64.7962185</v>
      </c>
      <c r="E10" s="0" t="n">
        <f aca="false">-E6*E9/100</f>
        <v>-62.852331945</v>
      </c>
      <c r="F10" s="0" t="n">
        <f aca="false">-F6*F9/100</f>
        <v>-61.5952853061</v>
      </c>
      <c r="G10" s="0" t="n">
        <f aca="false">-G6*G9/100</f>
        <v>-61.5952853061</v>
      </c>
      <c r="H10" s="0" t="n">
        <f aca="false">-H6*H9/100</f>
        <v>-62.211238159161</v>
      </c>
      <c r="I10" s="0" t="n">
        <f aca="false">-I6*I9/100</f>
        <v>-63.1444067315484</v>
      </c>
      <c r="J10" s="0" t="n">
        <f aca="false">-J6*J9/100</f>
        <v>-64.0915728325217</v>
      </c>
      <c r="K10" s="0" t="n">
        <f aca="false">-K6*K9/100</f>
        <v>-65.0529464250095</v>
      </c>
      <c r="L10" s="0" t="n">
        <f aca="false">-L6*L9/100</f>
        <v>-66.0287406213846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144.71155465</v>
      </c>
      <c r="D11" s="0" t="n">
        <f aca="false">D8+D10+D24</f>
        <v>123.11281515</v>
      </c>
      <c r="E11" s="0" t="n">
        <f aca="false">E8+E10+E24</f>
        <v>98.4686533805</v>
      </c>
      <c r="F11" s="0" t="n">
        <f aca="false">F8+F10+F24</f>
        <v>75.96751854419</v>
      </c>
      <c r="G11" s="0" t="n">
        <f aca="false">G8+G10+G24</f>
        <v>75.96751854419</v>
      </c>
      <c r="H11" s="0" t="n">
        <f aca="false">H8+H10+H24</f>
        <v>76.7271937296319</v>
      </c>
      <c r="I11" s="0" t="n">
        <f aca="false">I8+I10+I24</f>
        <v>77.8781016355764</v>
      </c>
      <c r="J11" s="0" t="n">
        <f aca="false">J8+J10+J24</f>
        <v>79.04627316011</v>
      </c>
      <c r="K11" s="0" t="n">
        <f aca="false">K8+K10+K24</f>
        <v>80.2319672575117</v>
      </c>
      <c r="L11" s="0" t="n">
        <f aca="false">L8+L10+L24</f>
        <v>81.4354467663744</v>
      </c>
    </row>
    <row r="12" customFormat="false" ht="15" hidden="false" customHeight="false" outlineLevel="0" collapsed="false">
      <c r="A12" s="0" t="s">
        <v>141</v>
      </c>
      <c r="C12" s="4" t="n">
        <f aca="false">-C6*Assumptions!C17/100</f>
        <v>-75.59558825</v>
      </c>
      <c r="D12" s="4" t="n">
        <f aca="false">-D6*Assumptions!D17/100</f>
        <v>-71.27584035</v>
      </c>
      <c r="E12" s="4" t="n">
        <f aca="false">-E6*Assumptions!E17/100</f>
        <v>-64.9474096765</v>
      </c>
      <c r="F12" s="4" t="n">
        <f aca="false">-F6*Assumptions!F17/100</f>
        <v>-59.54210912923</v>
      </c>
      <c r="G12" s="4" t="n">
        <f aca="false">-G6*Assumptions!G17/100</f>
        <v>-55.43575677549</v>
      </c>
      <c r="H12" s="4" t="n">
        <f aca="false">-H6*Assumptions!H17/100</f>
        <v>-51.8426984659675</v>
      </c>
      <c r="I12" s="4" t="n">
        <f aca="false">-I6*Assumptions!I17/100</f>
        <v>-52.620338942957</v>
      </c>
      <c r="J12" s="4" t="n">
        <f aca="false">-J6*Assumptions!J17/100</f>
        <v>-53.4096440271014</v>
      </c>
      <c r="K12" s="4" t="n">
        <f aca="false">-K6*Assumptions!K17/100</f>
        <v>-54.2107886875079</v>
      </c>
      <c r="L12" s="4" t="n">
        <f aca="false">-L6*Assumptions!L17/100</f>
        <v>-55.0239505178205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69.1159664</v>
      </c>
      <c r="D13" s="0" t="n">
        <f aca="false">D11+D12</f>
        <v>51.8369748</v>
      </c>
      <c r="E13" s="0" t="n">
        <f aca="false">E11+E12</f>
        <v>33.521243704</v>
      </c>
      <c r="F13" s="0" t="n">
        <f aca="false">F11+F12</f>
        <v>16.42540941496</v>
      </c>
      <c r="G13" s="0" t="n">
        <f aca="false">G11+G12</f>
        <v>20.5317617687</v>
      </c>
      <c r="H13" s="0" t="n">
        <f aca="false">H11+H12</f>
        <v>24.8844952636644</v>
      </c>
      <c r="I13" s="0" t="n">
        <f aca="false">I11+I12</f>
        <v>25.2577626926194</v>
      </c>
      <c r="J13" s="0" t="n">
        <f aca="false">J11+J12</f>
        <v>25.6366291330087</v>
      </c>
      <c r="K13" s="0" t="n">
        <f aca="false">K11+K12</f>
        <v>26.0211785700038</v>
      </c>
      <c r="L13" s="0" t="n">
        <f aca="false">L11+L12</f>
        <v>26.4114962485539</v>
      </c>
    </row>
    <row r="14" customFormat="false" ht="15" hidden="false" customHeight="false" outlineLevel="0" collapsed="false">
      <c r="A14" s="0" t="s">
        <v>128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5</v>
      </c>
      <c r="G14" s="4" t="n">
        <f aca="false">Assumptions!G19</f>
        <v>10</v>
      </c>
      <c r="H14" s="4" t="n">
        <f aca="false">Assumptions!H19</f>
        <v>15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69.1159664</v>
      </c>
      <c r="D15" s="0" t="n">
        <f aca="false">D13-MAX(0,D13)*D14/100</f>
        <v>51.8369748</v>
      </c>
      <c r="E15" s="0" t="n">
        <f aca="false">E13-MAX(0,E13)*E14/100</f>
        <v>33.521243704</v>
      </c>
      <c r="F15" s="0" t="n">
        <f aca="false">F13-MAX(0,F13)*F14/100</f>
        <v>15.604138944212</v>
      </c>
      <c r="G15" s="0" t="n">
        <f aca="false">G13-MAX(0,G13)*G14/100</f>
        <v>18.47858559183</v>
      </c>
      <c r="H15" s="0" t="n">
        <f aca="false">H13-MAX(0,H13)*H14/100</f>
        <v>21.1518209741147</v>
      </c>
      <c r="I15" s="0" t="n">
        <f aca="false">I13-MAX(0,I13)*I14/100</f>
        <v>20.2062101540955</v>
      </c>
      <c r="J15" s="0" t="n">
        <f aca="false">J13-MAX(0,J13)*J14/100</f>
        <v>20.5093033064069</v>
      </c>
      <c r="K15" s="0" t="n">
        <f aca="false">K13-MAX(0,K13)*K14/100</f>
        <v>20.8169428560031</v>
      </c>
      <c r="L15" s="0" t="n">
        <f aca="false">L13-MAX(0,L13)*L14/100</f>
        <v>21.1291969988431</v>
      </c>
    </row>
    <row r="16" customFormat="false" ht="15" hidden="false" customHeight="false" outlineLevel="0" collapsed="false">
      <c r="A16" s="0" t="s">
        <v>144</v>
      </c>
      <c r="C16" s="0" t="n">
        <f aca="false">-C12</f>
        <v>75.59558825</v>
      </c>
      <c r="D16" s="0" t="n">
        <f aca="false">-D12</f>
        <v>71.27584035</v>
      </c>
      <c r="E16" s="0" t="n">
        <f aca="false">-E12</f>
        <v>64.9474096765</v>
      </c>
      <c r="F16" s="0" t="n">
        <f aca="false">-F12</f>
        <v>59.54210912923</v>
      </c>
      <c r="G16" s="0" t="n">
        <f aca="false">-G12</f>
        <v>55.43575677549</v>
      </c>
      <c r="H16" s="0" t="n">
        <f aca="false">-H12</f>
        <v>51.8426984659675</v>
      </c>
      <c r="I16" s="0" t="n">
        <f aca="false">-I12</f>
        <v>52.620338942957</v>
      </c>
      <c r="J16" s="0" t="n">
        <f aca="false">-J12</f>
        <v>53.4096440271014</v>
      </c>
      <c r="K16" s="0" t="n">
        <f aca="false">-K12</f>
        <v>54.2107886875079</v>
      </c>
      <c r="L16" s="0" t="n">
        <f aca="false">-L12</f>
        <v>55.0239505178205</v>
      </c>
    </row>
    <row r="17" customFormat="false" ht="15" hidden="false" customHeight="false" outlineLevel="0" collapsed="false">
      <c r="A17" s="0" t="s">
        <v>145</v>
      </c>
      <c r="C17" s="4" t="n">
        <f aca="false">-C6*Assumptions!C18/100</f>
        <v>-43.197479</v>
      </c>
      <c r="D17" s="4" t="n">
        <f aca="false">-D6*Assumptions!D18/100</f>
        <v>-43.197479</v>
      </c>
      <c r="E17" s="4" t="n">
        <f aca="false">-E6*Assumptions!E18/100</f>
        <v>-41.90155463</v>
      </c>
      <c r="F17" s="4" t="n">
        <f aca="false">-F6*Assumptions!F18/100</f>
        <v>-41.0635235374</v>
      </c>
      <c r="G17" s="4" t="n">
        <f aca="false">-G6*Assumptions!G18/100</f>
        <v>-41.0635235374</v>
      </c>
      <c r="H17" s="4" t="n">
        <f aca="false">-H6*Assumptions!H18/100</f>
        <v>-41.474158772774</v>
      </c>
      <c r="I17" s="4" t="n">
        <f aca="false">-I6*Assumptions!I18/100</f>
        <v>-42.0962711543656</v>
      </c>
      <c r="J17" s="4" t="n">
        <f aca="false">-J6*Assumptions!J18/100</f>
        <v>-42.7277152216811</v>
      </c>
      <c r="K17" s="4" t="n">
        <f aca="false">-K6*Assumptions!K18/100</f>
        <v>-43.3686309500063</v>
      </c>
      <c r="L17" s="4" t="n">
        <f aca="false">-L6*Assumptions!L18/100</f>
        <v>-44.0191604142564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(C6-B6)*Assumptions!$B$23/100</f>
        <v>62.9089500000002</v>
      </c>
      <c r="D18" s="4" t="n">
        <f aca="false">(D6-C6)*Assumptions!$B$23/100</f>
        <v>0</v>
      </c>
      <c r="E18" s="4" t="n">
        <f aca="false">(E6-D6)*Assumptions!$B$23/100</f>
        <v>-64.7962185</v>
      </c>
      <c r="F18" s="4" t="n">
        <f aca="false">(F6-E6)*Assumptions!$B$23/100</f>
        <v>-41.9015546300001</v>
      </c>
      <c r="G18" s="4" t="n">
        <f aca="false">(G6-F6)*Assumptions!$B$23/100</f>
        <v>0</v>
      </c>
      <c r="H18" s="4" t="n">
        <f aca="false">(H6-G6)*Assumptions!$B$23/100</f>
        <v>20.5317617687</v>
      </c>
      <c r="I18" s="4" t="n">
        <f aca="false">(I6-H6)*Assumptions!$B$23/100</f>
        <v>31.1056190795804</v>
      </c>
      <c r="J18" s="4" t="n">
        <f aca="false">(J6-I6)*Assumptions!$B$23/100</f>
        <v>31.5722033657741</v>
      </c>
      <c r="K18" s="4" t="n">
        <f aca="false">(K6-J6)*Assumptions!$B$23/100</f>
        <v>32.0457864162607</v>
      </c>
      <c r="L18" s="4" t="n">
        <f aca="false">(L6-K6)*Assumptions!$B$23/100</f>
        <v>32.5264732125044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164.42302565</v>
      </c>
      <c r="D19" s="0" t="n">
        <f aca="false">D15+D16+D17+D18</f>
        <v>79.91533615</v>
      </c>
      <c r="E19" s="0" t="n">
        <f aca="false">E15+E16+E17+E18</f>
        <v>-8.22911974950006</v>
      </c>
      <c r="F19" s="0" t="n">
        <f aca="false">F15+F16+F17+F18</f>
        <v>-7.81883009395807</v>
      </c>
      <c r="G19" s="0" t="n">
        <f aca="false">G15+G16+G17+G18</f>
        <v>32.85081882992</v>
      </c>
      <c r="H19" s="0" t="n">
        <f aca="false">H15+H16+H17+H18</f>
        <v>52.0521224360083</v>
      </c>
      <c r="I19" s="0" t="n">
        <f aca="false">I15+I16+I17+I18</f>
        <v>61.8358970222673</v>
      </c>
      <c r="J19" s="0" t="n">
        <f aca="false">J15+J16+J17+J18</f>
        <v>62.7634354776013</v>
      </c>
      <c r="K19" s="0" t="n">
        <f aca="false">K15+K16+K17+K18</f>
        <v>63.7048870097653</v>
      </c>
      <c r="L19" s="0" t="n">
        <f aca="false">L15+L16+L17+L18</f>
        <v>64.6604603149116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145.507102345133</v>
      </c>
      <c r="D21" s="0" t="n">
        <f aca="false">D19*D20</f>
        <v>62.5854304565746</v>
      </c>
      <c r="E21" s="0" t="n">
        <f aca="false">E19*E20</f>
        <v>-5.70319277779361</v>
      </c>
      <c r="F21" s="0" t="n">
        <f aca="false">F19*F20</f>
        <v>-4.79543492516759</v>
      </c>
      <c r="G21" s="0" t="n">
        <f aca="false">G19*G20</f>
        <v>17.8301083256569</v>
      </c>
      <c r="H21" s="0" t="n">
        <f aca="false">H19*H20</f>
        <v>25.001598798233</v>
      </c>
      <c r="I21" s="0" t="n">
        <f aca="false">I19*I20</f>
        <v>26.2840061949051</v>
      </c>
      <c r="J21" s="0" t="n">
        <f aca="false">J19*J20</f>
        <v>23.6090852104678</v>
      </c>
      <c r="K21" s="0" t="n">
        <f aca="false">K19*K20</f>
        <v>21.2063906978981</v>
      </c>
      <c r="L21" s="0" t="n">
        <f aca="false">L19*L20</f>
        <v>19.0482181932447</v>
      </c>
    </row>
    <row r="23" customFormat="false" ht="15" hidden="false" customHeight="false" outlineLevel="0" collapsed="false">
      <c r="A23" s="0" t="s">
        <v>125</v>
      </c>
      <c r="C23" s="4" t="n">
        <f aca="false">Assumptions!C16</f>
        <v>0.43</v>
      </c>
      <c r="D23" s="4" t="n">
        <f aca="false">Assumptions!D16</f>
        <v>0.43</v>
      </c>
      <c r="E23" s="4" t="n">
        <f aca="false">Assumptions!E16</f>
        <v>0.43</v>
      </c>
      <c r="F23" s="4" t="n">
        <f aca="false">Assumptions!F16</f>
        <v>0.43</v>
      </c>
      <c r="G23" s="4" t="n">
        <f aca="false">Assumptions!G16</f>
        <v>0.43</v>
      </c>
      <c r="H23" s="4" t="n">
        <f aca="false">Assumptions!H16</f>
        <v>0.43</v>
      </c>
      <c r="I23" s="4" t="n">
        <f aca="false">Assumptions!I16</f>
        <v>0.43</v>
      </c>
      <c r="J23" s="4" t="n">
        <f aca="false">Assumptions!J16</f>
        <v>0.43</v>
      </c>
      <c r="K23" s="4" t="n">
        <f aca="false">Assumptions!K16</f>
        <v>0.43</v>
      </c>
      <c r="L23" s="4" t="n">
        <f aca="false">Assumptions!L16</f>
        <v>0.43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-92.87457985</v>
      </c>
      <c r="D24" s="0" t="n">
        <f aca="false">-D6*D23/100</f>
        <v>-92.87457985</v>
      </c>
      <c r="E24" s="0" t="n">
        <f aca="false">-E6*E23/100</f>
        <v>-90.0883424545</v>
      </c>
      <c r="F24" s="0" t="n">
        <f aca="false">-F6*F23/100</f>
        <v>-88.28657560541</v>
      </c>
      <c r="G24" s="0" t="n">
        <f aca="false">-G6*G23/100</f>
        <v>-88.28657560541</v>
      </c>
      <c r="H24" s="0" t="n">
        <f aca="false">-H6*H23/100</f>
        <v>-89.1694413614641</v>
      </c>
      <c r="I24" s="0" t="n">
        <f aca="false">-I6*I23/100</f>
        <v>-90.5069829818861</v>
      </c>
      <c r="J24" s="0" t="n">
        <f aca="false">-J6*J23/100</f>
        <v>-91.8645877266144</v>
      </c>
      <c r="K24" s="0" t="n">
        <f aca="false">-K6*K23/100</f>
        <v>-93.2425565425136</v>
      </c>
      <c r="L24" s="0" t="n">
        <f aca="false">-L6*L23/100</f>
        <v>-94.6411948906512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Assumptions!$B$20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131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330.573312519152</v>
      </c>
    </row>
    <row r="31" customFormat="false" ht="15" hidden="false" customHeight="false" outlineLevel="0" collapsed="false">
      <c r="A31" s="0" t="s">
        <v>153</v>
      </c>
      <c r="B31" s="0" t="n">
        <f aca="false">L19</f>
        <v>64.6604603149116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570.698845388133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775.925523778939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570.698845388133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168.121230140377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498.694542659529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2996.15454265953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5.05219070014347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0.409258214823842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344.792070387388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171.678844286345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5.92307686935058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486.150868293595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4.93700367698921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167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Assumptions!C27</f>
        <v>4.5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64</v>
      </c>
      <c r="B6" s="3" t="n">
        <v>20969.65</v>
      </c>
      <c r="C6" s="0" t="n">
        <f aca="false">B6*(1+C5/100)</f>
        <v>21913.28425</v>
      </c>
      <c r="D6" s="0" t="n">
        <f aca="false">C6*(1+D5/100)</f>
        <v>23008.9484625</v>
      </c>
      <c r="E6" s="0" t="n">
        <f aca="false">D6*(1+E5/100)</f>
        <v>24159.395885625</v>
      </c>
      <c r="F6" s="0" t="n">
        <f aca="false">E6*(1+F5/100)</f>
        <v>25246.5687004781</v>
      </c>
      <c r="G6" s="0" t="n">
        <f aca="false">F6*(1+G5/100)</f>
        <v>26256.4314484973</v>
      </c>
      <c r="H6" s="0" t="n">
        <f aca="false">G6*(1+H5/100)</f>
        <v>27175.4065491947</v>
      </c>
      <c r="I6" s="0" t="n">
        <f aca="false">H6*(1+I5/100)</f>
        <v>27990.6687456705</v>
      </c>
      <c r="J6" s="0" t="n">
        <f aca="false">I6*(1+J5/100)</f>
        <v>28830.3888080406</v>
      </c>
      <c r="K6" s="0" t="n">
        <f aca="false">J6*(1+K5/100)</f>
        <v>29551.1485282416</v>
      </c>
      <c r="L6" s="0" t="n">
        <f aca="false">K6*(1+L5/100)</f>
        <v>30289.9272414477</v>
      </c>
    </row>
    <row r="7" customFormat="false" ht="15" hidden="false" customHeight="false" outlineLevel="0" collapsed="false">
      <c r="A7" s="0" t="s">
        <v>123</v>
      </c>
      <c r="C7" s="4" t="n">
        <f aca="false">Assumptions!C28</f>
        <v>1.5</v>
      </c>
      <c r="D7" s="4" t="n">
        <f aca="false">Assumptions!D28</f>
        <v>1.6</v>
      </c>
      <c r="E7" s="4" t="n">
        <f aca="false">Assumptions!E28</f>
        <v>1.7</v>
      </c>
      <c r="F7" s="4" t="n">
        <f aca="false">Assumptions!F28</f>
        <v>1.8</v>
      </c>
      <c r="G7" s="4" t="n">
        <f aca="false">Assumptions!G28</f>
        <v>1.9</v>
      </c>
      <c r="H7" s="4" t="n">
        <f aca="false">Assumptions!H28</f>
        <v>2</v>
      </c>
      <c r="I7" s="4" t="n">
        <f aca="false">Assumptions!I28</f>
        <v>2.1</v>
      </c>
      <c r="J7" s="4" t="n">
        <f aca="false">Assumptions!J28</f>
        <v>2.2</v>
      </c>
      <c r="K7" s="4" t="n">
        <f aca="false">Assumptions!K28</f>
        <v>2.2</v>
      </c>
      <c r="L7" s="4" t="n">
        <f aca="false">Assumptions!L28</f>
        <v>2.2</v>
      </c>
    </row>
    <row r="8" customFormat="false" ht="15" hidden="false" customHeight="false" outlineLevel="0" collapsed="false">
      <c r="A8" s="0" t="s">
        <v>70</v>
      </c>
      <c r="C8" s="0" t="n">
        <f aca="false">C6*C7/100</f>
        <v>328.69926375</v>
      </c>
      <c r="D8" s="0" t="n">
        <f aca="false">D6*D7/100</f>
        <v>368.1431754</v>
      </c>
      <c r="E8" s="0" t="n">
        <f aca="false">E6*E7/100</f>
        <v>410.709730055625</v>
      </c>
      <c r="F8" s="0" t="n">
        <f aca="false">F6*F7/100</f>
        <v>454.438236608606</v>
      </c>
      <c r="G8" s="0" t="n">
        <f aca="false">G6*G7/100</f>
        <v>498.872197521448</v>
      </c>
      <c r="H8" s="0" t="n">
        <f aca="false">H6*H7/100</f>
        <v>543.508130983893</v>
      </c>
      <c r="I8" s="0" t="n">
        <f aca="false">I6*I7/100</f>
        <v>587.80404365908</v>
      </c>
      <c r="J8" s="0" t="n">
        <f aca="false">J6*J7/100</f>
        <v>634.268553776893</v>
      </c>
      <c r="K8" s="0" t="n">
        <f aca="false">K6*K7/100</f>
        <v>650.125267621316</v>
      </c>
      <c r="L8" s="0" t="n">
        <f aca="false">L6*L7/100</f>
        <v>666.378399311848</v>
      </c>
    </row>
    <row r="9" customFormat="false" ht="15" hidden="false" customHeight="false" outlineLevel="0" collapsed="false">
      <c r="A9" s="0" t="s">
        <v>124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0.22</v>
      </c>
      <c r="G9" s="4" t="n">
        <f aca="false">Assumptions!G29</f>
        <v>0.22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-54.783210625</v>
      </c>
      <c r="D10" s="0" t="n">
        <f aca="false">-D6*D9/100</f>
        <v>-57.52237115625</v>
      </c>
      <c r="E10" s="0" t="n">
        <f aca="false">-E6*E9/100</f>
        <v>-60.3984897140625</v>
      </c>
      <c r="F10" s="0" t="n">
        <f aca="false">-F6*F9/100</f>
        <v>-55.5424511410519</v>
      </c>
      <c r="G10" s="0" t="n">
        <f aca="false">-G6*G9/100</f>
        <v>-57.764149186694</v>
      </c>
      <c r="H10" s="0" t="n">
        <f aca="false">-H6*H9/100</f>
        <v>-54.3508130983893</v>
      </c>
      <c r="I10" s="0" t="n">
        <f aca="false">-I6*I9/100</f>
        <v>-55.981337491341</v>
      </c>
      <c r="J10" s="0" t="n">
        <f aca="false">-J6*J9/100</f>
        <v>-57.6607776160812</v>
      </c>
      <c r="K10" s="0" t="n">
        <f aca="false">-K6*K9/100</f>
        <v>-59.1022970564832</v>
      </c>
      <c r="L10" s="0" t="n">
        <f aca="false">-L6*L9/100</f>
        <v>-60.5798544828953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179.68893085</v>
      </c>
      <c r="D11" s="0" t="n">
        <f aca="false">D8+D10+D24</f>
        <v>211.682325855</v>
      </c>
      <c r="E11" s="0" t="n">
        <f aca="false">E8+E10+E24</f>
        <v>248.841777621937</v>
      </c>
      <c r="F11" s="0" t="n">
        <f aca="false">F8+F10+F24</f>
        <v>292.860196925546</v>
      </c>
      <c r="G11" s="0" t="n">
        <f aca="false">G8+G10+G24</f>
        <v>333.456679395915</v>
      </c>
      <c r="H11" s="0" t="n">
        <f aca="false">H8+H10+H24</f>
        <v>377.738151033806</v>
      </c>
      <c r="I11" s="0" t="n">
        <f aca="false">I8+I10+I24</f>
        <v>419.860031185057</v>
      </c>
      <c r="J11" s="0" t="n">
        <f aca="false">J8+J10+J24</f>
        <v>461.28622092865</v>
      </c>
      <c r="K11" s="0" t="n">
        <f aca="false">K8+K10+K24</f>
        <v>472.818376451866</v>
      </c>
      <c r="L11" s="0" t="n">
        <f aca="false">L8+L10+L24</f>
        <v>484.638835863162</v>
      </c>
    </row>
    <row r="12" customFormat="false" ht="15" hidden="false" customHeight="false" outlineLevel="0" collapsed="false">
      <c r="A12" s="0" t="s">
        <v>141</v>
      </c>
      <c r="C12" s="4" t="n">
        <f aca="false">-C6*Assumptions!C31/100</f>
        <v>-76.696494875</v>
      </c>
      <c r="D12" s="4" t="n">
        <f aca="false">-D6*Assumptions!D31/100</f>
        <v>-75.92952992625</v>
      </c>
      <c r="E12" s="4" t="n">
        <f aca="false">-E6*Assumptions!E31/100</f>
        <v>-74.8941272454375</v>
      </c>
      <c r="F12" s="4" t="n">
        <f aca="false">-F6*Assumptions!F31/100</f>
        <v>-73.2150492313866</v>
      </c>
      <c r="G12" s="4" t="n">
        <f aca="false">-G6*Assumptions!G31/100</f>
        <v>-70.8923649109426</v>
      </c>
      <c r="H12" s="4" t="n">
        <f aca="false">-H6*Assumptions!H31/100</f>
        <v>-67.9385163729866</v>
      </c>
      <c r="I12" s="4" t="n">
        <f aca="false">-I6*Assumptions!I31/100</f>
        <v>-69.9766718641762</v>
      </c>
      <c r="J12" s="4" t="n">
        <f aca="false">-J6*Assumptions!J31/100</f>
        <v>-72.0759720201015</v>
      </c>
      <c r="K12" s="4" t="n">
        <f aca="false">-K6*Assumptions!K31/100</f>
        <v>-73.877871320604</v>
      </c>
      <c r="L12" s="4" t="n">
        <f aca="false">-L6*Assumptions!L31/100</f>
        <v>-75.7248181036191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102.992435975</v>
      </c>
      <c r="D13" s="0" t="n">
        <f aca="false">D11+D12</f>
        <v>135.75279592875</v>
      </c>
      <c r="E13" s="0" t="n">
        <f aca="false">E11+E12</f>
        <v>173.9476503765</v>
      </c>
      <c r="F13" s="0" t="n">
        <f aca="false">F11+F12</f>
        <v>219.64514769416</v>
      </c>
      <c r="G13" s="0" t="n">
        <f aca="false">G11+G12</f>
        <v>262.564314484973</v>
      </c>
      <c r="H13" s="0" t="n">
        <f aca="false">H11+H12</f>
        <v>309.799634660819</v>
      </c>
      <c r="I13" s="0" t="n">
        <f aca="false">I11+I12</f>
        <v>349.883359320881</v>
      </c>
      <c r="J13" s="0" t="n">
        <f aca="false">J11+J12</f>
        <v>389.210248908548</v>
      </c>
      <c r="K13" s="0" t="n">
        <f aca="false">K11+K12</f>
        <v>398.940505131262</v>
      </c>
      <c r="L13" s="0" t="n">
        <f aca="false">L11+L12</f>
        <v>408.914017759543</v>
      </c>
    </row>
    <row r="14" customFormat="false" ht="15" hidden="false" customHeight="false" outlineLevel="0" collapsed="false">
      <c r="A14" s="0" t="s">
        <v>128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5</v>
      </c>
      <c r="F14" s="4" t="n">
        <f aca="false">Assumptions!F33</f>
        <v>10</v>
      </c>
      <c r="G14" s="4" t="n">
        <f aca="false">Assumptions!G33</f>
        <v>15</v>
      </c>
      <c r="H14" s="4" t="n">
        <f aca="false">Assumptions!H33</f>
        <v>18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102.992435975</v>
      </c>
      <c r="D15" s="0" t="n">
        <f aca="false">D13-MAX(0,D13)*D14/100</f>
        <v>135.75279592875</v>
      </c>
      <c r="E15" s="0" t="n">
        <f aca="false">E13-MAX(0,E13)*E14/100</f>
        <v>165.250267857675</v>
      </c>
      <c r="F15" s="0" t="n">
        <f aca="false">F13-MAX(0,F13)*F14/100</f>
        <v>197.680632924744</v>
      </c>
      <c r="G15" s="0" t="n">
        <f aca="false">G13-MAX(0,G13)*G14/100</f>
        <v>223.179667312227</v>
      </c>
      <c r="H15" s="0" t="n">
        <f aca="false">H13-MAX(0,H13)*H14/100</f>
        <v>254.035700421872</v>
      </c>
      <c r="I15" s="0" t="n">
        <f aca="false">I13-MAX(0,I13)*I14/100</f>
        <v>279.906687456705</v>
      </c>
      <c r="J15" s="0" t="n">
        <f aca="false">J13-MAX(0,J13)*J14/100</f>
        <v>311.368199126839</v>
      </c>
      <c r="K15" s="0" t="n">
        <f aca="false">K13-MAX(0,K13)*K14/100</f>
        <v>319.15240410501</v>
      </c>
      <c r="L15" s="0" t="n">
        <f aca="false">L13-MAX(0,L13)*L14/100</f>
        <v>327.131214207635</v>
      </c>
    </row>
    <row r="16" customFormat="false" ht="15" hidden="false" customHeight="false" outlineLevel="0" collapsed="false">
      <c r="A16" s="0" t="s">
        <v>144</v>
      </c>
      <c r="C16" s="0" t="n">
        <f aca="false">-C12</f>
        <v>76.696494875</v>
      </c>
      <c r="D16" s="0" t="n">
        <f aca="false">-D12</f>
        <v>75.92952992625</v>
      </c>
      <c r="E16" s="0" t="n">
        <f aca="false">-E12</f>
        <v>74.8941272454375</v>
      </c>
      <c r="F16" s="0" t="n">
        <f aca="false">-F12</f>
        <v>73.2150492313866</v>
      </c>
      <c r="G16" s="0" t="n">
        <f aca="false">-G12</f>
        <v>70.8923649109426</v>
      </c>
      <c r="H16" s="0" t="n">
        <f aca="false">-H12</f>
        <v>67.9385163729866</v>
      </c>
      <c r="I16" s="0" t="n">
        <f aca="false">-I12</f>
        <v>69.9766718641762</v>
      </c>
      <c r="J16" s="0" t="n">
        <f aca="false">-J12</f>
        <v>72.0759720201015</v>
      </c>
      <c r="K16" s="0" t="n">
        <f aca="false">-K12</f>
        <v>73.877871320604</v>
      </c>
      <c r="L16" s="0" t="n">
        <f aca="false">-L12</f>
        <v>75.7248181036191</v>
      </c>
    </row>
    <row r="17" customFormat="false" ht="15" hidden="false" customHeight="false" outlineLevel="0" collapsed="false">
      <c r="A17" s="0" t="s">
        <v>145</v>
      </c>
      <c r="C17" s="4" t="n">
        <f aca="false">-C6*Assumptions!C32/100</f>
        <v>-43.8265685</v>
      </c>
      <c r="D17" s="4" t="n">
        <f aca="false">-D6*Assumptions!D32/100</f>
        <v>-46.017896925</v>
      </c>
      <c r="E17" s="4" t="n">
        <f aca="false">-E6*Assumptions!E32/100</f>
        <v>-48.31879177125</v>
      </c>
      <c r="F17" s="4" t="n">
        <f aca="false">-F6*Assumptions!F32/100</f>
        <v>-50.4931374009563</v>
      </c>
      <c r="G17" s="4" t="n">
        <f aca="false">-G6*Assumptions!G32/100</f>
        <v>-52.5128628969945</v>
      </c>
      <c r="H17" s="4" t="n">
        <f aca="false">-H6*Assumptions!H32/100</f>
        <v>-54.3508130983893</v>
      </c>
      <c r="I17" s="4" t="n">
        <f aca="false">-I6*Assumptions!I32/100</f>
        <v>-55.981337491341</v>
      </c>
      <c r="J17" s="4" t="n">
        <f aca="false">-J6*Assumptions!J32/100</f>
        <v>-57.6607776160812</v>
      </c>
      <c r="K17" s="4" t="n">
        <f aca="false">-K6*Assumptions!K32/100</f>
        <v>-59.1022970564832</v>
      </c>
      <c r="L17" s="4" t="n">
        <f aca="false">-L6*Assumptions!L32/100</f>
        <v>-60.5798544828953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(C6-B6)*Assumptions!$B$37/100</f>
        <v>75.4907399999999</v>
      </c>
      <c r="D18" s="4" t="n">
        <f aca="false">(D6-C6)*Assumptions!$B$37/100</f>
        <v>87.653137</v>
      </c>
      <c r="E18" s="4" t="n">
        <f aca="false">(E6-D6)*Assumptions!$B$37/100</f>
        <v>92.0357938500002</v>
      </c>
      <c r="F18" s="4" t="n">
        <f aca="false">(F6-E6)*Assumptions!$B$37/100</f>
        <v>86.9738251882498</v>
      </c>
      <c r="G18" s="4" t="n">
        <f aca="false">(G6-F6)*Assumptions!$B$37/100</f>
        <v>80.78901984153</v>
      </c>
      <c r="H18" s="4" t="n">
        <f aca="false">(H6-G6)*Assumptions!$B$37/100</f>
        <v>73.518008055792</v>
      </c>
      <c r="I18" s="4" t="n">
        <f aca="false">(I6-H6)*Assumptions!$B$37/100</f>
        <v>65.2209757180672</v>
      </c>
      <c r="J18" s="4" t="n">
        <f aca="false">(J6-I6)*Assumptions!$B$37/100</f>
        <v>67.1776049896091</v>
      </c>
      <c r="K18" s="4" t="n">
        <f aca="false">(K6-J6)*Assumptions!$B$37/100</f>
        <v>57.6607776160809</v>
      </c>
      <c r="L18" s="4" t="n">
        <f aca="false">(L6-K6)*Assumptions!$B$37/100</f>
        <v>59.1022970564829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211.35310235</v>
      </c>
      <c r="D19" s="0" t="n">
        <f aca="false">D15+D16+D17+D18</f>
        <v>253.31756593</v>
      </c>
      <c r="E19" s="0" t="n">
        <f aca="false">E15+E16+E17+E18</f>
        <v>283.861397181863</v>
      </c>
      <c r="F19" s="0" t="n">
        <f aca="false">F15+F16+F17+F18</f>
        <v>307.376369943424</v>
      </c>
      <c r="G19" s="0" t="n">
        <f aca="false">G15+G16+G17+G18</f>
        <v>322.348189167705</v>
      </c>
      <c r="H19" s="0" t="n">
        <f aca="false">H15+H16+H17+H18</f>
        <v>341.141411752261</v>
      </c>
      <c r="I19" s="0" t="n">
        <f aca="false">I15+I16+I17+I18</f>
        <v>359.122997547607</v>
      </c>
      <c r="J19" s="0" t="n">
        <f aca="false">J15+J16+J17+J18</f>
        <v>392.960998520468</v>
      </c>
      <c r="K19" s="0" t="n">
        <f aca="false">K15+K16+K17+K18</f>
        <v>391.588755985211</v>
      </c>
      <c r="L19" s="0" t="n">
        <f aca="false">L15+L16+L17+L18</f>
        <v>401.378474884841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187.038143672566</v>
      </c>
      <c r="D21" s="0" t="n">
        <f aca="false">D19*D20</f>
        <v>198.384811598402</v>
      </c>
      <c r="E21" s="0" t="n">
        <f aca="false">E19*E20</f>
        <v>196.730187381263</v>
      </c>
      <c r="F21" s="0" t="n">
        <f aca="false">F19*F20</f>
        <v>188.519684132406</v>
      </c>
      <c r="G21" s="0" t="n">
        <f aca="false">G19*G20</f>
        <v>174.957682522202</v>
      </c>
      <c r="H21" s="0" t="n">
        <f aca="false">H19*H20</f>
        <v>163.856540539309</v>
      </c>
      <c r="I21" s="0" t="n">
        <f aca="false">I19*I20</f>
        <v>152.64905252163</v>
      </c>
      <c r="J21" s="0" t="n">
        <f aca="false">J19*J20</f>
        <v>147.816154865696</v>
      </c>
      <c r="K21" s="0" t="n">
        <f aca="false">K19*K20</f>
        <v>130.353957790606</v>
      </c>
      <c r="L21" s="0" t="n">
        <f aca="false">L19*L20</f>
        <v>118.241421889709</v>
      </c>
    </row>
    <row r="23" customFormat="false" ht="15" hidden="false" customHeight="false" outlineLevel="0" collapsed="false">
      <c r="A23" s="0" t="s">
        <v>125</v>
      </c>
      <c r="C23" s="4" t="n">
        <f aca="false">Assumptions!C30</f>
        <v>0.43</v>
      </c>
      <c r="D23" s="4" t="n">
        <f aca="false">Assumptions!D30</f>
        <v>0.43</v>
      </c>
      <c r="E23" s="4" t="n">
        <f aca="false">Assumptions!E30</f>
        <v>0.42</v>
      </c>
      <c r="F23" s="4" t="n">
        <f aca="false">Assumptions!F30</f>
        <v>0.42</v>
      </c>
      <c r="G23" s="4" t="n">
        <f aca="false">Assumptions!G30</f>
        <v>0.41</v>
      </c>
      <c r="H23" s="4" t="n">
        <f aca="false">Assumptions!H30</f>
        <v>0.41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-94.227122275</v>
      </c>
      <c r="D24" s="0" t="n">
        <f aca="false">-D6*D23/100</f>
        <v>-98.93847838875</v>
      </c>
      <c r="E24" s="0" t="n">
        <f aca="false">-E6*E23/100</f>
        <v>-101.469462719625</v>
      </c>
      <c r="F24" s="0" t="n">
        <f aca="false">-F6*F23/100</f>
        <v>-106.035588542008</v>
      </c>
      <c r="G24" s="0" t="n">
        <f aca="false">-G6*G23/100</f>
        <v>-107.651368938839</v>
      </c>
      <c r="H24" s="0" t="n">
        <f aca="false">-H6*H23/100</f>
        <v>-111.419166851698</v>
      </c>
      <c r="I24" s="0" t="n">
        <f aca="false">-I6*I23/100</f>
        <v>-111.962674982682</v>
      </c>
      <c r="J24" s="0" t="n">
        <f aca="false">-J6*J23/100</f>
        <v>-115.321555232162</v>
      </c>
      <c r="K24" s="0" t="n">
        <f aca="false">-K6*K23/100</f>
        <v>-118.204594112966</v>
      </c>
      <c r="L24" s="0" t="n">
        <f aca="false">-L6*L23/100</f>
        <v>-121.159708965791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Assumptions!$B$34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131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1658.54763691379</v>
      </c>
    </row>
    <row r="31" customFormat="false" ht="15" hidden="false" customHeight="false" outlineLevel="0" collapsed="false">
      <c r="A31" s="0" t="s">
        <v>153</v>
      </c>
      <c r="B31" s="0" t="n">
        <f aca="false">L19</f>
        <v>401.378474884841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3918.2184453044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5619.29864838778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3918.2184453044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1154.26149939954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2812.80913631333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5310.26913631333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8.95430858580709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1.49771508669654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309.916859606309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174.212116603649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9.77065896975852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3291.3034940557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8.14527836694019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168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Assumptions!C41</f>
        <v>6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64</v>
      </c>
      <c r="B6" s="3" t="n">
        <v>20969.65</v>
      </c>
      <c r="C6" s="0" t="n">
        <f aca="false">B6*(1+C5/100)</f>
        <v>22227.829</v>
      </c>
      <c r="D6" s="0" t="n">
        <f aca="false">C6*(1+D5/100)</f>
        <v>24006.05532</v>
      </c>
      <c r="E6" s="0" t="n">
        <f aca="false">D6*(1+E5/100)</f>
        <v>25926.5397456</v>
      </c>
      <c r="F6" s="0" t="n">
        <f aca="false">E6*(1+F5/100)</f>
        <v>27741.397527792</v>
      </c>
      <c r="G6" s="0" t="n">
        <f aca="false">F6*(1+G5/100)</f>
        <v>29405.8813794595</v>
      </c>
      <c r="H6" s="0" t="n">
        <f aca="false">G6*(1+H5/100)</f>
        <v>30876.1754484325</v>
      </c>
      <c r="I6" s="0" t="n">
        <f aca="false">H6*(1+I5/100)</f>
        <v>32111.2224663698</v>
      </c>
      <c r="J6" s="0" t="n">
        <f aca="false">I6*(1+J5/100)</f>
        <v>33395.6713650246</v>
      </c>
      <c r="K6" s="0" t="n">
        <f aca="false">J6*(1+K5/100)</f>
        <v>34397.5415059753</v>
      </c>
      <c r="L6" s="0" t="n">
        <f aca="false">K6*(1+L5/100)</f>
        <v>35429.4677511546</v>
      </c>
    </row>
    <row r="7" customFormat="false" ht="15" hidden="false" customHeight="false" outlineLevel="0" collapsed="false">
      <c r="A7" s="0" t="s">
        <v>123</v>
      </c>
      <c r="C7" s="4" t="n">
        <f aca="false">Assumptions!C42</f>
        <v>1.65</v>
      </c>
      <c r="D7" s="4" t="n">
        <f aca="false">Assumptions!D42</f>
        <v>1.85</v>
      </c>
      <c r="E7" s="4" t="n">
        <f aca="false">Assumptions!E42</f>
        <v>2.05</v>
      </c>
      <c r="F7" s="4" t="n">
        <f aca="false">Assumptions!F42</f>
        <v>2.25</v>
      </c>
      <c r="G7" s="4" t="n">
        <f aca="false">Assumptions!G42</f>
        <v>2.45</v>
      </c>
      <c r="H7" s="4" t="n">
        <f aca="false">Assumptions!H42</f>
        <v>2.65</v>
      </c>
      <c r="I7" s="4" t="n">
        <f aca="false">Assumptions!I42</f>
        <v>2.8</v>
      </c>
      <c r="J7" s="4" t="n">
        <f aca="false">Assumptions!J42</f>
        <v>2.95</v>
      </c>
      <c r="K7" s="4" t="n">
        <f aca="false">Assumptions!K42</f>
        <v>3</v>
      </c>
      <c r="L7" s="4" t="n">
        <f aca="false">Assumptions!L42</f>
        <v>3</v>
      </c>
    </row>
    <row r="8" customFormat="false" ht="15" hidden="false" customHeight="false" outlineLevel="0" collapsed="false">
      <c r="A8" s="0" t="s">
        <v>70</v>
      </c>
      <c r="C8" s="0" t="n">
        <f aca="false">C6*C7/100</f>
        <v>366.7591785</v>
      </c>
      <c r="D8" s="0" t="n">
        <f aca="false">D6*D7/100</f>
        <v>444.11202342</v>
      </c>
      <c r="E8" s="0" t="n">
        <f aca="false">E6*E7/100</f>
        <v>531.4940647848</v>
      </c>
      <c r="F8" s="0" t="n">
        <f aca="false">F6*F7/100</f>
        <v>624.18144437532</v>
      </c>
      <c r="G8" s="0" t="n">
        <f aca="false">G6*G7/100</f>
        <v>720.444093796759</v>
      </c>
      <c r="H8" s="0" t="n">
        <f aca="false">H6*H7/100</f>
        <v>818.218649383461</v>
      </c>
      <c r="I8" s="0" t="n">
        <f aca="false">I6*I7/100</f>
        <v>899.114229058355</v>
      </c>
      <c r="J8" s="0" t="n">
        <f aca="false">J6*J7/100</f>
        <v>985.172305268226</v>
      </c>
      <c r="K8" s="0" t="n">
        <f aca="false">K6*K7/100</f>
        <v>1031.92624517926</v>
      </c>
      <c r="L8" s="0" t="n">
        <f aca="false">L6*L7/100</f>
        <v>1062.88403253464</v>
      </c>
    </row>
    <row r="9" customFormat="false" ht="15" hidden="false" customHeight="false" outlineLevel="0" collapsed="false">
      <c r="A9" s="0" t="s">
        <v>124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0.22</v>
      </c>
      <c r="G9" s="4" t="n">
        <f aca="false">Assumptions!G43</f>
        <v>0.22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-55.5695725</v>
      </c>
      <c r="D10" s="0" t="n">
        <f aca="false">-D6*D9/100</f>
        <v>-60.0151383</v>
      </c>
      <c r="E10" s="0" t="n">
        <f aca="false">-E6*E9/100</f>
        <v>-64.816349364</v>
      </c>
      <c r="F10" s="0" t="n">
        <f aca="false">-F6*F9/100</f>
        <v>-61.0310745611424</v>
      </c>
      <c r="G10" s="0" t="n">
        <f aca="false">-G6*G9/100</f>
        <v>-64.692939034811</v>
      </c>
      <c r="H10" s="0" t="n">
        <f aca="false">-H6*H9/100</f>
        <v>-61.752350896865</v>
      </c>
      <c r="I10" s="0" t="n">
        <f aca="false">-I6*I9/100</f>
        <v>-64.2224449327396</v>
      </c>
      <c r="J10" s="0" t="n">
        <f aca="false">-J6*J9/100</f>
        <v>-66.7913427300492</v>
      </c>
      <c r="K10" s="0" t="n">
        <f aca="false">-K6*K9/100</f>
        <v>-68.7950830119507</v>
      </c>
      <c r="L10" s="0" t="n">
        <f aca="false">-L6*L9/100</f>
        <v>-70.8589355023092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215.6099413</v>
      </c>
      <c r="D11" s="0" t="n">
        <f aca="false">D8+D10+D24</f>
        <v>283.271452776</v>
      </c>
      <c r="E11" s="0" t="n">
        <f aca="false">E8+E10+E24</f>
        <v>360.37890246384</v>
      </c>
      <c r="F11" s="0" t="n">
        <f aca="false">F8+F10+F24</f>
        <v>452.18477970301</v>
      </c>
      <c r="G11" s="0" t="n">
        <f aca="false">G8+G10+G24</f>
        <v>541.068217382056</v>
      </c>
      <c r="H11" s="0" t="n">
        <f aca="false">H8+H10+H24</f>
        <v>639.136831782553</v>
      </c>
      <c r="I11" s="0" t="n">
        <f aca="false">I8+I10+I24</f>
        <v>712.86913875341</v>
      </c>
      <c r="J11" s="0" t="n">
        <f aca="false">J8+J10+J24</f>
        <v>791.477411351083</v>
      </c>
      <c r="K11" s="0" t="n">
        <f aca="false">K8+K10+K24</f>
        <v>832.420504444603</v>
      </c>
      <c r="L11" s="0" t="n">
        <f aca="false">L8+L10+L24</f>
        <v>857.393119577941</v>
      </c>
    </row>
    <row r="12" customFormat="false" ht="15" hidden="false" customHeight="false" outlineLevel="0" collapsed="false">
      <c r="A12" s="0" t="s">
        <v>141</v>
      </c>
      <c r="C12" s="4" t="n">
        <f aca="false">-C6*Assumptions!C45/100</f>
        <v>-77.7974015</v>
      </c>
      <c r="D12" s="4" t="n">
        <f aca="false">-D6*Assumptions!D45/100</f>
        <v>-79.219982556</v>
      </c>
      <c r="E12" s="4" t="n">
        <f aca="false">-E6*Assumptions!E45/100</f>
        <v>-80.37227321136</v>
      </c>
      <c r="F12" s="4" t="n">
        <f aca="false">-F6*Assumptions!F45/100</f>
        <v>-80.4500528305968</v>
      </c>
      <c r="G12" s="4" t="n">
        <f aca="false">-G6*Assumptions!G45/100</f>
        <v>-79.3958797245407</v>
      </c>
      <c r="H12" s="4" t="n">
        <f aca="false">-H6*Assumptions!H45/100</f>
        <v>-77.1904386210813</v>
      </c>
      <c r="I12" s="4" t="n">
        <f aca="false">-I6*Assumptions!I45/100</f>
        <v>-80.2780561659245</v>
      </c>
      <c r="J12" s="4" t="n">
        <f aca="false">-J6*Assumptions!J45/100</f>
        <v>-83.4891784125615</v>
      </c>
      <c r="K12" s="4" t="n">
        <f aca="false">-K6*Assumptions!K45/100</f>
        <v>-85.9938537649384</v>
      </c>
      <c r="L12" s="4" t="n">
        <f aca="false">-L6*Assumptions!L45/100</f>
        <v>-88.5736693778865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137.8125398</v>
      </c>
      <c r="D13" s="0" t="n">
        <f aca="false">D11+D12</f>
        <v>204.05147022</v>
      </c>
      <c r="E13" s="0" t="n">
        <f aca="false">E11+E12</f>
        <v>280.00662925248</v>
      </c>
      <c r="F13" s="0" t="n">
        <f aca="false">F11+F12</f>
        <v>371.734726872413</v>
      </c>
      <c r="G13" s="0" t="n">
        <f aca="false">G11+G12</f>
        <v>461.672337657515</v>
      </c>
      <c r="H13" s="0" t="n">
        <f aca="false">H11+H12</f>
        <v>561.946393161472</v>
      </c>
      <c r="I13" s="0" t="n">
        <f aca="false">I11+I12</f>
        <v>632.591082587485</v>
      </c>
      <c r="J13" s="0" t="n">
        <f aca="false">J11+J12</f>
        <v>707.988232938522</v>
      </c>
      <c r="K13" s="0" t="n">
        <f aca="false">K11+K12</f>
        <v>746.426650679665</v>
      </c>
      <c r="L13" s="0" t="n">
        <f aca="false">L11+L12</f>
        <v>768.819450200055</v>
      </c>
    </row>
    <row r="14" customFormat="false" ht="15" hidden="false" customHeight="false" outlineLevel="0" collapsed="false">
      <c r="A14" s="0" t="s">
        <v>128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5</v>
      </c>
      <c r="F14" s="4" t="n">
        <f aca="false">Assumptions!F47</f>
        <v>10</v>
      </c>
      <c r="G14" s="4" t="n">
        <f aca="false">Assumptions!G47</f>
        <v>15</v>
      </c>
      <c r="H14" s="4" t="n">
        <f aca="false">Assumptions!H47</f>
        <v>18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137.8125398</v>
      </c>
      <c r="D15" s="0" t="n">
        <f aca="false">D13-MAX(0,D13)*D14/100</f>
        <v>204.05147022</v>
      </c>
      <c r="E15" s="0" t="n">
        <f aca="false">E13-MAX(0,E13)*E14/100</f>
        <v>266.006297789856</v>
      </c>
      <c r="F15" s="0" t="n">
        <f aca="false">F13-MAX(0,F13)*F14/100</f>
        <v>334.561254185172</v>
      </c>
      <c r="G15" s="0" t="n">
        <f aca="false">G13-MAX(0,G13)*G14/100</f>
        <v>392.421487008888</v>
      </c>
      <c r="H15" s="0" t="n">
        <f aca="false">H13-MAX(0,H13)*H14/100</f>
        <v>460.796042392407</v>
      </c>
      <c r="I15" s="0" t="n">
        <f aca="false">I13-MAX(0,I13)*I14/100</f>
        <v>506.072866069988</v>
      </c>
      <c r="J15" s="0" t="n">
        <f aca="false">J13-MAX(0,J13)*J14/100</f>
        <v>566.390586350817</v>
      </c>
      <c r="K15" s="0" t="n">
        <f aca="false">K13-MAX(0,K13)*K14/100</f>
        <v>597.141320543732</v>
      </c>
      <c r="L15" s="0" t="n">
        <f aca="false">L13-MAX(0,L13)*L14/100</f>
        <v>615.055560160044</v>
      </c>
    </row>
    <row r="16" customFormat="false" ht="15" hidden="false" customHeight="false" outlineLevel="0" collapsed="false">
      <c r="A16" s="0" t="s">
        <v>144</v>
      </c>
      <c r="C16" s="0" t="n">
        <f aca="false">-C12</f>
        <v>77.7974015</v>
      </c>
      <c r="D16" s="0" t="n">
        <f aca="false">-D12</f>
        <v>79.219982556</v>
      </c>
      <c r="E16" s="0" t="n">
        <f aca="false">-E12</f>
        <v>80.37227321136</v>
      </c>
      <c r="F16" s="0" t="n">
        <f aca="false">-F12</f>
        <v>80.4500528305968</v>
      </c>
      <c r="G16" s="0" t="n">
        <f aca="false">-G12</f>
        <v>79.3958797245407</v>
      </c>
      <c r="H16" s="0" t="n">
        <f aca="false">-H12</f>
        <v>77.1904386210813</v>
      </c>
      <c r="I16" s="0" t="n">
        <f aca="false">-I12</f>
        <v>80.2780561659245</v>
      </c>
      <c r="J16" s="0" t="n">
        <f aca="false">-J12</f>
        <v>83.4891784125615</v>
      </c>
      <c r="K16" s="0" t="n">
        <f aca="false">-K12</f>
        <v>85.9938537649384</v>
      </c>
      <c r="L16" s="0" t="n">
        <f aca="false">-L12</f>
        <v>88.5736693778865</v>
      </c>
    </row>
    <row r="17" customFormat="false" ht="15" hidden="false" customHeight="false" outlineLevel="0" collapsed="false">
      <c r="A17" s="0" t="s">
        <v>145</v>
      </c>
      <c r="C17" s="4" t="n">
        <f aca="false">-C6*Assumptions!C46/100</f>
        <v>-44.455658</v>
      </c>
      <c r="D17" s="4" t="n">
        <f aca="false">-D6*Assumptions!D46/100</f>
        <v>-48.01211064</v>
      </c>
      <c r="E17" s="4" t="n">
        <f aca="false">-E6*Assumptions!E46/100</f>
        <v>-51.8530794912</v>
      </c>
      <c r="F17" s="4" t="n">
        <f aca="false">-F6*Assumptions!F46/100</f>
        <v>-55.482795055584</v>
      </c>
      <c r="G17" s="4" t="n">
        <f aca="false">-G6*Assumptions!G46/100</f>
        <v>-58.8117627589191</v>
      </c>
      <c r="H17" s="4" t="n">
        <f aca="false">-H6*Assumptions!H46/100</f>
        <v>-61.752350896865</v>
      </c>
      <c r="I17" s="4" t="n">
        <f aca="false">-I6*Assumptions!I46/100</f>
        <v>-64.2224449327396</v>
      </c>
      <c r="J17" s="4" t="n">
        <f aca="false">-J6*Assumptions!J46/100</f>
        <v>-66.7913427300492</v>
      </c>
      <c r="K17" s="4" t="n">
        <f aca="false">-K6*Assumptions!K46/100</f>
        <v>-68.7950830119507</v>
      </c>
      <c r="L17" s="4" t="n">
        <f aca="false">-L6*Assumptions!L46/100</f>
        <v>-70.8589355023092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(C6-B6)*Assumptions!$B$51/100</f>
        <v>125.8179</v>
      </c>
      <c r="D18" s="4" t="n">
        <f aca="false">(D6-C6)*Assumptions!$B$51/100</f>
        <v>177.822632</v>
      </c>
      <c r="E18" s="4" t="n">
        <f aca="false">(E6-D6)*Assumptions!$B$51/100</f>
        <v>192.04844256</v>
      </c>
      <c r="F18" s="4" t="n">
        <f aca="false">(F6-E6)*Assumptions!$B$51/100</f>
        <v>181.4857782192</v>
      </c>
      <c r="G18" s="4" t="n">
        <f aca="false">(G6-F6)*Assumptions!$B$51/100</f>
        <v>166.448385166752</v>
      </c>
      <c r="H18" s="4" t="n">
        <f aca="false">(H6-G6)*Assumptions!$B$51/100</f>
        <v>147.029406897298</v>
      </c>
      <c r="I18" s="4" t="n">
        <f aca="false">(I6-H6)*Assumptions!$B$51/100</f>
        <v>123.50470179373</v>
      </c>
      <c r="J18" s="4" t="n">
        <f aca="false">(J6-I6)*Assumptions!$B$51/100</f>
        <v>128.44488986548</v>
      </c>
      <c r="K18" s="4" t="n">
        <f aca="false">(K6-J6)*Assumptions!$B$51/100</f>
        <v>100.187014095074</v>
      </c>
      <c r="L18" s="4" t="n">
        <f aca="false">(L6-K6)*Assumptions!$B$51/100</f>
        <v>103.192624517926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296.9721833</v>
      </c>
      <c r="D19" s="0" t="n">
        <f aca="false">D15+D16+D17+D18</f>
        <v>413.081974136</v>
      </c>
      <c r="E19" s="0" t="n">
        <f aca="false">E15+E16+E17+E18</f>
        <v>486.573934070016</v>
      </c>
      <c r="F19" s="0" t="n">
        <f aca="false">F15+F16+F17+F18</f>
        <v>541.014290179385</v>
      </c>
      <c r="G19" s="0" t="n">
        <f aca="false">G15+G16+G17+G18</f>
        <v>579.453989141261</v>
      </c>
      <c r="H19" s="0" t="n">
        <f aca="false">H15+H16+H17+H18</f>
        <v>623.263537013921</v>
      </c>
      <c r="I19" s="0" t="n">
        <f aca="false">I15+I16+I17+I18</f>
        <v>645.633179096903</v>
      </c>
      <c r="J19" s="0" t="n">
        <f aca="false">J15+J16+J17+J18</f>
        <v>711.533311898809</v>
      </c>
      <c r="K19" s="0" t="n">
        <f aca="false">K15+K16+K17+K18</f>
        <v>714.527105391794</v>
      </c>
      <c r="L19" s="0" t="n">
        <f aca="false">L15+L16+L17+L18</f>
        <v>735.962918553547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262.807241858407</v>
      </c>
      <c r="D21" s="0" t="n">
        <f aca="false">D19*D20</f>
        <v>323.503778006109</v>
      </c>
      <c r="E21" s="0" t="n">
        <f aca="false">E19*E20</f>
        <v>337.220143967322</v>
      </c>
      <c r="F21" s="0" t="n">
        <f aca="false">F19*F20</f>
        <v>331.814196109181</v>
      </c>
      <c r="G21" s="0" t="n">
        <f aca="false">G19*G20</f>
        <v>314.504410060936</v>
      </c>
      <c r="H21" s="0" t="n">
        <f aca="false">H19*H20</f>
        <v>299.365024301297</v>
      </c>
      <c r="I21" s="0" t="n">
        <f aca="false">I19*I20</f>
        <v>274.433254730798</v>
      </c>
      <c r="J21" s="0" t="n">
        <f aca="false">J19*J20</f>
        <v>267.65027221463</v>
      </c>
      <c r="K21" s="0" t="n">
        <f aca="false">K19*K20</f>
        <v>237.855236425643</v>
      </c>
      <c r="L21" s="0" t="n">
        <f aca="false">L19*L20</f>
        <v>216.806100458772</v>
      </c>
    </row>
    <row r="23" customFormat="false" ht="15" hidden="false" customHeight="false" outlineLevel="0" collapsed="false">
      <c r="A23" s="0" t="s">
        <v>125</v>
      </c>
      <c r="C23" s="4" t="n">
        <f aca="false">Assumptions!C44</f>
        <v>0.43</v>
      </c>
      <c r="D23" s="4" t="n">
        <f aca="false">Assumptions!D44</f>
        <v>0.42</v>
      </c>
      <c r="E23" s="4" t="n">
        <f aca="false">Assumptions!E44</f>
        <v>0.41</v>
      </c>
      <c r="F23" s="4" t="n">
        <f aca="false">Assumptions!F44</f>
        <v>0.4</v>
      </c>
      <c r="G23" s="4" t="n">
        <f aca="false">Assumptions!G44</f>
        <v>0.39</v>
      </c>
      <c r="H23" s="4" t="n">
        <f aca="false">Assumptions!H44</f>
        <v>0.38</v>
      </c>
      <c r="I23" s="4" t="n">
        <f aca="false">Assumptions!I44</f>
        <v>0.38</v>
      </c>
      <c r="J23" s="4" t="n">
        <f aca="false">Assumptions!J44</f>
        <v>0.38</v>
      </c>
      <c r="K23" s="4" t="n">
        <f aca="false">Assumptions!K44</f>
        <v>0.38</v>
      </c>
      <c r="L23" s="4" t="n">
        <f aca="false">Assumptions!L44</f>
        <v>0.38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-95.5796647</v>
      </c>
      <c r="D24" s="0" t="n">
        <f aca="false">-D6*D23/100</f>
        <v>-100.825432344</v>
      </c>
      <c r="E24" s="0" t="n">
        <f aca="false">-E6*E23/100</f>
        <v>-106.29881295696</v>
      </c>
      <c r="F24" s="0" t="n">
        <f aca="false">-F6*F23/100</f>
        <v>-110.965590111168</v>
      </c>
      <c r="G24" s="0" t="n">
        <f aca="false">-G6*G23/100</f>
        <v>-114.682937379892</v>
      </c>
      <c r="H24" s="0" t="n">
        <f aca="false">-H6*H23/100</f>
        <v>-117.329466704044</v>
      </c>
      <c r="I24" s="0" t="n">
        <f aca="false">-I6*I23/100</f>
        <v>-122.022645372205</v>
      </c>
      <c r="J24" s="0" t="n">
        <f aca="false">-J6*J23/100</f>
        <v>-126.903551187093</v>
      </c>
      <c r="K24" s="0" t="n">
        <f aca="false">-K6*K23/100</f>
        <v>-130.710657722706</v>
      </c>
      <c r="L24" s="0" t="n">
        <f aca="false">-L6*L23/100</f>
        <v>-134.631977454387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Assumptions!$B$48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131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2865.95965813309</v>
      </c>
    </row>
    <row r="31" customFormat="false" ht="15" hidden="false" customHeight="false" outlineLevel="0" collapsed="false">
      <c r="A31" s="0" t="s">
        <v>153</v>
      </c>
      <c r="B31" s="0" t="n">
        <f aca="false">L19</f>
        <v>735.962918553547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7580.41806110154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11039.4437783032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7580.41806110154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2233.10283472535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5099.06249285844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7596.52249285844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12.8094461568671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2.57306726830325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339.500998023114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215.00443262389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13.7444670778531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6317.01505091795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11.2583652183586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169</v>
      </c>
    </row>
    <row r="3" customFormat="false" ht="15" hidden="false" customHeight="false" outlineLevel="0" collapsed="false">
      <c r="A3" s="2" t="s">
        <v>170</v>
      </c>
      <c r="B3" s="2" t="s">
        <v>171</v>
      </c>
      <c r="C3" s="2" t="s">
        <v>161</v>
      </c>
      <c r="D3" s="2" t="s">
        <v>172</v>
      </c>
      <c r="E3" s="2" t="s">
        <v>164</v>
      </c>
      <c r="F3" s="2" t="s">
        <v>173</v>
      </c>
    </row>
    <row r="4" customFormat="false" ht="15" hidden="false" customHeight="false" outlineLevel="0" collapsed="false">
      <c r="A4" s="0" t="s">
        <v>174</v>
      </c>
      <c r="B4" s="4" t="n">
        <f aca="false">DCF_Bear!$B$38</f>
        <v>5.05219070014347</v>
      </c>
      <c r="C4" s="0" t="n">
        <f aca="false">B4/Assumptions!$B$2-1</f>
        <v>0.409258214823842</v>
      </c>
      <c r="D4" s="4" t="n">
        <f aca="false">Assumptions!$B$24</f>
        <v>0.3</v>
      </c>
      <c r="E4" s="4" t="n">
        <f aca="false">DCF_Bear!$B$43</f>
        <v>5.92307686935058</v>
      </c>
      <c r="F4" s="4" t="n">
        <f aca="false">DCF_Bear!$B$47</f>
        <v>4.93700367698921</v>
      </c>
    </row>
    <row r="5" customFormat="false" ht="15" hidden="false" customHeight="false" outlineLevel="0" collapsed="false">
      <c r="A5" s="0" t="s">
        <v>175</v>
      </c>
      <c r="B5" s="4" t="n">
        <f aca="false">DCF_Base!$B$38</f>
        <v>8.95430858580709</v>
      </c>
      <c r="C5" s="0" t="n">
        <f aca="false">B5/Assumptions!$B$2-1</f>
        <v>1.49771508669654</v>
      </c>
      <c r="D5" s="4" t="n">
        <f aca="false">Assumptions!$B$38</f>
        <v>0.5</v>
      </c>
      <c r="E5" s="4" t="n">
        <f aca="false">DCF_Base!$B$43</f>
        <v>9.77065896975852</v>
      </c>
      <c r="F5" s="4" t="n">
        <f aca="false">DCF_Base!$B$47</f>
        <v>8.14527836694019</v>
      </c>
    </row>
    <row r="6" customFormat="false" ht="15" hidden="false" customHeight="false" outlineLevel="0" collapsed="false">
      <c r="A6" s="0" t="s">
        <v>176</v>
      </c>
      <c r="B6" s="4" t="n">
        <f aca="false">DCF_Bull!$B$38</f>
        <v>12.8094461568671</v>
      </c>
      <c r="C6" s="0" t="n">
        <f aca="false">B6/Assumptions!$B$2-1</f>
        <v>2.57306726830325</v>
      </c>
      <c r="D6" s="4" t="n">
        <f aca="false">Assumptions!$B$52</f>
        <v>0.2</v>
      </c>
      <c r="E6" s="4" t="n">
        <f aca="false">DCF_Bull!$B$43</f>
        <v>13.7444670778531</v>
      </c>
      <c r="F6" s="4" t="n">
        <f aca="false">DCF_Bull!$B$47</f>
        <v>11.2583652183586</v>
      </c>
    </row>
    <row r="8" customFormat="false" ht="15" hidden="false" customHeight="false" outlineLevel="0" collapsed="false">
      <c r="A8" s="0" t="s">
        <v>177</v>
      </c>
      <c r="B8" s="0" t="n">
        <f aca="false">SUMPRODUCT(B4:B6,D4:D6)</f>
        <v>8.55470073432002</v>
      </c>
    </row>
    <row r="9" customFormat="false" ht="15" hidden="false" customHeight="false" outlineLevel="0" collapsed="false">
      <c r="A9" s="0" t="s">
        <v>178</v>
      </c>
      <c r="B9" s="0" t="n">
        <f aca="false">SUMPRODUCT(E4:E6,D4:D6)</f>
        <v>9.41114596125506</v>
      </c>
    </row>
    <row r="10" customFormat="false" ht="15" hidden="false" customHeight="false" outlineLevel="0" collapsed="false">
      <c r="A10" s="0" t="s">
        <v>179</v>
      </c>
      <c r="B10" s="0" t="n">
        <f aca="false">1-Assumptions!$B$2/B8</f>
        <v>0.580932155157972</v>
      </c>
    </row>
    <row r="11" customFormat="false" ht="15" hidden="false" customHeight="false" outlineLevel="0" collapsed="false">
      <c r="A11" s="0" t="s">
        <v>180</v>
      </c>
      <c r="B11" s="0" t="n">
        <f aca="false">IF(ABS(B9-B8)&gt;0.01*ABS(B8),(Assumptions!$B$2-B8)/(B9-B8)*100,"n/a")</f>
        <v>-580.270702436519</v>
      </c>
    </row>
    <row r="12" customFormat="false" ht="15" hidden="false" customHeight="false" outlineLevel="0" collapsed="false">
      <c r="A12" s="0" t="s">
        <v>181</v>
      </c>
      <c r="B12" s="0" t="n">
        <f aca="false">SUMPRODUCT(F4:F6,D4:D6)</f>
        <v>7.80541333023858</v>
      </c>
    </row>
    <row r="14" customFormat="false" ht="15" hidden="false" customHeight="false" outlineLevel="0" collapsed="false">
      <c r="A14" s="2" t="s">
        <v>182</v>
      </c>
      <c r="C14" s="0" t="s">
        <v>183</v>
      </c>
    </row>
    <row r="15" customFormat="false" ht="15" hidden="false" customHeight="false" outlineLevel="0" collapsed="false">
      <c r="A15" s="0" t="s">
        <v>184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11.5870638354323</v>
      </c>
      <c r="C15" s="3" t="n">
        <v>9</v>
      </c>
    </row>
    <row r="16" customFormat="false" ht="15" hidden="false" customHeight="false" outlineLevel="0" collapsed="false">
      <c r="A16" s="0" t="s">
        <v>185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10.9911669692057</v>
      </c>
      <c r="C16" s="3" t="n">
        <v>10</v>
      </c>
    </row>
    <row r="17" customFormat="false" ht="15" hidden="false" customHeight="false" outlineLevel="0" collapsed="false">
      <c r="A17" s="0" t="s">
        <v>186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10.1506464597621</v>
      </c>
      <c r="C17" s="3" t="n">
        <v>11</v>
      </c>
    </row>
    <row r="18" customFormat="false" ht="15" hidden="false" customHeight="false" outlineLevel="0" collapsed="false">
      <c r="A18" s="0" t="s">
        <v>187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9.48873229673458</v>
      </c>
      <c r="C18" s="3" t="n">
        <v>12</v>
      </c>
    </row>
    <row r="19" customFormat="false" ht="15" hidden="false" customHeight="false" outlineLevel="0" collapsed="false">
      <c r="A19" s="0" t="s">
        <v>188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8.95430858580709</v>
      </c>
      <c r="C19" s="3" t="n">
        <v>13</v>
      </c>
    </row>
    <row r="20" customFormat="false" ht="15" hidden="false" customHeight="false" outlineLevel="0" collapsed="false">
      <c r="A20" s="0" t="s">
        <v>189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8.14527836694019</v>
      </c>
      <c r="C20" s="3" t="n">
        <v>15</v>
      </c>
    </row>
    <row r="22" customFormat="false" ht="15" hidden="false" customHeight="false" outlineLevel="0" collapsed="false">
      <c r="A22" s="2" t="s">
        <v>190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9.82298884698308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9.97771605301763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10.1506464597621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10.3451931673497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10.5656794359489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9.24405453754921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9.36027647316226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9.48873229673458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9.63146098959271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9.79098129337533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8.76772369526889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8.85677557484394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8.95430858580709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9.06159489786655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9.18017450593227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8.36926099912969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8.43863626909201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8.51404417122497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8.59630733718819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8.68640509038601</v>
      </c>
    </row>
    <row r="28" customFormat="false" ht="15" hidden="false" customHeight="false" outlineLevel="0" collapsed="false">
      <c r="A28" s="3" t="n">
        <v>15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8.03126775986418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8.08608055172765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8.14527836694019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8.20940933342045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8.27911690568159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2026-10-23T19:29:24Z</dcterms:created>
  <dc:creator>openpyxl</dc:creator>
  <dc:description/>
  <dc:language>en-NZ</dc:language>
  <cp:lastModifiedBy/>
  <dcterms:modified xsi:type="dcterms:W3CDTF">2026-10-23T19:29:24Z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