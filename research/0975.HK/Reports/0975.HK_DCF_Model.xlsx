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<sst xmlns="http://schemas.openxmlformats.org/spreadsheetml/2006/main" count="355" uniqueCount="166">
  <si>
    <t xml:space="preserve">Ticker</t>
  </si>
  <si>
    <t xml:space="preserve">0975.HK</t>
  </si>
  <si>
    <t xml:space="preserve">Company</t>
  </si>
  <si>
    <t xml:space="preserve">Mongolian Mining Corporation</t>
  </si>
  <si>
    <t xml:space="preserve">Valuation date</t>
  </si>
  <si>
    <t xml:space="preserve">2026-10-12</t>
  </si>
  <si>
    <t xml:space="preserve">Current price</t>
  </si>
  <si>
    <t xml:space="preserve">Price as of</t>
  </si>
  <si>
    <t xml:space="preserve">2026-10-09T08:08:06Z (HKEX regular close, Friday); 52-week range 5.81-14.58</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</si>
  <si>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</si>
  <si>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</si>
  <si>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</si>
  <si>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</si>
  <si>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</si>
  <si>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</si>
  <si>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</si>
  <si>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</si>
  <si>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</si>
  <si>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</si>
  <si>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</si>
  <si>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</si>
  <si>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</si>
  <si>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2026-10-11T12:34:22Z</t>
  </si>
  <si>
    <t xml:space="preserve">Drivers file</t>
  </si>
  <si>
    <t xml:space="preserve">0975.HK_Drivers.json</t>
  </si>
  <si>
    <t xml:space="preserve">Convention</t>
  </si>
  <si>
    <t xml:space="preserve">Percents stored as percents; formulas divide by 100. Blue = input, green = link, black = formula.</t>
  </si>
  <si>
    <t xml:space="preserve">Methodology</t>
  </si>
  <si>
    <t xml:space="preserve">summary: Through-cycle owner-FCF DCF of a cyclical Mongolian coking coal miner with a new 50%-owned gold mine. FY0 is a trough, so no driver is anchored to FY0 margins or FCF; coal is priced at a mid-cycle ASP below its historical average (China steel is structurally shrinking), gold below spot, and the capitalised deferred stripping that IFRS books in investing is treated as the sustaining cost it is. Risk is charged once: cyclicality and the Strategic Deposit outcome in the scenario flows and weights, sovereign and governance risk in a single 11.5% USD WACC. The terminal value is capped at 10-13x FCF so the model never assumes a re-rating a coal miner does not get.
key_risks_to_valuation: Strategic Deposit designation: the Feb 2026 MoU (royalty instead of free State equity) is non-binding and unratified; a free 34-50% State stake in UHG/BN is the bear case and roughly halves coal value to shareholders; Coking coal ASP: every USD10/t on 11.5Mt is ~USD115m of EBITDA (~27% of base EBITDA); China crude steel output fell 4.4% in 2025 and 3.0% in H1 2026; Gold price and Bayan Khundii ramp: base uses USD3,300/oz vs ~USD4,000 spot; the segment is 50% owned so only half its value accrues to MMC; Related-party dependence on MCS Group (power, security, camp, logistics, marketing) - governance discount carried in WACC, not quantified in flows; Deferred stripping intensity: if the stripping ratio rises, capex at 16% of revenue is too low; each 1pp is ~USD13m/yr of FCF; Single border crossing (Gashuunsukhait/Ganqimaodu) and Chinese import policy; FY2021 showed revenue can fall 56% on a border closure; USD-denominated 8.44% notes against RMB coal and MNT gold revenue</t>
  </si>
  <si>
    <t xml:space="preserve">Data sources</t>
  </si>
  <si>
    <t xml:space="preserve">price: Yahoo Finance chart API regularMarketPrice at inputs.price_as_of (HKEX regular close); 52-week range 5.81-14.58 HKD. USD/HKD from Yahoo HKD=X same date.
financials: 0975.HK_Metrics.csv / metrics_normalized (FY2018-FY2025 annual, H1 FY2023-H1 FY2026 interim) via make dcf-context; H1 FY2026 interim report (balance sheet 30 Jun 2026, segment note, capex table 15, buyback and subsequent-events notes, diluted-share note); FY2025 annual report (segment note, capex table 17, financing cash-flow note, share option note, ASP/volume/unit cost disclosures); FY2019-FY2024 annual reports for sales volumes.
qualitative: 0975.HK_Analysis.json (2026-10-12): business model, Strategic Deposit / MoU timeline, MCS related-party exposure, gold/copper diversification, bull and bear cases.</t>
  </si>
  <si>
    <t xml:space="preserve">Scenario narrative: bear</t>
  </si>
  <si>
    <t xml:space="preserve">Coal stuck at the FY2025 trough, gold back to USD2,800, and the State takes a free equity stake in the coal licences from FY2028 instead of a royalty. The business survives (no scenario hits the zero floor; net debt/EBITDA stays ~0.5x on the 8.44% notes) but roughly half of coal profit no longer belongs to MMC shareholders.</t>
  </si>
  <si>
    <t xml:space="preserve">Scenario narrative: base</t>
  </si>
  <si>
    <t xml:space="preserve">Mid-cycle coal (ASP ~USD95/t, 11.5Mt by rail), gold at USD3,300/oz and 75-80koz, MoU ratified as a ~1.5pp special royalty, copper at zero. The company earns ~USD420m EBITDA mid-cycle and converts ~30% of it to owner FCF after capitalised stripping and the gold partner's share. Value is dominated by the explicit years (terminal &lt;45% of EV) because the 12x cap and 11.5% WACC keep the exit multiple at what a cyclical miner actually trades on.</t>
  </si>
  <si>
    <t xml:space="preserve">Scenario narrative: bull</t>
  </si>
  <si>
    <t xml:space="preserve">Coal price mean-reverts to its 2019-2024 average, Mongolia keeps a 60%+ share of China's imports, gold stays near USD3,900 with mine-life extension, the Strategic Deposit claim is settled benignly, and White Hill copper becomes a second new mine. Several independent things must go right at once, which is why the weight is 20%.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</si>
  <si>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</si>
  <si>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</si>
  <si>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</si>
  <si>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</si>
  <si>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</si>
  <si>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</si>
  <si>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</si>
  <si>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</si>
  <si>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</si>
  <si>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</si>
  <si>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</si>
  <si>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</si>
  <si>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</si>
  <si>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</si>
  <si>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</si>
  <si>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</si>
  <si>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</si>
  <si>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</si>
  <si>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</si>
  <si>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</si>
  <si>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</si>
  <si>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</si>
  <si>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</si>
  <si>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</si>
  <si>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</si>
  <si>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</si>
  <si>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</si>
  <si>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PerpetualNotes</t>
  </si>
  <si>
    <t xml:space="preserve">FY2018</t>
  </si>
  <si>
    <t xml:space="preserve">thousands</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</si>
  <si>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</si>
  <si>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</si>
  <si>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</si>
  <si>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</si>
  <si>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</si>
  <si>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</si>
  <si>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</si>
  <si>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</si>
  <si>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</si>
  <si>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</si>
  <si>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</si>
  <si>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</si>
  <si>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</si>
  <si>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</si>
  <si>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</si>
  <si>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</si>
  <si>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</si>
  <si>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</si>
  <si>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</si>
  <si>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</si>
  <si>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</si>
  <si>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</si>
  <si>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</si>
  <si>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</si>
  <si>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</si>
  <si>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</si>
  <si>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</si>
  <si>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</si>
  <si>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</si>
  <si>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</si>
  <si>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</si>
  <si>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</si>
  <si>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</si>
  <si>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</si>
  <si>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</si>
  <si>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</si>
  <si>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</si>
  <si>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</si>
  <si>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</si>
  <si>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</si>
  <si>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</si>
  <si>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</si>
  <si>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</si>
  <si>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</si>
  <si>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0975.HK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</si>
  <si>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</si>
  <si>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</si>
  <si>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</si>
  <si>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</si>
  <si>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</si>
  <si>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</si>
  <si>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</si>
  <si>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</si>
  <si>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</si>
  <si>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</si>
  <si>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</si>
  <si>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</si>
  <si>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</si>
  <si>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</si>
  <si>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</si>
  <si>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</si>
  <si>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</si>
  <si>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</si>
  <si>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</si>
  <si>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</si>
  <si>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</si>
  <si>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</si>
  <si>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</si>
  <si>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</si>
  <si>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</si>
  <si>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</si>
  <si>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</si>
  <si>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</si>
  <si>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</si>
  <si>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</si>
  <si>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0975.HK owner-FCF component DCF: base case (millions, USD)</t>
  </si>
  <si>
    <t xml:space="preserve">0975.HK owner-FCF component DCF: bull case (millions, USD)</t>
  </si>
  <si>
    <t xml:space="preserve">0975.HK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</si>
  <si>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</si>
  <si>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</si>
  <si>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</si>
  <si>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</si>
  <si>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</si>
  <si>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</si>
  <si>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</si>
  <si>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</si>
  <si>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</si>
  <si>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</si>
  <si>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</si>
  <si>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</si>
  <si>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</si>
  <si>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</si>
  <si>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</si>
  <si>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</si>
  <si>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</si>
  <si>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11.5%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</si>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</sst>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8.57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590710</v>
      </c>
      <c r="C2" s="0" t="n">
        <v>360310</v>
      </c>
      <c r="D2" s="0" t="n">
        <v>230400</v>
      </c>
      <c r="E2" s="0" t="n">
        <v>39</v>
      </c>
      <c r="F2" s="0" t="n">
        <v>153692</v>
      </c>
      <c r="G2" s="0" t="n">
        <v>26</v>
      </c>
      <c r="H2" s="0" t="n">
        <v>217565</v>
      </c>
      <c r="I2" s="0" t="n">
        <v>82773</v>
      </c>
      <c r="J2" s="0" t="n">
        <v>14</v>
      </c>
      <c r="K2" s="0" t="n">
        <v>0.0804</v>
      </c>
      <c r="L2" s="0" t="n">
        <v>158600</v>
      </c>
      <c r="M2" s="0" t="n">
        <v>89497</v>
      </c>
      <c r="N2" s="0" t="n">
        <v>69103</v>
      </c>
      <c r="O2" s="0" t="n">
        <v>741836</v>
      </c>
      <c r="P2" s="0" t="n">
        <v>1717968</v>
      </c>
      <c r="Q2" s="0" t="n">
        <v>900707</v>
      </c>
      <c r="R2" s="0" t="n">
        <v>476776</v>
      </c>
      <c r="S2" s="0" t="n">
        <v>33035</v>
      </c>
      <c r="T2" s="0" t="n">
        <v>1029180</v>
      </c>
      <c r="U2" s="0" t="n">
        <v>677</v>
      </c>
      <c r="V2" s="0" t="n">
        <v>0</v>
      </c>
      <c r="AA2" s="0" t="s">
        <v>66</v>
      </c>
      <c r="AB2" s="0" t="s">
        <v>14</v>
      </c>
      <c r="AC2" s="0" t="n">
        <v>75897</v>
      </c>
    </row>
    <row r="3" customFormat="false" ht="15" hidden="false" customHeight="false" outlineLevel="0" collapsed="false">
      <c r="A3" s="0" t="s">
        <v>67</v>
      </c>
      <c r="B3" s="0" t="n">
        <v>626596</v>
      </c>
      <c r="C3" s="0" t="n">
        <v>374534</v>
      </c>
      <c r="D3" s="0" t="n">
        <v>252062</v>
      </c>
      <c r="E3" s="0" t="n">
        <v>40.2</v>
      </c>
      <c r="F3" s="0" t="n">
        <v>159904</v>
      </c>
      <c r="G3" s="0" t="n">
        <v>25.5</v>
      </c>
      <c r="H3" s="0" t="n">
        <v>224293</v>
      </c>
      <c r="I3" s="0" t="n">
        <v>96527</v>
      </c>
      <c r="J3" s="0" t="n">
        <v>15.4</v>
      </c>
      <c r="K3" s="0" t="n">
        <v>0.0938</v>
      </c>
      <c r="L3" s="0" t="n">
        <v>169341</v>
      </c>
      <c r="M3" s="0" t="n">
        <v>97510</v>
      </c>
      <c r="N3" s="0" t="n">
        <v>71831</v>
      </c>
      <c r="O3" s="0" t="n">
        <v>799689</v>
      </c>
      <c r="P3" s="0" t="n">
        <v>1732172</v>
      </c>
      <c r="Q3" s="0" t="n">
        <v>866193</v>
      </c>
      <c r="R3" s="0" t="n">
        <v>448093</v>
      </c>
      <c r="S3" s="0" t="n">
        <v>40619</v>
      </c>
      <c r="T3" s="0" t="n">
        <v>1029180</v>
      </c>
      <c r="U3" s="0" t="n">
        <v>278</v>
      </c>
      <c r="V3" s="0" t="n">
        <v>0</v>
      </c>
      <c r="AA3" s="0" t="s">
        <v>66</v>
      </c>
      <c r="AB3" s="0" t="s">
        <v>14</v>
      </c>
      <c r="AC3" s="0" t="n">
        <v>66569</v>
      </c>
    </row>
    <row r="4" customFormat="false" ht="15" hidden="false" customHeight="false" outlineLevel="0" collapsed="false">
      <c r="A4" s="0" t="s">
        <v>68</v>
      </c>
      <c r="B4" s="0" t="n">
        <v>417424</v>
      </c>
      <c r="C4" s="0" t="n">
        <v>288848</v>
      </c>
      <c r="D4" s="0" t="n">
        <v>128576</v>
      </c>
      <c r="E4" s="0" t="n">
        <v>30.8</v>
      </c>
      <c r="F4" s="0" t="n">
        <v>81421</v>
      </c>
      <c r="G4" s="0" t="n">
        <v>19.5</v>
      </c>
      <c r="H4" s="0" t="n">
        <v>142620</v>
      </c>
      <c r="I4" s="0" t="n">
        <v>28940</v>
      </c>
      <c r="J4" s="0" t="n">
        <v>6.9</v>
      </c>
      <c r="K4" s="0" t="n">
        <v>0.0281</v>
      </c>
      <c r="L4" s="0" t="n">
        <v>108687</v>
      </c>
      <c r="M4" s="0" t="n">
        <v>68419</v>
      </c>
      <c r="N4" s="0" t="n">
        <v>40268</v>
      </c>
      <c r="O4" s="0" t="n">
        <v>821209</v>
      </c>
      <c r="P4" s="0" t="n">
        <v>1735540</v>
      </c>
      <c r="Q4" s="0" t="n">
        <v>847376</v>
      </c>
      <c r="R4" s="0" t="n">
        <v>449689</v>
      </c>
      <c r="S4" s="0" t="n">
        <v>38904</v>
      </c>
      <c r="T4" s="0" t="n">
        <v>1029180</v>
      </c>
      <c r="U4" s="0" t="n">
        <v>136</v>
      </c>
      <c r="V4" s="0" t="n">
        <v>0</v>
      </c>
      <c r="AA4" s="0" t="s">
        <v>66</v>
      </c>
      <c r="AB4" s="0" t="s">
        <v>14</v>
      </c>
      <c r="AC4" s="0" t="n">
        <v>66569</v>
      </c>
    </row>
    <row r="5" customFormat="false" ht="15" hidden="false" customHeight="false" outlineLevel="0" collapsed="false">
      <c r="A5" s="0" t="s">
        <v>69</v>
      </c>
      <c r="B5" s="0" t="n">
        <v>184069</v>
      </c>
      <c r="C5" s="0" t="n">
        <v>161490</v>
      </c>
      <c r="D5" s="0" t="n">
        <v>22579</v>
      </c>
      <c r="E5" s="0" t="n">
        <v>12.3</v>
      </c>
      <c r="F5" s="0" t="n">
        <v>-11328</v>
      </c>
      <c r="G5" s="0" t="n">
        <v>-6.2</v>
      </c>
      <c r="H5" s="0" t="n">
        <v>38376</v>
      </c>
      <c r="I5" s="0" t="n">
        <v>-55238</v>
      </c>
      <c r="J5" s="0" t="n">
        <v>-30</v>
      </c>
      <c r="K5" s="0" t="n">
        <v>-0.0535</v>
      </c>
      <c r="L5" s="0" t="n">
        <v>84911</v>
      </c>
      <c r="M5" s="0" t="n">
        <v>48130</v>
      </c>
      <c r="N5" s="0" t="n">
        <v>36781</v>
      </c>
      <c r="O5" s="0" t="n">
        <v>829823</v>
      </c>
      <c r="P5" s="0" t="n">
        <v>1879138</v>
      </c>
      <c r="Q5" s="0" t="n">
        <v>982560</v>
      </c>
      <c r="R5" s="0" t="n">
        <v>452673</v>
      </c>
      <c r="S5" s="0" t="n">
        <v>25937</v>
      </c>
      <c r="T5" s="0" t="n">
        <v>1031580</v>
      </c>
      <c r="U5" s="0" t="n">
        <v>34</v>
      </c>
      <c r="V5" s="0" t="n">
        <v>0</v>
      </c>
      <c r="AA5" s="0" t="s">
        <v>66</v>
      </c>
      <c r="AB5" s="0" t="s">
        <v>14</v>
      </c>
      <c r="AC5" s="0" t="n">
        <v>66569</v>
      </c>
    </row>
    <row r="6" customFormat="false" ht="15" hidden="false" customHeight="false" outlineLevel="0" collapsed="false">
      <c r="A6" s="0" t="s">
        <v>70</v>
      </c>
      <c r="B6" s="0" t="n">
        <v>546248</v>
      </c>
      <c r="C6" s="0" t="n">
        <v>451131</v>
      </c>
      <c r="D6" s="0" t="n">
        <v>95117</v>
      </c>
      <c r="E6" s="0" t="n">
        <v>17.4</v>
      </c>
      <c r="F6" s="0" t="n">
        <v>72089</v>
      </c>
      <c r="G6" s="0" t="n">
        <v>13.2</v>
      </c>
      <c r="H6" s="0" t="n">
        <v>133797</v>
      </c>
      <c r="I6" s="0" t="n">
        <v>59177</v>
      </c>
      <c r="J6" s="0" t="n">
        <v>10.8</v>
      </c>
      <c r="K6" s="0" t="n">
        <v>0.0568</v>
      </c>
      <c r="L6" s="0" t="n">
        <v>233779</v>
      </c>
      <c r="M6" s="0" t="n">
        <v>80379</v>
      </c>
      <c r="N6" s="0" t="n">
        <v>153400</v>
      </c>
      <c r="O6" s="0" t="n">
        <v>872556</v>
      </c>
      <c r="P6" s="0" t="n">
        <v>1820508</v>
      </c>
      <c r="Q6" s="0" t="n">
        <v>893431</v>
      </c>
      <c r="R6" s="0" t="n">
        <v>373812</v>
      </c>
      <c r="S6" s="0" t="n">
        <v>64695</v>
      </c>
      <c r="T6" s="0" t="n">
        <v>1042480</v>
      </c>
      <c r="U6" s="0" t="n">
        <v>0</v>
      </c>
      <c r="V6" s="0" t="n">
        <v>0</v>
      </c>
      <c r="AA6" s="0" t="s">
        <v>66</v>
      </c>
      <c r="AB6" s="0" t="s">
        <v>14</v>
      </c>
      <c r="AC6" s="0" t="n">
        <v>55476</v>
      </c>
    </row>
    <row r="7" customFormat="false" ht="15" hidden="false" customHeight="false" outlineLevel="0" collapsed="false">
      <c r="A7" s="0" t="s">
        <v>71</v>
      </c>
      <c r="B7" s="0" t="n">
        <v>1034821</v>
      </c>
      <c r="C7" s="0" t="n">
        <v>593180</v>
      </c>
      <c r="D7" s="0" t="n">
        <v>441641</v>
      </c>
      <c r="E7" s="0" t="n">
        <v>42.7</v>
      </c>
      <c r="F7" s="0" t="n">
        <v>387004</v>
      </c>
      <c r="G7" s="0" t="n">
        <v>37.4</v>
      </c>
      <c r="H7" s="0" t="n">
        <v>481123</v>
      </c>
      <c r="I7" s="0" t="n">
        <v>239686</v>
      </c>
      <c r="J7" s="0" t="n">
        <v>23.2</v>
      </c>
      <c r="K7" s="0" t="n">
        <v>0.2195</v>
      </c>
      <c r="L7" s="0" t="n">
        <v>481879</v>
      </c>
      <c r="M7" s="0" t="n">
        <v>133798</v>
      </c>
      <c r="N7" s="0" t="n">
        <v>348081</v>
      </c>
      <c r="O7" s="0" t="n">
        <v>1114837</v>
      </c>
      <c r="P7" s="0" t="n">
        <v>2008441</v>
      </c>
      <c r="Q7" s="0" t="n">
        <v>838575</v>
      </c>
      <c r="R7" s="0" t="n">
        <v>213993</v>
      </c>
      <c r="S7" s="0" t="n">
        <v>175799</v>
      </c>
      <c r="T7" s="0" t="n">
        <v>1042480</v>
      </c>
      <c r="U7" s="0" t="n">
        <v>2162</v>
      </c>
      <c r="V7" s="0" t="n">
        <v>0</v>
      </c>
      <c r="AA7" s="0" t="s">
        <v>66</v>
      </c>
      <c r="AB7" s="0" t="s">
        <v>14</v>
      </c>
      <c r="AC7" s="0" t="n">
        <v>55476</v>
      </c>
    </row>
    <row r="8" customFormat="false" ht="15" hidden="false" customHeight="false" outlineLevel="0" collapsed="false">
      <c r="A8" s="0" t="s">
        <v>72</v>
      </c>
      <c r="B8" s="0" t="n">
        <v>1039852</v>
      </c>
      <c r="C8" s="0" t="n">
        <v>628177</v>
      </c>
      <c r="D8" s="0" t="n">
        <v>411675</v>
      </c>
      <c r="E8" s="0" t="n">
        <v>39.6</v>
      </c>
      <c r="F8" s="0" t="n">
        <v>368324</v>
      </c>
      <c r="G8" s="0" t="n">
        <v>35.4</v>
      </c>
      <c r="H8" s="0" t="n">
        <v>493122</v>
      </c>
      <c r="I8" s="0" t="n">
        <v>242012</v>
      </c>
      <c r="J8" s="0" t="n">
        <v>23.3</v>
      </c>
      <c r="K8" s="0" t="n">
        <v>0.2177</v>
      </c>
      <c r="L8" s="0" t="n">
        <v>223491</v>
      </c>
      <c r="M8" s="0" t="n">
        <v>188955</v>
      </c>
      <c r="N8" s="0" t="n">
        <v>34536</v>
      </c>
      <c r="O8" s="0" t="n">
        <v>1245510</v>
      </c>
      <c r="P8" s="0" t="n">
        <v>2135213</v>
      </c>
      <c r="Q8" s="0" t="n">
        <v>754294</v>
      </c>
      <c r="R8" s="0" t="n">
        <v>236689</v>
      </c>
      <c r="S8" s="0" t="n">
        <v>140521</v>
      </c>
      <c r="T8" s="0" t="n">
        <v>1049080</v>
      </c>
      <c r="U8" s="0" t="n">
        <v>1886</v>
      </c>
      <c r="V8" s="0" t="n">
        <v>0</v>
      </c>
      <c r="AA8" s="0" t="s">
        <v>66</v>
      </c>
      <c r="AB8" s="0" t="s">
        <v>14</v>
      </c>
      <c r="AC8" s="0" t="n">
        <v>0</v>
      </c>
    </row>
    <row r="9" customFormat="false" ht="15" hidden="false" customHeight="false" outlineLevel="0" collapsed="false">
      <c r="A9" s="0" t="s">
        <v>73</v>
      </c>
      <c r="B9" s="0" t="n">
        <v>823398</v>
      </c>
      <c r="C9" s="0" t="n">
        <v>679356</v>
      </c>
      <c r="D9" s="0" t="n">
        <v>144042</v>
      </c>
      <c r="E9" s="0" t="n">
        <v>17.5</v>
      </c>
      <c r="F9" s="0" t="n">
        <v>78768</v>
      </c>
      <c r="G9" s="0" t="n">
        <v>9.6</v>
      </c>
      <c r="H9" s="0" t="n">
        <v>200737</v>
      </c>
      <c r="I9" s="0" t="n">
        <v>6100</v>
      </c>
      <c r="J9" s="0" t="n">
        <v>0.7</v>
      </c>
      <c r="K9" s="0" t="n">
        <v>0.0058</v>
      </c>
      <c r="L9" s="0" t="n">
        <v>234258</v>
      </c>
      <c r="M9" s="0" t="n">
        <v>228147</v>
      </c>
      <c r="N9" s="0" t="n">
        <v>6111</v>
      </c>
      <c r="O9" s="0" t="n">
        <v>1234720</v>
      </c>
      <c r="P9" s="0" t="n">
        <v>2347026</v>
      </c>
      <c r="Q9" s="0" t="n">
        <v>950202</v>
      </c>
      <c r="R9" s="0" t="n">
        <v>394081</v>
      </c>
      <c r="S9" s="0" t="n">
        <v>223948</v>
      </c>
      <c r="T9" s="0" t="n">
        <v>1036850</v>
      </c>
      <c r="U9" s="0" t="n">
        <v>1067</v>
      </c>
      <c r="V9" s="0" t="n">
        <v>0</v>
      </c>
      <c r="AA9" s="0" t="s">
        <v>66</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8.57</v>
      </c>
    </row>
    <row r="3" customFormat="false" ht="15" hidden="false" customHeight="false" outlineLevel="0" collapsed="false">
      <c r="A3" s="0" t="s">
        <v>77</v>
      </c>
      <c r="B3" s="3" t="n">
        <v>1031.5</v>
      </c>
    </row>
    <row r="4" customFormat="false" ht="15" hidden="false" customHeight="false" outlineLevel="0" collapsed="false">
      <c r="A4" s="0" t="s">
        <v>78</v>
      </c>
      <c r="B4" s="3" t="n">
        <v>115.1</v>
      </c>
    </row>
    <row r="5" customFormat="false" ht="15" hidden="false" customHeight="false" outlineLevel="0" collapsed="false">
      <c r="A5" s="0" t="s">
        <v>79</v>
      </c>
      <c r="B5" s="3" t="n">
        <v>18.44</v>
      </c>
    </row>
    <row r="6" customFormat="false" ht="15" hidden="false" customHeight="false" outlineLevel="0" collapsed="false">
      <c r="A6" s="0" t="s">
        <v>80</v>
      </c>
      <c r="B6" s="3" t="n">
        <v>15</v>
      </c>
    </row>
    <row r="7" customFormat="false" ht="15" hidden="false" customHeight="false" outlineLevel="0" collapsed="false">
      <c r="A7" s="0" t="s">
        <v>81</v>
      </c>
      <c r="B7" s="3" t="n">
        <v>823.398</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7.8472</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30</v>
      </c>
      <c r="D13" s="3" t="n">
        <v>-8</v>
      </c>
      <c r="E13" s="3" t="n">
        <v>0</v>
      </c>
      <c r="F13" s="3" t="n">
        <v>0</v>
      </c>
      <c r="G13" s="3" t="n">
        <v>0</v>
      </c>
      <c r="H13" s="3" t="n">
        <v>-1</v>
      </c>
      <c r="I13" s="3" t="n">
        <v>-1</v>
      </c>
      <c r="J13" s="3" t="n">
        <v>-1</v>
      </c>
      <c r="K13" s="3" t="n">
        <v>-2</v>
      </c>
      <c r="L13" s="3" t="n">
        <v>-2</v>
      </c>
    </row>
    <row r="14" customFormat="false" ht="15" hidden="false" customHeight="false" outlineLevel="0" collapsed="false">
      <c r="A14" s="0" t="s">
        <v>98</v>
      </c>
      <c r="C14" s="3" t="n">
        <v>27</v>
      </c>
      <c r="D14" s="3" t="n">
        <v>24</v>
      </c>
      <c r="E14" s="3" t="n">
        <v>23</v>
      </c>
      <c r="F14" s="3" t="n">
        <v>23</v>
      </c>
      <c r="G14" s="3" t="n">
        <v>23</v>
      </c>
      <c r="H14" s="3" t="n">
        <v>22.5</v>
      </c>
      <c r="I14" s="3" t="n">
        <v>22.5</v>
      </c>
      <c r="J14" s="3" t="n">
        <v>22</v>
      </c>
      <c r="K14" s="3" t="n">
        <v>22</v>
      </c>
      <c r="L14" s="3" t="n">
        <v>22</v>
      </c>
    </row>
    <row r="15" customFormat="false" ht="15" hidden="false" customHeight="false" outlineLevel="0" collapsed="false">
      <c r="A15" s="0" t="s">
        <v>99</v>
      </c>
      <c r="C15" s="3" t="n">
        <v>0.1</v>
      </c>
      <c r="D15" s="3" t="n">
        <v>0.1</v>
      </c>
      <c r="E15" s="3" t="n">
        <v>0.1</v>
      </c>
      <c r="F15" s="3" t="n">
        <v>0.1</v>
      </c>
      <c r="G15" s="3" t="n">
        <v>0.1</v>
      </c>
      <c r="H15" s="3" t="n">
        <v>0.1</v>
      </c>
      <c r="I15" s="3" t="n">
        <v>0.1</v>
      </c>
      <c r="J15" s="3" t="n">
        <v>0.1</v>
      </c>
      <c r="K15" s="3" t="n">
        <v>0.1</v>
      </c>
      <c r="L15" s="3" t="n">
        <v>0.1</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12.5</v>
      </c>
      <c r="D17" s="3" t="n">
        <v>13</v>
      </c>
      <c r="E17" s="3" t="n">
        <v>13.5</v>
      </c>
      <c r="F17" s="3" t="n">
        <v>13.5</v>
      </c>
      <c r="G17" s="3" t="n">
        <v>13.5</v>
      </c>
      <c r="H17" s="3" t="n">
        <v>13.5</v>
      </c>
      <c r="I17" s="3" t="n">
        <v>13.5</v>
      </c>
      <c r="J17" s="3" t="n">
        <v>13.5</v>
      </c>
      <c r="K17" s="3" t="n">
        <v>13.5</v>
      </c>
      <c r="L17" s="3" t="n">
        <v>13.5</v>
      </c>
    </row>
    <row r="18" customFormat="false" ht="15" hidden="false" customHeight="false" outlineLevel="0" collapsed="false">
      <c r="A18" s="0" t="s">
        <v>102</v>
      </c>
      <c r="C18" s="3" t="n">
        <v>15.5</v>
      </c>
      <c r="D18" s="3" t="n">
        <v>15</v>
      </c>
      <c r="E18" s="3" t="n">
        <v>14.5</v>
      </c>
      <c r="F18" s="3" t="n">
        <v>14.5</v>
      </c>
      <c r="G18" s="3" t="n">
        <v>14</v>
      </c>
      <c r="H18" s="3" t="n">
        <v>14</v>
      </c>
      <c r="I18" s="3" t="n">
        <v>14</v>
      </c>
      <c r="J18" s="3" t="n">
        <v>13.5</v>
      </c>
      <c r="K18" s="3" t="n">
        <v>13.5</v>
      </c>
      <c r="L18" s="3" t="n">
        <v>13.5</v>
      </c>
    </row>
    <row r="19" customFormat="false" ht="15" hidden="false" customHeight="false" outlineLevel="0" collapsed="false">
      <c r="A19" s="0" t="s">
        <v>103</v>
      </c>
      <c r="C19" s="3" t="n">
        <v>25</v>
      </c>
      <c r="D19" s="3" t="n">
        <v>32</v>
      </c>
      <c r="E19" s="3" t="n">
        <v>50</v>
      </c>
      <c r="F19" s="3" t="n">
        <v>50</v>
      </c>
      <c r="G19" s="3" t="n">
        <v>50</v>
      </c>
      <c r="H19" s="3" t="n">
        <v>50</v>
      </c>
      <c r="I19" s="3" t="n">
        <v>50</v>
      </c>
      <c r="J19" s="3" t="n">
        <v>50</v>
      </c>
      <c r="K19" s="3" t="n">
        <v>50</v>
      </c>
      <c r="L19" s="3" t="n">
        <v>50</v>
      </c>
    </row>
    <row r="20" customFormat="false" ht="15" hidden="false" customHeight="false" outlineLevel="0" collapsed="false">
      <c r="A20" s="0" t="s">
        <v>104</v>
      </c>
      <c r="B20" s="3" t="n">
        <v>11.5</v>
      </c>
    </row>
    <row r="21" customFormat="false" ht="15" hidden="false" customHeight="false" outlineLevel="0" collapsed="false">
      <c r="A21" s="0" t="s">
        <v>105</v>
      </c>
      <c r="B21" s="3" t="n">
        <v>1.5</v>
      </c>
    </row>
    <row r="22" customFormat="false" ht="15" hidden="false" customHeight="false" outlineLevel="0" collapsed="false">
      <c r="A22" s="0" t="s">
        <v>106</v>
      </c>
      <c r="B22" s="3" t="n">
        <v>10</v>
      </c>
    </row>
    <row r="23" customFormat="false" ht="15" hidden="false" customHeight="false" outlineLevel="0" collapsed="false">
      <c r="A23" s="0" t="s">
        <v>107</v>
      </c>
      <c r="B23" s="3" t="n">
        <v>0</v>
      </c>
    </row>
    <row r="24" customFormat="false" ht="15" hidden="false" customHeight="false" outlineLevel="0" collapsed="false">
      <c r="A24" s="0" t="s">
        <v>108</v>
      </c>
      <c r="B24" s="3" t="n">
        <v>0.3</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37</v>
      </c>
      <c r="D27" s="3" t="n">
        <v>15.8</v>
      </c>
      <c r="E27" s="3" t="n">
        <v>3</v>
      </c>
      <c r="F27" s="3" t="n">
        <v>2</v>
      </c>
      <c r="G27" s="3" t="n">
        <v>2</v>
      </c>
      <c r="H27" s="3" t="n">
        <v>1.5</v>
      </c>
      <c r="I27" s="3" t="n">
        <v>1.5</v>
      </c>
      <c r="J27" s="3" t="n">
        <v>1.5</v>
      </c>
      <c r="K27" s="3" t="n">
        <v>1</v>
      </c>
      <c r="L27" s="3" t="n">
        <v>1</v>
      </c>
    </row>
    <row r="28" customFormat="false" ht="15" hidden="false" customHeight="false" outlineLevel="0" collapsed="false">
      <c r="A28" s="0" t="s">
        <v>98</v>
      </c>
      <c r="C28" s="3" t="n">
        <v>29</v>
      </c>
      <c r="D28" s="3" t="n">
        <v>32</v>
      </c>
      <c r="E28" s="3" t="n">
        <v>31</v>
      </c>
      <c r="F28" s="3" t="n">
        <v>31</v>
      </c>
      <c r="G28" s="3" t="n">
        <v>31</v>
      </c>
      <c r="H28" s="3" t="n">
        <v>31</v>
      </c>
      <c r="I28" s="3" t="n">
        <v>30.5</v>
      </c>
      <c r="J28" s="3" t="n">
        <v>30.5</v>
      </c>
      <c r="K28" s="3" t="n">
        <v>30</v>
      </c>
      <c r="L28" s="3" t="n">
        <v>30</v>
      </c>
    </row>
    <row r="29" customFormat="false" ht="15" hidden="false" customHeight="false" outlineLevel="0" collapsed="false">
      <c r="A29" s="0" t="s">
        <v>99</v>
      </c>
      <c r="C29" s="3" t="n">
        <v>0.1</v>
      </c>
      <c r="D29" s="3" t="n">
        <v>0.1</v>
      </c>
      <c r="E29" s="3" t="n">
        <v>0.1</v>
      </c>
      <c r="F29" s="3" t="n">
        <v>0.1</v>
      </c>
      <c r="G29" s="3" t="n">
        <v>0.1</v>
      </c>
      <c r="H29" s="3" t="n">
        <v>0.1</v>
      </c>
      <c r="I29" s="3" t="n">
        <v>0.1</v>
      </c>
      <c r="J29" s="3" t="n">
        <v>0.1</v>
      </c>
      <c r="K29" s="3" t="n">
        <v>0.1</v>
      </c>
      <c r="L29" s="3" t="n">
        <v>0.1</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12.5</v>
      </c>
      <c r="D31" s="3" t="n">
        <v>12</v>
      </c>
      <c r="E31" s="3" t="n">
        <v>12</v>
      </c>
      <c r="F31" s="3" t="n">
        <v>12</v>
      </c>
      <c r="G31" s="3" t="n">
        <v>12</v>
      </c>
      <c r="H31" s="3" t="n">
        <v>12</v>
      </c>
      <c r="I31" s="3" t="n">
        <v>12</v>
      </c>
      <c r="J31" s="3" t="n">
        <v>12</v>
      </c>
      <c r="K31" s="3" t="n">
        <v>12</v>
      </c>
      <c r="L31" s="3" t="n">
        <v>12</v>
      </c>
    </row>
    <row r="32" customFormat="false" ht="15" hidden="false" customHeight="false" outlineLevel="0" collapsed="false">
      <c r="A32" s="0" t="s">
        <v>102</v>
      </c>
      <c r="C32" s="3" t="n">
        <v>15.5</v>
      </c>
      <c r="D32" s="3" t="n">
        <v>16</v>
      </c>
      <c r="E32" s="3" t="n">
        <v>16</v>
      </c>
      <c r="F32" s="3" t="n">
        <v>16</v>
      </c>
      <c r="G32" s="3" t="n">
        <v>16</v>
      </c>
      <c r="H32" s="3" t="n">
        <v>15.5</v>
      </c>
      <c r="I32" s="3" t="n">
        <v>15.5</v>
      </c>
      <c r="J32" s="3" t="n">
        <v>15</v>
      </c>
      <c r="K32" s="3" t="n">
        <v>15</v>
      </c>
      <c r="L32" s="3" t="n">
        <v>15</v>
      </c>
    </row>
    <row r="33" customFormat="false" ht="15" hidden="false" customHeight="false" outlineLevel="0" collapsed="false">
      <c r="A33" s="0" t="s">
        <v>103</v>
      </c>
      <c r="C33" s="3" t="n">
        <v>25</v>
      </c>
      <c r="D33" s="3" t="n">
        <v>30</v>
      </c>
      <c r="E33" s="3" t="n">
        <v>35</v>
      </c>
      <c r="F33" s="3" t="n">
        <v>35</v>
      </c>
      <c r="G33" s="3" t="n">
        <v>35</v>
      </c>
      <c r="H33" s="3" t="n">
        <v>35</v>
      </c>
      <c r="I33" s="3" t="n">
        <v>35</v>
      </c>
      <c r="J33" s="3" t="n">
        <v>35</v>
      </c>
      <c r="K33" s="3" t="n">
        <v>35</v>
      </c>
      <c r="L33" s="3" t="n">
        <v>35</v>
      </c>
    </row>
    <row r="34" customFormat="false" ht="15" hidden="false" customHeight="false" outlineLevel="0" collapsed="false">
      <c r="A34" s="0" t="s">
        <v>104</v>
      </c>
      <c r="B34" s="3" t="n">
        <v>11.5</v>
      </c>
    </row>
    <row r="35" customFormat="false" ht="15" hidden="false" customHeight="false" outlineLevel="0" collapsed="false">
      <c r="A35" s="0" t="s">
        <v>105</v>
      </c>
      <c r="B35" s="3" t="n">
        <v>2</v>
      </c>
    </row>
    <row r="36" customFormat="false" ht="15" hidden="false" customHeight="false" outlineLevel="0" collapsed="false">
      <c r="A36" s="0" t="s">
        <v>106</v>
      </c>
      <c r="B36" s="3" t="n">
        <v>12</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40</v>
      </c>
      <c r="D41" s="3" t="n">
        <v>22</v>
      </c>
      <c r="E41" s="3" t="n">
        <v>6</v>
      </c>
      <c r="F41" s="3" t="n">
        <v>4</v>
      </c>
      <c r="G41" s="3" t="n">
        <v>3</v>
      </c>
      <c r="H41" s="3" t="n">
        <v>3</v>
      </c>
      <c r="I41" s="3" t="n">
        <v>3</v>
      </c>
      <c r="J41" s="3" t="n">
        <v>2.5</v>
      </c>
      <c r="K41" s="3" t="n">
        <v>2</v>
      </c>
      <c r="L41" s="3" t="n">
        <v>2</v>
      </c>
    </row>
    <row r="42" customFormat="false" ht="15" hidden="false" customHeight="false" outlineLevel="0" collapsed="false">
      <c r="A42" s="0" t="s">
        <v>98</v>
      </c>
      <c r="C42" s="3" t="n">
        <v>30</v>
      </c>
      <c r="D42" s="3" t="n">
        <v>36</v>
      </c>
      <c r="E42" s="3" t="n">
        <v>36</v>
      </c>
      <c r="F42" s="3" t="n">
        <v>36</v>
      </c>
      <c r="G42" s="3" t="n">
        <v>36</v>
      </c>
      <c r="H42" s="3" t="n">
        <v>35.5</v>
      </c>
      <c r="I42" s="3" t="n">
        <v>35.5</v>
      </c>
      <c r="J42" s="3" t="n">
        <v>35</v>
      </c>
      <c r="K42" s="3" t="n">
        <v>35</v>
      </c>
      <c r="L42" s="3" t="n">
        <v>35</v>
      </c>
    </row>
    <row r="43" customFormat="false" ht="15" hidden="false" customHeight="false" outlineLevel="0" collapsed="false">
      <c r="A43" s="0" t="s">
        <v>99</v>
      </c>
      <c r="C43" s="3" t="n">
        <v>0.1</v>
      </c>
      <c r="D43" s="3" t="n">
        <v>0.1</v>
      </c>
      <c r="E43" s="3" t="n">
        <v>0.1</v>
      </c>
      <c r="F43" s="3" t="n">
        <v>0.1</v>
      </c>
      <c r="G43" s="3" t="n">
        <v>0.1</v>
      </c>
      <c r="H43" s="3" t="n">
        <v>0.1</v>
      </c>
      <c r="I43" s="3" t="n">
        <v>0.1</v>
      </c>
      <c r="J43" s="3" t="n">
        <v>0.1</v>
      </c>
      <c r="K43" s="3" t="n">
        <v>0.1</v>
      </c>
      <c r="L43" s="3" t="n">
        <v>0.1</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12.5</v>
      </c>
      <c r="D45" s="3" t="n">
        <v>12</v>
      </c>
      <c r="E45" s="3" t="n">
        <v>12</v>
      </c>
      <c r="F45" s="3" t="n">
        <v>12</v>
      </c>
      <c r="G45" s="3" t="n">
        <v>12</v>
      </c>
      <c r="H45" s="3" t="n">
        <v>12</v>
      </c>
      <c r="I45" s="3" t="n">
        <v>12</v>
      </c>
      <c r="J45" s="3" t="n">
        <v>12</v>
      </c>
      <c r="K45" s="3" t="n">
        <v>12</v>
      </c>
      <c r="L45" s="3" t="n">
        <v>12</v>
      </c>
    </row>
    <row r="46" customFormat="false" ht="15" hidden="false" customHeight="false" outlineLevel="0" collapsed="false">
      <c r="A46" s="0" t="s">
        <v>102</v>
      </c>
      <c r="C46" s="3" t="n">
        <v>15.5</v>
      </c>
      <c r="D46" s="3" t="n">
        <v>16</v>
      </c>
      <c r="E46" s="3" t="n">
        <v>17</v>
      </c>
      <c r="F46" s="3" t="n">
        <v>17</v>
      </c>
      <c r="G46" s="3" t="n">
        <v>16.5</v>
      </c>
      <c r="H46" s="3" t="n">
        <v>16</v>
      </c>
      <c r="I46" s="3" t="n">
        <v>16</v>
      </c>
      <c r="J46" s="3" t="n">
        <v>15.5</v>
      </c>
      <c r="K46" s="3" t="n">
        <v>15</v>
      </c>
      <c r="L46" s="3" t="n">
        <v>15</v>
      </c>
    </row>
    <row r="47" customFormat="false" ht="15" hidden="false" customHeight="false" outlineLevel="0" collapsed="false">
      <c r="A47" s="0" t="s">
        <v>103</v>
      </c>
      <c r="C47" s="3" t="n">
        <v>25</v>
      </c>
      <c r="D47" s="3" t="n">
        <v>30</v>
      </c>
      <c r="E47" s="3" t="n">
        <v>34</v>
      </c>
      <c r="F47" s="3" t="n">
        <v>34</v>
      </c>
      <c r="G47" s="3" t="n">
        <v>34</v>
      </c>
      <c r="H47" s="3" t="n">
        <v>34</v>
      </c>
      <c r="I47" s="3" t="n">
        <v>34</v>
      </c>
      <c r="J47" s="3" t="n">
        <v>34</v>
      </c>
      <c r="K47" s="3" t="n">
        <v>34</v>
      </c>
      <c r="L47" s="3" t="n">
        <v>34</v>
      </c>
    </row>
    <row r="48" customFormat="false" ht="15" hidden="false" customHeight="false" outlineLevel="0" collapsed="false">
      <c r="A48" s="0" t="s">
        <v>104</v>
      </c>
      <c r="B48" s="3" t="n">
        <v>11.5</v>
      </c>
    </row>
    <row r="49" customFormat="false" ht="15" hidden="false" customHeight="false" outlineLevel="0" collapsed="false">
      <c r="A49" s="0" t="s">
        <v>105</v>
      </c>
      <c r="B49" s="3" t="n">
        <v>2.5</v>
      </c>
    </row>
    <row r="50" customFormat="false" ht="15" hidden="false" customHeight="false" outlineLevel="0" collapsed="false">
      <c r="A50" s="0" t="s">
        <v>106</v>
      </c>
      <c r="B50" s="3" t="n">
        <v>13</v>
      </c>
    </row>
    <row r="51" customFormat="false" ht="15" hidden="false" customHeight="false" outlineLevel="0" collapsed="false">
      <c r="A51" s="0" t="s">
        <v>107</v>
      </c>
      <c r="B51" s="3" t="n">
        <v>0</v>
      </c>
    </row>
    <row r="52" customFormat="false" ht="15" hidden="false" customHeight="false" outlineLevel="0" collapsed="false">
      <c r="A52" s="0" t="s">
        <v>108</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30</v>
      </c>
      <c r="D5" s="4" t="n">
        <f aca="false">Assumptions!D13</f>
        <v>-8</v>
      </c>
      <c r="E5" s="4" t="n">
        <f aca="false">Assumptions!E13</f>
        <v>0</v>
      </c>
      <c r="F5" s="4" t="n">
        <f aca="false">Assumptions!F13</f>
        <v>0</v>
      </c>
      <c r="G5" s="4" t="n">
        <f aca="false">Assumptions!G13</f>
        <v>0</v>
      </c>
      <c r="H5" s="4" t="n">
        <f aca="false">Assumptions!H13</f>
        <v>-1</v>
      </c>
      <c r="I5" s="4" t="n">
        <f aca="false">Assumptions!I13</f>
        <v>-1</v>
      </c>
      <c r="J5" s="4" t="n">
        <f aca="false">Assumptions!J13</f>
        <v>-1</v>
      </c>
      <c r="K5" s="4" t="n">
        <f aca="false">Assumptions!K13</f>
        <v>-2</v>
      </c>
      <c r="L5" s="4" t="n">
        <f aca="false">Assumptions!L13</f>
        <v>-2</v>
      </c>
    </row>
    <row r="6" customFormat="false" ht="15" hidden="false" customHeight="false" outlineLevel="0" collapsed="false">
      <c r="A6" s="0" t="s">
        <v>38</v>
      </c>
      <c r="B6" s="3" t="n">
        <v>823.398</v>
      </c>
      <c r="C6" s="0" t="n">
        <f aca="false">B6*(1+C5/100)</f>
        <v>1070.4174</v>
      </c>
      <c r="D6" s="0" t="n">
        <f aca="false">C6*(1+D5/100)</f>
        <v>984.784008</v>
      </c>
      <c r="E6" s="0" t="n">
        <f aca="false">D6*(1+E5/100)</f>
        <v>984.784008</v>
      </c>
      <c r="F6" s="0" t="n">
        <f aca="false">E6*(1+F5/100)</f>
        <v>984.784008</v>
      </c>
      <c r="G6" s="0" t="n">
        <f aca="false">F6*(1+G5/100)</f>
        <v>984.784008</v>
      </c>
      <c r="H6" s="0" t="n">
        <f aca="false">G6*(1+H5/100)</f>
        <v>974.93616792</v>
      </c>
      <c r="I6" s="0" t="n">
        <f aca="false">H6*(1+I5/100)</f>
        <v>965.1868062408</v>
      </c>
      <c r="J6" s="0" t="n">
        <f aca="false">I6*(1+J5/100)</f>
        <v>955.534938178392</v>
      </c>
      <c r="K6" s="0" t="n">
        <f aca="false">J6*(1+K5/100)</f>
        <v>936.424239414824</v>
      </c>
      <c r="L6" s="0" t="n">
        <f aca="false">K6*(1+L5/100)</f>
        <v>917.695754626528</v>
      </c>
    </row>
    <row r="7" customFormat="false" ht="15" hidden="false" customHeight="false" outlineLevel="0" collapsed="false">
      <c r="A7" s="0" t="s">
        <v>98</v>
      </c>
      <c r="C7" s="4" t="n">
        <f aca="false">Assumptions!C14</f>
        <v>27</v>
      </c>
      <c r="D7" s="4" t="n">
        <f aca="false">Assumptions!D14</f>
        <v>24</v>
      </c>
      <c r="E7" s="4" t="n">
        <f aca="false">Assumptions!E14</f>
        <v>23</v>
      </c>
      <c r="F7" s="4" t="n">
        <f aca="false">Assumptions!F14</f>
        <v>23</v>
      </c>
      <c r="G7" s="4" t="n">
        <f aca="false">Assumptions!G14</f>
        <v>23</v>
      </c>
      <c r="H7" s="4" t="n">
        <f aca="false">Assumptions!H14</f>
        <v>22.5</v>
      </c>
      <c r="I7" s="4" t="n">
        <f aca="false">Assumptions!I14</f>
        <v>22.5</v>
      </c>
      <c r="J7" s="4" t="n">
        <f aca="false">Assumptions!J14</f>
        <v>22</v>
      </c>
      <c r="K7" s="4" t="n">
        <f aca="false">Assumptions!K14</f>
        <v>22</v>
      </c>
      <c r="L7" s="4" t="n">
        <f aca="false">Assumptions!L14</f>
        <v>22</v>
      </c>
    </row>
    <row r="8" customFormat="false" ht="15" hidden="false" customHeight="false" outlineLevel="0" collapsed="false">
      <c r="A8" s="0" t="s">
        <v>44</v>
      </c>
      <c r="C8" s="0" t="n">
        <f aca="false">C6*C7/100</f>
        <v>289.012698</v>
      </c>
      <c r="D8" s="0" t="n">
        <f aca="false">D6*D7/100</f>
        <v>236.34816192</v>
      </c>
      <c r="E8" s="0" t="n">
        <f aca="false">E6*E7/100</f>
        <v>226.50032184</v>
      </c>
      <c r="F8" s="0" t="n">
        <f aca="false">F6*F7/100</f>
        <v>226.50032184</v>
      </c>
      <c r="G8" s="0" t="n">
        <f aca="false">G6*G7/100</f>
        <v>226.50032184</v>
      </c>
      <c r="H8" s="0" t="n">
        <f aca="false">H6*H7/100</f>
        <v>219.360637782</v>
      </c>
      <c r="I8" s="0" t="n">
        <f aca="false">I6*I7/100</f>
        <v>217.16703140418</v>
      </c>
      <c r="J8" s="0" t="n">
        <f aca="false">J6*J7/100</f>
        <v>210.217686399246</v>
      </c>
      <c r="K8" s="0" t="n">
        <f aca="false">K6*K7/100</f>
        <v>206.013332671261</v>
      </c>
      <c r="L8" s="0" t="n">
        <f aca="false">L6*L7/100</f>
        <v>201.893066017836</v>
      </c>
    </row>
    <row r="9" customFormat="false" ht="15" hidden="false" customHeight="false" outlineLevel="0" collapsed="false">
      <c r="A9" s="0" t="s">
        <v>99</v>
      </c>
      <c r="C9" s="4" t="n">
        <f aca="false">Assumptions!C15</f>
        <v>0.1</v>
      </c>
      <c r="D9" s="4" t="n">
        <f aca="false">Assumptions!D15</f>
        <v>0.1</v>
      </c>
      <c r="E9" s="4" t="n">
        <f aca="false">Assumptions!E15</f>
        <v>0.1</v>
      </c>
      <c r="F9" s="4" t="n">
        <f aca="false">Assumptions!F15</f>
        <v>0.1</v>
      </c>
      <c r="G9" s="4" t="n">
        <f aca="false">Assumptions!G15</f>
        <v>0.1</v>
      </c>
      <c r="H9" s="4" t="n">
        <f aca="false">Assumptions!H15</f>
        <v>0.1</v>
      </c>
      <c r="I9" s="4" t="n">
        <f aca="false">Assumptions!I15</f>
        <v>0.1</v>
      </c>
      <c r="J9" s="4" t="n">
        <f aca="false">Assumptions!J15</f>
        <v>0.1</v>
      </c>
      <c r="K9" s="4" t="n">
        <f aca="false">Assumptions!K15</f>
        <v>0.1</v>
      </c>
      <c r="L9" s="4" t="n">
        <f aca="false">Assumptions!L15</f>
        <v>0.1</v>
      </c>
    </row>
    <row r="10" customFormat="false" ht="15" hidden="false" customHeight="false" outlineLevel="0" collapsed="false">
      <c r="A10" s="0" t="s">
        <v>114</v>
      </c>
      <c r="C10" s="0" t="n">
        <f aca="false">-C6*C9/100</f>
        <v>-1.0704174</v>
      </c>
      <c r="D10" s="0" t="n">
        <f aca="false">-D6*D9/100</f>
        <v>-0.984784008</v>
      </c>
      <c r="E10" s="0" t="n">
        <f aca="false">-E6*E9/100</f>
        <v>-0.984784008</v>
      </c>
      <c r="F10" s="0" t="n">
        <f aca="false">-F6*F9/100</f>
        <v>-0.984784008</v>
      </c>
      <c r="G10" s="0" t="n">
        <f aca="false">-G6*G9/100</f>
        <v>-0.984784008</v>
      </c>
      <c r="H10" s="0" t="n">
        <f aca="false">-H6*H9/100</f>
        <v>-0.97493616792</v>
      </c>
      <c r="I10" s="0" t="n">
        <f aca="false">-I6*I9/100</f>
        <v>-0.9651868062408</v>
      </c>
      <c r="J10" s="0" t="n">
        <f aca="false">-J6*J9/100</f>
        <v>-0.955534938178392</v>
      </c>
      <c r="K10" s="0" t="n">
        <f aca="false">-K6*K9/100</f>
        <v>-0.936424239414824</v>
      </c>
      <c r="L10" s="0" t="n">
        <f aca="false">-L6*L9/100</f>
        <v>-0.917695754626528</v>
      </c>
    </row>
    <row r="11" customFormat="false" ht="15" hidden="false" customHeight="false" outlineLevel="0" collapsed="false">
      <c r="A11" s="0" t="s">
        <v>115</v>
      </c>
      <c r="C11" s="0" t="n">
        <f aca="false">C8+C10+C24</f>
        <v>287.9422806</v>
      </c>
      <c r="D11" s="0" t="n">
        <f aca="false">D8+D10+D24</f>
        <v>235.363377912</v>
      </c>
      <c r="E11" s="0" t="n">
        <f aca="false">E8+E10+E24</f>
        <v>225.515537832</v>
      </c>
      <c r="F11" s="0" t="n">
        <f aca="false">F8+F10+F24</f>
        <v>225.515537832</v>
      </c>
      <c r="G11" s="0" t="n">
        <f aca="false">G8+G10+G24</f>
        <v>225.515537832</v>
      </c>
      <c r="H11" s="0" t="n">
        <f aca="false">H8+H10+H24</f>
        <v>218.38570161408</v>
      </c>
      <c r="I11" s="0" t="n">
        <f aca="false">I8+I10+I24</f>
        <v>216.201844597939</v>
      </c>
      <c r="J11" s="0" t="n">
        <f aca="false">J8+J10+J24</f>
        <v>209.262151461068</v>
      </c>
      <c r="K11" s="0" t="n">
        <f aca="false">K8+K10+K24</f>
        <v>205.076908431847</v>
      </c>
      <c r="L11" s="0" t="n">
        <f aca="false">L8+L10+L24</f>
        <v>200.97537026321</v>
      </c>
    </row>
    <row r="12" customFormat="false" ht="15" hidden="false" customHeight="false" outlineLevel="0" collapsed="false">
      <c r="A12" s="0" t="s">
        <v>116</v>
      </c>
      <c r="C12" s="4" t="n">
        <f aca="false">-C6*Assumptions!C17/100</f>
        <v>-133.802175</v>
      </c>
      <c r="D12" s="4" t="n">
        <f aca="false">-D6*Assumptions!D17/100</f>
        <v>-128.02192104</v>
      </c>
      <c r="E12" s="4" t="n">
        <f aca="false">-E6*Assumptions!E17/100</f>
        <v>-132.94584108</v>
      </c>
      <c r="F12" s="4" t="n">
        <f aca="false">-F6*Assumptions!F17/100</f>
        <v>-132.94584108</v>
      </c>
      <c r="G12" s="4" t="n">
        <f aca="false">-G6*Assumptions!G17/100</f>
        <v>-132.94584108</v>
      </c>
      <c r="H12" s="4" t="n">
        <f aca="false">-H6*Assumptions!H17/100</f>
        <v>-131.6163826692</v>
      </c>
      <c r="I12" s="4" t="n">
        <f aca="false">-I6*Assumptions!I17/100</f>
        <v>-130.300218842508</v>
      </c>
      <c r="J12" s="4" t="n">
        <f aca="false">-J6*Assumptions!J17/100</f>
        <v>-128.997216654083</v>
      </c>
      <c r="K12" s="4" t="n">
        <f aca="false">-K6*Assumptions!K17/100</f>
        <v>-126.417272321001</v>
      </c>
      <c r="L12" s="4" t="n">
        <f aca="false">-L6*Assumptions!L17/100</f>
        <v>-123.888926874581</v>
      </c>
    </row>
    <row r="13" customFormat="false" ht="15" hidden="false" customHeight="false" outlineLevel="0" collapsed="false">
      <c r="A13" s="0" t="s">
        <v>117</v>
      </c>
      <c r="C13" s="0" t="n">
        <f aca="false">C11+C12</f>
        <v>154.1401056</v>
      </c>
      <c r="D13" s="0" t="n">
        <f aca="false">D11+D12</f>
        <v>107.341456872</v>
      </c>
      <c r="E13" s="0" t="n">
        <f aca="false">E11+E12</f>
        <v>92.569696752</v>
      </c>
      <c r="F13" s="0" t="n">
        <f aca="false">F11+F12</f>
        <v>92.569696752</v>
      </c>
      <c r="G13" s="0" t="n">
        <f aca="false">G11+G12</f>
        <v>92.569696752</v>
      </c>
      <c r="H13" s="0" t="n">
        <f aca="false">H11+H12</f>
        <v>86.76931894488</v>
      </c>
      <c r="I13" s="0" t="n">
        <f aca="false">I11+I12</f>
        <v>85.9016257554312</v>
      </c>
      <c r="J13" s="0" t="n">
        <f aca="false">J11+J12</f>
        <v>80.2649348069849</v>
      </c>
      <c r="K13" s="0" t="n">
        <f aca="false">K11+K12</f>
        <v>78.6596361108452</v>
      </c>
      <c r="L13" s="0" t="n">
        <f aca="false">L11+L12</f>
        <v>77.0864433886283</v>
      </c>
    </row>
    <row r="14" customFormat="false" ht="15" hidden="false" customHeight="false" outlineLevel="0" collapsed="false">
      <c r="A14" s="0" t="s">
        <v>103</v>
      </c>
      <c r="C14" s="4" t="n">
        <f aca="false">Assumptions!C19</f>
        <v>25</v>
      </c>
      <c r="D14" s="4" t="n">
        <f aca="false">Assumptions!D19</f>
        <v>32</v>
      </c>
      <c r="E14" s="4" t="n">
        <f aca="false">Assumptions!E19</f>
        <v>50</v>
      </c>
      <c r="F14" s="4" t="n">
        <f aca="false">Assumptions!F19</f>
        <v>50</v>
      </c>
      <c r="G14" s="4" t="n">
        <f aca="false">Assumptions!G19</f>
        <v>50</v>
      </c>
      <c r="H14" s="4" t="n">
        <f aca="false">Assumptions!H19</f>
        <v>50</v>
      </c>
      <c r="I14" s="4" t="n">
        <f aca="false">Assumptions!I19</f>
        <v>50</v>
      </c>
      <c r="J14" s="4" t="n">
        <f aca="false">Assumptions!J19</f>
        <v>50</v>
      </c>
      <c r="K14" s="4" t="n">
        <f aca="false">Assumptions!K19</f>
        <v>50</v>
      </c>
      <c r="L14" s="4" t="n">
        <f aca="false">Assumptions!L19</f>
        <v>50</v>
      </c>
    </row>
    <row r="15" customFormat="false" ht="15" hidden="false" customHeight="false" outlineLevel="0" collapsed="false">
      <c r="A15" s="0" t="s">
        <v>118</v>
      </c>
      <c r="C15" s="0" t="n">
        <f aca="false">C13-MAX(0,C13)*C14/100</f>
        <v>115.6050792</v>
      </c>
      <c r="D15" s="0" t="n">
        <f aca="false">D13-MAX(0,D13)*D14/100</f>
        <v>72.99219067296</v>
      </c>
      <c r="E15" s="0" t="n">
        <f aca="false">E13-MAX(0,E13)*E14/100</f>
        <v>46.284848376</v>
      </c>
      <c r="F15" s="0" t="n">
        <f aca="false">F13-MAX(0,F13)*F14/100</f>
        <v>46.284848376</v>
      </c>
      <c r="G15" s="0" t="n">
        <f aca="false">G13-MAX(0,G13)*G14/100</f>
        <v>46.284848376</v>
      </c>
      <c r="H15" s="0" t="n">
        <f aca="false">H13-MAX(0,H13)*H14/100</f>
        <v>43.38465947244</v>
      </c>
      <c r="I15" s="0" t="n">
        <f aca="false">I13-MAX(0,I13)*I14/100</f>
        <v>42.9508128777156</v>
      </c>
      <c r="J15" s="0" t="n">
        <f aca="false">J13-MAX(0,J13)*J14/100</f>
        <v>40.1324674034925</v>
      </c>
      <c r="K15" s="0" t="n">
        <f aca="false">K13-MAX(0,K13)*K14/100</f>
        <v>39.3298180554226</v>
      </c>
      <c r="L15" s="0" t="n">
        <f aca="false">L13-MAX(0,L13)*L14/100</f>
        <v>38.5432216943142</v>
      </c>
    </row>
    <row r="16" customFormat="false" ht="15" hidden="false" customHeight="false" outlineLevel="0" collapsed="false">
      <c r="A16" s="0" t="s">
        <v>119</v>
      </c>
      <c r="C16" s="0" t="n">
        <f aca="false">-C12</f>
        <v>133.802175</v>
      </c>
      <c r="D16" s="0" t="n">
        <f aca="false">-D12</f>
        <v>128.02192104</v>
      </c>
      <c r="E16" s="0" t="n">
        <f aca="false">-E12</f>
        <v>132.94584108</v>
      </c>
      <c r="F16" s="0" t="n">
        <f aca="false">-F12</f>
        <v>132.94584108</v>
      </c>
      <c r="G16" s="0" t="n">
        <f aca="false">-G12</f>
        <v>132.94584108</v>
      </c>
      <c r="H16" s="0" t="n">
        <f aca="false">-H12</f>
        <v>131.6163826692</v>
      </c>
      <c r="I16" s="0" t="n">
        <f aca="false">-I12</f>
        <v>130.300218842508</v>
      </c>
      <c r="J16" s="0" t="n">
        <f aca="false">-J12</f>
        <v>128.997216654083</v>
      </c>
      <c r="K16" s="0" t="n">
        <f aca="false">-K12</f>
        <v>126.417272321001</v>
      </c>
      <c r="L16" s="0" t="n">
        <f aca="false">-L12</f>
        <v>123.888926874581</v>
      </c>
    </row>
    <row r="17" customFormat="false" ht="15" hidden="false" customHeight="false" outlineLevel="0" collapsed="false">
      <c r="A17" s="0" t="s">
        <v>120</v>
      </c>
      <c r="C17" s="4" t="n">
        <f aca="false">-C6*Assumptions!C18/100</f>
        <v>-165.914697</v>
      </c>
      <c r="D17" s="4" t="n">
        <f aca="false">-D6*Assumptions!D18/100</f>
        <v>-147.7176012</v>
      </c>
      <c r="E17" s="4" t="n">
        <f aca="false">-E6*Assumptions!E18/100</f>
        <v>-142.79368116</v>
      </c>
      <c r="F17" s="4" t="n">
        <f aca="false">-F6*Assumptions!F18/100</f>
        <v>-142.79368116</v>
      </c>
      <c r="G17" s="4" t="n">
        <f aca="false">-G6*Assumptions!G18/100</f>
        <v>-137.86976112</v>
      </c>
      <c r="H17" s="4" t="n">
        <f aca="false">-H6*Assumptions!H18/100</f>
        <v>-136.4910635088</v>
      </c>
      <c r="I17" s="4" t="n">
        <f aca="false">-I6*Assumptions!I18/100</f>
        <v>-135.126152873712</v>
      </c>
      <c r="J17" s="4" t="n">
        <f aca="false">-J6*Assumptions!J18/100</f>
        <v>-128.997216654083</v>
      </c>
      <c r="K17" s="4" t="n">
        <f aca="false">-K6*Assumptions!K18/100</f>
        <v>-126.417272321001</v>
      </c>
      <c r="L17" s="4" t="n">
        <f aca="false">-L6*Assumptions!L18/100</f>
        <v>-123.888926874581</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83.4925572</v>
      </c>
      <c r="D19" s="0" t="n">
        <f aca="false">D15+D16+D17+D18</f>
        <v>53.29651051296</v>
      </c>
      <c r="E19" s="0" t="n">
        <f aca="false">E15+E16+E17+E18</f>
        <v>36.437008296</v>
      </c>
      <c r="F19" s="0" t="n">
        <f aca="false">F15+F16+F17+F18</f>
        <v>36.437008296</v>
      </c>
      <c r="G19" s="0" t="n">
        <f aca="false">G15+G16+G17+G18</f>
        <v>41.360928336</v>
      </c>
      <c r="H19" s="0" t="n">
        <f aca="false">H15+H16+H17+H18</f>
        <v>38.50997863284</v>
      </c>
      <c r="I19" s="0" t="n">
        <f aca="false">I15+I16+I17+I18</f>
        <v>38.1248788465116</v>
      </c>
      <c r="J19" s="0" t="n">
        <f aca="false">J15+J16+J17+J18</f>
        <v>40.1324674034925</v>
      </c>
      <c r="K19" s="0" t="n">
        <f aca="false">K15+K16+K17+K18</f>
        <v>39.3298180554226</v>
      </c>
      <c r="L19" s="0" t="n">
        <f aca="false">L15+L16+L17+L18</f>
        <v>38.5432216943142</v>
      </c>
    </row>
    <row r="20" customFormat="false" ht="15" hidden="false" customHeight="false" outlineLevel="0" collapsed="false">
      <c r="A20" s="0" t="s">
        <v>123</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124</v>
      </c>
      <c r="C21" s="0" t="n">
        <f aca="false">C19*C20</f>
        <v>74.8812172197309</v>
      </c>
      <c r="D21" s="0" t="n">
        <f aca="false">D19*D20</f>
        <v>42.8695614333367</v>
      </c>
      <c r="E21" s="0" t="n">
        <f aca="false">E19*E20</f>
        <v>26.2856129881356</v>
      </c>
      <c r="F21" s="0" t="n">
        <f aca="false">F19*F20</f>
        <v>23.5745407965342</v>
      </c>
      <c r="G21" s="0" t="n">
        <f aca="false">G19*G20</f>
        <v>24.0002596886301</v>
      </c>
      <c r="H21" s="0" t="n">
        <f aca="false">H19*H20</f>
        <v>20.0412162102046</v>
      </c>
      <c r="I21" s="0" t="n">
        <f aca="false">I19*I20</f>
        <v>17.7944430924687</v>
      </c>
      <c r="J21" s="0" t="n">
        <f aca="false">J19*J20</f>
        <v>16.7995219114457</v>
      </c>
      <c r="K21" s="0" t="n">
        <f aca="false">K19*K20</f>
        <v>14.7654990791182</v>
      </c>
      <c r="L21" s="0" t="n">
        <f aca="false">L19*L20</f>
        <v>12.9777480695388</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11.5</v>
      </c>
    </row>
    <row r="28" customFormat="false" ht="15" hidden="false" customHeight="false" outlineLevel="0" collapsed="false">
      <c r="A28" s="0" t="s">
        <v>105</v>
      </c>
      <c r="B28" s="4" t="n">
        <f aca="false">Assumptions!$B$21</f>
        <v>1.5</v>
      </c>
    </row>
    <row r="29" customFormat="false" ht="15" hidden="false" customHeight="false" outlineLevel="0" collapsed="false">
      <c r="A29" s="0" t="s">
        <v>106</v>
      </c>
      <c r="B29" s="4" t="n">
        <f aca="false">Assumptions!$B$22</f>
        <v>10</v>
      </c>
    </row>
    <row r="30" customFormat="false" ht="15" hidden="false" customHeight="false" outlineLevel="0" collapsed="false">
      <c r="A30" s="0" t="s">
        <v>127</v>
      </c>
      <c r="B30" s="0" t="n">
        <f aca="false">SUM(C21:L21)</f>
        <v>273.989620489144</v>
      </c>
    </row>
    <row r="31" customFormat="false" ht="15" hidden="false" customHeight="false" outlineLevel="0" collapsed="false">
      <c r="A31" s="0" t="s">
        <v>128</v>
      </c>
      <c r="B31" s="0" t="n">
        <f aca="false">L19</f>
        <v>38.5432216943142</v>
      </c>
    </row>
    <row r="32" customFormat="false" ht="15" hidden="false" customHeight="false" outlineLevel="0" collapsed="false">
      <c r="A32" s="0" t="s">
        <v>129</v>
      </c>
      <c r="B32" s="0" t="n">
        <f aca="false">IF(B27&gt;B28,B31*(1+B28/100)/((B27-B28)/100),B31*B29)</f>
        <v>391.213700197289</v>
      </c>
    </row>
    <row r="33" customFormat="false" ht="15" hidden="false" customHeight="false" outlineLevel="0" collapsed="false">
      <c r="A33" s="0" t="s">
        <v>130</v>
      </c>
      <c r="B33" s="0" t="n">
        <f aca="false">B31*B29</f>
        <v>385.432216943142</v>
      </c>
    </row>
    <row r="34" customFormat="false" ht="15" hidden="false" customHeight="false" outlineLevel="0" collapsed="false">
      <c r="A34" s="0" t="s">
        <v>131</v>
      </c>
      <c r="B34" s="0" t="n">
        <f aca="false">MAX(0,MIN(B32,B33))</f>
        <v>385.432216943142</v>
      </c>
    </row>
    <row r="35" customFormat="false" ht="15" hidden="false" customHeight="false" outlineLevel="0" collapsed="false">
      <c r="A35" s="0" t="s">
        <v>132</v>
      </c>
      <c r="B35" s="0" t="n">
        <f aca="false">B34/(1+B27/100)^L4</f>
        <v>129.777480695388</v>
      </c>
    </row>
    <row r="36" customFormat="false" ht="15" hidden="false" customHeight="false" outlineLevel="0" collapsed="false">
      <c r="A36" s="0" t="s">
        <v>133</v>
      </c>
      <c r="B36" s="0" t="n">
        <f aca="false">B30+B35</f>
        <v>403.767101184532</v>
      </c>
    </row>
    <row r="37" customFormat="false" ht="15" hidden="false" customHeight="false" outlineLevel="0" collapsed="false">
      <c r="A37" s="0" t="s">
        <v>134</v>
      </c>
      <c r="B37" s="0" t="n">
        <f aca="false">B36+Assumptions!$B$5-Assumptions!$B$4</f>
        <v>307.107101184532</v>
      </c>
    </row>
    <row r="38" customFormat="false" ht="15" hidden="false" customHeight="false" outlineLevel="0" collapsed="false">
      <c r="A38" s="0" t="s">
        <v>135</v>
      </c>
      <c r="B38" s="0" t="n">
        <f aca="false">B37/Assumptions!$B$3*Assumptions!$B$10</f>
        <v>2.33633625246268</v>
      </c>
    </row>
    <row r="39" customFormat="false" ht="15" hidden="false" customHeight="false" outlineLevel="0" collapsed="false">
      <c r="A39" s="0" t="s">
        <v>136</v>
      </c>
      <c r="B39" s="4" t="n">
        <f aca="false">B38/Assumptions!$B$2-1</f>
        <v>-0.7273820008795</v>
      </c>
    </row>
    <row r="41" customFormat="false" ht="15" hidden="false" customHeight="false" outlineLevel="0" collapsed="false">
      <c r="A41" s="0" t="s">
        <v>137</v>
      </c>
      <c r="B41" s="0" t="n">
        <f aca="false">SUMPRODUCT(-C10:L10/(1+$B$27/100)^C4:L4)</f>
        <v>5.68954949624106</v>
      </c>
    </row>
    <row r="42" customFormat="false" ht="15" hidden="false" customHeight="false" outlineLevel="0" collapsed="false">
      <c r="A42" s="0" t="s">
        <v>138</v>
      </c>
      <c r="B42" s="0" t="n">
        <f aca="false">IF(B27&gt;B28,-L10*(1+B28/100)/((B27-B28)/100),-L10*20)/(1+B27/100)^L4</f>
        <v>3.13628911680522</v>
      </c>
    </row>
    <row r="43" customFormat="false" ht="15" hidden="false" customHeight="false" outlineLevel="0" collapsed="false">
      <c r="A43" s="0" t="s">
        <v>139</v>
      </c>
      <c r="B43" s="0" t="n">
        <f aca="false">(B37+B41+B42)/Assumptions!$B$3*Assumptions!$B$10</f>
        <v>2.4034793651765</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289.787926072066</v>
      </c>
    </row>
    <row r="47" customFormat="false" ht="15" hidden="false" customHeight="false" outlineLevel="0" collapsed="false">
      <c r="A47" s="0" t="s">
        <v>141</v>
      </c>
      <c r="B47" s="0" t="n">
        <f aca="false">(SUMPRODUCT(C19:L19/(1+B45/100)^C4:L4)+B46/(1+B45/100)^L4+Assumptions!$B$5-Assumptions!$B$4)/Assumptions!$B$3*Assumptions!$B$10</f>
        <v>1.65872172633425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37</v>
      </c>
      <c r="D5" s="4" t="n">
        <f aca="false">Assumptions!D27</f>
        <v>15.8</v>
      </c>
      <c r="E5" s="4" t="n">
        <f aca="false">Assumptions!E27</f>
        <v>3</v>
      </c>
      <c r="F5" s="4" t="n">
        <f aca="false">Assumptions!F27</f>
        <v>2</v>
      </c>
      <c r="G5" s="4" t="n">
        <f aca="false">Assumptions!G27</f>
        <v>2</v>
      </c>
      <c r="H5" s="4" t="n">
        <f aca="false">Assumptions!H27</f>
        <v>1.5</v>
      </c>
      <c r="I5" s="4" t="n">
        <f aca="false">Assumptions!I27</f>
        <v>1.5</v>
      </c>
      <c r="J5" s="4" t="n">
        <f aca="false">Assumptions!J27</f>
        <v>1.5</v>
      </c>
      <c r="K5" s="4" t="n">
        <f aca="false">Assumptions!K27</f>
        <v>1</v>
      </c>
      <c r="L5" s="4" t="n">
        <f aca="false">Assumptions!L27</f>
        <v>1</v>
      </c>
    </row>
    <row r="6" customFormat="false" ht="15" hidden="false" customHeight="false" outlineLevel="0" collapsed="false">
      <c r="A6" s="0" t="s">
        <v>38</v>
      </c>
      <c r="B6" s="3" t="n">
        <v>823.398</v>
      </c>
      <c r="C6" s="0" t="n">
        <f aca="false">B6*(1+C5/100)</f>
        <v>1128.05526</v>
      </c>
      <c r="D6" s="0" t="n">
        <f aca="false">C6*(1+D5/100)</f>
        <v>1306.28799108</v>
      </c>
      <c r="E6" s="0" t="n">
        <f aca="false">D6*(1+E5/100)</f>
        <v>1345.4766308124</v>
      </c>
      <c r="F6" s="0" t="n">
        <f aca="false">E6*(1+F5/100)</f>
        <v>1372.38616342865</v>
      </c>
      <c r="G6" s="0" t="n">
        <f aca="false">F6*(1+G5/100)</f>
        <v>1399.83388669722</v>
      </c>
      <c r="H6" s="0" t="n">
        <f aca="false">G6*(1+H5/100)</f>
        <v>1420.83139499768</v>
      </c>
      <c r="I6" s="0" t="n">
        <f aca="false">H6*(1+I5/100)</f>
        <v>1442.14386592264</v>
      </c>
      <c r="J6" s="0" t="n">
        <f aca="false">I6*(1+J5/100)</f>
        <v>1463.77602391148</v>
      </c>
      <c r="K6" s="0" t="n">
        <f aca="false">J6*(1+K5/100)</f>
        <v>1478.4137841506</v>
      </c>
      <c r="L6" s="0" t="n">
        <f aca="false">K6*(1+L5/100)</f>
        <v>1493.1979219921</v>
      </c>
    </row>
    <row r="7" customFormat="false" ht="15" hidden="false" customHeight="false" outlineLevel="0" collapsed="false">
      <c r="A7" s="0" t="s">
        <v>98</v>
      </c>
      <c r="C7" s="4" t="n">
        <f aca="false">Assumptions!C28</f>
        <v>29</v>
      </c>
      <c r="D7" s="4" t="n">
        <f aca="false">Assumptions!D28</f>
        <v>32</v>
      </c>
      <c r="E7" s="4" t="n">
        <f aca="false">Assumptions!E28</f>
        <v>31</v>
      </c>
      <c r="F7" s="4" t="n">
        <f aca="false">Assumptions!F28</f>
        <v>31</v>
      </c>
      <c r="G7" s="4" t="n">
        <f aca="false">Assumptions!G28</f>
        <v>31</v>
      </c>
      <c r="H7" s="4" t="n">
        <f aca="false">Assumptions!H28</f>
        <v>31</v>
      </c>
      <c r="I7" s="4" t="n">
        <f aca="false">Assumptions!I28</f>
        <v>30.5</v>
      </c>
      <c r="J7" s="4" t="n">
        <f aca="false">Assumptions!J28</f>
        <v>30.5</v>
      </c>
      <c r="K7" s="4" t="n">
        <f aca="false">Assumptions!K28</f>
        <v>30</v>
      </c>
      <c r="L7" s="4" t="n">
        <f aca="false">Assumptions!L28</f>
        <v>30</v>
      </c>
    </row>
    <row r="8" customFormat="false" ht="15" hidden="false" customHeight="false" outlineLevel="0" collapsed="false">
      <c r="A8" s="0" t="s">
        <v>44</v>
      </c>
      <c r="C8" s="0" t="n">
        <f aca="false">C6*C7/100</f>
        <v>327.1360254</v>
      </c>
      <c r="D8" s="0" t="n">
        <f aca="false">D6*D7/100</f>
        <v>418.0121571456</v>
      </c>
      <c r="E8" s="0" t="n">
        <f aca="false">E6*E7/100</f>
        <v>417.097755551844</v>
      </c>
      <c r="F8" s="0" t="n">
        <f aca="false">F6*F7/100</f>
        <v>425.439710662881</v>
      </c>
      <c r="G8" s="0" t="n">
        <f aca="false">G6*G7/100</f>
        <v>433.948504876139</v>
      </c>
      <c r="H8" s="0" t="n">
        <f aca="false">H6*H7/100</f>
        <v>440.457732449281</v>
      </c>
      <c r="I8" s="0" t="n">
        <f aca="false">I6*I7/100</f>
        <v>439.853879106407</v>
      </c>
      <c r="J8" s="0" t="n">
        <f aca="false">J6*J7/100</f>
        <v>446.451687293003</v>
      </c>
      <c r="K8" s="0" t="n">
        <f aca="false">K6*K7/100</f>
        <v>443.52413524518</v>
      </c>
      <c r="L8" s="0" t="n">
        <f aca="false">L6*L7/100</f>
        <v>447.959376597631</v>
      </c>
    </row>
    <row r="9" customFormat="false" ht="15" hidden="false" customHeight="false" outlineLevel="0" collapsed="false">
      <c r="A9" s="0" t="s">
        <v>99</v>
      </c>
      <c r="C9" s="4" t="n">
        <f aca="false">Assumptions!C29</f>
        <v>0.1</v>
      </c>
      <c r="D9" s="4" t="n">
        <f aca="false">Assumptions!D29</f>
        <v>0.1</v>
      </c>
      <c r="E9" s="4" t="n">
        <f aca="false">Assumptions!E29</f>
        <v>0.1</v>
      </c>
      <c r="F9" s="4" t="n">
        <f aca="false">Assumptions!F29</f>
        <v>0.1</v>
      </c>
      <c r="G9" s="4" t="n">
        <f aca="false">Assumptions!G29</f>
        <v>0.1</v>
      </c>
      <c r="H9" s="4" t="n">
        <f aca="false">Assumptions!H29</f>
        <v>0.1</v>
      </c>
      <c r="I9" s="4" t="n">
        <f aca="false">Assumptions!I29</f>
        <v>0.1</v>
      </c>
      <c r="J9" s="4" t="n">
        <f aca="false">Assumptions!J29</f>
        <v>0.1</v>
      </c>
      <c r="K9" s="4" t="n">
        <f aca="false">Assumptions!K29</f>
        <v>0.1</v>
      </c>
      <c r="L9" s="4" t="n">
        <f aca="false">Assumptions!L29</f>
        <v>0.1</v>
      </c>
    </row>
    <row r="10" customFormat="false" ht="15" hidden="false" customHeight="false" outlineLevel="0" collapsed="false">
      <c r="A10" s="0" t="s">
        <v>114</v>
      </c>
      <c r="C10" s="0" t="n">
        <f aca="false">-C6*C9/100</f>
        <v>-1.12805526</v>
      </c>
      <c r="D10" s="0" t="n">
        <f aca="false">-D6*D9/100</f>
        <v>-1.30628799108</v>
      </c>
      <c r="E10" s="0" t="n">
        <f aca="false">-E6*E9/100</f>
        <v>-1.3454766308124</v>
      </c>
      <c r="F10" s="0" t="n">
        <f aca="false">-F6*F9/100</f>
        <v>-1.37238616342865</v>
      </c>
      <c r="G10" s="0" t="n">
        <f aca="false">-G6*G9/100</f>
        <v>-1.39983388669722</v>
      </c>
      <c r="H10" s="0" t="n">
        <f aca="false">-H6*H9/100</f>
        <v>-1.42083139499768</v>
      </c>
      <c r="I10" s="0" t="n">
        <f aca="false">-I6*I9/100</f>
        <v>-1.44214386592264</v>
      </c>
      <c r="J10" s="0" t="n">
        <f aca="false">-J6*J9/100</f>
        <v>-1.46377602391148</v>
      </c>
      <c r="K10" s="0" t="n">
        <f aca="false">-K6*K9/100</f>
        <v>-1.4784137841506</v>
      </c>
      <c r="L10" s="0" t="n">
        <f aca="false">-L6*L9/100</f>
        <v>-1.4931979219921</v>
      </c>
    </row>
    <row r="11" customFormat="false" ht="15" hidden="false" customHeight="false" outlineLevel="0" collapsed="false">
      <c r="A11" s="0" t="s">
        <v>115</v>
      </c>
      <c r="C11" s="0" t="n">
        <f aca="false">C8+C10+C24</f>
        <v>326.00797014</v>
      </c>
      <c r="D11" s="0" t="n">
        <f aca="false">D8+D10+D24</f>
        <v>416.70586915452</v>
      </c>
      <c r="E11" s="0" t="n">
        <f aca="false">E8+E10+E24</f>
        <v>415.752278921032</v>
      </c>
      <c r="F11" s="0" t="n">
        <f aca="false">F8+F10+F24</f>
        <v>424.067324499452</v>
      </c>
      <c r="G11" s="0" t="n">
        <f aca="false">G8+G10+G24</f>
        <v>432.548670989441</v>
      </c>
      <c r="H11" s="0" t="n">
        <f aca="false">H8+H10+H24</f>
        <v>439.036901054283</v>
      </c>
      <c r="I11" s="0" t="n">
        <f aca="false">I8+I10+I24</f>
        <v>438.411735240484</v>
      </c>
      <c r="J11" s="0" t="n">
        <f aca="false">J8+J10+J24</f>
        <v>444.987911269091</v>
      </c>
      <c r="K11" s="0" t="n">
        <f aca="false">K8+K10+K24</f>
        <v>442.045721461029</v>
      </c>
      <c r="L11" s="0" t="n">
        <f aca="false">L8+L10+L24</f>
        <v>446.466178675639</v>
      </c>
    </row>
    <row r="12" customFormat="false" ht="15" hidden="false" customHeight="false" outlineLevel="0" collapsed="false">
      <c r="A12" s="0" t="s">
        <v>116</v>
      </c>
      <c r="C12" s="4" t="n">
        <f aca="false">-C6*Assumptions!C31/100</f>
        <v>-141.0069075</v>
      </c>
      <c r="D12" s="4" t="n">
        <f aca="false">-D6*Assumptions!D31/100</f>
        <v>-156.7545589296</v>
      </c>
      <c r="E12" s="4" t="n">
        <f aca="false">-E6*Assumptions!E31/100</f>
        <v>-161.457195697488</v>
      </c>
      <c r="F12" s="4" t="n">
        <f aca="false">-F6*Assumptions!F31/100</f>
        <v>-164.686339611438</v>
      </c>
      <c r="G12" s="4" t="n">
        <f aca="false">-G6*Assumptions!G31/100</f>
        <v>-167.980066403667</v>
      </c>
      <c r="H12" s="4" t="n">
        <f aca="false">-H6*Assumptions!H31/100</f>
        <v>-170.499767399722</v>
      </c>
      <c r="I12" s="4" t="n">
        <f aca="false">-I6*Assumptions!I31/100</f>
        <v>-173.057263910717</v>
      </c>
      <c r="J12" s="4" t="n">
        <f aca="false">-J6*Assumptions!J31/100</f>
        <v>-175.653122869378</v>
      </c>
      <c r="K12" s="4" t="n">
        <f aca="false">-K6*Assumptions!K31/100</f>
        <v>-177.409654098072</v>
      </c>
      <c r="L12" s="4" t="n">
        <f aca="false">-L6*Assumptions!L31/100</f>
        <v>-179.183750639053</v>
      </c>
    </row>
    <row r="13" customFormat="false" ht="15" hidden="false" customHeight="false" outlineLevel="0" collapsed="false">
      <c r="A13" s="0" t="s">
        <v>117</v>
      </c>
      <c r="C13" s="0" t="n">
        <f aca="false">C11+C12</f>
        <v>185.00106264</v>
      </c>
      <c r="D13" s="0" t="n">
        <f aca="false">D11+D12</f>
        <v>259.95131022492</v>
      </c>
      <c r="E13" s="0" t="n">
        <f aca="false">E11+E12</f>
        <v>254.295083223544</v>
      </c>
      <c r="F13" s="0" t="n">
        <f aca="false">F11+F12</f>
        <v>259.380984888014</v>
      </c>
      <c r="G13" s="0" t="n">
        <f aca="false">G11+G12</f>
        <v>264.568604585775</v>
      </c>
      <c r="H13" s="0" t="n">
        <f aca="false">H11+H12</f>
        <v>268.537133654561</v>
      </c>
      <c r="I13" s="0" t="n">
        <f aca="false">I11+I12</f>
        <v>265.354471329767</v>
      </c>
      <c r="J13" s="0" t="n">
        <f aca="false">J11+J12</f>
        <v>269.334788399713</v>
      </c>
      <c r="K13" s="0" t="n">
        <f aca="false">K11+K12</f>
        <v>264.636067362957</v>
      </c>
      <c r="L13" s="0" t="n">
        <f aca="false">L11+L12</f>
        <v>267.282428036587</v>
      </c>
    </row>
    <row r="14" customFormat="false" ht="15" hidden="false" customHeight="false" outlineLevel="0" collapsed="false">
      <c r="A14" s="0" t="s">
        <v>103</v>
      </c>
      <c r="C14" s="4" t="n">
        <f aca="false">Assumptions!C33</f>
        <v>25</v>
      </c>
      <c r="D14" s="4" t="n">
        <f aca="false">Assumptions!D33</f>
        <v>30</v>
      </c>
      <c r="E14" s="4" t="n">
        <f aca="false">Assumptions!E33</f>
        <v>35</v>
      </c>
      <c r="F14" s="4" t="n">
        <f aca="false">Assumptions!F33</f>
        <v>35</v>
      </c>
      <c r="G14" s="4" t="n">
        <f aca="false">Assumptions!G33</f>
        <v>35</v>
      </c>
      <c r="H14" s="4" t="n">
        <f aca="false">Assumptions!H33</f>
        <v>35</v>
      </c>
      <c r="I14" s="4" t="n">
        <f aca="false">Assumptions!I33</f>
        <v>35</v>
      </c>
      <c r="J14" s="4" t="n">
        <f aca="false">Assumptions!J33</f>
        <v>35</v>
      </c>
      <c r="K14" s="4" t="n">
        <f aca="false">Assumptions!K33</f>
        <v>35</v>
      </c>
      <c r="L14" s="4" t="n">
        <f aca="false">Assumptions!L33</f>
        <v>35</v>
      </c>
    </row>
    <row r="15" customFormat="false" ht="15" hidden="false" customHeight="false" outlineLevel="0" collapsed="false">
      <c r="A15" s="0" t="s">
        <v>118</v>
      </c>
      <c r="C15" s="0" t="n">
        <f aca="false">C13-MAX(0,C13)*C14/100</f>
        <v>138.75079698</v>
      </c>
      <c r="D15" s="0" t="n">
        <f aca="false">D13-MAX(0,D13)*D14/100</f>
        <v>181.965917157444</v>
      </c>
      <c r="E15" s="0" t="n">
        <f aca="false">E13-MAX(0,E13)*E14/100</f>
        <v>165.291804095303</v>
      </c>
      <c r="F15" s="0" t="n">
        <f aca="false">F13-MAX(0,F13)*F14/100</f>
        <v>168.597640177209</v>
      </c>
      <c r="G15" s="0" t="n">
        <f aca="false">G13-MAX(0,G13)*G14/100</f>
        <v>171.969592980754</v>
      </c>
      <c r="H15" s="0" t="n">
        <f aca="false">H13-MAX(0,H13)*H14/100</f>
        <v>174.549136875465</v>
      </c>
      <c r="I15" s="0" t="n">
        <f aca="false">I13-MAX(0,I13)*I14/100</f>
        <v>172.480406364348</v>
      </c>
      <c r="J15" s="0" t="n">
        <f aca="false">J13-MAX(0,J13)*J14/100</f>
        <v>175.067612459814</v>
      </c>
      <c r="K15" s="0" t="n">
        <f aca="false">K13-MAX(0,K13)*K14/100</f>
        <v>172.013443785922</v>
      </c>
      <c r="L15" s="0" t="n">
        <f aca="false">L13-MAX(0,L13)*L14/100</f>
        <v>173.733578223781</v>
      </c>
    </row>
    <row r="16" customFormat="false" ht="15" hidden="false" customHeight="false" outlineLevel="0" collapsed="false">
      <c r="A16" s="0" t="s">
        <v>119</v>
      </c>
      <c r="C16" s="0" t="n">
        <f aca="false">-C12</f>
        <v>141.0069075</v>
      </c>
      <c r="D16" s="0" t="n">
        <f aca="false">-D12</f>
        <v>156.7545589296</v>
      </c>
      <c r="E16" s="0" t="n">
        <f aca="false">-E12</f>
        <v>161.457195697488</v>
      </c>
      <c r="F16" s="0" t="n">
        <f aca="false">-F12</f>
        <v>164.686339611438</v>
      </c>
      <c r="G16" s="0" t="n">
        <f aca="false">-G12</f>
        <v>167.980066403667</v>
      </c>
      <c r="H16" s="0" t="n">
        <f aca="false">-H12</f>
        <v>170.499767399722</v>
      </c>
      <c r="I16" s="0" t="n">
        <f aca="false">-I12</f>
        <v>173.057263910717</v>
      </c>
      <c r="J16" s="0" t="n">
        <f aca="false">-J12</f>
        <v>175.653122869378</v>
      </c>
      <c r="K16" s="0" t="n">
        <f aca="false">-K12</f>
        <v>177.409654098072</v>
      </c>
      <c r="L16" s="0" t="n">
        <f aca="false">-L12</f>
        <v>179.183750639053</v>
      </c>
    </row>
    <row r="17" customFormat="false" ht="15" hidden="false" customHeight="false" outlineLevel="0" collapsed="false">
      <c r="A17" s="0" t="s">
        <v>120</v>
      </c>
      <c r="C17" s="4" t="n">
        <f aca="false">-C6*Assumptions!C32/100</f>
        <v>-174.8485653</v>
      </c>
      <c r="D17" s="4" t="n">
        <f aca="false">-D6*Assumptions!D32/100</f>
        <v>-209.0060785728</v>
      </c>
      <c r="E17" s="4" t="n">
        <f aca="false">-E6*Assumptions!E32/100</f>
        <v>-215.276260929984</v>
      </c>
      <c r="F17" s="4" t="n">
        <f aca="false">-F6*Assumptions!F32/100</f>
        <v>-219.581786148584</v>
      </c>
      <c r="G17" s="4" t="n">
        <f aca="false">-G6*Assumptions!G32/100</f>
        <v>-223.973421871555</v>
      </c>
      <c r="H17" s="4" t="n">
        <f aca="false">-H6*Assumptions!H32/100</f>
        <v>-220.22886622464</v>
      </c>
      <c r="I17" s="4" t="n">
        <f aca="false">-I6*Assumptions!I32/100</f>
        <v>-223.53229921801</v>
      </c>
      <c r="J17" s="4" t="n">
        <f aca="false">-J6*Assumptions!J32/100</f>
        <v>-219.566403586723</v>
      </c>
      <c r="K17" s="4" t="n">
        <f aca="false">-K6*Assumptions!K32/100</f>
        <v>-221.76206762259</v>
      </c>
      <c r="L17" s="4" t="n">
        <f aca="false">-L6*Assumptions!L32/100</f>
        <v>-223.979688298816</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104.90913918</v>
      </c>
      <c r="D19" s="0" t="n">
        <f aca="false">D15+D16+D17+D18</f>
        <v>129.714397514244</v>
      </c>
      <c r="E19" s="0" t="n">
        <f aca="false">E15+E16+E17+E18</f>
        <v>111.472738862807</v>
      </c>
      <c r="F19" s="0" t="n">
        <f aca="false">F15+F16+F17+F18</f>
        <v>113.702193640063</v>
      </c>
      <c r="G19" s="0" t="n">
        <f aca="false">G15+G16+G17+G18</f>
        <v>115.976237512865</v>
      </c>
      <c r="H19" s="0" t="n">
        <f aca="false">H15+H16+H17+H18</f>
        <v>124.820038050546</v>
      </c>
      <c r="I19" s="0" t="n">
        <f aca="false">I15+I16+I17+I18</f>
        <v>122.005371057056</v>
      </c>
      <c r="J19" s="0" t="n">
        <f aca="false">J15+J16+J17+J18</f>
        <v>131.154331742469</v>
      </c>
      <c r="K19" s="0" t="n">
        <f aca="false">K15+K16+K17+K18</f>
        <v>127.661030261404</v>
      </c>
      <c r="L19" s="0" t="n">
        <f aca="false">L15+L16+L17+L18</f>
        <v>128.937640564018</v>
      </c>
    </row>
    <row r="20" customFormat="false" ht="15" hidden="false" customHeight="false" outlineLevel="0" collapsed="false">
      <c r="A20" s="0" t="s">
        <v>123</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124</v>
      </c>
      <c r="C21" s="0" t="n">
        <f aca="false">C19*C20</f>
        <v>94.0889140627803</v>
      </c>
      <c r="D21" s="0" t="n">
        <f aca="false">D19*D20</f>
        <v>104.337024685189</v>
      </c>
      <c r="E21" s="0" t="n">
        <f aca="false">E19*E20</f>
        <v>80.4162967681659</v>
      </c>
      <c r="F21" s="0" t="n">
        <f aca="false">F19*F20</f>
        <v>73.5646840390396</v>
      </c>
      <c r="G21" s="0" t="n">
        <f aca="false">G19*G20</f>
        <v>67.2968410043233</v>
      </c>
      <c r="H21" s="0" t="n">
        <f aca="false">H19*H20</f>
        <v>64.958368161849</v>
      </c>
      <c r="I21" s="0" t="n">
        <f aca="false">I19*I20</f>
        <v>56.9449057396531</v>
      </c>
      <c r="J21" s="0" t="n">
        <f aca="false">J19*J20</f>
        <v>54.9014354820577</v>
      </c>
      <c r="K21" s="0" t="n">
        <f aca="false">K19*K20</f>
        <v>47.927473809001</v>
      </c>
      <c r="L21" s="0" t="n">
        <f aca="false">L19*L20</f>
        <v>43.4141242574807</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11.5</v>
      </c>
    </row>
    <row r="28" customFormat="false" ht="15" hidden="false" customHeight="false" outlineLevel="0" collapsed="false">
      <c r="A28" s="0" t="s">
        <v>105</v>
      </c>
      <c r="B28" s="4" t="n">
        <f aca="false">Assumptions!$B$35</f>
        <v>2</v>
      </c>
    </row>
    <row r="29" customFormat="false" ht="15" hidden="false" customHeight="false" outlineLevel="0" collapsed="false">
      <c r="A29" s="0" t="s">
        <v>106</v>
      </c>
      <c r="B29" s="4" t="n">
        <f aca="false">Assumptions!$B$36</f>
        <v>12</v>
      </c>
    </row>
    <row r="30" customFormat="false" ht="15" hidden="false" customHeight="false" outlineLevel="0" collapsed="false">
      <c r="A30" s="0" t="s">
        <v>127</v>
      </c>
      <c r="B30" s="0" t="n">
        <f aca="false">SUM(C21:L21)</f>
        <v>687.850068009539</v>
      </c>
    </row>
    <row r="31" customFormat="false" ht="15" hidden="false" customHeight="false" outlineLevel="0" collapsed="false">
      <c r="A31" s="0" t="s">
        <v>128</v>
      </c>
      <c r="B31" s="0" t="n">
        <f aca="false">L19</f>
        <v>128.937640564018</v>
      </c>
    </row>
    <row r="32" customFormat="false" ht="15" hidden="false" customHeight="false" outlineLevel="0" collapsed="false">
      <c r="A32" s="0" t="s">
        <v>129</v>
      </c>
      <c r="B32" s="0" t="n">
        <f aca="false">IF(B27&gt;B28,B31*(1+B28/100)/((B27-B28)/100),B31*B29)</f>
        <v>1384.38308816104</v>
      </c>
    </row>
    <row r="33" customFormat="false" ht="15" hidden="false" customHeight="false" outlineLevel="0" collapsed="false">
      <c r="A33" s="0" t="s">
        <v>130</v>
      </c>
      <c r="B33" s="0" t="n">
        <f aca="false">B31*B29</f>
        <v>1547.25168676822</v>
      </c>
    </row>
    <row r="34" customFormat="false" ht="15" hidden="false" customHeight="false" outlineLevel="0" collapsed="false">
      <c r="A34" s="0" t="s">
        <v>131</v>
      </c>
      <c r="B34" s="0" t="n">
        <f aca="false">MAX(0,MIN(B32,B33))</f>
        <v>1384.38308816104</v>
      </c>
    </row>
    <row r="35" customFormat="false" ht="15" hidden="false" customHeight="false" outlineLevel="0" collapsed="false">
      <c r="A35" s="0" t="s">
        <v>132</v>
      </c>
      <c r="B35" s="0" t="n">
        <f aca="false">B34/(1+B27/100)^L4</f>
        <v>466.130597290845</v>
      </c>
    </row>
    <row r="36" customFormat="false" ht="15" hidden="false" customHeight="false" outlineLevel="0" collapsed="false">
      <c r="A36" s="0" t="s">
        <v>133</v>
      </c>
      <c r="B36" s="0" t="n">
        <f aca="false">B30+B35</f>
        <v>1153.98066530038</v>
      </c>
    </row>
    <row r="37" customFormat="false" ht="15" hidden="false" customHeight="false" outlineLevel="0" collapsed="false">
      <c r="A37" s="0" t="s">
        <v>134</v>
      </c>
      <c r="B37" s="0" t="n">
        <f aca="false">B36+Assumptions!$B$5-Assumptions!$B$4</f>
        <v>1057.32066530039</v>
      </c>
    </row>
    <row r="38" customFormat="false" ht="15" hidden="false" customHeight="false" outlineLevel="0" collapsed="false">
      <c r="A38" s="0" t="s">
        <v>135</v>
      </c>
      <c r="B38" s="0" t="n">
        <f aca="false">B37/Assumptions!$B$3*Assumptions!$B$10</f>
        <v>8.0436323070724</v>
      </c>
    </row>
    <row r="39" customFormat="false" ht="15" hidden="false" customHeight="false" outlineLevel="0" collapsed="false">
      <c r="A39" s="0" t="s">
        <v>136</v>
      </c>
      <c r="B39" s="4" t="n">
        <f aca="false">B38/Assumptions!$B$2-1</f>
        <v>-0.0614198008083547</v>
      </c>
    </row>
    <row r="41" customFormat="false" ht="15" hidden="false" customHeight="false" outlineLevel="0" collapsed="false">
      <c r="A41" s="0" t="s">
        <v>137</v>
      </c>
      <c r="B41" s="0" t="n">
        <f aca="false">SUMPRODUCT(-C10:L10/(1+$B$27/100)^C4:L4)</f>
        <v>7.81633582475725</v>
      </c>
    </row>
    <row r="42" customFormat="false" ht="15" hidden="false" customHeight="false" outlineLevel="0" collapsed="false">
      <c r="A42" s="0" t="s">
        <v>138</v>
      </c>
      <c r="B42" s="0" t="n">
        <f aca="false">IF(B27&gt;B28,-L10*(1+B28/100)/((B27-B28)/100),-L10*20)/(1+B27/100)^L4</f>
        <v>5.39815399294552</v>
      </c>
    </row>
    <row r="43" customFormat="false" ht="15" hidden="false" customHeight="false" outlineLevel="0" collapsed="false">
      <c r="A43" s="0" t="s">
        <v>139</v>
      </c>
      <c r="B43" s="0" t="n">
        <f aca="false">(B37+B41+B42)/Assumptions!$B$3*Assumptions!$B$10</f>
        <v>8.14416235505832</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1011.66456442537</v>
      </c>
    </row>
    <row r="47" customFormat="false" ht="15" hidden="false" customHeight="false" outlineLevel="0" collapsed="false">
      <c r="A47" s="0" t="s">
        <v>141</v>
      </c>
      <c r="B47" s="0" t="n">
        <f aca="false">(SUMPRODUCT(C19:L19/(1+B45/100)^C4:L4)+B46/(1+B45/100)^L4+Assumptions!$B$5-Assumptions!$B$4)/Assumptions!$B$3*Assumptions!$B$10</f>
        <v>5.70221905042751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40</v>
      </c>
      <c r="D5" s="4" t="n">
        <f aca="false">Assumptions!D41</f>
        <v>22</v>
      </c>
      <c r="E5" s="4" t="n">
        <f aca="false">Assumptions!E41</f>
        <v>6</v>
      </c>
      <c r="F5" s="4" t="n">
        <f aca="false">Assumptions!F41</f>
        <v>4</v>
      </c>
      <c r="G5" s="4" t="n">
        <f aca="false">Assumptions!G41</f>
        <v>3</v>
      </c>
      <c r="H5" s="4" t="n">
        <f aca="false">Assumptions!H41</f>
        <v>3</v>
      </c>
      <c r="I5" s="4" t="n">
        <f aca="false">Assumptions!I41</f>
        <v>3</v>
      </c>
      <c r="J5" s="4" t="n">
        <f aca="false">Assumptions!J41</f>
        <v>2.5</v>
      </c>
      <c r="K5" s="4" t="n">
        <f aca="false">Assumptions!K41</f>
        <v>2</v>
      </c>
      <c r="L5" s="4" t="n">
        <f aca="false">Assumptions!L41</f>
        <v>2</v>
      </c>
    </row>
    <row r="6" customFormat="false" ht="15" hidden="false" customHeight="false" outlineLevel="0" collapsed="false">
      <c r="A6" s="0" t="s">
        <v>38</v>
      </c>
      <c r="B6" s="3" t="n">
        <v>823.398</v>
      </c>
      <c r="C6" s="0" t="n">
        <f aca="false">B6*(1+C5/100)</f>
        <v>1152.7572</v>
      </c>
      <c r="D6" s="0" t="n">
        <f aca="false">C6*(1+D5/100)</f>
        <v>1406.363784</v>
      </c>
      <c r="E6" s="0" t="n">
        <f aca="false">D6*(1+E5/100)</f>
        <v>1490.74561104</v>
      </c>
      <c r="F6" s="0" t="n">
        <f aca="false">E6*(1+F5/100)</f>
        <v>1550.3754354816</v>
      </c>
      <c r="G6" s="0" t="n">
        <f aca="false">F6*(1+G5/100)</f>
        <v>1596.88669854605</v>
      </c>
      <c r="H6" s="0" t="n">
        <f aca="false">G6*(1+H5/100)</f>
        <v>1644.79329950243</v>
      </c>
      <c r="I6" s="0" t="n">
        <f aca="false">H6*(1+I5/100)</f>
        <v>1694.1370984875</v>
      </c>
      <c r="J6" s="0" t="n">
        <f aca="false">I6*(1+J5/100)</f>
        <v>1736.49052594969</v>
      </c>
      <c r="K6" s="0" t="n">
        <f aca="false">J6*(1+K5/100)</f>
        <v>1771.22033646868</v>
      </c>
      <c r="L6" s="0" t="n">
        <f aca="false">K6*(1+L5/100)</f>
        <v>1806.64474319806</v>
      </c>
    </row>
    <row r="7" customFormat="false" ht="15" hidden="false" customHeight="false" outlineLevel="0" collapsed="false">
      <c r="A7" s="0" t="s">
        <v>98</v>
      </c>
      <c r="C7" s="4" t="n">
        <f aca="false">Assumptions!C42</f>
        <v>30</v>
      </c>
      <c r="D7" s="4" t="n">
        <f aca="false">Assumptions!D42</f>
        <v>36</v>
      </c>
      <c r="E7" s="4" t="n">
        <f aca="false">Assumptions!E42</f>
        <v>36</v>
      </c>
      <c r="F7" s="4" t="n">
        <f aca="false">Assumptions!F42</f>
        <v>36</v>
      </c>
      <c r="G7" s="4" t="n">
        <f aca="false">Assumptions!G42</f>
        <v>36</v>
      </c>
      <c r="H7" s="4" t="n">
        <f aca="false">Assumptions!H42</f>
        <v>35.5</v>
      </c>
      <c r="I7" s="4" t="n">
        <f aca="false">Assumptions!I42</f>
        <v>35.5</v>
      </c>
      <c r="J7" s="4" t="n">
        <f aca="false">Assumptions!J42</f>
        <v>35</v>
      </c>
      <c r="K7" s="4" t="n">
        <f aca="false">Assumptions!K42</f>
        <v>35</v>
      </c>
      <c r="L7" s="4" t="n">
        <f aca="false">Assumptions!L42</f>
        <v>35</v>
      </c>
    </row>
    <row r="8" customFormat="false" ht="15" hidden="false" customHeight="false" outlineLevel="0" collapsed="false">
      <c r="A8" s="0" t="s">
        <v>44</v>
      </c>
      <c r="C8" s="0" t="n">
        <f aca="false">C6*C7/100</f>
        <v>345.82716</v>
      </c>
      <c r="D8" s="0" t="n">
        <f aca="false">D6*D7/100</f>
        <v>506.29096224</v>
      </c>
      <c r="E8" s="0" t="n">
        <f aca="false">E6*E7/100</f>
        <v>536.6684199744</v>
      </c>
      <c r="F8" s="0" t="n">
        <f aca="false">F6*F7/100</f>
        <v>558.135156773376</v>
      </c>
      <c r="G8" s="0" t="n">
        <f aca="false">G6*G7/100</f>
        <v>574.879211476577</v>
      </c>
      <c r="H8" s="0" t="n">
        <f aca="false">H6*H7/100</f>
        <v>583.901621323362</v>
      </c>
      <c r="I8" s="0" t="n">
        <f aca="false">I6*I7/100</f>
        <v>601.418669963063</v>
      </c>
      <c r="J8" s="0" t="n">
        <f aca="false">J6*J7/100</f>
        <v>607.771684082391</v>
      </c>
      <c r="K8" s="0" t="n">
        <f aca="false">K6*K7/100</f>
        <v>619.927117764039</v>
      </c>
      <c r="L8" s="0" t="n">
        <f aca="false">L6*L7/100</f>
        <v>632.32566011932</v>
      </c>
    </row>
    <row r="9" customFormat="false" ht="15" hidden="false" customHeight="false" outlineLevel="0" collapsed="false">
      <c r="A9" s="0" t="s">
        <v>99</v>
      </c>
      <c r="C9" s="4" t="n">
        <f aca="false">Assumptions!C43</f>
        <v>0.1</v>
      </c>
      <c r="D9" s="4" t="n">
        <f aca="false">Assumptions!D43</f>
        <v>0.1</v>
      </c>
      <c r="E9" s="4" t="n">
        <f aca="false">Assumptions!E43</f>
        <v>0.1</v>
      </c>
      <c r="F9" s="4" t="n">
        <f aca="false">Assumptions!F43</f>
        <v>0.1</v>
      </c>
      <c r="G9" s="4" t="n">
        <f aca="false">Assumptions!G43</f>
        <v>0.1</v>
      </c>
      <c r="H9" s="4" t="n">
        <f aca="false">Assumptions!H43</f>
        <v>0.1</v>
      </c>
      <c r="I9" s="4" t="n">
        <f aca="false">Assumptions!I43</f>
        <v>0.1</v>
      </c>
      <c r="J9" s="4" t="n">
        <f aca="false">Assumptions!J43</f>
        <v>0.1</v>
      </c>
      <c r="K9" s="4" t="n">
        <f aca="false">Assumptions!K43</f>
        <v>0.1</v>
      </c>
      <c r="L9" s="4" t="n">
        <f aca="false">Assumptions!L43</f>
        <v>0.1</v>
      </c>
    </row>
    <row r="10" customFormat="false" ht="15" hidden="false" customHeight="false" outlineLevel="0" collapsed="false">
      <c r="A10" s="0" t="s">
        <v>114</v>
      </c>
      <c r="C10" s="0" t="n">
        <f aca="false">-C6*C9/100</f>
        <v>-1.1527572</v>
      </c>
      <c r="D10" s="0" t="n">
        <f aca="false">-D6*D9/100</f>
        <v>-1.406363784</v>
      </c>
      <c r="E10" s="0" t="n">
        <f aca="false">-E6*E9/100</f>
        <v>-1.49074561104</v>
      </c>
      <c r="F10" s="0" t="n">
        <f aca="false">-F6*F9/100</f>
        <v>-1.5503754354816</v>
      </c>
      <c r="G10" s="0" t="n">
        <f aca="false">-G6*G9/100</f>
        <v>-1.59688669854605</v>
      </c>
      <c r="H10" s="0" t="n">
        <f aca="false">-H6*H9/100</f>
        <v>-1.64479329950243</v>
      </c>
      <c r="I10" s="0" t="n">
        <f aca="false">-I6*I9/100</f>
        <v>-1.6941370984875</v>
      </c>
      <c r="J10" s="0" t="n">
        <f aca="false">-J6*J9/100</f>
        <v>-1.73649052594969</v>
      </c>
      <c r="K10" s="0" t="n">
        <f aca="false">-K6*K9/100</f>
        <v>-1.77122033646868</v>
      </c>
      <c r="L10" s="0" t="n">
        <f aca="false">-L6*L9/100</f>
        <v>-1.80664474319806</v>
      </c>
    </row>
    <row r="11" customFormat="false" ht="15" hidden="false" customHeight="false" outlineLevel="0" collapsed="false">
      <c r="A11" s="0" t="s">
        <v>115</v>
      </c>
      <c r="C11" s="0" t="n">
        <f aca="false">C8+C10+C24</f>
        <v>344.6744028</v>
      </c>
      <c r="D11" s="0" t="n">
        <f aca="false">D8+D10+D24</f>
        <v>504.884598456</v>
      </c>
      <c r="E11" s="0" t="n">
        <f aca="false">E8+E10+E24</f>
        <v>535.17767436336</v>
      </c>
      <c r="F11" s="0" t="n">
        <f aca="false">F8+F10+F24</f>
        <v>556.584781337894</v>
      </c>
      <c r="G11" s="0" t="n">
        <f aca="false">G8+G10+G24</f>
        <v>573.282324778031</v>
      </c>
      <c r="H11" s="0" t="n">
        <f aca="false">H8+H10+H24</f>
        <v>582.25682802386</v>
      </c>
      <c r="I11" s="0" t="n">
        <f aca="false">I8+I10+I24</f>
        <v>599.724532864576</v>
      </c>
      <c r="J11" s="0" t="n">
        <f aca="false">J8+J10+J24</f>
        <v>606.035193556442</v>
      </c>
      <c r="K11" s="0" t="n">
        <f aca="false">K8+K10+K24</f>
        <v>618.155897427571</v>
      </c>
      <c r="L11" s="0" t="n">
        <f aca="false">L8+L10+L24</f>
        <v>630.519015376122</v>
      </c>
    </row>
    <row r="12" customFormat="false" ht="15" hidden="false" customHeight="false" outlineLevel="0" collapsed="false">
      <c r="A12" s="0" t="s">
        <v>116</v>
      </c>
      <c r="C12" s="4" t="n">
        <f aca="false">-C6*Assumptions!C45/100</f>
        <v>-144.09465</v>
      </c>
      <c r="D12" s="4" t="n">
        <f aca="false">-D6*Assumptions!D45/100</f>
        <v>-168.76365408</v>
      </c>
      <c r="E12" s="4" t="n">
        <f aca="false">-E6*Assumptions!E45/100</f>
        <v>-178.8894733248</v>
      </c>
      <c r="F12" s="4" t="n">
        <f aca="false">-F6*Assumptions!F45/100</f>
        <v>-186.045052257792</v>
      </c>
      <c r="G12" s="4" t="n">
        <f aca="false">-G6*Assumptions!G45/100</f>
        <v>-191.626403825526</v>
      </c>
      <c r="H12" s="4" t="n">
        <f aca="false">-H6*Assumptions!H45/100</f>
        <v>-197.375195940292</v>
      </c>
      <c r="I12" s="4" t="n">
        <f aca="false">-I6*Assumptions!I45/100</f>
        <v>-203.2964518185</v>
      </c>
      <c r="J12" s="4" t="n">
        <f aca="false">-J6*Assumptions!J45/100</f>
        <v>-208.378863113963</v>
      </c>
      <c r="K12" s="4" t="n">
        <f aca="false">-K6*Assumptions!K45/100</f>
        <v>-212.546440376242</v>
      </c>
      <c r="L12" s="4" t="n">
        <f aca="false">-L6*Assumptions!L45/100</f>
        <v>-216.797369183767</v>
      </c>
    </row>
    <row r="13" customFormat="false" ht="15" hidden="false" customHeight="false" outlineLevel="0" collapsed="false">
      <c r="A13" s="0" t="s">
        <v>117</v>
      </c>
      <c r="C13" s="0" t="n">
        <f aca="false">C11+C12</f>
        <v>200.5797528</v>
      </c>
      <c r="D13" s="0" t="n">
        <f aca="false">D11+D12</f>
        <v>336.120944376</v>
      </c>
      <c r="E13" s="0" t="n">
        <f aca="false">E11+E12</f>
        <v>356.28820103856</v>
      </c>
      <c r="F13" s="0" t="n">
        <f aca="false">F11+F12</f>
        <v>370.539729080102</v>
      </c>
      <c r="G13" s="0" t="n">
        <f aca="false">G11+G12</f>
        <v>381.655920952505</v>
      </c>
      <c r="H13" s="0" t="n">
        <f aca="false">H11+H12</f>
        <v>384.881632083568</v>
      </c>
      <c r="I13" s="0" t="n">
        <f aca="false">I11+I12</f>
        <v>396.428081046076</v>
      </c>
      <c r="J13" s="0" t="n">
        <f aca="false">J11+J12</f>
        <v>397.656330442479</v>
      </c>
      <c r="K13" s="0" t="n">
        <f aca="false">K11+K12</f>
        <v>405.609457051329</v>
      </c>
      <c r="L13" s="0" t="n">
        <f aca="false">L11+L12</f>
        <v>413.721646192355</v>
      </c>
    </row>
    <row r="14" customFormat="false" ht="15" hidden="false" customHeight="false" outlineLevel="0" collapsed="false">
      <c r="A14" s="0" t="s">
        <v>103</v>
      </c>
      <c r="C14" s="4" t="n">
        <f aca="false">Assumptions!C47</f>
        <v>25</v>
      </c>
      <c r="D14" s="4" t="n">
        <f aca="false">Assumptions!D47</f>
        <v>30</v>
      </c>
      <c r="E14" s="4" t="n">
        <f aca="false">Assumptions!E47</f>
        <v>34</v>
      </c>
      <c r="F14" s="4" t="n">
        <f aca="false">Assumptions!F47</f>
        <v>34</v>
      </c>
      <c r="G14" s="4" t="n">
        <f aca="false">Assumptions!G47</f>
        <v>34</v>
      </c>
      <c r="H14" s="4" t="n">
        <f aca="false">Assumptions!H47</f>
        <v>34</v>
      </c>
      <c r="I14" s="4" t="n">
        <f aca="false">Assumptions!I47</f>
        <v>34</v>
      </c>
      <c r="J14" s="4" t="n">
        <f aca="false">Assumptions!J47</f>
        <v>34</v>
      </c>
      <c r="K14" s="4" t="n">
        <f aca="false">Assumptions!K47</f>
        <v>34</v>
      </c>
      <c r="L14" s="4" t="n">
        <f aca="false">Assumptions!L47</f>
        <v>34</v>
      </c>
    </row>
    <row r="15" customFormat="false" ht="15" hidden="false" customHeight="false" outlineLevel="0" collapsed="false">
      <c r="A15" s="0" t="s">
        <v>118</v>
      </c>
      <c r="C15" s="0" t="n">
        <f aca="false">C13-MAX(0,C13)*C14/100</f>
        <v>150.4348146</v>
      </c>
      <c r="D15" s="0" t="n">
        <f aca="false">D13-MAX(0,D13)*D14/100</f>
        <v>235.2846610632</v>
      </c>
      <c r="E15" s="0" t="n">
        <f aca="false">E13-MAX(0,E13)*E14/100</f>
        <v>235.15021268545</v>
      </c>
      <c r="F15" s="0" t="n">
        <f aca="false">F13-MAX(0,F13)*F14/100</f>
        <v>244.556221192868</v>
      </c>
      <c r="G15" s="0" t="n">
        <f aca="false">G13-MAX(0,G13)*G14/100</f>
        <v>251.892907828654</v>
      </c>
      <c r="H15" s="0" t="n">
        <f aca="false">H13-MAX(0,H13)*H14/100</f>
        <v>254.021877175155</v>
      </c>
      <c r="I15" s="0" t="n">
        <f aca="false">I13-MAX(0,I13)*I14/100</f>
        <v>261.64253349041</v>
      </c>
      <c r="J15" s="0" t="n">
        <f aca="false">J13-MAX(0,J13)*J14/100</f>
        <v>262.453178092036</v>
      </c>
      <c r="K15" s="0" t="n">
        <f aca="false">K13-MAX(0,K13)*K14/100</f>
        <v>267.702241653877</v>
      </c>
      <c r="L15" s="0" t="n">
        <f aca="false">L13-MAX(0,L13)*L14/100</f>
        <v>273.056286486955</v>
      </c>
    </row>
    <row r="16" customFormat="false" ht="15" hidden="false" customHeight="false" outlineLevel="0" collapsed="false">
      <c r="A16" s="0" t="s">
        <v>119</v>
      </c>
      <c r="C16" s="0" t="n">
        <f aca="false">-C12</f>
        <v>144.09465</v>
      </c>
      <c r="D16" s="0" t="n">
        <f aca="false">-D12</f>
        <v>168.76365408</v>
      </c>
      <c r="E16" s="0" t="n">
        <f aca="false">-E12</f>
        <v>178.8894733248</v>
      </c>
      <c r="F16" s="0" t="n">
        <f aca="false">-F12</f>
        <v>186.045052257792</v>
      </c>
      <c r="G16" s="0" t="n">
        <f aca="false">-G12</f>
        <v>191.626403825526</v>
      </c>
      <c r="H16" s="0" t="n">
        <f aca="false">-H12</f>
        <v>197.375195940292</v>
      </c>
      <c r="I16" s="0" t="n">
        <f aca="false">-I12</f>
        <v>203.2964518185</v>
      </c>
      <c r="J16" s="0" t="n">
        <f aca="false">-J12</f>
        <v>208.378863113963</v>
      </c>
      <c r="K16" s="0" t="n">
        <f aca="false">-K12</f>
        <v>212.546440376242</v>
      </c>
      <c r="L16" s="0" t="n">
        <f aca="false">-L12</f>
        <v>216.797369183767</v>
      </c>
    </row>
    <row r="17" customFormat="false" ht="15" hidden="false" customHeight="false" outlineLevel="0" collapsed="false">
      <c r="A17" s="0" t="s">
        <v>120</v>
      </c>
      <c r="C17" s="4" t="n">
        <f aca="false">-C6*Assumptions!C46/100</f>
        <v>-178.677366</v>
      </c>
      <c r="D17" s="4" t="n">
        <f aca="false">-D6*Assumptions!D46/100</f>
        <v>-225.01820544</v>
      </c>
      <c r="E17" s="4" t="n">
        <f aca="false">-E6*Assumptions!E46/100</f>
        <v>-253.4267538768</v>
      </c>
      <c r="F17" s="4" t="n">
        <f aca="false">-F6*Assumptions!F46/100</f>
        <v>-263.563824031872</v>
      </c>
      <c r="G17" s="4" t="n">
        <f aca="false">-G6*Assumptions!G46/100</f>
        <v>-263.486305260098</v>
      </c>
      <c r="H17" s="4" t="n">
        <f aca="false">-H6*Assumptions!H46/100</f>
        <v>-263.166927920389</v>
      </c>
      <c r="I17" s="4" t="n">
        <f aca="false">-I6*Assumptions!I46/100</f>
        <v>-271.061935758</v>
      </c>
      <c r="J17" s="4" t="n">
        <f aca="false">-J6*Assumptions!J46/100</f>
        <v>-269.156031522202</v>
      </c>
      <c r="K17" s="4" t="n">
        <f aca="false">-K6*Assumptions!K46/100</f>
        <v>-265.683050470303</v>
      </c>
      <c r="L17" s="4" t="n">
        <f aca="false">-L6*Assumptions!L46/100</f>
        <v>-270.996711479709</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115.8520986</v>
      </c>
      <c r="D19" s="0" t="n">
        <f aca="false">D15+D16+D17+D18</f>
        <v>179.0301097032</v>
      </c>
      <c r="E19" s="0" t="n">
        <f aca="false">E15+E16+E17+E18</f>
        <v>160.61293213345</v>
      </c>
      <c r="F19" s="0" t="n">
        <f aca="false">F15+F16+F17+F18</f>
        <v>167.037449418788</v>
      </c>
      <c r="G19" s="0" t="n">
        <f aca="false">G15+G16+G17+G18</f>
        <v>180.033006394081</v>
      </c>
      <c r="H19" s="0" t="n">
        <f aca="false">H15+H16+H17+H18</f>
        <v>188.230145195058</v>
      </c>
      <c r="I19" s="0" t="n">
        <f aca="false">I15+I16+I17+I18</f>
        <v>193.87704955091</v>
      </c>
      <c r="J19" s="0" t="n">
        <f aca="false">J15+J16+J17+J18</f>
        <v>201.676009683797</v>
      </c>
      <c r="K19" s="0" t="n">
        <f aca="false">K15+K16+K17+K18</f>
        <v>214.565631559816</v>
      </c>
      <c r="L19" s="0" t="n">
        <f aca="false">L15+L16+L17+L18</f>
        <v>218.856944191013</v>
      </c>
    </row>
    <row r="20" customFormat="false" ht="15" hidden="false" customHeight="false" outlineLevel="0" collapsed="false">
      <c r="A20" s="0" t="s">
        <v>123</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124</v>
      </c>
      <c r="C21" s="0" t="n">
        <f aca="false">C19*C20</f>
        <v>103.903227443946</v>
      </c>
      <c r="D21" s="0" t="n">
        <f aca="false">D19*D20</f>
        <v>144.004592654749</v>
      </c>
      <c r="E21" s="0" t="n">
        <f aca="false">E19*E20</f>
        <v>115.865971779385</v>
      </c>
      <c r="F21" s="0" t="n">
        <f aca="false">F19*F20</f>
        <v>108.072296547588</v>
      </c>
      <c r="G21" s="0" t="n">
        <f aca="false">G19*G20</f>
        <v>104.466680991344</v>
      </c>
      <c r="H21" s="0" t="n">
        <f aca="false">H19*H20</f>
        <v>97.9580142876376</v>
      </c>
      <c r="I21" s="0" t="n">
        <f aca="false">I19*I20</f>
        <v>90.4903629742303</v>
      </c>
      <c r="J21" s="0" t="n">
        <f aca="false">J19*J20</f>
        <v>84.4219347301092</v>
      </c>
      <c r="K21" s="0" t="n">
        <f aca="false">K19*K20</f>
        <v>80.5538594341416</v>
      </c>
      <c r="L21" s="0" t="n">
        <f aca="false">L19*L20</f>
        <v>73.6905261191251</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11.5</v>
      </c>
    </row>
    <row r="28" customFormat="false" ht="15" hidden="false" customHeight="false" outlineLevel="0" collapsed="false">
      <c r="A28" s="0" t="s">
        <v>105</v>
      </c>
      <c r="B28" s="4" t="n">
        <f aca="false">Assumptions!$B$49</f>
        <v>2.5</v>
      </c>
    </row>
    <row r="29" customFormat="false" ht="15" hidden="false" customHeight="false" outlineLevel="0" collapsed="false">
      <c r="A29" s="0" t="s">
        <v>106</v>
      </c>
      <c r="B29" s="4" t="n">
        <f aca="false">Assumptions!$B$50</f>
        <v>13</v>
      </c>
    </row>
    <row r="30" customFormat="false" ht="15" hidden="false" customHeight="false" outlineLevel="0" collapsed="false">
      <c r="A30" s="0" t="s">
        <v>127</v>
      </c>
      <c r="B30" s="0" t="n">
        <f aca="false">SUM(C21:L21)</f>
        <v>1003.42746696226</v>
      </c>
    </row>
    <row r="31" customFormat="false" ht="15" hidden="false" customHeight="false" outlineLevel="0" collapsed="false">
      <c r="A31" s="0" t="s">
        <v>128</v>
      </c>
      <c r="B31" s="0" t="n">
        <f aca="false">L19</f>
        <v>218.856944191013</v>
      </c>
    </row>
    <row r="32" customFormat="false" ht="15" hidden="false" customHeight="false" outlineLevel="0" collapsed="false">
      <c r="A32" s="0" t="s">
        <v>129</v>
      </c>
      <c r="B32" s="0" t="n">
        <f aca="false">IF(B27&gt;B28,B31*(1+B28/100)/((B27-B28)/100),B31*B29)</f>
        <v>2492.5374199532</v>
      </c>
    </row>
    <row r="33" customFormat="false" ht="15" hidden="false" customHeight="false" outlineLevel="0" collapsed="false">
      <c r="A33" s="0" t="s">
        <v>130</v>
      </c>
      <c r="B33" s="0" t="n">
        <f aca="false">B31*B29</f>
        <v>2845.14027448317</v>
      </c>
    </row>
    <row r="34" customFormat="false" ht="15" hidden="false" customHeight="false" outlineLevel="0" collapsed="false">
      <c r="A34" s="0" t="s">
        <v>131</v>
      </c>
      <c r="B34" s="0" t="n">
        <f aca="false">MAX(0,MIN(B32,B33))</f>
        <v>2492.5374199532</v>
      </c>
    </row>
    <row r="35" customFormat="false" ht="15" hidden="false" customHeight="false" outlineLevel="0" collapsed="false">
      <c r="A35" s="0" t="s">
        <v>132</v>
      </c>
      <c r="B35" s="0" t="n">
        <f aca="false">B34/(1+B27/100)^L4</f>
        <v>839.25321413448</v>
      </c>
    </row>
    <row r="36" customFormat="false" ht="15" hidden="false" customHeight="false" outlineLevel="0" collapsed="false">
      <c r="A36" s="0" t="s">
        <v>133</v>
      </c>
      <c r="B36" s="0" t="n">
        <f aca="false">B30+B35</f>
        <v>1842.68068109674</v>
      </c>
    </row>
    <row r="37" customFormat="false" ht="15" hidden="false" customHeight="false" outlineLevel="0" collapsed="false">
      <c r="A37" s="0" t="s">
        <v>134</v>
      </c>
      <c r="B37" s="0" t="n">
        <f aca="false">B36+Assumptions!$B$5-Assumptions!$B$4</f>
        <v>1746.02068109674</v>
      </c>
    </row>
    <row r="38" customFormat="false" ht="15" hidden="false" customHeight="false" outlineLevel="0" collapsed="false">
      <c r="A38" s="0" t="s">
        <v>135</v>
      </c>
      <c r="B38" s="0" t="n">
        <f aca="false">B37/Assumptions!$B$3*Assumptions!$B$10</f>
        <v>13.2829602411074</v>
      </c>
    </row>
    <row r="39" customFormat="false" ht="15" hidden="false" customHeight="false" outlineLevel="0" collapsed="false">
      <c r="A39" s="0" t="s">
        <v>136</v>
      </c>
      <c r="B39" s="4" t="n">
        <f aca="false">B38/Assumptions!$B$2-1</f>
        <v>0.549937017632137</v>
      </c>
    </row>
    <row r="41" customFormat="false" ht="15" hidden="false" customHeight="false" outlineLevel="0" collapsed="false">
      <c r="A41" s="0" t="s">
        <v>137</v>
      </c>
      <c r="B41" s="0" t="n">
        <f aca="false">SUMPRODUCT(-C10:L10/(1+$B$27/100)^C4:L4)</f>
        <v>8.81707948976722</v>
      </c>
    </row>
    <row r="42" customFormat="false" ht="15" hidden="false" customHeight="false" outlineLevel="0" collapsed="false">
      <c r="A42" s="0" t="s">
        <v>138</v>
      </c>
      <c r="B42" s="0" t="n">
        <f aca="false">IF(B27&gt;B28,-L10*(1+B28/100)/((B27-B28)/100),-L10*20)/(1+B27/100)^L4</f>
        <v>6.92796115349579</v>
      </c>
    </row>
    <row r="43" customFormat="false" ht="15" hidden="false" customHeight="false" outlineLevel="0" collapsed="false">
      <c r="A43" s="0" t="s">
        <v>139</v>
      </c>
      <c r="B43" s="0" t="n">
        <f aca="false">(B37+B41+B42)/Assumptions!$B$3*Assumptions!$B$10</f>
        <v>13.4027416108949</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1794.6269423663</v>
      </c>
    </row>
    <row r="47" customFormat="false" ht="15" hidden="false" customHeight="false" outlineLevel="0" collapsed="false">
      <c r="A47" s="0" t="s">
        <v>141</v>
      </c>
      <c r="B47" s="0" t="n">
        <f aca="false">(SUMPRODUCT(C19:L19/(1+B45/100)^C4:L4)+B46/(1+B45/100)^L4+Assumptions!$B$5-Assumptions!$B$4)/Assumptions!$B$3*Assumptions!$B$10</f>
        <v>9.19722070592101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2.33633625246268</v>
      </c>
      <c r="C4" s="0" t="n">
        <f aca="false">B4/Assumptions!$B$2-1</f>
        <v>-0.7273820008795</v>
      </c>
      <c r="D4" s="4" t="n">
        <f aca="false">Assumptions!$B$24</f>
        <v>0.3</v>
      </c>
      <c r="E4" s="4" t="n">
        <f aca="false">DCF_Bear!$B$43</f>
        <v>2.4034793651765</v>
      </c>
      <c r="F4" s="4" t="n">
        <f aca="false">DCF_Bear!$B$47</f>
        <v>1.65872172633425</v>
      </c>
    </row>
    <row r="5" customFormat="false" ht="15" hidden="false" customHeight="false" outlineLevel="0" collapsed="false">
      <c r="A5" s="0" t="s">
        <v>150</v>
      </c>
      <c r="B5" s="4" t="n">
        <f aca="false">DCF_Base!$B$38</f>
        <v>8.0436323070724</v>
      </c>
      <c r="C5" s="0" t="n">
        <f aca="false">B5/Assumptions!$B$2-1</f>
        <v>-0.0614198008083547</v>
      </c>
      <c r="D5" s="4" t="n">
        <f aca="false">Assumptions!$B$38</f>
        <v>0.5</v>
      </c>
      <c r="E5" s="4" t="n">
        <f aca="false">DCF_Base!$B$43</f>
        <v>8.14416235505832</v>
      </c>
      <c r="F5" s="4" t="n">
        <f aca="false">DCF_Base!$B$47</f>
        <v>5.70221905042751</v>
      </c>
    </row>
    <row r="6" customFormat="false" ht="15" hidden="false" customHeight="false" outlineLevel="0" collapsed="false">
      <c r="A6" s="0" t="s">
        <v>151</v>
      </c>
      <c r="B6" s="4" t="n">
        <f aca="false">DCF_Bull!$B$38</f>
        <v>13.2829602411074</v>
      </c>
      <c r="C6" s="0" t="n">
        <f aca="false">B6/Assumptions!$B$2-1</f>
        <v>0.549937017632137</v>
      </c>
      <c r="D6" s="4" t="n">
        <f aca="false">Assumptions!$B$52</f>
        <v>0.2</v>
      </c>
      <c r="E6" s="4" t="n">
        <f aca="false">DCF_Bull!$B$43</f>
        <v>13.4027416108949</v>
      </c>
      <c r="F6" s="4" t="n">
        <f aca="false">DCF_Bull!$B$47</f>
        <v>9.19722070592101</v>
      </c>
    </row>
    <row r="8" customFormat="false" ht="15" hidden="false" customHeight="false" outlineLevel="0" collapsed="false">
      <c r="A8" s="0" t="s">
        <v>152</v>
      </c>
      <c r="B8" s="0" t="n">
        <f aca="false">SUMPRODUCT(B4:B6,D4:D6)</f>
        <v>7.37930907749649</v>
      </c>
    </row>
    <row r="9" customFormat="false" ht="15" hidden="false" customHeight="false" outlineLevel="0" collapsed="false">
      <c r="A9" s="0" t="s">
        <v>153</v>
      </c>
      <c r="B9" s="0" t="n">
        <f aca="false">SUMPRODUCT(E4:E6,D4:D6)</f>
        <v>7.47367330926109</v>
      </c>
    </row>
    <row r="10" customFormat="false" ht="15" hidden="false" customHeight="false" outlineLevel="0" collapsed="false">
      <c r="A10" s="0" t="s">
        <v>154</v>
      </c>
      <c r="B10" s="0" t="n">
        <f aca="false">1-Assumptions!$B$2/B8</f>
        <v>-0.161355339639394</v>
      </c>
    </row>
    <row r="11" customFormat="false" ht="15" hidden="false" customHeight="false" outlineLevel="0" collapsed="false">
      <c r="A11" s="0" t="s">
        <v>155</v>
      </c>
      <c r="B11" s="0" t="n">
        <f aca="false">IF(ABS(B9-B8)&gt;0.01*ABS(B8),(Assumptions!$B$2-B8)/(B9-B8)*100,"n/a")</f>
        <v>1261.80322802153</v>
      </c>
    </row>
    <row r="12" customFormat="false" ht="15" hidden="false" customHeight="false" outlineLevel="0" collapsed="false">
      <c r="A12" s="0" t="s">
        <v>156</v>
      </c>
      <c r="B12" s="0" t="n">
        <f aca="false">SUMPRODUCT(F4:F6,D4:D6)</f>
        <v>5.18817018429823</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10.0767996304654</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9.38751631613757</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8.52606693901719</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8.0436323070724</v>
      </c>
      <c r="C18" s="3" t="n">
        <v>11.5</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7.60926599294867</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5.70221905042751</v>
      </c>
      <c r="C20" s="3" t="n">
        <v>15</v>
      </c>
    </row>
    <row r="22" customFormat="false" ht="15" hidden="false" customHeight="false" outlineLevel="0" collapsed="false">
      <c r="A22" s="2" t="s">
        <v>165</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9.5</v>
      </c>
      <c r="B24" s="0" t="n">
        <f aca="false">(SUMPRODUCT(DCF_Base!$C$19:$L$19/(1+$A$24/100)^DCF_Base!$C$4:$L$4)+MAX(0,MIN(IF($A$24&gt;$B$23,DCF_Base!$L$19*(1+$B$23/100)/(($A$24-$B$23)/100),DCF_Base!$L$19*DCF_Base!$B$29),DCF_Base!$L$19*DCF_Base!$B$29))/(1+$A$24/100)^DCF_Base!$L$4+Assumptions!$B$5-Assumptions!$B$4)/Assumptions!$B$3*Assumptions!$B$10</f>
        <v>9.67794837218243</v>
      </c>
      <c r="C24" s="0" t="n">
        <f aca="false">(SUMPRODUCT(DCF_Base!$C$19:$L$19/(1+$A$24/100)^DCF_Base!$C$4:$L$4)+MAX(0,MIN(IF($A$24&gt;$C$23,DCF_Base!$L$19*(1+$C$23/100)/(($A$24-$C$23)/100),DCF_Base!$L$19*DCF_Base!$B$29),DCF_Base!$L$19*DCF_Base!$B$29))/(1+$A$24/100)^DCF_Base!$L$4+Assumptions!$B$5-Assumptions!$B$4)/Assumptions!$B$3*Assumptions!$B$10</f>
        <v>9.72451396009659</v>
      </c>
      <c r="D24" s="0" t="n">
        <f aca="false">(SUMPRODUCT(DCF_Base!$C$19:$L$19/(1+$A$24/100)^DCF_Base!$C$4:$L$4)+MAX(0,MIN(IF($A$24&gt;$D$23,DCF_Base!$L$19*(1+$D$23/100)/(($A$24-$D$23)/100),DCF_Base!$L$19*DCF_Base!$B$29),DCF_Base!$L$19*DCF_Base!$B$29))/(1+$A$24/100)^DCF_Base!$L$4+Assumptions!$B$5-Assumptions!$B$4)/Assumptions!$B$3*Assumptions!$B$10</f>
        <v>9.72451396009659</v>
      </c>
      <c r="E24" s="0" t="n">
        <f aca="false">(SUMPRODUCT(DCF_Base!$C$19:$L$19/(1+$A$24/100)^DCF_Base!$C$4:$L$4)+MAX(0,MIN(IF($A$24&gt;$E$23,DCF_Base!$L$19*(1+$E$23/100)/(($A$24-$E$23)/100),DCF_Base!$L$19*DCF_Base!$B$29),DCF_Base!$L$19*DCF_Base!$B$29))/(1+$A$24/100)^DCF_Base!$L$4+Assumptions!$B$5-Assumptions!$B$4)/Assumptions!$B$3*Assumptions!$B$10</f>
        <v>9.72451396009659</v>
      </c>
      <c r="F24" s="0" t="n">
        <f aca="false">(SUMPRODUCT(DCF_Base!$C$19:$L$19/(1+$A$24/100)^DCF_Base!$C$4:$L$4)+MAX(0,MIN(IF($A$24&gt;$F$23,DCF_Base!$L$19*(1+$F$23/100)/(($A$24-$F$23)/100),DCF_Base!$L$19*DCF_Base!$B$29),DCF_Base!$L$19*DCF_Base!$B$29))/(1+$A$24/100)^DCF_Base!$L$4+Assumptions!$B$5-Assumptions!$B$4)/Assumptions!$B$3*Assumptions!$B$10</f>
        <v>9.72451396009659</v>
      </c>
    </row>
    <row r="25" customFormat="false" ht="15" hidden="false" customHeight="false" outlineLevel="0" collapsed="false">
      <c r="A25" s="3" t="n">
        <v>10.5</v>
      </c>
      <c r="B25" s="0" t="n">
        <f aca="false">(SUMPRODUCT(DCF_Base!$C$19:$L$19/(1+$A$25/100)^DCF_Base!$C$4:$L$4)+MAX(0,MIN(IF($A$25&gt;$B$23,DCF_Base!$L$19*(1+$B$23/100)/(($A$25-$B$23)/100),DCF_Base!$L$19*DCF_Base!$B$29),DCF_Base!$L$19*DCF_Base!$B$29))/(1+$A$25/100)^DCF_Base!$L$4+Assumptions!$B$5-Assumptions!$B$4)/Assumptions!$B$3*Assumptions!$B$10</f>
        <v>8.57047933895851</v>
      </c>
      <c r="C25" s="0" t="n">
        <f aca="false">(SUMPRODUCT(DCF_Base!$C$19:$L$19/(1+$A$25/100)^DCF_Base!$C$4:$L$4)+MAX(0,MIN(IF($A$25&gt;$C$23,DCF_Base!$L$19*(1+$C$23/100)/(($A$25-$C$23)/100),DCF_Base!$L$19*DCF_Base!$B$29),DCF_Base!$L$19*DCF_Base!$B$29))/(1+$A$25/100)^DCF_Base!$L$4+Assumptions!$B$5-Assumptions!$B$4)/Assumptions!$B$3*Assumptions!$B$10</f>
        <v>8.80402327504024</v>
      </c>
      <c r="D25" s="0" t="n">
        <f aca="false">(SUMPRODUCT(DCF_Base!$C$19:$L$19/(1+$A$25/100)^DCF_Base!$C$4:$L$4)+MAX(0,MIN(IF($A$25&gt;$D$23,DCF_Base!$L$19*(1+$D$23/100)/(($A$25-$D$23)/100),DCF_Base!$L$19*DCF_Base!$B$29),DCF_Base!$L$19*DCF_Base!$B$29))/(1+$A$25/100)^DCF_Base!$L$4+Assumptions!$B$5-Assumptions!$B$4)/Assumptions!$B$3*Assumptions!$B$10</f>
        <v>9.06504296830805</v>
      </c>
      <c r="E25" s="0" t="n">
        <f aca="false">(SUMPRODUCT(DCF_Base!$C$19:$L$19/(1+$A$25/100)^DCF_Base!$C$4:$L$4)+MAX(0,MIN(IF($A$25&gt;$E$23,DCF_Base!$L$19*(1+$E$23/100)/(($A$25-$E$23)/100),DCF_Base!$L$19*DCF_Base!$B$29),DCF_Base!$L$19*DCF_Base!$B$29))/(1+$A$25/100)^DCF_Base!$L$4+Assumptions!$B$5-Assumptions!$B$4)/Assumptions!$B$3*Assumptions!$B$10</f>
        <v>9.06504296830805</v>
      </c>
      <c r="F25" s="0" t="n">
        <f aca="false">(SUMPRODUCT(DCF_Base!$C$19:$L$19/(1+$A$25/100)^DCF_Base!$C$4:$L$4)+MAX(0,MIN(IF($A$25&gt;$F$23,DCF_Base!$L$19*(1+$F$23/100)/(($A$25-$F$23)/100),DCF_Base!$L$19*DCF_Base!$B$29),DCF_Base!$L$19*DCF_Base!$B$29))/(1+$A$25/100)^DCF_Base!$L$4+Assumptions!$B$5-Assumptions!$B$4)/Assumptions!$B$3*Assumptions!$B$10</f>
        <v>9.06504296830805</v>
      </c>
    </row>
    <row r="26" customFormat="false" ht="15" hidden="false" customHeight="false" outlineLevel="0" collapsed="false">
      <c r="A26" s="3" t="n">
        <v>11.5</v>
      </c>
      <c r="B26" s="0" t="n">
        <f aca="false">(SUMPRODUCT(DCF_Base!$C$19:$L$19/(1+$A$26/100)^DCF_Base!$C$4:$L$4)+MAX(0,MIN(IF($A$26&gt;$B$23,DCF_Base!$L$19*(1+$B$23/100)/(($A$26-$B$23)/100),DCF_Base!$L$19*DCF_Base!$B$29),DCF_Base!$L$19*DCF_Base!$B$29))/(1+$A$26/100)^DCF_Base!$L$4+Assumptions!$B$5-Assumptions!$B$4)/Assumptions!$B$3*Assumptions!$B$10</f>
        <v>7.67445202510356</v>
      </c>
      <c r="C26" s="0" t="n">
        <f aca="false">(SUMPRODUCT(DCF_Base!$C$19:$L$19/(1+$A$26/100)^DCF_Base!$C$4:$L$4)+MAX(0,MIN(IF($A$26&gt;$C$23,DCF_Base!$L$19*(1+$C$23/100)/(($A$26-$C$23)/100),DCF_Base!$L$19*DCF_Base!$B$29),DCF_Base!$L$19*DCF_Base!$B$29))/(1+$A$26/100)^DCF_Base!$L$4+Assumptions!$B$5-Assumptions!$B$4)/Assumptions!$B$3*Assumptions!$B$10</f>
        <v>7.84981265903876</v>
      </c>
      <c r="D26" s="0" t="n">
        <f aca="false">(SUMPRODUCT(DCF_Base!$C$19:$L$19/(1+$A$26/100)^DCF_Base!$C$4:$L$4)+MAX(0,MIN(IF($A$26&gt;$D$23,DCF_Base!$L$19*(1+$D$23/100)/(($A$26-$D$23)/100),DCF_Base!$L$19*DCF_Base!$B$29),DCF_Base!$L$19*DCF_Base!$B$29))/(1+$A$26/100)^DCF_Base!$L$4+Assumptions!$B$5-Assumptions!$B$4)/Assumptions!$B$3*Assumptions!$B$10</f>
        <v>8.0436323070724</v>
      </c>
      <c r="E26" s="0" t="n">
        <f aca="false">(SUMPRODUCT(DCF_Base!$C$19:$L$19/(1+$A$26/100)^DCF_Base!$C$4:$L$4)+MAX(0,MIN(IF($A$26&gt;$E$23,DCF_Base!$L$19*(1+$E$23/100)/(($A$26-$E$23)/100),DCF_Base!$L$19*DCF_Base!$B$29),DCF_Base!$L$19*DCF_Base!$B$29))/(1+$A$26/100)^DCF_Base!$L$4+Assumptions!$B$5-Assumptions!$B$4)/Assumptions!$B$3*Assumptions!$B$10</f>
        <v>8.25898747155422</v>
      </c>
      <c r="F26" s="0" t="n">
        <f aca="false">(SUMPRODUCT(DCF_Base!$C$19:$L$19/(1+$A$26/100)^DCF_Base!$C$4:$L$4)+MAX(0,MIN(IF($A$26&gt;$F$23,DCF_Base!$L$19*(1+$F$23/100)/(($A$26-$F$23)/100),DCF_Base!$L$19*DCF_Base!$B$29),DCF_Base!$L$19*DCF_Base!$B$29))/(1+$A$26/100)^DCF_Base!$L$4+Assumptions!$B$5-Assumptions!$B$4)/Assumptions!$B$3*Assumptions!$B$10</f>
        <v>8.46082258086679</v>
      </c>
    </row>
    <row r="27" customFormat="false" ht="15" hidden="false" customHeight="false" outlineLevel="0" collapsed="false">
      <c r="A27" s="3" t="n">
        <v>12.5</v>
      </c>
      <c r="B27" s="0" t="n">
        <f aca="false">(SUMPRODUCT(DCF_Base!$C$19:$L$19/(1+$A$27/100)^DCF_Base!$C$4:$L$4)+MAX(0,MIN(IF($A$27&gt;$B$23,DCF_Base!$L$19*(1+$B$23/100)/(($A$27-$B$23)/100),DCF_Base!$L$19*DCF_Base!$B$29),DCF_Base!$L$19*DCF_Base!$B$29))/(1+$A$27/100)^DCF_Base!$L$4+Assumptions!$B$5-Assumptions!$B$4)/Assumptions!$B$3*Assumptions!$B$10</f>
        <v>6.93468169080608</v>
      </c>
      <c r="C27" s="0" t="n">
        <f aca="false">(SUMPRODUCT(DCF_Base!$C$19:$L$19/(1+$A$27/100)^DCF_Base!$C$4:$L$4)+MAX(0,MIN(IF($A$27&gt;$C$23,DCF_Base!$L$19*(1+$C$23/100)/(($A$27-$C$23)/100),DCF_Base!$L$19*DCF_Base!$B$29),DCF_Base!$L$19*DCF_Base!$B$29))/(1+$A$27/100)^DCF_Base!$L$4+Assumptions!$B$5-Assumptions!$B$4)/Assumptions!$B$3*Assumptions!$B$10</f>
        <v>7.06899900058142</v>
      </c>
      <c r="D27" s="0" t="n">
        <f aca="false">(SUMPRODUCT(DCF_Base!$C$19:$L$19/(1+$A$27/100)^DCF_Base!$C$4:$L$4)+MAX(0,MIN(IF($A$27&gt;$D$23,DCF_Base!$L$19*(1+$D$23/100)/(($A$27-$D$23)/100),DCF_Base!$L$19*DCF_Base!$B$29),DCF_Base!$L$19*DCF_Base!$B$29))/(1+$A$27/100)^DCF_Base!$L$4+Assumptions!$B$5-Assumptions!$B$4)/Assumptions!$B$3*Assumptions!$B$10</f>
        <v>7.21610843509728</v>
      </c>
      <c r="E27" s="0" t="n">
        <f aca="false">(SUMPRODUCT(DCF_Base!$C$19:$L$19/(1+$A$27/100)^DCF_Base!$C$4:$L$4)+MAX(0,MIN(IF($A$27&gt;$E$23,DCF_Base!$L$19*(1+$E$23/100)/(($A$27-$E$23)/100),DCF_Base!$L$19*DCF_Base!$B$29),DCF_Base!$L$19*DCF_Base!$B$29))/(1+$A$27/100)^DCF_Base!$L$4+Assumptions!$B$5-Assumptions!$B$4)/Assumptions!$B$3*Assumptions!$B$10</f>
        <v>7.37792881306472</v>
      </c>
      <c r="F27" s="0" t="n">
        <f aca="false">(SUMPRODUCT(DCF_Base!$C$19:$L$19/(1+$A$27/100)^DCF_Base!$C$4:$L$4)+MAX(0,MIN(IF($A$27&gt;$F$23,DCF_Base!$L$19*(1+$F$23/100)/(($A$27-$F$23)/100),DCF_Base!$L$19*DCF_Base!$B$29),DCF_Base!$L$19*DCF_Base!$B$29))/(1+$A$27/100)^DCF_Base!$L$4+Assumptions!$B$5-Assumptions!$B$4)/Assumptions!$B$3*Assumptions!$B$10</f>
        <v>7.55678291502874</v>
      </c>
    </row>
    <row r="28" customFormat="false" ht="15" hidden="false" customHeight="false" outlineLevel="0" collapsed="false">
      <c r="A28" s="3" t="n">
        <v>13.5</v>
      </c>
      <c r="B28" s="0" t="n">
        <f aca="false">(SUMPRODUCT(DCF_Base!$C$19:$L$19/(1+$A$28/100)^DCF_Base!$C$4:$L$4)+MAX(0,MIN(IF($A$28&gt;$B$23,DCF_Base!$L$19*(1+$B$23/100)/(($A$28-$B$23)/100),DCF_Base!$L$19*DCF_Base!$B$29),DCF_Base!$L$19*DCF_Base!$B$29))/(1+$A$28/100)^DCF_Base!$L$4+Assumptions!$B$5-Assumptions!$B$4)/Assumptions!$B$3*Assumptions!$B$10</f>
        <v>6.31364403252323</v>
      </c>
      <c r="C28" s="0" t="n">
        <f aca="false">(SUMPRODUCT(DCF_Base!$C$19:$L$19/(1+$A$28/100)^DCF_Base!$C$4:$L$4)+MAX(0,MIN(IF($A$28&gt;$C$23,DCF_Base!$L$19*(1+$C$23/100)/(($A$28-$C$23)/100),DCF_Base!$L$19*DCF_Base!$B$29),DCF_Base!$L$19*DCF_Base!$B$29))/(1+$A$28/100)^DCF_Base!$L$4+Assumptions!$B$5-Assumptions!$B$4)/Assumptions!$B$3*Assumptions!$B$10</f>
        <v>6.41824632423415</v>
      </c>
      <c r="D28" s="0" t="n">
        <f aca="false">(SUMPRODUCT(DCF_Base!$C$19:$L$19/(1+$A$28/100)^DCF_Base!$C$4:$L$4)+MAX(0,MIN(IF($A$28&gt;$D$23,DCF_Base!$L$19*(1+$D$23/100)/(($A$28-$D$23)/100),DCF_Base!$L$19*DCF_Base!$B$29),DCF_Base!$L$19*DCF_Base!$B$29))/(1+$A$28/100)^DCF_Base!$L$4+Assumptions!$B$5-Assumptions!$B$4)/Assumptions!$B$3*Assumptions!$B$10</f>
        <v>6.53194446739819</v>
      </c>
      <c r="E28" s="0" t="n">
        <f aca="false">(SUMPRODUCT(DCF_Base!$C$19:$L$19/(1+$A$28/100)^DCF_Base!$C$4:$L$4)+MAX(0,MIN(IF($A$28&gt;$E$23,DCF_Base!$L$19*(1+$E$23/100)/(($A$28-$E$23)/100),DCF_Base!$L$19*DCF_Base!$B$29),DCF_Base!$L$19*DCF_Base!$B$29))/(1+$A$28/100)^DCF_Base!$L$4+Assumptions!$B$5-Assumptions!$B$4)/Assumptions!$B$3*Assumptions!$B$10</f>
        <v>6.65597880539532</v>
      </c>
      <c r="F28" s="0" t="n">
        <f aca="false">(SUMPRODUCT(DCF_Base!$C$19:$L$19/(1+$A$28/100)^DCF_Base!$C$4:$L$4)+MAX(0,MIN(IF($A$28&gt;$F$23,DCF_Base!$L$19*(1+$F$23/100)/(($A$28-$F$23)/100),DCF_Base!$L$19*DCF_Base!$B$29),DCF_Base!$L$19*DCF_Base!$B$29))/(1+$A$28/100)^DCF_Base!$L$4+Assumptions!$B$5-Assumptions!$B$4)/Assumptions!$B$3*Assumptions!$B$10</f>
        <v>6.79182593748742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2026-10-11T12:34:22Z</dcterms:created>
  <dc:creator>openpyxl</dc:creator>
  <dc:description/>
  <dc:language>en-NZ</dc:language>
  <cp:lastModifiedBy/>
  <dcterms:modified xsi:type="dcterms:W3CDTF">2026-10-11T12:34:22Z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