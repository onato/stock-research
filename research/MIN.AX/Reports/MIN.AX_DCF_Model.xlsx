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<sst xmlns="http://schemas.openxmlformats.org/spreadsheetml/2006/main" count="363" uniqueCount="166">
  <si>
    <t xml:space="preserve">Ticker</t>
  </si>
  <si>
    <t xml:space="preserve">MIN.AX</t>
  </si>
  <si>
    <t xml:space="preserve">Company</t>
  </si>
  <si>
    <t xml:space="preserve">Mineral Resources Limited</t>
  </si>
  <si>
    <t xml:space="preserve">Valuation date</t>
  </si>
  <si>
    <t xml:space="preserve">2026-09-23</t>
  </si>
  <si>
    <t xml:space="preserve">Current price</t>
  </si>
  <si>
    <t xml:space="preserve">Price as of</t>
  </si>
  <si>
    <t xml:space="preserve">2026-09-23T06:15:03Z (regular session, ASX)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</si>
  <si>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</si>
  <si>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</si>
  <si>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</si>
  <si>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</si>
  <si>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</si>
  <si>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</si>
  <si>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</si>
  <si>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</si>
  <si>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</si>
  <si>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</si>
  <si>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</si>
  <si>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</si>
  <si>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2026-09-23T09:13:31Z</t>
  </si>
  <si>
    <t xml:space="preserve">Drivers file</t>
  </si>
  <si>
    <t xml:space="preserve">MIN.AX_Drivers.json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</si>
  <si>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</si>
  <si>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</si>
  <si>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</si>
  <si>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MinRes through the cycle, not at the FY26 peak. Mining Services is a genuinely contracted, growing annuity worth a full multiple; iron ore and lithium are priced at mid-cycle with the FY26 lithium windfall explicitly not extrapolated. The POSCO sale and the Onslow carry loan are balance-sheet events carried in the bridge with their income removed from the flows. MSIP's 49% of the haul road is charged as a leakage on EBIT so the NCI is paid for exactly once. The result is deliberately well below a peak-multiple valuation; the current price sits between the base and bull cases and requires FY26-like commodity prices to persist.
key_risks_to_valuation: Lithium price path: every US$500/t on SC6 is roughly A$300-350m of pre-POSCO EBITDA (about A$1.0-1.2/share of value at the mid-cycle multiple); Iron ore price and Onslow product discount: Onslow is ~58% Fe and sells at a discount to Platts 62% that widens when Chinese mills chase quality; POSCO completion risk (conditions precedent, H1 FY27): if it fails, remove A$1,079m from the bridge and restore 30% of Wodgina/Mt Marion flows; Capex discipline: FY27 ~$1.4bn is guided; the model assumes it tapers to sustaining-plus by Y4. A new large growth project (international expansion, Energy) would push FCF out again; Combined tax/NCI leakage assumed 40% mature; if the haul-road trust NCI share grows faster than group EBIT the leakage is understated; Governance: shareholder class action (Victorian Supreme Court) unquantified; Ellison succession without a fixed date; FX: US$3bn+ of USD bonds against AUD reporting; a weaker AUD lifts net debt in AUD terms but also lifts AUD-realised commodity prices</t>
  </si>
  <si>
    <t xml:space="preserve">Data sources</t>
  </si>
  <si>
    <t xml:space="preserve">price: Yahoo Finance chart API at inputs.price_as_of; 52-week range 38.57-74.94
financials: MIN.AX_Metrics.csv (core_metrics, AUD millions) and MIN.AX_Annual_FY2026.txt: consolidated cash flow statement (p.210), segment note (Underlying EBITDA by segment), note 8 income tax, note 11 Onslow carry loan, note 19 borrowings, diluted EPS note; CFO review for FY27 capex guidance (~$1.4bn) and POSCO proceeds (US$765m)
qualitative: MIN.AX_Analysis.json (2026-09-23): business model, guidance, bull/bear cases, governance developments; AUDUSD 0.7089 from Yahoo AUDUSD=X on 2026-09-23</t>
  </si>
  <si>
    <t xml:space="preserve">Scenario narrative: bear</t>
  </si>
  <si>
    <t xml:space="preserve">A repeat of FY24-25 pricing: lithium back below US$1,000/t and iron ore US$75-80/dmt. Revenue falls ~20% over two years, margin compresses to 28-30%, FY27 capex is committed, and the tax shelter is used slowly. Net debt drifts back above 2x and the dividend is suspended. The class action and Ellison succession add a discount. Terminal capped at 12x FCF.</t>
  </si>
  <si>
    <t xml:space="preserve">Scenario narrative: base</t>
  </si>
  <si>
    <t xml:space="preserve">Mid-cycle reset from a record FY26. Base FY27 revenue ~6,070 (-6%) and Underlying EBITDA ~2,250 as SC6 spodumene settles around US$1,400/t and POSCO takes 30% of the Wodgina/Mt Marion share (proceeds A$1,079m in the bridge), while Onslow lifts to 40Mtpa and Mining Services grows from its 976 record. Group margin settles at 36% -- above the FY22-26 average because the Onslow build is complete and Lamb Creek replaces higher-cost Wonmunna. FY27 capex at the ~$1.4bn guided level, then sustaining-plus ~13.5% of revenue. Cash tax ramps from ~10% (FY25 losses) to 30%, with MSIP's 49% of the haul-road trust charged as a ~10pp leakage on EBIT. The axes are lithium and iron ore price, Onslow volume and unit cost, and whether growth capex keeps clearing the 20% post-tax hurdle.</t>
  </si>
  <si>
    <t xml:space="preserve">Scenario narrative: bull</t>
  </si>
  <si>
    <t xml:space="preserve">All three engines fire together: lithium deficit holds SC6 near US$2,000/t, iron ore stays ~US$100/dmt, Onslow beats 40Mtpa and Mining Services approaches $1.2bn EBITDA. Margins hold ~38%, revenue grows 3-5% despite POSCO, leverage falls below 1x and buybacks/dividends resume at scale. Governance overhang fades with the ASIC close-out and a clean succession.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</si>
  <si>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</si>
  <si>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</si>
  <si>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</si>
  <si>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</si>
  <si>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</si>
  <si>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</si>
  <si>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</si>
  <si>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</si>
  <si>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</si>
  <si>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</si>
  <si>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</si>
  <si>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</si>
  <si>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</si>
  <si>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</si>
  <si>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</si>
  <si>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</si>
  <si>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</si>
  <si>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</si>
  <si>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</si>
  <si>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</si>
  <si>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</si>
  <si>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</si>
  <si>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</si>
  <si>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</si>
  <si>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</si>
  <si>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</si>
  <si>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</si>
  <si>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LeasePrincipalPaid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</si>
  <si>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</si>
  <si>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</si>
  <si>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</si>
  <si>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</si>
  <si>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</si>
  <si>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</si>
  <si>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</si>
  <si>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</si>
  <si>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</si>
  <si>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</si>
  <si>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</si>
  <si>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</si>
  <si>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</si>
  <si>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</si>
  <si>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</si>
  <si>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</si>
  <si>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</si>
  <si>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</si>
  <si>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</si>
  <si>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</si>
  <si>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</si>
  <si>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</si>
  <si>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</si>
  <si>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</si>
  <si>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</si>
  <si>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</si>
  <si>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</si>
  <si>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</si>
  <si>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</si>
  <si>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</si>
  <si>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</si>
  <si>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</si>
  <si>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</si>
  <si>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</si>
  <si>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</si>
  <si>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</si>
  <si>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</si>
  <si>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</si>
  <si>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</si>
  <si>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</si>
  <si>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</si>
  <si>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</si>
  <si>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</si>
  <si>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</si>
  <si>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</si>
  <si>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</si>
  <si>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</si>
  <si>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</si>
  <si>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MIN.AX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</si>
  <si>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</si>
  <si>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</si>
  <si>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</si>
  <si>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</si>
  <si>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</si>
  <si>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</si>
  <si>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</si>
  <si>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</si>
  <si>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</si>
  <si>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</si>
  <si>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</si>
  <si>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</si>
  <si>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</si>
  <si>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</si>
  <si>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</si>
  <si>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</si>
  <si>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</si>
  <si>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</si>
  <si>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</si>
  <si>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</si>
  <si>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</si>
  <si>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</si>
  <si>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</si>
  <si>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</si>
  <si>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</si>
  <si>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</si>
  <si>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</si>
  <si>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</si>
  <si>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</si>
  <si>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</si>
  <si>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MIN.AX owner-FCF component DCF: base case (millions, AUD)</t>
  </si>
  <si>
    <t xml:space="preserve">MIN.AX owner-FCF component DCF: bull case (millions, AUD)</t>
  </si>
  <si>
    <t xml:space="preserve">MIN.AX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</si>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</sst>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54.74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1177.641</v>
      </c>
      <c r="F2" s="0" t="n">
        <v>-39.529</v>
      </c>
      <c r="G2" s="0" t="n">
        <v>-3.4</v>
      </c>
      <c r="H2" s="0" t="n">
        <v>94.439</v>
      </c>
      <c r="I2" s="0" t="n">
        <v>-24.857</v>
      </c>
      <c r="J2" s="0" t="n">
        <v>-2.1</v>
      </c>
      <c r="K2" s="0" t="n">
        <v>-0.1331</v>
      </c>
      <c r="L2" s="0" t="n">
        <v>315.997</v>
      </c>
      <c r="M2" s="0" t="n">
        <v>127.221</v>
      </c>
      <c r="N2" s="0" t="n">
        <v>188.776</v>
      </c>
      <c r="O2" s="0" t="n">
        <v>989.79</v>
      </c>
      <c r="P2" s="0" t="n">
        <v>1618.369</v>
      </c>
      <c r="Q2" s="0" t="n">
        <v>609.715</v>
      </c>
      <c r="R2" s="0" t="n">
        <v>219.428</v>
      </c>
      <c r="S2" s="0" t="n">
        <v>407.293</v>
      </c>
      <c r="T2" s="0" t="n">
        <v>186.75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1457.992</v>
      </c>
      <c r="F3" s="0" t="n">
        <v>300.177</v>
      </c>
      <c r="G3" s="0" t="n">
        <v>20.6</v>
      </c>
      <c r="H3" s="0" t="n">
        <v>460.406</v>
      </c>
      <c r="I3" s="0" t="n">
        <v>201.408</v>
      </c>
      <c r="J3" s="0" t="n">
        <v>13.8</v>
      </c>
      <c r="K3" s="0" t="n">
        <v>1.0766</v>
      </c>
      <c r="L3" s="0" t="n">
        <v>295.529</v>
      </c>
      <c r="M3" s="0" t="n">
        <v>216.379</v>
      </c>
      <c r="N3" s="0" t="n">
        <v>79.15</v>
      </c>
      <c r="O3" s="0" t="n">
        <v>1113.73</v>
      </c>
      <c r="P3" s="0" t="n">
        <v>1834.512</v>
      </c>
      <c r="Q3" s="0" t="n">
        <v>702.42</v>
      </c>
      <c r="R3" s="0" t="n">
        <v>274.661</v>
      </c>
      <c r="S3" s="0" t="n">
        <v>378.169</v>
      </c>
      <c r="T3" s="0" t="n">
        <v>187.08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1624.431</v>
      </c>
      <c r="F4" s="0" t="n">
        <v>400.319</v>
      </c>
      <c r="G4" s="0" t="n">
        <v>24.6</v>
      </c>
      <c r="H4" s="0" t="n">
        <v>513.195</v>
      </c>
      <c r="I4" s="0" t="n">
        <v>272.498</v>
      </c>
      <c r="J4" s="0" t="n">
        <v>16.8</v>
      </c>
      <c r="K4" s="0" t="n">
        <v>1.453</v>
      </c>
      <c r="L4" s="0" t="n">
        <v>411.428</v>
      </c>
      <c r="M4" s="0" t="n">
        <v>342.128</v>
      </c>
      <c r="N4" s="0" t="n">
        <v>69.3</v>
      </c>
      <c r="O4" s="0" t="n">
        <v>1286.756</v>
      </c>
      <c r="P4" s="0" t="n">
        <v>2085.335</v>
      </c>
      <c r="Q4" s="0" t="n">
        <v>780.769</v>
      </c>
      <c r="R4" s="0" t="n">
        <v>239.289</v>
      </c>
      <c r="S4" s="0" t="n">
        <v>240.406</v>
      </c>
      <c r="T4" s="0" t="n">
        <v>187.54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1511.975</v>
      </c>
      <c r="F5" s="0" t="n">
        <v>269.885</v>
      </c>
      <c r="G5" s="0" t="n">
        <v>17.8</v>
      </c>
      <c r="H5" s="0" t="n">
        <v>378.519</v>
      </c>
      <c r="I5" s="0" t="n">
        <v>163.669</v>
      </c>
      <c r="J5" s="0" t="n">
        <v>10.8</v>
      </c>
      <c r="K5" s="0" t="n">
        <v>0.8709</v>
      </c>
      <c r="L5" s="0" t="n">
        <v>186.099</v>
      </c>
      <c r="M5" s="0" t="n">
        <v>810.145</v>
      </c>
      <c r="N5" s="0" t="n">
        <v>-624.046</v>
      </c>
      <c r="O5" s="0" t="n">
        <v>1361.22</v>
      </c>
      <c r="P5" s="0" t="n">
        <v>3161.257</v>
      </c>
      <c r="Q5" s="0" t="n">
        <v>1781.051</v>
      </c>
      <c r="R5" s="0" t="n">
        <v>1136.984</v>
      </c>
      <c r="S5" s="0" t="n">
        <v>265.399</v>
      </c>
      <c r="T5" s="0" t="n">
        <v>187.93</v>
      </c>
      <c r="U5" s="0" t="n">
        <v>20.904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2124.7</v>
      </c>
      <c r="F6" s="0" t="n">
        <v>1526.7</v>
      </c>
      <c r="G6" s="0" t="n">
        <v>71.9</v>
      </c>
      <c r="H6" s="0" t="n">
        <v>1720.3</v>
      </c>
      <c r="I6" s="0" t="n">
        <v>1003.7</v>
      </c>
      <c r="J6" s="0" t="n">
        <v>47.2</v>
      </c>
      <c r="K6" s="0" t="n">
        <v>5.3296</v>
      </c>
      <c r="L6" s="0" t="n">
        <v>594.6</v>
      </c>
      <c r="M6" s="0" t="n">
        <v>390.9</v>
      </c>
      <c r="N6" s="0" t="n">
        <v>203.7</v>
      </c>
      <c r="O6" s="0" t="n">
        <v>2264.8</v>
      </c>
      <c r="P6" s="0" t="n">
        <v>4630.9</v>
      </c>
      <c r="Q6" s="0" t="n">
        <v>2335.3</v>
      </c>
      <c r="R6" s="0" t="n">
        <v>1290.7</v>
      </c>
      <c r="S6" s="0" t="n">
        <v>1521.8</v>
      </c>
      <c r="T6" s="0" t="n">
        <v>188.33</v>
      </c>
      <c r="U6" s="0" t="n">
        <v>6</v>
      </c>
      <c r="AA6" s="0" t="s">
        <v>17</v>
      </c>
      <c r="AB6" s="0" t="s">
        <v>14</v>
      </c>
      <c r="AC6" s="0" t="n">
        <v>64</v>
      </c>
    </row>
    <row r="7" customFormat="false" ht="15" hidden="false" customHeight="false" outlineLevel="0" collapsed="false">
      <c r="A7" s="0" t="s">
        <v>69</v>
      </c>
      <c r="B7" s="0" t="n">
        <v>3733.6</v>
      </c>
      <c r="F7" s="0" t="n">
        <v>1878.5</v>
      </c>
      <c r="G7" s="0" t="n">
        <v>50.3</v>
      </c>
      <c r="H7" s="0" t="n">
        <v>2136.5</v>
      </c>
      <c r="I7" s="0" t="n">
        <v>1269.7</v>
      </c>
      <c r="J7" s="0" t="n">
        <v>34</v>
      </c>
      <c r="K7" s="0" t="n">
        <v>6.7318</v>
      </c>
      <c r="L7" s="0" t="n">
        <v>1309.4</v>
      </c>
      <c r="M7" s="0" t="n">
        <v>759.7</v>
      </c>
      <c r="N7" s="0" t="n">
        <v>549.7</v>
      </c>
      <c r="O7" s="0" t="n">
        <v>3203.5</v>
      </c>
      <c r="P7" s="0" t="n">
        <v>5852.9</v>
      </c>
      <c r="Q7" s="0" t="n">
        <v>2606.8</v>
      </c>
      <c r="R7" s="0" t="n">
        <v>1261.9</v>
      </c>
      <c r="S7" s="0" t="n">
        <v>1542.1</v>
      </c>
      <c r="T7" s="0" t="n">
        <v>188.61</v>
      </c>
      <c r="U7" s="0" t="n">
        <v>10.3</v>
      </c>
      <c r="AA7" s="0" t="s">
        <v>17</v>
      </c>
      <c r="AB7" s="0" t="s">
        <v>14</v>
      </c>
      <c r="AC7" s="0" t="n">
        <v>109.8</v>
      </c>
    </row>
    <row r="8" customFormat="false" ht="15" hidden="false" customHeight="false" outlineLevel="0" collapsed="false">
      <c r="A8" s="0" t="s">
        <v>70</v>
      </c>
      <c r="B8" s="0" t="n">
        <v>3418</v>
      </c>
      <c r="F8" s="0" t="n">
        <v>601.8</v>
      </c>
      <c r="G8" s="0" t="n">
        <v>17.6</v>
      </c>
      <c r="H8" s="0" t="n">
        <v>954</v>
      </c>
      <c r="I8" s="0" t="n">
        <v>349.2</v>
      </c>
      <c r="J8" s="0" t="n">
        <v>10.2</v>
      </c>
      <c r="K8" s="0" t="n">
        <v>1.8487</v>
      </c>
      <c r="L8" s="0" t="n">
        <v>279.8</v>
      </c>
      <c r="M8" s="0" t="n">
        <v>999.9</v>
      </c>
      <c r="N8" s="0" t="n">
        <v>-720.1</v>
      </c>
      <c r="O8" s="0" t="n">
        <v>3226.9</v>
      </c>
      <c r="P8" s="0" t="n">
        <v>7811.1</v>
      </c>
      <c r="Q8" s="0" t="n">
        <v>4540</v>
      </c>
      <c r="R8" s="0" t="n">
        <v>3125.7</v>
      </c>
      <c r="S8" s="0" t="n">
        <v>2428.2</v>
      </c>
      <c r="T8" s="0" t="n">
        <v>188.89</v>
      </c>
      <c r="U8" s="0" t="n">
        <v>12.3</v>
      </c>
      <c r="AA8" s="0" t="s">
        <v>17</v>
      </c>
      <c r="AB8" s="0" t="s">
        <v>14</v>
      </c>
      <c r="AC8" s="0" t="n">
        <v>150</v>
      </c>
    </row>
    <row r="9" customFormat="false" ht="15" hidden="false" customHeight="false" outlineLevel="0" collapsed="false">
      <c r="A9" s="0" t="s">
        <v>71</v>
      </c>
      <c r="B9" s="0" t="n">
        <v>4779.1</v>
      </c>
      <c r="F9" s="0" t="n">
        <v>554.4</v>
      </c>
      <c r="G9" s="0" t="n">
        <v>11.6</v>
      </c>
      <c r="H9" s="0" t="n">
        <v>1004.8</v>
      </c>
      <c r="I9" s="0" t="n">
        <v>243.3</v>
      </c>
      <c r="J9" s="0" t="n">
        <v>5.1</v>
      </c>
      <c r="K9" s="0" t="n">
        <v>1.2625</v>
      </c>
      <c r="L9" s="0" t="n">
        <v>1353.7</v>
      </c>
      <c r="M9" s="0" t="n">
        <v>1820.9</v>
      </c>
      <c r="N9" s="0" t="n">
        <v>-467.2</v>
      </c>
      <c r="O9" s="0" t="n">
        <v>3475.1</v>
      </c>
      <c r="P9" s="0" t="n">
        <v>8395.2</v>
      </c>
      <c r="Q9" s="0" t="n">
        <v>4873.4</v>
      </c>
      <c r="R9" s="0" t="n">
        <v>3234.1</v>
      </c>
      <c r="S9" s="0" t="n">
        <v>1379.1</v>
      </c>
      <c r="T9" s="0" t="n">
        <v>192.71</v>
      </c>
      <c r="U9" s="0" t="n">
        <v>33</v>
      </c>
      <c r="AA9" s="0" t="s">
        <v>17</v>
      </c>
      <c r="AB9" s="0" t="s">
        <v>14</v>
      </c>
      <c r="AC9" s="0" t="n">
        <v>110.5</v>
      </c>
    </row>
    <row r="10" customFormat="false" ht="15" hidden="false" customHeight="false" outlineLevel="0" collapsed="false">
      <c r="A10" s="0" t="s">
        <v>72</v>
      </c>
      <c r="B10" s="0" t="n">
        <v>5278</v>
      </c>
      <c r="F10" s="0" t="n">
        <v>309</v>
      </c>
      <c r="G10" s="0" t="n">
        <v>5.9</v>
      </c>
      <c r="H10" s="0" t="n">
        <v>937</v>
      </c>
      <c r="I10" s="0" t="n">
        <v>125</v>
      </c>
      <c r="J10" s="0" t="n">
        <v>2.4</v>
      </c>
      <c r="K10" s="0" t="n">
        <v>0.6354</v>
      </c>
      <c r="L10" s="0" t="n">
        <v>1449</v>
      </c>
      <c r="M10" s="0" t="n">
        <v>4135</v>
      </c>
      <c r="N10" s="0" t="n">
        <v>-2686</v>
      </c>
      <c r="O10" s="0" t="n">
        <v>3545</v>
      </c>
      <c r="P10" s="0" t="n">
        <v>12232</v>
      </c>
      <c r="Q10" s="0" t="n">
        <v>8648</v>
      </c>
      <c r="R10" s="0" t="n">
        <v>5336</v>
      </c>
      <c r="S10" s="0" t="n">
        <v>908</v>
      </c>
      <c r="T10" s="0" t="n">
        <v>196.73</v>
      </c>
      <c r="U10" s="0" t="n">
        <v>32</v>
      </c>
      <c r="AA10" s="0" t="s">
        <v>17</v>
      </c>
      <c r="AB10" s="0" t="s">
        <v>14</v>
      </c>
      <c r="AC10" s="0" t="n">
        <v>78</v>
      </c>
    </row>
    <row r="11" customFormat="false" ht="15" hidden="false" customHeight="false" outlineLevel="0" collapsed="false">
      <c r="A11" s="0" t="s">
        <v>73</v>
      </c>
      <c r="B11" s="0" t="n">
        <v>4472</v>
      </c>
      <c r="F11" s="0" t="n">
        <v>-804</v>
      </c>
      <c r="G11" s="0" t="n">
        <v>-18</v>
      </c>
      <c r="H11" s="0" t="n">
        <v>-46</v>
      </c>
      <c r="I11" s="0" t="n">
        <v>-904</v>
      </c>
      <c r="J11" s="0" t="n">
        <v>-20.2</v>
      </c>
      <c r="K11" s="0" t="n">
        <v>-4.5881</v>
      </c>
      <c r="L11" s="0" t="n">
        <v>-475</v>
      </c>
      <c r="M11" s="0" t="n">
        <v>2156</v>
      </c>
      <c r="N11" s="0" t="n">
        <v>-2631</v>
      </c>
      <c r="O11" s="0" t="n">
        <v>3226</v>
      </c>
      <c r="P11" s="0" t="n">
        <v>11927</v>
      </c>
      <c r="Q11" s="0" t="n">
        <v>8268</v>
      </c>
      <c r="R11" s="0" t="n">
        <v>5762</v>
      </c>
      <c r="S11" s="0" t="n">
        <v>412</v>
      </c>
      <c r="T11" s="0" t="n">
        <v>197.03</v>
      </c>
      <c r="U11" s="0" t="n">
        <v>22</v>
      </c>
      <c r="W11" s="0" t="n">
        <v>901</v>
      </c>
      <c r="AA11" s="0" t="s">
        <v>17</v>
      </c>
      <c r="AB11" s="0" t="s">
        <v>14</v>
      </c>
      <c r="AC11" s="0" t="n">
        <v>184</v>
      </c>
    </row>
    <row r="12" customFormat="false" ht="15" hidden="false" customHeight="false" outlineLevel="0" collapsed="false">
      <c r="A12" s="0" t="s">
        <v>74</v>
      </c>
      <c r="B12" s="0" t="n">
        <v>6461</v>
      </c>
      <c r="F12" s="0" t="n">
        <v>2075</v>
      </c>
      <c r="G12" s="0" t="n">
        <v>32.1</v>
      </c>
      <c r="H12" s="0" t="n">
        <v>3003</v>
      </c>
      <c r="I12" s="0" t="n">
        <v>1061</v>
      </c>
      <c r="J12" s="0" t="n">
        <v>16.4</v>
      </c>
      <c r="K12" s="0" t="n">
        <v>5.338</v>
      </c>
      <c r="L12" s="0" t="n">
        <v>2084</v>
      </c>
      <c r="M12" s="0" t="n">
        <v>1222</v>
      </c>
      <c r="N12" s="0" t="n">
        <v>862</v>
      </c>
      <c r="O12" s="0" t="n">
        <v>4341</v>
      </c>
      <c r="P12" s="0" t="n">
        <v>12885</v>
      </c>
      <c r="Q12" s="0" t="n">
        <v>8071</v>
      </c>
      <c r="R12" s="0" t="n">
        <v>5829</v>
      </c>
      <c r="S12" s="0" t="n">
        <v>1562</v>
      </c>
      <c r="T12" s="0" t="n">
        <v>198.76</v>
      </c>
      <c r="U12" s="0" t="n">
        <v>77</v>
      </c>
      <c r="W12" s="0" t="n">
        <v>2551</v>
      </c>
      <c r="AA12" s="0" t="s">
        <v>17</v>
      </c>
      <c r="AB12" s="0" t="s">
        <v>14</v>
      </c>
      <c r="AC12" s="0" t="n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54.74</v>
      </c>
    </row>
    <row r="3" customFormat="false" ht="15" hidden="false" customHeight="false" outlineLevel="0" collapsed="false">
      <c r="A3" s="0" t="s">
        <v>78</v>
      </c>
      <c r="B3" s="3" t="n">
        <v>198.8</v>
      </c>
    </row>
    <row r="4" customFormat="false" ht="15" hidden="false" customHeight="false" outlineLevel="0" collapsed="false">
      <c r="A4" s="0" t="s">
        <v>79</v>
      </c>
      <c r="B4" s="3" t="n">
        <v>4267</v>
      </c>
    </row>
    <row r="5" customFormat="false" ht="15" hidden="false" customHeight="false" outlineLevel="0" collapsed="false">
      <c r="A5" s="0" t="s">
        <v>80</v>
      </c>
      <c r="B5" s="3" t="n">
        <v>1414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6461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-16</v>
      </c>
      <c r="D13" s="3" t="n">
        <v>-4</v>
      </c>
      <c r="E13" s="3" t="n">
        <v>2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30</v>
      </c>
      <c r="D14" s="3" t="n">
        <v>28</v>
      </c>
      <c r="E14" s="3" t="n">
        <v>29</v>
      </c>
      <c r="F14" s="3" t="n">
        <v>30</v>
      </c>
      <c r="G14" s="3" t="n">
        <v>30</v>
      </c>
      <c r="H14" s="3" t="n">
        <v>30</v>
      </c>
      <c r="I14" s="3" t="n">
        <v>30</v>
      </c>
      <c r="J14" s="3" t="n">
        <v>30</v>
      </c>
      <c r="K14" s="3" t="n">
        <v>30</v>
      </c>
      <c r="L14" s="3" t="n">
        <v>30</v>
      </c>
    </row>
    <row r="15" customFormat="false" ht="15" hidden="false" customHeight="false" outlineLevel="0" collapsed="false">
      <c r="A15" s="0" t="s">
        <v>100</v>
      </c>
      <c r="C15" s="3" t="n">
        <v>1.2</v>
      </c>
      <c r="D15" s="3" t="n">
        <v>1.2</v>
      </c>
      <c r="E15" s="3" t="n">
        <v>1.1</v>
      </c>
      <c r="F15" s="3" t="n">
        <v>1.1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101</v>
      </c>
      <c r="C16" s="3" t="n">
        <v>3.2</v>
      </c>
      <c r="D16" s="3" t="n">
        <v>3.2</v>
      </c>
      <c r="E16" s="3" t="n">
        <v>3.2</v>
      </c>
      <c r="F16" s="3" t="n">
        <v>3.2</v>
      </c>
      <c r="G16" s="3" t="n">
        <v>3.2</v>
      </c>
      <c r="H16" s="3" t="n">
        <v>3.2</v>
      </c>
      <c r="I16" s="3" t="n">
        <v>3.2</v>
      </c>
      <c r="J16" s="3" t="n">
        <v>3.2</v>
      </c>
      <c r="K16" s="3" t="n">
        <v>3.2</v>
      </c>
      <c r="L16" s="3" t="n">
        <v>3.2</v>
      </c>
    </row>
    <row r="17" customFormat="false" ht="15" hidden="false" customHeight="false" outlineLevel="0" collapsed="false">
      <c r="A17" s="0" t="s">
        <v>102</v>
      </c>
      <c r="C17" s="3" t="n">
        <v>15</v>
      </c>
      <c r="D17" s="3" t="n">
        <v>15</v>
      </c>
      <c r="E17" s="3" t="n">
        <v>15</v>
      </c>
      <c r="F17" s="3" t="n">
        <v>15</v>
      </c>
      <c r="G17" s="3" t="n">
        <v>15</v>
      </c>
      <c r="H17" s="3" t="n">
        <v>15</v>
      </c>
      <c r="I17" s="3" t="n">
        <v>15</v>
      </c>
      <c r="J17" s="3" t="n">
        <v>15</v>
      </c>
      <c r="K17" s="3" t="n">
        <v>15</v>
      </c>
      <c r="L17" s="3" t="n">
        <v>15</v>
      </c>
    </row>
    <row r="18" customFormat="false" ht="15" hidden="false" customHeight="false" outlineLevel="0" collapsed="false">
      <c r="A18" s="0" t="s">
        <v>103</v>
      </c>
      <c r="C18" s="3" t="n">
        <v>25</v>
      </c>
      <c r="D18" s="3" t="n">
        <v>19</v>
      </c>
      <c r="E18" s="3" t="n">
        <v>16</v>
      </c>
      <c r="F18" s="3" t="n">
        <v>15</v>
      </c>
      <c r="G18" s="3" t="n">
        <v>14.5</v>
      </c>
      <c r="H18" s="3" t="n">
        <v>14.5</v>
      </c>
      <c r="I18" s="3" t="n">
        <v>14.5</v>
      </c>
      <c r="J18" s="3" t="n">
        <v>14.5</v>
      </c>
      <c r="K18" s="3" t="n">
        <v>14.5</v>
      </c>
      <c r="L18" s="3" t="n">
        <v>14.5</v>
      </c>
    </row>
    <row r="19" customFormat="false" ht="15" hidden="false" customHeight="false" outlineLevel="0" collapsed="false">
      <c r="A19" s="0" t="s">
        <v>104</v>
      </c>
      <c r="C19" s="3" t="n">
        <v>15</v>
      </c>
      <c r="D19" s="3" t="n">
        <v>30</v>
      </c>
      <c r="E19" s="3" t="n">
        <v>38</v>
      </c>
      <c r="F19" s="3" t="n">
        <v>40</v>
      </c>
      <c r="G19" s="3" t="n">
        <v>40</v>
      </c>
      <c r="H19" s="3" t="n">
        <v>40</v>
      </c>
      <c r="I19" s="3" t="n">
        <v>40</v>
      </c>
      <c r="J19" s="3" t="n">
        <v>40</v>
      </c>
      <c r="K19" s="3" t="n">
        <v>40</v>
      </c>
      <c r="L19" s="3" t="n">
        <v>40</v>
      </c>
    </row>
    <row r="20" customFormat="false" ht="15" hidden="false" customHeight="false" outlineLevel="0" collapsed="false">
      <c r="A20" s="0" t="s">
        <v>105</v>
      </c>
      <c r="B20" s="3" t="n">
        <v>10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-8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-6</v>
      </c>
      <c r="D27" s="3" t="n">
        <v>2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37</v>
      </c>
      <c r="D28" s="3" t="n">
        <v>36.5</v>
      </c>
      <c r="E28" s="3" t="n">
        <v>36</v>
      </c>
      <c r="F28" s="3" t="n">
        <v>36</v>
      </c>
      <c r="G28" s="3" t="n">
        <v>36</v>
      </c>
      <c r="H28" s="3" t="n">
        <v>36</v>
      </c>
      <c r="I28" s="3" t="n">
        <v>36</v>
      </c>
      <c r="J28" s="3" t="n">
        <v>36</v>
      </c>
      <c r="K28" s="3" t="n">
        <v>36</v>
      </c>
      <c r="L28" s="3" t="n">
        <v>36</v>
      </c>
    </row>
    <row r="29" customFormat="false" ht="15" hidden="false" customHeight="false" outlineLevel="0" collapsed="false">
      <c r="A29" s="0" t="s">
        <v>100</v>
      </c>
      <c r="C29" s="3" t="n">
        <v>1.1</v>
      </c>
      <c r="D29" s="3" t="n">
        <v>1.1</v>
      </c>
      <c r="E29" s="3" t="n">
        <v>1</v>
      </c>
      <c r="F29" s="3" t="n">
        <v>1</v>
      </c>
      <c r="G29" s="3" t="n">
        <v>1</v>
      </c>
      <c r="H29" s="3" t="n">
        <v>1</v>
      </c>
      <c r="I29" s="3" t="n">
        <v>0.9</v>
      </c>
      <c r="J29" s="3" t="n">
        <v>0.9</v>
      </c>
      <c r="K29" s="3" t="n">
        <v>0.9</v>
      </c>
      <c r="L29" s="3" t="n">
        <v>0.9</v>
      </c>
    </row>
    <row r="30" customFormat="false" ht="15" hidden="false" customHeight="false" outlineLevel="0" collapsed="false">
      <c r="A30" s="0" t="s">
        <v>101</v>
      </c>
      <c r="C30" s="3" t="n">
        <v>3</v>
      </c>
      <c r="D30" s="3" t="n">
        <v>3</v>
      </c>
      <c r="E30" s="3" t="n">
        <v>3</v>
      </c>
      <c r="F30" s="3" t="n">
        <v>3</v>
      </c>
      <c r="G30" s="3" t="n">
        <v>3</v>
      </c>
      <c r="H30" s="3" t="n">
        <v>3</v>
      </c>
      <c r="I30" s="3" t="n">
        <v>3</v>
      </c>
      <c r="J30" s="3" t="n">
        <v>3</v>
      </c>
      <c r="K30" s="3" t="n">
        <v>3</v>
      </c>
      <c r="L30" s="3" t="n">
        <v>3</v>
      </c>
    </row>
    <row r="31" customFormat="false" ht="15" hidden="false" customHeight="false" outlineLevel="0" collapsed="false">
      <c r="A31" s="0" t="s">
        <v>102</v>
      </c>
      <c r="C31" s="3" t="n">
        <v>14</v>
      </c>
      <c r="D31" s="3" t="n">
        <v>14</v>
      </c>
      <c r="E31" s="3" t="n">
        <v>14</v>
      </c>
      <c r="F31" s="3" t="n">
        <v>14</v>
      </c>
      <c r="G31" s="3" t="n">
        <v>14</v>
      </c>
      <c r="H31" s="3" t="n">
        <v>14</v>
      </c>
      <c r="I31" s="3" t="n">
        <v>14</v>
      </c>
      <c r="J31" s="3" t="n">
        <v>14</v>
      </c>
      <c r="K31" s="3" t="n">
        <v>14</v>
      </c>
      <c r="L31" s="3" t="n">
        <v>14</v>
      </c>
    </row>
    <row r="32" customFormat="false" ht="15" hidden="false" customHeight="false" outlineLevel="0" collapsed="false">
      <c r="A32" s="0" t="s">
        <v>103</v>
      </c>
      <c r="C32" s="3" t="n">
        <v>23</v>
      </c>
      <c r="D32" s="3" t="n">
        <v>18</v>
      </c>
      <c r="E32" s="3" t="n">
        <v>15.5</v>
      </c>
      <c r="F32" s="3" t="n">
        <v>14</v>
      </c>
      <c r="G32" s="3" t="n">
        <v>13.5</v>
      </c>
      <c r="H32" s="3" t="n">
        <v>13.5</v>
      </c>
      <c r="I32" s="3" t="n">
        <v>13.5</v>
      </c>
      <c r="J32" s="3" t="n">
        <v>13.5</v>
      </c>
      <c r="K32" s="3" t="n">
        <v>13.5</v>
      </c>
      <c r="L32" s="3" t="n">
        <v>13.5</v>
      </c>
    </row>
    <row r="33" customFormat="false" ht="15" hidden="false" customHeight="false" outlineLevel="0" collapsed="false">
      <c r="A33" s="0" t="s">
        <v>104</v>
      </c>
      <c r="C33" s="3" t="n">
        <v>20</v>
      </c>
      <c r="D33" s="3" t="n">
        <v>35</v>
      </c>
      <c r="E33" s="3" t="n">
        <v>40</v>
      </c>
      <c r="F33" s="3" t="n">
        <v>40</v>
      </c>
      <c r="G33" s="3" t="n">
        <v>40</v>
      </c>
      <c r="H33" s="3" t="n">
        <v>40</v>
      </c>
      <c r="I33" s="3" t="n">
        <v>40</v>
      </c>
      <c r="J33" s="3" t="n">
        <v>40</v>
      </c>
      <c r="K33" s="3" t="n">
        <v>40</v>
      </c>
      <c r="L33" s="3" t="n">
        <v>40</v>
      </c>
    </row>
    <row r="34" customFormat="false" ht="15" hidden="false" customHeight="false" outlineLevel="0" collapsed="false">
      <c r="A34" s="0" t="s">
        <v>105</v>
      </c>
      <c r="B34" s="3" t="n">
        <v>10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14</v>
      </c>
    </row>
    <row r="37" customFormat="false" ht="15" hidden="false" customHeight="false" outlineLevel="0" collapsed="false">
      <c r="A37" s="0" t="s">
        <v>108</v>
      </c>
      <c r="B37" s="3" t="n">
        <v>-8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3</v>
      </c>
      <c r="D41" s="3" t="n">
        <v>5</v>
      </c>
      <c r="E41" s="3" t="n">
        <v>5</v>
      </c>
      <c r="F41" s="3" t="n">
        <v>5</v>
      </c>
      <c r="G41" s="3" t="n">
        <v>4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40</v>
      </c>
      <c r="D42" s="3" t="n">
        <v>39</v>
      </c>
      <c r="E42" s="3" t="n">
        <v>38.5</v>
      </c>
      <c r="F42" s="3" t="n">
        <v>38</v>
      </c>
      <c r="G42" s="3" t="n">
        <v>38</v>
      </c>
      <c r="H42" s="3" t="n">
        <v>38</v>
      </c>
      <c r="I42" s="3" t="n">
        <v>38</v>
      </c>
      <c r="J42" s="3" t="n">
        <v>38</v>
      </c>
      <c r="K42" s="3" t="n">
        <v>38</v>
      </c>
      <c r="L42" s="3" t="n">
        <v>38</v>
      </c>
    </row>
    <row r="43" customFormat="false" ht="15" hidden="false" customHeight="false" outlineLevel="0" collapsed="false">
      <c r="A43" s="0" t="s">
        <v>100</v>
      </c>
      <c r="C43" s="3" t="n">
        <v>1.1</v>
      </c>
      <c r="D43" s="3" t="n">
        <v>1.1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0.9</v>
      </c>
      <c r="J43" s="3" t="n">
        <v>0.9</v>
      </c>
      <c r="K43" s="3" t="n">
        <v>0.9</v>
      </c>
      <c r="L43" s="3" t="n">
        <v>0.9</v>
      </c>
    </row>
    <row r="44" customFormat="false" ht="15" hidden="false" customHeight="false" outlineLevel="0" collapsed="false">
      <c r="A44" s="0" t="s">
        <v>101</v>
      </c>
      <c r="C44" s="3" t="n">
        <v>3</v>
      </c>
      <c r="D44" s="3" t="n">
        <v>3</v>
      </c>
      <c r="E44" s="3" t="n">
        <v>3</v>
      </c>
      <c r="F44" s="3" t="n">
        <v>3</v>
      </c>
      <c r="G44" s="3" t="n">
        <v>3</v>
      </c>
      <c r="H44" s="3" t="n">
        <v>3</v>
      </c>
      <c r="I44" s="3" t="n">
        <v>3</v>
      </c>
      <c r="J44" s="3" t="n">
        <v>3</v>
      </c>
      <c r="K44" s="3" t="n">
        <v>3</v>
      </c>
      <c r="L44" s="3" t="n">
        <v>3</v>
      </c>
    </row>
    <row r="45" customFormat="false" ht="15" hidden="false" customHeight="false" outlineLevel="0" collapsed="false">
      <c r="A45" s="0" t="s">
        <v>102</v>
      </c>
      <c r="C45" s="3" t="n">
        <v>14</v>
      </c>
      <c r="D45" s="3" t="n">
        <v>14</v>
      </c>
      <c r="E45" s="3" t="n">
        <v>14</v>
      </c>
      <c r="F45" s="3" t="n">
        <v>14</v>
      </c>
      <c r="G45" s="3" t="n">
        <v>14</v>
      </c>
      <c r="H45" s="3" t="n">
        <v>14</v>
      </c>
      <c r="I45" s="3" t="n">
        <v>14</v>
      </c>
      <c r="J45" s="3" t="n">
        <v>14</v>
      </c>
      <c r="K45" s="3" t="n">
        <v>14</v>
      </c>
      <c r="L45" s="3" t="n">
        <v>14</v>
      </c>
    </row>
    <row r="46" customFormat="false" ht="15" hidden="false" customHeight="false" outlineLevel="0" collapsed="false">
      <c r="A46" s="0" t="s">
        <v>103</v>
      </c>
      <c r="C46" s="3" t="n">
        <v>22</v>
      </c>
      <c r="D46" s="3" t="n">
        <v>17.5</v>
      </c>
      <c r="E46" s="3" t="n">
        <v>15</v>
      </c>
      <c r="F46" s="3" t="n">
        <v>14</v>
      </c>
      <c r="G46" s="3" t="n">
        <v>13.5</v>
      </c>
      <c r="H46" s="3" t="n">
        <v>13.5</v>
      </c>
      <c r="I46" s="3" t="n">
        <v>13.5</v>
      </c>
      <c r="J46" s="3" t="n">
        <v>13.5</v>
      </c>
      <c r="K46" s="3" t="n">
        <v>13.5</v>
      </c>
      <c r="L46" s="3" t="n">
        <v>13.5</v>
      </c>
    </row>
    <row r="47" customFormat="false" ht="15" hidden="false" customHeight="false" outlineLevel="0" collapsed="false">
      <c r="A47" s="0" t="s">
        <v>104</v>
      </c>
      <c r="C47" s="3" t="n">
        <v>22</v>
      </c>
      <c r="D47" s="3" t="n">
        <v>37</v>
      </c>
      <c r="E47" s="3" t="n">
        <v>40</v>
      </c>
      <c r="F47" s="3" t="n">
        <v>40</v>
      </c>
      <c r="G47" s="3" t="n">
        <v>40</v>
      </c>
      <c r="H47" s="3" t="n">
        <v>40</v>
      </c>
      <c r="I47" s="3" t="n">
        <v>40</v>
      </c>
      <c r="J47" s="3" t="n">
        <v>40</v>
      </c>
      <c r="K47" s="3" t="n">
        <v>40</v>
      </c>
      <c r="L47" s="3" t="n">
        <v>40</v>
      </c>
    </row>
    <row r="48" customFormat="false" ht="15" hidden="false" customHeight="false" outlineLevel="0" collapsed="false">
      <c r="A48" s="0" t="s">
        <v>105</v>
      </c>
      <c r="B48" s="3" t="n">
        <v>10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14</v>
      </c>
    </row>
    <row r="51" customFormat="false" ht="15" hidden="false" customHeight="false" outlineLevel="0" collapsed="false">
      <c r="A51" s="0" t="s">
        <v>108</v>
      </c>
      <c r="B51" s="3" t="n">
        <v>-8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-16</v>
      </c>
      <c r="D5" s="4" t="n">
        <f aca="false">Assumptions!D13</f>
        <v>-4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6461</v>
      </c>
      <c r="C6" s="0" t="n">
        <f aca="false">B6*(1+C5/100)</f>
        <v>5427.24</v>
      </c>
      <c r="D6" s="0" t="n">
        <f aca="false">C6*(1+D5/100)</f>
        <v>5210.1504</v>
      </c>
      <c r="E6" s="0" t="n">
        <f aca="false">D6*(1+E5/100)</f>
        <v>5314.353408</v>
      </c>
      <c r="F6" s="0" t="n">
        <f aca="false">E6*(1+F5/100)</f>
        <v>5420.64047616</v>
      </c>
      <c r="G6" s="0" t="n">
        <f aca="false">F6*(1+G5/100)</f>
        <v>5556.156488064</v>
      </c>
      <c r="H6" s="0" t="n">
        <f aca="false">G6*(1+H5/100)</f>
        <v>5695.0604002656</v>
      </c>
      <c r="I6" s="0" t="n">
        <f aca="false">H6*(1+I5/100)</f>
        <v>5837.43691027224</v>
      </c>
      <c r="J6" s="0" t="n">
        <f aca="false">I6*(1+J5/100)</f>
        <v>5954.18564847768</v>
      </c>
      <c r="K6" s="0" t="n">
        <f aca="false">J6*(1+K5/100)</f>
        <v>6073.26936144724</v>
      </c>
      <c r="L6" s="0" t="n">
        <f aca="false">K6*(1+L5/100)</f>
        <v>6194.73474867618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30</v>
      </c>
      <c r="D7" s="4" t="n">
        <f aca="false">Assumptions!D14</f>
        <v>28</v>
      </c>
      <c r="E7" s="4" t="n">
        <f aca="false">Assumptions!E14</f>
        <v>29</v>
      </c>
      <c r="F7" s="4" t="n">
        <f aca="false">Assumptions!F14</f>
        <v>30</v>
      </c>
      <c r="G7" s="4" t="n">
        <f aca="false">Assumptions!G14</f>
        <v>30</v>
      </c>
      <c r="H7" s="4" t="n">
        <f aca="false">Assumptions!H14</f>
        <v>30</v>
      </c>
      <c r="I7" s="4" t="n">
        <f aca="false">Assumptions!I14</f>
        <v>30</v>
      </c>
      <c r="J7" s="4" t="n">
        <f aca="false">Assumptions!J14</f>
        <v>30</v>
      </c>
      <c r="K7" s="4" t="n">
        <f aca="false">Assumptions!K14</f>
        <v>30</v>
      </c>
      <c r="L7" s="4" t="n">
        <f aca="false">Assumptions!L14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1628.172</v>
      </c>
      <c r="D8" s="0" t="n">
        <f aca="false">D6*D7/100</f>
        <v>1458.842112</v>
      </c>
      <c r="E8" s="0" t="n">
        <f aca="false">E6*E7/100</f>
        <v>1541.16248832</v>
      </c>
      <c r="F8" s="0" t="n">
        <f aca="false">F6*F7/100</f>
        <v>1626.192142848</v>
      </c>
      <c r="G8" s="0" t="n">
        <f aca="false">G6*G7/100</f>
        <v>1666.8469464192</v>
      </c>
      <c r="H8" s="0" t="n">
        <f aca="false">H6*H7/100</f>
        <v>1708.51812007968</v>
      </c>
      <c r="I8" s="0" t="n">
        <f aca="false">I6*I7/100</f>
        <v>1751.23107308167</v>
      </c>
      <c r="J8" s="0" t="n">
        <f aca="false">J6*J7/100</f>
        <v>1786.2556945433</v>
      </c>
      <c r="K8" s="0" t="n">
        <f aca="false">K6*K7/100</f>
        <v>1821.98080843417</v>
      </c>
      <c r="L8" s="0" t="n">
        <f aca="false">L6*L7/100</f>
        <v>1858.42042460285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1.2</v>
      </c>
      <c r="D9" s="4" t="n">
        <f aca="false">Assumptions!D15</f>
        <v>1.2</v>
      </c>
      <c r="E9" s="4" t="n">
        <f aca="false">Assumptions!E15</f>
        <v>1.1</v>
      </c>
      <c r="F9" s="4" t="n">
        <f aca="false">Assumptions!F15</f>
        <v>1.1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-65.12688</v>
      </c>
      <c r="D10" s="0" t="n">
        <f aca="false">-D6*D9/100</f>
        <v>-62.5218048</v>
      </c>
      <c r="E10" s="0" t="n">
        <f aca="false">-E6*E9/100</f>
        <v>-58.457887488</v>
      </c>
      <c r="F10" s="0" t="n">
        <f aca="false">-F6*F9/100</f>
        <v>-59.62704523776</v>
      </c>
      <c r="G10" s="0" t="n">
        <f aca="false">-G6*G9/100</f>
        <v>-55.56156488064</v>
      </c>
      <c r="H10" s="0" t="n">
        <f aca="false">-H6*H9/100</f>
        <v>-56.950604002656</v>
      </c>
      <c r="I10" s="0" t="n">
        <f aca="false">-I6*I9/100</f>
        <v>-58.3743691027224</v>
      </c>
      <c r="J10" s="0" t="n">
        <f aca="false">-J6*J9/100</f>
        <v>-59.5418564847768</v>
      </c>
      <c r="K10" s="0" t="n">
        <f aca="false">-K6*K9/100</f>
        <v>-60.7326936144724</v>
      </c>
      <c r="L10" s="0" t="n">
        <f aca="false">-L6*L9/100</f>
        <v>-61.9473474867618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1389.37344</v>
      </c>
      <c r="D11" s="0" t="n">
        <f aca="false">D8+D10+D24</f>
        <v>1229.5954944</v>
      </c>
      <c r="E11" s="0" t="n">
        <f aca="false">E8+E10+E24</f>
        <v>1312.645291776</v>
      </c>
      <c r="F11" s="0" t="n">
        <f aca="false">F8+F10+F24</f>
        <v>1393.10460237312</v>
      </c>
      <c r="G11" s="0" t="n">
        <f aca="false">G8+G10+G24</f>
        <v>1433.48837392051</v>
      </c>
      <c r="H11" s="0" t="n">
        <f aca="false">H8+H10+H24</f>
        <v>1469.32558326852</v>
      </c>
      <c r="I11" s="0" t="n">
        <f aca="false">I8+I10+I24</f>
        <v>1506.05872285024</v>
      </c>
      <c r="J11" s="0" t="n">
        <f aca="false">J8+J10+J24</f>
        <v>1536.17989730724</v>
      </c>
      <c r="K11" s="0" t="n">
        <f aca="false">K8+K10+K24</f>
        <v>1566.90349525339</v>
      </c>
      <c r="L11" s="0" t="n">
        <f aca="false">L8+L10+L24</f>
        <v>1598.24156515845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-814.086</v>
      </c>
      <c r="D12" s="4" t="n">
        <f aca="false">-D6*Assumptions!D17/100</f>
        <v>-781.52256</v>
      </c>
      <c r="E12" s="4" t="n">
        <f aca="false">-E6*Assumptions!E17/100</f>
        <v>-797.1530112</v>
      </c>
      <c r="F12" s="4" t="n">
        <f aca="false">-F6*Assumptions!F17/100</f>
        <v>-813.096071424</v>
      </c>
      <c r="G12" s="4" t="n">
        <f aca="false">-G6*Assumptions!G17/100</f>
        <v>-833.4234732096</v>
      </c>
      <c r="H12" s="4" t="n">
        <f aca="false">-H6*Assumptions!H17/100</f>
        <v>-854.25906003984</v>
      </c>
      <c r="I12" s="4" t="n">
        <f aca="false">-I6*Assumptions!I17/100</f>
        <v>-875.615536540836</v>
      </c>
      <c r="J12" s="4" t="n">
        <f aca="false">-J6*Assumptions!J17/100</f>
        <v>-893.127847271652</v>
      </c>
      <c r="K12" s="4" t="n">
        <f aca="false">-K6*Assumptions!K17/100</f>
        <v>-910.990404217086</v>
      </c>
      <c r="L12" s="4" t="n">
        <f aca="false">-L6*Assumptions!L17/100</f>
        <v>-929.210212301427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575.28744</v>
      </c>
      <c r="D13" s="0" t="n">
        <f aca="false">D11+D12</f>
        <v>448.0729344</v>
      </c>
      <c r="E13" s="0" t="n">
        <f aca="false">E11+E12</f>
        <v>515.492280576</v>
      </c>
      <c r="F13" s="0" t="n">
        <f aca="false">F11+F12</f>
        <v>580.00853094912</v>
      </c>
      <c r="G13" s="0" t="n">
        <f aca="false">G11+G12</f>
        <v>600.064900710912</v>
      </c>
      <c r="H13" s="0" t="n">
        <f aca="false">H11+H12</f>
        <v>615.066523228685</v>
      </c>
      <c r="I13" s="0" t="n">
        <f aca="false">I11+I12</f>
        <v>630.443186309402</v>
      </c>
      <c r="J13" s="0" t="n">
        <f aca="false">J11+J12</f>
        <v>643.05205003559</v>
      </c>
      <c r="K13" s="0" t="n">
        <f aca="false">K11+K12</f>
        <v>655.913091036302</v>
      </c>
      <c r="L13" s="0" t="n">
        <f aca="false">L11+L12</f>
        <v>669.031352857027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15</v>
      </c>
      <c r="D14" s="4" t="n">
        <f aca="false">Assumptions!D19</f>
        <v>30</v>
      </c>
      <c r="E14" s="4" t="n">
        <f aca="false">Assumptions!E19</f>
        <v>38</v>
      </c>
      <c r="F14" s="4" t="n">
        <f aca="false">Assumptions!F19</f>
        <v>40</v>
      </c>
      <c r="G14" s="4" t="n">
        <f aca="false">Assumptions!G19</f>
        <v>40</v>
      </c>
      <c r="H14" s="4" t="n">
        <f aca="false">Assumptions!H19</f>
        <v>40</v>
      </c>
      <c r="I14" s="4" t="n">
        <f aca="false">Assumptions!I19</f>
        <v>40</v>
      </c>
      <c r="J14" s="4" t="n">
        <f aca="false">Assumptions!J19</f>
        <v>40</v>
      </c>
      <c r="K14" s="4" t="n">
        <f aca="false">Assumptions!K19</f>
        <v>40</v>
      </c>
      <c r="L14" s="4" t="n">
        <f aca="false">Assumptions!L19</f>
        <v>40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488.994324</v>
      </c>
      <c r="D15" s="0" t="n">
        <f aca="false">D13-MAX(0,D13)*D14/100</f>
        <v>313.65105408</v>
      </c>
      <c r="E15" s="0" t="n">
        <f aca="false">E13-MAX(0,E13)*E14/100</f>
        <v>319.60521395712</v>
      </c>
      <c r="F15" s="0" t="n">
        <f aca="false">F13-MAX(0,F13)*F14/100</f>
        <v>348.005118569472</v>
      </c>
      <c r="G15" s="0" t="n">
        <f aca="false">G13-MAX(0,G13)*G14/100</f>
        <v>360.038940426547</v>
      </c>
      <c r="H15" s="0" t="n">
        <f aca="false">H13-MAX(0,H13)*H14/100</f>
        <v>369.039913937211</v>
      </c>
      <c r="I15" s="0" t="n">
        <f aca="false">I13-MAX(0,I13)*I14/100</f>
        <v>378.265911785641</v>
      </c>
      <c r="J15" s="0" t="n">
        <f aca="false">J13-MAX(0,J13)*J14/100</f>
        <v>385.831230021354</v>
      </c>
      <c r="K15" s="0" t="n">
        <f aca="false">K13-MAX(0,K13)*K14/100</f>
        <v>393.547854621781</v>
      </c>
      <c r="L15" s="0" t="n">
        <f aca="false">L13-MAX(0,L13)*L14/100</f>
        <v>401.418811714217</v>
      </c>
    </row>
    <row r="16" customFormat="false" ht="15" hidden="false" customHeight="false" outlineLevel="0" collapsed="false">
      <c r="A16" s="0" t="s">
        <v>120</v>
      </c>
      <c r="C16" s="0" t="n">
        <f aca="false">-C12</f>
        <v>814.086</v>
      </c>
      <c r="D16" s="0" t="n">
        <f aca="false">-D12</f>
        <v>781.52256</v>
      </c>
      <c r="E16" s="0" t="n">
        <f aca="false">-E12</f>
        <v>797.1530112</v>
      </c>
      <c r="F16" s="0" t="n">
        <f aca="false">-F12</f>
        <v>813.096071424</v>
      </c>
      <c r="G16" s="0" t="n">
        <f aca="false">-G12</f>
        <v>833.4234732096</v>
      </c>
      <c r="H16" s="0" t="n">
        <f aca="false">-H12</f>
        <v>854.25906003984</v>
      </c>
      <c r="I16" s="0" t="n">
        <f aca="false">-I12</f>
        <v>875.615536540836</v>
      </c>
      <c r="J16" s="0" t="n">
        <f aca="false">-J12</f>
        <v>893.127847271652</v>
      </c>
      <c r="K16" s="0" t="n">
        <f aca="false">-K12</f>
        <v>910.990404217086</v>
      </c>
      <c r="L16" s="0" t="n">
        <f aca="false">-L12</f>
        <v>929.210212301427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-1356.81</v>
      </c>
      <c r="D17" s="4" t="n">
        <f aca="false">-D6*Assumptions!D18/100</f>
        <v>-989.928576</v>
      </c>
      <c r="E17" s="4" t="n">
        <f aca="false">-E6*Assumptions!E18/100</f>
        <v>-850.29654528</v>
      </c>
      <c r="F17" s="4" t="n">
        <f aca="false">-F6*Assumptions!F18/100</f>
        <v>-813.096071424</v>
      </c>
      <c r="G17" s="4" t="n">
        <f aca="false">-G6*Assumptions!G18/100</f>
        <v>-805.64269076928</v>
      </c>
      <c r="H17" s="4" t="n">
        <f aca="false">-H6*Assumptions!H18/100</f>
        <v>-825.783758038512</v>
      </c>
      <c r="I17" s="4" t="n">
        <f aca="false">-I6*Assumptions!I18/100</f>
        <v>-846.428351989474</v>
      </c>
      <c r="J17" s="4" t="n">
        <f aca="false">-J6*Assumptions!J18/100</f>
        <v>-863.356919029264</v>
      </c>
      <c r="K17" s="4" t="n">
        <f aca="false">-K6*Assumptions!K18/100</f>
        <v>-880.624057409849</v>
      </c>
      <c r="L17" s="4" t="n">
        <f aca="false">-L6*Assumptions!L18/100</f>
        <v>-898.236538558046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82.7008</v>
      </c>
      <c r="D18" s="4" t="n">
        <f aca="false">(D6-C6)*Assumptions!$B$23/100</f>
        <v>17.367168</v>
      </c>
      <c r="E18" s="4" t="n">
        <f aca="false">(E6-D6)*Assumptions!$B$23/100</f>
        <v>-8.33624064000003</v>
      </c>
      <c r="F18" s="4" t="n">
        <f aca="false">(F6-E6)*Assumptions!$B$23/100</f>
        <v>-8.50296545279998</v>
      </c>
      <c r="G18" s="4" t="n">
        <f aca="false">(G6-F6)*Assumptions!$B$23/100</f>
        <v>-10.8412809523199</v>
      </c>
      <c r="H18" s="4" t="n">
        <f aca="false">(H6-G6)*Assumptions!$B$23/100</f>
        <v>-11.1123129761279</v>
      </c>
      <c r="I18" s="4" t="n">
        <f aca="false">(I6-H6)*Assumptions!$B$23/100</f>
        <v>-11.3901208005311</v>
      </c>
      <c r="J18" s="4" t="n">
        <f aca="false">(J6-I6)*Assumptions!$B$23/100</f>
        <v>-9.33989905643561</v>
      </c>
      <c r="K18" s="4" t="n">
        <f aca="false">(K6-J6)*Assumptions!$B$23/100</f>
        <v>-9.5266970375643</v>
      </c>
      <c r="L18" s="4" t="n">
        <f aca="false">(L6-K6)*Assumptions!$B$23/100</f>
        <v>-9.71723097831556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28.9711239999999</v>
      </c>
      <c r="D19" s="0" t="n">
        <f aca="false">D15+D16+D17+D18</f>
        <v>122.61220608</v>
      </c>
      <c r="E19" s="0" t="n">
        <f aca="false">E15+E16+E17+E18</f>
        <v>258.12543923712</v>
      </c>
      <c r="F19" s="0" t="n">
        <f aca="false">F15+F16+F17+F18</f>
        <v>339.502153116672</v>
      </c>
      <c r="G19" s="0" t="n">
        <f aca="false">G15+G16+G17+G18</f>
        <v>376.978441914547</v>
      </c>
      <c r="H19" s="0" t="n">
        <f aca="false">H15+H16+H17+H18</f>
        <v>386.402902962411</v>
      </c>
      <c r="I19" s="0" t="n">
        <f aca="false">I15+I16+I17+I18</f>
        <v>396.062975536471</v>
      </c>
      <c r="J19" s="0" t="n">
        <f aca="false">J15+J16+J17+J18</f>
        <v>406.262259207307</v>
      </c>
      <c r="K19" s="0" t="n">
        <f aca="false">K15+K16+K17+K18</f>
        <v>414.387504391453</v>
      </c>
      <c r="L19" s="0" t="n">
        <f aca="false">L15+L16+L17+L18</f>
        <v>422.675254479282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26.3373854545453</v>
      </c>
      <c r="D21" s="0" t="n">
        <f aca="false">D19*D20</f>
        <v>101.332401719008</v>
      </c>
      <c r="E21" s="0" t="n">
        <f aca="false">E19*E20</f>
        <v>193.933462988069</v>
      </c>
      <c r="F21" s="0" t="n">
        <f aca="false">F19*F20</f>
        <v>231.884538704099</v>
      </c>
      <c r="G21" s="0" t="n">
        <f aca="false">G19*G20</f>
        <v>234.07395291836</v>
      </c>
      <c r="H21" s="0" t="n">
        <f aca="false">H19*H20</f>
        <v>218.11436521938</v>
      </c>
      <c r="I21" s="0" t="n">
        <f aca="false">I19*I20</f>
        <v>203.24293122715</v>
      </c>
      <c r="J21" s="0" t="n">
        <f aca="false">J19*J20</f>
        <v>189.524342220888</v>
      </c>
      <c r="K21" s="0" t="n">
        <f aca="false">K19*K20</f>
        <v>175.740753695733</v>
      </c>
      <c r="L21" s="0" t="n">
        <f aca="false">L19*L20</f>
        <v>162.959607972407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3.2</v>
      </c>
      <c r="D23" s="4" t="n">
        <f aca="false">Assumptions!D16</f>
        <v>3.2</v>
      </c>
      <c r="E23" s="4" t="n">
        <f aca="false">Assumptions!E16</f>
        <v>3.2</v>
      </c>
      <c r="F23" s="4" t="n">
        <f aca="false">Assumptions!F16</f>
        <v>3.2</v>
      </c>
      <c r="G23" s="4" t="n">
        <f aca="false">Assumptions!G16</f>
        <v>3.2</v>
      </c>
      <c r="H23" s="4" t="n">
        <f aca="false">Assumptions!H16</f>
        <v>3.2</v>
      </c>
      <c r="I23" s="4" t="n">
        <f aca="false">Assumptions!I16</f>
        <v>3.2</v>
      </c>
      <c r="J23" s="4" t="n">
        <f aca="false">Assumptions!J16</f>
        <v>3.2</v>
      </c>
      <c r="K23" s="4" t="n">
        <f aca="false">Assumptions!K16</f>
        <v>3.2</v>
      </c>
      <c r="L23" s="4" t="n">
        <f aca="false">Assumptions!L16</f>
        <v>3.2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-173.67168</v>
      </c>
      <c r="D24" s="0" t="n">
        <f aca="false">-D6*D23/100</f>
        <v>-166.7248128</v>
      </c>
      <c r="E24" s="0" t="n">
        <f aca="false">-E6*E23/100</f>
        <v>-170.059309056</v>
      </c>
      <c r="F24" s="0" t="n">
        <f aca="false">-F6*F23/100</f>
        <v>-173.46049523712</v>
      </c>
      <c r="G24" s="0" t="n">
        <f aca="false">-G6*G23/100</f>
        <v>-177.797007618048</v>
      </c>
      <c r="H24" s="0" t="n">
        <f aca="false">-H6*H23/100</f>
        <v>-182.241932808499</v>
      </c>
      <c r="I24" s="0" t="n">
        <f aca="false">-I6*I23/100</f>
        <v>-186.797981128712</v>
      </c>
      <c r="J24" s="0" t="n">
        <f aca="false">-J6*J23/100</f>
        <v>-190.533940751286</v>
      </c>
      <c r="K24" s="0" t="n">
        <f aca="false">-K6*K23/100</f>
        <v>-194.344619566312</v>
      </c>
      <c r="L24" s="0" t="n">
        <f aca="false">-L6*L23/100</f>
        <v>-198.231511957638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1737.14374211964</v>
      </c>
    </row>
    <row r="31" customFormat="false" ht="15" hidden="false" customHeight="false" outlineLevel="0" collapsed="false">
      <c r="A31" s="0" t="s">
        <v>129</v>
      </c>
      <c r="B31" s="0" t="n">
        <f aca="false">L19</f>
        <v>422.675254479282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5389.10949461084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5072.10305375138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5072.10305375138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1955.51529566888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3692.65903778852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839.659037788519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4.22363701100865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-0.922841852192023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369.54198126469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304.513147548875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7.61425637123784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3316.37507360667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-3.4861728263563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-6</v>
      </c>
      <c r="D5" s="4" t="n">
        <f aca="false">Assumptions!D27</f>
        <v>2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6461</v>
      </c>
      <c r="C6" s="0" t="n">
        <f aca="false">B6*(1+C5/100)</f>
        <v>6073.34</v>
      </c>
      <c r="D6" s="0" t="n">
        <f aca="false">C6*(1+D5/100)</f>
        <v>6194.8068</v>
      </c>
      <c r="E6" s="0" t="n">
        <f aca="false">D6*(1+E5/100)</f>
        <v>6442.599072</v>
      </c>
      <c r="F6" s="0" t="n">
        <f aca="false">E6*(1+F5/100)</f>
        <v>6700.30303488</v>
      </c>
      <c r="G6" s="0" t="n">
        <f aca="false">F6*(1+G5/100)</f>
        <v>6934.8136411008</v>
      </c>
      <c r="H6" s="0" t="n">
        <f aca="false">G6*(1+H5/100)</f>
        <v>7142.85805033382</v>
      </c>
      <c r="I6" s="0" t="n">
        <f aca="false">H6*(1+I5/100)</f>
        <v>7357.14379184384</v>
      </c>
      <c r="J6" s="0" t="n">
        <f aca="false">I6*(1+J5/100)</f>
        <v>7541.07238663994</v>
      </c>
      <c r="K6" s="0" t="n">
        <f aca="false">J6*(1+K5/100)</f>
        <v>7729.59919630593</v>
      </c>
      <c r="L6" s="0" t="n">
        <f aca="false">K6*(1+L5/100)</f>
        <v>7922.83917621358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37</v>
      </c>
      <c r="D7" s="4" t="n">
        <f aca="false">Assumptions!D28</f>
        <v>36.5</v>
      </c>
      <c r="E7" s="4" t="n">
        <f aca="false">Assumptions!E28</f>
        <v>36</v>
      </c>
      <c r="F7" s="4" t="n">
        <f aca="false">Assumptions!F28</f>
        <v>36</v>
      </c>
      <c r="G7" s="4" t="n">
        <f aca="false">Assumptions!G28</f>
        <v>36</v>
      </c>
      <c r="H7" s="4" t="n">
        <f aca="false">Assumptions!H28</f>
        <v>36</v>
      </c>
      <c r="I7" s="4" t="n">
        <f aca="false">Assumptions!I28</f>
        <v>36</v>
      </c>
      <c r="J7" s="4" t="n">
        <f aca="false">Assumptions!J28</f>
        <v>36</v>
      </c>
      <c r="K7" s="4" t="n">
        <f aca="false">Assumptions!K28</f>
        <v>36</v>
      </c>
      <c r="L7" s="4" t="n">
        <f aca="false">Assumptions!L28</f>
        <v>36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2247.1358</v>
      </c>
      <c r="D8" s="0" t="n">
        <f aca="false">D6*D7/100</f>
        <v>2261.104482</v>
      </c>
      <c r="E8" s="0" t="n">
        <f aca="false">E6*E7/100</f>
        <v>2319.33566592</v>
      </c>
      <c r="F8" s="0" t="n">
        <f aca="false">F6*F7/100</f>
        <v>2412.1090925568</v>
      </c>
      <c r="G8" s="0" t="n">
        <f aca="false">G6*G7/100</f>
        <v>2496.53291079629</v>
      </c>
      <c r="H8" s="0" t="n">
        <f aca="false">H6*H7/100</f>
        <v>2571.42889812018</v>
      </c>
      <c r="I8" s="0" t="n">
        <f aca="false">I6*I7/100</f>
        <v>2648.57176506378</v>
      </c>
      <c r="J8" s="0" t="n">
        <f aca="false">J6*J7/100</f>
        <v>2714.78605919038</v>
      </c>
      <c r="K8" s="0" t="n">
        <f aca="false">K6*K7/100</f>
        <v>2782.65571067014</v>
      </c>
      <c r="L8" s="0" t="n">
        <f aca="false">L6*L7/100</f>
        <v>2852.22210343689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1.1</v>
      </c>
      <c r="D9" s="4" t="n">
        <f aca="false">Assumptions!D29</f>
        <v>1.1</v>
      </c>
      <c r="E9" s="4" t="n">
        <f aca="false">Assumptions!E29</f>
        <v>1</v>
      </c>
      <c r="F9" s="4" t="n">
        <f aca="false">Assumptions!F29</f>
        <v>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0.9</v>
      </c>
      <c r="J9" s="4" t="n">
        <f aca="false">Assumptions!J29</f>
        <v>0.9</v>
      </c>
      <c r="K9" s="4" t="n">
        <f aca="false">Assumptions!K29</f>
        <v>0.9</v>
      </c>
      <c r="L9" s="4" t="n">
        <f aca="false">Assumptions!L29</f>
        <v>0.9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-66.80674</v>
      </c>
      <c r="D10" s="0" t="n">
        <f aca="false">-D6*D9/100</f>
        <v>-68.1428748</v>
      </c>
      <c r="E10" s="0" t="n">
        <f aca="false">-E6*E9/100</f>
        <v>-64.42599072</v>
      </c>
      <c r="F10" s="0" t="n">
        <f aca="false">-F6*F9/100</f>
        <v>-67.0030303488</v>
      </c>
      <c r="G10" s="0" t="n">
        <f aca="false">-G6*G9/100</f>
        <v>-69.348136411008</v>
      </c>
      <c r="H10" s="0" t="n">
        <f aca="false">-H6*H9/100</f>
        <v>-71.4285805033382</v>
      </c>
      <c r="I10" s="0" t="n">
        <f aca="false">-I6*I9/100</f>
        <v>-66.2142941265946</v>
      </c>
      <c r="J10" s="0" t="n">
        <f aca="false">-J6*J9/100</f>
        <v>-67.8696514797594</v>
      </c>
      <c r="K10" s="0" t="n">
        <f aca="false">-K6*K9/100</f>
        <v>-69.5663927667534</v>
      </c>
      <c r="L10" s="0" t="n">
        <f aca="false">-L6*L9/100</f>
        <v>-71.3055525859222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1998.12886</v>
      </c>
      <c r="D11" s="0" t="n">
        <f aca="false">D8+D10+D24</f>
        <v>2007.1174032</v>
      </c>
      <c r="E11" s="0" t="n">
        <f aca="false">E8+E10+E24</f>
        <v>2061.63170304</v>
      </c>
      <c r="F11" s="0" t="n">
        <f aca="false">F8+F10+F24</f>
        <v>2144.0969711616</v>
      </c>
      <c r="G11" s="0" t="n">
        <f aca="false">G8+G10+G24</f>
        <v>2219.14036515226</v>
      </c>
      <c r="H11" s="0" t="n">
        <f aca="false">H8+H10+H24</f>
        <v>2285.71457610682</v>
      </c>
      <c r="I11" s="0" t="n">
        <f aca="false">I8+I10+I24</f>
        <v>2361.64315718187</v>
      </c>
      <c r="J11" s="0" t="n">
        <f aca="false">J8+J10+J24</f>
        <v>2420.68423611142</v>
      </c>
      <c r="K11" s="0" t="n">
        <f aca="false">K8+K10+K24</f>
        <v>2481.2013420142</v>
      </c>
      <c r="L11" s="0" t="n">
        <f aca="false">L8+L10+L24</f>
        <v>2543.23137556456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-850.2676</v>
      </c>
      <c r="D12" s="4" t="n">
        <f aca="false">-D6*Assumptions!D31/100</f>
        <v>-867.272952</v>
      </c>
      <c r="E12" s="4" t="n">
        <f aca="false">-E6*Assumptions!E31/100</f>
        <v>-901.96387008</v>
      </c>
      <c r="F12" s="4" t="n">
        <f aca="false">-F6*Assumptions!F31/100</f>
        <v>-938.0424248832</v>
      </c>
      <c r="G12" s="4" t="n">
        <f aca="false">-G6*Assumptions!G31/100</f>
        <v>-970.873909754112</v>
      </c>
      <c r="H12" s="4" t="n">
        <f aca="false">-H6*Assumptions!H31/100</f>
        <v>-1000.00012704674</v>
      </c>
      <c r="I12" s="4" t="n">
        <f aca="false">-I6*Assumptions!I31/100</f>
        <v>-1030.00013085814</v>
      </c>
      <c r="J12" s="4" t="n">
        <f aca="false">-J6*Assumptions!J31/100</f>
        <v>-1055.75013412959</v>
      </c>
      <c r="K12" s="4" t="n">
        <f aca="false">-K6*Assumptions!K31/100</f>
        <v>-1082.14388748283</v>
      </c>
      <c r="L12" s="4" t="n">
        <f aca="false">-L6*Assumptions!L31/100</f>
        <v>-1109.1974846699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1147.86126</v>
      </c>
      <c r="D13" s="0" t="n">
        <f aca="false">D11+D12</f>
        <v>1139.8444512</v>
      </c>
      <c r="E13" s="0" t="n">
        <f aca="false">E11+E12</f>
        <v>1159.66783296</v>
      </c>
      <c r="F13" s="0" t="n">
        <f aca="false">F11+F12</f>
        <v>1206.0545462784</v>
      </c>
      <c r="G13" s="0" t="n">
        <f aca="false">G11+G12</f>
        <v>1248.26645539814</v>
      </c>
      <c r="H13" s="0" t="n">
        <f aca="false">H11+H12</f>
        <v>1285.71444906009</v>
      </c>
      <c r="I13" s="0" t="n">
        <f aca="false">I11+I12</f>
        <v>1331.64302632373</v>
      </c>
      <c r="J13" s="0" t="n">
        <f aca="false">J11+J12</f>
        <v>1364.93410198183</v>
      </c>
      <c r="K13" s="0" t="n">
        <f aca="false">K11+K12</f>
        <v>1399.05745453137</v>
      </c>
      <c r="L13" s="0" t="n">
        <f aca="false">L11+L12</f>
        <v>1434.03389089466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20</v>
      </c>
      <c r="D14" s="4" t="n">
        <f aca="false">Assumptions!D33</f>
        <v>35</v>
      </c>
      <c r="E14" s="4" t="n">
        <f aca="false">Assumptions!E33</f>
        <v>40</v>
      </c>
      <c r="F14" s="4" t="n">
        <f aca="false">Assumptions!F33</f>
        <v>40</v>
      </c>
      <c r="G14" s="4" t="n">
        <f aca="false">Assumptions!G33</f>
        <v>40</v>
      </c>
      <c r="H14" s="4" t="n">
        <f aca="false">Assumptions!H33</f>
        <v>40</v>
      </c>
      <c r="I14" s="4" t="n">
        <f aca="false">Assumptions!I33</f>
        <v>40</v>
      </c>
      <c r="J14" s="4" t="n">
        <f aca="false">Assumptions!J33</f>
        <v>40</v>
      </c>
      <c r="K14" s="4" t="n">
        <f aca="false">Assumptions!K33</f>
        <v>40</v>
      </c>
      <c r="L14" s="4" t="n">
        <f aca="false">Assumptions!L33</f>
        <v>40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918.289008</v>
      </c>
      <c r="D15" s="0" t="n">
        <f aca="false">D13-MAX(0,D13)*D14/100</f>
        <v>740.89889328</v>
      </c>
      <c r="E15" s="0" t="n">
        <f aca="false">E13-MAX(0,E13)*E14/100</f>
        <v>695.800699776</v>
      </c>
      <c r="F15" s="0" t="n">
        <f aca="false">F13-MAX(0,F13)*F14/100</f>
        <v>723.63272776704</v>
      </c>
      <c r="G15" s="0" t="n">
        <f aca="false">G13-MAX(0,G13)*G14/100</f>
        <v>748.959873238886</v>
      </c>
      <c r="H15" s="0" t="n">
        <f aca="false">H13-MAX(0,H13)*H14/100</f>
        <v>771.428669436053</v>
      </c>
      <c r="I15" s="0" t="n">
        <f aca="false">I13-MAX(0,I13)*I14/100</f>
        <v>798.985815794241</v>
      </c>
      <c r="J15" s="0" t="n">
        <f aca="false">J13-MAX(0,J13)*J14/100</f>
        <v>818.960461189097</v>
      </c>
      <c r="K15" s="0" t="n">
        <f aca="false">K13-MAX(0,K13)*K14/100</f>
        <v>839.434472718824</v>
      </c>
      <c r="L15" s="0" t="n">
        <f aca="false">L13-MAX(0,L13)*L14/100</f>
        <v>860.420334536795</v>
      </c>
    </row>
    <row r="16" customFormat="false" ht="15" hidden="false" customHeight="false" outlineLevel="0" collapsed="false">
      <c r="A16" s="0" t="s">
        <v>120</v>
      </c>
      <c r="C16" s="0" t="n">
        <f aca="false">-C12</f>
        <v>850.2676</v>
      </c>
      <c r="D16" s="0" t="n">
        <f aca="false">-D12</f>
        <v>867.272952</v>
      </c>
      <c r="E16" s="0" t="n">
        <f aca="false">-E12</f>
        <v>901.96387008</v>
      </c>
      <c r="F16" s="0" t="n">
        <f aca="false">-F12</f>
        <v>938.0424248832</v>
      </c>
      <c r="G16" s="0" t="n">
        <f aca="false">-G12</f>
        <v>970.873909754112</v>
      </c>
      <c r="H16" s="0" t="n">
        <f aca="false">-H12</f>
        <v>1000.00012704674</v>
      </c>
      <c r="I16" s="0" t="n">
        <f aca="false">-I12</f>
        <v>1030.00013085814</v>
      </c>
      <c r="J16" s="0" t="n">
        <f aca="false">-J12</f>
        <v>1055.75013412959</v>
      </c>
      <c r="K16" s="0" t="n">
        <f aca="false">-K12</f>
        <v>1082.14388748283</v>
      </c>
      <c r="L16" s="0" t="n">
        <f aca="false">-L12</f>
        <v>1109.1974846699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-1396.8682</v>
      </c>
      <c r="D17" s="4" t="n">
        <f aca="false">-D6*Assumptions!D32/100</f>
        <v>-1115.065224</v>
      </c>
      <c r="E17" s="4" t="n">
        <f aca="false">-E6*Assumptions!E32/100</f>
        <v>-998.60285616</v>
      </c>
      <c r="F17" s="4" t="n">
        <f aca="false">-F6*Assumptions!F32/100</f>
        <v>-938.0424248832</v>
      </c>
      <c r="G17" s="4" t="n">
        <f aca="false">-G6*Assumptions!G32/100</f>
        <v>-936.199841548608</v>
      </c>
      <c r="H17" s="4" t="n">
        <f aca="false">-H6*Assumptions!H32/100</f>
        <v>-964.285836795066</v>
      </c>
      <c r="I17" s="4" t="n">
        <f aca="false">-I6*Assumptions!I32/100</f>
        <v>-993.214411898918</v>
      </c>
      <c r="J17" s="4" t="n">
        <f aca="false">-J6*Assumptions!J32/100</f>
        <v>-1018.04477219639</v>
      </c>
      <c r="K17" s="4" t="n">
        <f aca="false">-K6*Assumptions!K32/100</f>
        <v>-1043.4958915013</v>
      </c>
      <c r="L17" s="4" t="n">
        <f aca="false">-L6*Assumptions!L32/100</f>
        <v>-1069.58328878883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31.0128000000001</v>
      </c>
      <c r="D18" s="4" t="n">
        <f aca="false">(D6-C6)*Assumptions!$B$37/100</f>
        <v>-9.71734400000001</v>
      </c>
      <c r="E18" s="4" t="n">
        <f aca="false">(E6-D6)*Assumptions!$B$37/100</f>
        <v>-19.82338176</v>
      </c>
      <c r="F18" s="4" t="n">
        <f aca="false">(F6-E6)*Assumptions!$B$37/100</f>
        <v>-20.6163170304</v>
      </c>
      <c r="G18" s="4" t="n">
        <f aca="false">(G6-F6)*Assumptions!$B$37/100</f>
        <v>-18.760848497664</v>
      </c>
      <c r="H18" s="4" t="n">
        <f aca="false">(H6-G6)*Assumptions!$B$37/100</f>
        <v>-16.643552738642</v>
      </c>
      <c r="I18" s="4" t="n">
        <f aca="false">(I6-H6)*Assumptions!$B$37/100</f>
        <v>-17.1428593208012</v>
      </c>
      <c r="J18" s="4" t="n">
        <f aca="false">(J6-I6)*Assumptions!$B$37/100</f>
        <v>-14.7142875836876</v>
      </c>
      <c r="K18" s="4" t="n">
        <f aca="false">(K6-J6)*Assumptions!$B$37/100</f>
        <v>-15.0821447732798</v>
      </c>
      <c r="L18" s="4" t="n">
        <f aca="false">(L6-K6)*Assumptions!$B$37/100</f>
        <v>-15.4591983926118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402.701208</v>
      </c>
      <c r="D19" s="0" t="n">
        <f aca="false">D15+D16+D17+D18</f>
        <v>483.38927728</v>
      </c>
      <c r="E19" s="0" t="n">
        <f aca="false">E15+E16+E17+E18</f>
        <v>579.338331936</v>
      </c>
      <c r="F19" s="0" t="n">
        <f aca="false">F15+F16+F17+F18</f>
        <v>703.01641073664</v>
      </c>
      <c r="G19" s="0" t="n">
        <f aca="false">G15+G16+G17+G18</f>
        <v>764.873092946726</v>
      </c>
      <c r="H19" s="0" t="n">
        <f aca="false">H15+H16+H17+H18</f>
        <v>790.49940694908</v>
      </c>
      <c r="I19" s="0" t="n">
        <f aca="false">I15+I16+I17+I18</f>
        <v>818.628675432659</v>
      </c>
      <c r="J19" s="0" t="n">
        <f aca="false">J15+J16+J17+J18</f>
        <v>841.951535538609</v>
      </c>
      <c r="K19" s="0" t="n">
        <f aca="false">K15+K16+K17+K18</f>
        <v>863.000323927074</v>
      </c>
      <c r="L19" s="0" t="n">
        <f aca="false">L15+L16+L17+L18</f>
        <v>884.575332025251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366.092007272727</v>
      </c>
      <c r="D21" s="0" t="n">
        <f aca="false">D19*D20</f>
        <v>399.495270479339</v>
      </c>
      <c r="E21" s="0" t="n">
        <f aca="false">E19*E20</f>
        <v>435.265463513148</v>
      </c>
      <c r="F21" s="0" t="n">
        <f aca="false">F19*F20</f>
        <v>480.169667875582</v>
      </c>
      <c r="G21" s="0" t="n">
        <f aca="false">G19*G20</f>
        <v>474.926012844829</v>
      </c>
      <c r="H21" s="0" t="n">
        <f aca="false">H19*H20</f>
        <v>446.216306945727</v>
      </c>
      <c r="I21" s="0" t="n">
        <f aca="false">I19*I20</f>
        <v>420.085950614719</v>
      </c>
      <c r="J21" s="0" t="n">
        <f aca="false">J19*J20</f>
        <v>392.776605107679</v>
      </c>
      <c r="K21" s="0" t="n">
        <f aca="false">K19*K20</f>
        <v>365.996382032155</v>
      </c>
      <c r="L21" s="0" t="n">
        <f aca="false">L19*L20</f>
        <v>341.042083257235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3</v>
      </c>
      <c r="D23" s="4" t="n">
        <f aca="false">Assumptions!D30</f>
        <v>3</v>
      </c>
      <c r="E23" s="4" t="n">
        <f aca="false">Assumptions!E30</f>
        <v>3</v>
      </c>
      <c r="F23" s="4" t="n">
        <f aca="false">Assumptions!F30</f>
        <v>3</v>
      </c>
      <c r="G23" s="4" t="n">
        <f aca="false">Assumptions!G30</f>
        <v>3</v>
      </c>
      <c r="H23" s="4" t="n">
        <f aca="false">Assumptions!H30</f>
        <v>3</v>
      </c>
      <c r="I23" s="4" t="n">
        <f aca="false">Assumptions!I30</f>
        <v>3</v>
      </c>
      <c r="J23" s="4" t="n">
        <f aca="false">Assumptions!J30</f>
        <v>3</v>
      </c>
      <c r="K23" s="4" t="n">
        <f aca="false">Assumptions!K30</f>
        <v>3</v>
      </c>
      <c r="L23" s="4" t="n">
        <f aca="false">Assumptions!L30</f>
        <v>3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-182.2002</v>
      </c>
      <c r="D24" s="0" t="n">
        <f aca="false">-D6*D23/100</f>
        <v>-185.844204</v>
      </c>
      <c r="E24" s="0" t="n">
        <f aca="false">-E6*E23/100</f>
        <v>-193.27797216</v>
      </c>
      <c r="F24" s="0" t="n">
        <f aca="false">-F6*F23/100</f>
        <v>-201.0090910464</v>
      </c>
      <c r="G24" s="0" t="n">
        <f aca="false">-G6*G23/100</f>
        <v>-208.044409233024</v>
      </c>
      <c r="H24" s="0" t="n">
        <f aca="false">-H6*H23/100</f>
        <v>-214.285741510015</v>
      </c>
      <c r="I24" s="0" t="n">
        <f aca="false">-I6*I23/100</f>
        <v>-220.714313755315</v>
      </c>
      <c r="J24" s="0" t="n">
        <f aca="false">-J6*J23/100</f>
        <v>-226.232171599198</v>
      </c>
      <c r="K24" s="0" t="n">
        <f aca="false">-K6*K23/100</f>
        <v>-231.887975889178</v>
      </c>
      <c r="L24" s="0" t="n">
        <f aca="false">-L6*L23/100</f>
        <v>-237.685175286407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4122.06574994314</v>
      </c>
    </row>
    <row r="31" customFormat="false" ht="15" hidden="false" customHeight="false" outlineLevel="0" collapsed="false">
      <c r="A31" s="0" t="s">
        <v>129</v>
      </c>
      <c r="B31" s="0" t="n">
        <f aca="false">L19</f>
        <v>884.575332025251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12089.1962043451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12384.0546483535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12089.1962043451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4660.90847118221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8782.97422112535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5929.97422112535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29.8288441706507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-0.455081399878504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417.231719961845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375.715489747081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33.8175122275366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7253.51772260706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11.1041940488436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3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6461</v>
      </c>
      <c r="C6" s="0" t="n">
        <f aca="false">B6*(1+C5/100)</f>
        <v>6654.83</v>
      </c>
      <c r="D6" s="0" t="n">
        <f aca="false">C6*(1+D5/100)</f>
        <v>6987.5715</v>
      </c>
      <c r="E6" s="0" t="n">
        <f aca="false">D6*(1+E5/100)</f>
        <v>7336.950075</v>
      </c>
      <c r="F6" s="0" t="n">
        <f aca="false">E6*(1+F5/100)</f>
        <v>7703.79757875</v>
      </c>
      <c r="G6" s="0" t="n">
        <f aca="false">F6*(1+G5/100)</f>
        <v>8011.9494819</v>
      </c>
      <c r="H6" s="0" t="n">
        <f aca="false">G6*(1+H5/100)</f>
        <v>8332.427461176</v>
      </c>
      <c r="I6" s="0" t="n">
        <f aca="false">H6*(1+I5/100)</f>
        <v>8624.06242231716</v>
      </c>
      <c r="J6" s="0" t="n">
        <f aca="false">I6*(1+J5/100)</f>
        <v>8882.78429498668</v>
      </c>
      <c r="K6" s="0" t="n">
        <f aca="false">J6*(1+K5/100)</f>
        <v>9149.26782383628</v>
      </c>
      <c r="L6" s="0" t="n">
        <f aca="false">K6*(1+L5/100)</f>
        <v>9423.74585855136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40</v>
      </c>
      <c r="D7" s="4" t="n">
        <f aca="false">Assumptions!D42</f>
        <v>39</v>
      </c>
      <c r="E7" s="4" t="n">
        <f aca="false">Assumptions!E42</f>
        <v>38.5</v>
      </c>
      <c r="F7" s="4" t="n">
        <f aca="false">Assumptions!F42</f>
        <v>38</v>
      </c>
      <c r="G7" s="4" t="n">
        <f aca="false">Assumptions!G42</f>
        <v>38</v>
      </c>
      <c r="H7" s="4" t="n">
        <f aca="false">Assumptions!H42</f>
        <v>38</v>
      </c>
      <c r="I7" s="4" t="n">
        <f aca="false">Assumptions!I42</f>
        <v>38</v>
      </c>
      <c r="J7" s="4" t="n">
        <f aca="false">Assumptions!J42</f>
        <v>38</v>
      </c>
      <c r="K7" s="4" t="n">
        <f aca="false">Assumptions!K42</f>
        <v>38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2661.932</v>
      </c>
      <c r="D8" s="0" t="n">
        <f aca="false">D6*D7/100</f>
        <v>2725.152885</v>
      </c>
      <c r="E8" s="0" t="n">
        <f aca="false">E6*E7/100</f>
        <v>2824.725778875</v>
      </c>
      <c r="F8" s="0" t="n">
        <f aca="false">F6*F7/100</f>
        <v>2927.443079925</v>
      </c>
      <c r="G8" s="0" t="n">
        <f aca="false">G6*G7/100</f>
        <v>3044.540803122</v>
      </c>
      <c r="H8" s="0" t="n">
        <f aca="false">H6*H7/100</f>
        <v>3166.32243524688</v>
      </c>
      <c r="I8" s="0" t="n">
        <f aca="false">I6*I7/100</f>
        <v>3277.14372048052</v>
      </c>
      <c r="J8" s="0" t="n">
        <f aca="false">J6*J7/100</f>
        <v>3375.45803209494</v>
      </c>
      <c r="K8" s="0" t="n">
        <f aca="false">K6*K7/100</f>
        <v>3476.72177305778</v>
      </c>
      <c r="L8" s="0" t="n">
        <f aca="false">L6*L7/100</f>
        <v>3581.02342624952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1.1</v>
      </c>
      <c r="D9" s="4" t="n">
        <f aca="false">Assumptions!D43</f>
        <v>1.1</v>
      </c>
      <c r="E9" s="4" t="n">
        <f aca="false">Assumptions!E43</f>
        <v>1</v>
      </c>
      <c r="F9" s="4" t="n">
        <f aca="false">Assumptions!F43</f>
        <v>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0.9</v>
      </c>
      <c r="J9" s="4" t="n">
        <f aca="false">Assumptions!J43</f>
        <v>0.9</v>
      </c>
      <c r="K9" s="4" t="n">
        <f aca="false">Assumptions!K43</f>
        <v>0.9</v>
      </c>
      <c r="L9" s="4" t="n">
        <f aca="false">Assumptions!L43</f>
        <v>0.9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-73.20313</v>
      </c>
      <c r="D10" s="0" t="n">
        <f aca="false">-D6*D9/100</f>
        <v>-76.8632865</v>
      </c>
      <c r="E10" s="0" t="n">
        <f aca="false">-E6*E9/100</f>
        <v>-73.36950075</v>
      </c>
      <c r="F10" s="0" t="n">
        <f aca="false">-F6*F9/100</f>
        <v>-77.0379757875</v>
      </c>
      <c r="G10" s="0" t="n">
        <f aca="false">-G6*G9/100</f>
        <v>-80.119494819</v>
      </c>
      <c r="H10" s="0" t="n">
        <f aca="false">-H6*H9/100</f>
        <v>-83.32427461176</v>
      </c>
      <c r="I10" s="0" t="n">
        <f aca="false">-I6*I9/100</f>
        <v>-77.6165618008544</v>
      </c>
      <c r="J10" s="0" t="n">
        <f aca="false">-J6*J9/100</f>
        <v>-79.9450586548801</v>
      </c>
      <c r="K10" s="0" t="n">
        <f aca="false">-K6*K9/100</f>
        <v>-82.3434104145265</v>
      </c>
      <c r="L10" s="0" t="n">
        <f aca="false">-L6*L9/100</f>
        <v>-84.8137127269623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2389.08397</v>
      </c>
      <c r="D11" s="0" t="n">
        <f aca="false">D8+D10+D24</f>
        <v>2438.6624535</v>
      </c>
      <c r="E11" s="0" t="n">
        <f aca="false">E8+E10+E24</f>
        <v>2531.247775875</v>
      </c>
      <c r="F11" s="0" t="n">
        <f aca="false">F8+F10+F24</f>
        <v>2619.291176775</v>
      </c>
      <c r="G11" s="0" t="n">
        <f aca="false">G8+G10+G24</f>
        <v>2724.062823846</v>
      </c>
      <c r="H11" s="0" t="n">
        <f aca="false">H8+H10+H24</f>
        <v>2833.02533679984</v>
      </c>
      <c r="I11" s="0" t="n">
        <f aca="false">I8+I10+I24</f>
        <v>2940.80528601015</v>
      </c>
      <c r="J11" s="0" t="n">
        <f aca="false">J8+J10+J24</f>
        <v>3029.02944459046</v>
      </c>
      <c r="K11" s="0" t="n">
        <f aca="false">K8+K10+K24</f>
        <v>3119.90032792817</v>
      </c>
      <c r="L11" s="0" t="n">
        <f aca="false">L8+L10+L24</f>
        <v>3213.49733776601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-931.6762</v>
      </c>
      <c r="D12" s="4" t="n">
        <f aca="false">-D6*Assumptions!D45/100</f>
        <v>-978.26001</v>
      </c>
      <c r="E12" s="4" t="n">
        <f aca="false">-E6*Assumptions!E45/100</f>
        <v>-1027.1730105</v>
      </c>
      <c r="F12" s="4" t="n">
        <f aca="false">-F6*Assumptions!F45/100</f>
        <v>-1078.531661025</v>
      </c>
      <c r="G12" s="4" t="n">
        <f aca="false">-G6*Assumptions!G45/100</f>
        <v>-1121.672927466</v>
      </c>
      <c r="H12" s="4" t="n">
        <f aca="false">-H6*Assumptions!H45/100</f>
        <v>-1166.53984456464</v>
      </c>
      <c r="I12" s="4" t="n">
        <f aca="false">-I6*Assumptions!I45/100</f>
        <v>-1207.3687391244</v>
      </c>
      <c r="J12" s="4" t="n">
        <f aca="false">-J6*Assumptions!J45/100</f>
        <v>-1243.58980129813</v>
      </c>
      <c r="K12" s="4" t="n">
        <f aca="false">-K6*Assumptions!K45/100</f>
        <v>-1280.89749533708</v>
      </c>
      <c r="L12" s="4" t="n">
        <f aca="false">-L6*Assumptions!L45/100</f>
        <v>-1319.32442019719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1457.40777</v>
      </c>
      <c r="D13" s="0" t="n">
        <f aca="false">D11+D12</f>
        <v>1460.4024435</v>
      </c>
      <c r="E13" s="0" t="n">
        <f aca="false">E11+E12</f>
        <v>1504.074765375</v>
      </c>
      <c r="F13" s="0" t="n">
        <f aca="false">F11+F12</f>
        <v>1540.75951575</v>
      </c>
      <c r="G13" s="0" t="n">
        <f aca="false">G11+G12</f>
        <v>1602.38989638</v>
      </c>
      <c r="H13" s="0" t="n">
        <f aca="false">H11+H12</f>
        <v>1666.4854922352</v>
      </c>
      <c r="I13" s="0" t="n">
        <f aca="false">I11+I12</f>
        <v>1733.43654688575</v>
      </c>
      <c r="J13" s="0" t="n">
        <f aca="false">J11+J12</f>
        <v>1785.43964329232</v>
      </c>
      <c r="K13" s="0" t="n">
        <f aca="false">K11+K12</f>
        <v>1839.00283259109</v>
      </c>
      <c r="L13" s="0" t="n">
        <f aca="false">L11+L12</f>
        <v>1894.17291756882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22</v>
      </c>
      <c r="D14" s="4" t="n">
        <f aca="false">Assumptions!D47</f>
        <v>37</v>
      </c>
      <c r="E14" s="4" t="n">
        <f aca="false">Assumptions!E47</f>
        <v>40</v>
      </c>
      <c r="F14" s="4" t="n">
        <f aca="false">Assumptions!F47</f>
        <v>40</v>
      </c>
      <c r="G14" s="4" t="n">
        <f aca="false">Assumptions!G47</f>
        <v>40</v>
      </c>
      <c r="H14" s="4" t="n">
        <f aca="false">Assumptions!H47</f>
        <v>40</v>
      </c>
      <c r="I14" s="4" t="n">
        <f aca="false">Assumptions!I47</f>
        <v>40</v>
      </c>
      <c r="J14" s="4" t="n">
        <f aca="false">Assumptions!J47</f>
        <v>40</v>
      </c>
      <c r="K14" s="4" t="n">
        <f aca="false">Assumptions!K47</f>
        <v>40</v>
      </c>
      <c r="L14" s="4" t="n">
        <f aca="false">Assumptions!L47</f>
        <v>40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1136.7780606</v>
      </c>
      <c r="D15" s="0" t="n">
        <f aca="false">D13-MAX(0,D13)*D14/100</f>
        <v>920.053539405</v>
      </c>
      <c r="E15" s="0" t="n">
        <f aca="false">E13-MAX(0,E13)*E14/100</f>
        <v>902.444859225</v>
      </c>
      <c r="F15" s="0" t="n">
        <f aca="false">F13-MAX(0,F13)*F14/100</f>
        <v>924.45570945</v>
      </c>
      <c r="G15" s="0" t="n">
        <f aca="false">G13-MAX(0,G13)*G14/100</f>
        <v>961.433937828001</v>
      </c>
      <c r="H15" s="0" t="n">
        <f aca="false">H13-MAX(0,H13)*H14/100</f>
        <v>999.89129534112</v>
      </c>
      <c r="I15" s="0" t="n">
        <f aca="false">I13-MAX(0,I13)*I14/100</f>
        <v>1040.06192813145</v>
      </c>
      <c r="J15" s="0" t="n">
        <f aca="false">J13-MAX(0,J13)*J14/100</f>
        <v>1071.26378597539</v>
      </c>
      <c r="K15" s="0" t="n">
        <f aca="false">K13-MAX(0,K13)*K14/100</f>
        <v>1103.40169955466</v>
      </c>
      <c r="L15" s="0" t="n">
        <f aca="false">L13-MAX(0,L13)*L14/100</f>
        <v>1136.50375054129</v>
      </c>
    </row>
    <row r="16" customFormat="false" ht="15" hidden="false" customHeight="false" outlineLevel="0" collapsed="false">
      <c r="A16" s="0" t="s">
        <v>120</v>
      </c>
      <c r="C16" s="0" t="n">
        <f aca="false">-C12</f>
        <v>931.6762</v>
      </c>
      <c r="D16" s="0" t="n">
        <f aca="false">-D12</f>
        <v>978.26001</v>
      </c>
      <c r="E16" s="0" t="n">
        <f aca="false">-E12</f>
        <v>1027.1730105</v>
      </c>
      <c r="F16" s="0" t="n">
        <f aca="false">-F12</f>
        <v>1078.531661025</v>
      </c>
      <c r="G16" s="0" t="n">
        <f aca="false">-G12</f>
        <v>1121.672927466</v>
      </c>
      <c r="H16" s="0" t="n">
        <f aca="false">-H12</f>
        <v>1166.53984456464</v>
      </c>
      <c r="I16" s="0" t="n">
        <f aca="false">-I12</f>
        <v>1207.3687391244</v>
      </c>
      <c r="J16" s="0" t="n">
        <f aca="false">-J12</f>
        <v>1243.58980129813</v>
      </c>
      <c r="K16" s="0" t="n">
        <f aca="false">-K12</f>
        <v>1280.89749533708</v>
      </c>
      <c r="L16" s="0" t="n">
        <f aca="false">-L12</f>
        <v>1319.32442019719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-1464.0626</v>
      </c>
      <c r="D17" s="4" t="n">
        <f aca="false">-D6*Assumptions!D46/100</f>
        <v>-1222.8250125</v>
      </c>
      <c r="E17" s="4" t="n">
        <f aca="false">-E6*Assumptions!E46/100</f>
        <v>-1100.54251125</v>
      </c>
      <c r="F17" s="4" t="n">
        <f aca="false">-F6*Assumptions!F46/100</f>
        <v>-1078.531661025</v>
      </c>
      <c r="G17" s="4" t="n">
        <f aca="false">-G6*Assumptions!G46/100</f>
        <v>-1081.6131800565</v>
      </c>
      <c r="H17" s="4" t="n">
        <f aca="false">-H6*Assumptions!H46/100</f>
        <v>-1124.87770725876</v>
      </c>
      <c r="I17" s="4" t="n">
        <f aca="false">-I6*Assumptions!I46/100</f>
        <v>-1164.24842701282</v>
      </c>
      <c r="J17" s="4" t="n">
        <f aca="false">-J6*Assumptions!J46/100</f>
        <v>-1199.1758798232</v>
      </c>
      <c r="K17" s="4" t="n">
        <f aca="false">-K6*Assumptions!K46/100</f>
        <v>-1235.1511562179</v>
      </c>
      <c r="L17" s="4" t="n">
        <f aca="false">-L6*Assumptions!L46/100</f>
        <v>-1272.20569090443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-15.5064</v>
      </c>
      <c r="D18" s="4" t="n">
        <f aca="false">(D6-C6)*Assumptions!$B$51/100</f>
        <v>-26.61932</v>
      </c>
      <c r="E18" s="4" t="n">
        <f aca="false">(E6-D6)*Assumptions!$B$51/100</f>
        <v>-27.9502860000001</v>
      </c>
      <c r="F18" s="4" t="n">
        <f aca="false">(F6-E6)*Assumptions!$B$51/100</f>
        <v>-29.3478003</v>
      </c>
      <c r="G18" s="4" t="n">
        <f aca="false">(G6-F6)*Assumptions!$B$51/100</f>
        <v>-24.652152252</v>
      </c>
      <c r="H18" s="4" t="n">
        <f aca="false">(H6-G6)*Assumptions!$B$51/100</f>
        <v>-25.63823834208</v>
      </c>
      <c r="I18" s="4" t="n">
        <f aca="false">(I6-H6)*Assumptions!$B$51/100</f>
        <v>-23.3307968912927</v>
      </c>
      <c r="J18" s="4" t="n">
        <f aca="false">(J6-I6)*Assumptions!$B$51/100</f>
        <v>-20.6977498135612</v>
      </c>
      <c r="K18" s="4" t="n">
        <f aca="false">(K6-J6)*Assumptions!$B$51/100</f>
        <v>-21.318682307968</v>
      </c>
      <c r="L18" s="4" t="n">
        <f aca="false">(L6-K6)*Assumptions!$B$51/100</f>
        <v>-21.9582427772071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588.8852606</v>
      </c>
      <c r="D19" s="0" t="n">
        <f aca="false">D15+D16+D17+D18</f>
        <v>648.869216905001</v>
      </c>
      <c r="E19" s="0" t="n">
        <f aca="false">E15+E16+E17+E18</f>
        <v>801.125072475</v>
      </c>
      <c r="F19" s="0" t="n">
        <f aca="false">F15+F16+F17+F18</f>
        <v>895.10790915</v>
      </c>
      <c r="G19" s="0" t="n">
        <f aca="false">G15+G16+G17+G18</f>
        <v>976.841532985501</v>
      </c>
      <c r="H19" s="0" t="n">
        <f aca="false">H15+H16+H17+H18</f>
        <v>1015.91519430492</v>
      </c>
      <c r="I19" s="0" t="n">
        <f aca="false">I15+I16+I17+I18</f>
        <v>1059.85144335174</v>
      </c>
      <c r="J19" s="0" t="n">
        <f aca="false">J15+J16+J17+J18</f>
        <v>1094.97995763677</v>
      </c>
      <c r="K19" s="0" t="n">
        <f aca="false">K15+K16+K17+K18</f>
        <v>1127.82935636587</v>
      </c>
      <c r="L19" s="0" t="n">
        <f aca="false">L15+L16+L17+L18</f>
        <v>1161.66423705684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535.350236909091</v>
      </c>
      <c r="D21" s="0" t="n">
        <f aca="false">D19*D20</f>
        <v>536.255551161157</v>
      </c>
      <c r="E21" s="0" t="n">
        <f aca="false">E19*E20</f>
        <v>601.897124323817</v>
      </c>
      <c r="F21" s="0" t="n">
        <f aca="false">F19*F20</f>
        <v>611.370745953145</v>
      </c>
      <c r="G21" s="0" t="n">
        <f aca="false">G19*G20</f>
        <v>606.54173708049</v>
      </c>
      <c r="H21" s="0" t="n">
        <f aca="false">H19*H20</f>
        <v>573.457642330645</v>
      </c>
      <c r="I21" s="0" t="n">
        <f aca="false">I19*I20</f>
        <v>543.871372274478</v>
      </c>
      <c r="J21" s="0" t="n">
        <f aca="false">J19*J20</f>
        <v>510.816231419292</v>
      </c>
      <c r="K21" s="0" t="n">
        <f aca="false">K19*K20</f>
        <v>478.309743965337</v>
      </c>
      <c r="L21" s="0" t="n">
        <f aca="false">L19*L20</f>
        <v>447.871851167543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3</v>
      </c>
      <c r="D23" s="4" t="n">
        <f aca="false">Assumptions!D44</f>
        <v>3</v>
      </c>
      <c r="E23" s="4" t="n">
        <f aca="false">Assumptions!E44</f>
        <v>3</v>
      </c>
      <c r="F23" s="4" t="n">
        <f aca="false">Assumptions!F44</f>
        <v>3</v>
      </c>
      <c r="G23" s="4" t="n">
        <f aca="false">Assumptions!G44</f>
        <v>3</v>
      </c>
      <c r="H23" s="4" t="n">
        <f aca="false">Assumptions!H44</f>
        <v>3</v>
      </c>
      <c r="I23" s="4" t="n">
        <f aca="false">Assumptions!I44</f>
        <v>3</v>
      </c>
      <c r="J23" s="4" t="n">
        <f aca="false">Assumptions!J44</f>
        <v>3</v>
      </c>
      <c r="K23" s="4" t="n">
        <f aca="false">Assumptions!K44</f>
        <v>3</v>
      </c>
      <c r="L23" s="4" t="n">
        <f aca="false">Assumptions!L44</f>
        <v>3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-199.6449</v>
      </c>
      <c r="D24" s="0" t="n">
        <f aca="false">-D6*D23/100</f>
        <v>-209.627145</v>
      </c>
      <c r="E24" s="0" t="n">
        <f aca="false">-E6*E23/100</f>
        <v>-220.10850225</v>
      </c>
      <c r="F24" s="0" t="n">
        <f aca="false">-F6*F23/100</f>
        <v>-231.1139273625</v>
      </c>
      <c r="G24" s="0" t="n">
        <f aca="false">-G6*G23/100</f>
        <v>-240.358484457</v>
      </c>
      <c r="H24" s="0" t="n">
        <f aca="false">-H6*H23/100</f>
        <v>-249.97282383528</v>
      </c>
      <c r="I24" s="0" t="n">
        <f aca="false">-I6*I23/100</f>
        <v>-258.721872669515</v>
      </c>
      <c r="J24" s="0" t="n">
        <f aca="false">-J6*J23/100</f>
        <v>-266.4835288496</v>
      </c>
      <c r="K24" s="0" t="n">
        <f aca="false">-K6*K23/100</f>
        <v>-274.478034715088</v>
      </c>
      <c r="L24" s="0" t="n">
        <f aca="false">-L6*L23/100</f>
        <v>-282.712375756541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5445.742236585</v>
      </c>
    </row>
    <row r="31" customFormat="false" ht="15" hidden="false" customHeight="false" outlineLevel="0" collapsed="false">
      <c r="A31" s="0" t="s">
        <v>129</v>
      </c>
      <c r="B31" s="0" t="n">
        <f aca="false">L19</f>
        <v>1161.66423705684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15876.0779064435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16263.2993187958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15876.0779064435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6120.91529928975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11566.6575358747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8713.65753587474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43.8312753313619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-0.199282511301391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479.341057352756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446.891223177619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48.4903914306093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9525.64674386612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19.2748730406498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4.22363701100865</v>
      </c>
      <c r="C4" s="0" t="n">
        <f aca="false">B4/Assumptions!$B$2-1</f>
        <v>-0.922841852192023</v>
      </c>
      <c r="D4" s="4" t="n">
        <f aca="false">Assumptions!$B$24</f>
        <v>0.3</v>
      </c>
      <c r="E4" s="4" t="n">
        <f aca="false">DCF_Bear!$B$43</f>
        <v>7.61425637123784</v>
      </c>
      <c r="F4" s="4" t="n">
        <f aca="false">DCF_Bear!$B$47</f>
        <v>-3.4861728263563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29.8288441706507</v>
      </c>
      <c r="C5" s="0" t="n">
        <f aca="false">B5/Assumptions!$B$2-1</f>
        <v>-0.455081399878504</v>
      </c>
      <c r="D5" s="4" t="n">
        <f aca="false">Assumptions!$B$38</f>
        <v>0.5</v>
      </c>
      <c r="E5" s="4" t="n">
        <f aca="false">DCF_Base!$B$43</f>
        <v>33.8175122275366</v>
      </c>
      <c r="F5" s="4" t="n">
        <f aca="false">DCF_Base!$B$47</f>
        <v>11.1041940488436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43.8312753313619</v>
      </c>
      <c r="C6" s="0" t="n">
        <f aca="false">B6/Assumptions!$B$2-1</f>
        <v>-0.199282511301391</v>
      </c>
      <c r="D6" s="4" t="n">
        <f aca="false">Assumptions!$B$52</f>
        <v>0.2</v>
      </c>
      <c r="E6" s="4" t="n">
        <f aca="false">DCF_Bull!$B$43</f>
        <v>48.4903914306093</v>
      </c>
      <c r="F6" s="4" t="n">
        <f aca="false">DCF_Bull!$B$47</f>
        <v>19.2748730406498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24.9477682549003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28.8911113112615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-1.19418424288304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755.506972619091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8.36121978464488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33.7509597229019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29.8288441706507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24.299063740924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19.9440129191996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11.1041940488436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37.4237629669181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37.4237629669181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37.4237629669181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37.4237629669181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37.4237629669181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32.8738372352005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33.7509597229019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33.7509597229019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33.7509597229019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33.7509597229019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26.8687598089277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28.2562993534854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29.8288441706507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30.4006786496199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30.4006786496199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22.1449476543542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23.1621691396788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24.299063740924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25.5780701673248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27.0276107839124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18.3354304339134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19.0995071144243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19.9440129191996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20.8823527022832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21.9310854010238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2026-09-23T09:13:31Z</dcterms:created>
  <dc:creator>openpyxl</dc:creator>
  <dc:description/>
  <dc:language>en-NZ</dc:language>
  <cp:lastModifiedBy/>
  <dcterms:modified xsi:type="dcterms:W3CDTF">2026-09-23T09:13:31Z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