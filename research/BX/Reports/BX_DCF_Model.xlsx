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B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.00"/>
    <numFmt numFmtId="167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center" wrapText="1"/>
    </xf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66" fontId="6" fillId="3" borderId="0" pivotButton="0" quotePrefix="0" xfId="0"/>
    <xf numFmtId="0" fontId="4" fillId="2" borderId="0" applyAlignment="1" pivotButton="0" quotePrefix="0" xfId="0">
      <alignment horizontal="center"/>
    </xf>
    <xf numFmtId="9" fontId="0" fillId="0" borderId="0" pivotButton="0" quotePrefix="0" xfId="0"/>
    <xf numFmtId="166" fontId="0" fillId="3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8" customWidth="1" min="1" max="1"/>
    <col width="4" customWidth="1" min="2" max="2"/>
    <col width="55" customWidth="1" min="3" max="3"/>
  </cols>
  <sheetData>
    <row r="1">
      <c r="A1" s="1" t="inlineStr">
        <is>
          <t>Blackstone Inc. (BX) -- Distributable Earnings DCF</t>
        </is>
      </c>
    </row>
    <row r="2">
      <c r="A2" s="2" t="inlineStr">
        <is>
          <t>Valuation date: 2026-09-26   |   Model: DE capitalization at cost of equity (asset-manager GP)</t>
        </is>
      </c>
    </row>
    <row r="5">
      <c r="A5" t="inlineStr">
        <is>
          <t>Current price (USD, 2026-09-25 close)</t>
        </is>
      </c>
      <c r="C5" s="3" t="n">
        <v>118.42</v>
      </c>
    </row>
    <row r="6">
      <c r="A6" t="inlineStr">
        <is>
          <t>52-week range</t>
        </is>
      </c>
      <c r="C6" t="inlineStr">
        <is>
          <t>101.73 - 178.29</t>
        </is>
      </c>
    </row>
    <row r="9">
      <c r="A9" t="inlineStr">
        <is>
          <t>DE Shares Outstanding (2Q'26, millions)</t>
        </is>
      </c>
      <c r="C9" s="3" t="n">
        <v>1243.813</v>
      </c>
    </row>
    <row r="10">
      <c r="A10" t="inlineStr">
        <is>
          <t xml:space="preserve">  of which Participating Common Shares</t>
        </is>
      </c>
      <c r="C10" s="3" t="n">
        <v>799.9349999999999</v>
      </c>
    </row>
    <row r="11">
      <c r="A11" t="inlineStr">
        <is>
          <t xml:space="preserve">  of which Blackstone Holdings Partnership Units</t>
        </is>
      </c>
      <c r="C11" s="3" t="n">
        <v>443.878</v>
      </c>
    </row>
    <row r="12">
      <c r="A12" t="inlineStr">
        <is>
          <t>LTM Distributable Earnings ($M)</t>
        </is>
      </c>
      <c r="C12" s="3" t="n">
        <v>7876.6</v>
      </c>
    </row>
    <row r="13">
      <c r="A13" t="inlineStr">
        <is>
          <t>LTM DE per DE-share ($)</t>
        </is>
      </c>
      <c r="C13" s="3" t="n">
        <v>6.15</v>
      </c>
    </row>
    <row r="14">
      <c r="A14" t="inlineStr">
        <is>
          <t>LTM Fee Related Earnings ($M)</t>
        </is>
      </c>
      <c r="C14" s="3" t="n">
        <v>6331.4</v>
      </c>
    </row>
    <row r="15">
      <c r="A15" t="inlineStr">
        <is>
          <t>LTM FRE per DE-share ($)</t>
        </is>
      </c>
      <c r="C15" s="3" t="n">
        <v>5.14</v>
      </c>
    </row>
    <row r="17">
      <c r="A17" t="inlineStr">
        <is>
          <t>Annual history ($M)</t>
        </is>
      </c>
      <c r="C17" t="inlineStr">
        <is>
          <t>FY2022 / FY2023 / FY2024 / FY2025</t>
        </is>
      </c>
    </row>
    <row r="18">
      <c r="A18" t="inlineStr">
        <is>
          <t xml:space="preserve">  Distributable Earnings</t>
        </is>
      </c>
      <c r="C18" t="inlineStr">
        <is>
          <t>6,632.8 / 5,061.0 / 5,966.7 / 7,110.9</t>
        </is>
      </c>
    </row>
    <row r="19">
      <c r="A19" t="inlineStr">
        <is>
          <t xml:space="preserve">  Fee Related Earnings</t>
        </is>
      </c>
      <c r="C19" t="inlineStr">
        <is>
          <t>4,412.6 / 4,349.3 / 5,282.1 / 5,737.5</t>
        </is>
      </c>
    </row>
    <row r="22">
      <c r="A22" t="inlineStr">
        <is>
          <t>Outstanding debt (at par)</t>
        </is>
      </c>
      <c r="C22" s="3" t="n">
        <v>13192.7</v>
      </c>
    </row>
    <row r="23">
      <c r="A23" t="inlineStr">
        <is>
          <t>Cash and cash equivalents</t>
        </is>
      </c>
      <c r="C23" s="3" t="n">
        <v>2507</v>
      </c>
    </row>
    <row r="24">
      <c r="A24" t="inlineStr">
        <is>
          <t>Corporate treasury and other investments</t>
        </is>
      </c>
      <c r="C24" s="3" t="n">
        <v>9735</v>
      </c>
    </row>
    <row r="25">
      <c r="A25" t="inlineStr">
        <is>
          <t>Net liquid corporate (cash+treasury-debt)</t>
        </is>
      </c>
      <c r="C25" s="3">
        <f>C23+C24-C22</f>
        <v/>
      </c>
    </row>
    <row r="26">
      <c r="A26" t="inlineStr">
        <is>
          <t>Net liquid per DE-share</t>
        </is>
      </c>
      <c r="C26" s="4">
        <f>C25/C9</f>
        <v/>
      </c>
    </row>
    <row r="28">
      <c r="A28" t="inlineStr">
        <is>
          <t>Bridge treatment: NOT added -- DE already post-financing-cost;</t>
        </is>
      </c>
    </row>
    <row r="29">
      <c r="A29" t="inlineStr">
        <is>
          <t>GP co-investments &amp; net accrued performance revenue excluded to avoid</t>
        </is>
      </c>
    </row>
    <row r="30">
      <c r="A30" t="inlineStr">
        <is>
          <t>double-counting future DE already captured in the growth path.</t>
        </is>
      </c>
    </row>
    <row r="33">
      <c r="A33" t="inlineStr">
        <is>
          <t>Total AUM</t>
        </is>
      </c>
      <c r="C33" s="3" t="n">
        <v>1346.3</v>
      </c>
    </row>
    <row r="34">
      <c r="A34" t="inlineStr">
        <is>
          <t>Fee-earning AUM</t>
        </is>
      </c>
      <c r="C34" s="3" t="n">
        <v>961.6</v>
      </c>
    </row>
    <row r="35">
      <c r="A35" t="inlineStr">
        <is>
          <t>Perpetual capital AUM (48% of fee-earning)</t>
        </is>
      </c>
      <c r="C35" s="3" t="n">
        <v>555.6</v>
      </c>
    </row>
    <row r="38">
      <c r="A38" t="inlineStr">
        <is>
          <t>Risk-free rate</t>
        </is>
      </c>
      <c r="C38" s="3" t="n">
        <v>0.042</v>
      </c>
    </row>
    <row r="39">
      <c r="A39" t="inlineStr">
        <is>
          <t>Beta (alternative asset manager)</t>
        </is>
      </c>
      <c r="C39" s="3" t="n">
        <v>1.35</v>
      </c>
    </row>
    <row r="40">
      <c r="A40" t="inlineStr">
        <is>
          <t>Equity risk premium</t>
        </is>
      </c>
      <c r="C40" s="3" t="n">
        <v>0.05</v>
      </c>
    </row>
    <row r="41">
      <c r="A41" t="inlineStr">
        <is>
          <t>Cost of equity = Rf + Beta x ERP</t>
        </is>
      </c>
      <c r="C41" s="5">
        <f>C38+C39*C40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BX -- Valuation Summary</t>
        </is>
      </c>
    </row>
    <row r="3">
      <c r="A3" s="13" t="inlineStr">
        <is>
          <t>Scenario</t>
        </is>
      </c>
      <c r="B3" s="13" t="inlineStr">
        <is>
          <t>Weight</t>
        </is>
      </c>
      <c r="C3" s="13" t="inlineStr">
        <is>
          <t>Intrinsic Value/Share ($)</t>
        </is>
      </c>
      <c r="D3" s="13" t="inlineStr">
        <is>
          <t>Upside/Downside</t>
        </is>
      </c>
    </row>
    <row r="4">
      <c r="A4" t="inlineStr">
        <is>
          <t>Bear</t>
        </is>
      </c>
      <c r="B4" s="14" t="n">
        <v>0.25</v>
      </c>
      <c r="C4" s="9">
        <f>Bear!C27</f>
        <v/>
      </c>
      <c r="D4" s="7">
        <f>C4/Inputs!C5-1</f>
        <v/>
      </c>
    </row>
    <row r="5">
      <c r="A5" t="inlineStr">
        <is>
          <t>Base</t>
        </is>
      </c>
      <c r="B5" s="14" t="n">
        <v>0.5</v>
      </c>
      <c r="C5" s="9">
        <f>Base!C27</f>
        <v/>
      </c>
      <c r="D5" s="7">
        <f>C5/Inputs!C5-1</f>
        <v/>
      </c>
    </row>
    <row r="6">
      <c r="A6" t="inlineStr">
        <is>
          <t>Bull</t>
        </is>
      </c>
      <c r="B6" s="14" t="n">
        <v>0.25</v>
      </c>
      <c r="C6" s="9">
        <f>Bull!C27</f>
        <v/>
      </c>
      <c r="D6" s="7">
        <f>C6/Inputs!C5-1</f>
        <v/>
      </c>
    </row>
    <row r="7">
      <c r="A7" s="11" t="inlineStr">
        <is>
          <t>Probability-weighted IV</t>
        </is>
      </c>
      <c r="C7" s="15">
        <f>SUMPRODUCT(B4:B6,C4:C6)</f>
        <v/>
      </c>
    </row>
    <row r="8">
      <c r="A8" s="11" t="inlineStr">
        <is>
          <t>Current price</t>
        </is>
      </c>
      <c r="C8" s="9">
        <f>Inputs!C5</f>
        <v/>
      </c>
    </row>
    <row r="9">
      <c r="A9" s="11" t="inlineStr">
        <is>
          <t>Upside/(downside), weighted</t>
        </is>
      </c>
      <c r="C9" s="7">
        <f>C7/Inputs!C5-1</f>
        <v/>
      </c>
    </row>
    <row r="11">
      <c r="A11" s="11" t="inlineStr">
        <is>
          <t>Band position (0%=Base, 100%=Bull)</t>
        </is>
      </c>
      <c r="C11" s="7">
        <f>(Inputs!C5-Base!C27)/(Bull!C27-Base!C27)</f>
        <v/>
      </c>
    </row>
    <row r="14">
      <c r="A14" s="11" t="inlineStr">
        <is>
          <t>Entry price at 15% hurdle rate (base case DE path)</t>
        </is>
      </c>
    </row>
    <row r="15">
      <c r="A15" t="inlineStr">
        <is>
          <t xml:space="preserve">  Hurdle rate</t>
        </is>
      </c>
      <c r="C15" s="7" t="n">
        <v>0.15</v>
      </c>
    </row>
    <row r="16">
      <c r="A16" t="inlineStr">
        <is>
          <t xml:space="preserve">  Entry price ($)</t>
        </is>
      </c>
      <c r="C16" s="16" t="n">
        <v>69.89</v>
      </c>
    </row>
    <row r="17">
      <c r="A17" t="inlineStr">
        <is>
          <t xml:space="preserve">  Discount to current price</t>
        </is>
      </c>
      <c r="C17" s="7">
        <f>C16/Inputs!C5-1</f>
        <v/>
      </c>
    </row>
    <row r="19">
      <c r="A19" s="11" t="inlineStr">
        <is>
          <t>Required Return Table (base case)</t>
        </is>
      </c>
    </row>
    <row r="20">
      <c r="A20" t="inlineStr">
        <is>
          <t>Cost of equity</t>
        </is>
      </c>
      <c r="B20" t="inlineStr">
        <is>
          <t>8%</t>
        </is>
      </c>
      <c r="C20" t="inlineStr">
        <is>
          <t>9%</t>
        </is>
      </c>
      <c r="D20" t="inlineStr">
        <is>
          <t>10%</t>
        </is>
      </c>
      <c r="E20" t="inlineStr">
        <is>
          <t>11%</t>
        </is>
      </c>
      <c r="F20" t="inlineStr">
        <is>
          <t>11.5%</t>
        </is>
      </c>
      <c r="G20" t="inlineStr">
        <is>
          <t>12%</t>
        </is>
      </c>
      <c r="H20" t="inlineStr">
        <is>
          <t>13%</t>
        </is>
      </c>
      <c r="I20" t="inlineStr">
        <is>
          <t>15%</t>
        </is>
      </c>
    </row>
    <row r="21">
      <c r="A21" t="inlineStr">
        <is>
          <t>Value/share ($)</t>
        </is>
      </c>
      <c r="B21" s="9" t="n">
        <v>203.55</v>
      </c>
      <c r="C21" s="9" t="n">
        <v>161.31</v>
      </c>
      <c r="D21" s="9" t="n">
        <v>133.22</v>
      </c>
      <c r="E21" s="9" t="n">
        <v>113.22</v>
      </c>
      <c r="F21" s="9" t="n">
        <v>105.24</v>
      </c>
      <c r="G21" s="9" t="n">
        <v>98.26000000000001</v>
      </c>
      <c r="H21" s="9" t="n">
        <v>86.67</v>
      </c>
      <c r="I21" s="9" t="n">
        <v>69.89</v>
      </c>
    </row>
    <row r="24">
      <c r="A24" s="11" t="inlineStr">
        <is>
          <t>Sensitivity: Cost of Equity (rows) x Terminal Growth (cols)</t>
        </is>
      </c>
    </row>
    <row r="25">
      <c r="A25" t="inlineStr">
        <is>
          <t>CoE \ TG</t>
        </is>
      </c>
      <c r="B25" t="inlineStr">
        <is>
          <t>2.5%</t>
        </is>
      </c>
      <c r="C25" t="inlineStr">
        <is>
          <t>3.0%</t>
        </is>
      </c>
      <c r="D25" t="inlineStr">
        <is>
          <t>3.5%</t>
        </is>
      </c>
      <c r="E25" t="inlineStr">
        <is>
          <t>4.0%</t>
        </is>
      </c>
      <c r="F25" t="inlineStr">
        <is>
          <t>4.5%</t>
        </is>
      </c>
    </row>
    <row r="26">
      <c r="A26" t="inlineStr">
        <is>
          <t>9%</t>
        </is>
      </c>
      <c r="B26" s="9" t="n">
        <v>135.6</v>
      </c>
      <c r="C26" s="9" t="n">
        <v>142.7</v>
      </c>
      <c r="D26" s="9" t="n">
        <v>151.2</v>
      </c>
      <c r="E26" s="9" t="n">
        <v>161.3</v>
      </c>
      <c r="F26" s="9" t="n">
        <v>173.7</v>
      </c>
    </row>
    <row r="27">
      <c r="A27" t="inlineStr">
        <is>
          <t>10%</t>
        </is>
      </c>
      <c r="B27" s="9" t="n">
        <v>116.1</v>
      </c>
      <c r="C27" s="9" t="n">
        <v>121</v>
      </c>
      <c r="D27" s="9" t="n">
        <v>126.6</v>
      </c>
      <c r="E27" s="9" t="n">
        <v>133.2</v>
      </c>
      <c r="F27" s="9" t="n">
        <v>141</v>
      </c>
    </row>
    <row r="28">
      <c r="A28" t="inlineStr">
        <is>
          <t>11%</t>
        </is>
      </c>
      <c r="B28" s="9" t="n">
        <v>101.3</v>
      </c>
      <c r="C28" s="9" t="n">
        <v>104.8</v>
      </c>
      <c r="D28" s="9" t="n">
        <v>108.7</v>
      </c>
      <c r="E28" s="9" t="n">
        <v>113.2</v>
      </c>
      <c r="F28" s="9" t="n">
        <v>118.4</v>
      </c>
    </row>
    <row r="29">
      <c r="A29" t="inlineStr">
        <is>
          <t>12%</t>
        </is>
      </c>
      <c r="B29" s="9" t="n">
        <v>89.7</v>
      </c>
      <c r="C29" s="9" t="n">
        <v>92.2</v>
      </c>
      <c r="D29" s="9" t="n">
        <v>95.09999999999999</v>
      </c>
      <c r="E29" s="9" t="n">
        <v>98.3</v>
      </c>
      <c r="F29" s="9" t="n">
        <v>101.9</v>
      </c>
    </row>
    <row r="30">
      <c r="A30" t="inlineStr">
        <is>
          <t>13%</t>
        </is>
      </c>
      <c r="B30" s="9" t="n">
        <v>80.3</v>
      </c>
      <c r="C30" s="9" t="n">
        <v>82.2</v>
      </c>
      <c r="D30" s="9" t="n">
        <v>84.3</v>
      </c>
      <c r="E30" s="9" t="n">
        <v>86.7</v>
      </c>
      <c r="F30" s="9" t="n">
        <v>89.3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BX -- Base case</t>
        </is>
      </c>
    </row>
    <row r="3">
      <c r="A3" t="inlineStr">
        <is>
          <t>Cost of equity</t>
        </is>
      </c>
      <c r="C3" s="7" t="n">
        <v>0.11</v>
      </c>
    </row>
    <row r="4">
      <c r="A4" t="inlineStr">
        <is>
          <t>Terminal growth rate</t>
        </is>
      </c>
      <c r="C4" s="7" t="n">
        <v>0.04</v>
      </c>
    </row>
    <row r="5">
      <c r="A5" t="inlineStr">
        <is>
          <t>DE-share count annual growth</t>
        </is>
      </c>
      <c r="C5" s="7" t="n">
        <v>0.015</v>
      </c>
    </row>
    <row r="6">
      <c r="A6" t="inlineStr">
        <is>
          <t>Base LTM DE ($M)</t>
        </is>
      </c>
      <c r="C6">
        <f>Inputs!C12</f>
        <v/>
      </c>
    </row>
    <row r="7">
      <c r="A7" t="inlineStr">
        <is>
          <t>Base DE Shares Outstanding (M)</t>
        </is>
      </c>
      <c r="C7">
        <f>Inputs!C9</f>
        <v/>
      </c>
    </row>
    <row r="9">
      <c r="A9" s="8" t="inlineStr">
        <is>
          <t>Year</t>
        </is>
      </c>
      <c r="B9" s="8" t="inlineStr">
        <is>
          <t>DE growth %</t>
        </is>
      </c>
      <c r="C9" s="8" t="inlineStr">
        <is>
          <t>Distributable Earnings ($M)</t>
        </is>
      </c>
      <c r="D9" s="8" t="inlineStr">
        <is>
          <t>DE Shares Outstanding (M)</t>
        </is>
      </c>
      <c r="E9" s="8" t="inlineStr">
        <is>
          <t>DE per share ($)</t>
        </is>
      </c>
      <c r="F9" s="8" t="inlineStr">
        <is>
          <t>Discount factor</t>
        </is>
      </c>
      <c r="G9" s="8" t="inlineStr">
        <is>
          <t>PV of DE ($M)</t>
        </is>
      </c>
    </row>
    <row r="10">
      <c r="A10" t="inlineStr">
        <is>
          <t>Y1</t>
        </is>
      </c>
      <c r="B10" s="7" t="n">
        <v>0.11</v>
      </c>
      <c r="C10" s="3">
        <f>C6*(1+B10)</f>
        <v/>
      </c>
      <c r="D10" s="4">
        <f>C7*(1+$C$5)</f>
        <v/>
      </c>
      <c r="E10" s="9">
        <f>C10/D10</f>
        <v/>
      </c>
      <c r="F10" s="10">
        <f>1/(1+$C$3)^1</f>
        <v/>
      </c>
      <c r="G10" s="3">
        <f>C10*F10</f>
        <v/>
      </c>
    </row>
    <row r="11">
      <c r="A11" t="inlineStr">
        <is>
          <t>Y2</t>
        </is>
      </c>
      <c r="B11" s="7" t="n">
        <v>0.1</v>
      </c>
      <c r="C11" s="3">
        <f>C10*(1+B11)</f>
        <v/>
      </c>
      <c r="D11" s="4">
        <f>D10*(1+$C$5)</f>
        <v/>
      </c>
      <c r="E11" s="9">
        <f>C11/D11</f>
        <v/>
      </c>
      <c r="F11" s="10">
        <f>1/(1+$C$3)^2</f>
        <v/>
      </c>
      <c r="G11" s="3">
        <f>C11*F11</f>
        <v/>
      </c>
    </row>
    <row r="12">
      <c r="A12" t="inlineStr">
        <is>
          <t>Y3</t>
        </is>
      </c>
      <c r="B12" s="7" t="n">
        <v>0.1</v>
      </c>
      <c r="C12" s="3">
        <f>C11*(1+B12)</f>
        <v/>
      </c>
      <c r="D12" s="4">
        <f>D11*(1+$C$5)</f>
        <v/>
      </c>
      <c r="E12" s="9">
        <f>C12/D12</f>
        <v/>
      </c>
      <c r="F12" s="10">
        <f>1/(1+$C$3)^3</f>
        <v/>
      </c>
      <c r="G12" s="3">
        <f>C12*F12</f>
        <v/>
      </c>
    </row>
    <row r="13">
      <c r="A13" t="inlineStr">
        <is>
          <t>Y4</t>
        </is>
      </c>
      <c r="B13" s="7" t="n">
        <v>0.09</v>
      </c>
      <c r="C13" s="3">
        <f>C12*(1+B13)</f>
        <v/>
      </c>
      <c r="D13" s="4">
        <f>D12*(1+$C$5)</f>
        <v/>
      </c>
      <c r="E13" s="9">
        <f>C13/D13</f>
        <v/>
      </c>
      <c r="F13" s="10">
        <f>1/(1+$C$3)^4</f>
        <v/>
      </c>
      <c r="G13" s="3">
        <f>C13*F13</f>
        <v/>
      </c>
    </row>
    <row r="14">
      <c r="A14" t="inlineStr">
        <is>
          <t>Y5</t>
        </is>
      </c>
      <c r="B14" s="7" t="n">
        <v>0.09</v>
      </c>
      <c r="C14" s="3">
        <f>C13*(1+B14)</f>
        <v/>
      </c>
      <c r="D14" s="4">
        <f>D13*(1+$C$5)</f>
        <v/>
      </c>
      <c r="E14" s="9">
        <f>C14/D14</f>
        <v/>
      </c>
      <c r="F14" s="10">
        <f>1/(1+$C$3)^5</f>
        <v/>
      </c>
      <c r="G14" s="3">
        <f>C14*F14</f>
        <v/>
      </c>
    </row>
    <row r="15">
      <c r="A15" t="inlineStr">
        <is>
          <t>Y6</t>
        </is>
      </c>
      <c r="B15" s="7" t="n">
        <v>0.08</v>
      </c>
      <c r="C15" s="3">
        <f>C14*(1+B15)</f>
        <v/>
      </c>
      <c r="D15" s="4">
        <f>D14*(1+$C$5)</f>
        <v/>
      </c>
      <c r="E15" s="9">
        <f>C15/D15</f>
        <v/>
      </c>
      <c r="F15" s="10">
        <f>1/(1+$C$3)^6</f>
        <v/>
      </c>
      <c r="G15" s="3">
        <f>C15*F15</f>
        <v/>
      </c>
    </row>
    <row r="16">
      <c r="A16" t="inlineStr">
        <is>
          <t>Y7</t>
        </is>
      </c>
      <c r="B16" s="7" t="n">
        <v>0.07000000000000001</v>
      </c>
      <c r="C16" s="3">
        <f>C15*(1+B16)</f>
        <v/>
      </c>
      <c r="D16" s="4">
        <f>D15*(1+$C$5)</f>
        <v/>
      </c>
      <c r="E16" s="9">
        <f>C16/D16</f>
        <v/>
      </c>
      <c r="F16" s="10">
        <f>1/(1+$C$3)^7</f>
        <v/>
      </c>
      <c r="G16" s="3">
        <f>C16*F16</f>
        <v/>
      </c>
    </row>
    <row r="17">
      <c r="A17" t="inlineStr">
        <is>
          <t>Y8</t>
        </is>
      </c>
      <c r="B17" s="7" t="n">
        <v>0.07000000000000001</v>
      </c>
      <c r="C17" s="3">
        <f>C16*(1+B17)</f>
        <v/>
      </c>
      <c r="D17" s="4">
        <f>D16*(1+$C$5)</f>
        <v/>
      </c>
      <c r="E17" s="9">
        <f>C17/D17</f>
        <v/>
      </c>
      <c r="F17" s="10">
        <f>1/(1+$C$3)^8</f>
        <v/>
      </c>
      <c r="G17" s="3">
        <f>C17*F17</f>
        <v/>
      </c>
    </row>
    <row r="18">
      <c r="A18" t="inlineStr">
        <is>
          <t>Y9</t>
        </is>
      </c>
      <c r="B18" s="7" t="n">
        <v>0.06</v>
      </c>
      <c r="C18" s="3">
        <f>C17*(1+B18)</f>
        <v/>
      </c>
      <c r="D18" s="4">
        <f>D17*(1+$C$5)</f>
        <v/>
      </c>
      <c r="E18" s="9">
        <f>C18/D18</f>
        <v/>
      </c>
      <c r="F18" s="10">
        <f>1/(1+$C$3)^9</f>
        <v/>
      </c>
      <c r="G18" s="3">
        <f>C18*F18</f>
        <v/>
      </c>
    </row>
    <row r="19">
      <c r="A19" t="inlineStr">
        <is>
          <t>Y10</t>
        </is>
      </c>
      <c r="B19" s="7" t="n">
        <v>0.06</v>
      </c>
      <c r="C19" s="3">
        <f>C18*(1+B19)</f>
        <v/>
      </c>
      <c r="D19" s="4">
        <f>D18*(1+$C$5)</f>
        <v/>
      </c>
      <c r="E19" s="9">
        <f>C19/D19</f>
        <v/>
      </c>
      <c r="F19" s="10">
        <f>1/(1+$C$3)^10</f>
        <v/>
      </c>
      <c r="G19" s="3">
        <f>C19*F19</f>
        <v/>
      </c>
    </row>
    <row r="21">
      <c r="A21" s="11" t="inlineStr">
        <is>
          <t>Sum PV of interim DE</t>
        </is>
      </c>
      <c r="G21" s="3">
        <f>SUM(G10:G19)</f>
        <v/>
      </c>
    </row>
    <row r="22">
      <c r="A22" s="11" t="inlineStr">
        <is>
          <t>Terminal DE (Year N+1)</t>
        </is>
      </c>
      <c r="C22" s="3">
        <f>C19*(1+C4)</f>
        <v/>
      </c>
    </row>
    <row r="23">
      <c r="A23" s="11" t="inlineStr">
        <is>
          <t>Terminal Value (Gordon growth)</t>
        </is>
      </c>
      <c r="C23" s="3">
        <f>C22/(C3-C4)</f>
        <v/>
      </c>
    </row>
    <row r="24">
      <c r="A24" s="11" t="inlineStr">
        <is>
          <t>PV of Terminal Value</t>
        </is>
      </c>
      <c r="C24" s="3">
        <f>C23*F19</f>
        <v/>
      </c>
    </row>
    <row r="25">
      <c r="A25" s="11" t="inlineStr">
        <is>
          <t>Equity Value ($M)</t>
        </is>
      </c>
      <c r="C25" s="3">
        <f>G21+C24</f>
        <v/>
      </c>
    </row>
    <row r="26">
      <c r="A26" s="11" t="inlineStr">
        <is>
          <t>Ending DE Shares Outstanding (M)</t>
        </is>
      </c>
      <c r="C26" s="4">
        <f>D19</f>
        <v/>
      </c>
    </row>
    <row r="27">
      <c r="A27" s="11" t="inlineStr">
        <is>
          <t>Intrinsic Value per Share ($)</t>
        </is>
      </c>
      <c r="C27" s="12">
        <f>C25/C26</f>
        <v/>
      </c>
    </row>
    <row r="28">
      <c r="A28" t="inlineStr">
        <is>
          <t>Current price ($)</t>
        </is>
      </c>
      <c r="C28" s="9">
        <f>Inputs!C5</f>
        <v/>
      </c>
    </row>
    <row r="29">
      <c r="A29" t="inlineStr">
        <is>
          <t>Upside/(downside) to current price</t>
        </is>
      </c>
      <c r="C29" s="7">
        <f>C27/C28-1</f>
        <v/>
      </c>
    </row>
    <row r="30">
      <c r="A30" t="inlineStr">
        <is>
          <t>Terminal value as % of equity value</t>
        </is>
      </c>
      <c r="C30" s="7">
        <f>C24/C25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BX -- Bull case</t>
        </is>
      </c>
    </row>
    <row r="3">
      <c r="A3" t="inlineStr">
        <is>
          <t>Cost of equity</t>
        </is>
      </c>
      <c r="C3" s="7" t="n">
        <v>0.1</v>
      </c>
    </row>
    <row r="4">
      <c r="A4" t="inlineStr">
        <is>
          <t>Terminal growth rate</t>
        </is>
      </c>
      <c r="C4" s="7" t="n">
        <v>0.045</v>
      </c>
    </row>
    <row r="5">
      <c r="A5" t="inlineStr">
        <is>
          <t>DE-share count annual growth</t>
        </is>
      </c>
      <c r="C5" s="7" t="n">
        <v>0.015</v>
      </c>
    </row>
    <row r="6">
      <c r="A6" t="inlineStr">
        <is>
          <t>Base LTM DE ($M)</t>
        </is>
      </c>
      <c r="C6">
        <f>Inputs!C12</f>
        <v/>
      </c>
    </row>
    <row r="7">
      <c r="A7" t="inlineStr">
        <is>
          <t>Base DE Shares Outstanding (M)</t>
        </is>
      </c>
      <c r="C7">
        <f>Inputs!C9</f>
        <v/>
      </c>
    </row>
    <row r="9">
      <c r="A9" s="8" t="inlineStr">
        <is>
          <t>Year</t>
        </is>
      </c>
      <c r="B9" s="8" t="inlineStr">
        <is>
          <t>DE growth %</t>
        </is>
      </c>
      <c r="C9" s="8" t="inlineStr">
        <is>
          <t>Distributable Earnings ($M)</t>
        </is>
      </c>
      <c r="D9" s="8" t="inlineStr">
        <is>
          <t>DE Shares Outstanding (M)</t>
        </is>
      </c>
      <c r="E9" s="8" t="inlineStr">
        <is>
          <t>DE per share ($)</t>
        </is>
      </c>
      <c r="F9" s="8" t="inlineStr">
        <is>
          <t>Discount factor</t>
        </is>
      </c>
      <c r="G9" s="8" t="inlineStr">
        <is>
          <t>PV of DE ($M)</t>
        </is>
      </c>
    </row>
    <row r="10">
      <c r="A10" t="inlineStr">
        <is>
          <t>Y1</t>
        </is>
      </c>
      <c r="B10" s="7" t="n">
        <v>0.15</v>
      </c>
      <c r="C10" s="3">
        <f>C6*(1+B10)</f>
        <v/>
      </c>
      <c r="D10" s="4">
        <f>C7*(1+$C$5)</f>
        <v/>
      </c>
      <c r="E10" s="9">
        <f>C10/D10</f>
        <v/>
      </c>
      <c r="F10" s="10">
        <f>1/(1+$C$3)^1</f>
        <v/>
      </c>
      <c r="G10" s="3">
        <f>C10*F10</f>
        <v/>
      </c>
    </row>
    <row r="11">
      <c r="A11" t="inlineStr">
        <is>
          <t>Y2</t>
        </is>
      </c>
      <c r="B11" s="7" t="n">
        <v>0.14</v>
      </c>
      <c r="C11" s="3">
        <f>C10*(1+B11)</f>
        <v/>
      </c>
      <c r="D11" s="4">
        <f>D10*(1+$C$5)</f>
        <v/>
      </c>
      <c r="E11" s="9">
        <f>C11/D11</f>
        <v/>
      </c>
      <c r="F11" s="10">
        <f>1/(1+$C$3)^2</f>
        <v/>
      </c>
      <c r="G11" s="3">
        <f>C11*F11</f>
        <v/>
      </c>
    </row>
    <row r="12">
      <c r="A12" t="inlineStr">
        <is>
          <t>Y3</t>
        </is>
      </c>
      <c r="B12" s="7" t="n">
        <v>0.13</v>
      </c>
      <c r="C12" s="3">
        <f>C11*(1+B12)</f>
        <v/>
      </c>
      <c r="D12" s="4">
        <f>D11*(1+$C$5)</f>
        <v/>
      </c>
      <c r="E12" s="9">
        <f>C12/D12</f>
        <v/>
      </c>
      <c r="F12" s="10">
        <f>1/(1+$C$3)^3</f>
        <v/>
      </c>
      <c r="G12" s="3">
        <f>C12*F12</f>
        <v/>
      </c>
    </row>
    <row r="13">
      <c r="A13" t="inlineStr">
        <is>
          <t>Y4</t>
        </is>
      </c>
      <c r="B13" s="7" t="n">
        <v>0.12</v>
      </c>
      <c r="C13" s="3">
        <f>C12*(1+B13)</f>
        <v/>
      </c>
      <c r="D13" s="4">
        <f>D12*(1+$C$5)</f>
        <v/>
      </c>
      <c r="E13" s="9">
        <f>C13/D13</f>
        <v/>
      </c>
      <c r="F13" s="10">
        <f>1/(1+$C$3)^4</f>
        <v/>
      </c>
      <c r="G13" s="3">
        <f>C13*F13</f>
        <v/>
      </c>
    </row>
    <row r="14">
      <c r="A14" t="inlineStr">
        <is>
          <t>Y5</t>
        </is>
      </c>
      <c r="B14" s="7" t="n">
        <v>0.11</v>
      </c>
      <c r="C14" s="3">
        <f>C13*(1+B14)</f>
        <v/>
      </c>
      <c r="D14" s="4">
        <f>D13*(1+$C$5)</f>
        <v/>
      </c>
      <c r="E14" s="9">
        <f>C14/D14</f>
        <v/>
      </c>
      <c r="F14" s="10">
        <f>1/(1+$C$3)^5</f>
        <v/>
      </c>
      <c r="G14" s="3">
        <f>C14*F14</f>
        <v/>
      </c>
    </row>
    <row r="15">
      <c r="A15" t="inlineStr">
        <is>
          <t>Y6</t>
        </is>
      </c>
      <c r="B15" s="7" t="n">
        <v>0.1</v>
      </c>
      <c r="C15" s="3">
        <f>C14*(1+B15)</f>
        <v/>
      </c>
      <c r="D15" s="4">
        <f>D14*(1+$C$5)</f>
        <v/>
      </c>
      <c r="E15" s="9">
        <f>C15/D15</f>
        <v/>
      </c>
      <c r="F15" s="10">
        <f>1/(1+$C$3)^6</f>
        <v/>
      </c>
      <c r="G15" s="3">
        <f>C15*F15</f>
        <v/>
      </c>
    </row>
    <row r="16">
      <c r="A16" t="inlineStr">
        <is>
          <t>Y7</t>
        </is>
      </c>
      <c r="B16" s="7" t="n">
        <v>0.09</v>
      </c>
      <c r="C16" s="3">
        <f>C15*(1+B16)</f>
        <v/>
      </c>
      <c r="D16" s="4">
        <f>D15*(1+$C$5)</f>
        <v/>
      </c>
      <c r="E16" s="9">
        <f>C16/D16</f>
        <v/>
      </c>
      <c r="F16" s="10">
        <f>1/(1+$C$3)^7</f>
        <v/>
      </c>
      <c r="G16" s="3">
        <f>C16*F16</f>
        <v/>
      </c>
    </row>
    <row r="17">
      <c r="A17" t="inlineStr">
        <is>
          <t>Y8</t>
        </is>
      </c>
      <c r="B17" s="7" t="n">
        <v>0.08</v>
      </c>
      <c r="C17" s="3">
        <f>C16*(1+B17)</f>
        <v/>
      </c>
      <c r="D17" s="4">
        <f>D16*(1+$C$5)</f>
        <v/>
      </c>
      <c r="E17" s="9">
        <f>C17/D17</f>
        <v/>
      </c>
      <c r="F17" s="10">
        <f>1/(1+$C$3)^8</f>
        <v/>
      </c>
      <c r="G17" s="3">
        <f>C17*F17</f>
        <v/>
      </c>
    </row>
    <row r="18">
      <c r="A18" t="inlineStr">
        <is>
          <t>Y9</t>
        </is>
      </c>
      <c r="B18" s="7" t="n">
        <v>0.08</v>
      </c>
      <c r="C18" s="3">
        <f>C17*(1+B18)</f>
        <v/>
      </c>
      <c r="D18" s="4">
        <f>D17*(1+$C$5)</f>
        <v/>
      </c>
      <c r="E18" s="9">
        <f>C18/D18</f>
        <v/>
      </c>
      <c r="F18" s="10">
        <f>1/(1+$C$3)^9</f>
        <v/>
      </c>
      <c r="G18" s="3">
        <f>C18*F18</f>
        <v/>
      </c>
    </row>
    <row r="19">
      <c r="A19" t="inlineStr">
        <is>
          <t>Y10</t>
        </is>
      </c>
      <c r="B19" s="7" t="n">
        <v>0.07000000000000001</v>
      </c>
      <c r="C19" s="3">
        <f>C18*(1+B19)</f>
        <v/>
      </c>
      <c r="D19" s="4">
        <f>D18*(1+$C$5)</f>
        <v/>
      </c>
      <c r="E19" s="9">
        <f>C19/D19</f>
        <v/>
      </c>
      <c r="F19" s="10">
        <f>1/(1+$C$3)^10</f>
        <v/>
      </c>
      <c r="G19" s="3">
        <f>C19*F19</f>
        <v/>
      </c>
    </row>
    <row r="21">
      <c r="A21" s="11" t="inlineStr">
        <is>
          <t>Sum PV of interim DE</t>
        </is>
      </c>
      <c r="G21" s="3">
        <f>SUM(G10:G19)</f>
        <v/>
      </c>
    </row>
    <row r="22">
      <c r="A22" s="11" t="inlineStr">
        <is>
          <t>Terminal DE (Year N+1)</t>
        </is>
      </c>
      <c r="C22" s="3">
        <f>C19*(1+C4)</f>
        <v/>
      </c>
    </row>
    <row r="23">
      <c r="A23" s="11" t="inlineStr">
        <is>
          <t>Terminal Value (Gordon growth)</t>
        </is>
      </c>
      <c r="C23" s="3">
        <f>C22/(C3-C4)</f>
        <v/>
      </c>
    </row>
    <row r="24">
      <c r="A24" s="11" t="inlineStr">
        <is>
          <t>PV of Terminal Value</t>
        </is>
      </c>
      <c r="C24" s="3">
        <f>C23*F19</f>
        <v/>
      </c>
    </row>
    <row r="25">
      <c r="A25" s="11" t="inlineStr">
        <is>
          <t>Equity Value ($M)</t>
        </is>
      </c>
      <c r="C25" s="3">
        <f>G21+C24</f>
        <v/>
      </c>
    </row>
    <row r="26">
      <c r="A26" s="11" t="inlineStr">
        <is>
          <t>Ending DE Shares Outstanding (M)</t>
        </is>
      </c>
      <c r="C26" s="4">
        <f>D19</f>
        <v/>
      </c>
    </row>
    <row r="27">
      <c r="A27" s="11" t="inlineStr">
        <is>
          <t>Intrinsic Value per Share ($)</t>
        </is>
      </c>
      <c r="C27" s="12">
        <f>C25/C26</f>
        <v/>
      </c>
    </row>
    <row r="28">
      <c r="A28" t="inlineStr">
        <is>
          <t>Current price ($)</t>
        </is>
      </c>
      <c r="C28" s="9">
        <f>Inputs!C5</f>
        <v/>
      </c>
    </row>
    <row r="29">
      <c r="A29" t="inlineStr">
        <is>
          <t>Upside/(downside) to current price</t>
        </is>
      </c>
      <c r="C29" s="7">
        <f>C27/C28-1</f>
        <v/>
      </c>
    </row>
    <row r="30">
      <c r="A30" t="inlineStr">
        <is>
          <t>Terminal value as % of equity value</t>
        </is>
      </c>
      <c r="C30" s="7">
        <f>C24/C25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BX -- Bear case</t>
        </is>
      </c>
    </row>
    <row r="3">
      <c r="A3" t="inlineStr">
        <is>
          <t>Cost of equity</t>
        </is>
      </c>
      <c r="C3" s="7" t="n">
        <v>0.125</v>
      </c>
    </row>
    <row r="4">
      <c r="A4" t="inlineStr">
        <is>
          <t>Terminal growth rate</t>
        </is>
      </c>
      <c r="C4" s="7" t="n">
        <v>0.03</v>
      </c>
    </row>
    <row r="5">
      <c r="A5" t="inlineStr">
        <is>
          <t>DE-share count annual growth</t>
        </is>
      </c>
      <c r="C5" s="7" t="n">
        <v>0.015</v>
      </c>
    </row>
    <row r="6">
      <c r="A6" t="inlineStr">
        <is>
          <t>Base LTM DE ($M)</t>
        </is>
      </c>
      <c r="C6">
        <f>Inputs!C12</f>
        <v/>
      </c>
    </row>
    <row r="7">
      <c r="A7" t="inlineStr">
        <is>
          <t>Base DE Shares Outstanding (M)</t>
        </is>
      </c>
      <c r="C7">
        <f>Inputs!C9</f>
        <v/>
      </c>
    </row>
    <row r="9">
      <c r="A9" s="8" t="inlineStr">
        <is>
          <t>Year</t>
        </is>
      </c>
      <c r="B9" s="8" t="inlineStr">
        <is>
          <t>DE growth %</t>
        </is>
      </c>
      <c r="C9" s="8" t="inlineStr">
        <is>
          <t>Distributable Earnings ($M)</t>
        </is>
      </c>
      <c r="D9" s="8" t="inlineStr">
        <is>
          <t>DE Shares Outstanding (M)</t>
        </is>
      </c>
      <c r="E9" s="8" t="inlineStr">
        <is>
          <t>DE per share ($)</t>
        </is>
      </c>
      <c r="F9" s="8" t="inlineStr">
        <is>
          <t>Discount factor</t>
        </is>
      </c>
      <c r="G9" s="8" t="inlineStr">
        <is>
          <t>PV of DE ($M)</t>
        </is>
      </c>
    </row>
    <row r="10">
      <c r="A10" t="inlineStr">
        <is>
          <t>Y1</t>
        </is>
      </c>
      <c r="B10" s="7" t="n">
        <v>0.02</v>
      </c>
      <c r="C10" s="3">
        <f>C6*(1+B10)</f>
        <v/>
      </c>
      <c r="D10" s="4">
        <f>C7*(1+$C$5)</f>
        <v/>
      </c>
      <c r="E10" s="9">
        <f>C10/D10</f>
        <v/>
      </c>
      <c r="F10" s="10">
        <f>1/(1+$C$3)^1</f>
        <v/>
      </c>
      <c r="G10" s="3">
        <f>C10*F10</f>
        <v/>
      </c>
    </row>
    <row r="11">
      <c r="A11" t="inlineStr">
        <is>
          <t>Y2</t>
        </is>
      </c>
      <c r="B11" s="7" t="n">
        <v>0.03</v>
      </c>
      <c r="C11" s="3">
        <f>C10*(1+B11)</f>
        <v/>
      </c>
      <c r="D11" s="4">
        <f>D10*(1+$C$5)</f>
        <v/>
      </c>
      <c r="E11" s="9">
        <f>C11/D11</f>
        <v/>
      </c>
      <c r="F11" s="10">
        <f>1/(1+$C$3)^2</f>
        <v/>
      </c>
      <c r="G11" s="3">
        <f>C11*F11</f>
        <v/>
      </c>
    </row>
    <row r="12">
      <c r="A12" t="inlineStr">
        <is>
          <t>Y3</t>
        </is>
      </c>
      <c r="B12" s="7" t="n">
        <v>0.04</v>
      </c>
      <c r="C12" s="3">
        <f>C11*(1+B12)</f>
        <v/>
      </c>
      <c r="D12" s="4">
        <f>D11*(1+$C$5)</f>
        <v/>
      </c>
      <c r="E12" s="9">
        <f>C12/D12</f>
        <v/>
      </c>
      <c r="F12" s="10">
        <f>1/(1+$C$3)^3</f>
        <v/>
      </c>
      <c r="G12" s="3">
        <f>C12*F12</f>
        <v/>
      </c>
    </row>
    <row r="13">
      <c r="A13" t="inlineStr">
        <is>
          <t>Y4</t>
        </is>
      </c>
      <c r="B13" s="7" t="n">
        <v>0.05</v>
      </c>
      <c r="C13" s="3">
        <f>C12*(1+B13)</f>
        <v/>
      </c>
      <c r="D13" s="4">
        <f>D12*(1+$C$5)</f>
        <v/>
      </c>
      <c r="E13" s="9">
        <f>C13/D13</f>
        <v/>
      </c>
      <c r="F13" s="10">
        <f>1/(1+$C$3)^4</f>
        <v/>
      </c>
      <c r="G13" s="3">
        <f>C13*F13</f>
        <v/>
      </c>
    </row>
    <row r="14">
      <c r="A14" t="inlineStr">
        <is>
          <t>Y5</t>
        </is>
      </c>
      <c r="B14" s="7" t="n">
        <v>0.05</v>
      </c>
      <c r="C14" s="3">
        <f>C13*(1+B14)</f>
        <v/>
      </c>
      <c r="D14" s="4">
        <f>D13*(1+$C$5)</f>
        <v/>
      </c>
      <c r="E14" s="9">
        <f>C14/D14</f>
        <v/>
      </c>
      <c r="F14" s="10">
        <f>1/(1+$C$3)^5</f>
        <v/>
      </c>
      <c r="G14" s="3">
        <f>C14*F14</f>
        <v/>
      </c>
    </row>
    <row r="15">
      <c r="A15" t="inlineStr">
        <is>
          <t>Y6</t>
        </is>
      </c>
      <c r="B15" s="7" t="n">
        <v>0.05</v>
      </c>
      <c r="C15" s="3">
        <f>C14*(1+B15)</f>
        <v/>
      </c>
      <c r="D15" s="4">
        <f>D14*(1+$C$5)</f>
        <v/>
      </c>
      <c r="E15" s="9">
        <f>C15/D15</f>
        <v/>
      </c>
      <c r="F15" s="10">
        <f>1/(1+$C$3)^6</f>
        <v/>
      </c>
      <c r="G15" s="3">
        <f>C15*F15</f>
        <v/>
      </c>
    </row>
    <row r="16">
      <c r="A16" t="inlineStr">
        <is>
          <t>Y7</t>
        </is>
      </c>
      <c r="B16" s="7" t="n">
        <v>0.05</v>
      </c>
      <c r="C16" s="3">
        <f>C15*(1+B16)</f>
        <v/>
      </c>
      <c r="D16" s="4">
        <f>D15*(1+$C$5)</f>
        <v/>
      </c>
      <c r="E16" s="9">
        <f>C16/D16</f>
        <v/>
      </c>
      <c r="F16" s="10">
        <f>1/(1+$C$3)^7</f>
        <v/>
      </c>
      <c r="G16" s="3">
        <f>C16*F16</f>
        <v/>
      </c>
    </row>
    <row r="17">
      <c r="A17" t="inlineStr">
        <is>
          <t>Y8</t>
        </is>
      </c>
      <c r="B17" s="7" t="n">
        <v>0.05</v>
      </c>
      <c r="C17" s="3">
        <f>C16*(1+B17)</f>
        <v/>
      </c>
      <c r="D17" s="4">
        <f>D16*(1+$C$5)</f>
        <v/>
      </c>
      <c r="E17" s="9">
        <f>C17/D17</f>
        <v/>
      </c>
      <c r="F17" s="10">
        <f>1/(1+$C$3)^8</f>
        <v/>
      </c>
      <c r="G17" s="3">
        <f>C17*F17</f>
        <v/>
      </c>
    </row>
    <row r="18">
      <c r="A18" t="inlineStr">
        <is>
          <t>Y9</t>
        </is>
      </c>
      <c r="B18" s="7" t="n">
        <v>0.05</v>
      </c>
      <c r="C18" s="3">
        <f>C17*(1+B18)</f>
        <v/>
      </c>
      <c r="D18" s="4">
        <f>D17*(1+$C$5)</f>
        <v/>
      </c>
      <c r="E18" s="9">
        <f>C18/D18</f>
        <v/>
      </c>
      <c r="F18" s="10">
        <f>1/(1+$C$3)^9</f>
        <v/>
      </c>
      <c r="G18" s="3">
        <f>C18*F18</f>
        <v/>
      </c>
    </row>
    <row r="19">
      <c r="A19" t="inlineStr">
        <is>
          <t>Y10</t>
        </is>
      </c>
      <c r="B19" s="7" t="n">
        <v>0.05</v>
      </c>
      <c r="C19" s="3">
        <f>C18*(1+B19)</f>
        <v/>
      </c>
      <c r="D19" s="4">
        <f>D18*(1+$C$5)</f>
        <v/>
      </c>
      <c r="E19" s="9">
        <f>C19/D19</f>
        <v/>
      </c>
      <c r="F19" s="10">
        <f>1/(1+$C$3)^10</f>
        <v/>
      </c>
      <c r="G19" s="3">
        <f>C19*F19</f>
        <v/>
      </c>
    </row>
    <row r="21">
      <c r="A21" s="11" t="inlineStr">
        <is>
          <t>Sum PV of interim DE</t>
        </is>
      </c>
      <c r="G21" s="3">
        <f>SUM(G10:G19)</f>
        <v/>
      </c>
    </row>
    <row r="22">
      <c r="A22" s="11" t="inlineStr">
        <is>
          <t>Terminal DE (Year N+1)</t>
        </is>
      </c>
      <c r="C22" s="3">
        <f>C19*(1+C4)</f>
        <v/>
      </c>
    </row>
    <row r="23">
      <c r="A23" s="11" t="inlineStr">
        <is>
          <t>Terminal Value (Gordon growth)</t>
        </is>
      </c>
      <c r="C23" s="3">
        <f>C22/(C3-C4)</f>
        <v/>
      </c>
    </row>
    <row r="24">
      <c r="A24" s="11" t="inlineStr">
        <is>
          <t>PV of Terminal Value</t>
        </is>
      </c>
      <c r="C24" s="3">
        <f>C23*F19</f>
        <v/>
      </c>
    </row>
    <row r="25">
      <c r="A25" s="11" t="inlineStr">
        <is>
          <t>Equity Value ($M)</t>
        </is>
      </c>
      <c r="C25" s="3">
        <f>G21+C24</f>
        <v/>
      </c>
    </row>
    <row r="26">
      <c r="A26" s="11" t="inlineStr">
        <is>
          <t>Ending DE Shares Outstanding (M)</t>
        </is>
      </c>
      <c r="C26" s="4">
        <f>D19</f>
        <v/>
      </c>
    </row>
    <row r="27">
      <c r="A27" s="11" t="inlineStr">
        <is>
          <t>Intrinsic Value per Share ($)</t>
        </is>
      </c>
      <c r="C27" s="12">
        <f>C25/C26</f>
        <v/>
      </c>
    </row>
    <row r="28">
      <c r="A28" t="inlineStr">
        <is>
          <t>Current price ($)</t>
        </is>
      </c>
      <c r="C28" s="9">
        <f>Inputs!C5</f>
        <v/>
      </c>
    </row>
    <row r="29">
      <c r="A29" t="inlineStr">
        <is>
          <t>Upside/(downside) to current price</t>
        </is>
      </c>
      <c r="C29" s="7">
        <f>C27/C28-1</f>
        <v/>
      </c>
    </row>
    <row r="30">
      <c r="A30" t="inlineStr">
        <is>
          <t>Terminal value as % of equity value</t>
        </is>
      </c>
      <c r="C30" s="7">
        <f>C24/C25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2026-09-25T23:50:14Z</dcterms:created>
  <dcterms:modified xmlns:dcterms="http://purl.org/dc/terms/" xmlns:xsi="http://www.w3.org/2001/XMLSchema-instance" xsi:type="dcterms:W3CDTF">2026-09-26T00:07:57Z</dcterms:modified>
</cp:coreProperties>
</file>