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<sst xmlns="http://schemas.openxmlformats.org/spreadsheetml/2006/main" count="363" uniqueCount="167">
  <si>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</si>
  <si>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RDY</t>
  </si>
  <si>
    <t xml:space="preserve">Company</t>
  </si>
  <si>
    <t xml:space="preserve">Dr. Reddy's Laboratories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</si>
  <si>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</si>
  <si>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</si>
  <si>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</si>
  <si>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</si>
  <si>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NYSE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</si>
  <si>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</si>
  <si>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</si>
  <si>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</si>
  <si>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</si>
  <si>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</si>
  <si>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INR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</si>
  <si>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</si>
  <si>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</si>
  <si>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</si>
  <si>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</si>
  <si>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</si>
  <si>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</si>
  <si>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</si>
  <si>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2026-10-04T07:48:52Z</t>
  </si>
  <si>
    <t xml:space="preserve">Drivers file</t>
  </si>
  <si>
    <t xml:space="preserve">RDY_Drivers.json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</si>
  <si>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</si>
  <si>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</si>
  <si>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</si>
  <si>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ex-lenalidomide business on owner free cash flow in INR, convert to USD at spot for the ADR. Owner FCF is reported FCF less SBC and the full lease payment; capex includes purchased product rights; working capital is a cash cost of growth; finance income stays out of the flows and the cash-and-investments pile is added once in the bridge. Margins are rebuilt from the Q1 FY27 trough toward the pre-lenalidomide range, never from the FY23-FY26 peak. Risk is charged in the scenario flows and weights, once, at a single INR WACC.
key_risks_to_valuation: Terminal margin: every 1pp of EBITDA margin in perpetuity is worth roughly Rs 40-45/share (~US$0.45); the base 22.5% is 2.5pp below management's stated target and 0.3pp below the FY26 reported figure that still contained two months of lenalidomide; Capex and working-capital normalisation: if PP&amp;E plus intangible purchases stay at 11% of revenue and working capital at 43% of revenue with no days improvement, base owner FCF margin stays near 5% and the base value falls by roughly a third; US generic tariffs (exempt to 2028, scheduled 100%/200% after) are in the bear case only; a base-case cost would move the central value toward the bear value; Semaglutide execution: the July 2026 recall and production pause hit the single largest identified growth driver; a permanent loss of that franchise is the bear path; INR/USD: ADR holders bear ~2.5-3%/yr expected INR depreciation that the 11.5% INR WACC and 4% INR terminal growth embed; a faster depreciation lowers the USD value proportionally. Revenue is ~75% non-INR, so the operating hedge is partial; Band position: SBC is 0.1% of revenue so house and street values nearly coincide; the house/street band is ~Rs 5/share wide and band_position is not a meaningful statistic for this ticker</t>
  </si>
  <si>
    <t xml:space="preserve">Data sources</t>
  </si>
  <si>
    <t xml:space="preserve">price: Yahoo Finance chart API (RDY, NYSE ADR) at inputs.price_as_of; 52-week range 11.36-15.67 USD. FX from Yahoo INR=X and parity against DRREDDY.NS, see inputs.fx_note.
financials: RDY_Metrics.csv / RDY.duckdb (core_metrics + kpis, INR millions) built from the FY2017-FY2026 20-F filings and the quarterly 6-K press releases through Q1 FY2027 (quarter ended 30 June 2026). Balance-sheet and share-count anchors from the Q1 FY27 6-K 'Key Balance Sheet Items' and 'Net Cash Surplus' tables; cash-flow component lines from the FY2026 20-F consolidated statement of cash flows and lease note.
qualitative: RDY_Analysis.json (2026-10-04): lenalidomide cliff, semaglutide API recall, FDA inspection history, US tariff timeline, FY27 guidance (~20% EBITDA ex-semaglutide, ~25% long-term, semaglutide supply resumption Nov 2026).</t>
  </si>
  <si>
    <t xml:space="preserve">Scenario narrative: bear</t>
  </si>
  <si>
    <t xml:space="preserve">The semaglutide quality failure is not a one-quarter event: the production pause extends, the FDA inspection findings across four sites escalate to warning letters or an import alert, and the biosimilar BLA slips. FY27 revenue falls 2%. In 2028-29 the scheduled 100%/200% US tariffs on generic imports take effect; management has said they cannot be absorbed and reshoring takes 4-7 years, so the North American franchise (26% of revenue) shrinks and group EBITDA margin plateaus at 19%. Capex stays at 8-10% for remediation and partial US manufacturing, working capital stays heavy, and terminal growth is 3% INR -- a real decline.</t>
  </si>
  <si>
    <t xml:space="preserve">Scenario narrative: base</t>
  </si>
  <si>
    <t xml:space="preserve">Dr. Reddy's is an integrated Indian generics/API company whose FY23-FY26 profitability was inflated by volume-capped US generic lenalidomide; that settlement window closed on 31 January 2026 and North America revenue has reset from Rs 34-38bn to ~Rs 22bn a quarter. The base case treats FY27 as the transition year (revenue +3%, EBITDA 17.5% after the Rs 2.4bn semaglutide API charge in Q1), then lets the branded India (+12-14%), Emerging Markets/Russia, Europe NRT consumer and PSAI businesses plus a resumed semaglutide franchise carry growth of 10% fading to 4% nominal INR, with EBITDA recovering to 22.5% -- the pre-lenalidomide range, below management's 25% target. The axes are: how much of the 'double-digit base business' survives US generic deflation; whether semaglutide (the designated lenalidomide replacement) becomes a durable multi-market franchise after the July 2026 recall; and whether capex (11.4% of revenue) and working capital (43% of revenue) normalise so that owner FCF conversion rises from 4.7% to ~9% of revenue. US tariff escalation (exempt to 2028) is treated as a bear-case risk, not a base-case cost.</t>
  </si>
  <si>
    <t xml:space="preserve">Scenario narrative: bull</t>
  </si>
  <si>
    <t xml:space="preserve">Semaglutide supply resumes in November 2026 as guided and becomes a Rs 15-20bn franchise across India, Canada and other loss-of-exclusivity markets; abatacept IV is approved in the US and EU, establishing the biosimilars platform; NRT and India branded growth compound double digits; generic tariffs are deferred indefinitely; management hits its 25% EBITDA target by FY31 and the balance sheet's Rs 2bn M&amp;A capacity is deployed at returns above WACC. Revenue grows 14% in FY28, 12% FY29, fading to 4.5%; owner FCF margin reaches ~11% as capex falls to 6.5% and working-capital days improve.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</si>
  <si>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</si>
  <si>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</si>
  <si>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</si>
  <si>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</si>
  <si>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</si>
  <si>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</si>
  <si>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</si>
  <si>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</si>
  <si>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</si>
  <si>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</si>
  <si>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</si>
  <si>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</si>
  <si>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</si>
  <si>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</si>
  <si>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</si>
  <si>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</si>
  <si>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</si>
  <si>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</si>
  <si>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</si>
  <si>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</si>
  <si>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</si>
  <si>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</si>
  <si>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</si>
  <si>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</si>
  <si>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</si>
  <si>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</si>
  <si>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</si>
  <si>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</si>
  <si>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</si>
  <si>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</si>
  <si>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</si>
  <si>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</si>
  <si>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</si>
  <si>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</si>
  <si>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</si>
  <si>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</si>
  <si>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</si>
  <si>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</si>
  <si>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</si>
  <si>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</si>
  <si>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</si>
  <si>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</si>
  <si>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</si>
  <si>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</si>
  <si>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</si>
  <si>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</si>
  <si>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</si>
  <si>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</si>
  <si>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INR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</si>
  <si>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</si>
  <si>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</si>
  <si>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</si>
  <si>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</si>
  <si>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</si>
  <si>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</si>
  <si>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</si>
  <si>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</si>
  <si>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</si>
  <si>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</si>
  <si>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</si>
  <si>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</si>
  <si>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</si>
  <si>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</si>
  <si>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</si>
  <si>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</si>
  <si>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</si>
  <si>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</si>
  <si>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</si>
  <si>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</si>
  <si>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</si>
  <si>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</si>
  <si>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</si>
  <si>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</si>
  <si>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</si>
  <si>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</si>
  <si>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RDY owner-FCF component DCF: bear case (millions, INR)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</si>
  <si>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</si>
  <si>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</si>
  <si>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</si>
  <si>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</si>
  <si>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</si>
  <si>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</si>
  <si>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</si>
  <si>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</si>
  <si>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</si>
  <si>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</si>
  <si>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</si>
  <si>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</si>
  <si>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</si>
  <si>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</si>
  <si>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</si>
  <si>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</si>
  <si>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</si>
  <si>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</si>
  <si>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</si>
  <si>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</si>
  <si>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</si>
  <si>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</si>
  <si>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</si>
  <si>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</si>
  <si>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</si>
  <si>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</si>
  <si>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</si>
  <si>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</si>
  <si>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</si>
  <si>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</si>
  <si>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RDY owner-FCF component DCF: base case (millions, INR)</t>
  </si>
  <si>
    <t xml:space="preserve">RDY owner-FCF component DCF: bull case (millions, INR)</t>
  </si>
  <si>
    <t xml:space="preserve">RDY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</si>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</sst>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12.25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154708</v>
      </c>
      <c r="C2" s="0" t="n">
        <v>62427</v>
      </c>
      <c r="D2" s="0" t="n">
        <v>92281</v>
      </c>
      <c r="E2" s="0" t="n">
        <v>59.6</v>
      </c>
      <c r="F2" s="0" t="n">
        <v>29619</v>
      </c>
      <c r="G2" s="0" t="n">
        <v>19.1</v>
      </c>
      <c r="I2" s="0" t="n">
        <v>20013</v>
      </c>
      <c r="J2" s="0" t="n">
        <v>12.9</v>
      </c>
      <c r="K2" s="0" t="n">
        <v>23.396</v>
      </c>
      <c r="L2" s="0" t="n">
        <v>41247</v>
      </c>
      <c r="M2" s="0" t="n">
        <v>14875</v>
      </c>
      <c r="N2" s="0" t="n">
        <v>26372</v>
      </c>
      <c r="O2" s="0" t="n">
        <v>128336</v>
      </c>
      <c r="P2" s="0" t="n">
        <v>207650</v>
      </c>
      <c r="Q2" s="0" t="n">
        <v>79314</v>
      </c>
      <c r="R2" s="0" t="n">
        <v>33513</v>
      </c>
      <c r="S2" s="0" t="n">
        <v>41943</v>
      </c>
      <c r="T2" s="0" t="n">
        <v>855.4</v>
      </c>
      <c r="U2" s="0" t="n">
        <v>471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140809</v>
      </c>
      <c r="C3" s="0" t="n">
        <v>62453</v>
      </c>
      <c r="D3" s="0" t="n">
        <v>78356</v>
      </c>
      <c r="E3" s="0" t="n">
        <v>55.6</v>
      </c>
      <c r="F3" s="0" t="n">
        <v>13498</v>
      </c>
      <c r="G3" s="0" t="n">
        <v>9.6</v>
      </c>
      <c r="I3" s="0" t="n">
        <v>12039</v>
      </c>
      <c r="J3" s="0" t="n">
        <v>8.5</v>
      </c>
      <c r="K3" s="0" t="n">
        <v>14.418</v>
      </c>
      <c r="L3" s="0" t="n">
        <v>21513</v>
      </c>
      <c r="M3" s="0" t="n">
        <v>40984</v>
      </c>
      <c r="N3" s="0" t="n">
        <v>-19471</v>
      </c>
      <c r="O3" s="0" t="n">
        <v>124044</v>
      </c>
      <c r="P3" s="0" t="n">
        <v>219821</v>
      </c>
      <c r="Q3" s="0" t="n">
        <v>95777</v>
      </c>
      <c r="R3" s="0" t="n">
        <v>49185</v>
      </c>
      <c r="S3" s="0" t="n">
        <v>23373</v>
      </c>
      <c r="T3" s="0" t="n">
        <v>835</v>
      </c>
      <c r="U3" s="0" t="n">
        <v>398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142028</v>
      </c>
      <c r="C4" s="0" t="n">
        <v>65724</v>
      </c>
      <c r="D4" s="0" t="n">
        <v>76304</v>
      </c>
      <c r="E4" s="0" t="n">
        <v>53.7</v>
      </c>
      <c r="F4" s="0" t="n">
        <v>11917</v>
      </c>
      <c r="G4" s="0" t="n">
        <v>8.4</v>
      </c>
      <c r="H4" s="0" t="n">
        <v>24080</v>
      </c>
      <c r="I4" s="0" t="n">
        <v>9806</v>
      </c>
      <c r="J4" s="0" t="n">
        <v>6.9</v>
      </c>
      <c r="K4" s="0" t="n">
        <v>11.8</v>
      </c>
      <c r="L4" s="0" t="n">
        <v>18029</v>
      </c>
      <c r="M4" s="0" t="n">
        <v>11043</v>
      </c>
      <c r="N4" s="0" t="n">
        <v>6986</v>
      </c>
      <c r="O4" s="0" t="n">
        <v>126460</v>
      </c>
      <c r="P4" s="0" t="n">
        <v>225604</v>
      </c>
      <c r="Q4" s="0" t="n">
        <v>99144</v>
      </c>
      <c r="R4" s="0" t="n">
        <v>50714</v>
      </c>
      <c r="S4" s="0" t="n">
        <v>23517</v>
      </c>
      <c r="T4" s="0" t="n">
        <v>831</v>
      </c>
      <c r="U4" s="0" t="n">
        <v>454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153851</v>
      </c>
      <c r="C5" s="0" t="n">
        <v>70421</v>
      </c>
      <c r="D5" s="0" t="n">
        <v>83430</v>
      </c>
      <c r="E5" s="0" t="n">
        <v>54.2</v>
      </c>
      <c r="F5" s="0" t="n">
        <v>20888</v>
      </c>
      <c r="G5" s="0" t="n">
        <v>13.6</v>
      </c>
      <c r="H5" s="0" t="n">
        <v>34189</v>
      </c>
      <c r="I5" s="0" t="n">
        <v>18795</v>
      </c>
      <c r="J5" s="0" t="n">
        <v>12.2</v>
      </c>
      <c r="K5" s="0" t="n">
        <v>22.618</v>
      </c>
      <c r="L5" s="0" t="n">
        <v>28704</v>
      </c>
      <c r="M5" s="0" t="n">
        <v>8376</v>
      </c>
      <c r="N5" s="0" t="n">
        <v>20328</v>
      </c>
      <c r="O5" s="0" t="n">
        <v>140197</v>
      </c>
      <c r="P5" s="0" t="n">
        <v>225427</v>
      </c>
      <c r="Q5" s="0" t="n">
        <v>85230</v>
      </c>
      <c r="R5" s="0" t="n">
        <v>38381</v>
      </c>
      <c r="S5" s="0" t="n">
        <v>25570</v>
      </c>
      <c r="T5" s="0" t="n">
        <v>831</v>
      </c>
      <c r="U5" s="0" t="n">
        <v>389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174600</v>
      </c>
      <c r="C6" s="0" t="n">
        <v>80591</v>
      </c>
      <c r="D6" s="0" t="n">
        <v>94009</v>
      </c>
      <c r="E6" s="0" t="n">
        <v>53.8</v>
      </c>
      <c r="F6" s="0" t="n">
        <v>15993</v>
      </c>
      <c r="G6" s="0" t="n">
        <v>9.2</v>
      </c>
      <c r="H6" s="0" t="n">
        <v>46431</v>
      </c>
      <c r="I6" s="0" t="n">
        <v>19498</v>
      </c>
      <c r="J6" s="0" t="n">
        <v>11.2</v>
      </c>
      <c r="K6" s="0" t="n">
        <v>23.48</v>
      </c>
      <c r="L6" s="0" t="n">
        <v>29841</v>
      </c>
      <c r="M6" s="0" t="n">
        <v>6115</v>
      </c>
      <c r="N6" s="0" t="n">
        <v>23726</v>
      </c>
      <c r="O6" s="0" t="n">
        <v>154988</v>
      </c>
      <c r="P6" s="0" t="n">
        <v>232241</v>
      </c>
      <c r="Q6" s="0" t="n">
        <v>77253</v>
      </c>
      <c r="R6" s="0" t="n">
        <v>22102</v>
      </c>
      <c r="S6" s="0" t="n">
        <v>26068</v>
      </c>
      <c r="T6" s="0" t="n">
        <v>830.4</v>
      </c>
      <c r="U6" s="0" t="n">
        <v>521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189722</v>
      </c>
      <c r="C7" s="0" t="n">
        <v>86645</v>
      </c>
      <c r="D7" s="0" t="n">
        <v>103077</v>
      </c>
      <c r="E7" s="0" t="n">
        <v>54.3</v>
      </c>
      <c r="F7" s="0" t="n">
        <v>24280</v>
      </c>
      <c r="G7" s="0" t="n">
        <v>12.8</v>
      </c>
      <c r="H7" s="0" t="n">
        <v>47385</v>
      </c>
      <c r="I7" s="0" t="n">
        <v>17238</v>
      </c>
      <c r="J7" s="0" t="n">
        <v>9.1</v>
      </c>
      <c r="K7" s="0" t="n">
        <v>20.73</v>
      </c>
      <c r="L7" s="0" t="n">
        <v>35703</v>
      </c>
      <c r="M7" s="0" t="n">
        <v>12561</v>
      </c>
      <c r="N7" s="0" t="n">
        <v>23142</v>
      </c>
      <c r="O7" s="0" t="n">
        <v>173062</v>
      </c>
      <c r="P7" s="0" t="n">
        <v>265491</v>
      </c>
      <c r="Q7" s="0" t="n">
        <v>92429</v>
      </c>
      <c r="R7" s="0" t="n">
        <v>30308</v>
      </c>
      <c r="S7" s="0" t="n">
        <v>39531</v>
      </c>
      <c r="T7" s="0" t="n">
        <v>831.5</v>
      </c>
      <c r="U7" s="0" t="n">
        <v>584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214391</v>
      </c>
      <c r="C8" s="0" t="n">
        <v>100551</v>
      </c>
      <c r="D8" s="0" t="n">
        <v>113840</v>
      </c>
      <c r="E8" s="0" t="n">
        <v>53.1</v>
      </c>
      <c r="F8" s="0" t="n">
        <v>29476</v>
      </c>
      <c r="G8" s="0" t="n">
        <v>13.7</v>
      </c>
      <c r="H8" s="0" t="n">
        <v>51399</v>
      </c>
      <c r="I8" s="0" t="n">
        <v>23568</v>
      </c>
      <c r="J8" s="0" t="n">
        <v>11</v>
      </c>
      <c r="K8" s="0" t="n">
        <v>28.338</v>
      </c>
      <c r="L8" s="0" t="n">
        <v>28108</v>
      </c>
      <c r="M8" s="0" t="n">
        <v>19049</v>
      </c>
      <c r="N8" s="0" t="n">
        <v>9059</v>
      </c>
      <c r="O8" s="0" t="n">
        <v>190527</v>
      </c>
      <c r="P8" s="0" t="n">
        <v>292827</v>
      </c>
      <c r="Q8" s="0" t="n">
        <v>102300</v>
      </c>
      <c r="R8" s="0" t="n">
        <v>33845</v>
      </c>
      <c r="S8" s="0" t="n">
        <v>48033</v>
      </c>
      <c r="T8" s="0" t="n">
        <v>831.7</v>
      </c>
      <c r="U8" s="0" t="n">
        <v>592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245879</v>
      </c>
      <c r="C9" s="0" t="n">
        <v>106536</v>
      </c>
      <c r="D9" s="0" t="n">
        <v>139343</v>
      </c>
      <c r="E9" s="0" t="n">
        <v>56.7</v>
      </c>
      <c r="F9" s="0" t="n">
        <v>57144</v>
      </c>
      <c r="G9" s="0" t="n">
        <v>23.2</v>
      </c>
      <c r="H9" s="0" t="n">
        <v>73081</v>
      </c>
      <c r="I9" s="0" t="n">
        <v>45067</v>
      </c>
      <c r="J9" s="0" t="n">
        <v>18.3</v>
      </c>
      <c r="K9" s="0" t="n">
        <v>54.17</v>
      </c>
      <c r="L9" s="0" t="n">
        <v>58875</v>
      </c>
      <c r="M9" s="0" t="n">
        <v>18866</v>
      </c>
      <c r="N9" s="0" t="n">
        <v>40009</v>
      </c>
      <c r="O9" s="0" t="n">
        <v>230991</v>
      </c>
      <c r="P9" s="0" t="n">
        <v>321854</v>
      </c>
      <c r="Q9" s="0" t="n">
        <v>90863</v>
      </c>
      <c r="R9" s="0" t="n">
        <v>13472</v>
      </c>
      <c r="S9" s="0" t="n">
        <v>62456</v>
      </c>
      <c r="T9" s="0" t="n">
        <v>832</v>
      </c>
      <c r="U9" s="0" t="n">
        <v>397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279164</v>
      </c>
      <c r="C10" s="0" t="n">
        <v>115557</v>
      </c>
      <c r="D10" s="0" t="n">
        <v>163607</v>
      </c>
      <c r="E10" s="0" t="n">
        <v>58.6</v>
      </c>
      <c r="F10" s="0" t="n">
        <v>67729</v>
      </c>
      <c r="G10" s="0" t="n">
        <v>24.3</v>
      </c>
      <c r="H10" s="0" t="n">
        <v>83013</v>
      </c>
      <c r="I10" s="0" t="n">
        <v>55684</v>
      </c>
      <c r="J10" s="0" t="n">
        <v>19.9</v>
      </c>
      <c r="K10" s="0" t="n">
        <v>66.8</v>
      </c>
      <c r="L10" s="0" t="n">
        <v>45433</v>
      </c>
      <c r="M10" s="0" t="n">
        <v>27435</v>
      </c>
      <c r="N10" s="0" t="n">
        <v>17998</v>
      </c>
      <c r="O10" s="0" t="n">
        <v>280550</v>
      </c>
      <c r="P10" s="0" t="n">
        <v>387518</v>
      </c>
      <c r="Q10" s="0" t="n">
        <v>106968</v>
      </c>
      <c r="R10" s="0" t="n">
        <v>20020</v>
      </c>
      <c r="S10" s="0" t="n">
        <v>82529</v>
      </c>
      <c r="T10" s="0" t="n">
        <v>833.6</v>
      </c>
      <c r="U10" s="0" t="n">
        <v>407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325535</v>
      </c>
      <c r="C11" s="0" t="n">
        <v>135107</v>
      </c>
      <c r="D11" s="0" t="n">
        <v>190428</v>
      </c>
      <c r="E11" s="0" t="n">
        <v>58.5</v>
      </c>
      <c r="F11" s="0" t="n">
        <v>71843</v>
      </c>
      <c r="G11" s="0" t="n">
        <v>22.1</v>
      </c>
      <c r="H11" s="0" t="n">
        <v>92133</v>
      </c>
      <c r="I11" s="0" t="n">
        <v>56544</v>
      </c>
      <c r="J11" s="0" t="n">
        <v>17.4</v>
      </c>
      <c r="K11" s="0" t="n">
        <v>67.78</v>
      </c>
      <c r="L11" s="0" t="n">
        <v>46428</v>
      </c>
      <c r="M11" s="0" t="n">
        <v>34398</v>
      </c>
      <c r="N11" s="0" t="n">
        <v>12030</v>
      </c>
      <c r="O11" s="0" t="n">
        <v>337166</v>
      </c>
      <c r="P11" s="0" t="n">
        <v>492989</v>
      </c>
      <c r="Q11" s="0" t="n">
        <v>155823</v>
      </c>
      <c r="R11" s="0" t="n">
        <v>46766</v>
      </c>
      <c r="S11" s="0" t="n">
        <v>68299</v>
      </c>
      <c r="T11" s="0" t="n">
        <v>834.2</v>
      </c>
      <c r="U11" s="0" t="n">
        <v>424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335933</v>
      </c>
      <c r="C12" s="0" t="n">
        <v>158669</v>
      </c>
      <c r="D12" s="0" t="n">
        <v>177264</v>
      </c>
      <c r="E12" s="0" t="n">
        <v>52.8</v>
      </c>
      <c r="F12" s="0" t="n">
        <v>50551</v>
      </c>
      <c r="G12" s="0" t="n">
        <v>15</v>
      </c>
      <c r="H12" s="0" t="n">
        <v>76595</v>
      </c>
      <c r="I12" s="0" t="n">
        <v>42850</v>
      </c>
      <c r="J12" s="0" t="n">
        <v>12.8</v>
      </c>
      <c r="K12" s="0" t="n">
        <v>51.42</v>
      </c>
      <c r="L12" s="0" t="n">
        <v>56755</v>
      </c>
      <c r="M12" s="0" t="n">
        <v>38425</v>
      </c>
      <c r="N12" s="0" t="n">
        <v>18330</v>
      </c>
      <c r="O12" s="0" t="n">
        <v>380457</v>
      </c>
      <c r="P12" s="0" t="n">
        <v>579346</v>
      </c>
      <c r="Q12" s="0" t="n">
        <v>198889</v>
      </c>
      <c r="R12" s="0" t="n">
        <v>77341</v>
      </c>
      <c r="S12" s="0" t="n">
        <v>98509</v>
      </c>
      <c r="T12" s="0" t="n">
        <v>833.3</v>
      </c>
      <c r="U12" s="0" t="n">
        <v>326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12.25</v>
      </c>
    </row>
    <row r="3" customFormat="false" ht="15" hidden="false" customHeight="false" outlineLevel="0" collapsed="false">
      <c r="A3" s="0" t="s">
        <v>78</v>
      </c>
      <c r="B3" s="3" t="n">
        <v>833.6</v>
      </c>
    </row>
    <row r="4" customFormat="false" ht="15" hidden="false" customHeight="false" outlineLevel="0" collapsed="false">
      <c r="A4" s="0" t="s">
        <v>79</v>
      </c>
      <c r="B4" s="3" t="n">
        <v>-33718</v>
      </c>
    </row>
    <row r="5" customFormat="false" ht="15" hidden="false" customHeight="false" outlineLevel="0" collapsed="false">
      <c r="A5" s="0" t="s">
        <v>80</v>
      </c>
      <c r="B5" s="3" t="n">
        <v>-3394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335933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0.010384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-2</v>
      </c>
      <c r="D13" s="3" t="n">
        <v>4</v>
      </c>
      <c r="E13" s="3" t="n">
        <v>4</v>
      </c>
      <c r="F13" s="3" t="n">
        <v>1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99</v>
      </c>
      <c r="C14" s="3" t="n">
        <v>15.5</v>
      </c>
      <c r="D14" s="3" t="n">
        <v>17</v>
      </c>
      <c r="E14" s="3" t="n">
        <v>18</v>
      </c>
      <c r="F14" s="3" t="n">
        <v>18</v>
      </c>
      <c r="G14" s="3" t="n">
        <v>18.5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100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101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102</v>
      </c>
      <c r="C17" s="3" t="n">
        <v>5.6</v>
      </c>
      <c r="D17" s="3" t="n">
        <v>5.6</v>
      </c>
      <c r="E17" s="3" t="n">
        <v>5.6</v>
      </c>
      <c r="F17" s="3" t="n">
        <v>5.6</v>
      </c>
      <c r="G17" s="3" t="n">
        <v>5.6</v>
      </c>
      <c r="H17" s="3" t="n">
        <v>5.6</v>
      </c>
      <c r="I17" s="3" t="n">
        <v>5.6</v>
      </c>
      <c r="J17" s="3" t="n">
        <v>5.6</v>
      </c>
      <c r="K17" s="3" t="n">
        <v>5.6</v>
      </c>
      <c r="L17" s="3" t="n">
        <v>5.6</v>
      </c>
    </row>
    <row r="18" customFormat="false" ht="15" hidden="false" customHeight="false" outlineLevel="0" collapsed="false">
      <c r="A18" s="0" t="s">
        <v>103</v>
      </c>
      <c r="C18" s="3" t="n">
        <v>10</v>
      </c>
      <c r="D18" s="3" t="n">
        <v>10</v>
      </c>
      <c r="E18" s="3" t="n">
        <v>9.5</v>
      </c>
      <c r="F18" s="3" t="n">
        <v>9</v>
      </c>
      <c r="G18" s="3" t="n">
        <v>9</v>
      </c>
      <c r="H18" s="3" t="n">
        <v>8.5</v>
      </c>
      <c r="I18" s="3" t="n">
        <v>8.5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104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11.5</v>
      </c>
    </row>
    <row r="21" customFormat="false" ht="15" hidden="false" customHeight="false" outlineLevel="0" collapsed="false">
      <c r="A21" s="0" t="s">
        <v>106</v>
      </c>
      <c r="B21" s="3" t="n">
        <v>3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-45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3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99</v>
      </c>
      <c r="C28" s="3" t="n">
        <v>17.5</v>
      </c>
      <c r="D28" s="3" t="n">
        <v>20</v>
      </c>
      <c r="E28" s="3" t="n">
        <v>21</v>
      </c>
      <c r="F28" s="3" t="n">
        <v>22</v>
      </c>
      <c r="G28" s="3" t="n">
        <v>22.5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100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101</v>
      </c>
      <c r="C30" s="3" t="n">
        <v>0.7</v>
      </c>
      <c r="D30" s="3" t="n">
        <v>0.7</v>
      </c>
      <c r="E30" s="3" t="n">
        <v>0.7</v>
      </c>
      <c r="F30" s="3" t="n">
        <v>0.7</v>
      </c>
      <c r="G30" s="3" t="n">
        <v>0.7</v>
      </c>
      <c r="H30" s="3" t="n">
        <v>0.7</v>
      </c>
      <c r="I30" s="3" t="n">
        <v>0.7</v>
      </c>
      <c r="J30" s="3" t="n">
        <v>0.7</v>
      </c>
      <c r="K30" s="3" t="n">
        <v>0.7</v>
      </c>
      <c r="L30" s="3" t="n">
        <v>0.7</v>
      </c>
    </row>
    <row r="31" customFormat="false" ht="15" hidden="false" customHeight="false" outlineLevel="0" collapsed="false">
      <c r="A31" s="0" t="s">
        <v>102</v>
      </c>
      <c r="C31" s="3" t="n">
        <v>5.6</v>
      </c>
      <c r="D31" s="3" t="n">
        <v>5.6</v>
      </c>
      <c r="E31" s="3" t="n">
        <v>5.6</v>
      </c>
      <c r="F31" s="3" t="n">
        <v>5.5</v>
      </c>
      <c r="G31" s="3" t="n">
        <v>5.5</v>
      </c>
      <c r="H31" s="3" t="n">
        <v>5.5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103</v>
      </c>
      <c r="C32" s="3" t="n">
        <v>10</v>
      </c>
      <c r="D32" s="3" t="n">
        <v>9.5</v>
      </c>
      <c r="E32" s="3" t="n">
        <v>9</v>
      </c>
      <c r="F32" s="3" t="n">
        <v>8.5</v>
      </c>
      <c r="G32" s="3" t="n">
        <v>8</v>
      </c>
      <c r="H32" s="3" t="n">
        <v>7.5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104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105</v>
      </c>
      <c r="B34" s="3" t="n">
        <v>11.5</v>
      </c>
    </row>
    <row r="35" customFormat="false" ht="15" hidden="false" customHeight="false" outlineLevel="0" collapsed="false">
      <c r="A35" s="0" t="s">
        <v>106</v>
      </c>
      <c r="B35" s="3" t="n">
        <v>4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-40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7</v>
      </c>
      <c r="D41" s="3" t="n">
        <v>14</v>
      </c>
      <c r="E41" s="3" t="n">
        <v>12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99</v>
      </c>
      <c r="C42" s="3" t="n">
        <v>18.5</v>
      </c>
      <c r="D42" s="3" t="n">
        <v>21.5</v>
      </c>
      <c r="E42" s="3" t="n">
        <v>23</v>
      </c>
      <c r="F42" s="3" t="n">
        <v>24</v>
      </c>
      <c r="G42" s="3" t="n">
        <v>24.5</v>
      </c>
      <c r="H42" s="3" t="n">
        <v>24.5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100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101</v>
      </c>
      <c r="C44" s="3" t="n">
        <v>0.7</v>
      </c>
      <c r="D44" s="3" t="n">
        <v>0.7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102</v>
      </c>
      <c r="C45" s="3" t="n">
        <v>5.6</v>
      </c>
      <c r="D45" s="3" t="n">
        <v>5.6</v>
      </c>
      <c r="E45" s="3" t="n">
        <v>5.5</v>
      </c>
      <c r="F45" s="3" t="n">
        <v>5.5</v>
      </c>
      <c r="G45" s="3" t="n">
        <v>5.5</v>
      </c>
      <c r="H45" s="3" t="n">
        <v>5.5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103</v>
      </c>
      <c r="C46" s="3" t="n">
        <v>9.5</v>
      </c>
      <c r="D46" s="3" t="n">
        <v>9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104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11.5</v>
      </c>
    </row>
    <row r="49" customFormat="false" ht="15" hidden="false" customHeight="false" outlineLevel="0" collapsed="false">
      <c r="A49" s="0" t="s">
        <v>106</v>
      </c>
      <c r="B49" s="3" t="n">
        <v>4.5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-35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-2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1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335933</v>
      </c>
      <c r="C6" s="0" t="n">
        <f aca="false">B6*(1+C5/100)</f>
        <v>329214.34</v>
      </c>
      <c r="D6" s="0" t="n">
        <f aca="false">C6*(1+D5/100)</f>
        <v>342382.9136</v>
      </c>
      <c r="E6" s="0" t="n">
        <f aca="false">D6*(1+E5/100)</f>
        <v>356078.230144</v>
      </c>
      <c r="F6" s="0" t="n">
        <f aca="false">E6*(1+F5/100)</f>
        <v>359639.01244544</v>
      </c>
      <c r="G6" s="0" t="n">
        <f aca="false">F6*(1+G5/100)</f>
        <v>370428.182818803</v>
      </c>
      <c r="H6" s="0" t="n">
        <f aca="false">G6*(1+H5/100)</f>
        <v>381541.028303367</v>
      </c>
      <c r="I6" s="0" t="n">
        <f aca="false">H6*(1+I5/100)</f>
        <v>392987.259152468</v>
      </c>
      <c r="J6" s="0" t="n">
        <f aca="false">I6*(1+J5/100)</f>
        <v>404776.876927042</v>
      </c>
      <c r="K6" s="0" t="n">
        <f aca="false">J6*(1+K5/100)</f>
        <v>416920.183234854</v>
      </c>
      <c r="L6" s="0" t="n">
        <f aca="false">K6*(1+L5/100)</f>
        <v>429427.788731899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15.5</v>
      </c>
      <c r="D7" s="4" t="n">
        <f aca="false">Assumptions!D14</f>
        <v>17</v>
      </c>
      <c r="E7" s="4" t="n">
        <f aca="false">Assumptions!E14</f>
        <v>18</v>
      </c>
      <c r="F7" s="4" t="n">
        <f aca="false">Assumptions!F14</f>
        <v>18</v>
      </c>
      <c r="G7" s="4" t="n">
        <f aca="false">Assumptions!G14</f>
        <v>18.5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51028.2227</v>
      </c>
      <c r="D8" s="0" t="n">
        <f aca="false">D6*D7/100</f>
        <v>58205.095312</v>
      </c>
      <c r="E8" s="0" t="n">
        <f aca="false">E6*E7/100</f>
        <v>64094.08142592</v>
      </c>
      <c r="F8" s="0" t="n">
        <f aca="false">F6*F7/100</f>
        <v>64735.0222401792</v>
      </c>
      <c r="G8" s="0" t="n">
        <f aca="false">G6*G7/100</f>
        <v>68529.2138214786</v>
      </c>
      <c r="H8" s="0" t="n">
        <f aca="false">H6*H7/100</f>
        <v>72492.7953776398</v>
      </c>
      <c r="I8" s="0" t="n">
        <f aca="false">I6*I7/100</f>
        <v>74667.579238969</v>
      </c>
      <c r="J8" s="0" t="n">
        <f aca="false">J6*J7/100</f>
        <v>76907.6066161381</v>
      </c>
      <c r="K8" s="0" t="n">
        <f aca="false">K6*K7/100</f>
        <v>79214.8348146222</v>
      </c>
      <c r="L8" s="0" t="n">
        <f aca="false">L6*L7/100</f>
        <v>81591.2798590609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-329.21434</v>
      </c>
      <c r="D10" s="0" t="n">
        <f aca="false">-D6*D9/100</f>
        <v>-342.3829136</v>
      </c>
      <c r="E10" s="0" t="n">
        <f aca="false">-E6*E9/100</f>
        <v>-356.078230144</v>
      </c>
      <c r="F10" s="0" t="n">
        <f aca="false">-F6*F9/100</f>
        <v>-359.63901244544</v>
      </c>
      <c r="G10" s="0" t="n">
        <f aca="false">-G6*G9/100</f>
        <v>-370.428182818803</v>
      </c>
      <c r="H10" s="0" t="n">
        <f aca="false">-H6*H9/100</f>
        <v>-381.541028303367</v>
      </c>
      <c r="I10" s="0" t="n">
        <f aca="false">-I6*I9/100</f>
        <v>-392.987259152468</v>
      </c>
      <c r="J10" s="0" t="n">
        <f aca="false">-J6*J9/100</f>
        <v>-404.776876927042</v>
      </c>
      <c r="K10" s="0" t="n">
        <f aca="false">-K6*K9/100</f>
        <v>-416.920183234854</v>
      </c>
      <c r="L10" s="0" t="n">
        <f aca="false">-L6*L9/100</f>
        <v>-429.427788731899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48394.50798</v>
      </c>
      <c r="D11" s="0" t="n">
        <f aca="false">D8+D10+D24</f>
        <v>55466.0320032</v>
      </c>
      <c r="E11" s="0" t="n">
        <f aca="false">E8+E10+E24</f>
        <v>61245.455584768</v>
      </c>
      <c r="F11" s="0" t="n">
        <f aca="false">F8+F10+F24</f>
        <v>61857.9101406157</v>
      </c>
      <c r="G11" s="0" t="n">
        <f aca="false">G8+G10+G24</f>
        <v>65565.7883589282</v>
      </c>
      <c r="H11" s="0" t="n">
        <f aca="false">H8+H10+H24</f>
        <v>69440.4671512128</v>
      </c>
      <c r="I11" s="0" t="n">
        <f aca="false">I8+I10+I24</f>
        <v>71523.6811657492</v>
      </c>
      <c r="J11" s="0" t="n">
        <f aca="false">J8+J10+J24</f>
        <v>73669.3916007217</v>
      </c>
      <c r="K11" s="0" t="n">
        <f aca="false">K8+K10+K24</f>
        <v>75879.4733487434</v>
      </c>
      <c r="L11" s="0" t="n">
        <f aca="false">L8+L10+L24</f>
        <v>78155.8575492057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-18436.00304</v>
      </c>
      <c r="D12" s="4" t="n">
        <f aca="false">-D6*Assumptions!D17/100</f>
        <v>-19173.4431616</v>
      </c>
      <c r="E12" s="4" t="n">
        <f aca="false">-E6*Assumptions!E17/100</f>
        <v>-19940.380888064</v>
      </c>
      <c r="F12" s="4" t="n">
        <f aca="false">-F6*Assumptions!F17/100</f>
        <v>-20139.7846969446</v>
      </c>
      <c r="G12" s="4" t="n">
        <f aca="false">-G6*Assumptions!G17/100</f>
        <v>-20743.978237853</v>
      </c>
      <c r="H12" s="4" t="n">
        <f aca="false">-H6*Assumptions!H17/100</f>
        <v>-21366.2975849886</v>
      </c>
      <c r="I12" s="4" t="n">
        <f aca="false">-I6*Assumptions!I17/100</f>
        <v>-22007.2865125382</v>
      </c>
      <c r="J12" s="4" t="n">
        <f aca="false">-J6*Assumptions!J17/100</f>
        <v>-22667.5051079144</v>
      </c>
      <c r="K12" s="4" t="n">
        <f aca="false">-K6*Assumptions!K17/100</f>
        <v>-23347.5302611518</v>
      </c>
      <c r="L12" s="4" t="n">
        <f aca="false">-L6*Assumptions!L17/100</f>
        <v>-24047.9561689864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29958.50494</v>
      </c>
      <c r="D13" s="0" t="n">
        <f aca="false">D11+D12</f>
        <v>36292.5888416</v>
      </c>
      <c r="E13" s="0" t="n">
        <f aca="false">E11+E12</f>
        <v>41305.074696704</v>
      </c>
      <c r="F13" s="0" t="n">
        <f aca="false">F11+F12</f>
        <v>41718.125443671</v>
      </c>
      <c r="G13" s="0" t="n">
        <f aca="false">G11+G12</f>
        <v>44821.8101210752</v>
      </c>
      <c r="H13" s="0" t="n">
        <f aca="false">H11+H12</f>
        <v>48074.1695662243</v>
      </c>
      <c r="I13" s="0" t="n">
        <f aca="false">I11+I12</f>
        <v>49516.394653211</v>
      </c>
      <c r="J13" s="0" t="n">
        <f aca="false">J11+J12</f>
        <v>51001.8864928073</v>
      </c>
      <c r="K13" s="0" t="n">
        <f aca="false">K11+K12</f>
        <v>52531.9430875916</v>
      </c>
      <c r="L13" s="0" t="n">
        <f aca="false">L11+L12</f>
        <v>54107.9013802193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22468.878705</v>
      </c>
      <c r="D15" s="0" t="n">
        <f aca="false">D13-MAX(0,D13)*D14/100</f>
        <v>27219.4416312</v>
      </c>
      <c r="E15" s="0" t="n">
        <f aca="false">E13-MAX(0,E13)*E14/100</f>
        <v>30978.806022528</v>
      </c>
      <c r="F15" s="0" t="n">
        <f aca="false">F13-MAX(0,F13)*F14/100</f>
        <v>31288.5940827533</v>
      </c>
      <c r="G15" s="0" t="n">
        <f aca="false">G13-MAX(0,G13)*G14/100</f>
        <v>33616.3575908064</v>
      </c>
      <c r="H15" s="0" t="n">
        <f aca="false">H13-MAX(0,H13)*H14/100</f>
        <v>36055.6271746682</v>
      </c>
      <c r="I15" s="0" t="n">
        <f aca="false">I13-MAX(0,I13)*I14/100</f>
        <v>37137.2959899083</v>
      </c>
      <c r="J15" s="0" t="n">
        <f aca="false">J13-MAX(0,J13)*J14/100</f>
        <v>38251.4148696055</v>
      </c>
      <c r="K15" s="0" t="n">
        <f aca="false">K13-MAX(0,K13)*K14/100</f>
        <v>39398.9573156937</v>
      </c>
      <c r="L15" s="0" t="n">
        <f aca="false">L13-MAX(0,L13)*L14/100</f>
        <v>40580.9260351645</v>
      </c>
    </row>
    <row r="16" customFormat="false" ht="15" hidden="false" customHeight="false" outlineLevel="0" collapsed="false">
      <c r="A16" s="0" t="s">
        <v>120</v>
      </c>
      <c r="C16" s="0" t="n">
        <f aca="false">-C12</f>
        <v>18436.00304</v>
      </c>
      <c r="D16" s="0" t="n">
        <f aca="false">-D12</f>
        <v>19173.4431616</v>
      </c>
      <c r="E16" s="0" t="n">
        <f aca="false">-E12</f>
        <v>19940.380888064</v>
      </c>
      <c r="F16" s="0" t="n">
        <f aca="false">-F12</f>
        <v>20139.7846969446</v>
      </c>
      <c r="G16" s="0" t="n">
        <f aca="false">-G12</f>
        <v>20743.978237853</v>
      </c>
      <c r="H16" s="0" t="n">
        <f aca="false">-H12</f>
        <v>21366.2975849886</v>
      </c>
      <c r="I16" s="0" t="n">
        <f aca="false">-I12</f>
        <v>22007.2865125382</v>
      </c>
      <c r="J16" s="0" t="n">
        <f aca="false">-J12</f>
        <v>22667.5051079144</v>
      </c>
      <c r="K16" s="0" t="n">
        <f aca="false">-K12</f>
        <v>23347.5302611518</v>
      </c>
      <c r="L16" s="0" t="n">
        <f aca="false">-L12</f>
        <v>24047.9561689864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-32921.434</v>
      </c>
      <c r="D17" s="4" t="n">
        <f aca="false">-D6*Assumptions!D18/100</f>
        <v>-34238.29136</v>
      </c>
      <c r="E17" s="4" t="n">
        <f aca="false">-E6*Assumptions!E18/100</f>
        <v>-33827.43186368</v>
      </c>
      <c r="F17" s="4" t="n">
        <f aca="false">-F6*Assumptions!F18/100</f>
        <v>-32367.5111200896</v>
      </c>
      <c r="G17" s="4" t="n">
        <f aca="false">-G6*Assumptions!G18/100</f>
        <v>-33338.5364536923</v>
      </c>
      <c r="H17" s="4" t="n">
        <f aca="false">-H6*Assumptions!H18/100</f>
        <v>-32430.9874057862</v>
      </c>
      <c r="I17" s="4" t="n">
        <f aca="false">-I6*Assumptions!I18/100</f>
        <v>-33403.9170279598</v>
      </c>
      <c r="J17" s="4" t="n">
        <f aca="false">-J6*Assumptions!J18/100</f>
        <v>-32382.1501541634</v>
      </c>
      <c r="K17" s="4" t="n">
        <f aca="false">-K6*Assumptions!K18/100</f>
        <v>-33353.6146587883</v>
      </c>
      <c r="L17" s="4" t="n">
        <f aca="false">-L6*Assumptions!L18/100</f>
        <v>-34354.2230985519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3023.39700000001</v>
      </c>
      <c r="D18" s="4" t="n">
        <f aca="false">(D6-C6)*Assumptions!$B$23/100</f>
        <v>-5925.85812</v>
      </c>
      <c r="E18" s="4" t="n">
        <f aca="false">(E6-D6)*Assumptions!$B$23/100</f>
        <v>-6162.8924448</v>
      </c>
      <c r="F18" s="4" t="n">
        <f aca="false">(F6-E6)*Assumptions!$B$23/100</f>
        <v>-1602.35203564801</v>
      </c>
      <c r="G18" s="4" t="n">
        <f aca="false">(G6-F6)*Assumptions!$B$23/100</f>
        <v>-4855.12666801343</v>
      </c>
      <c r="H18" s="4" t="n">
        <f aca="false">(H6-G6)*Assumptions!$B$23/100</f>
        <v>-5000.78046805384</v>
      </c>
      <c r="I18" s="4" t="n">
        <f aca="false">(I6-H6)*Assumptions!$B$23/100</f>
        <v>-5150.80388209547</v>
      </c>
      <c r="J18" s="4" t="n">
        <f aca="false">(J6-I6)*Assumptions!$B$23/100</f>
        <v>-5305.32799855834</v>
      </c>
      <c r="K18" s="4" t="n">
        <f aca="false">(K6-J6)*Assumptions!$B$23/100</f>
        <v>-5464.48783851508</v>
      </c>
      <c r="L18" s="4" t="n">
        <f aca="false">(L6-K6)*Assumptions!$B$23/100</f>
        <v>-5628.42247367053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11006.844745</v>
      </c>
      <c r="D19" s="0" t="n">
        <f aca="false">D15+D16+D17+D18</f>
        <v>6228.73531279998</v>
      </c>
      <c r="E19" s="0" t="n">
        <f aca="false">E15+E16+E17+E18</f>
        <v>10928.862602112</v>
      </c>
      <c r="F19" s="0" t="n">
        <f aca="false">F15+F16+F17+F18</f>
        <v>17458.5156239603</v>
      </c>
      <c r="G19" s="0" t="n">
        <f aca="false">G15+G16+G17+G18</f>
        <v>16166.6727069537</v>
      </c>
      <c r="H19" s="0" t="n">
        <f aca="false">H15+H16+H17+H18</f>
        <v>19990.1568858167</v>
      </c>
      <c r="I19" s="0" t="n">
        <f aca="false">I15+I16+I17+I18</f>
        <v>20589.8615923912</v>
      </c>
      <c r="J19" s="0" t="n">
        <f aca="false">J15+J16+J17+J18</f>
        <v>23231.4418247982</v>
      </c>
      <c r="K19" s="0" t="n">
        <f aca="false">K15+K16+K17+K18</f>
        <v>23928.3850795421</v>
      </c>
      <c r="L19" s="0" t="n">
        <f aca="false">L15+L16+L17+L18</f>
        <v>24646.2366319284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9871.60963677133</v>
      </c>
      <c r="D21" s="0" t="n">
        <f aca="false">D19*D20</f>
        <v>5010.14322652777</v>
      </c>
      <c r="E21" s="0" t="n">
        <f aca="false">E19*E20</f>
        <v>7884.06804493774</v>
      </c>
      <c r="F21" s="0" t="n">
        <f aca="false">F19*F20</f>
        <v>11295.5620692153</v>
      </c>
      <c r="G21" s="0" t="n">
        <f aca="false">G19*G20</f>
        <v>9380.93894111808</v>
      </c>
      <c r="H21" s="0" t="n">
        <f aca="false">H19*H20</f>
        <v>10403.2012077753</v>
      </c>
      <c r="I21" s="0" t="n">
        <f aca="false">I19*I20</f>
        <v>9610.1320574068</v>
      </c>
      <c r="J21" s="0" t="n">
        <f aca="false">J19*J20</f>
        <v>9724.72268017612</v>
      </c>
      <c r="K21" s="0" t="n">
        <f aca="false">K19*K20</f>
        <v>8983.37610814477</v>
      </c>
      <c r="L21" s="0" t="n">
        <f aca="false">L19*L20</f>
        <v>8298.54474564045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-2304.50038</v>
      </c>
      <c r="D24" s="0" t="n">
        <f aca="false">-D6*D23/100</f>
        <v>-2396.6803952</v>
      </c>
      <c r="E24" s="0" t="n">
        <f aca="false">-E6*E23/100</f>
        <v>-2492.547611008</v>
      </c>
      <c r="F24" s="0" t="n">
        <f aca="false">-F6*F23/100</f>
        <v>-2517.47308711808</v>
      </c>
      <c r="G24" s="0" t="n">
        <f aca="false">-G6*G23/100</f>
        <v>-2592.99727973162</v>
      </c>
      <c r="H24" s="0" t="n">
        <f aca="false">-H6*H23/100</f>
        <v>-2670.78719812357</v>
      </c>
      <c r="I24" s="0" t="n">
        <f aca="false">-I6*I23/100</f>
        <v>-2750.91081406728</v>
      </c>
      <c r="J24" s="0" t="n">
        <f aca="false">-J6*J23/100</f>
        <v>-2833.4381384893</v>
      </c>
      <c r="K24" s="0" t="n">
        <f aca="false">-K6*K23/100</f>
        <v>-2918.44128264398</v>
      </c>
      <c r="L24" s="0" t="n">
        <f aca="false">-L6*L23/100</f>
        <v>-3005.9945211233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90462.2987177137</v>
      </c>
    </row>
    <row r="31" customFormat="false" ht="15" hidden="false" customHeight="false" outlineLevel="0" collapsed="false">
      <c r="A31" s="0" t="s">
        <v>129</v>
      </c>
      <c r="B31" s="0" t="n">
        <f aca="false">L19</f>
        <v>24646.2366319284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298654.396833956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369693.549478926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298654.396833956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100558.836329525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191021.135047239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221345.135047239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2.75725513715275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-0.774917947987531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2127.7015897035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1752.10355103462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2.80558514744716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211546.864424052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1.98029705782826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3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335933</v>
      </c>
      <c r="C6" s="0" t="n">
        <f aca="false">B6*(1+C5/100)</f>
        <v>346010.99</v>
      </c>
      <c r="D6" s="0" t="n">
        <f aca="false">C6*(1+D5/100)</f>
        <v>380612.089</v>
      </c>
      <c r="E6" s="0" t="n">
        <f aca="false">D6*(1+E5/100)</f>
        <v>414867.17701</v>
      </c>
      <c r="F6" s="0" t="n">
        <f aca="false">E6*(1+F5/100)</f>
        <v>448056.5511708</v>
      </c>
      <c r="G6" s="0" t="n">
        <f aca="false">F6*(1+G5/100)</f>
        <v>479420.509752756</v>
      </c>
      <c r="H6" s="0" t="n">
        <f aca="false">G6*(1+H5/100)</f>
        <v>508185.740337922</v>
      </c>
      <c r="I6" s="0" t="n">
        <f aca="false">H6*(1+I5/100)</f>
        <v>536135.956056507</v>
      </c>
      <c r="J6" s="0" t="n">
        <f aca="false">I6*(1+J5/100)</f>
        <v>562942.753859333</v>
      </c>
      <c r="K6" s="0" t="n">
        <f aca="false">J6*(1+K5/100)</f>
        <v>588275.177783003</v>
      </c>
      <c r="L6" s="0" t="n">
        <f aca="false">K6*(1+L5/100)</f>
        <v>611806.184894323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17.5</v>
      </c>
      <c r="D7" s="4" t="n">
        <f aca="false">Assumptions!D28</f>
        <v>20</v>
      </c>
      <c r="E7" s="4" t="n">
        <f aca="false">Assumptions!E28</f>
        <v>21</v>
      </c>
      <c r="F7" s="4" t="n">
        <f aca="false">Assumptions!F28</f>
        <v>22</v>
      </c>
      <c r="G7" s="4" t="n">
        <f aca="false">Assumptions!G28</f>
        <v>22.5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60551.92325</v>
      </c>
      <c r="D8" s="0" t="n">
        <f aca="false">D6*D7/100</f>
        <v>76122.4178</v>
      </c>
      <c r="E8" s="0" t="n">
        <f aca="false">E6*E7/100</f>
        <v>87122.1071721</v>
      </c>
      <c r="F8" s="0" t="n">
        <f aca="false">F6*F7/100</f>
        <v>98572.441257576</v>
      </c>
      <c r="G8" s="0" t="n">
        <f aca="false">G6*G7/100</f>
        <v>107869.61469437</v>
      </c>
      <c r="H8" s="0" t="n">
        <f aca="false">H6*H7/100</f>
        <v>114341.791576032</v>
      </c>
      <c r="I8" s="0" t="n">
        <f aca="false">I6*I7/100</f>
        <v>120630.590112714</v>
      </c>
      <c r="J8" s="0" t="n">
        <f aca="false">J6*J7/100</f>
        <v>126662.11961835</v>
      </c>
      <c r="K8" s="0" t="n">
        <f aca="false">K6*K7/100</f>
        <v>132361.915001176</v>
      </c>
      <c r="L8" s="0" t="n">
        <f aca="false">L6*L7/100</f>
        <v>137656.391601223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-346.01099</v>
      </c>
      <c r="D10" s="0" t="n">
        <f aca="false">-D6*D9/100</f>
        <v>-380.612089</v>
      </c>
      <c r="E10" s="0" t="n">
        <f aca="false">-E6*E9/100</f>
        <v>-414.86717701</v>
      </c>
      <c r="F10" s="0" t="n">
        <f aca="false">-F6*F9/100</f>
        <v>-448.0565511708</v>
      </c>
      <c r="G10" s="0" t="n">
        <f aca="false">-G6*G9/100</f>
        <v>-479.420509752756</v>
      </c>
      <c r="H10" s="0" t="n">
        <f aca="false">-H6*H9/100</f>
        <v>-508.185740337922</v>
      </c>
      <c r="I10" s="0" t="n">
        <f aca="false">-I6*I9/100</f>
        <v>-536.135956056507</v>
      </c>
      <c r="J10" s="0" t="n">
        <f aca="false">-J6*J9/100</f>
        <v>-562.942753859333</v>
      </c>
      <c r="K10" s="0" t="n">
        <f aca="false">-K6*K9/100</f>
        <v>-588.275177783003</v>
      </c>
      <c r="L10" s="0" t="n">
        <f aca="false">-L6*L9/100</f>
        <v>-611.806184894323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57783.83533</v>
      </c>
      <c r="D11" s="0" t="n">
        <f aca="false">D8+D10+D24</f>
        <v>73077.521088</v>
      </c>
      <c r="E11" s="0" t="n">
        <f aca="false">E8+E10+E24</f>
        <v>83803.16975602</v>
      </c>
      <c r="F11" s="0" t="n">
        <f aca="false">F8+F10+F24</f>
        <v>94987.9888482096</v>
      </c>
      <c r="G11" s="0" t="n">
        <f aca="false">G8+G10+G24</f>
        <v>104034.250616348</v>
      </c>
      <c r="H11" s="0" t="n">
        <f aca="false">H8+H10+H24</f>
        <v>110276.305653329</v>
      </c>
      <c r="I11" s="0" t="n">
        <f aca="false">I8+I10+I24</f>
        <v>116341.502464262</v>
      </c>
      <c r="J11" s="0" t="n">
        <f aca="false">J8+J10+J24</f>
        <v>122158.577587475</v>
      </c>
      <c r="K11" s="0" t="n">
        <f aca="false">K8+K10+K24</f>
        <v>127655.713578912</v>
      </c>
      <c r="L11" s="0" t="n">
        <f aca="false">L8+L10+L24</f>
        <v>132761.942122068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-19376.61544</v>
      </c>
      <c r="D12" s="4" t="n">
        <f aca="false">-D6*Assumptions!D31/100</f>
        <v>-21314.276984</v>
      </c>
      <c r="E12" s="4" t="n">
        <f aca="false">-E6*Assumptions!E31/100</f>
        <v>-23232.56191256</v>
      </c>
      <c r="F12" s="4" t="n">
        <f aca="false">-F6*Assumptions!F31/100</f>
        <v>-24643.110314394</v>
      </c>
      <c r="G12" s="4" t="n">
        <f aca="false">-G6*Assumptions!G31/100</f>
        <v>-26368.1280364016</v>
      </c>
      <c r="H12" s="4" t="n">
        <f aca="false">-H6*Assumptions!H31/100</f>
        <v>-27950.2157185857</v>
      </c>
      <c r="I12" s="4" t="n">
        <f aca="false">-I6*Assumptions!I31/100</f>
        <v>-29487.4775831079</v>
      </c>
      <c r="J12" s="4" t="n">
        <f aca="false">-J6*Assumptions!J31/100</f>
        <v>-30961.8514622633</v>
      </c>
      <c r="K12" s="4" t="n">
        <f aca="false">-K6*Assumptions!K31/100</f>
        <v>-32355.1347780651</v>
      </c>
      <c r="L12" s="4" t="n">
        <f aca="false">-L6*Assumptions!L31/100</f>
        <v>-33649.3401691877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38407.21989</v>
      </c>
      <c r="D13" s="0" t="n">
        <f aca="false">D11+D12</f>
        <v>51763.244104</v>
      </c>
      <c r="E13" s="0" t="n">
        <f aca="false">E11+E12</f>
        <v>60570.60784346</v>
      </c>
      <c r="F13" s="0" t="n">
        <f aca="false">F11+F12</f>
        <v>70344.8785338156</v>
      </c>
      <c r="G13" s="0" t="n">
        <f aca="false">G11+G12</f>
        <v>77666.1225799465</v>
      </c>
      <c r="H13" s="0" t="n">
        <f aca="false">H11+H12</f>
        <v>82326.0899347433</v>
      </c>
      <c r="I13" s="0" t="n">
        <f aca="false">I11+I12</f>
        <v>86854.0248811542</v>
      </c>
      <c r="J13" s="0" t="n">
        <f aca="false">J11+J12</f>
        <v>91196.7261252119</v>
      </c>
      <c r="K13" s="0" t="n">
        <f aca="false">K11+K12</f>
        <v>95300.5788008464</v>
      </c>
      <c r="L13" s="0" t="n">
        <f aca="false">L11+L12</f>
        <v>99112.6019528803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28805.4149175</v>
      </c>
      <c r="D15" s="0" t="n">
        <f aca="false">D13-MAX(0,D13)*D14/100</f>
        <v>38822.433078</v>
      </c>
      <c r="E15" s="0" t="n">
        <f aca="false">E13-MAX(0,E13)*E14/100</f>
        <v>45427.955882595</v>
      </c>
      <c r="F15" s="0" t="n">
        <f aca="false">F13-MAX(0,F13)*F14/100</f>
        <v>52758.6589003617</v>
      </c>
      <c r="G15" s="0" t="n">
        <f aca="false">G13-MAX(0,G13)*G14/100</f>
        <v>58249.5919349599</v>
      </c>
      <c r="H15" s="0" t="n">
        <f aca="false">H13-MAX(0,H13)*H14/100</f>
        <v>61744.5674510575</v>
      </c>
      <c r="I15" s="0" t="n">
        <f aca="false">I13-MAX(0,I13)*I14/100</f>
        <v>65140.5186608656</v>
      </c>
      <c r="J15" s="0" t="n">
        <f aca="false">J13-MAX(0,J13)*J14/100</f>
        <v>68397.5445939089</v>
      </c>
      <c r="K15" s="0" t="n">
        <f aca="false">K13-MAX(0,K13)*K14/100</f>
        <v>71475.4341006348</v>
      </c>
      <c r="L15" s="0" t="n">
        <f aca="false">L13-MAX(0,L13)*L14/100</f>
        <v>74334.4514646602</v>
      </c>
    </row>
    <row r="16" customFormat="false" ht="15" hidden="false" customHeight="false" outlineLevel="0" collapsed="false">
      <c r="A16" s="0" t="s">
        <v>120</v>
      </c>
      <c r="C16" s="0" t="n">
        <f aca="false">-C12</f>
        <v>19376.61544</v>
      </c>
      <c r="D16" s="0" t="n">
        <f aca="false">-D12</f>
        <v>21314.276984</v>
      </c>
      <c r="E16" s="0" t="n">
        <f aca="false">-E12</f>
        <v>23232.56191256</v>
      </c>
      <c r="F16" s="0" t="n">
        <f aca="false">-F12</f>
        <v>24643.110314394</v>
      </c>
      <c r="G16" s="0" t="n">
        <f aca="false">-G12</f>
        <v>26368.1280364016</v>
      </c>
      <c r="H16" s="0" t="n">
        <f aca="false">-H12</f>
        <v>27950.2157185857</v>
      </c>
      <c r="I16" s="0" t="n">
        <f aca="false">-I12</f>
        <v>29487.4775831079</v>
      </c>
      <c r="J16" s="0" t="n">
        <f aca="false">-J12</f>
        <v>30961.8514622633</v>
      </c>
      <c r="K16" s="0" t="n">
        <f aca="false">-K12</f>
        <v>32355.1347780651</v>
      </c>
      <c r="L16" s="0" t="n">
        <f aca="false">-L12</f>
        <v>33649.3401691877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-34601.099</v>
      </c>
      <c r="D17" s="4" t="n">
        <f aca="false">-D6*Assumptions!D32/100</f>
        <v>-36158.148455</v>
      </c>
      <c r="E17" s="4" t="n">
        <f aca="false">-E6*Assumptions!E32/100</f>
        <v>-37338.0459309</v>
      </c>
      <c r="F17" s="4" t="n">
        <f aca="false">-F6*Assumptions!F32/100</f>
        <v>-38084.806849518</v>
      </c>
      <c r="G17" s="4" t="n">
        <f aca="false">-G6*Assumptions!G32/100</f>
        <v>-38353.6407802205</v>
      </c>
      <c r="H17" s="4" t="n">
        <f aca="false">-H6*Assumptions!H32/100</f>
        <v>-38113.9305253441</v>
      </c>
      <c r="I17" s="4" t="n">
        <f aca="false">-I6*Assumptions!I32/100</f>
        <v>-37529.5169239555</v>
      </c>
      <c r="J17" s="4" t="n">
        <f aca="false">-J6*Assumptions!J32/100</f>
        <v>-39405.9927701533</v>
      </c>
      <c r="K17" s="4" t="n">
        <f aca="false">-K6*Assumptions!K32/100</f>
        <v>-41179.2624448102</v>
      </c>
      <c r="L17" s="4" t="n">
        <f aca="false">-L6*Assumptions!L32/100</f>
        <v>-42826.4329426026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-4031.196</v>
      </c>
      <c r="D18" s="4" t="n">
        <f aca="false">(D6-C6)*Assumptions!$B$37/100</f>
        <v>-13840.4396</v>
      </c>
      <c r="E18" s="4" t="n">
        <f aca="false">(E6-D6)*Assumptions!$B$37/100</f>
        <v>-13702.035204</v>
      </c>
      <c r="F18" s="4" t="n">
        <f aca="false">(F6-E6)*Assumptions!$B$37/100</f>
        <v>-13275.74966432</v>
      </c>
      <c r="G18" s="4" t="n">
        <f aca="false">(G6-F6)*Assumptions!$B$37/100</f>
        <v>-12545.5834327824</v>
      </c>
      <c r="H18" s="4" t="n">
        <f aca="false">(H6-G6)*Assumptions!$B$37/100</f>
        <v>-11506.0922340662</v>
      </c>
      <c r="I18" s="4" t="n">
        <f aca="false">(I6-H6)*Assumptions!$B$37/100</f>
        <v>-11180.0862874343</v>
      </c>
      <c r="J18" s="4" t="n">
        <f aca="false">(J6-I6)*Assumptions!$B$37/100</f>
        <v>-10722.7191211301</v>
      </c>
      <c r="K18" s="4" t="n">
        <f aca="false">(K6-J6)*Assumptions!$B$37/100</f>
        <v>-10132.969569468</v>
      </c>
      <c r="L18" s="4" t="n">
        <f aca="false">(L6-K6)*Assumptions!$B$37/100</f>
        <v>-9412.40284452806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9549.73535749999</v>
      </c>
      <c r="D19" s="0" t="n">
        <f aca="false">D15+D16+D17+D18</f>
        <v>10138.122007</v>
      </c>
      <c r="E19" s="0" t="n">
        <f aca="false">E15+E16+E17+E18</f>
        <v>17620.436660255</v>
      </c>
      <c r="F19" s="0" t="n">
        <f aca="false">F15+F16+F17+F18</f>
        <v>26041.2127009177</v>
      </c>
      <c r="G19" s="0" t="n">
        <f aca="false">G15+G16+G17+G18</f>
        <v>33718.4957583586</v>
      </c>
      <c r="H19" s="0" t="n">
        <f aca="false">H15+H16+H17+H18</f>
        <v>40074.7604102329</v>
      </c>
      <c r="I19" s="0" t="n">
        <f aca="false">I15+I16+I17+I18</f>
        <v>45918.3930325837</v>
      </c>
      <c r="J19" s="0" t="n">
        <f aca="false">J15+J16+J17+J18</f>
        <v>49230.6841648888</v>
      </c>
      <c r="K19" s="0" t="n">
        <f aca="false">K15+K16+K17+K18</f>
        <v>52518.3368644218</v>
      </c>
      <c r="L19" s="0" t="n">
        <f aca="false">L15+L16+L17+L18</f>
        <v>55744.9558467173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8564.78507399103</v>
      </c>
      <c r="D21" s="0" t="n">
        <f aca="false">D19*D20</f>
        <v>8154.69605823563</v>
      </c>
      <c r="E21" s="0" t="n">
        <f aca="false">E19*E20</f>
        <v>12711.3613436882</v>
      </c>
      <c r="F21" s="0" t="n">
        <f aca="false">F19*F20</f>
        <v>16848.5191270877</v>
      </c>
      <c r="G21" s="0" t="n">
        <f aca="false">G19*G20</f>
        <v>19565.6308276383</v>
      </c>
      <c r="H21" s="0" t="n">
        <f aca="false">H19*H20</f>
        <v>20855.5539750086</v>
      </c>
      <c r="I21" s="0" t="n">
        <f aca="false">I19*I20</f>
        <v>21431.9954957885</v>
      </c>
      <c r="J21" s="0" t="n">
        <f aca="false">J19*J20</f>
        <v>20608.0515565693</v>
      </c>
      <c r="K21" s="0" t="n">
        <f aca="false">K19*K20</f>
        <v>19716.8330022702</v>
      </c>
      <c r="L21" s="0" t="n">
        <f aca="false">L19*L20</f>
        <v>18769.681446556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0.7</v>
      </c>
      <c r="H23" s="4" t="n">
        <f aca="false">Assumptions!H30</f>
        <v>0.7</v>
      </c>
      <c r="I23" s="4" t="n">
        <f aca="false">Assumptions!I30</f>
        <v>0.7</v>
      </c>
      <c r="J23" s="4" t="n">
        <f aca="false">Assumptions!J30</f>
        <v>0.7</v>
      </c>
      <c r="K23" s="4" t="n">
        <f aca="false">Assumptions!K30</f>
        <v>0.7</v>
      </c>
      <c r="L23" s="4" t="n">
        <f aca="false">Assumptions!L30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-2422.07693</v>
      </c>
      <c r="D24" s="0" t="n">
        <f aca="false">-D6*D23/100</f>
        <v>-2664.284623</v>
      </c>
      <c r="E24" s="0" t="n">
        <f aca="false">-E6*E23/100</f>
        <v>-2904.07023907</v>
      </c>
      <c r="F24" s="0" t="n">
        <f aca="false">-F6*F23/100</f>
        <v>-3136.3958581956</v>
      </c>
      <c r="G24" s="0" t="n">
        <f aca="false">-G6*G23/100</f>
        <v>-3355.94356826929</v>
      </c>
      <c r="H24" s="0" t="n">
        <f aca="false">-H6*H23/100</f>
        <v>-3557.30018236545</v>
      </c>
      <c r="I24" s="0" t="n">
        <f aca="false">-I6*I23/100</f>
        <v>-3752.95169239555</v>
      </c>
      <c r="J24" s="0" t="n">
        <f aca="false">-J6*J23/100</f>
        <v>-3940.59927701533</v>
      </c>
      <c r="K24" s="0" t="n">
        <f aca="false">-K6*K23/100</f>
        <v>-4117.92624448102</v>
      </c>
      <c r="L24" s="0" t="n">
        <f aca="false">-L6*L23/100</f>
        <v>-4282.64329426026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4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167227.107906833</v>
      </c>
    </row>
    <row r="31" customFormat="false" ht="15" hidden="false" customHeight="false" outlineLevel="0" collapsed="false">
      <c r="A31" s="0" t="s">
        <v>129</v>
      </c>
      <c r="B31" s="0" t="n">
        <f aca="false">L19</f>
        <v>55744.9558467173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772996.72107448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836174.33770076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772996.72107448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260272.91605891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427500.023965743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457824.023965743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5.70302862867116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-0.534446642557456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2661.04530852955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2856.51997363093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5.7717599121284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527043.218914418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3.72707467734244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7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38</v>
      </c>
      <c r="B6" s="3" t="n">
        <v>335933</v>
      </c>
      <c r="C6" s="0" t="n">
        <f aca="false">B6*(1+C5/100)</f>
        <v>359448.31</v>
      </c>
      <c r="D6" s="0" t="n">
        <f aca="false">C6*(1+D5/100)</f>
        <v>409771.0734</v>
      </c>
      <c r="E6" s="0" t="n">
        <f aca="false">D6*(1+E5/100)</f>
        <v>458943.602208</v>
      </c>
      <c r="F6" s="0" t="n">
        <f aca="false">E6*(1+F5/100)</f>
        <v>504837.9624288</v>
      </c>
      <c r="G6" s="0" t="n">
        <f aca="false">F6*(1+G5/100)</f>
        <v>550273.379047392</v>
      </c>
      <c r="H6" s="0" t="n">
        <f aca="false">G6*(1+H5/100)</f>
        <v>594295.249371184</v>
      </c>
      <c r="I6" s="0" t="n">
        <f aca="false">H6*(1+I5/100)</f>
        <v>635895.916827167</v>
      </c>
      <c r="J6" s="0" t="n">
        <f aca="false">I6*(1+J5/100)</f>
        <v>674049.671836796</v>
      </c>
      <c r="K6" s="0" t="n">
        <f aca="false">J6*(1+K5/100)</f>
        <v>707752.155428636</v>
      </c>
      <c r="L6" s="0" t="n">
        <f aca="false">K6*(1+L5/100)</f>
        <v>739601.002422925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18.5</v>
      </c>
      <c r="D7" s="4" t="n">
        <f aca="false">Assumptions!D42</f>
        <v>21.5</v>
      </c>
      <c r="E7" s="4" t="n">
        <f aca="false">Assumptions!E42</f>
        <v>23</v>
      </c>
      <c r="F7" s="4" t="n">
        <f aca="false">Assumptions!F42</f>
        <v>24</v>
      </c>
      <c r="G7" s="4" t="n">
        <f aca="false">Assumptions!G42</f>
        <v>24.5</v>
      </c>
      <c r="H7" s="4" t="n">
        <f aca="false">Assumptions!H42</f>
        <v>24.5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66497.93735</v>
      </c>
      <c r="D8" s="0" t="n">
        <f aca="false">D6*D7/100</f>
        <v>88100.780781</v>
      </c>
      <c r="E8" s="0" t="n">
        <f aca="false">E6*E7/100</f>
        <v>105557.02850784</v>
      </c>
      <c r="F8" s="0" t="n">
        <f aca="false">F6*F7/100</f>
        <v>121161.110982912</v>
      </c>
      <c r="G8" s="0" t="n">
        <f aca="false">G6*G7/100</f>
        <v>134816.977866611</v>
      </c>
      <c r="H8" s="0" t="n">
        <f aca="false">H6*H7/100</f>
        <v>145602.33609594</v>
      </c>
      <c r="I8" s="0" t="n">
        <f aca="false">I6*I7/100</f>
        <v>155794.499622656</v>
      </c>
      <c r="J8" s="0" t="n">
        <f aca="false">J6*J7/100</f>
        <v>165142.169600015</v>
      </c>
      <c r="K8" s="0" t="n">
        <f aca="false">K6*K7/100</f>
        <v>173399.278080016</v>
      </c>
      <c r="L8" s="0" t="n">
        <f aca="false">L6*L7/100</f>
        <v>181202.245593617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-359.44831</v>
      </c>
      <c r="D10" s="0" t="n">
        <f aca="false">-D6*D9/100</f>
        <v>-409.7710734</v>
      </c>
      <c r="E10" s="0" t="n">
        <f aca="false">-E6*E9/100</f>
        <v>-458.943602208</v>
      </c>
      <c r="F10" s="0" t="n">
        <f aca="false">-F6*F9/100</f>
        <v>-504.8379624288</v>
      </c>
      <c r="G10" s="0" t="n">
        <f aca="false">-G6*G9/100</f>
        <v>-550.273379047392</v>
      </c>
      <c r="H10" s="0" t="n">
        <f aca="false">-H6*H9/100</f>
        <v>-594.295249371184</v>
      </c>
      <c r="I10" s="0" t="n">
        <f aca="false">-I6*I9/100</f>
        <v>-635.895916827167</v>
      </c>
      <c r="J10" s="0" t="n">
        <f aca="false">-J6*J9/100</f>
        <v>-674.049671836797</v>
      </c>
      <c r="K10" s="0" t="n">
        <f aca="false">-K6*K9/100</f>
        <v>-707.752155428636</v>
      </c>
      <c r="L10" s="0" t="n">
        <f aca="false">-L6*L9/100</f>
        <v>-739.601002422925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63622.35087</v>
      </c>
      <c r="D11" s="0" t="n">
        <f aca="false">D8+D10+D24</f>
        <v>84822.6121938</v>
      </c>
      <c r="E11" s="0" t="n">
        <f aca="false">E8+E10+E24</f>
        <v>101885.479690176</v>
      </c>
      <c r="F11" s="0" t="n">
        <f aca="false">F8+F10+F24</f>
        <v>117122.407283482</v>
      </c>
      <c r="G11" s="0" t="n">
        <f aca="false">G8+G10+G24</f>
        <v>130414.790834232</v>
      </c>
      <c r="H11" s="0" t="n">
        <f aca="false">H8+H10+H24</f>
        <v>140847.974100971</v>
      </c>
      <c r="I11" s="0" t="n">
        <f aca="false">I8+I10+I24</f>
        <v>150707.332288038</v>
      </c>
      <c r="J11" s="0" t="n">
        <f aca="false">J8+J10+J24</f>
        <v>159749.772225321</v>
      </c>
      <c r="K11" s="0" t="n">
        <f aca="false">K8+K10+K24</f>
        <v>167737.260836587</v>
      </c>
      <c r="L11" s="0" t="n">
        <f aca="false">L8+L10+L24</f>
        <v>175285.437574233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-20129.10536</v>
      </c>
      <c r="D12" s="4" t="n">
        <f aca="false">-D6*Assumptions!D45/100</f>
        <v>-22947.1801104</v>
      </c>
      <c r="E12" s="4" t="n">
        <f aca="false">-E6*Assumptions!E45/100</f>
        <v>-25241.89812144</v>
      </c>
      <c r="F12" s="4" t="n">
        <f aca="false">-F6*Assumptions!F45/100</f>
        <v>-27766.087933584</v>
      </c>
      <c r="G12" s="4" t="n">
        <f aca="false">-G6*Assumptions!G45/100</f>
        <v>-30265.0358476066</v>
      </c>
      <c r="H12" s="4" t="n">
        <f aca="false">-H6*Assumptions!H45/100</f>
        <v>-32686.2387154151</v>
      </c>
      <c r="I12" s="4" t="n">
        <f aca="false">-I6*Assumptions!I45/100</f>
        <v>-34974.2754254942</v>
      </c>
      <c r="J12" s="4" t="n">
        <f aca="false">-J6*Assumptions!J45/100</f>
        <v>-37072.7319510238</v>
      </c>
      <c r="K12" s="4" t="n">
        <f aca="false">-K6*Assumptions!K45/100</f>
        <v>-38926.368548575</v>
      </c>
      <c r="L12" s="4" t="n">
        <f aca="false">-L6*Assumptions!L45/100</f>
        <v>-40678.0551332609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43493.24551</v>
      </c>
      <c r="D13" s="0" t="n">
        <f aca="false">D11+D12</f>
        <v>61875.4320834</v>
      </c>
      <c r="E13" s="0" t="n">
        <f aca="false">E11+E12</f>
        <v>76643.581568736</v>
      </c>
      <c r="F13" s="0" t="n">
        <f aca="false">F11+F12</f>
        <v>89356.3193498976</v>
      </c>
      <c r="G13" s="0" t="n">
        <f aca="false">G11+G12</f>
        <v>100149.754986625</v>
      </c>
      <c r="H13" s="0" t="n">
        <f aca="false">H11+H12</f>
        <v>108161.735385555</v>
      </c>
      <c r="I13" s="0" t="n">
        <f aca="false">I11+I12</f>
        <v>115733.056862544</v>
      </c>
      <c r="J13" s="0" t="n">
        <f aca="false">J11+J12</f>
        <v>122677.040274297</v>
      </c>
      <c r="K13" s="0" t="n">
        <f aca="false">K11+K12</f>
        <v>128810.892288012</v>
      </c>
      <c r="L13" s="0" t="n">
        <f aca="false">L11+L12</f>
        <v>134607.382440972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32619.9341325</v>
      </c>
      <c r="D15" s="0" t="n">
        <f aca="false">D13-MAX(0,D13)*D14/100</f>
        <v>46406.57406255</v>
      </c>
      <c r="E15" s="0" t="n">
        <f aca="false">E13-MAX(0,E13)*E14/100</f>
        <v>57482.686176552</v>
      </c>
      <c r="F15" s="0" t="n">
        <f aca="false">F13-MAX(0,F13)*F14/100</f>
        <v>67017.2395124232</v>
      </c>
      <c r="G15" s="0" t="n">
        <f aca="false">G13-MAX(0,G13)*G14/100</f>
        <v>75112.316239969</v>
      </c>
      <c r="H15" s="0" t="n">
        <f aca="false">H13-MAX(0,H13)*H14/100</f>
        <v>81121.3015391666</v>
      </c>
      <c r="I15" s="0" t="n">
        <f aca="false">I13-MAX(0,I13)*I14/100</f>
        <v>86799.7926469082</v>
      </c>
      <c r="J15" s="0" t="n">
        <f aca="false">J13-MAX(0,J13)*J14/100</f>
        <v>92007.7802057227</v>
      </c>
      <c r="K15" s="0" t="n">
        <f aca="false">K13-MAX(0,K13)*K14/100</f>
        <v>96608.1692160088</v>
      </c>
      <c r="L15" s="0" t="n">
        <f aca="false">L13-MAX(0,L13)*L14/100</f>
        <v>100955.536830729</v>
      </c>
    </row>
    <row r="16" customFormat="false" ht="15" hidden="false" customHeight="false" outlineLevel="0" collapsed="false">
      <c r="A16" s="0" t="s">
        <v>120</v>
      </c>
      <c r="C16" s="0" t="n">
        <f aca="false">-C12</f>
        <v>20129.10536</v>
      </c>
      <c r="D16" s="0" t="n">
        <f aca="false">-D12</f>
        <v>22947.1801104</v>
      </c>
      <c r="E16" s="0" t="n">
        <f aca="false">-E12</f>
        <v>25241.89812144</v>
      </c>
      <c r="F16" s="0" t="n">
        <f aca="false">-F12</f>
        <v>27766.087933584</v>
      </c>
      <c r="G16" s="0" t="n">
        <f aca="false">-G12</f>
        <v>30265.0358476066</v>
      </c>
      <c r="H16" s="0" t="n">
        <f aca="false">-H12</f>
        <v>32686.2387154151</v>
      </c>
      <c r="I16" s="0" t="n">
        <f aca="false">-I12</f>
        <v>34974.2754254942</v>
      </c>
      <c r="J16" s="0" t="n">
        <f aca="false">-J12</f>
        <v>37072.7319510238</v>
      </c>
      <c r="K16" s="0" t="n">
        <f aca="false">-K12</f>
        <v>38926.368548575</v>
      </c>
      <c r="L16" s="0" t="n">
        <f aca="false">-L12</f>
        <v>40678.0551332609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-34147.58945</v>
      </c>
      <c r="D17" s="4" t="n">
        <f aca="false">-D6*Assumptions!D46/100</f>
        <v>-36879.396606</v>
      </c>
      <c r="E17" s="4" t="n">
        <f aca="false">-E6*Assumptions!E46/100</f>
        <v>-39010.20618768</v>
      </c>
      <c r="F17" s="4" t="n">
        <f aca="false">-F6*Assumptions!F46/100</f>
        <v>-40387.036994304</v>
      </c>
      <c r="G17" s="4" t="n">
        <f aca="false">-G6*Assumptions!G46/100</f>
        <v>-41270.5034285544</v>
      </c>
      <c r="H17" s="4" t="n">
        <f aca="false">-H6*Assumptions!H46/100</f>
        <v>-41600.6674559829</v>
      </c>
      <c r="I17" s="4" t="n">
        <f aca="false">-I6*Assumptions!I46/100</f>
        <v>-41333.2345937658</v>
      </c>
      <c r="J17" s="4" t="n">
        <f aca="false">-J6*Assumptions!J46/100</f>
        <v>-43813.2286693918</v>
      </c>
      <c r="K17" s="4" t="n">
        <f aca="false">-K6*Assumptions!K46/100</f>
        <v>-46003.8901028614</v>
      </c>
      <c r="L17" s="4" t="n">
        <f aca="false">-L6*Assumptions!L46/100</f>
        <v>-48074.0651574901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-8230.3585</v>
      </c>
      <c r="D18" s="4" t="n">
        <f aca="false">(D6-C6)*Assumptions!$B$51/100</f>
        <v>-17612.96719</v>
      </c>
      <c r="E18" s="4" t="n">
        <f aca="false">(E6-D6)*Assumptions!$B$51/100</f>
        <v>-17210.3850828</v>
      </c>
      <c r="F18" s="4" t="n">
        <f aca="false">(F6-E6)*Assumptions!$B$51/100</f>
        <v>-16063.02607728</v>
      </c>
      <c r="G18" s="4" t="n">
        <f aca="false">(G6-F6)*Assumptions!$B$51/100</f>
        <v>-15902.3958165072</v>
      </c>
      <c r="H18" s="4" t="n">
        <f aca="false">(H6-G6)*Assumptions!$B$51/100</f>
        <v>-15407.654613327</v>
      </c>
      <c r="I18" s="4" t="n">
        <f aca="false">(I6-H6)*Assumptions!$B$51/100</f>
        <v>-14560.233609594</v>
      </c>
      <c r="J18" s="4" t="n">
        <f aca="false">(J6-I6)*Assumptions!$B$51/100</f>
        <v>-13353.8142533705</v>
      </c>
      <c r="K18" s="4" t="n">
        <f aca="false">(K6-J6)*Assumptions!$B$51/100</f>
        <v>-11795.869257144</v>
      </c>
      <c r="L18" s="4" t="n">
        <f aca="false">(L6-K6)*Assumptions!$B$51/100</f>
        <v>-11147.096448001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10371.0915425</v>
      </c>
      <c r="D19" s="0" t="n">
        <f aca="false">D15+D16+D17+D18</f>
        <v>14861.39037695</v>
      </c>
      <c r="E19" s="0" t="n">
        <f aca="false">E15+E16+E17+E18</f>
        <v>26503.993027512</v>
      </c>
      <c r="F19" s="0" t="n">
        <f aca="false">F15+F16+F17+F18</f>
        <v>38333.2643744232</v>
      </c>
      <c r="G19" s="0" t="n">
        <f aca="false">G15+G16+G17+G18</f>
        <v>48204.452842514</v>
      </c>
      <c r="H19" s="0" t="n">
        <f aca="false">H15+H16+H17+H18</f>
        <v>56799.2181852718</v>
      </c>
      <c r="I19" s="0" t="n">
        <f aca="false">I15+I16+I17+I18</f>
        <v>65880.5998690425</v>
      </c>
      <c r="J19" s="0" t="n">
        <f aca="false">J15+J16+J17+J18</f>
        <v>71913.4692339843</v>
      </c>
      <c r="K19" s="0" t="n">
        <f aca="false">K15+K16+K17+K18</f>
        <v>77734.7784045785</v>
      </c>
      <c r="L19" s="0" t="n">
        <f aca="false">L15+L16+L17+L18</f>
        <v>82412.430358499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9301.42739237668</v>
      </c>
      <c r="D21" s="0" t="n">
        <f aca="false">D19*D20</f>
        <v>11953.9024528545</v>
      </c>
      <c r="E21" s="0" t="n">
        <f aca="false">E19*E20</f>
        <v>19119.9479853538</v>
      </c>
      <c r="F21" s="0" t="n">
        <f aca="false">F19*F20</f>
        <v>24801.4078850259</v>
      </c>
      <c r="G21" s="0" t="n">
        <f aca="false">G19*G20</f>
        <v>27971.3109186114</v>
      </c>
      <c r="H21" s="0" t="n">
        <f aca="false">H19*H20</f>
        <v>29559.2325063222</v>
      </c>
      <c r="I21" s="0" t="n">
        <f aca="false">I19*I20</f>
        <v>30749.1753609767</v>
      </c>
      <c r="J21" s="0" t="n">
        <f aca="false">J19*J20</f>
        <v>30103.1055473868</v>
      </c>
      <c r="K21" s="0" t="n">
        <f aca="false">K19*K20</f>
        <v>29183.7810520969</v>
      </c>
      <c r="L21" s="0" t="n">
        <f aca="false">L19*L20</f>
        <v>27748.7898513888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0.7</v>
      </c>
      <c r="D23" s="4" t="n">
        <f aca="false">Assumptions!D44</f>
        <v>0.7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-2516.13817</v>
      </c>
      <c r="D24" s="0" t="n">
        <f aca="false">-D6*D23/100</f>
        <v>-2868.3975138</v>
      </c>
      <c r="E24" s="0" t="n">
        <f aca="false">-E6*E23/100</f>
        <v>-3212.605215456</v>
      </c>
      <c r="F24" s="0" t="n">
        <f aca="false">-F6*F23/100</f>
        <v>-3533.8657370016</v>
      </c>
      <c r="G24" s="0" t="n">
        <f aca="false">-G6*G23/100</f>
        <v>-3851.91365333174</v>
      </c>
      <c r="H24" s="0" t="n">
        <f aca="false">-H6*H23/100</f>
        <v>-4160.06674559829</v>
      </c>
      <c r="I24" s="0" t="n">
        <f aca="false">-I6*I23/100</f>
        <v>-4451.27141779016</v>
      </c>
      <c r="J24" s="0" t="n">
        <f aca="false">-J6*J23/100</f>
        <v>-4718.34770285758</v>
      </c>
      <c r="K24" s="0" t="n">
        <f aca="false">-K6*K23/100</f>
        <v>-4954.26508800045</v>
      </c>
      <c r="L24" s="0" t="n">
        <f aca="false">-L6*L23/100</f>
        <v>-5177.20701696047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4.5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240492.080952394</v>
      </c>
    </row>
    <row r="31" customFormat="false" ht="15" hidden="false" customHeight="false" outlineLevel="0" collapsed="false">
      <c r="A31" s="0" t="s">
        <v>129</v>
      </c>
      <c r="B31" s="0" t="n">
        <f aca="false">L19</f>
        <v>82412.430358499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1230299.85320902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1236186.45537749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1230299.85320902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414249.791352876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654741.87230527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685065.87230527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8.53373802545336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-0.303368324452787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3031.96701321365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3717.63773505168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8.61781659515824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820199.902139347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5.38047533897455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2.75725513715275</v>
      </c>
      <c r="C4" s="0" t="n">
        <f aca="false">B4/Assumptions!$B$2-1</f>
        <v>-0.774917947987531</v>
      </c>
      <c r="D4" s="4" t="n">
        <f aca="false">Assumptions!$B$24</f>
        <v>0.3</v>
      </c>
      <c r="E4" s="4" t="n">
        <f aca="false">DCF_Bear!$B$43</f>
        <v>2.80558514744716</v>
      </c>
      <c r="F4" s="4" t="n">
        <f aca="false">DCF_Bear!$B$47</f>
        <v>1.98029705782826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5.70302862867116</v>
      </c>
      <c r="C5" s="0" t="n">
        <f aca="false">B5/Assumptions!$B$2-1</f>
        <v>-0.534446642557456</v>
      </c>
      <c r="D5" s="4" t="n">
        <f aca="false">Assumptions!$B$38</f>
        <v>0.5</v>
      </c>
      <c r="E5" s="4" t="n">
        <f aca="false">DCF_Base!$B$43</f>
        <v>5.7717599121284</v>
      </c>
      <c r="F5" s="4" t="n">
        <f aca="false">DCF_Base!$B$47</f>
        <v>3.72707467734244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8.53373802545336</v>
      </c>
      <c r="C6" s="0" t="n">
        <f aca="false">B6/Assumptions!$B$2-1</f>
        <v>-0.303368324452787</v>
      </c>
      <c r="D6" s="4" t="n">
        <f aca="false">Assumptions!$B$52</f>
        <v>0.2</v>
      </c>
      <c r="E6" s="4" t="n">
        <f aca="false">DCF_Bull!$B$43</f>
        <v>8.61781659515824</v>
      </c>
      <c r="F6" s="4" t="n">
        <f aca="false">DCF_Bull!$B$47</f>
        <v>5.38047533897455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5.38543846057208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5.45111881933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-1.27465230355612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10451.4677892198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3.53372152381461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7.17819067702477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6.65995016003855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6.15310960079325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5.70302862867116</v>
      </c>
      <c r="C18" s="3" t="n">
        <v>11.5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5.31072151695585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3.72707467734244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3</v>
      </c>
      <c r="C23" s="3" t="n">
        <v>3.5</v>
      </c>
      <c r="D23" s="3" t="n">
        <v>4</v>
      </c>
      <c r="E23" s="3" t="n">
        <v>4.5</v>
      </c>
      <c r="F23" s="3" t="n">
        <v>5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6.91296974330586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6.91296974330586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6.91296974330586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6.91296974330586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6.91296974330586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6.09442611953114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6.36368048173216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6.41850603059662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6.41850603059662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6.41850603059662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5.29408960692328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5.4857797733676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5.70302862867116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5.95131303473237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5.9680137795347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4.66802910203026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4.80871278748347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4.9659474947547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5.14283654043484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5.34331079220567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4.1661145578097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4.27190111926504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4.38882310824199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4.5187364293275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4.66393367054071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2026-10-04T07:48:52Z</dcterms:created>
  <dc:creator>openpyxl</dc:creator>
  <dc:description/>
  <dc:language>en-NZ</dc:language>
  <cp:lastModifiedBy/>
  <dcterms:modified xsi:type="dcterms:W3CDTF">2026-10-04T07:48:52Z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