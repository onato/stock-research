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<sst xmlns="http://schemas.openxmlformats.org/spreadsheetml/2006/main" count="399" uniqueCount="180">
  <si>
    <t xml:space="preserve">Ticker</t>
  </si>
  <si>
    <t xml:space="preserve">2002.T</t>
  </si>
  <si>
    <t xml:space="preserve">Company</t>
  </si>
  <si>
    <t xml:space="preserve">Nisshin Seifun Group Inc.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</si>
  <si>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</si>
  <si>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</si>
  <si>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</si>
  <si>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</si>
  <si>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2026-10-26T04:01:19Z (regular Tokyo session, intraday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</si>
  <si>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</si>
  <si>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</si>
  <si>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</si>
  <si>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</si>
  <si>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</si>
  <si>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</si>
  <si>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</si>
  <si>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</si>
  <si>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</si>
  <si>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</si>
  <si>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</si>
  <si>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</si>
  <si>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2026-10-26T04:22:08Z</t>
  </si>
  <si>
    <t xml:space="preserve">Drivers file</t>
  </si>
  <si>
    <t xml:space="preserve">2002.T_Drivers.json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</si>
  <si>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</si>
  <si>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</si>
  <si>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</si>
  <si>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defensive, low-growth staple valued as the sum of (i) an operating flour-and-food business discounted at a JPY-built 6% WACC with the terminal value capped at a mature-staple 16x owner FCF, and (ii) a JPY180bn investment-securities portfolio taken separately at fair value net of the tax the sell-down programme will crystallise, less NCI and the unfunded pension. Risk is charged once -- in the three driver paths and their 25/50/25 weights -- not again in the discount rate. The FY2026 net-income trough (India impairment) is not extrapolated: the flows start from operating profit, which the impairment did not touch, and the FY2027 recovery management guided is what the Y1-Y5 margin path follows. House and street bases coincide because SBC is nil.
key_risks_to_valuation: Terminal cap: at 6.0% WACC and 1.0% g the Gordon multiple is 20x; the 16x cap binds and sets ~60% of EV. Each 1x of cap is worth roughly JPY80/share.; WACC: a 0.5-0.6 beta would justify ~5% and add several hundred yen per share; the 6% rate is a deliberate conservatism on a stock with ~80% of value in the terminal.; Cross-shareholding portfolio: JPY110bn net of tax (~JPY395/share) marked at 30 Jun 2026 fair value; a 20% Japanese equity drawdown removes ~JPY80/share, and the deferred-tax haircut could be argued away (+JPY145/share) if holdings are never sold.; Capex normalisation: the base assumes capex falls from 6.0% to 4.2% of sales by FY2033; if management keeps spending 5%+ (second NA wave, further plant consolidation) with no margin payoff, mature FCF is a third lower.; Lease current-portion and current long-term-debt splits at 30 Jun 2026 are estimated from the FY2026 yuho (JPY~5bn combined, ~JPY18/share); refresh from the H1 FY2027 balance sheet when filed.; Working-capital capture at -18% of revenue growth is calibrated to a 19.5%-of-sales NWC base; a wheat-price spike (FY2023 drained JPY20bn) would hit interim FCF harder than the smooth path implies.</t>
  </si>
  <si>
    <t xml:space="preserve">Data sources</t>
  </si>
  <si>
    <t xml:space="preserve">price: Yahoo Finance chart API at inputs.price_as_of; 52-week range 1724.0-2198.5 JPY
financials: research/2002.T/Reports/2002.T_Metrics.csv (FY2005-FY2026 + Q1 FY2027); FY2026 Securities Report (2002.T_Annual_FY2026.txt: balance sheet l.5436-5516, income statement l.5522-5565, cash flow l.5724-5771, securities fair-value note l.6525-6552 and l.6761-6787, affiliates note l.6044-6051, tax reconciliation l.7126-7147); Q1 FY2027 tanshin (2002.T_Quarterly_Q1-2027.txt: shares l.108-116, balance sheet l.342-408)
qualitative: research/2002.T/Reports/2002.T_Analysis.json (2026-10-26): guidance block for FY2027 sales/OP/capex/dividend, India impairment, Mizushima, CEO transition, MTP target cut</t>
  </si>
  <si>
    <t xml:space="preserve">Scenario narrative: bear</t>
  </si>
  <si>
    <t xml:space="preserve">The axes are cost pass-through lag, the two chronic problem subsidiaries, and Japanese demographics. Middle-East-driven energy, packaging and freight inflation keeps running ahead of the government wheat price and the June 2026 flour price revision, India yeast misses its FY2027 recovery and needs a second impairment, Australia requires exit costs rather than a turnaround, and the new leadership spends its first MTP cycle restructuring rather than growing. EBITDA slides to 7.8% (OP ~4.5%, the FY2021-22 level), revenue barely grows (0.5-1%) as domestic volume decline offsets pricing, capex stays elevated at 4.5% of sales because the plant consolidation programme cannot be stopped mid-way, and the exit multiple compresses to 14x with 0.5% terminal growth. There is no solvency axis: net debt ex-leases is negative and the securities portfolio alone covers all borrowings three times over, so the bear case is a value trap, not a distress case.</t>
  </si>
  <si>
    <t xml:space="preserve">Scenario narrative: base</t>
  </si>
  <si>
    <t xml:space="preserve">Nisshin remains the leader of a four-firm 80%-share domestic flour oligopoly whose input price is set by the government, and uses that cash engine to fund a slow pivot overseas. FY2027 lands on guidance (sales +0.6%, OP JPY46.0bn after the JPY1.5bn Middle-East cost lag), then the Mizushima plant's unit-cost savings, the India yeast business returning to profit as management guided, and cost pass-through catching up lift the EBITDA margin 0.1pp a year to 9.0% by FY2031 -- an OP margin of ~5.7%, a shade above the FY2024 peak and well short of the abandoned MTP 6%. Revenue grows 2-2.5% a year, almost entirely price/mix and North America, against flat-to-falling domestic volume. Capex normalises from the FY2027 peak of JPY48bn to ~1.1x D&amp;A by FY2033. The 16x terminal cap binds, so the value is anchored to a mature-staple multiple, not to the Gordon formula. The cross-shareholding portfolio (JPY150bn listed, JPY110bn after tax) is valued separately in the bridge and its sell-down funds the dividend-plus-buyback programme that owner FCF alone cannot.</t>
  </si>
  <si>
    <t xml:space="preserve">Scenario narrative: bull</t>
  </si>
  <si>
    <t xml:space="preserve">The 'Nisshin Innovation' reset under President Nagaki -- a former Miller Milling head with a majority-outside-director board behind him -- actually changes the earnings model: a second North-American capacity wave, Australia resolved by Plan C (sale or concentration), India yeast back to 4-7% market growth with positive margins, and portfolio pruning in Others. The EBITDA margin reaches 10.3% (OP ~7%) by FY2032, revenue compounds 3-3.5% on price revisions plus overseas and the Nomura frozen-food plant, and the market pays a mature-compounder 18x FCF at exit with 1.5% terminal growth. Buybacks and the JPY40bn+ cross-shareholding unwind continue to shrink the count, which this model treats as value-neutral but which supports the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</si>
  <si>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</si>
  <si>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</si>
  <si>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</si>
  <si>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</si>
  <si>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</si>
  <si>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</si>
  <si>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</si>
  <si>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</si>
  <si>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</si>
  <si>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</si>
  <si>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</si>
  <si>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</si>
  <si>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</si>
  <si>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</si>
  <si>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</si>
  <si>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</si>
  <si>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</si>
  <si>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</si>
  <si>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</si>
  <si>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</si>
  <si>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</si>
  <si>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</si>
  <si>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</si>
  <si>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</si>
  <si>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</si>
  <si>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</si>
  <si>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</si>
  <si>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</si>
  <si>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SegmentRevenueOthers</t>
  </si>
  <si>
    <t xml:space="preserve">NonControllingInterests</t>
  </si>
  <si>
    <t xml:space="preserve">FY2005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</si>
  <si>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</si>
  <si>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</si>
  <si>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</si>
  <si>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</si>
  <si>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</si>
  <si>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</si>
  <si>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</si>
  <si>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</si>
  <si>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</si>
  <si>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</si>
  <si>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</si>
  <si>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</si>
  <si>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</si>
  <si>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</si>
  <si>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</si>
  <si>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</si>
  <si>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</si>
  <si>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</si>
  <si>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</si>
  <si>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</si>
  <si>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</si>
  <si>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</si>
  <si>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</si>
  <si>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</si>
  <si>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</si>
  <si>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</si>
  <si>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</si>
  <si>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</si>
  <si>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</si>
  <si>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</si>
  <si>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</si>
  <si>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</si>
  <si>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</si>
  <si>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</si>
  <si>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</si>
  <si>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</si>
  <si>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</si>
  <si>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</si>
  <si>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</si>
  <si>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</si>
  <si>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</si>
  <si>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</si>
  <si>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</si>
  <si>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</si>
  <si>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</si>
  <si>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</si>
  <si>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</si>
  <si>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</si>
  <si>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</si>
  <si>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</si>
  <si>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</si>
  <si>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</si>
  <si>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</si>
  <si>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</si>
  <si>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</si>
  <si>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</si>
  <si>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</si>
  <si>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</si>
  <si>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2002.T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</si>
  <si>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</si>
  <si>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</si>
  <si>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</si>
  <si>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</si>
  <si>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</si>
  <si>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</si>
  <si>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</si>
  <si>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</si>
  <si>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</si>
  <si>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</si>
  <si>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</si>
  <si>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</si>
  <si>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</si>
  <si>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</si>
  <si>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</si>
  <si>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</si>
  <si>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</si>
  <si>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</si>
  <si>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</si>
  <si>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</si>
  <si>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</si>
  <si>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</si>
  <si>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</si>
  <si>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</si>
  <si>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</si>
  <si>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</si>
  <si>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</si>
  <si>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</si>
  <si>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</si>
  <si>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</si>
  <si>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2002.T owner-FCF component DCF: base case (millions, JPY)</t>
  </si>
  <si>
    <t xml:space="preserve">2002.T owner-FCF component DCF: bull case (millions, JPY)</t>
  </si>
  <si>
    <t xml:space="preserve">2002.T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</si>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</sst>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2105.5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416222</v>
      </c>
      <c r="C2" s="0" t="n">
        <v>283455</v>
      </c>
      <c r="D2" s="0" t="n">
        <v>132766</v>
      </c>
      <c r="E2" s="0" t="n">
        <v>31.9</v>
      </c>
      <c r="F2" s="0" t="n">
        <v>22896</v>
      </c>
      <c r="G2" s="0" t="n">
        <v>5.5</v>
      </c>
      <c r="H2" s="0" t="n">
        <v>34578</v>
      </c>
      <c r="I2" s="0" t="n">
        <v>13597</v>
      </c>
      <c r="J2" s="0" t="n">
        <v>3.3</v>
      </c>
      <c r="K2" s="0" t="n">
        <v>43.62</v>
      </c>
      <c r="L2" s="0" t="n">
        <v>21567</v>
      </c>
      <c r="M2" s="0" t="n">
        <v>16052</v>
      </c>
      <c r="N2" s="0" t="n">
        <v>5515</v>
      </c>
      <c r="O2" s="0" t="n">
        <v>241282</v>
      </c>
      <c r="P2" s="0" t="n">
        <v>372968</v>
      </c>
      <c r="Q2" s="0" t="n">
        <v>104925</v>
      </c>
      <c r="R2" s="0" t="n">
        <v>9795</v>
      </c>
      <c r="S2" s="0" t="n">
        <v>54047</v>
      </c>
      <c r="T2" s="0" t="n">
        <v>311.71</v>
      </c>
      <c r="V2" s="0" t="n">
        <v>10.52</v>
      </c>
      <c r="AA2" s="0" t="s">
        <v>17</v>
      </c>
      <c r="AB2" s="0" t="s">
        <v>14</v>
      </c>
      <c r="AC2" s="0" t="n">
        <v>774.06</v>
      </c>
      <c r="AD2" s="0" t="n">
        <v>42804</v>
      </c>
      <c r="AE2" s="0" t="n">
        <v>26760</v>
      </c>
    </row>
    <row r="3" customFormat="false" ht="15" hidden="false" customHeight="false" outlineLevel="0" collapsed="false">
      <c r="A3" s="0" t="s">
        <v>67</v>
      </c>
      <c r="B3" s="0" t="n">
        <v>421359</v>
      </c>
      <c r="C3" s="0" t="n">
        <v>285910</v>
      </c>
      <c r="D3" s="0" t="n">
        <v>135449</v>
      </c>
      <c r="E3" s="0" t="n">
        <v>32.1</v>
      </c>
      <c r="F3" s="0" t="n">
        <v>22169</v>
      </c>
      <c r="G3" s="0" t="n">
        <v>5.3</v>
      </c>
      <c r="H3" s="0" t="n">
        <v>34162</v>
      </c>
      <c r="I3" s="0" t="n">
        <v>13541</v>
      </c>
      <c r="J3" s="0" t="n">
        <v>3.2</v>
      </c>
      <c r="K3" s="0" t="n">
        <v>43.64</v>
      </c>
      <c r="L3" s="0" t="n">
        <v>21054</v>
      </c>
      <c r="M3" s="0" t="n">
        <v>12362</v>
      </c>
      <c r="N3" s="0" t="n">
        <v>8692</v>
      </c>
      <c r="O3" s="0" t="n">
        <v>264535</v>
      </c>
      <c r="P3" s="0" t="n">
        <v>399899</v>
      </c>
      <c r="Q3" s="0" t="n">
        <v>107865</v>
      </c>
      <c r="R3" s="0" t="n">
        <v>9363</v>
      </c>
      <c r="S3" s="0" t="n">
        <v>42803</v>
      </c>
      <c r="T3" s="0" t="n">
        <v>310.31</v>
      </c>
      <c r="V3" s="0" t="n">
        <v>14.88</v>
      </c>
      <c r="AA3" s="0" t="s">
        <v>17</v>
      </c>
      <c r="AB3" s="0" t="s">
        <v>14</v>
      </c>
      <c r="AC3" s="0" t="n">
        <v>852.49</v>
      </c>
      <c r="AD3" s="0" t="n">
        <v>45938</v>
      </c>
      <c r="AE3" s="0" t="n">
        <v>27498</v>
      </c>
    </row>
    <row r="4" customFormat="false" ht="15" hidden="false" customHeight="false" outlineLevel="0" collapsed="false">
      <c r="A4" s="0" t="s">
        <v>68</v>
      </c>
      <c r="B4" s="0" t="n">
        <v>418190</v>
      </c>
      <c r="C4" s="0" t="n">
        <v>285598</v>
      </c>
      <c r="D4" s="0" t="n">
        <v>132591</v>
      </c>
      <c r="E4" s="0" t="n">
        <v>31.7</v>
      </c>
      <c r="F4" s="0" t="n">
        <v>19184</v>
      </c>
      <c r="G4" s="0" t="n">
        <v>4.6</v>
      </c>
      <c r="H4" s="0" t="n">
        <v>31749</v>
      </c>
      <c r="I4" s="0" t="n">
        <v>12303</v>
      </c>
      <c r="J4" s="0" t="n">
        <v>2.9</v>
      </c>
      <c r="K4" s="0" t="n">
        <v>40.21</v>
      </c>
      <c r="L4" s="0" t="n">
        <v>17469</v>
      </c>
      <c r="M4" s="0" t="n">
        <v>14096</v>
      </c>
      <c r="N4" s="0" t="n">
        <v>3373</v>
      </c>
      <c r="O4" s="0" t="n">
        <v>270975</v>
      </c>
      <c r="P4" s="0" t="n">
        <v>408437</v>
      </c>
      <c r="Q4" s="0" t="n">
        <v>108131</v>
      </c>
      <c r="R4" s="0" t="n">
        <v>8821</v>
      </c>
      <c r="S4" s="0" t="n">
        <v>48452</v>
      </c>
      <c r="T4" s="0" t="n">
        <v>305.93</v>
      </c>
      <c r="V4" s="0" t="n">
        <v>14.88</v>
      </c>
      <c r="AA4" s="0" t="s">
        <v>17</v>
      </c>
      <c r="AB4" s="0" t="s">
        <v>14</v>
      </c>
      <c r="AC4" s="0" t="n">
        <v>885.74</v>
      </c>
      <c r="AD4" s="0" t="n">
        <v>42922</v>
      </c>
      <c r="AE4" s="0" t="n">
        <v>29331</v>
      </c>
    </row>
    <row r="5" customFormat="false" ht="15" hidden="false" customHeight="false" outlineLevel="0" collapsed="false">
      <c r="A5" s="0" t="s">
        <v>69</v>
      </c>
      <c r="B5" s="0" t="n">
        <v>431858</v>
      </c>
      <c r="C5" s="0" t="n">
        <v>298498</v>
      </c>
      <c r="D5" s="0" t="n">
        <v>133359</v>
      </c>
      <c r="E5" s="0" t="n">
        <v>30.9</v>
      </c>
      <c r="F5" s="0" t="n">
        <v>19191</v>
      </c>
      <c r="G5" s="0" t="n">
        <v>4.4</v>
      </c>
      <c r="H5" s="0" t="n">
        <v>32706</v>
      </c>
      <c r="I5" s="0" t="n">
        <v>11147</v>
      </c>
      <c r="J5" s="0" t="n">
        <v>2.6</v>
      </c>
      <c r="K5" s="0" t="n">
        <v>36.61</v>
      </c>
      <c r="L5" s="0" t="n">
        <v>26498</v>
      </c>
      <c r="M5" s="0" t="n">
        <v>18327</v>
      </c>
      <c r="N5" s="0" t="n">
        <v>8171</v>
      </c>
      <c r="O5" s="0" t="n">
        <v>259178</v>
      </c>
      <c r="P5" s="0" t="n">
        <v>381795</v>
      </c>
      <c r="Q5" s="0" t="n">
        <v>91955</v>
      </c>
      <c r="R5" s="0" t="n">
        <v>5062</v>
      </c>
      <c r="S5" s="0" t="n">
        <v>38850</v>
      </c>
      <c r="T5" s="0" t="n">
        <v>304.47</v>
      </c>
      <c r="V5" s="0" t="n">
        <v>14.88</v>
      </c>
      <c r="AA5" s="0" t="s">
        <v>17</v>
      </c>
      <c r="AB5" s="0" t="s">
        <v>14</v>
      </c>
      <c r="AC5" s="0" t="n">
        <v>851.24</v>
      </c>
      <c r="AD5" s="0" t="n">
        <v>42494</v>
      </c>
      <c r="AE5" s="0" t="n">
        <v>30653</v>
      </c>
    </row>
    <row r="6" customFormat="false" ht="15" hidden="false" customHeight="false" outlineLevel="0" collapsed="false">
      <c r="A6" s="0" t="s">
        <v>70</v>
      </c>
      <c r="B6" s="0" t="n">
        <v>466671</v>
      </c>
      <c r="C6" s="0" t="n">
        <v>334992</v>
      </c>
      <c r="D6" s="0" t="n">
        <v>131679</v>
      </c>
      <c r="E6" s="0" t="n">
        <v>28.2</v>
      </c>
      <c r="F6" s="0" t="n">
        <v>21755</v>
      </c>
      <c r="G6" s="0" t="n">
        <v>4.7</v>
      </c>
      <c r="H6" s="0" t="n">
        <v>37158</v>
      </c>
      <c r="I6" s="0" t="n">
        <v>13852</v>
      </c>
      <c r="J6" s="0" t="n">
        <v>3</v>
      </c>
      <c r="K6" s="0" t="n">
        <v>46.07</v>
      </c>
      <c r="L6" s="0" t="n">
        <v>20072</v>
      </c>
      <c r="M6" s="0" t="n">
        <v>13313</v>
      </c>
      <c r="N6" s="0" t="n">
        <v>6759</v>
      </c>
      <c r="O6" s="0" t="n">
        <v>257042</v>
      </c>
      <c r="P6" s="0" t="n">
        <v>370879</v>
      </c>
      <c r="Q6" s="0" t="n">
        <v>84785</v>
      </c>
      <c r="R6" s="0" t="n">
        <v>3279</v>
      </c>
      <c r="S6" s="0" t="n">
        <v>40339</v>
      </c>
      <c r="T6" s="0" t="n">
        <v>300.64</v>
      </c>
      <c r="V6" s="0" t="n">
        <v>14.88</v>
      </c>
      <c r="AA6" s="0" t="s">
        <v>17</v>
      </c>
      <c r="AB6" s="0" t="s">
        <v>14</v>
      </c>
      <c r="AC6" s="0" t="n">
        <v>854.98</v>
      </c>
      <c r="AD6" s="0" t="n">
        <v>37591</v>
      </c>
      <c r="AE6" s="0" t="n">
        <v>29014</v>
      </c>
    </row>
    <row r="7" customFormat="false" ht="15" hidden="false" customHeight="false" outlineLevel="0" collapsed="false">
      <c r="A7" s="0" t="s">
        <v>71</v>
      </c>
      <c r="B7" s="0" t="n">
        <v>443728</v>
      </c>
      <c r="C7" s="0" t="n">
        <v>306675</v>
      </c>
      <c r="D7" s="0" t="n">
        <v>137053</v>
      </c>
      <c r="E7" s="0" t="n">
        <v>30.9</v>
      </c>
      <c r="F7" s="0" t="n">
        <v>26576</v>
      </c>
      <c r="G7" s="0" t="n">
        <v>6</v>
      </c>
      <c r="H7" s="0" t="n">
        <v>41574</v>
      </c>
      <c r="I7" s="0" t="n">
        <v>16839</v>
      </c>
      <c r="J7" s="0" t="n">
        <v>3.8</v>
      </c>
      <c r="K7" s="0" t="n">
        <v>56.01</v>
      </c>
      <c r="L7" s="0" t="n">
        <v>47484</v>
      </c>
      <c r="M7" s="0" t="n">
        <v>13936</v>
      </c>
      <c r="N7" s="0" t="n">
        <v>33548</v>
      </c>
      <c r="O7" s="0" t="n">
        <v>272755</v>
      </c>
      <c r="P7" s="0" t="n">
        <v>396317</v>
      </c>
      <c r="Q7" s="0" t="n">
        <v>93090</v>
      </c>
      <c r="R7" s="0" t="n">
        <v>3135</v>
      </c>
      <c r="S7" s="0" t="n">
        <v>29975</v>
      </c>
      <c r="T7" s="0" t="n">
        <v>300.65</v>
      </c>
      <c r="V7" s="0" t="n">
        <v>18.18</v>
      </c>
      <c r="AA7" s="0" t="s">
        <v>17</v>
      </c>
      <c r="AB7" s="0" t="s">
        <v>14</v>
      </c>
      <c r="AC7" s="0" t="n">
        <v>907.22</v>
      </c>
      <c r="AD7" s="0" t="n">
        <v>40616</v>
      </c>
      <c r="AE7" s="0" t="n">
        <v>30388</v>
      </c>
    </row>
    <row r="8" customFormat="false" ht="15" hidden="false" customHeight="false" outlineLevel="0" collapsed="false">
      <c r="A8" s="0" t="s">
        <v>72</v>
      </c>
      <c r="B8" s="0" t="n">
        <v>424156</v>
      </c>
      <c r="C8" s="0" t="n">
        <v>285700</v>
      </c>
      <c r="D8" s="0" t="n">
        <v>138455</v>
      </c>
      <c r="E8" s="0" t="n">
        <v>32.6</v>
      </c>
      <c r="F8" s="0" t="n">
        <v>25335</v>
      </c>
      <c r="G8" s="0" t="n">
        <v>6</v>
      </c>
      <c r="H8" s="0" t="n">
        <v>39016</v>
      </c>
      <c r="I8" s="0" t="n">
        <v>14187</v>
      </c>
      <c r="J8" s="0" t="n">
        <v>3.3</v>
      </c>
      <c r="K8" s="0" t="n">
        <v>47.18</v>
      </c>
      <c r="L8" s="0" t="n">
        <v>34856</v>
      </c>
      <c r="M8" s="0" t="n">
        <v>12425</v>
      </c>
      <c r="N8" s="0" t="n">
        <v>22431</v>
      </c>
      <c r="O8" s="0" t="n">
        <v>278800</v>
      </c>
      <c r="P8" s="0" t="n">
        <v>389418</v>
      </c>
      <c r="Q8" s="0" t="n">
        <v>104168</v>
      </c>
      <c r="R8" s="0" t="n">
        <v>3011</v>
      </c>
      <c r="S8" s="0" t="n">
        <v>42087</v>
      </c>
      <c r="T8" s="0" t="n">
        <v>300.69</v>
      </c>
      <c r="V8" s="0" t="n">
        <v>16.53</v>
      </c>
      <c r="AA8" s="0" t="s">
        <v>17</v>
      </c>
      <c r="AB8" s="0" t="s">
        <v>14</v>
      </c>
      <c r="AC8" s="0" t="n">
        <v>927.2</v>
      </c>
      <c r="AD8" s="0" t="n">
        <v>38060</v>
      </c>
      <c r="AE8" s="0" t="n">
        <v>6311</v>
      </c>
    </row>
    <row r="9" customFormat="false" ht="15" hidden="false" customHeight="false" outlineLevel="0" collapsed="false">
      <c r="A9" s="0" t="s">
        <v>73</v>
      </c>
      <c r="B9" s="0" t="n">
        <v>441963</v>
      </c>
      <c r="C9" s="0" t="n">
        <v>306649</v>
      </c>
      <c r="D9" s="0" t="n">
        <v>135313</v>
      </c>
      <c r="E9" s="0" t="n">
        <v>30.6</v>
      </c>
      <c r="F9" s="0" t="n">
        <v>23113</v>
      </c>
      <c r="G9" s="0" t="n">
        <v>5.2</v>
      </c>
      <c r="H9" s="0" t="n">
        <v>36749</v>
      </c>
      <c r="I9" s="0" t="n">
        <v>13326</v>
      </c>
      <c r="J9" s="0" t="n">
        <v>3</v>
      </c>
      <c r="K9" s="0" t="n">
        <v>44.32</v>
      </c>
      <c r="L9" s="0" t="n">
        <v>26078</v>
      </c>
      <c r="M9" s="0" t="n">
        <v>14755</v>
      </c>
      <c r="N9" s="0" t="n">
        <v>11323</v>
      </c>
      <c r="O9" s="0" t="n">
        <v>291390</v>
      </c>
      <c r="P9" s="0" t="n">
        <v>431956</v>
      </c>
      <c r="Q9" s="0" t="n">
        <v>133157</v>
      </c>
      <c r="R9" s="0" t="n">
        <v>7930</v>
      </c>
      <c r="S9" s="0" t="n">
        <v>46387</v>
      </c>
      <c r="T9" s="0" t="n">
        <v>300.66</v>
      </c>
      <c r="V9" s="0" t="n">
        <v>16.53</v>
      </c>
      <c r="AA9" s="0" t="s">
        <v>17</v>
      </c>
      <c r="AB9" s="0" t="s">
        <v>14</v>
      </c>
      <c r="AC9" s="0" t="n">
        <v>969.17</v>
      </c>
      <c r="AD9" s="0" t="n">
        <v>42351</v>
      </c>
      <c r="AE9" s="0" t="n">
        <v>7220</v>
      </c>
    </row>
    <row r="10" customFormat="false" ht="15" hidden="false" customHeight="false" outlineLevel="0" collapsed="false">
      <c r="A10" s="0" t="s">
        <v>74</v>
      </c>
      <c r="B10" s="0" t="n">
        <v>455566</v>
      </c>
      <c r="C10" s="0" t="n">
        <v>316141</v>
      </c>
      <c r="D10" s="0" t="n">
        <v>139424</v>
      </c>
      <c r="E10" s="0" t="n">
        <v>30.6</v>
      </c>
      <c r="F10" s="0" t="n">
        <v>21740</v>
      </c>
      <c r="G10" s="0" t="n">
        <v>4.8</v>
      </c>
      <c r="H10" s="0" t="n">
        <v>35489</v>
      </c>
      <c r="I10" s="0" t="n">
        <v>13688</v>
      </c>
      <c r="J10" s="0" t="n">
        <v>3</v>
      </c>
      <c r="K10" s="0" t="n">
        <v>45.53</v>
      </c>
      <c r="L10" s="0" t="n">
        <v>34479</v>
      </c>
      <c r="M10" s="0" t="n">
        <v>17407</v>
      </c>
      <c r="N10" s="0" t="n">
        <v>17072</v>
      </c>
      <c r="O10" s="0" t="n">
        <v>309054</v>
      </c>
      <c r="P10" s="0" t="n">
        <v>461851</v>
      </c>
      <c r="Q10" s="0" t="n">
        <v>144414</v>
      </c>
      <c r="R10" s="0" t="n">
        <v>8467</v>
      </c>
      <c r="S10" s="0" t="n">
        <v>53249</v>
      </c>
      <c r="T10" s="0" t="n">
        <v>300.64</v>
      </c>
      <c r="V10" s="0" t="n">
        <v>16.53</v>
      </c>
      <c r="AA10" s="0" t="s">
        <v>17</v>
      </c>
      <c r="AB10" s="0" t="s">
        <v>14</v>
      </c>
      <c r="AC10" s="0" t="n">
        <v>1027.99</v>
      </c>
      <c r="AD10" s="0" t="n">
        <v>43570</v>
      </c>
      <c r="AE10" s="0" t="n">
        <v>8150</v>
      </c>
    </row>
    <row r="11" customFormat="false" ht="15" hidden="false" customHeight="false" outlineLevel="0" collapsed="false">
      <c r="A11" s="0" t="s">
        <v>75</v>
      </c>
      <c r="B11" s="0" t="n">
        <v>495930</v>
      </c>
      <c r="C11" s="0" t="n">
        <v>348619</v>
      </c>
      <c r="D11" s="0" t="n">
        <v>147311</v>
      </c>
      <c r="E11" s="0" t="n">
        <v>29.7</v>
      </c>
      <c r="F11" s="0" t="n">
        <v>22274</v>
      </c>
      <c r="G11" s="0" t="n">
        <v>4.5</v>
      </c>
      <c r="H11" s="0" t="n">
        <v>35943</v>
      </c>
      <c r="I11" s="0" t="n">
        <v>15098</v>
      </c>
      <c r="J11" s="0" t="n">
        <v>3</v>
      </c>
      <c r="K11" s="0" t="n">
        <v>50.21</v>
      </c>
      <c r="L11" s="0" t="n">
        <v>25058</v>
      </c>
      <c r="M11" s="0" t="n">
        <v>18636</v>
      </c>
      <c r="N11" s="0" t="n">
        <v>6422</v>
      </c>
      <c r="O11" s="0" t="n">
        <v>324775</v>
      </c>
      <c r="P11" s="0" t="n">
        <v>471039</v>
      </c>
      <c r="Q11" s="0" t="n">
        <v>136947</v>
      </c>
      <c r="R11" s="0" t="n">
        <v>9974</v>
      </c>
      <c r="S11" s="0" t="n">
        <v>72685</v>
      </c>
      <c r="T11" s="0" t="n">
        <v>300.7</v>
      </c>
      <c r="V11" s="0" t="n">
        <v>18.18</v>
      </c>
      <c r="AA11" s="0" t="s">
        <v>17</v>
      </c>
      <c r="AB11" s="0" t="s">
        <v>14</v>
      </c>
      <c r="AC11" s="0" t="n">
        <v>1080.06</v>
      </c>
      <c r="AD11" s="0" t="n">
        <v>45171</v>
      </c>
      <c r="AE11" s="0" t="n">
        <v>9057</v>
      </c>
    </row>
    <row r="12" customFormat="false" ht="15" hidden="false" customHeight="false" outlineLevel="0" collapsed="false">
      <c r="A12" s="0" t="s">
        <v>76</v>
      </c>
      <c r="B12" s="0" t="n">
        <v>526144</v>
      </c>
      <c r="C12" s="0" t="n">
        <v>377729</v>
      </c>
      <c r="D12" s="0" t="n">
        <v>148414</v>
      </c>
      <c r="E12" s="0" t="n">
        <v>28.2</v>
      </c>
      <c r="F12" s="0" t="n">
        <v>20476</v>
      </c>
      <c r="G12" s="0" t="n">
        <v>3.9</v>
      </c>
      <c r="H12" s="0" t="n">
        <v>35223</v>
      </c>
      <c r="I12" s="0" t="n">
        <v>16036</v>
      </c>
      <c r="J12" s="0" t="n">
        <v>3</v>
      </c>
      <c r="K12" s="0" t="n">
        <v>53.28</v>
      </c>
      <c r="L12" s="0" t="n">
        <v>25107</v>
      </c>
      <c r="M12" s="0" t="n">
        <v>19009</v>
      </c>
      <c r="N12" s="0" t="n">
        <v>6098</v>
      </c>
      <c r="O12" s="0" t="n">
        <v>367082</v>
      </c>
      <c r="P12" s="0" t="n">
        <v>549307</v>
      </c>
      <c r="Q12" s="0" t="n">
        <v>170592</v>
      </c>
      <c r="R12" s="0" t="n">
        <v>21049</v>
      </c>
      <c r="S12" s="0" t="n">
        <v>59897</v>
      </c>
      <c r="T12" s="0" t="n">
        <v>300.98</v>
      </c>
      <c r="V12" s="0" t="n">
        <v>22</v>
      </c>
      <c r="AA12" s="0" t="s">
        <v>17</v>
      </c>
      <c r="AB12" s="0" t="s">
        <v>14</v>
      </c>
      <c r="AC12" s="0" t="n">
        <v>1219.62</v>
      </c>
      <c r="AD12" s="0" t="n">
        <v>43874</v>
      </c>
      <c r="AE12" s="0" t="n">
        <v>11454</v>
      </c>
    </row>
    <row r="13" customFormat="false" ht="15" hidden="false" customHeight="false" outlineLevel="0" collapsed="false">
      <c r="A13" s="0" t="s">
        <v>77</v>
      </c>
      <c r="B13" s="0" t="n">
        <v>556701</v>
      </c>
      <c r="C13" s="0" t="n">
        <v>402218</v>
      </c>
      <c r="D13" s="0" t="n">
        <v>154483</v>
      </c>
      <c r="E13" s="0" t="n">
        <v>27.7</v>
      </c>
      <c r="F13" s="0" t="n">
        <v>23769</v>
      </c>
      <c r="G13" s="0" t="n">
        <v>4.3</v>
      </c>
      <c r="H13" s="0" t="n">
        <v>40585</v>
      </c>
      <c r="I13" s="0" t="n">
        <v>17561</v>
      </c>
      <c r="J13" s="0" t="n">
        <v>3.2</v>
      </c>
      <c r="K13" s="0" t="n">
        <v>58.25</v>
      </c>
      <c r="L13" s="0" t="n">
        <v>35839</v>
      </c>
      <c r="M13" s="0" t="n">
        <v>15534</v>
      </c>
      <c r="N13" s="0" t="n">
        <v>20305</v>
      </c>
      <c r="O13" s="0" t="n">
        <v>373376</v>
      </c>
      <c r="P13" s="0" t="n">
        <v>550305</v>
      </c>
      <c r="Q13" s="0" t="n">
        <v>163820</v>
      </c>
      <c r="R13" s="0" t="n">
        <v>19605</v>
      </c>
      <c r="S13" s="0" t="n">
        <v>72960</v>
      </c>
      <c r="T13" s="0" t="n">
        <v>301.48</v>
      </c>
      <c r="V13" s="0" t="n">
        <v>24</v>
      </c>
      <c r="AA13" s="0" t="s">
        <v>17</v>
      </c>
      <c r="AB13" s="0" t="s">
        <v>14</v>
      </c>
      <c r="AC13" s="0" t="n">
        <v>1238.48</v>
      </c>
      <c r="AD13" s="0" t="n">
        <v>47534</v>
      </c>
      <c r="AE13" s="0" t="n">
        <v>12962</v>
      </c>
    </row>
    <row r="14" customFormat="false" ht="15" hidden="false" customHeight="false" outlineLevel="0" collapsed="false">
      <c r="A14" s="0" t="s">
        <v>78</v>
      </c>
      <c r="B14" s="0" t="n">
        <v>532040</v>
      </c>
      <c r="C14" s="0" t="n">
        <v>374028</v>
      </c>
      <c r="D14" s="0" t="n">
        <v>158012</v>
      </c>
      <c r="E14" s="0" t="n">
        <v>29.7</v>
      </c>
      <c r="F14" s="0" t="n">
        <v>25511</v>
      </c>
      <c r="G14" s="0" t="n">
        <v>4.8</v>
      </c>
      <c r="H14" s="0" t="n">
        <v>41643</v>
      </c>
      <c r="I14" s="0" t="n">
        <v>19466</v>
      </c>
      <c r="J14" s="0" t="n">
        <v>3.7</v>
      </c>
      <c r="K14" s="0" t="n">
        <v>64.5</v>
      </c>
      <c r="L14" s="0" t="n">
        <v>35361</v>
      </c>
      <c r="M14" s="0" t="n">
        <v>13549</v>
      </c>
      <c r="N14" s="0" t="n">
        <v>21812</v>
      </c>
      <c r="O14" s="0" t="n">
        <v>393621</v>
      </c>
      <c r="P14" s="0" t="n">
        <v>557568</v>
      </c>
      <c r="Q14" s="0" t="n">
        <v>150762</v>
      </c>
      <c r="R14" s="0" t="n">
        <v>14712</v>
      </c>
      <c r="S14" s="0" t="n">
        <v>90837</v>
      </c>
      <c r="T14" s="0" t="n">
        <v>301.8</v>
      </c>
      <c r="V14" s="0" t="n">
        <v>26</v>
      </c>
      <c r="AA14" s="0" t="s">
        <v>17</v>
      </c>
      <c r="AB14" s="0" t="s">
        <v>14</v>
      </c>
      <c r="AC14" s="0" t="n">
        <v>1304.24</v>
      </c>
      <c r="AD14" s="0" t="n">
        <v>43478</v>
      </c>
      <c r="AE14" s="0" t="n">
        <v>13009</v>
      </c>
    </row>
    <row r="15" customFormat="false" ht="15" hidden="false" customHeight="false" outlineLevel="0" collapsed="false">
      <c r="A15" s="0" t="s">
        <v>79</v>
      </c>
      <c r="B15" s="0" t="n">
        <v>540094</v>
      </c>
      <c r="C15" s="0" t="n">
        <v>378742</v>
      </c>
      <c r="D15" s="0" t="n">
        <v>161352</v>
      </c>
      <c r="E15" s="0" t="n">
        <v>29.9</v>
      </c>
      <c r="F15" s="0" t="n">
        <v>27200</v>
      </c>
      <c r="G15" s="0" t="n">
        <v>5</v>
      </c>
      <c r="H15" s="0" t="n">
        <v>42709</v>
      </c>
      <c r="I15" s="0" t="n">
        <v>21339</v>
      </c>
      <c r="J15" s="0" t="n">
        <v>4</v>
      </c>
      <c r="K15" s="0" t="n">
        <v>71.47</v>
      </c>
      <c r="L15" s="0" t="n">
        <v>42869</v>
      </c>
      <c r="M15" s="0" t="n">
        <v>19704</v>
      </c>
      <c r="N15" s="0" t="n">
        <v>23165</v>
      </c>
      <c r="O15" s="0" t="n">
        <v>399278</v>
      </c>
      <c r="P15" s="0" t="n">
        <v>593493</v>
      </c>
      <c r="Q15" s="0" t="n">
        <v>179699</v>
      </c>
      <c r="R15" s="0" t="n">
        <v>15086</v>
      </c>
      <c r="S15" s="0" t="n">
        <v>98461</v>
      </c>
      <c r="T15" s="0" t="n">
        <v>298.57</v>
      </c>
      <c r="V15" s="0" t="n">
        <v>29</v>
      </c>
      <c r="AA15" s="0" t="s">
        <v>17</v>
      </c>
      <c r="AB15" s="0" t="s">
        <v>14</v>
      </c>
      <c r="AC15" s="0" t="n">
        <v>1337.3</v>
      </c>
      <c r="AD15" s="0" t="n">
        <v>51295</v>
      </c>
      <c r="AE15" s="0" t="n">
        <v>14327</v>
      </c>
    </row>
    <row r="16" customFormat="false" ht="15" hidden="false" customHeight="false" outlineLevel="0" collapsed="false">
      <c r="A16" s="0" t="s">
        <v>80</v>
      </c>
      <c r="B16" s="0" t="n">
        <v>565343</v>
      </c>
      <c r="C16" s="0" t="n">
        <v>401584</v>
      </c>
      <c r="D16" s="0" t="n">
        <v>163759</v>
      </c>
      <c r="E16" s="0" t="n">
        <v>29</v>
      </c>
      <c r="F16" s="0" t="n">
        <v>26916</v>
      </c>
      <c r="G16" s="0" t="n">
        <v>4.8</v>
      </c>
      <c r="H16" s="0" t="n">
        <v>41867</v>
      </c>
      <c r="I16" s="0" t="n">
        <v>22268</v>
      </c>
      <c r="J16" s="0" t="n">
        <v>3.9</v>
      </c>
      <c r="K16" s="0" t="n">
        <v>74.98</v>
      </c>
      <c r="L16" s="0" t="n">
        <v>39873</v>
      </c>
      <c r="M16" s="0" t="n">
        <v>18233</v>
      </c>
      <c r="N16" s="0" t="n">
        <v>21640</v>
      </c>
      <c r="O16" s="0" t="n">
        <v>403938</v>
      </c>
      <c r="P16" s="0" t="n">
        <v>594754</v>
      </c>
      <c r="Q16" s="0" t="n">
        <v>175905</v>
      </c>
      <c r="R16" s="0" t="n">
        <v>16306</v>
      </c>
      <c r="S16" s="0" t="n">
        <v>107374</v>
      </c>
      <c r="T16" s="0" t="n">
        <v>296.99</v>
      </c>
      <c r="V16" s="0" t="n">
        <v>32</v>
      </c>
      <c r="AA16" s="0" t="s">
        <v>17</v>
      </c>
      <c r="AB16" s="0" t="s">
        <v>14</v>
      </c>
      <c r="AC16" s="0" t="n">
        <v>1360.11</v>
      </c>
      <c r="AD16" s="0" t="n">
        <v>60616</v>
      </c>
      <c r="AE16" s="0" t="n">
        <v>14743</v>
      </c>
    </row>
    <row r="17" customFormat="false" ht="15" hidden="false" customHeight="false" outlineLevel="0" collapsed="false">
      <c r="A17" s="0" t="s">
        <v>81</v>
      </c>
      <c r="B17" s="0" t="n">
        <v>712180</v>
      </c>
      <c r="C17" s="0" t="n">
        <v>512356</v>
      </c>
      <c r="D17" s="0" t="n">
        <v>199824</v>
      </c>
      <c r="E17" s="0" t="n">
        <v>28.1</v>
      </c>
      <c r="F17" s="0" t="n">
        <v>28852</v>
      </c>
      <c r="G17" s="0" t="n">
        <v>4.1</v>
      </c>
      <c r="H17" s="0" t="n">
        <v>50087</v>
      </c>
      <c r="I17" s="0" t="n">
        <v>22407</v>
      </c>
      <c r="J17" s="0" t="n">
        <v>3.1</v>
      </c>
      <c r="K17" s="0" t="n">
        <v>75.4</v>
      </c>
      <c r="L17" s="0" t="n">
        <v>38420</v>
      </c>
      <c r="M17" s="0" t="n">
        <v>21919</v>
      </c>
      <c r="N17" s="0" t="n">
        <v>16501</v>
      </c>
      <c r="O17" s="0" t="n">
        <v>394997</v>
      </c>
      <c r="P17" s="0" t="n">
        <v>666215</v>
      </c>
      <c r="Q17" s="0" t="n">
        <v>257172</v>
      </c>
      <c r="R17" s="0" t="n">
        <v>53304</v>
      </c>
      <c r="S17" s="0" t="n">
        <v>56550</v>
      </c>
      <c r="T17" s="0" t="n">
        <v>297.18</v>
      </c>
      <c r="V17" s="0" t="n">
        <v>34</v>
      </c>
      <c r="AA17" s="0" t="s">
        <v>17</v>
      </c>
      <c r="AB17" s="0" t="s">
        <v>14</v>
      </c>
      <c r="AC17" s="0" t="n">
        <v>1329.15</v>
      </c>
      <c r="AD17" s="0" t="n">
        <v>57507</v>
      </c>
      <c r="AE17" s="0" t="n">
        <v>13908</v>
      </c>
    </row>
    <row r="18" customFormat="false" ht="15" hidden="false" customHeight="false" outlineLevel="0" collapsed="false">
      <c r="A18" s="0" t="s">
        <v>82</v>
      </c>
      <c r="B18" s="0" t="n">
        <v>679495</v>
      </c>
      <c r="C18" s="0" t="n">
        <v>490410</v>
      </c>
      <c r="D18" s="0" t="n">
        <v>189084</v>
      </c>
      <c r="E18" s="0" t="n">
        <v>27.8</v>
      </c>
      <c r="F18" s="0" t="n">
        <v>27197</v>
      </c>
      <c r="G18" s="0" t="n">
        <v>4</v>
      </c>
      <c r="H18" s="0" t="n">
        <v>49468</v>
      </c>
      <c r="I18" s="0" t="n">
        <v>19011</v>
      </c>
      <c r="J18" s="0" t="n">
        <v>2.8</v>
      </c>
      <c r="K18" s="0" t="n">
        <v>63.95</v>
      </c>
      <c r="L18" s="0" t="n">
        <v>49506</v>
      </c>
      <c r="M18" s="0" t="n">
        <v>17359</v>
      </c>
      <c r="N18" s="0" t="n">
        <v>32147</v>
      </c>
      <c r="O18" s="0" t="n">
        <v>433089</v>
      </c>
      <c r="P18" s="0" t="n">
        <v>687415</v>
      </c>
      <c r="Q18" s="0" t="n">
        <v>242640</v>
      </c>
      <c r="R18" s="0" t="n">
        <v>40276</v>
      </c>
      <c r="S18" s="0" t="n">
        <v>59152</v>
      </c>
      <c r="T18" s="0" t="n">
        <v>297.28</v>
      </c>
      <c r="V18" s="0" t="n">
        <v>37</v>
      </c>
      <c r="AA18" s="0" t="s">
        <v>17</v>
      </c>
      <c r="AB18" s="0" t="s">
        <v>14</v>
      </c>
      <c r="AC18" s="0" t="n">
        <v>1456.84</v>
      </c>
      <c r="AD18" s="0" t="n">
        <v>36240</v>
      </c>
      <c r="AE18" s="0" t="n">
        <v>11569</v>
      </c>
    </row>
    <row r="19" customFormat="false" ht="15" hidden="false" customHeight="false" outlineLevel="0" collapsed="false">
      <c r="A19" s="0" t="s">
        <v>83</v>
      </c>
      <c r="B19" s="0" t="n">
        <v>679736</v>
      </c>
      <c r="C19" s="0" t="n">
        <v>531660</v>
      </c>
      <c r="D19" s="0" t="n">
        <v>148075</v>
      </c>
      <c r="E19" s="0" t="n">
        <v>21.8</v>
      </c>
      <c r="F19" s="0" t="n">
        <v>29430</v>
      </c>
      <c r="G19" s="0" t="n">
        <v>4.3</v>
      </c>
      <c r="H19" s="0" t="n">
        <v>52484</v>
      </c>
      <c r="I19" s="0" t="n">
        <v>17509</v>
      </c>
      <c r="J19" s="0" t="n">
        <v>2.6</v>
      </c>
      <c r="K19" s="0" t="n">
        <v>58.88</v>
      </c>
      <c r="L19" s="0" t="n">
        <v>41833</v>
      </c>
      <c r="M19" s="0" t="n">
        <v>18683</v>
      </c>
      <c r="N19" s="0" t="n">
        <v>23150</v>
      </c>
      <c r="O19" s="0" t="n">
        <v>449175</v>
      </c>
      <c r="P19" s="0" t="n">
        <v>723073</v>
      </c>
      <c r="Q19" s="0" t="n">
        <v>262430</v>
      </c>
      <c r="R19" s="0" t="n">
        <v>40574</v>
      </c>
      <c r="S19" s="0" t="n">
        <v>68728</v>
      </c>
      <c r="T19" s="0" t="n">
        <v>297.37</v>
      </c>
      <c r="V19" s="0" t="n">
        <v>39</v>
      </c>
      <c r="AA19" s="0" t="s">
        <v>17</v>
      </c>
      <c r="AB19" s="0" t="s">
        <v>14</v>
      </c>
      <c r="AC19" s="0" t="n">
        <v>1510.49</v>
      </c>
      <c r="AD19" s="0" t="n">
        <v>44864</v>
      </c>
      <c r="AE19" s="0" t="n">
        <v>11373</v>
      </c>
    </row>
    <row r="20" customFormat="false" ht="15" hidden="false" customHeight="false" outlineLevel="0" collapsed="false">
      <c r="A20" s="0" t="s">
        <v>84</v>
      </c>
      <c r="B20" s="0" t="n">
        <v>798681</v>
      </c>
      <c r="C20" s="0" t="n">
        <v>638062</v>
      </c>
      <c r="D20" s="0" t="n">
        <v>160618</v>
      </c>
      <c r="E20" s="0" t="n">
        <v>20.1</v>
      </c>
      <c r="F20" s="0" t="n">
        <v>32831</v>
      </c>
      <c r="G20" s="0" t="n">
        <v>4.1</v>
      </c>
      <c r="H20" s="0" t="n">
        <v>55636</v>
      </c>
      <c r="I20" s="0" t="n">
        <v>-10381</v>
      </c>
      <c r="J20" s="0" t="n">
        <v>-1.3</v>
      </c>
      <c r="K20" s="0" t="n">
        <v>-34.91</v>
      </c>
      <c r="L20" s="0" t="n">
        <v>23422</v>
      </c>
      <c r="M20" s="0" t="n">
        <v>18657</v>
      </c>
      <c r="N20" s="0" t="n">
        <v>4765</v>
      </c>
      <c r="O20" s="0" t="n">
        <v>423834</v>
      </c>
      <c r="P20" s="0" t="n">
        <v>713874</v>
      </c>
      <c r="Q20" s="0" t="n">
        <v>275375</v>
      </c>
      <c r="R20" s="0" t="n">
        <v>47734</v>
      </c>
      <c r="S20" s="0" t="n">
        <v>82971</v>
      </c>
      <c r="T20" s="0" t="n">
        <v>297.36</v>
      </c>
      <c r="V20" s="0" t="n">
        <v>40</v>
      </c>
      <c r="AA20" s="0" t="s">
        <v>17</v>
      </c>
      <c r="AB20" s="0" t="s">
        <v>14</v>
      </c>
      <c r="AC20" s="0" t="n">
        <v>1425.32</v>
      </c>
      <c r="AD20" s="0" t="n">
        <v>43423</v>
      </c>
      <c r="AE20" s="0" t="n">
        <v>14621</v>
      </c>
    </row>
    <row r="21" customFormat="false" ht="15" hidden="false" customHeight="false" outlineLevel="0" collapsed="false">
      <c r="A21" s="0" t="s">
        <v>85</v>
      </c>
      <c r="B21" s="0" t="n">
        <v>858248</v>
      </c>
      <c r="C21" s="0" t="n">
        <v>674115</v>
      </c>
      <c r="D21" s="0" t="n">
        <v>184132</v>
      </c>
      <c r="E21" s="0" t="n">
        <v>21.5</v>
      </c>
      <c r="F21" s="0" t="n">
        <v>47791</v>
      </c>
      <c r="G21" s="0" t="n">
        <v>5.6</v>
      </c>
      <c r="H21" s="0" t="n">
        <v>70790</v>
      </c>
      <c r="I21" s="0" t="n">
        <v>31743</v>
      </c>
      <c r="J21" s="0" t="n">
        <v>3.7</v>
      </c>
      <c r="K21" s="0" t="n">
        <v>106.74</v>
      </c>
      <c r="L21" s="0" t="n">
        <v>73194</v>
      </c>
      <c r="M21" s="0" t="n">
        <v>29191</v>
      </c>
      <c r="N21" s="0" t="n">
        <v>44003</v>
      </c>
      <c r="O21" s="0" t="n">
        <v>500303</v>
      </c>
      <c r="P21" s="0" t="n">
        <v>826702</v>
      </c>
      <c r="Q21" s="0" t="n">
        <v>310321</v>
      </c>
      <c r="R21" s="0" t="n">
        <v>47115</v>
      </c>
      <c r="S21" s="0" t="n">
        <v>107681</v>
      </c>
      <c r="T21" s="0" t="n">
        <v>297.39</v>
      </c>
      <c r="V21" s="0" t="n">
        <v>45</v>
      </c>
      <c r="AA21" s="0" t="s">
        <v>17</v>
      </c>
      <c r="AB21" s="0" t="s">
        <v>14</v>
      </c>
      <c r="AC21" s="0" t="n">
        <v>1682.31</v>
      </c>
      <c r="AD21" s="0" t="n">
        <v>45375</v>
      </c>
      <c r="AE21" s="0" t="n">
        <v>16078</v>
      </c>
    </row>
    <row r="22" customFormat="false" ht="15" hidden="false" customHeight="false" outlineLevel="0" collapsed="false">
      <c r="A22" s="0" t="s">
        <v>86</v>
      </c>
      <c r="B22" s="0" t="n">
        <v>851486</v>
      </c>
      <c r="C22" s="0" t="n">
        <v>661306</v>
      </c>
      <c r="D22" s="0" t="n">
        <v>190179</v>
      </c>
      <c r="E22" s="0" t="n">
        <v>22.3</v>
      </c>
      <c r="F22" s="0" t="n">
        <v>46380</v>
      </c>
      <c r="G22" s="0" t="n">
        <v>5.4</v>
      </c>
      <c r="H22" s="0" t="n">
        <v>70148</v>
      </c>
      <c r="I22" s="0" t="n">
        <v>34684</v>
      </c>
      <c r="J22" s="0" t="n">
        <v>4.1</v>
      </c>
      <c r="K22" s="0" t="n">
        <v>117.33</v>
      </c>
      <c r="L22" s="0" t="n">
        <v>55209</v>
      </c>
      <c r="M22" s="0" t="n">
        <v>41468</v>
      </c>
      <c r="N22" s="0" t="n">
        <v>13741</v>
      </c>
      <c r="O22" s="0" t="n">
        <v>485006</v>
      </c>
      <c r="P22" s="0" t="n">
        <v>789713</v>
      </c>
      <c r="Q22" s="0" t="n">
        <v>287143</v>
      </c>
      <c r="R22" s="0" t="n">
        <v>44385</v>
      </c>
      <c r="S22" s="0" t="n">
        <v>92005</v>
      </c>
      <c r="T22" s="0" t="n">
        <v>295.61</v>
      </c>
      <c r="V22" s="0" t="n">
        <v>55</v>
      </c>
      <c r="AA22" s="0" t="s">
        <v>17</v>
      </c>
      <c r="AB22" s="0" t="s">
        <v>14</v>
      </c>
      <c r="AC22" s="0" t="n">
        <v>1640.7</v>
      </c>
      <c r="AD22" s="0" t="n">
        <v>45565</v>
      </c>
      <c r="AE22" s="0" t="n">
        <v>17564</v>
      </c>
    </row>
    <row r="23" customFormat="false" ht="15" hidden="false" customHeight="false" outlineLevel="0" collapsed="false">
      <c r="A23" s="0" t="s">
        <v>87</v>
      </c>
      <c r="B23" s="0" t="n">
        <v>865004</v>
      </c>
      <c r="C23" s="0" t="n">
        <v>670335</v>
      </c>
      <c r="D23" s="0" t="n">
        <v>194669</v>
      </c>
      <c r="E23" s="0" t="n">
        <v>22.5</v>
      </c>
      <c r="F23" s="0" t="n">
        <v>46685</v>
      </c>
      <c r="G23" s="0" t="n">
        <v>5.4</v>
      </c>
      <c r="H23" s="0" t="n">
        <v>73253</v>
      </c>
      <c r="I23" s="0" t="n">
        <v>32589</v>
      </c>
      <c r="J23" s="0" t="n">
        <v>3.8</v>
      </c>
      <c r="K23" s="0" t="n">
        <v>113.33</v>
      </c>
      <c r="L23" s="0" t="n">
        <v>69194</v>
      </c>
      <c r="M23" s="0" t="n">
        <v>41174</v>
      </c>
      <c r="N23" s="0" t="n">
        <v>28020</v>
      </c>
      <c r="O23" s="0" t="n">
        <v>518843</v>
      </c>
      <c r="P23" s="0" t="n">
        <v>849705</v>
      </c>
      <c r="Q23" s="0" t="n">
        <v>311266</v>
      </c>
      <c r="R23" s="0" t="n">
        <v>45729</v>
      </c>
      <c r="S23" s="0" t="n">
        <v>91411</v>
      </c>
      <c r="T23" s="0" t="n">
        <v>287.56</v>
      </c>
      <c r="V23" s="0" t="n">
        <v>60</v>
      </c>
      <c r="AA23" s="0" t="s">
        <v>17</v>
      </c>
      <c r="AB23" s="0" t="s">
        <v>14</v>
      </c>
      <c r="AC23" s="0" t="n">
        <v>1804.29</v>
      </c>
      <c r="AD23" s="0" t="n">
        <v>55298</v>
      </c>
      <c r="AE23" s="0" t="n">
        <v>19596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88</v>
      </c>
      <c r="B1" s="2" t="s">
        <v>89</v>
      </c>
    </row>
    <row r="2" customFormat="false" ht="15" hidden="false" customHeight="false" outlineLevel="0" collapsed="false">
      <c r="A2" s="0" t="s">
        <v>90</v>
      </c>
      <c r="B2" s="3" t="n">
        <v>2105.5</v>
      </c>
    </row>
    <row r="3" customFormat="false" ht="15" hidden="false" customHeight="false" outlineLevel="0" collapsed="false">
      <c r="A3" s="0" t="s">
        <v>91</v>
      </c>
      <c r="B3" s="3" t="n">
        <v>279.614</v>
      </c>
    </row>
    <row r="4" customFormat="false" ht="15" hidden="false" customHeight="false" outlineLevel="0" collapsed="false">
      <c r="A4" s="0" t="s">
        <v>92</v>
      </c>
      <c r="B4" s="3" t="n">
        <v>9938</v>
      </c>
    </row>
    <row r="5" customFormat="false" ht="15" hidden="false" customHeight="false" outlineLevel="0" collapsed="false">
      <c r="A5" s="0" t="s">
        <v>93</v>
      </c>
      <c r="B5" s="3" t="n">
        <v>107743</v>
      </c>
    </row>
    <row r="6" customFormat="false" ht="15" hidden="false" customHeight="false" outlineLevel="0" collapsed="false">
      <c r="A6" s="0" t="s">
        <v>94</v>
      </c>
      <c r="B6" s="3" t="n">
        <v>15</v>
      </c>
    </row>
    <row r="7" customFormat="false" ht="15" hidden="false" customHeight="false" outlineLevel="0" collapsed="false">
      <c r="A7" s="0" t="s">
        <v>95</v>
      </c>
      <c r="B7" s="3" t="n">
        <v>865004</v>
      </c>
    </row>
    <row r="8" customFormat="false" ht="15" hidden="false" customHeight="false" outlineLevel="0" collapsed="false">
      <c r="A8" s="0" t="s">
        <v>96</v>
      </c>
      <c r="B8" s="3" t="s">
        <v>87</v>
      </c>
    </row>
    <row r="9" customFormat="false" ht="15" hidden="false" customHeight="false" outlineLevel="0" collapsed="false">
      <c r="A9" s="0" t="s">
        <v>97</v>
      </c>
      <c r="B9" s="3" t="s">
        <v>98</v>
      </c>
    </row>
    <row r="10" customFormat="false" ht="15" hidden="false" customHeight="false" outlineLevel="0" collapsed="false">
      <c r="A10" s="0" t="s">
        <v>99</v>
      </c>
      <c r="B10" s="3" t="n">
        <v>1</v>
      </c>
    </row>
    <row r="12" customFormat="false" ht="15" hidden="false" customHeight="false" outlineLevel="0" collapsed="false">
      <c r="A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109</v>
      </c>
      <c r="L12" s="2" t="s">
        <v>110</v>
      </c>
    </row>
    <row r="13" customFormat="false" ht="15" hidden="false" customHeight="false" outlineLevel="0" collapsed="false">
      <c r="A13" s="0" t="s">
        <v>111</v>
      </c>
      <c r="C13" s="3" t="n">
        <v>0</v>
      </c>
      <c r="D13" s="3" t="n">
        <v>0.5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112</v>
      </c>
      <c r="C14" s="3" t="n">
        <v>8.4</v>
      </c>
      <c r="D14" s="3" t="n">
        <v>8.2</v>
      </c>
      <c r="E14" s="3" t="n">
        <v>8</v>
      </c>
      <c r="F14" s="3" t="n">
        <v>7.9</v>
      </c>
      <c r="G14" s="3" t="n">
        <v>7.8</v>
      </c>
      <c r="H14" s="3" t="n">
        <v>7.8</v>
      </c>
      <c r="I14" s="3" t="n">
        <v>7.8</v>
      </c>
      <c r="J14" s="3" t="n">
        <v>7.8</v>
      </c>
      <c r="K14" s="3" t="n">
        <v>7.8</v>
      </c>
      <c r="L14" s="3" t="n">
        <v>7.8</v>
      </c>
    </row>
    <row r="15" customFormat="false" ht="15" hidden="false" customHeight="false" outlineLevel="0" collapsed="false">
      <c r="A15" s="0" t="s">
        <v>113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115</v>
      </c>
      <c r="C17" s="3" t="n">
        <v>3.35</v>
      </c>
      <c r="D17" s="3" t="n">
        <v>3.4</v>
      </c>
      <c r="E17" s="3" t="n">
        <v>3.4</v>
      </c>
      <c r="F17" s="3" t="n">
        <v>3.4</v>
      </c>
      <c r="G17" s="3" t="n">
        <v>3.35</v>
      </c>
      <c r="H17" s="3" t="n">
        <v>3.3</v>
      </c>
      <c r="I17" s="3" t="n">
        <v>3.3</v>
      </c>
      <c r="J17" s="3" t="n">
        <v>3.3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116</v>
      </c>
      <c r="C18" s="3" t="n">
        <v>6</v>
      </c>
      <c r="D18" s="3" t="n">
        <v>5.5</v>
      </c>
      <c r="E18" s="3" t="n">
        <v>5</v>
      </c>
      <c r="F18" s="3" t="n">
        <v>4.8</v>
      </c>
      <c r="G18" s="3" t="n">
        <v>4.6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117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118</v>
      </c>
      <c r="B20" s="3" t="n">
        <v>6</v>
      </c>
    </row>
    <row r="21" customFormat="false" ht="15" hidden="false" customHeight="false" outlineLevel="0" collapsed="false">
      <c r="A21" s="0" t="s">
        <v>119</v>
      </c>
      <c r="B21" s="3" t="n">
        <v>0.5</v>
      </c>
    </row>
    <row r="22" customFormat="false" ht="15" hidden="false" customHeight="false" outlineLevel="0" collapsed="false">
      <c r="A22" s="0" t="s">
        <v>120</v>
      </c>
      <c r="B22" s="3" t="n">
        <v>14</v>
      </c>
    </row>
    <row r="23" customFormat="false" ht="15" hidden="false" customHeight="false" outlineLevel="0" collapsed="false">
      <c r="A23" s="0" t="s">
        <v>121</v>
      </c>
      <c r="B23" s="3" t="n">
        <v>-18</v>
      </c>
    </row>
    <row r="24" customFormat="false" ht="15" hidden="false" customHeight="false" outlineLevel="0" collapsed="false">
      <c r="A24" s="0" t="s">
        <v>122</v>
      </c>
      <c r="B24" s="3" t="n">
        <v>0.25</v>
      </c>
    </row>
    <row r="26" customFormat="false" ht="15" hidden="false" customHeight="false" outlineLevel="0" collapsed="false">
      <c r="A26" s="2" t="s">
        <v>123</v>
      </c>
      <c r="C26" s="2" t="s">
        <v>101</v>
      </c>
      <c r="D26" s="2" t="s">
        <v>102</v>
      </c>
      <c r="E26" s="2" t="s">
        <v>103</v>
      </c>
      <c r="F26" s="2" t="s">
        <v>104</v>
      </c>
      <c r="G26" s="2" t="s">
        <v>105</v>
      </c>
      <c r="H26" s="2" t="s">
        <v>106</v>
      </c>
      <c r="I26" s="2" t="s">
        <v>107</v>
      </c>
      <c r="J26" s="2" t="s">
        <v>108</v>
      </c>
      <c r="K26" s="2" t="s">
        <v>109</v>
      </c>
      <c r="L26" s="2" t="s">
        <v>110</v>
      </c>
    </row>
    <row r="27" customFormat="false" ht="15" hidden="false" customHeight="false" outlineLevel="0" collapsed="false">
      <c r="A27" s="0" t="s">
        <v>111</v>
      </c>
      <c r="C27" s="3" t="n">
        <v>0.6</v>
      </c>
      <c r="D27" s="3" t="n">
        <v>2</v>
      </c>
      <c r="E27" s="3" t="n">
        <v>2.5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112</v>
      </c>
      <c r="C28" s="3" t="n">
        <v>8.65</v>
      </c>
      <c r="D28" s="3" t="n">
        <v>8.75</v>
      </c>
      <c r="E28" s="3" t="n">
        <v>8.85</v>
      </c>
      <c r="F28" s="3" t="n">
        <v>8.95</v>
      </c>
      <c r="G28" s="3" t="n">
        <v>9</v>
      </c>
      <c r="H28" s="3" t="n">
        <v>9</v>
      </c>
      <c r="I28" s="3" t="n">
        <v>9</v>
      </c>
      <c r="J28" s="3" t="n">
        <v>9</v>
      </c>
      <c r="K28" s="3" t="n">
        <v>9</v>
      </c>
      <c r="L28" s="3" t="n">
        <v>9</v>
      </c>
    </row>
    <row r="29" customFormat="false" ht="15" hidden="false" customHeight="false" outlineLevel="0" collapsed="false">
      <c r="A29" s="0" t="s">
        <v>113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115</v>
      </c>
      <c r="C31" s="3" t="n">
        <v>3.35</v>
      </c>
      <c r="D31" s="3" t="n">
        <v>3.4</v>
      </c>
      <c r="E31" s="3" t="n">
        <v>3.4</v>
      </c>
      <c r="F31" s="3" t="n">
        <v>3.4</v>
      </c>
      <c r="G31" s="3" t="n">
        <v>3.35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116</v>
      </c>
      <c r="C32" s="3" t="n">
        <v>6</v>
      </c>
      <c r="D32" s="3" t="n">
        <v>5.3</v>
      </c>
      <c r="E32" s="3" t="n">
        <v>4.8</v>
      </c>
      <c r="F32" s="3" t="n">
        <v>4.5</v>
      </c>
      <c r="G32" s="3" t="n">
        <v>4.3</v>
      </c>
      <c r="H32" s="3" t="n">
        <v>4.3</v>
      </c>
      <c r="I32" s="3" t="n">
        <v>4.2</v>
      </c>
      <c r="J32" s="3" t="n">
        <v>4.2</v>
      </c>
      <c r="K32" s="3" t="n">
        <v>4.2</v>
      </c>
      <c r="L32" s="3" t="n">
        <v>4.2</v>
      </c>
    </row>
    <row r="33" customFormat="false" ht="15" hidden="false" customHeight="false" outlineLevel="0" collapsed="false">
      <c r="A33" s="0" t="s">
        <v>117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118</v>
      </c>
      <c r="B34" s="3" t="n">
        <v>6</v>
      </c>
    </row>
    <row r="35" customFormat="false" ht="15" hidden="false" customHeight="false" outlineLevel="0" collapsed="false">
      <c r="A35" s="0" t="s">
        <v>119</v>
      </c>
      <c r="B35" s="3" t="n">
        <v>1</v>
      </c>
    </row>
    <row r="36" customFormat="false" ht="15" hidden="false" customHeight="false" outlineLevel="0" collapsed="false">
      <c r="A36" s="0" t="s">
        <v>120</v>
      </c>
      <c r="B36" s="3" t="n">
        <v>16</v>
      </c>
    </row>
    <row r="37" customFormat="false" ht="15" hidden="false" customHeight="false" outlineLevel="0" collapsed="false">
      <c r="A37" s="0" t="s">
        <v>121</v>
      </c>
      <c r="B37" s="3" t="n">
        <v>-18</v>
      </c>
    </row>
    <row r="38" customFormat="false" ht="15" hidden="false" customHeight="false" outlineLevel="0" collapsed="false">
      <c r="A38" s="0" t="s">
        <v>122</v>
      </c>
      <c r="B38" s="3" t="n">
        <v>0.5</v>
      </c>
    </row>
    <row r="40" customFormat="false" ht="15" hidden="false" customHeight="false" outlineLevel="0" collapsed="false">
      <c r="A40" s="2" t="s">
        <v>124</v>
      </c>
      <c r="C40" s="2" t="s">
        <v>101</v>
      </c>
      <c r="D40" s="2" t="s">
        <v>102</v>
      </c>
      <c r="E40" s="2" t="s">
        <v>103</v>
      </c>
      <c r="F40" s="2" t="s">
        <v>104</v>
      </c>
      <c r="G40" s="2" t="s">
        <v>105</v>
      </c>
      <c r="H40" s="2" t="s">
        <v>106</v>
      </c>
      <c r="I40" s="2" t="s">
        <v>107</v>
      </c>
      <c r="J40" s="2" t="s">
        <v>108</v>
      </c>
      <c r="K40" s="2" t="s">
        <v>109</v>
      </c>
      <c r="L40" s="2" t="s">
        <v>110</v>
      </c>
    </row>
    <row r="41" customFormat="false" ht="15" hidden="false" customHeight="false" outlineLevel="0" collapsed="false">
      <c r="A41" s="0" t="s">
        <v>111</v>
      </c>
      <c r="C41" s="3" t="n">
        <v>1.5</v>
      </c>
      <c r="D41" s="3" t="n">
        <v>3</v>
      </c>
      <c r="E41" s="3" t="n">
        <v>3.5</v>
      </c>
      <c r="F41" s="3" t="n">
        <v>3.5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112</v>
      </c>
      <c r="C42" s="3" t="n">
        <v>8.8</v>
      </c>
      <c r="D42" s="3" t="n">
        <v>9.2</v>
      </c>
      <c r="E42" s="3" t="n">
        <v>9.6</v>
      </c>
      <c r="F42" s="3" t="n">
        <v>9.9</v>
      </c>
      <c r="G42" s="3" t="n">
        <v>10.1</v>
      </c>
      <c r="H42" s="3" t="n">
        <v>10.2</v>
      </c>
      <c r="I42" s="3" t="n">
        <v>10.3</v>
      </c>
      <c r="J42" s="3" t="n">
        <v>10.3</v>
      </c>
      <c r="K42" s="3" t="n">
        <v>10.3</v>
      </c>
      <c r="L42" s="3" t="n">
        <v>10.3</v>
      </c>
    </row>
    <row r="43" customFormat="false" ht="15" hidden="false" customHeight="false" outlineLevel="0" collapsed="false">
      <c r="A43" s="0" t="s">
        <v>113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115</v>
      </c>
      <c r="C45" s="3" t="n">
        <v>3.35</v>
      </c>
      <c r="D45" s="3" t="n">
        <v>3.4</v>
      </c>
      <c r="E45" s="3" t="n">
        <v>3.4</v>
      </c>
      <c r="F45" s="3" t="n">
        <v>3.4</v>
      </c>
      <c r="G45" s="3" t="n">
        <v>3.35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116</v>
      </c>
      <c r="C46" s="3" t="n">
        <v>6</v>
      </c>
      <c r="D46" s="3" t="n">
        <v>5.5</v>
      </c>
      <c r="E46" s="3" t="n">
        <v>5</v>
      </c>
      <c r="F46" s="3" t="n">
        <v>4.6</v>
      </c>
      <c r="G46" s="3" t="n">
        <v>4.4</v>
      </c>
      <c r="H46" s="3" t="n">
        <v>4.4</v>
      </c>
      <c r="I46" s="3" t="n">
        <v>4.3</v>
      </c>
      <c r="J46" s="3" t="n">
        <v>4.3</v>
      </c>
      <c r="K46" s="3" t="n">
        <v>4.3</v>
      </c>
      <c r="L46" s="3" t="n">
        <v>4.3</v>
      </c>
    </row>
    <row r="47" customFormat="false" ht="15" hidden="false" customHeight="false" outlineLevel="0" collapsed="false">
      <c r="A47" s="0" t="s">
        <v>117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118</v>
      </c>
      <c r="B48" s="3" t="n">
        <v>6</v>
      </c>
    </row>
    <row r="49" customFormat="false" ht="15" hidden="false" customHeight="false" outlineLevel="0" collapsed="false">
      <c r="A49" s="0" t="s">
        <v>119</v>
      </c>
      <c r="B49" s="3" t="n">
        <v>1.5</v>
      </c>
    </row>
    <row r="50" customFormat="false" ht="15" hidden="false" customHeight="false" outlineLevel="0" collapsed="false">
      <c r="A50" s="0" t="s">
        <v>120</v>
      </c>
      <c r="B50" s="3" t="n">
        <v>18</v>
      </c>
    </row>
    <row r="51" customFormat="false" ht="15" hidden="false" customHeight="false" outlineLevel="0" collapsed="false">
      <c r="A51" s="0" t="s">
        <v>121</v>
      </c>
      <c r="B51" s="3" t="n">
        <v>-18</v>
      </c>
    </row>
    <row r="52" customFormat="false" ht="15" hidden="false" customHeight="false" outlineLevel="0" collapsed="false">
      <c r="A52" s="0" t="s">
        <v>122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125</v>
      </c>
    </row>
    <row r="3" customFormat="false" ht="15" hidden="false" customHeight="false" outlineLevel="0" collapsed="false">
      <c r="A3" s="0" t="s">
        <v>126</v>
      </c>
      <c r="B3" s="0" t="s">
        <v>87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</row>
    <row r="4" customFormat="false" ht="15" hidden="false" customHeight="false" outlineLevel="0" collapsed="false">
      <c r="A4" s="0" t="s">
        <v>127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111</v>
      </c>
      <c r="C5" s="4" t="n">
        <f aca="false">Assumptions!C13</f>
        <v>0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865004</v>
      </c>
      <c r="C6" s="0" t="n">
        <f aca="false">B6*(1+C5/100)</f>
        <v>865004</v>
      </c>
      <c r="D6" s="0" t="n">
        <f aca="false">C6*(1+D5/100)</f>
        <v>869329.02</v>
      </c>
      <c r="E6" s="0" t="n">
        <f aca="false">D6*(1+E5/100)</f>
        <v>878022.3102</v>
      </c>
      <c r="F6" s="0" t="n">
        <f aca="false">E6*(1+F5/100)</f>
        <v>886802.533302</v>
      </c>
      <c r="G6" s="0" t="n">
        <f aca="false">F6*(1+G5/100)</f>
        <v>895670.55863502</v>
      </c>
      <c r="H6" s="0" t="n">
        <f aca="false">G6*(1+H5/100)</f>
        <v>904627.26422137</v>
      </c>
      <c r="I6" s="0" t="n">
        <f aca="false">H6*(1+I5/100)</f>
        <v>913673.536863584</v>
      </c>
      <c r="J6" s="0" t="n">
        <f aca="false">I6*(1+J5/100)</f>
        <v>918241.904547902</v>
      </c>
      <c r="K6" s="0" t="n">
        <f aca="false">J6*(1+K5/100)</f>
        <v>922833.114070641</v>
      </c>
      <c r="L6" s="0" t="n">
        <f aca="false">K6*(1+L5/100)</f>
        <v>927447.279640994</v>
      </c>
    </row>
    <row r="7" customFormat="false" ht="15" hidden="false" customHeight="false" outlineLevel="0" collapsed="false">
      <c r="A7" s="0" t="s">
        <v>112</v>
      </c>
      <c r="C7" s="4" t="n">
        <f aca="false">Assumptions!C14</f>
        <v>8.4</v>
      </c>
      <c r="D7" s="4" t="n">
        <f aca="false">Assumptions!D14</f>
        <v>8.2</v>
      </c>
      <c r="E7" s="4" t="n">
        <f aca="false">Assumptions!E14</f>
        <v>8</v>
      </c>
      <c r="F7" s="4" t="n">
        <f aca="false">Assumptions!F14</f>
        <v>7.9</v>
      </c>
      <c r="G7" s="4" t="n">
        <f aca="false">Assumptions!G14</f>
        <v>7.8</v>
      </c>
      <c r="H7" s="4" t="n">
        <f aca="false">Assumptions!H14</f>
        <v>7.8</v>
      </c>
      <c r="I7" s="4" t="n">
        <f aca="false">Assumptions!I14</f>
        <v>7.8</v>
      </c>
      <c r="J7" s="4" t="n">
        <f aca="false">Assumptions!J14</f>
        <v>7.8</v>
      </c>
      <c r="K7" s="4" t="n">
        <f aca="false">Assumptions!K14</f>
        <v>7.8</v>
      </c>
      <c r="L7" s="4" t="n">
        <f aca="false">Assumptions!L14</f>
        <v>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72660.336</v>
      </c>
      <c r="D8" s="0" t="n">
        <f aca="false">D6*D7/100</f>
        <v>71284.97964</v>
      </c>
      <c r="E8" s="0" t="n">
        <f aca="false">E6*E7/100</f>
        <v>70241.784816</v>
      </c>
      <c r="F8" s="0" t="n">
        <f aca="false">F6*F7/100</f>
        <v>70057.400130858</v>
      </c>
      <c r="G8" s="0" t="n">
        <f aca="false">G6*G7/100</f>
        <v>69862.3035735316</v>
      </c>
      <c r="H8" s="0" t="n">
        <f aca="false">H6*H7/100</f>
        <v>70560.9266092669</v>
      </c>
      <c r="I8" s="0" t="n">
        <f aca="false">I6*I7/100</f>
        <v>71266.5358753595</v>
      </c>
      <c r="J8" s="0" t="n">
        <f aca="false">J6*J7/100</f>
        <v>71622.8685547363</v>
      </c>
      <c r="K8" s="0" t="n">
        <f aca="false">K6*K7/100</f>
        <v>71980.98289751</v>
      </c>
      <c r="L8" s="0" t="n">
        <f aca="false">L6*L7/100</f>
        <v>72340.8878119976</v>
      </c>
    </row>
    <row r="9" customFormat="false" ht="15" hidden="false" customHeight="false" outlineLevel="0" collapsed="false">
      <c r="A9" s="0" t="s">
        <v>113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129</v>
      </c>
      <c r="C11" s="0" t="n">
        <f aca="false">C8+C10+C24</f>
        <v>72660.336</v>
      </c>
      <c r="D11" s="0" t="n">
        <f aca="false">D8+D10+D24</f>
        <v>71284.97964</v>
      </c>
      <c r="E11" s="0" t="n">
        <f aca="false">E8+E10+E24</f>
        <v>70241.784816</v>
      </c>
      <c r="F11" s="0" t="n">
        <f aca="false">F8+F10+F24</f>
        <v>70057.400130858</v>
      </c>
      <c r="G11" s="0" t="n">
        <f aca="false">G8+G10+G24</f>
        <v>69862.3035735316</v>
      </c>
      <c r="H11" s="0" t="n">
        <f aca="false">H8+H10+H24</f>
        <v>70560.9266092669</v>
      </c>
      <c r="I11" s="0" t="n">
        <f aca="false">I8+I10+I24</f>
        <v>71266.5358753595</v>
      </c>
      <c r="J11" s="0" t="n">
        <f aca="false">J8+J10+J24</f>
        <v>71622.8685547363</v>
      </c>
      <c r="K11" s="0" t="n">
        <f aca="false">K8+K10+K24</f>
        <v>71980.98289751</v>
      </c>
      <c r="L11" s="0" t="n">
        <f aca="false">L8+L10+L24</f>
        <v>72340.8878119976</v>
      </c>
    </row>
    <row r="12" customFormat="false" ht="15" hidden="false" customHeight="false" outlineLevel="0" collapsed="false">
      <c r="A12" s="0" t="s">
        <v>130</v>
      </c>
      <c r="C12" s="4" t="n">
        <f aca="false">-C6*Assumptions!C17/100</f>
        <v>-28977.634</v>
      </c>
      <c r="D12" s="4" t="n">
        <f aca="false">-D6*Assumptions!D17/100</f>
        <v>-29557.18668</v>
      </c>
      <c r="E12" s="4" t="n">
        <f aca="false">-E6*Assumptions!E17/100</f>
        <v>-29852.7585468</v>
      </c>
      <c r="F12" s="4" t="n">
        <f aca="false">-F6*Assumptions!F17/100</f>
        <v>-30151.286132268</v>
      </c>
      <c r="G12" s="4" t="n">
        <f aca="false">-G6*Assumptions!G17/100</f>
        <v>-30004.9637142732</v>
      </c>
      <c r="H12" s="4" t="n">
        <f aca="false">-H6*Assumptions!H17/100</f>
        <v>-29852.6997193052</v>
      </c>
      <c r="I12" s="4" t="n">
        <f aca="false">-I6*Assumptions!I17/100</f>
        <v>-30151.2267164983</v>
      </c>
      <c r="J12" s="4" t="n">
        <f aca="false">-J6*Assumptions!J17/100</f>
        <v>-30301.9828500808</v>
      </c>
      <c r="K12" s="4" t="n">
        <f aca="false">-K6*Assumptions!K17/100</f>
        <v>-30453.4927643312</v>
      </c>
      <c r="L12" s="4" t="n">
        <f aca="false">-L6*Assumptions!L17/100</f>
        <v>-30605.7602281528</v>
      </c>
    </row>
    <row r="13" customFormat="false" ht="15" hidden="false" customHeight="false" outlineLevel="0" collapsed="false">
      <c r="A13" s="0" t="s">
        <v>131</v>
      </c>
      <c r="C13" s="0" t="n">
        <f aca="false">C11+C12</f>
        <v>43682.702</v>
      </c>
      <c r="D13" s="0" t="n">
        <f aca="false">D11+D12</f>
        <v>41727.79296</v>
      </c>
      <c r="E13" s="0" t="n">
        <f aca="false">E11+E12</f>
        <v>40389.0262692</v>
      </c>
      <c r="F13" s="0" t="n">
        <f aca="false">F11+F12</f>
        <v>39906.11399859</v>
      </c>
      <c r="G13" s="0" t="n">
        <f aca="false">G11+G12</f>
        <v>39857.3398592584</v>
      </c>
      <c r="H13" s="0" t="n">
        <f aca="false">H11+H12</f>
        <v>40708.2268899617</v>
      </c>
      <c r="I13" s="0" t="n">
        <f aca="false">I11+I12</f>
        <v>41115.3091588613</v>
      </c>
      <c r="J13" s="0" t="n">
        <f aca="false">J11+J12</f>
        <v>41320.8857046556</v>
      </c>
      <c r="K13" s="0" t="n">
        <f aca="false">K11+K12</f>
        <v>41527.4901331789</v>
      </c>
      <c r="L13" s="0" t="n">
        <f aca="false">L11+L12</f>
        <v>41735.1275838448</v>
      </c>
    </row>
    <row r="14" customFormat="false" ht="15" hidden="false" customHeight="false" outlineLevel="0" collapsed="false">
      <c r="A14" s="0" t="s">
        <v>117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132</v>
      </c>
      <c r="C15" s="0" t="n">
        <f aca="false">C13-MAX(0,C13)*C14/100</f>
        <v>30141.06438</v>
      </c>
      <c r="D15" s="0" t="n">
        <f aca="false">D13-MAX(0,D13)*D14/100</f>
        <v>28792.1771424</v>
      </c>
      <c r="E15" s="0" t="n">
        <f aca="false">E13-MAX(0,E13)*E14/100</f>
        <v>27868.428125748</v>
      </c>
      <c r="F15" s="0" t="n">
        <f aca="false">F13-MAX(0,F13)*F14/100</f>
        <v>27535.2186590271</v>
      </c>
      <c r="G15" s="0" t="n">
        <f aca="false">G13-MAX(0,G13)*G14/100</f>
        <v>27501.5645028883</v>
      </c>
      <c r="H15" s="0" t="n">
        <f aca="false">H13-MAX(0,H13)*H14/100</f>
        <v>28088.6765540735</v>
      </c>
      <c r="I15" s="0" t="n">
        <f aca="false">I13-MAX(0,I13)*I14/100</f>
        <v>28369.5633196143</v>
      </c>
      <c r="J15" s="0" t="n">
        <f aca="false">J13-MAX(0,J13)*J14/100</f>
        <v>28511.4111362123</v>
      </c>
      <c r="K15" s="0" t="n">
        <f aca="false">K13-MAX(0,K13)*K14/100</f>
        <v>28653.9681918934</v>
      </c>
      <c r="L15" s="0" t="n">
        <f aca="false">L13-MAX(0,L13)*L14/100</f>
        <v>28797.2380328529</v>
      </c>
    </row>
    <row r="16" customFormat="false" ht="15" hidden="false" customHeight="false" outlineLevel="0" collapsed="false">
      <c r="A16" s="0" t="s">
        <v>133</v>
      </c>
      <c r="C16" s="0" t="n">
        <f aca="false">-C12</f>
        <v>28977.634</v>
      </c>
      <c r="D16" s="0" t="n">
        <f aca="false">-D12</f>
        <v>29557.18668</v>
      </c>
      <c r="E16" s="0" t="n">
        <f aca="false">-E12</f>
        <v>29852.7585468</v>
      </c>
      <c r="F16" s="0" t="n">
        <f aca="false">-F12</f>
        <v>30151.286132268</v>
      </c>
      <c r="G16" s="0" t="n">
        <f aca="false">-G12</f>
        <v>30004.9637142732</v>
      </c>
      <c r="H16" s="0" t="n">
        <f aca="false">-H12</f>
        <v>29852.6997193052</v>
      </c>
      <c r="I16" s="0" t="n">
        <f aca="false">-I12</f>
        <v>30151.2267164983</v>
      </c>
      <c r="J16" s="0" t="n">
        <f aca="false">-J12</f>
        <v>30301.9828500808</v>
      </c>
      <c r="K16" s="0" t="n">
        <f aca="false">-K12</f>
        <v>30453.4927643312</v>
      </c>
      <c r="L16" s="0" t="n">
        <f aca="false">-L12</f>
        <v>30605.7602281528</v>
      </c>
    </row>
    <row r="17" customFormat="false" ht="15" hidden="false" customHeight="false" outlineLevel="0" collapsed="false">
      <c r="A17" s="0" t="s">
        <v>134</v>
      </c>
      <c r="C17" s="4" t="n">
        <f aca="false">-C6*Assumptions!C18/100</f>
        <v>-51900.24</v>
      </c>
      <c r="D17" s="4" t="n">
        <f aca="false">-D6*Assumptions!D18/100</f>
        <v>-47813.0961</v>
      </c>
      <c r="E17" s="4" t="n">
        <f aca="false">-E6*Assumptions!E18/100</f>
        <v>-43901.11551</v>
      </c>
      <c r="F17" s="4" t="n">
        <f aca="false">-F6*Assumptions!F18/100</f>
        <v>-42566.521598496</v>
      </c>
      <c r="G17" s="4" t="n">
        <f aca="false">-G6*Assumptions!G18/100</f>
        <v>-41200.8456972109</v>
      </c>
      <c r="H17" s="4" t="n">
        <f aca="false">-H6*Assumptions!H18/100</f>
        <v>-40708.2268899617</v>
      </c>
      <c r="I17" s="4" t="n">
        <f aca="false">-I6*Assumptions!I18/100</f>
        <v>-41115.3091588613</v>
      </c>
      <c r="J17" s="4" t="n">
        <f aca="false">-J6*Assumptions!J18/100</f>
        <v>-41320.8857046556</v>
      </c>
      <c r="K17" s="4" t="n">
        <f aca="false">-K6*Assumptions!K18/100</f>
        <v>-41527.4901331789</v>
      </c>
      <c r="L17" s="4" t="n">
        <f aca="false">-L6*Assumptions!L18/100</f>
        <v>-41735.1275838447</v>
      </c>
    </row>
    <row r="18" customFormat="false" ht="15" hidden="false" customHeight="false" outlineLevel="0" collapsed="false">
      <c r="A18" s="0" t="s">
        <v>135</v>
      </c>
      <c r="C18" s="4" t="n">
        <f aca="false">(C6-B6)*Assumptions!$B$23/100</f>
        <v>-0</v>
      </c>
      <c r="D18" s="4" t="n">
        <f aca="false">(D6-C6)*Assumptions!$B$23/100</f>
        <v>-778.503599999982</v>
      </c>
      <c r="E18" s="4" t="n">
        <f aca="false">(E6-D6)*Assumptions!$B$23/100</f>
        <v>-1564.79223600001</v>
      </c>
      <c r="F18" s="4" t="n">
        <f aca="false">(F6-E6)*Assumptions!$B$23/100</f>
        <v>-1580.44015835999</v>
      </c>
      <c r="G18" s="4" t="n">
        <f aca="false">(G6-F6)*Assumptions!$B$23/100</f>
        <v>-1596.2445599436</v>
      </c>
      <c r="H18" s="4" t="n">
        <f aca="false">(H6-G6)*Assumptions!$B$23/100</f>
        <v>-1612.20700554303</v>
      </c>
      <c r="I18" s="4" t="n">
        <f aca="false">(I6-H6)*Assumptions!$B$23/100</f>
        <v>-1628.32907559847</v>
      </c>
      <c r="J18" s="4" t="n">
        <f aca="false">(J6-I6)*Assumptions!$B$23/100</f>
        <v>-822.306183177216</v>
      </c>
      <c r="K18" s="4" t="n">
        <f aca="false">(K6-J6)*Assumptions!$B$23/100</f>
        <v>-826.417714093092</v>
      </c>
      <c r="L18" s="4" t="n">
        <f aca="false">(L6-K6)*Assumptions!$B$23/100</f>
        <v>-830.549802663568</v>
      </c>
    </row>
    <row r="19" customFormat="false" ht="15" hidden="false" customHeight="false" outlineLevel="0" collapsed="false">
      <c r="A19" s="0" t="s">
        <v>136</v>
      </c>
      <c r="C19" s="0" t="n">
        <f aca="false">C15+C16+C17+C18</f>
        <v>7218.45838000001</v>
      </c>
      <c r="D19" s="0" t="n">
        <f aca="false">D15+D16+D17+D18</f>
        <v>9757.76412240001</v>
      </c>
      <c r="E19" s="0" t="n">
        <f aca="false">E15+E16+E17+E18</f>
        <v>12255.278926548</v>
      </c>
      <c r="F19" s="0" t="n">
        <f aca="false">F15+F16+F17+F18</f>
        <v>13539.5430344391</v>
      </c>
      <c r="G19" s="0" t="n">
        <f aca="false">G15+G16+G17+G18</f>
        <v>14709.4379600069</v>
      </c>
      <c r="H19" s="0" t="n">
        <f aca="false">H15+H16+H17+H18</f>
        <v>15620.9423778741</v>
      </c>
      <c r="I19" s="0" t="n">
        <f aca="false">I15+I16+I17+I18</f>
        <v>15777.1518016528</v>
      </c>
      <c r="J19" s="0" t="n">
        <f aca="false">J15+J16+J17+J18</f>
        <v>16670.2020984603</v>
      </c>
      <c r="K19" s="0" t="n">
        <f aca="false">K15+K16+K17+K18</f>
        <v>16753.5531089526</v>
      </c>
      <c r="L19" s="0" t="n">
        <f aca="false">L15+L16+L17+L18</f>
        <v>16837.3208744974</v>
      </c>
    </row>
    <row r="20" customFormat="false" ht="15" hidden="false" customHeight="false" outlineLevel="0" collapsed="false">
      <c r="A20" s="0" t="s">
        <v>137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138</v>
      </c>
      <c r="C21" s="0" t="n">
        <f aca="false">C19*C20</f>
        <v>6809.86639622642</v>
      </c>
      <c r="D21" s="0" t="n">
        <f aca="false">D19*D20</f>
        <v>8684.37533143468</v>
      </c>
      <c r="E21" s="0" t="n">
        <f aca="false">E19*E20</f>
        <v>10289.7685056691</v>
      </c>
      <c r="F21" s="0" t="n">
        <f aca="false">F19*F20</f>
        <v>10724.5862407177</v>
      </c>
      <c r="G21" s="0" t="n">
        <f aca="false">G19*G20</f>
        <v>10991.7477338814</v>
      </c>
      <c r="H21" s="0" t="n">
        <f aca="false">H19*H20</f>
        <v>11012.1479808832</v>
      </c>
      <c r="I21" s="0" t="n">
        <f aca="false">I19*I20</f>
        <v>10492.7070383887</v>
      </c>
      <c r="J21" s="0" t="n">
        <f aca="false">J19*J20</f>
        <v>10459.0910293425</v>
      </c>
      <c r="K21" s="0" t="n">
        <f aca="false">K19*K20</f>
        <v>9916.40234385773</v>
      </c>
      <c r="L21" s="0" t="n">
        <f aca="false">L19*L20</f>
        <v>9401.87203356322</v>
      </c>
    </row>
    <row r="23" customFormat="false" ht="15" hidden="false" customHeight="false" outlineLevel="0" collapsed="false">
      <c r="A23" s="0" t="s">
        <v>114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140</v>
      </c>
    </row>
    <row r="27" customFormat="false" ht="15" hidden="false" customHeight="false" outlineLevel="0" collapsed="false">
      <c r="A27" s="0" t="s">
        <v>118</v>
      </c>
      <c r="B27" s="4" t="n">
        <f aca="false">Assumptions!$B$20</f>
        <v>6</v>
      </c>
    </row>
    <row r="28" customFormat="false" ht="15" hidden="false" customHeight="false" outlineLevel="0" collapsed="false">
      <c r="A28" s="0" t="s">
        <v>119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120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141</v>
      </c>
      <c r="B30" s="0" t="n">
        <f aca="false">SUM(C21:L21)</f>
        <v>98782.5646339645</v>
      </c>
    </row>
    <row r="31" customFormat="false" ht="15" hidden="false" customHeight="false" outlineLevel="0" collapsed="false">
      <c r="A31" s="0" t="s">
        <v>142</v>
      </c>
      <c r="B31" s="0" t="n">
        <f aca="false">L19</f>
        <v>16837.3208744974</v>
      </c>
    </row>
    <row r="32" customFormat="false" ht="15" hidden="false" customHeight="false" outlineLevel="0" collapsed="false">
      <c r="A32" s="0" t="s">
        <v>143</v>
      </c>
      <c r="B32" s="0" t="n">
        <f aca="false">IF(B27&gt;B28,B31*(1+B28/100)/((B27-B28)/100),B31*B29)</f>
        <v>307663.772343088</v>
      </c>
    </row>
    <row r="33" customFormat="false" ht="15" hidden="false" customHeight="false" outlineLevel="0" collapsed="false">
      <c r="A33" s="0" t="s">
        <v>144</v>
      </c>
      <c r="B33" s="0" t="n">
        <f aca="false">B31*B29</f>
        <v>235722.492242963</v>
      </c>
    </row>
    <row r="34" customFormat="false" ht="15" hidden="false" customHeight="false" outlineLevel="0" collapsed="false">
      <c r="A34" s="0" t="s">
        <v>145</v>
      </c>
      <c r="B34" s="0" t="n">
        <f aca="false">MAX(0,MIN(B32,B33))</f>
        <v>235722.492242963</v>
      </c>
    </row>
    <row r="35" customFormat="false" ht="15" hidden="false" customHeight="false" outlineLevel="0" collapsed="false">
      <c r="A35" s="0" t="s">
        <v>146</v>
      </c>
      <c r="B35" s="0" t="n">
        <f aca="false">B34/(1+B27/100)^L4</f>
        <v>131626.208469885</v>
      </c>
    </row>
    <row r="36" customFormat="false" ht="15" hidden="false" customHeight="false" outlineLevel="0" collapsed="false">
      <c r="A36" s="0" t="s">
        <v>147</v>
      </c>
      <c r="B36" s="0" t="n">
        <f aca="false">B30+B35</f>
        <v>230408.77310385</v>
      </c>
    </row>
    <row r="37" customFormat="false" ht="15" hidden="false" customHeight="false" outlineLevel="0" collapsed="false">
      <c r="A37" s="0" t="s">
        <v>148</v>
      </c>
      <c r="B37" s="0" t="n">
        <f aca="false">B36+Assumptions!$B$5-Assumptions!$B$4</f>
        <v>328213.77310385</v>
      </c>
    </row>
    <row r="38" customFormat="false" ht="15" hidden="false" customHeight="false" outlineLevel="0" collapsed="false">
      <c r="A38" s="0" t="s">
        <v>149</v>
      </c>
      <c r="B38" s="0" t="n">
        <f aca="false">B37/Assumptions!$B$3*Assumptions!$B$10</f>
        <v>1173.81022804241</v>
      </c>
    </row>
    <row r="39" customFormat="false" ht="15" hidden="false" customHeight="false" outlineLevel="0" collapsed="false">
      <c r="A39" s="0" t="s">
        <v>150</v>
      </c>
      <c r="B39" s="4" t="n">
        <f aca="false">B38/Assumptions!$B$2-1</f>
        <v>-0.442502860108095</v>
      </c>
    </row>
    <row r="41" customFormat="false" ht="15" hidden="false" customHeight="false" outlineLevel="0" collapsed="false">
      <c r="A41" s="0" t="s">
        <v>151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153</v>
      </c>
      <c r="B43" s="0" t="n">
        <f aca="false">(B37+B41+B42)/Assumptions!$B$3*Assumptions!$B$10</f>
        <v>1173.81022804241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154</v>
      </c>
      <c r="B46" s="0" t="n">
        <f aca="false">MAX(0,MIN(IF(B45&gt;B28,B31*(1+B28/100)/((B45-B28)/100),B31*B29),B31*B29))</f>
        <v>116700.051578413</v>
      </c>
    </row>
    <row r="47" customFormat="false" ht="15" hidden="false" customHeight="false" outlineLevel="0" collapsed="false">
      <c r="A47" s="0" t="s">
        <v>155</v>
      </c>
      <c r="B47" s="0" t="n">
        <f aca="false">(SUMPRODUCT(C19:L19/(1+B45/100)^C4:L4)+B46/(1+B45/100)^L4+Assumptions!$B$5-Assumptions!$B$4)/Assumptions!$B$3*Assumptions!$B$10</f>
        <v>681.216266541766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0" t="s">
        <v>126</v>
      </c>
      <c r="B3" s="0" t="s">
        <v>87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</row>
    <row r="4" customFormat="false" ht="15" hidden="false" customHeight="false" outlineLevel="0" collapsed="false">
      <c r="A4" s="0" t="s">
        <v>127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111</v>
      </c>
      <c r="C5" s="4" t="n">
        <f aca="false">Assumptions!C27</f>
        <v>0.6</v>
      </c>
      <c r="D5" s="4" t="n">
        <f aca="false">Assumptions!D27</f>
        <v>2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865004</v>
      </c>
      <c r="C6" s="0" t="n">
        <f aca="false">B6*(1+C5/100)</f>
        <v>870194.024</v>
      </c>
      <c r="D6" s="0" t="n">
        <f aca="false">C6*(1+D5/100)</f>
        <v>887597.90448</v>
      </c>
      <c r="E6" s="0" t="n">
        <f aca="false">D6*(1+E5/100)</f>
        <v>909787.852092</v>
      </c>
      <c r="F6" s="0" t="n">
        <f aca="false">E6*(1+F5/100)</f>
        <v>932532.5483943</v>
      </c>
      <c r="G6" s="0" t="n">
        <f aca="false">F6*(1+G5/100)</f>
        <v>955845.862104157</v>
      </c>
      <c r="H6" s="0" t="n">
        <f aca="false">G6*(1+H5/100)</f>
        <v>974962.779346241</v>
      </c>
      <c r="I6" s="0" t="n">
        <f aca="false">H6*(1+I5/100)</f>
        <v>994462.034933165</v>
      </c>
      <c r="J6" s="0" t="n">
        <f aca="false">I6*(1+J5/100)</f>
        <v>1014351.27563183</v>
      </c>
      <c r="K6" s="0" t="n">
        <f aca="false">J6*(1+K5/100)</f>
        <v>1029566.54476631</v>
      </c>
      <c r="L6" s="0" t="n">
        <f aca="false">K6*(1+L5/100)</f>
        <v>1045010.0429378</v>
      </c>
    </row>
    <row r="7" customFormat="false" ht="15" hidden="false" customHeight="false" outlineLevel="0" collapsed="false">
      <c r="A7" s="0" t="s">
        <v>112</v>
      </c>
      <c r="C7" s="4" t="n">
        <f aca="false">Assumptions!C28</f>
        <v>8.65</v>
      </c>
      <c r="D7" s="4" t="n">
        <f aca="false">Assumptions!D28</f>
        <v>8.75</v>
      </c>
      <c r="E7" s="4" t="n">
        <f aca="false">Assumptions!E28</f>
        <v>8.85</v>
      </c>
      <c r="F7" s="4" t="n">
        <f aca="false">Assumptions!F28</f>
        <v>8.95</v>
      </c>
      <c r="G7" s="4" t="n">
        <f aca="false">Assumptions!G28</f>
        <v>9</v>
      </c>
      <c r="H7" s="4" t="n">
        <f aca="false">Assumptions!H28</f>
        <v>9</v>
      </c>
      <c r="I7" s="4" t="n">
        <f aca="false">Assumptions!I28</f>
        <v>9</v>
      </c>
      <c r="J7" s="4" t="n">
        <f aca="false">Assumptions!J28</f>
        <v>9</v>
      </c>
      <c r="K7" s="4" t="n">
        <f aca="false">Assumptions!K28</f>
        <v>9</v>
      </c>
      <c r="L7" s="4" t="n">
        <f aca="false">Assumptions!L28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75271.783076</v>
      </c>
      <c r="D8" s="0" t="n">
        <f aca="false">D6*D7/100</f>
        <v>77664.816642</v>
      </c>
      <c r="E8" s="0" t="n">
        <f aca="false">E6*E7/100</f>
        <v>80516.224910142</v>
      </c>
      <c r="F8" s="0" t="n">
        <f aca="false">F6*F7/100</f>
        <v>83461.6630812898</v>
      </c>
      <c r="G8" s="0" t="n">
        <f aca="false">G6*G7/100</f>
        <v>86026.1275893742</v>
      </c>
      <c r="H8" s="0" t="n">
        <f aca="false">H6*H7/100</f>
        <v>87746.6501411617</v>
      </c>
      <c r="I8" s="0" t="n">
        <f aca="false">I6*I7/100</f>
        <v>89501.5831439849</v>
      </c>
      <c r="J8" s="0" t="n">
        <f aca="false">J6*J7/100</f>
        <v>91291.6148068646</v>
      </c>
      <c r="K8" s="0" t="n">
        <f aca="false">K6*K7/100</f>
        <v>92660.9890289675</v>
      </c>
      <c r="L8" s="0" t="n">
        <f aca="false">L6*L7/100</f>
        <v>94050.9038644021</v>
      </c>
    </row>
    <row r="9" customFormat="false" ht="15" hidden="false" customHeight="false" outlineLevel="0" collapsed="false">
      <c r="A9" s="0" t="s">
        <v>113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129</v>
      </c>
      <c r="C11" s="0" t="n">
        <f aca="false">C8+C10+C24</f>
        <v>75271.783076</v>
      </c>
      <c r="D11" s="0" t="n">
        <f aca="false">D8+D10+D24</f>
        <v>77664.816642</v>
      </c>
      <c r="E11" s="0" t="n">
        <f aca="false">E8+E10+E24</f>
        <v>80516.224910142</v>
      </c>
      <c r="F11" s="0" t="n">
        <f aca="false">F8+F10+F24</f>
        <v>83461.6630812898</v>
      </c>
      <c r="G11" s="0" t="n">
        <f aca="false">G8+G10+G24</f>
        <v>86026.1275893742</v>
      </c>
      <c r="H11" s="0" t="n">
        <f aca="false">H8+H10+H24</f>
        <v>87746.6501411617</v>
      </c>
      <c r="I11" s="0" t="n">
        <f aca="false">I8+I10+I24</f>
        <v>89501.5831439849</v>
      </c>
      <c r="J11" s="0" t="n">
        <f aca="false">J8+J10+J24</f>
        <v>91291.6148068646</v>
      </c>
      <c r="K11" s="0" t="n">
        <f aca="false">K8+K10+K24</f>
        <v>92660.9890289675</v>
      </c>
      <c r="L11" s="0" t="n">
        <f aca="false">L8+L10+L24</f>
        <v>94050.9038644021</v>
      </c>
    </row>
    <row r="12" customFormat="false" ht="15" hidden="false" customHeight="false" outlineLevel="0" collapsed="false">
      <c r="A12" s="0" t="s">
        <v>130</v>
      </c>
      <c r="C12" s="4" t="n">
        <f aca="false">-C6*Assumptions!C31/100</f>
        <v>-29151.499804</v>
      </c>
      <c r="D12" s="4" t="n">
        <f aca="false">-D6*Assumptions!D31/100</f>
        <v>-30178.32875232</v>
      </c>
      <c r="E12" s="4" t="n">
        <f aca="false">-E6*Assumptions!E31/100</f>
        <v>-30932.786971128</v>
      </c>
      <c r="F12" s="4" t="n">
        <f aca="false">-F6*Assumptions!F31/100</f>
        <v>-31706.1066454062</v>
      </c>
      <c r="G12" s="4" t="n">
        <f aca="false">-G6*Assumptions!G31/100</f>
        <v>-32020.8363804893</v>
      </c>
      <c r="H12" s="4" t="n">
        <f aca="false">-H6*Assumptions!H31/100</f>
        <v>-32173.7717184259</v>
      </c>
      <c r="I12" s="4" t="n">
        <f aca="false">-I6*Assumptions!I31/100</f>
        <v>-32817.2471527945</v>
      </c>
      <c r="J12" s="4" t="n">
        <f aca="false">-J6*Assumptions!J31/100</f>
        <v>-33473.5920958503</v>
      </c>
      <c r="K12" s="4" t="n">
        <f aca="false">-K6*Assumptions!K31/100</f>
        <v>-33975.6959772881</v>
      </c>
      <c r="L12" s="4" t="n">
        <f aca="false">-L6*Assumptions!L31/100</f>
        <v>-34485.3314169474</v>
      </c>
    </row>
    <row r="13" customFormat="false" ht="15" hidden="false" customHeight="false" outlineLevel="0" collapsed="false">
      <c r="A13" s="0" t="s">
        <v>131</v>
      </c>
      <c r="C13" s="0" t="n">
        <f aca="false">C11+C12</f>
        <v>46120.283272</v>
      </c>
      <c r="D13" s="0" t="n">
        <f aca="false">D11+D12</f>
        <v>47486.48788968</v>
      </c>
      <c r="E13" s="0" t="n">
        <f aca="false">E11+E12</f>
        <v>49583.437939014</v>
      </c>
      <c r="F13" s="0" t="n">
        <f aca="false">F11+F12</f>
        <v>51755.5564358836</v>
      </c>
      <c r="G13" s="0" t="n">
        <f aca="false">G11+G12</f>
        <v>54005.2912088849</v>
      </c>
      <c r="H13" s="0" t="n">
        <f aca="false">H11+H12</f>
        <v>55572.8784227357</v>
      </c>
      <c r="I13" s="0" t="n">
        <f aca="false">I11+I12</f>
        <v>56684.3359911904</v>
      </c>
      <c r="J13" s="0" t="n">
        <f aca="false">J11+J12</f>
        <v>57818.0227110142</v>
      </c>
      <c r="K13" s="0" t="n">
        <f aca="false">K11+K12</f>
        <v>58685.2930516794</v>
      </c>
      <c r="L13" s="0" t="n">
        <f aca="false">L11+L12</f>
        <v>59565.5724474546</v>
      </c>
    </row>
    <row r="14" customFormat="false" ht="15" hidden="false" customHeight="false" outlineLevel="0" collapsed="false">
      <c r="A14" s="0" t="s">
        <v>117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132</v>
      </c>
      <c r="C15" s="0" t="n">
        <f aca="false">C13-MAX(0,C13)*C14/100</f>
        <v>31822.99545768</v>
      </c>
      <c r="D15" s="0" t="n">
        <f aca="false">D13-MAX(0,D13)*D14/100</f>
        <v>32765.6766438792</v>
      </c>
      <c r="E15" s="0" t="n">
        <f aca="false">E13-MAX(0,E13)*E14/100</f>
        <v>34212.5721779197</v>
      </c>
      <c r="F15" s="0" t="n">
        <f aca="false">F13-MAX(0,F13)*F14/100</f>
        <v>35711.3339407597</v>
      </c>
      <c r="G15" s="0" t="n">
        <f aca="false">G13-MAX(0,G13)*G14/100</f>
        <v>37263.6509341306</v>
      </c>
      <c r="H15" s="0" t="n">
        <f aca="false">H13-MAX(0,H13)*H14/100</f>
        <v>38345.2861116876</v>
      </c>
      <c r="I15" s="0" t="n">
        <f aca="false">I13-MAX(0,I13)*I14/100</f>
        <v>39112.1918339214</v>
      </c>
      <c r="J15" s="0" t="n">
        <f aca="false">J13-MAX(0,J13)*J14/100</f>
        <v>39894.4356705998</v>
      </c>
      <c r="K15" s="0" t="n">
        <f aca="false">K13-MAX(0,K13)*K14/100</f>
        <v>40492.8522056588</v>
      </c>
      <c r="L15" s="0" t="n">
        <f aca="false">L13-MAX(0,L13)*L14/100</f>
        <v>41100.2449887437</v>
      </c>
    </row>
    <row r="16" customFormat="false" ht="15" hidden="false" customHeight="false" outlineLevel="0" collapsed="false">
      <c r="A16" s="0" t="s">
        <v>133</v>
      </c>
      <c r="C16" s="0" t="n">
        <f aca="false">-C12</f>
        <v>29151.499804</v>
      </c>
      <c r="D16" s="0" t="n">
        <f aca="false">-D12</f>
        <v>30178.32875232</v>
      </c>
      <c r="E16" s="0" t="n">
        <f aca="false">-E12</f>
        <v>30932.786971128</v>
      </c>
      <c r="F16" s="0" t="n">
        <f aca="false">-F12</f>
        <v>31706.1066454062</v>
      </c>
      <c r="G16" s="0" t="n">
        <f aca="false">-G12</f>
        <v>32020.8363804893</v>
      </c>
      <c r="H16" s="0" t="n">
        <f aca="false">-H12</f>
        <v>32173.7717184259</v>
      </c>
      <c r="I16" s="0" t="n">
        <f aca="false">-I12</f>
        <v>32817.2471527945</v>
      </c>
      <c r="J16" s="0" t="n">
        <f aca="false">-J12</f>
        <v>33473.5920958503</v>
      </c>
      <c r="K16" s="0" t="n">
        <f aca="false">-K12</f>
        <v>33975.6959772881</v>
      </c>
      <c r="L16" s="0" t="n">
        <f aca="false">-L12</f>
        <v>34485.3314169474</v>
      </c>
    </row>
    <row r="17" customFormat="false" ht="15" hidden="false" customHeight="false" outlineLevel="0" collapsed="false">
      <c r="A17" s="0" t="s">
        <v>134</v>
      </c>
      <c r="C17" s="4" t="n">
        <f aca="false">-C6*Assumptions!C32/100</f>
        <v>-52211.64144</v>
      </c>
      <c r="D17" s="4" t="n">
        <f aca="false">-D6*Assumptions!D32/100</f>
        <v>-47042.68893744</v>
      </c>
      <c r="E17" s="4" t="n">
        <f aca="false">-E6*Assumptions!E32/100</f>
        <v>-43669.816900416</v>
      </c>
      <c r="F17" s="4" t="n">
        <f aca="false">-F6*Assumptions!F32/100</f>
        <v>-41963.9646777435</v>
      </c>
      <c r="G17" s="4" t="n">
        <f aca="false">-G6*Assumptions!G32/100</f>
        <v>-41101.3720704788</v>
      </c>
      <c r="H17" s="4" t="n">
        <f aca="false">-H6*Assumptions!H32/100</f>
        <v>-41923.3995118883</v>
      </c>
      <c r="I17" s="4" t="n">
        <f aca="false">-I6*Assumptions!I32/100</f>
        <v>-41767.405467193</v>
      </c>
      <c r="J17" s="4" t="n">
        <f aca="false">-J6*Assumptions!J32/100</f>
        <v>-42602.7535765368</v>
      </c>
      <c r="K17" s="4" t="n">
        <f aca="false">-K6*Assumptions!K32/100</f>
        <v>-43241.7948801849</v>
      </c>
      <c r="L17" s="4" t="n">
        <f aca="false">-L6*Assumptions!L32/100</f>
        <v>-43890.4218033876</v>
      </c>
    </row>
    <row r="18" customFormat="false" ht="15" hidden="false" customHeight="false" outlineLevel="0" collapsed="false">
      <c r="A18" s="0" t="s">
        <v>135</v>
      </c>
      <c r="C18" s="4" t="n">
        <f aca="false">(C6-B6)*Assumptions!$B$37/100</f>
        <v>-934.204319999996</v>
      </c>
      <c r="D18" s="4" t="n">
        <f aca="false">(D6-C6)*Assumptions!$B$37/100</f>
        <v>-3132.69848640001</v>
      </c>
      <c r="E18" s="4" t="n">
        <f aca="false">(E6-D6)*Assumptions!$B$37/100</f>
        <v>-3994.19057015999</v>
      </c>
      <c r="F18" s="4" t="n">
        <f aca="false">(F6-E6)*Assumptions!$B$37/100</f>
        <v>-4094.04533441399</v>
      </c>
      <c r="G18" s="4" t="n">
        <f aca="false">(G6-F6)*Assumptions!$B$37/100</f>
        <v>-4196.39646777433</v>
      </c>
      <c r="H18" s="4" t="n">
        <f aca="false">(H6-G6)*Assumptions!$B$37/100</f>
        <v>-3441.04510357496</v>
      </c>
      <c r="I18" s="4" t="n">
        <f aca="false">(I6-H6)*Assumptions!$B$37/100</f>
        <v>-3509.86600564647</v>
      </c>
      <c r="J18" s="4" t="n">
        <f aca="false">(J6-I6)*Assumptions!$B$37/100</f>
        <v>-3580.06332575939</v>
      </c>
      <c r="K18" s="4" t="n">
        <f aca="false">(K6-J6)*Assumptions!$B$37/100</f>
        <v>-2738.74844420593</v>
      </c>
      <c r="L18" s="4" t="n">
        <f aca="false">(L6-K6)*Assumptions!$B$37/100</f>
        <v>-2779.829670869</v>
      </c>
    </row>
    <row r="19" customFormat="false" ht="15" hidden="false" customHeight="false" outlineLevel="0" collapsed="false">
      <c r="A19" s="0" t="s">
        <v>136</v>
      </c>
      <c r="C19" s="0" t="n">
        <f aca="false">C15+C16+C17+C18</f>
        <v>7828.64950168001</v>
      </c>
      <c r="D19" s="0" t="n">
        <f aca="false">D15+D16+D17+D18</f>
        <v>12768.6179723592</v>
      </c>
      <c r="E19" s="0" t="n">
        <f aca="false">E15+E16+E17+E18</f>
        <v>17481.3516784717</v>
      </c>
      <c r="F19" s="0" t="n">
        <f aca="false">F15+F16+F17+F18</f>
        <v>21359.4305740084</v>
      </c>
      <c r="G19" s="0" t="n">
        <f aca="false">G15+G16+G17+G18</f>
        <v>23986.7187763668</v>
      </c>
      <c r="H19" s="0" t="n">
        <f aca="false">H15+H16+H17+H18</f>
        <v>25154.6132146503</v>
      </c>
      <c r="I19" s="0" t="n">
        <f aca="false">I15+I16+I17+I18</f>
        <v>26652.1675138764</v>
      </c>
      <c r="J19" s="0" t="n">
        <f aca="false">J15+J16+J17+J18</f>
        <v>27185.210864154</v>
      </c>
      <c r="K19" s="0" t="n">
        <f aca="false">K15+K16+K17+K18</f>
        <v>28488.0048585561</v>
      </c>
      <c r="L19" s="0" t="n">
        <f aca="false">L15+L16+L17+L18</f>
        <v>28915.3249314345</v>
      </c>
    </row>
    <row r="20" customFormat="false" ht="15" hidden="false" customHeight="false" outlineLevel="0" collapsed="false">
      <c r="A20" s="0" t="s">
        <v>137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138</v>
      </c>
      <c r="C21" s="0" t="n">
        <f aca="false">C19*C20</f>
        <v>7385.51839781133</v>
      </c>
      <c r="D21" s="0" t="n">
        <f aca="false">D19*D20</f>
        <v>11364.0245393015</v>
      </c>
      <c r="E21" s="0" t="n">
        <f aca="false">E19*E20</f>
        <v>14677.6799627139</v>
      </c>
      <c r="F21" s="0" t="n">
        <f aca="false">F19*F20</f>
        <v>16918.6696080445</v>
      </c>
      <c r="G21" s="0" t="n">
        <f aca="false">G19*G20</f>
        <v>17924.2716458798</v>
      </c>
      <c r="H21" s="0" t="n">
        <f aca="false">H19*H20</f>
        <v>17733.0097263509</v>
      </c>
      <c r="I21" s="0" t="n">
        <f aca="false">I19*I20</f>
        <v>17725.2135985577</v>
      </c>
      <c r="J21" s="0" t="n">
        <f aca="false">J19*J20</f>
        <v>17056.3376137064</v>
      </c>
      <c r="K21" s="0" t="n">
        <f aca="false">K19*K20</f>
        <v>16862.0063048153</v>
      </c>
      <c r="L21" s="0" t="n">
        <f aca="false">L19*L20</f>
        <v>16146.1664145165</v>
      </c>
    </row>
    <row r="23" customFormat="false" ht="15" hidden="false" customHeight="false" outlineLevel="0" collapsed="false">
      <c r="A23" s="0" t="s">
        <v>114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140</v>
      </c>
    </row>
    <row r="27" customFormat="false" ht="15" hidden="false" customHeight="false" outlineLevel="0" collapsed="false">
      <c r="A27" s="0" t="s">
        <v>118</v>
      </c>
      <c r="B27" s="4" t="n">
        <f aca="false">Assumptions!$B$34</f>
        <v>6</v>
      </c>
    </row>
    <row r="28" customFormat="false" ht="15" hidden="false" customHeight="false" outlineLevel="0" collapsed="false">
      <c r="A28" s="0" t="s">
        <v>119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120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141</v>
      </c>
      <c r="B30" s="0" t="n">
        <f aca="false">SUM(C21:L21)</f>
        <v>153792.897811698</v>
      </c>
    </row>
    <row r="31" customFormat="false" ht="15" hidden="false" customHeight="false" outlineLevel="0" collapsed="false">
      <c r="A31" s="0" t="s">
        <v>142</v>
      </c>
      <c r="B31" s="0" t="n">
        <f aca="false">L19</f>
        <v>28915.3249314345</v>
      </c>
    </row>
    <row r="32" customFormat="false" ht="15" hidden="false" customHeight="false" outlineLevel="0" collapsed="false">
      <c r="A32" s="0" t="s">
        <v>143</v>
      </c>
      <c r="B32" s="0" t="n">
        <f aca="false">IF(B27&gt;B28,B31*(1+B28/100)/((B27-B28)/100),B31*B29)</f>
        <v>584089.563614977</v>
      </c>
    </row>
    <row r="33" customFormat="false" ht="15" hidden="false" customHeight="false" outlineLevel="0" collapsed="false">
      <c r="A33" s="0" t="s">
        <v>144</v>
      </c>
      <c r="B33" s="0" t="n">
        <f aca="false">B31*B29</f>
        <v>462645.198902952</v>
      </c>
    </row>
    <row r="34" customFormat="false" ht="15" hidden="false" customHeight="false" outlineLevel="0" collapsed="false">
      <c r="A34" s="0" t="s">
        <v>145</v>
      </c>
      <c r="B34" s="0" t="n">
        <f aca="false">MAX(0,MIN(B32,B33))</f>
        <v>462645.198902952</v>
      </c>
    </row>
    <row r="35" customFormat="false" ht="15" hidden="false" customHeight="false" outlineLevel="0" collapsed="false">
      <c r="A35" s="0" t="s">
        <v>146</v>
      </c>
      <c r="B35" s="0" t="n">
        <f aca="false">B34/(1+B27/100)^L4</f>
        <v>258338.662632264</v>
      </c>
    </row>
    <row r="36" customFormat="false" ht="15" hidden="false" customHeight="false" outlineLevel="0" collapsed="false">
      <c r="A36" s="0" t="s">
        <v>147</v>
      </c>
      <c r="B36" s="0" t="n">
        <f aca="false">B30+B35</f>
        <v>412131.560443962</v>
      </c>
    </row>
    <row r="37" customFormat="false" ht="15" hidden="false" customHeight="false" outlineLevel="0" collapsed="false">
      <c r="A37" s="0" t="s">
        <v>148</v>
      </c>
      <c r="B37" s="0" t="n">
        <f aca="false">B36+Assumptions!$B$5-Assumptions!$B$4</f>
        <v>509936.560443962</v>
      </c>
    </row>
    <row r="38" customFormat="false" ht="15" hidden="false" customHeight="false" outlineLevel="0" collapsed="false">
      <c r="A38" s="0" t="s">
        <v>149</v>
      </c>
      <c r="B38" s="0" t="n">
        <f aca="false">B37/Assumptions!$B$3*Assumptions!$B$10</f>
        <v>1823.71612452868</v>
      </c>
    </row>
    <row r="39" customFormat="false" ht="15" hidden="false" customHeight="false" outlineLevel="0" collapsed="false">
      <c r="A39" s="0" t="s">
        <v>150</v>
      </c>
      <c r="B39" s="4" t="n">
        <f aca="false">B38/Assumptions!$B$2-1</f>
        <v>-0.133832284716847</v>
      </c>
    </row>
    <row r="41" customFormat="false" ht="15" hidden="false" customHeight="false" outlineLevel="0" collapsed="false">
      <c r="A41" s="0" t="s">
        <v>151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153</v>
      </c>
      <c r="B43" s="0" t="n">
        <f aca="false">(B37+B41+B42)/Assumptions!$B$3*Assumptions!$B$10</f>
        <v>1823.71612452868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154</v>
      </c>
      <c r="B46" s="0" t="n">
        <f aca="false">MAX(0,MIN(IF(B45&gt;B28,B31*(1+B28/100)/((B45-B28)/100),B31*B29),B31*B29))</f>
        <v>208603.415576777</v>
      </c>
    </row>
    <row r="47" customFormat="false" ht="15" hidden="false" customHeight="false" outlineLevel="0" collapsed="false">
      <c r="A47" s="0" t="s">
        <v>155</v>
      </c>
      <c r="B47" s="0" t="n">
        <f aca="false">(SUMPRODUCT(C19:L19/(1+B45/100)^C4:L4)+B46/(1+B45/100)^L4+Assumptions!$B$5-Assumptions!$B$4)/Assumptions!$B$3*Assumptions!$B$10</f>
        <v>881.537400937223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157</v>
      </c>
    </row>
    <row r="3" customFormat="false" ht="15" hidden="false" customHeight="false" outlineLevel="0" collapsed="false">
      <c r="A3" s="0" t="s">
        <v>126</v>
      </c>
      <c r="B3" s="0" t="s">
        <v>87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</row>
    <row r="4" customFormat="false" ht="15" hidden="false" customHeight="false" outlineLevel="0" collapsed="false">
      <c r="A4" s="0" t="s">
        <v>127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111</v>
      </c>
      <c r="C5" s="4" t="n">
        <f aca="false">Assumptions!C41</f>
        <v>1.5</v>
      </c>
      <c r="D5" s="4" t="n">
        <f aca="false">Assumptions!D41</f>
        <v>3</v>
      </c>
      <c r="E5" s="4" t="n">
        <f aca="false">Assumptions!E41</f>
        <v>3.5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865004</v>
      </c>
      <c r="C6" s="0" t="n">
        <f aca="false">B6*(1+C5/100)</f>
        <v>877979.06</v>
      </c>
      <c r="D6" s="0" t="n">
        <f aca="false">C6*(1+D5/100)</f>
        <v>904318.4318</v>
      </c>
      <c r="E6" s="0" t="n">
        <f aca="false">D6*(1+E5/100)</f>
        <v>935969.576913</v>
      </c>
      <c r="F6" s="0" t="n">
        <f aca="false">E6*(1+F5/100)</f>
        <v>968728.512104955</v>
      </c>
      <c r="G6" s="0" t="n">
        <f aca="false">F6*(1+G5/100)</f>
        <v>1002634.01002863</v>
      </c>
      <c r="H6" s="0" t="n">
        <f aca="false">G6*(1+H5/100)</f>
        <v>1032713.03032949</v>
      </c>
      <c r="I6" s="0" t="n">
        <f aca="false">H6*(1+I5/100)</f>
        <v>1063694.42123937</v>
      </c>
      <c r="J6" s="0" t="n">
        <f aca="false">I6*(1+J5/100)</f>
        <v>1090286.78177036</v>
      </c>
      <c r="K6" s="0" t="n">
        <f aca="false">J6*(1+K5/100)</f>
        <v>1117543.95131461</v>
      </c>
      <c r="L6" s="0" t="n">
        <f aca="false">K6*(1+L5/100)</f>
        <v>1145482.55009748</v>
      </c>
    </row>
    <row r="7" customFormat="false" ht="15" hidden="false" customHeight="false" outlineLevel="0" collapsed="false">
      <c r="A7" s="0" t="s">
        <v>112</v>
      </c>
      <c r="C7" s="4" t="n">
        <f aca="false">Assumptions!C42</f>
        <v>8.8</v>
      </c>
      <c r="D7" s="4" t="n">
        <f aca="false">Assumptions!D42</f>
        <v>9.2</v>
      </c>
      <c r="E7" s="4" t="n">
        <f aca="false">Assumptions!E42</f>
        <v>9.6</v>
      </c>
      <c r="F7" s="4" t="n">
        <f aca="false">Assumptions!F42</f>
        <v>9.9</v>
      </c>
      <c r="G7" s="4" t="n">
        <f aca="false">Assumptions!G42</f>
        <v>10.1</v>
      </c>
      <c r="H7" s="4" t="n">
        <f aca="false">Assumptions!H42</f>
        <v>10.2</v>
      </c>
      <c r="I7" s="4" t="n">
        <f aca="false">Assumptions!I42</f>
        <v>10.3</v>
      </c>
      <c r="J7" s="4" t="n">
        <f aca="false">Assumptions!J42</f>
        <v>10.3</v>
      </c>
      <c r="K7" s="4" t="n">
        <f aca="false">Assumptions!K42</f>
        <v>10.3</v>
      </c>
      <c r="L7" s="4" t="n">
        <f aca="false">Assumptions!L42</f>
        <v>10.3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77262.15728</v>
      </c>
      <c r="D8" s="0" t="n">
        <f aca="false">D6*D7/100</f>
        <v>83197.2957256</v>
      </c>
      <c r="E8" s="0" t="n">
        <f aca="false">E6*E7/100</f>
        <v>89853.079383648</v>
      </c>
      <c r="F8" s="0" t="n">
        <f aca="false">F6*F7/100</f>
        <v>95904.1226983905</v>
      </c>
      <c r="G8" s="0" t="n">
        <f aca="false">G6*G7/100</f>
        <v>101266.035012891</v>
      </c>
      <c r="H8" s="0" t="n">
        <f aca="false">H6*H7/100</f>
        <v>105336.729093608</v>
      </c>
      <c r="I8" s="0" t="n">
        <f aca="false">I6*I7/100</f>
        <v>109560.525387655</v>
      </c>
      <c r="J8" s="0" t="n">
        <f aca="false">J6*J7/100</f>
        <v>112299.538522347</v>
      </c>
      <c r="K8" s="0" t="n">
        <f aca="false">K6*K7/100</f>
        <v>115107.026985405</v>
      </c>
      <c r="L8" s="0" t="n">
        <f aca="false">L6*L7/100</f>
        <v>117984.70266004</v>
      </c>
    </row>
    <row r="9" customFormat="false" ht="15" hidden="false" customHeight="false" outlineLevel="0" collapsed="false">
      <c r="A9" s="0" t="s">
        <v>113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129</v>
      </c>
      <c r="C11" s="0" t="n">
        <f aca="false">C8+C10+C24</f>
        <v>77262.15728</v>
      </c>
      <c r="D11" s="0" t="n">
        <f aca="false">D8+D10+D24</f>
        <v>83197.2957256</v>
      </c>
      <c r="E11" s="0" t="n">
        <f aca="false">E8+E10+E24</f>
        <v>89853.079383648</v>
      </c>
      <c r="F11" s="0" t="n">
        <f aca="false">F8+F10+F24</f>
        <v>95904.1226983905</v>
      </c>
      <c r="G11" s="0" t="n">
        <f aca="false">G8+G10+G24</f>
        <v>101266.035012891</v>
      </c>
      <c r="H11" s="0" t="n">
        <f aca="false">H8+H10+H24</f>
        <v>105336.729093608</v>
      </c>
      <c r="I11" s="0" t="n">
        <f aca="false">I8+I10+I24</f>
        <v>109560.525387655</v>
      </c>
      <c r="J11" s="0" t="n">
        <f aca="false">J8+J10+J24</f>
        <v>112299.538522347</v>
      </c>
      <c r="K11" s="0" t="n">
        <f aca="false">K8+K10+K24</f>
        <v>115107.026985405</v>
      </c>
      <c r="L11" s="0" t="n">
        <f aca="false">L8+L10+L24</f>
        <v>117984.70266004</v>
      </c>
    </row>
    <row r="12" customFormat="false" ht="15" hidden="false" customHeight="false" outlineLevel="0" collapsed="false">
      <c r="A12" s="0" t="s">
        <v>130</v>
      </c>
      <c r="C12" s="4" t="n">
        <f aca="false">-C6*Assumptions!C45/100</f>
        <v>-29412.29851</v>
      </c>
      <c r="D12" s="4" t="n">
        <f aca="false">-D6*Assumptions!D45/100</f>
        <v>-30746.8266812</v>
      </c>
      <c r="E12" s="4" t="n">
        <f aca="false">-E6*Assumptions!E45/100</f>
        <v>-31822.965615042</v>
      </c>
      <c r="F12" s="4" t="n">
        <f aca="false">-F6*Assumptions!F45/100</f>
        <v>-32936.7694115685</v>
      </c>
      <c r="G12" s="4" t="n">
        <f aca="false">-G6*Assumptions!G45/100</f>
        <v>-33588.2393359591</v>
      </c>
      <c r="H12" s="4" t="n">
        <f aca="false">-H6*Assumptions!H45/100</f>
        <v>-34079.5300008731</v>
      </c>
      <c r="I12" s="4" t="n">
        <f aca="false">-I6*Assumptions!I45/100</f>
        <v>-35101.9159008993</v>
      </c>
      <c r="J12" s="4" t="n">
        <f aca="false">-J6*Assumptions!J45/100</f>
        <v>-35979.4637984217</v>
      </c>
      <c r="K12" s="4" t="n">
        <f aca="false">-K6*Assumptions!K45/100</f>
        <v>-36878.9503933823</v>
      </c>
      <c r="L12" s="4" t="n">
        <f aca="false">-L6*Assumptions!L45/100</f>
        <v>-37800.9241532168</v>
      </c>
    </row>
    <row r="13" customFormat="false" ht="15" hidden="false" customHeight="false" outlineLevel="0" collapsed="false">
      <c r="A13" s="0" t="s">
        <v>131</v>
      </c>
      <c r="C13" s="0" t="n">
        <f aca="false">C11+C12</f>
        <v>47849.85877</v>
      </c>
      <c r="D13" s="0" t="n">
        <f aca="false">D11+D12</f>
        <v>52450.4690444</v>
      </c>
      <c r="E13" s="0" t="n">
        <f aca="false">E11+E12</f>
        <v>58030.113768606</v>
      </c>
      <c r="F13" s="0" t="n">
        <f aca="false">F11+F12</f>
        <v>62967.3532868221</v>
      </c>
      <c r="G13" s="0" t="n">
        <f aca="false">G11+G12</f>
        <v>67677.7956769324</v>
      </c>
      <c r="H13" s="0" t="n">
        <f aca="false">H11+H12</f>
        <v>71257.1990927346</v>
      </c>
      <c r="I13" s="0" t="n">
        <f aca="false">I11+I12</f>
        <v>74458.609486756</v>
      </c>
      <c r="J13" s="0" t="n">
        <f aca="false">J11+J12</f>
        <v>76320.0747239249</v>
      </c>
      <c r="K13" s="0" t="n">
        <f aca="false">K11+K12</f>
        <v>78228.076592023</v>
      </c>
      <c r="L13" s="0" t="n">
        <f aca="false">L11+L12</f>
        <v>80183.7785068236</v>
      </c>
    </row>
    <row r="14" customFormat="false" ht="15" hidden="false" customHeight="false" outlineLevel="0" collapsed="false">
      <c r="A14" s="0" t="s">
        <v>117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132</v>
      </c>
      <c r="C15" s="0" t="n">
        <f aca="false">C13-MAX(0,C13)*C14/100</f>
        <v>33016.4025513</v>
      </c>
      <c r="D15" s="0" t="n">
        <f aca="false">D13-MAX(0,D13)*D14/100</f>
        <v>36190.823640636</v>
      </c>
      <c r="E15" s="0" t="n">
        <f aca="false">E13-MAX(0,E13)*E14/100</f>
        <v>40040.7785003381</v>
      </c>
      <c r="F15" s="0" t="n">
        <f aca="false">F13-MAX(0,F13)*F14/100</f>
        <v>43447.4737679072</v>
      </c>
      <c r="G15" s="0" t="n">
        <f aca="false">G13-MAX(0,G13)*G14/100</f>
        <v>46697.6790170834</v>
      </c>
      <c r="H15" s="0" t="n">
        <f aca="false">H13-MAX(0,H13)*H14/100</f>
        <v>49167.4673739869</v>
      </c>
      <c r="I15" s="0" t="n">
        <f aca="false">I13-MAX(0,I13)*I14/100</f>
        <v>51376.4405458617</v>
      </c>
      <c r="J15" s="0" t="n">
        <f aca="false">J13-MAX(0,J13)*J14/100</f>
        <v>52660.8515595082</v>
      </c>
      <c r="K15" s="0" t="n">
        <f aca="false">K13-MAX(0,K13)*K14/100</f>
        <v>53977.3728484959</v>
      </c>
      <c r="L15" s="0" t="n">
        <f aca="false">L13-MAX(0,L13)*L14/100</f>
        <v>55326.8071697083</v>
      </c>
    </row>
    <row r="16" customFormat="false" ht="15" hidden="false" customHeight="false" outlineLevel="0" collapsed="false">
      <c r="A16" s="0" t="s">
        <v>133</v>
      </c>
      <c r="C16" s="0" t="n">
        <f aca="false">-C12</f>
        <v>29412.29851</v>
      </c>
      <c r="D16" s="0" t="n">
        <f aca="false">-D12</f>
        <v>30746.8266812</v>
      </c>
      <c r="E16" s="0" t="n">
        <f aca="false">-E12</f>
        <v>31822.965615042</v>
      </c>
      <c r="F16" s="0" t="n">
        <f aca="false">-F12</f>
        <v>32936.7694115685</v>
      </c>
      <c r="G16" s="0" t="n">
        <f aca="false">-G12</f>
        <v>33588.2393359591</v>
      </c>
      <c r="H16" s="0" t="n">
        <f aca="false">-H12</f>
        <v>34079.5300008731</v>
      </c>
      <c r="I16" s="0" t="n">
        <f aca="false">-I12</f>
        <v>35101.9159008993</v>
      </c>
      <c r="J16" s="0" t="n">
        <f aca="false">-J12</f>
        <v>35979.4637984217</v>
      </c>
      <c r="K16" s="0" t="n">
        <f aca="false">-K12</f>
        <v>36878.9503933823</v>
      </c>
      <c r="L16" s="0" t="n">
        <f aca="false">-L12</f>
        <v>37800.9241532168</v>
      </c>
    </row>
    <row r="17" customFormat="false" ht="15" hidden="false" customHeight="false" outlineLevel="0" collapsed="false">
      <c r="A17" s="0" t="s">
        <v>134</v>
      </c>
      <c r="C17" s="4" t="n">
        <f aca="false">-C6*Assumptions!C46/100</f>
        <v>-52678.7436</v>
      </c>
      <c r="D17" s="4" t="n">
        <f aca="false">-D6*Assumptions!D46/100</f>
        <v>-49737.513749</v>
      </c>
      <c r="E17" s="4" t="n">
        <f aca="false">-E6*Assumptions!E46/100</f>
        <v>-46798.47884565</v>
      </c>
      <c r="F17" s="4" t="n">
        <f aca="false">-F6*Assumptions!F46/100</f>
        <v>-44561.5115568279</v>
      </c>
      <c r="G17" s="4" t="n">
        <f aca="false">-G6*Assumptions!G46/100</f>
        <v>-44115.8964412597</v>
      </c>
      <c r="H17" s="4" t="n">
        <f aca="false">-H6*Assumptions!H46/100</f>
        <v>-45439.3733344974</v>
      </c>
      <c r="I17" s="4" t="n">
        <f aca="false">-I6*Assumptions!I46/100</f>
        <v>-45738.860113293</v>
      </c>
      <c r="J17" s="4" t="n">
        <f aca="false">-J6*Assumptions!J46/100</f>
        <v>-46882.3316161253</v>
      </c>
      <c r="K17" s="4" t="n">
        <f aca="false">-K6*Assumptions!K46/100</f>
        <v>-48054.3899065284</v>
      </c>
      <c r="L17" s="4" t="n">
        <f aca="false">-L6*Assumptions!L46/100</f>
        <v>-49255.7496541916</v>
      </c>
    </row>
    <row r="18" customFormat="false" ht="15" hidden="false" customHeight="false" outlineLevel="0" collapsed="false">
      <c r="A18" s="0" t="s">
        <v>135</v>
      </c>
      <c r="C18" s="4" t="n">
        <f aca="false">(C6-B6)*Assumptions!$B$51/100</f>
        <v>-2335.51079999999</v>
      </c>
      <c r="D18" s="4" t="n">
        <f aca="false">(D6-C6)*Assumptions!$B$51/100</f>
        <v>-4741.08692399999</v>
      </c>
      <c r="E18" s="4" t="n">
        <f aca="false">(E6-D6)*Assumptions!$B$51/100</f>
        <v>-5697.20612033999</v>
      </c>
      <c r="F18" s="4" t="n">
        <f aca="false">(F6-E6)*Assumptions!$B$51/100</f>
        <v>-5896.60833455189</v>
      </c>
      <c r="G18" s="4" t="n">
        <f aca="false">(G6-F6)*Assumptions!$B$51/100</f>
        <v>-6102.98962626121</v>
      </c>
      <c r="H18" s="4" t="n">
        <f aca="false">(H6-G6)*Assumptions!$B$51/100</f>
        <v>-5414.2236541546</v>
      </c>
      <c r="I18" s="4" t="n">
        <f aca="false">(I6-H6)*Assumptions!$B$51/100</f>
        <v>-5576.65036377923</v>
      </c>
      <c r="J18" s="4" t="n">
        <f aca="false">(J6-I6)*Assumptions!$B$51/100</f>
        <v>-4786.62489557714</v>
      </c>
      <c r="K18" s="4" t="n">
        <f aca="false">(K6-J6)*Assumptions!$B$51/100</f>
        <v>-4906.29051796659</v>
      </c>
      <c r="L18" s="4" t="n">
        <f aca="false">(L6-K6)*Assumptions!$B$51/100</f>
        <v>-5028.94778091576</v>
      </c>
    </row>
    <row r="19" customFormat="false" ht="15" hidden="false" customHeight="false" outlineLevel="0" collapsed="false">
      <c r="A19" s="0" t="s">
        <v>136</v>
      </c>
      <c r="C19" s="0" t="n">
        <f aca="false">C15+C16+C17+C18</f>
        <v>7414.44666130002</v>
      </c>
      <c r="D19" s="0" t="n">
        <f aca="false">D15+D16+D17+D18</f>
        <v>12459.049648836</v>
      </c>
      <c r="E19" s="0" t="n">
        <f aca="false">E15+E16+E17+E18</f>
        <v>19368.0591493902</v>
      </c>
      <c r="F19" s="0" t="n">
        <f aca="false">F15+F16+F17+F18</f>
        <v>25926.1232880959</v>
      </c>
      <c r="G19" s="0" t="n">
        <f aca="false">G15+G16+G17+G18</f>
        <v>30067.0322855215</v>
      </c>
      <c r="H19" s="0" t="n">
        <f aca="false">H15+H16+H17+H18</f>
        <v>32393.4003862079</v>
      </c>
      <c r="I19" s="0" t="n">
        <f aca="false">I15+I16+I17+I18</f>
        <v>35162.8459696887</v>
      </c>
      <c r="J19" s="0" t="n">
        <f aca="false">J15+J16+J17+J18</f>
        <v>36971.3588462275</v>
      </c>
      <c r="K19" s="0" t="n">
        <f aca="false">K15+K16+K17+K18</f>
        <v>37895.6428173831</v>
      </c>
      <c r="L19" s="0" t="n">
        <f aca="false">L15+L16+L17+L18</f>
        <v>38843.0338878177</v>
      </c>
    </row>
    <row r="20" customFormat="false" ht="15" hidden="false" customHeight="false" outlineLevel="0" collapsed="false">
      <c r="A20" s="0" t="s">
        <v>137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138</v>
      </c>
      <c r="C21" s="0" t="n">
        <f aca="false">C19*C20</f>
        <v>6994.76100122643</v>
      </c>
      <c r="D21" s="0" t="n">
        <f aca="false">D19*D20</f>
        <v>11088.5098334247</v>
      </c>
      <c r="E21" s="0" t="n">
        <f aca="false">E19*E20</f>
        <v>16261.7959367382</v>
      </c>
      <c r="F21" s="0" t="n">
        <f aca="false">F19*F20</f>
        <v>20535.9179688284</v>
      </c>
      <c r="G21" s="0" t="n">
        <f aca="false">G19*G20</f>
        <v>22467.8356091836</v>
      </c>
      <c r="H21" s="0" t="n">
        <f aca="false">H19*H20</f>
        <v>22836.0690429399</v>
      </c>
      <c r="I21" s="0" t="n">
        <f aca="false">I19*I20</f>
        <v>23385.300847348</v>
      </c>
      <c r="J21" s="0" t="n">
        <f aca="false">J19*J20</f>
        <v>23196.2879254412</v>
      </c>
      <c r="K21" s="0" t="n">
        <f aca="false">K19*K20</f>
        <v>22430.3727580917</v>
      </c>
      <c r="L21" s="0" t="n">
        <f aca="false">L19*L20</f>
        <v>21689.7472424943</v>
      </c>
    </row>
    <row r="23" customFormat="false" ht="15" hidden="false" customHeight="false" outlineLevel="0" collapsed="false">
      <c r="A23" s="0" t="s">
        <v>114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140</v>
      </c>
    </row>
    <row r="27" customFormat="false" ht="15" hidden="false" customHeight="false" outlineLevel="0" collapsed="false">
      <c r="A27" s="0" t="s">
        <v>118</v>
      </c>
      <c r="B27" s="4" t="n">
        <f aca="false">Assumptions!$B$48</f>
        <v>6</v>
      </c>
    </row>
    <row r="28" customFormat="false" ht="15" hidden="false" customHeight="false" outlineLevel="0" collapsed="false">
      <c r="A28" s="0" t="s">
        <v>119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120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141</v>
      </c>
      <c r="B30" s="0" t="n">
        <f aca="false">SUM(C21:L21)</f>
        <v>190886.598165716</v>
      </c>
    </row>
    <row r="31" customFormat="false" ht="15" hidden="false" customHeight="false" outlineLevel="0" collapsed="false">
      <c r="A31" s="0" t="s">
        <v>142</v>
      </c>
      <c r="B31" s="0" t="n">
        <f aca="false">L19</f>
        <v>38843.0338878177</v>
      </c>
    </row>
    <row r="32" customFormat="false" ht="15" hidden="false" customHeight="false" outlineLevel="0" collapsed="false">
      <c r="A32" s="0" t="s">
        <v>143</v>
      </c>
      <c r="B32" s="0" t="n">
        <f aca="false">IF(B27&gt;B28,B31*(1+B28/100)/((B27-B28)/100),B31*B29)</f>
        <v>876126.208803</v>
      </c>
    </row>
    <row r="33" customFormat="false" ht="15" hidden="false" customHeight="false" outlineLevel="0" collapsed="false">
      <c r="A33" s="0" t="s">
        <v>144</v>
      </c>
      <c r="B33" s="0" t="n">
        <f aca="false">B31*B29</f>
        <v>699174.609980719</v>
      </c>
    </row>
    <row r="34" customFormat="false" ht="15" hidden="false" customHeight="false" outlineLevel="0" collapsed="false">
      <c r="A34" s="0" t="s">
        <v>145</v>
      </c>
      <c r="B34" s="0" t="n">
        <f aca="false">MAX(0,MIN(B32,B33))</f>
        <v>699174.609980719</v>
      </c>
    </row>
    <row r="35" customFormat="false" ht="15" hidden="false" customHeight="false" outlineLevel="0" collapsed="false">
      <c r="A35" s="0" t="s">
        <v>146</v>
      </c>
      <c r="B35" s="0" t="n">
        <f aca="false">B34/(1+B27/100)^L4</f>
        <v>390415.450364898</v>
      </c>
    </row>
    <row r="36" customFormat="false" ht="15" hidden="false" customHeight="false" outlineLevel="0" collapsed="false">
      <c r="A36" s="0" t="s">
        <v>147</v>
      </c>
      <c r="B36" s="0" t="n">
        <f aca="false">B30+B35</f>
        <v>581302.048530615</v>
      </c>
    </row>
    <row r="37" customFormat="false" ht="15" hidden="false" customHeight="false" outlineLevel="0" collapsed="false">
      <c r="A37" s="0" t="s">
        <v>148</v>
      </c>
      <c r="B37" s="0" t="n">
        <f aca="false">B36+Assumptions!$B$5-Assumptions!$B$4</f>
        <v>679107.048530615</v>
      </c>
    </row>
    <row r="38" customFormat="false" ht="15" hidden="false" customHeight="false" outlineLevel="0" collapsed="false">
      <c r="A38" s="0" t="s">
        <v>149</v>
      </c>
      <c r="B38" s="0" t="n">
        <f aca="false">B37/Assumptions!$B$3*Assumptions!$B$10</f>
        <v>2428.73049464839</v>
      </c>
    </row>
    <row r="39" customFormat="false" ht="15" hidden="false" customHeight="false" outlineLevel="0" collapsed="false">
      <c r="A39" s="0" t="s">
        <v>150</v>
      </c>
      <c r="B39" s="4" t="n">
        <f aca="false">B38/Assumptions!$B$2-1</f>
        <v>0.153517214271379</v>
      </c>
    </row>
    <row r="41" customFormat="false" ht="15" hidden="false" customHeight="false" outlineLevel="0" collapsed="false">
      <c r="A41" s="0" t="s">
        <v>151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153</v>
      </c>
      <c r="B43" s="0" t="n">
        <f aca="false">(B37+B41+B42)/Assumptions!$B$3*Assumptions!$B$10</f>
        <v>2428.73049464839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154</v>
      </c>
      <c r="B46" s="0" t="n">
        <f aca="false">MAX(0,MIN(IF(B45&gt;B28,B31*(1+B28/100)/((B45-B28)/100),B31*B29),B31*B29))</f>
        <v>292042.069601</v>
      </c>
    </row>
    <row r="47" customFormat="false" ht="15" hidden="false" customHeight="false" outlineLevel="0" collapsed="false">
      <c r="A47" s="0" t="s">
        <v>155</v>
      </c>
      <c r="B47" s="0" t="n">
        <f aca="false">(SUMPRODUCT(C19:L19/(1+B45/100)^C4:L4)+B46/(1+B45/100)^L4+Assumptions!$B$5-Assumptions!$B$4)/Assumptions!$B$3*Assumptions!$B$10</f>
        <v>1030.17584102773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158</v>
      </c>
    </row>
    <row r="3" customFormat="false" ht="15" hidden="false" customHeight="false" outlineLevel="0" collapsed="false">
      <c r="A3" s="2" t="s">
        <v>159</v>
      </c>
      <c r="B3" s="2" t="s">
        <v>160</v>
      </c>
      <c r="C3" s="2" t="s">
        <v>150</v>
      </c>
      <c r="D3" s="2" t="s">
        <v>161</v>
      </c>
      <c r="E3" s="2" t="s">
        <v>153</v>
      </c>
      <c r="F3" s="2" t="s">
        <v>162</v>
      </c>
    </row>
    <row r="4" customFormat="false" ht="15" hidden="false" customHeight="false" outlineLevel="0" collapsed="false">
      <c r="A4" s="0" t="s">
        <v>163</v>
      </c>
      <c r="B4" s="4" t="n">
        <f aca="false">DCF_Bear!$B$38</f>
        <v>1173.81022804241</v>
      </c>
      <c r="C4" s="0" t="n">
        <f aca="false">B4/Assumptions!$B$2-1</f>
        <v>-0.442502860108095</v>
      </c>
      <c r="D4" s="4" t="n">
        <f aca="false">Assumptions!$B$24</f>
        <v>0.25</v>
      </c>
      <c r="E4" s="4" t="n">
        <f aca="false">DCF_Bear!$B$43</f>
        <v>1173.81022804241</v>
      </c>
      <c r="F4" s="4" t="n">
        <f aca="false">DCF_Bear!$B$47</f>
        <v>681.216266541766</v>
      </c>
    </row>
    <row r="5" customFormat="false" ht="15" hidden="false" customHeight="false" outlineLevel="0" collapsed="false">
      <c r="A5" s="0" t="s">
        <v>164</v>
      </c>
      <c r="B5" s="4" t="n">
        <f aca="false">DCF_Base!$B$38</f>
        <v>1823.71612452868</v>
      </c>
      <c r="C5" s="0" t="n">
        <f aca="false">B5/Assumptions!$B$2-1</f>
        <v>-0.133832284716847</v>
      </c>
      <c r="D5" s="4" t="n">
        <f aca="false">Assumptions!$B$38</f>
        <v>0.5</v>
      </c>
      <c r="E5" s="4" t="n">
        <f aca="false">DCF_Base!$B$43</f>
        <v>1823.71612452868</v>
      </c>
      <c r="F5" s="4" t="n">
        <f aca="false">DCF_Base!$B$47</f>
        <v>881.537400937223</v>
      </c>
    </row>
    <row r="6" customFormat="false" ht="15" hidden="false" customHeight="false" outlineLevel="0" collapsed="false">
      <c r="A6" s="0" t="s">
        <v>165</v>
      </c>
      <c r="B6" s="4" t="n">
        <f aca="false">DCF_Bull!$B$38</f>
        <v>2428.73049464839</v>
      </c>
      <c r="C6" s="0" t="n">
        <f aca="false">B6/Assumptions!$B$2-1</f>
        <v>0.153517214271379</v>
      </c>
      <c r="D6" s="4" t="n">
        <f aca="false">Assumptions!$B$52</f>
        <v>0.25</v>
      </c>
      <c r="E6" s="4" t="n">
        <f aca="false">DCF_Bull!$B$43</f>
        <v>2428.73049464839</v>
      </c>
      <c r="F6" s="4" t="n">
        <f aca="false">DCF_Bull!$B$47</f>
        <v>1030.17584102773</v>
      </c>
    </row>
    <row r="8" customFormat="false" ht="15" hidden="false" customHeight="false" outlineLevel="0" collapsed="false">
      <c r="A8" s="0" t="s">
        <v>166</v>
      </c>
      <c r="B8" s="0" t="n">
        <f aca="false">SUMPRODUCT(B4:B6,D4:D6)</f>
        <v>1812.49324293704</v>
      </c>
    </row>
    <row r="9" customFormat="false" ht="15" hidden="false" customHeight="false" outlineLevel="0" collapsed="false">
      <c r="A9" s="0" t="s">
        <v>167</v>
      </c>
      <c r="B9" s="0" t="n">
        <f aca="false">SUMPRODUCT(E4:E6,D4:D6)</f>
        <v>1812.49324293704</v>
      </c>
    </row>
    <row r="10" customFormat="false" ht="15" hidden="false" customHeight="false" outlineLevel="0" collapsed="false">
      <c r="A10" s="0" t="s">
        <v>168</v>
      </c>
      <c r="B10" s="0" t="n">
        <f aca="false">1-Assumptions!$B$2/B8</f>
        <v>-0.161659503120774</v>
      </c>
    </row>
    <row r="11" customFormat="false" ht="15" hidden="false" customHeight="false" outlineLevel="0" collapsed="false">
      <c r="A11" s="0" t="s">
        <v>169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170</v>
      </c>
      <c r="B12" s="0" t="n">
        <f aca="false">SUMPRODUCT(F4:F6,D4:D6)</f>
        <v>868.616727360984</v>
      </c>
    </row>
    <row r="14" customFormat="false" ht="15" hidden="false" customHeight="false" outlineLevel="0" collapsed="false">
      <c r="A14" s="2" t="s">
        <v>171</v>
      </c>
      <c r="C14" s="0" t="s">
        <v>172</v>
      </c>
    </row>
    <row r="15" customFormat="false" ht="15" hidden="false" customHeight="false" outlineLevel="0" collapsed="false">
      <c r="A15" s="0" t="s">
        <v>173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1823.71612452868</v>
      </c>
      <c r="C15" s="3" t="n">
        <v>6</v>
      </c>
    </row>
    <row r="16" customFormat="false" ht="15" hidden="false" customHeight="false" outlineLevel="0" collapsed="false">
      <c r="A16" s="0" t="s">
        <v>174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1368.71078141049</v>
      </c>
      <c r="C16" s="3" t="n">
        <v>9</v>
      </c>
    </row>
    <row r="17" customFormat="false" ht="15" hidden="false" customHeight="false" outlineLevel="0" collapsed="false">
      <c r="A17" s="0" t="s">
        <v>175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1240.94480383053</v>
      </c>
      <c r="C17" s="3" t="n">
        <v>10</v>
      </c>
    </row>
    <row r="18" customFormat="false" ht="15" hidden="false" customHeight="false" outlineLevel="0" collapsed="false">
      <c r="A18" s="0" t="s">
        <v>176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1139.3011743376</v>
      </c>
      <c r="C18" s="3" t="n">
        <v>11</v>
      </c>
    </row>
    <row r="19" customFormat="false" ht="15" hidden="false" customHeight="false" outlineLevel="0" collapsed="false">
      <c r="A19" s="0" t="s">
        <v>177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1056.62469949795</v>
      </c>
      <c r="C19" s="3" t="n">
        <v>12</v>
      </c>
    </row>
    <row r="20" customFormat="false" ht="15" hidden="false" customHeight="false" outlineLevel="0" collapsed="false">
      <c r="A20" s="0" t="s">
        <v>178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881.537400937223</v>
      </c>
      <c r="C20" s="3" t="n">
        <v>15</v>
      </c>
    </row>
    <row r="22" customFormat="false" ht="15" hidden="false" customHeight="false" outlineLevel="0" collapsed="false">
      <c r="A22" s="2" t="s">
        <v>179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4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2084.10747392649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2084.10747392649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2084.10747392649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2084.10747392649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2084.10747392649</v>
      </c>
    </row>
    <row r="25" customFormat="false" ht="15" hidden="false" customHeight="false" outlineLevel="0" collapsed="false">
      <c r="A25" s="3" t="n">
        <v>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1947.54632234062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1947.54632234062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1947.54632234062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1947.54632234062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1947.54632234062</v>
      </c>
    </row>
    <row r="26" customFormat="false" ht="15" hidden="false" customHeight="false" outlineLevel="0" collapsed="false">
      <c r="A26" s="3" t="n">
        <v>6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1823.71612452868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1823.71612452868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1823.71612452868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1823.71612452868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1823.71612452868</v>
      </c>
    </row>
    <row r="27" customFormat="false" ht="15" hidden="false" customHeight="false" outlineLevel="0" collapsed="false">
      <c r="A27" s="3" t="n">
        <v>7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1621.17829763472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1682.99043672408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1711.29693032575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1711.29693032575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1711.29693032575</v>
      </c>
    </row>
    <row r="28" customFormat="false" ht="15" hidden="false" customHeight="false" outlineLevel="0" collapsed="false">
      <c r="A28" s="3" t="n">
        <v>8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1441.46917634569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1484.57878885681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1533.84691744094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1590.69475811495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1609.11766944448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2026-10-26T04:22:08Z</dcterms:created>
  <dc:creator>openpyxl</dc:creator>
  <dc:description/>
  <dc:language>en-NZ</dc:language>
  <cp:lastModifiedBy/>
  <dcterms:modified xsi:type="dcterms:W3CDTF">2026-10-26T04:22:08Z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