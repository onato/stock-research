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<sst xmlns="http://schemas.openxmlformats.org/spreadsheetml/2006/main" count="363" uniqueCount="166">
  <si>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</si>
  <si>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0002.HK</t>
  </si>
  <si>
    <t xml:space="preserve">Company</t>
  </si>
  <si>
    <t xml:space="preserve">CLP Holdings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</si>
  <si>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</si>
  <si>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</si>
  <si>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</si>
  <si>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</si>
  <si>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2026-09-25T08:08:12Z regular HKEX close (Yahoo Finance chart API); 52-week range 64.30-79.80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</si>
  <si>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</si>
  <si>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</si>
  <si>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</si>
  <si>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</si>
  <si>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</si>
  <si>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</si>
  <si>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</si>
  <si>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</si>
  <si>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</si>
  <si>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</si>
  <si>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</si>
  <si>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</si>
  <si>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2026-09-25T16:37:07Z</t>
  </si>
  <si>
    <t xml:space="preserve">Drivers file</t>
  </si>
  <si>
    <t xml:space="preserve">0002.HK_Drivers.json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</si>
  <si>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</si>
  <si>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</si>
  <si>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</si>
  <si>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CLP Holdings is valued as a regulated-return utility holdco via the owner-FCF component DCF (not AFFO/REIT or bank residual-income, since net income here is a real, not fair-value-noise-dominated, earnings figure and the company generates genuine free cash flow). The regulated character (HK Scheme of Control, ~89% of FY2025 operating earnings, guaranteed 8% return on a RAB that grows through the disclosed 2024-2028 Development Plan) is captured through capped, RAB-linked growth rather than open-ended extrapolation, stable margins with no assumed re-rating, and an explicit near-term capex supercycle (capex running 1.5-1.6x D&amp;A on revenue) that tapers toward a maintenance-plus-growth level once the current plan cycle completes -- the same treatment applied to AIA.NZ's comparable capex-supercycle infrastructure profile. A ~24% combined tax-plus-NCI leakage rate (statutory ~16.5% HK tax blended with a calibrated ~9% NCI share of consolidated profit) is charged once at the EBIT-to-NOPAT step, since NCI has no separate deduction elsewhere in the model. SBC is genuinely zero across the entire eleven-year filing history -- house and street bases coincide by construction. WACC (7.0% base) reflects the HKD/USD currency peg (HKD risk-free tracks USD closely) and CLP's single-A credit ratings, set below a typical cyclical-industrial rate to reflect the SoC's low-beta earnings floor, but above a pure REIT/AFFO rate given the real commodity, FX and competitive risk carried by the ~11% (earnings-mix view) merchant/JV segments.
key_risks_to_valuation: Scheme of Control renewal/renegotiation risk beyond December 2033, or an interim tightening of the permitted-return framework or capex-approval process under tariff-affordability pressure; EnergyAustralia retail margin structurally impaired by 2026 AEMC reforms (price caps, disclosure mandates) and a proposed federal free-midday-electricity policy, on top of already-intense competition and customer churn; Chinese Mainland shift to market-based renewable pricing (all new projects since June 2025) combined with rising curtailment (15% in H1 2026 vs 9% a year earlier) making Mainland growth capital less productive than modelled; Currency translation risk across AUD, RMB and INR flattering or depressing reported HKD results independent of underlying operating performance; Rising net debt (HK$57.9bn to HK$62.2bn in H1 2026 alone) funding a large multi-market capex programme, at a time of coal-transition costs (Yallourn 2028 closure) and safety/reputational incidents; India/Apraava Energy 50:50 JV governance with CDPQ limiting CLP's unilateral control over capital allocation and the pace of the now-fully-non-carbon portfolio's growth</t>
  </si>
  <si>
    <t xml:space="preserve">Data sources</t>
  </si>
  <si>
    <t xml:space="preserve">price: Yahoo Finance chart API at inputs.price_as_of; 52-week range 64.30-79.80
financials: research/0002.HK/Reports/0002.HK_Metrics.csv (FY2015-FY2025 annual, H1 FY2023-FY2026 interim) derived from core_metrics; KPI detail (interest income/expense, income tax paid, D&amp;A, dividends, NCI, weighted average shares) from research/0002.HK/Reports/0002.HK.duckdb kpis table and the underlying annual report extracts (research/0002.HK/Extracted/0002.HK_Annual_FY2023.txt through FY2025.txt, and 0002.HK_HalfYear_H1-2026.txt), file:line citations as surfaced by make dcf-context
qualitative: research/0002.HK/Reports/0002.HK_Analysis.json (2026-09-26)</t>
  </si>
  <si>
    <t xml:space="preserve">Scenario narrative: bear</t>
  </si>
  <si>
    <t xml:space="preserve">A future SoC review compresses the permitted return or tightens capex pass-through, EnergyAustralia's margin pressure persists through 2026 reforms, Mainland curtailment keeps rising, Yallourn costs overrun, and rising net debt tightens credit headroom.</t>
  </si>
  <si>
    <t xml:space="preserve">Scenario narrative: base</t>
  </si>
  <si>
    <t xml:space="preserve">Hong Kong SoC delivers its guaranteed 8% return on a steadily growing RAB through the 2024-2028 Development Plan and beyond; EnergyAustralia stabilises post-FY2025 trough; Mainland growth continues at a disciplined pace; capex tapers as the current plan cycle completes.</t>
  </si>
  <si>
    <t xml:space="preserve">Scenario narrative: bull</t>
  </si>
  <si>
    <t xml:space="preserve">SoC renewal stays favourable past 2033, HK demand (data centres, Northern Metropolis) exceeds guidance, EnergyAustralia's flexible-capacity bets pay off as volatility rises, and Apraava/Mainland JV equity income scales faster on selective high-return investment.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</si>
  <si>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</si>
  <si>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</si>
  <si>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</si>
  <si>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</si>
  <si>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</si>
  <si>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</si>
  <si>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</si>
  <si>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</si>
  <si>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</si>
  <si>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</si>
  <si>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</si>
  <si>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</si>
  <si>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</si>
  <si>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</si>
  <si>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</si>
  <si>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</si>
  <si>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</si>
  <si>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</si>
  <si>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</si>
  <si>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</si>
  <si>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</si>
  <si>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</si>
  <si>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</si>
  <si>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</si>
  <si>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</si>
  <si>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</si>
  <si>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</si>
  <si>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</si>
  <si>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</si>
  <si>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</si>
  <si>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</si>
  <si>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</si>
  <si>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</si>
  <si>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</si>
  <si>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</si>
  <si>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</si>
  <si>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</si>
  <si>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</si>
  <si>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</si>
  <si>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</si>
  <si>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</si>
  <si>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</si>
  <si>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</si>
  <si>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</si>
  <si>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</si>
  <si>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</si>
  <si>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</si>
  <si>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</si>
  <si>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</si>
  <si>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</si>
  <si>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</si>
  <si>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</si>
  <si>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</si>
  <si>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</si>
  <si>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</si>
  <si>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</si>
  <si>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</si>
  <si>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</si>
  <si>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</si>
  <si>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</si>
  <si>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</si>
  <si>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</si>
  <si>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</si>
  <si>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</si>
  <si>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</si>
  <si>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</si>
  <si>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</si>
  <si>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</si>
  <si>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</si>
  <si>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</si>
  <si>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</si>
  <si>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</si>
  <si>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</si>
  <si>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</si>
  <si>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</si>
  <si>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0002.HK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</si>
  <si>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</si>
  <si>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</si>
  <si>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</si>
  <si>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</si>
  <si>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</si>
  <si>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</si>
  <si>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</si>
  <si>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</si>
  <si>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</si>
  <si>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</si>
  <si>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</si>
  <si>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</si>
  <si>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</si>
  <si>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</si>
  <si>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</si>
  <si>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</si>
  <si>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</si>
  <si>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</si>
  <si>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</si>
  <si>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</si>
  <si>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</si>
  <si>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</si>
  <si>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</si>
  <si>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</si>
  <si>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</si>
  <si>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</si>
  <si>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</si>
  <si>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</si>
  <si>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</si>
  <si>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</si>
  <si>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0002.HK owner-FCF component DCF: base case (millions, HKD)</t>
  </si>
  <si>
    <t xml:space="preserve">0002.HK owner-FCF component DCF: bull case (millions, HKD)</t>
  </si>
  <si>
    <t xml:space="preserve">0002.HK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</si>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</sst>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76.3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80700</v>
      </c>
      <c r="F2" s="0" t="n">
        <v>22020</v>
      </c>
      <c r="G2" s="0" t="n">
        <v>27.3</v>
      </c>
      <c r="H2" s="0" t="n">
        <v>28785</v>
      </c>
      <c r="I2" s="0" t="n">
        <v>15670</v>
      </c>
      <c r="J2" s="0" t="n">
        <v>19.4</v>
      </c>
      <c r="K2" s="0" t="n">
        <v>6.2</v>
      </c>
      <c r="L2" s="0" t="n">
        <v>19168</v>
      </c>
      <c r="M2" s="0" t="n">
        <v>10871</v>
      </c>
      <c r="N2" s="0" t="n">
        <v>8297</v>
      </c>
      <c r="O2" s="0" t="n">
        <v>93118</v>
      </c>
      <c r="P2" s="0" t="n">
        <v>203964</v>
      </c>
      <c r="Q2" s="0" t="n">
        <v>103032</v>
      </c>
      <c r="R2" s="0" t="n">
        <v>55483</v>
      </c>
      <c r="S2" s="0" t="n">
        <v>3565</v>
      </c>
      <c r="T2" s="0" t="n">
        <v>2526.45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79434</v>
      </c>
      <c r="F3" s="0" t="n">
        <v>17146</v>
      </c>
      <c r="G3" s="0" t="n">
        <v>21.6</v>
      </c>
      <c r="H3" s="0" t="n">
        <v>24055</v>
      </c>
      <c r="I3" s="0" t="n">
        <v>12711</v>
      </c>
      <c r="J3" s="0" t="n">
        <v>16</v>
      </c>
      <c r="K3" s="0" t="n">
        <v>5.03</v>
      </c>
      <c r="L3" s="0" t="n">
        <v>23676</v>
      </c>
      <c r="M3" s="0" t="n">
        <v>9756</v>
      </c>
      <c r="N3" s="0" t="n">
        <v>13920</v>
      </c>
      <c r="O3" s="0" t="n">
        <v>98010</v>
      </c>
      <c r="P3" s="0" t="n">
        <v>205978</v>
      </c>
      <c r="Q3" s="0" t="n">
        <v>100205</v>
      </c>
      <c r="R3" s="0" t="n">
        <v>51646</v>
      </c>
      <c r="S3" s="0" t="n">
        <v>4467</v>
      </c>
      <c r="T3" s="0" t="n">
        <v>2526.45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92073</v>
      </c>
      <c r="F4" s="0" t="n">
        <v>18698</v>
      </c>
      <c r="G4" s="0" t="n">
        <v>20.3</v>
      </c>
      <c r="H4" s="0" t="n">
        <v>26066</v>
      </c>
      <c r="I4" s="0" t="n">
        <v>14249</v>
      </c>
      <c r="J4" s="0" t="n">
        <v>15.5</v>
      </c>
      <c r="K4" s="0" t="n">
        <v>5.64</v>
      </c>
      <c r="L4" s="0" t="n">
        <v>24417</v>
      </c>
      <c r="M4" s="0" t="n">
        <v>9538</v>
      </c>
      <c r="N4" s="0" t="n">
        <v>14879</v>
      </c>
      <c r="O4" s="0" t="n">
        <v>108697</v>
      </c>
      <c r="P4" s="0" t="n">
        <v>228151</v>
      </c>
      <c r="Q4" s="0" t="n">
        <v>106644</v>
      </c>
      <c r="R4" s="0" t="n">
        <v>57341</v>
      </c>
      <c r="S4" s="0" t="n">
        <v>6529</v>
      </c>
      <c r="T4" s="0" t="n">
        <v>2526.45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91425</v>
      </c>
      <c r="F5" s="0" t="n">
        <v>18162</v>
      </c>
      <c r="G5" s="0" t="n">
        <v>19.9</v>
      </c>
      <c r="H5" s="0" t="n">
        <v>26167</v>
      </c>
      <c r="I5" s="0" t="n">
        <v>13550</v>
      </c>
      <c r="J5" s="0" t="n">
        <v>14.8</v>
      </c>
      <c r="K5" s="0" t="n">
        <v>5.36</v>
      </c>
      <c r="L5" s="0" t="n">
        <v>23951</v>
      </c>
      <c r="M5" s="0" t="n">
        <v>10327</v>
      </c>
      <c r="N5" s="0" t="n">
        <v>13624</v>
      </c>
      <c r="O5" s="0" t="n">
        <v>109053</v>
      </c>
      <c r="P5" s="0" t="n">
        <v>230514</v>
      </c>
      <c r="Q5" s="0" t="n">
        <v>105582</v>
      </c>
      <c r="R5" s="0" t="n">
        <v>55298</v>
      </c>
      <c r="S5" s="0" t="n">
        <v>7365</v>
      </c>
      <c r="T5" s="0" t="n">
        <v>2526.45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85689</v>
      </c>
      <c r="F6" s="0" t="n">
        <v>7649</v>
      </c>
      <c r="G6" s="0" t="n">
        <v>8.9</v>
      </c>
      <c r="H6" s="0" t="n">
        <v>15767</v>
      </c>
      <c r="I6" s="0" t="n">
        <v>4657</v>
      </c>
      <c r="J6" s="0" t="n">
        <v>5.4</v>
      </c>
      <c r="K6" s="0" t="n">
        <v>1.84</v>
      </c>
      <c r="L6" s="0" t="n">
        <v>21345</v>
      </c>
      <c r="M6" s="0" t="n">
        <v>10448</v>
      </c>
      <c r="N6" s="0" t="n">
        <v>10897</v>
      </c>
      <c r="O6" s="0" t="n">
        <v>105455</v>
      </c>
      <c r="P6" s="0" t="n">
        <v>221623</v>
      </c>
      <c r="Q6" s="0" t="n">
        <v>102294</v>
      </c>
      <c r="R6" s="0" t="n">
        <v>52349</v>
      </c>
      <c r="S6" s="0" t="n">
        <v>7881</v>
      </c>
      <c r="T6" s="0" t="n">
        <v>2526.45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79590</v>
      </c>
      <c r="F7" s="0" t="n">
        <v>14716</v>
      </c>
      <c r="G7" s="0" t="n">
        <v>18.5</v>
      </c>
      <c r="H7" s="0" t="n">
        <v>23192</v>
      </c>
      <c r="I7" s="0" t="n">
        <v>11456</v>
      </c>
      <c r="J7" s="0" t="n">
        <v>14.4</v>
      </c>
      <c r="K7" s="0" t="n">
        <v>4.53</v>
      </c>
      <c r="L7" s="0" t="n">
        <v>22374</v>
      </c>
      <c r="M7" s="0" t="n">
        <v>10586</v>
      </c>
      <c r="N7" s="0" t="n">
        <v>11788</v>
      </c>
      <c r="O7" s="0" t="n">
        <v>112200</v>
      </c>
      <c r="P7" s="0" t="n">
        <v>234233</v>
      </c>
      <c r="Q7" s="0" t="n">
        <v>108261</v>
      </c>
      <c r="R7" s="0" t="n">
        <v>54348</v>
      </c>
      <c r="S7" s="0" t="n">
        <v>10158</v>
      </c>
      <c r="T7" s="0" t="n">
        <v>2526.45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83959</v>
      </c>
      <c r="F8" s="0" t="n">
        <v>11101</v>
      </c>
      <c r="G8" s="0" t="n">
        <v>13.2</v>
      </c>
      <c r="H8" s="0" t="n">
        <v>20409</v>
      </c>
      <c r="I8" s="0" t="n">
        <v>8491</v>
      </c>
      <c r="J8" s="0" t="n">
        <v>10.1</v>
      </c>
      <c r="K8" s="0" t="n">
        <v>3.36</v>
      </c>
      <c r="L8" s="0" t="n">
        <v>18078</v>
      </c>
      <c r="M8" s="0" t="n">
        <v>12431</v>
      </c>
      <c r="N8" s="0" t="n">
        <v>5647</v>
      </c>
      <c r="O8" s="0" t="n">
        <v>113034</v>
      </c>
      <c r="P8" s="0" t="n">
        <v>239809</v>
      </c>
      <c r="Q8" s="0" t="n">
        <v>113100</v>
      </c>
      <c r="R8" s="0" t="n">
        <v>58215</v>
      </c>
      <c r="S8" s="0" t="n">
        <v>7900</v>
      </c>
      <c r="T8" s="0" t="n">
        <v>2526.45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100662</v>
      </c>
      <c r="F9" s="0" t="n">
        <v>972</v>
      </c>
      <c r="G9" s="0" t="n">
        <v>1</v>
      </c>
      <c r="H9" s="0" t="n">
        <v>9876</v>
      </c>
      <c r="I9" s="0" t="n">
        <v>924</v>
      </c>
      <c r="J9" s="0" t="n">
        <v>0.9</v>
      </c>
      <c r="K9" s="0" t="n">
        <v>0.37</v>
      </c>
      <c r="L9" s="0" t="n">
        <v>12734</v>
      </c>
      <c r="M9" s="0" t="n">
        <v>14553</v>
      </c>
      <c r="N9" s="0" t="n">
        <v>-1819</v>
      </c>
      <c r="O9" s="0" t="n">
        <v>105498</v>
      </c>
      <c r="P9" s="0" t="n">
        <v>236026</v>
      </c>
      <c r="Q9" s="0" t="n">
        <v>120332</v>
      </c>
      <c r="R9" s="0" t="n">
        <v>59217</v>
      </c>
      <c r="S9" s="0" t="n">
        <v>4251</v>
      </c>
      <c r="T9" s="0" t="n">
        <v>2526.45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87169</v>
      </c>
      <c r="F10" s="0" t="n">
        <v>9316</v>
      </c>
      <c r="G10" s="0" t="n">
        <v>10.7</v>
      </c>
      <c r="H10" s="0" t="n">
        <v>17910</v>
      </c>
      <c r="I10" s="0" t="n">
        <v>6655</v>
      </c>
      <c r="J10" s="0" t="n">
        <v>7.6</v>
      </c>
      <c r="K10" s="0" t="n">
        <v>2.63</v>
      </c>
      <c r="L10" s="0" t="n">
        <v>23567</v>
      </c>
      <c r="M10" s="0" t="n">
        <v>11776</v>
      </c>
      <c r="N10" s="0" t="n">
        <v>11791</v>
      </c>
      <c r="O10" s="0" t="n">
        <v>102331</v>
      </c>
      <c r="P10" s="0" t="n">
        <v>229051</v>
      </c>
      <c r="Q10" s="0" t="n">
        <v>116669</v>
      </c>
      <c r="R10" s="0" t="n">
        <v>57515</v>
      </c>
      <c r="S10" s="0" t="n">
        <v>5182</v>
      </c>
      <c r="T10" s="0" t="n">
        <v>2526.45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90964</v>
      </c>
      <c r="F11" s="0" t="n">
        <v>14903</v>
      </c>
      <c r="G11" s="0" t="n">
        <v>16.4</v>
      </c>
      <c r="H11" s="0" t="n">
        <v>24179</v>
      </c>
      <c r="I11" s="0" t="n">
        <v>11742</v>
      </c>
      <c r="J11" s="0" t="n">
        <v>12.9</v>
      </c>
      <c r="K11" s="0" t="n">
        <v>4.65</v>
      </c>
      <c r="L11" s="0" t="n">
        <v>23140</v>
      </c>
      <c r="M11" s="0" t="n">
        <v>15076</v>
      </c>
      <c r="N11" s="0" t="n">
        <v>8064</v>
      </c>
      <c r="O11" s="0" t="n">
        <v>104055</v>
      </c>
      <c r="P11" s="0" t="n">
        <v>233713</v>
      </c>
      <c r="Q11" s="0" t="n">
        <v>123595</v>
      </c>
      <c r="R11" s="0" t="n">
        <v>65154</v>
      </c>
      <c r="S11" s="0" t="n">
        <v>4976</v>
      </c>
      <c r="T11" s="0" t="n">
        <v>2526.45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88018</v>
      </c>
      <c r="F12" s="0" t="n">
        <v>14272</v>
      </c>
      <c r="G12" s="0" t="n">
        <v>16.2</v>
      </c>
      <c r="H12" s="0" t="n">
        <v>23990</v>
      </c>
      <c r="I12" s="0" t="n">
        <v>10468</v>
      </c>
      <c r="J12" s="0" t="n">
        <v>11.9</v>
      </c>
      <c r="K12" s="0" t="n">
        <v>4.14</v>
      </c>
      <c r="L12" s="0" t="n">
        <v>24378</v>
      </c>
      <c r="M12" s="0" t="n">
        <v>15539</v>
      </c>
      <c r="N12" s="0" t="n">
        <v>8839</v>
      </c>
      <c r="O12" s="0" t="n">
        <v>107610</v>
      </c>
      <c r="P12" s="0" t="n">
        <v>238644</v>
      </c>
      <c r="Q12" s="0" t="n">
        <v>121219</v>
      </c>
      <c r="R12" s="0" t="n">
        <v>61829</v>
      </c>
      <c r="S12" s="0" t="n">
        <v>3905</v>
      </c>
      <c r="T12" s="0" t="n">
        <v>2526.45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76.3</v>
      </c>
    </row>
    <row r="3" customFormat="false" ht="15" hidden="false" customHeight="false" outlineLevel="0" collapsed="false">
      <c r="A3" s="0" t="s">
        <v>77</v>
      </c>
      <c r="B3" s="3" t="n">
        <v>2526.451</v>
      </c>
    </row>
    <row r="4" customFormat="false" ht="15" hidden="false" customHeight="false" outlineLevel="0" collapsed="false">
      <c r="A4" s="0" t="s">
        <v>78</v>
      </c>
      <c r="B4" s="3" t="n">
        <v>57901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88018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1</v>
      </c>
      <c r="D13" s="3" t="n">
        <v>1</v>
      </c>
      <c r="E13" s="3" t="n">
        <v>1</v>
      </c>
      <c r="F13" s="3" t="n">
        <v>1.2</v>
      </c>
      <c r="G13" s="3" t="n">
        <v>1.3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25.5</v>
      </c>
      <c r="D14" s="3" t="n">
        <v>25</v>
      </c>
      <c r="E14" s="3" t="n">
        <v>24.8</v>
      </c>
      <c r="F14" s="3" t="n">
        <v>24.8</v>
      </c>
      <c r="G14" s="3" t="n">
        <v>24.9</v>
      </c>
      <c r="H14" s="3" t="n">
        <v>25</v>
      </c>
      <c r="I14" s="3" t="n">
        <v>25.1</v>
      </c>
      <c r="J14" s="3" t="n">
        <v>25.2</v>
      </c>
      <c r="K14" s="3" t="n">
        <v>25.3</v>
      </c>
      <c r="L14" s="3" t="n">
        <v>25.4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11.5</v>
      </c>
      <c r="D17" s="3" t="n">
        <v>11.8</v>
      </c>
      <c r="E17" s="3" t="n">
        <v>12</v>
      </c>
      <c r="F17" s="3" t="n">
        <v>12.1</v>
      </c>
      <c r="G17" s="3" t="n">
        <v>12.1</v>
      </c>
      <c r="H17" s="3" t="n">
        <v>12</v>
      </c>
      <c r="I17" s="3" t="n">
        <v>11.9</v>
      </c>
      <c r="J17" s="3" t="n">
        <v>11.8</v>
      </c>
      <c r="K17" s="3" t="n">
        <v>11.7</v>
      </c>
      <c r="L17" s="3" t="n">
        <v>11.6</v>
      </c>
    </row>
    <row r="18" customFormat="false" ht="15" hidden="false" customHeight="false" outlineLevel="0" collapsed="false">
      <c r="A18" s="0" t="s">
        <v>102</v>
      </c>
      <c r="C18" s="3" t="n">
        <v>18.5</v>
      </c>
      <c r="D18" s="3" t="n">
        <v>18</v>
      </c>
      <c r="E18" s="3" t="n">
        <v>17</v>
      </c>
      <c r="F18" s="3" t="n">
        <v>16</v>
      </c>
      <c r="G18" s="3" t="n">
        <v>15</v>
      </c>
      <c r="H18" s="3" t="n">
        <v>14.5</v>
      </c>
      <c r="I18" s="3" t="n">
        <v>14</v>
      </c>
      <c r="J18" s="3" t="n">
        <v>13.5</v>
      </c>
      <c r="K18" s="3" t="n">
        <v>13</v>
      </c>
      <c r="L18" s="3" t="n">
        <v>12.5</v>
      </c>
    </row>
    <row r="19" customFormat="false" ht="15" hidden="false" customHeight="false" outlineLevel="0" collapsed="false">
      <c r="A19" s="0" t="s">
        <v>103</v>
      </c>
      <c r="C19" s="3" t="n">
        <v>25.5</v>
      </c>
      <c r="D19" s="3" t="n">
        <v>25.5</v>
      </c>
      <c r="E19" s="3" t="n">
        <v>25.5</v>
      </c>
      <c r="F19" s="3" t="n">
        <v>25.5</v>
      </c>
      <c r="G19" s="3" t="n">
        <v>25.5</v>
      </c>
      <c r="H19" s="3" t="n">
        <v>25.5</v>
      </c>
      <c r="I19" s="3" t="n">
        <v>25.5</v>
      </c>
      <c r="J19" s="3" t="n">
        <v>25.5</v>
      </c>
      <c r="K19" s="3" t="n">
        <v>25.5</v>
      </c>
      <c r="L19" s="3" t="n">
        <v>25.5</v>
      </c>
    </row>
    <row r="20" customFormat="false" ht="15" hidden="false" customHeight="false" outlineLevel="0" collapsed="false">
      <c r="A20" s="0" t="s">
        <v>104</v>
      </c>
      <c r="B20" s="3" t="n">
        <v>8</v>
      </c>
    </row>
    <row r="21" customFormat="false" ht="15" hidden="false" customHeight="false" outlineLevel="0" collapsed="false">
      <c r="A21" s="0" t="s">
        <v>105</v>
      </c>
      <c r="B21" s="3" t="n">
        <v>1.3</v>
      </c>
    </row>
    <row r="22" customFormat="false" ht="15" hidden="false" customHeight="false" outlineLevel="0" collapsed="false">
      <c r="A22" s="0" t="s">
        <v>106</v>
      </c>
      <c r="B22" s="3" t="n">
        <v>11</v>
      </c>
    </row>
    <row r="23" customFormat="false" ht="15" hidden="false" customHeight="false" outlineLevel="0" collapsed="false">
      <c r="A23" s="0" t="s">
        <v>107</v>
      </c>
      <c r="B23" s="3" t="n">
        <v>-4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3.5</v>
      </c>
      <c r="D27" s="3" t="n">
        <v>3.5</v>
      </c>
      <c r="E27" s="3" t="n">
        <v>3.2</v>
      </c>
      <c r="F27" s="3" t="n">
        <v>3</v>
      </c>
      <c r="G27" s="3" t="n">
        <v>2.8</v>
      </c>
      <c r="H27" s="3" t="n">
        <v>2.5</v>
      </c>
      <c r="I27" s="3" t="n">
        <v>2.3</v>
      </c>
      <c r="J27" s="3" t="n">
        <v>2.2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27.3</v>
      </c>
      <c r="D28" s="3" t="n">
        <v>27.4</v>
      </c>
      <c r="E28" s="3" t="n">
        <v>27.5</v>
      </c>
      <c r="F28" s="3" t="n">
        <v>27.6</v>
      </c>
      <c r="G28" s="3" t="n">
        <v>27.6</v>
      </c>
      <c r="H28" s="3" t="n">
        <v>27.7</v>
      </c>
      <c r="I28" s="3" t="n">
        <v>27.7</v>
      </c>
      <c r="J28" s="3" t="n">
        <v>27.8</v>
      </c>
      <c r="K28" s="3" t="n">
        <v>27.8</v>
      </c>
      <c r="L28" s="3" t="n">
        <v>27.8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11.2</v>
      </c>
      <c r="D31" s="3" t="n">
        <v>11.4</v>
      </c>
      <c r="E31" s="3" t="n">
        <v>11.6</v>
      </c>
      <c r="F31" s="3" t="n">
        <v>11.7</v>
      </c>
      <c r="G31" s="3" t="n">
        <v>11.8</v>
      </c>
      <c r="H31" s="3" t="n">
        <v>11.8</v>
      </c>
      <c r="I31" s="3" t="n">
        <v>11.7</v>
      </c>
      <c r="J31" s="3" t="n">
        <v>11.6</v>
      </c>
      <c r="K31" s="3" t="n">
        <v>11.5</v>
      </c>
      <c r="L31" s="3" t="n">
        <v>11.4</v>
      </c>
    </row>
    <row r="32" customFormat="false" ht="15" hidden="false" customHeight="false" outlineLevel="0" collapsed="false">
      <c r="A32" s="0" t="s">
        <v>102</v>
      </c>
      <c r="C32" s="3" t="n">
        <v>17</v>
      </c>
      <c r="D32" s="3" t="n">
        <v>16</v>
      </c>
      <c r="E32" s="3" t="n">
        <v>15</v>
      </c>
      <c r="F32" s="3" t="n">
        <v>14</v>
      </c>
      <c r="G32" s="3" t="n">
        <v>13</v>
      </c>
      <c r="H32" s="3" t="n">
        <v>12.5</v>
      </c>
      <c r="I32" s="3" t="n">
        <v>12.2</v>
      </c>
      <c r="J32" s="3" t="n">
        <v>12</v>
      </c>
      <c r="K32" s="3" t="n">
        <v>11.8</v>
      </c>
      <c r="L32" s="3" t="n">
        <v>11.6</v>
      </c>
    </row>
    <row r="33" customFormat="false" ht="15" hidden="false" customHeight="false" outlineLevel="0" collapsed="false">
      <c r="A33" s="0" t="s">
        <v>103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104</v>
      </c>
      <c r="B34" s="3" t="n">
        <v>7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14</v>
      </c>
    </row>
    <row r="37" customFormat="false" ht="15" hidden="false" customHeight="false" outlineLevel="0" collapsed="false">
      <c r="A37" s="0" t="s">
        <v>107</v>
      </c>
      <c r="B37" s="3" t="n">
        <v>-3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5.5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3.2</v>
      </c>
      <c r="J41" s="3" t="n">
        <v>3</v>
      </c>
      <c r="K41" s="3" t="n">
        <v>2.8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27.8</v>
      </c>
      <c r="D42" s="3" t="n">
        <v>28.2</v>
      </c>
      <c r="E42" s="3" t="n">
        <v>28.6</v>
      </c>
      <c r="F42" s="3" t="n">
        <v>29</v>
      </c>
      <c r="G42" s="3" t="n">
        <v>29.2</v>
      </c>
      <c r="H42" s="3" t="n">
        <v>29.4</v>
      </c>
      <c r="I42" s="3" t="n">
        <v>29.5</v>
      </c>
      <c r="J42" s="3" t="n">
        <v>29.6</v>
      </c>
      <c r="K42" s="3" t="n">
        <v>29.6</v>
      </c>
      <c r="L42" s="3" t="n">
        <v>29.6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11</v>
      </c>
      <c r="D45" s="3" t="n">
        <v>11</v>
      </c>
      <c r="E45" s="3" t="n">
        <v>11.1</v>
      </c>
      <c r="F45" s="3" t="n">
        <v>11.2</v>
      </c>
      <c r="G45" s="3" t="n">
        <v>11.2</v>
      </c>
      <c r="H45" s="3" t="n">
        <v>11.1</v>
      </c>
      <c r="I45" s="3" t="n">
        <v>11</v>
      </c>
      <c r="J45" s="3" t="n">
        <v>10.9</v>
      </c>
      <c r="K45" s="3" t="n">
        <v>10.8</v>
      </c>
      <c r="L45" s="3" t="n">
        <v>10.7</v>
      </c>
    </row>
    <row r="46" customFormat="false" ht="15" hidden="false" customHeight="false" outlineLevel="0" collapsed="false">
      <c r="A46" s="0" t="s">
        <v>102</v>
      </c>
      <c r="C46" s="3" t="n">
        <v>16</v>
      </c>
      <c r="D46" s="3" t="n">
        <v>14.5</v>
      </c>
      <c r="E46" s="3" t="n">
        <v>13</v>
      </c>
      <c r="F46" s="3" t="n">
        <v>12</v>
      </c>
      <c r="G46" s="3" t="n">
        <v>11.5</v>
      </c>
      <c r="H46" s="3" t="n">
        <v>11.2</v>
      </c>
      <c r="I46" s="3" t="n">
        <v>11</v>
      </c>
      <c r="J46" s="3" t="n">
        <v>10.8</v>
      </c>
      <c r="K46" s="3" t="n">
        <v>10.6</v>
      </c>
      <c r="L46" s="3" t="n">
        <v>10.5</v>
      </c>
    </row>
    <row r="47" customFormat="false" ht="15" hidden="false" customHeight="false" outlineLevel="0" collapsed="false">
      <c r="A47" s="0" t="s">
        <v>103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104</v>
      </c>
      <c r="B48" s="3" t="n">
        <v>6.3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16</v>
      </c>
    </row>
    <row r="51" customFormat="false" ht="15" hidden="false" customHeight="false" outlineLevel="0" collapsed="false">
      <c r="A51" s="0" t="s">
        <v>107</v>
      </c>
      <c r="B51" s="3" t="n">
        <v>-2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1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1.2</v>
      </c>
      <c r="G5" s="4" t="n">
        <f aca="false">Assumptions!G13</f>
        <v>1.3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88018</v>
      </c>
      <c r="C6" s="0" t="n">
        <f aca="false">B6*(1+C5/100)</f>
        <v>88898.18</v>
      </c>
      <c r="D6" s="0" t="n">
        <f aca="false">C6*(1+D5/100)</f>
        <v>89787.1618</v>
      </c>
      <c r="E6" s="0" t="n">
        <f aca="false">D6*(1+E5/100)</f>
        <v>90685.033418</v>
      </c>
      <c r="F6" s="0" t="n">
        <f aca="false">E6*(1+F5/100)</f>
        <v>91773.253819016</v>
      </c>
      <c r="G6" s="0" t="n">
        <f aca="false">F6*(1+G5/100)</f>
        <v>92966.3061186632</v>
      </c>
      <c r="H6" s="0" t="n">
        <f aca="false">G6*(1+H5/100)</f>
        <v>94360.8007104432</v>
      </c>
      <c r="I6" s="0" t="n">
        <f aca="false">H6*(1+I5/100)</f>
        <v>95776.2127210998</v>
      </c>
      <c r="J6" s="0" t="n">
        <f aca="false">I6*(1+J5/100)</f>
        <v>97212.8559119163</v>
      </c>
      <c r="K6" s="0" t="n">
        <f aca="false">J6*(1+K5/100)</f>
        <v>98671.048750595</v>
      </c>
      <c r="L6" s="0" t="n">
        <f aca="false">K6*(1+L5/100)</f>
        <v>100151.114481854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25.5</v>
      </c>
      <c r="D7" s="4" t="n">
        <f aca="false">Assumptions!D14</f>
        <v>25</v>
      </c>
      <c r="E7" s="4" t="n">
        <f aca="false">Assumptions!E14</f>
        <v>24.8</v>
      </c>
      <c r="F7" s="4" t="n">
        <f aca="false">Assumptions!F14</f>
        <v>24.8</v>
      </c>
      <c r="G7" s="4" t="n">
        <f aca="false">Assumptions!G14</f>
        <v>24.9</v>
      </c>
      <c r="H7" s="4" t="n">
        <f aca="false">Assumptions!H14</f>
        <v>25</v>
      </c>
      <c r="I7" s="4" t="n">
        <f aca="false">Assumptions!I14</f>
        <v>25.1</v>
      </c>
      <c r="J7" s="4" t="n">
        <f aca="false">Assumptions!J14</f>
        <v>25.2</v>
      </c>
      <c r="K7" s="4" t="n">
        <f aca="false">Assumptions!K14</f>
        <v>25.3</v>
      </c>
      <c r="L7" s="4" t="n">
        <f aca="false">Assumptions!L14</f>
        <v>25.4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22669.0359</v>
      </c>
      <c r="D8" s="0" t="n">
        <f aca="false">D6*D7/100</f>
        <v>22446.79045</v>
      </c>
      <c r="E8" s="0" t="n">
        <f aca="false">E6*E7/100</f>
        <v>22489.888287664</v>
      </c>
      <c r="F8" s="0" t="n">
        <f aca="false">F6*F7/100</f>
        <v>22759.766947116</v>
      </c>
      <c r="G8" s="0" t="n">
        <f aca="false">G6*G7/100</f>
        <v>23148.6102235471</v>
      </c>
      <c r="H8" s="0" t="n">
        <f aca="false">H6*H7/100</f>
        <v>23590.2001776108</v>
      </c>
      <c r="I8" s="0" t="n">
        <f aca="false">I6*I7/100</f>
        <v>24039.8293929961</v>
      </c>
      <c r="J8" s="0" t="n">
        <f aca="false">J6*J7/100</f>
        <v>24497.6396898029</v>
      </c>
      <c r="K8" s="0" t="n">
        <f aca="false">K6*K7/100</f>
        <v>24963.7753339005</v>
      </c>
      <c r="L8" s="0" t="n">
        <f aca="false">L6*L7/100</f>
        <v>25438.3830783909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22669.0359</v>
      </c>
      <c r="D11" s="0" t="n">
        <f aca="false">D8+D10+D24</f>
        <v>22446.79045</v>
      </c>
      <c r="E11" s="0" t="n">
        <f aca="false">E8+E10+E24</f>
        <v>22489.888287664</v>
      </c>
      <c r="F11" s="0" t="n">
        <f aca="false">F8+F10+F24</f>
        <v>22759.766947116</v>
      </c>
      <c r="G11" s="0" t="n">
        <f aca="false">G8+G10+G24</f>
        <v>23148.6102235471</v>
      </c>
      <c r="H11" s="0" t="n">
        <f aca="false">H8+H10+H24</f>
        <v>23590.2001776108</v>
      </c>
      <c r="I11" s="0" t="n">
        <f aca="false">I8+I10+I24</f>
        <v>24039.8293929961</v>
      </c>
      <c r="J11" s="0" t="n">
        <f aca="false">J8+J10+J24</f>
        <v>24497.6396898029</v>
      </c>
      <c r="K11" s="0" t="n">
        <f aca="false">K8+K10+K24</f>
        <v>24963.7753339005</v>
      </c>
      <c r="L11" s="0" t="n">
        <f aca="false">L8+L10+L24</f>
        <v>25438.3830783909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-10223.2907</v>
      </c>
      <c r="D12" s="4" t="n">
        <f aca="false">-D6*Assumptions!D17/100</f>
        <v>-10594.8850924</v>
      </c>
      <c r="E12" s="4" t="n">
        <f aca="false">-E6*Assumptions!E17/100</f>
        <v>-10882.20401016</v>
      </c>
      <c r="F12" s="4" t="n">
        <f aca="false">-F6*Assumptions!F17/100</f>
        <v>-11104.5637121009</v>
      </c>
      <c r="G12" s="4" t="n">
        <f aca="false">-G6*Assumptions!G17/100</f>
        <v>-11248.9230403582</v>
      </c>
      <c r="H12" s="4" t="n">
        <f aca="false">-H6*Assumptions!H17/100</f>
        <v>-11323.2960852532</v>
      </c>
      <c r="I12" s="4" t="n">
        <f aca="false">-I6*Assumptions!I17/100</f>
        <v>-11397.3693138109</v>
      </c>
      <c r="J12" s="4" t="n">
        <f aca="false">-J6*Assumptions!J17/100</f>
        <v>-11471.1169976061</v>
      </c>
      <c r="K12" s="4" t="n">
        <f aca="false">-K6*Assumptions!K17/100</f>
        <v>-11544.5127038196</v>
      </c>
      <c r="L12" s="4" t="n">
        <f aca="false">-L6*Assumptions!L17/100</f>
        <v>-11617.5292798951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12445.7452</v>
      </c>
      <c r="D13" s="0" t="n">
        <f aca="false">D11+D12</f>
        <v>11851.9053576</v>
      </c>
      <c r="E13" s="0" t="n">
        <f aca="false">E11+E12</f>
        <v>11607.684277504</v>
      </c>
      <c r="F13" s="0" t="n">
        <f aca="false">F11+F12</f>
        <v>11655.203235015</v>
      </c>
      <c r="G13" s="0" t="n">
        <f aca="false">G11+G12</f>
        <v>11899.6871831889</v>
      </c>
      <c r="H13" s="0" t="n">
        <f aca="false">H11+H12</f>
        <v>12266.9040923576</v>
      </c>
      <c r="I13" s="0" t="n">
        <f aca="false">I11+I12</f>
        <v>12642.4600791852</v>
      </c>
      <c r="J13" s="0" t="n">
        <f aca="false">J11+J12</f>
        <v>13026.5226921968</v>
      </c>
      <c r="K13" s="0" t="n">
        <f aca="false">K11+K12</f>
        <v>13419.2626300809</v>
      </c>
      <c r="L13" s="0" t="n">
        <f aca="false">L11+L12</f>
        <v>13820.8537984958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25.5</v>
      </c>
      <c r="D14" s="4" t="n">
        <f aca="false">Assumptions!D19</f>
        <v>25.5</v>
      </c>
      <c r="E14" s="4" t="n">
        <f aca="false">Assumptions!E19</f>
        <v>25.5</v>
      </c>
      <c r="F14" s="4" t="n">
        <f aca="false">Assumptions!F19</f>
        <v>25.5</v>
      </c>
      <c r="G14" s="4" t="n">
        <f aca="false">Assumptions!G19</f>
        <v>25.5</v>
      </c>
      <c r="H14" s="4" t="n">
        <f aca="false">Assumptions!H19</f>
        <v>25.5</v>
      </c>
      <c r="I14" s="4" t="n">
        <f aca="false">Assumptions!I19</f>
        <v>25.5</v>
      </c>
      <c r="J14" s="4" t="n">
        <f aca="false">Assumptions!J19</f>
        <v>25.5</v>
      </c>
      <c r="K14" s="4" t="n">
        <f aca="false">Assumptions!K19</f>
        <v>25.5</v>
      </c>
      <c r="L14" s="4" t="n">
        <f aca="false">Assumptions!L19</f>
        <v>25.5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9272.080174</v>
      </c>
      <c r="D15" s="0" t="n">
        <f aca="false">D13-MAX(0,D13)*D14/100</f>
        <v>8829.669491412</v>
      </c>
      <c r="E15" s="0" t="n">
        <f aca="false">E13-MAX(0,E13)*E14/100</f>
        <v>8647.72478674048</v>
      </c>
      <c r="F15" s="0" t="n">
        <f aca="false">F13-MAX(0,F13)*F14/100</f>
        <v>8683.1264100862</v>
      </c>
      <c r="G15" s="0" t="n">
        <f aca="false">G13-MAX(0,G13)*G14/100</f>
        <v>8865.26695147572</v>
      </c>
      <c r="H15" s="0" t="n">
        <f aca="false">H13-MAX(0,H13)*H14/100</f>
        <v>9138.84354880642</v>
      </c>
      <c r="I15" s="0" t="n">
        <f aca="false">I13-MAX(0,I13)*I14/100</f>
        <v>9418.63275899295</v>
      </c>
      <c r="J15" s="0" t="n">
        <f aca="false">J13-MAX(0,J13)*J14/100</f>
        <v>9704.7594056866</v>
      </c>
      <c r="K15" s="0" t="n">
        <f aca="false">K13-MAX(0,K13)*K14/100</f>
        <v>9997.35065941029</v>
      </c>
      <c r="L15" s="0" t="n">
        <f aca="false">L13-MAX(0,L13)*L14/100</f>
        <v>10296.5360798794</v>
      </c>
    </row>
    <row r="16" customFormat="false" ht="15" hidden="false" customHeight="false" outlineLevel="0" collapsed="false">
      <c r="A16" s="0" t="s">
        <v>119</v>
      </c>
      <c r="C16" s="0" t="n">
        <f aca="false">-C12</f>
        <v>10223.2907</v>
      </c>
      <c r="D16" s="0" t="n">
        <f aca="false">-D12</f>
        <v>10594.8850924</v>
      </c>
      <c r="E16" s="0" t="n">
        <f aca="false">-E12</f>
        <v>10882.20401016</v>
      </c>
      <c r="F16" s="0" t="n">
        <f aca="false">-F12</f>
        <v>11104.5637121009</v>
      </c>
      <c r="G16" s="0" t="n">
        <f aca="false">-G12</f>
        <v>11248.9230403582</v>
      </c>
      <c r="H16" s="0" t="n">
        <f aca="false">-H12</f>
        <v>11323.2960852532</v>
      </c>
      <c r="I16" s="0" t="n">
        <f aca="false">-I12</f>
        <v>11397.3693138109</v>
      </c>
      <c r="J16" s="0" t="n">
        <f aca="false">-J12</f>
        <v>11471.1169976061</v>
      </c>
      <c r="K16" s="0" t="n">
        <f aca="false">-K12</f>
        <v>11544.5127038196</v>
      </c>
      <c r="L16" s="0" t="n">
        <f aca="false">-L12</f>
        <v>11617.5292798951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-16446.1633</v>
      </c>
      <c r="D17" s="4" t="n">
        <f aca="false">-D6*Assumptions!D18/100</f>
        <v>-16161.689124</v>
      </c>
      <c r="E17" s="4" t="n">
        <f aca="false">-E6*Assumptions!E18/100</f>
        <v>-15416.45568106</v>
      </c>
      <c r="F17" s="4" t="n">
        <f aca="false">-F6*Assumptions!F18/100</f>
        <v>-14683.7206110426</v>
      </c>
      <c r="G17" s="4" t="n">
        <f aca="false">-G6*Assumptions!G18/100</f>
        <v>-13944.9459177995</v>
      </c>
      <c r="H17" s="4" t="n">
        <f aca="false">-H6*Assumptions!H18/100</f>
        <v>-13682.3161030143</v>
      </c>
      <c r="I17" s="4" t="n">
        <f aca="false">-I6*Assumptions!I18/100</f>
        <v>-13408.669780954</v>
      </c>
      <c r="J17" s="4" t="n">
        <f aca="false">-J6*Assumptions!J18/100</f>
        <v>-13123.7355481087</v>
      </c>
      <c r="K17" s="4" t="n">
        <f aca="false">-K6*Assumptions!K18/100</f>
        <v>-12827.2363375774</v>
      </c>
      <c r="L17" s="4" t="n">
        <f aca="false">-L6*Assumptions!L18/100</f>
        <v>-12518.8893102317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-35.2072000000003</v>
      </c>
      <c r="D18" s="4" t="n">
        <f aca="false">(D6-C6)*Assumptions!$B$23/100</f>
        <v>-35.5592719999998</v>
      </c>
      <c r="E18" s="4" t="n">
        <f aca="false">(E6-D6)*Assumptions!$B$23/100</f>
        <v>-35.9148647200002</v>
      </c>
      <c r="F18" s="4" t="n">
        <f aca="false">(F6-E6)*Assumptions!$B$23/100</f>
        <v>-43.5288160406402</v>
      </c>
      <c r="G18" s="4" t="n">
        <f aca="false">(G6-F6)*Assumptions!$B$23/100</f>
        <v>-47.722091985888</v>
      </c>
      <c r="H18" s="4" t="n">
        <f aca="false">(H6-G6)*Assumptions!$B$23/100</f>
        <v>-55.7797836711974</v>
      </c>
      <c r="I18" s="4" t="n">
        <f aca="false">(I6-H6)*Assumptions!$B$23/100</f>
        <v>-56.6164804262656</v>
      </c>
      <c r="J18" s="4" t="n">
        <f aca="false">(J6-I6)*Assumptions!$B$23/100</f>
        <v>-57.4657276326593</v>
      </c>
      <c r="K18" s="4" t="n">
        <f aca="false">(K6-J6)*Assumptions!$B$23/100</f>
        <v>-58.3277135471493</v>
      </c>
      <c r="L18" s="4" t="n">
        <f aca="false">(L6-K6)*Assumptions!$B$23/100</f>
        <v>-59.2026292503567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3014.000374</v>
      </c>
      <c r="D19" s="0" t="n">
        <f aca="false">D15+D16+D17+D18</f>
        <v>3227.306187812</v>
      </c>
      <c r="E19" s="0" t="n">
        <f aca="false">E15+E16+E17+E18</f>
        <v>4077.55825112048</v>
      </c>
      <c r="F19" s="0" t="n">
        <f aca="false">F15+F16+F17+F18</f>
        <v>5060.44069510394</v>
      </c>
      <c r="G19" s="0" t="n">
        <f aca="false">G15+G16+G17+G18</f>
        <v>6121.5219820486</v>
      </c>
      <c r="H19" s="0" t="n">
        <f aca="false">H15+H16+H17+H18</f>
        <v>6724.04374737414</v>
      </c>
      <c r="I19" s="0" t="n">
        <f aca="false">I15+I16+I17+I18</f>
        <v>7350.71581142359</v>
      </c>
      <c r="J19" s="0" t="n">
        <f aca="false">J15+J16+J17+J18</f>
        <v>7994.67512755137</v>
      </c>
      <c r="K19" s="0" t="n">
        <f aca="false">K15+K16+K17+K18</f>
        <v>8656.2993121054</v>
      </c>
      <c r="L19" s="0" t="n">
        <f aca="false">L15+L16+L17+L18</f>
        <v>9335.97342029236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2790.74108703704</v>
      </c>
      <c r="D21" s="0" t="n">
        <f aca="false">D19*D20</f>
        <v>2766.89487981139</v>
      </c>
      <c r="E21" s="0" t="n">
        <f aca="false">E19*E20</f>
        <v>3236.89720437725</v>
      </c>
      <c r="F21" s="0" t="n">
        <f aca="false">F19*F20</f>
        <v>3719.57497920743</v>
      </c>
      <c r="G21" s="0" t="n">
        <f aca="false">G19*G20</f>
        <v>4166.20500125503</v>
      </c>
      <c r="H21" s="0" t="n">
        <f aca="false">H19*H20</f>
        <v>4237.28813942844</v>
      </c>
      <c r="I21" s="0" t="n">
        <f aca="false">I19*I20</f>
        <v>4289.07207426717</v>
      </c>
      <c r="J21" s="0" t="n">
        <f aca="false">J19*J20</f>
        <v>4319.27421311787</v>
      </c>
      <c r="K21" s="0" t="n">
        <f aca="false">K19*K20</f>
        <v>4330.30479006149</v>
      </c>
      <c r="L21" s="0" t="n">
        <f aca="false">L19*L20</f>
        <v>4324.36209321112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1.3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38180.6144617742</v>
      </c>
    </row>
    <row r="31" customFormat="false" ht="15" hidden="false" customHeight="false" outlineLevel="0" collapsed="false">
      <c r="A31" s="0" t="s">
        <v>128</v>
      </c>
      <c r="B31" s="0" t="n">
        <f aca="false">L19</f>
        <v>9335.97342029236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141154.344399346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102695.707623216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102695.707623216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47567.9830253223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85748.5974870965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27847.5974870965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11.0224174096773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-0.855538434997677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11.0224174096773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69031.6866770523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-5.58338296854606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3.5</v>
      </c>
      <c r="D5" s="4" t="n">
        <f aca="false">Assumptions!D27</f>
        <v>3.5</v>
      </c>
      <c r="E5" s="4" t="n">
        <f aca="false">Assumptions!E27</f>
        <v>3.2</v>
      </c>
      <c r="F5" s="4" t="n">
        <f aca="false">Assumptions!F27</f>
        <v>3</v>
      </c>
      <c r="G5" s="4" t="n">
        <f aca="false">Assumptions!G27</f>
        <v>2.8</v>
      </c>
      <c r="H5" s="4" t="n">
        <f aca="false">Assumptions!H27</f>
        <v>2.5</v>
      </c>
      <c r="I5" s="4" t="n">
        <f aca="false">Assumptions!I27</f>
        <v>2.3</v>
      </c>
      <c r="J5" s="4" t="n">
        <f aca="false">Assumptions!J27</f>
        <v>2.2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88018</v>
      </c>
      <c r="C6" s="0" t="n">
        <f aca="false">B6*(1+C5/100)</f>
        <v>91098.63</v>
      </c>
      <c r="D6" s="0" t="n">
        <f aca="false">C6*(1+D5/100)</f>
        <v>94287.08205</v>
      </c>
      <c r="E6" s="0" t="n">
        <f aca="false">D6*(1+E5/100)</f>
        <v>97304.2686756</v>
      </c>
      <c r="F6" s="0" t="n">
        <f aca="false">E6*(1+F5/100)</f>
        <v>100223.396735868</v>
      </c>
      <c r="G6" s="0" t="n">
        <f aca="false">F6*(1+G5/100)</f>
        <v>103029.651844472</v>
      </c>
      <c r="H6" s="0" t="n">
        <f aca="false">G6*(1+H5/100)</f>
        <v>105605.393140584</v>
      </c>
      <c r="I6" s="0" t="n">
        <f aca="false">H6*(1+I5/100)</f>
        <v>108034.317182818</v>
      </c>
      <c r="J6" s="0" t="n">
        <f aca="false">I6*(1+J5/100)</f>
        <v>110411.07216084</v>
      </c>
      <c r="K6" s="0" t="n">
        <f aca="false">J6*(1+K5/100)</f>
        <v>112619.293604056</v>
      </c>
      <c r="L6" s="0" t="n">
        <f aca="false">K6*(1+L5/100)</f>
        <v>114871.679476137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27.3</v>
      </c>
      <c r="D7" s="4" t="n">
        <f aca="false">Assumptions!D28</f>
        <v>27.4</v>
      </c>
      <c r="E7" s="4" t="n">
        <f aca="false">Assumptions!E28</f>
        <v>27.5</v>
      </c>
      <c r="F7" s="4" t="n">
        <f aca="false">Assumptions!F28</f>
        <v>27.6</v>
      </c>
      <c r="G7" s="4" t="n">
        <f aca="false">Assumptions!G28</f>
        <v>27.6</v>
      </c>
      <c r="H7" s="4" t="n">
        <f aca="false">Assumptions!H28</f>
        <v>27.7</v>
      </c>
      <c r="I7" s="4" t="n">
        <f aca="false">Assumptions!I28</f>
        <v>27.7</v>
      </c>
      <c r="J7" s="4" t="n">
        <f aca="false">Assumptions!J28</f>
        <v>27.8</v>
      </c>
      <c r="K7" s="4" t="n">
        <f aca="false">Assumptions!K28</f>
        <v>27.8</v>
      </c>
      <c r="L7" s="4" t="n">
        <f aca="false">Assumptions!L28</f>
        <v>27.8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24869.92599</v>
      </c>
      <c r="D8" s="0" t="n">
        <f aca="false">D6*D7/100</f>
        <v>25834.6604817</v>
      </c>
      <c r="E8" s="0" t="n">
        <f aca="false">E6*E7/100</f>
        <v>26758.67388579</v>
      </c>
      <c r="F8" s="0" t="n">
        <f aca="false">F6*F7/100</f>
        <v>27661.6574990996</v>
      </c>
      <c r="G8" s="0" t="n">
        <f aca="false">G6*G7/100</f>
        <v>28436.1839090744</v>
      </c>
      <c r="H8" s="0" t="n">
        <f aca="false">H6*H7/100</f>
        <v>29252.6938999418</v>
      </c>
      <c r="I8" s="0" t="n">
        <f aca="false">I6*I7/100</f>
        <v>29925.5058596405</v>
      </c>
      <c r="J8" s="0" t="n">
        <f aca="false">J6*J7/100</f>
        <v>30694.2780607134</v>
      </c>
      <c r="K8" s="0" t="n">
        <f aca="false">K6*K7/100</f>
        <v>31308.1636219277</v>
      </c>
      <c r="L8" s="0" t="n">
        <f aca="false">L6*L7/100</f>
        <v>31934.3268943662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24869.92599</v>
      </c>
      <c r="D11" s="0" t="n">
        <f aca="false">D8+D10+D24</f>
        <v>25834.6604817</v>
      </c>
      <c r="E11" s="0" t="n">
        <f aca="false">E8+E10+E24</f>
        <v>26758.67388579</v>
      </c>
      <c r="F11" s="0" t="n">
        <f aca="false">F8+F10+F24</f>
        <v>27661.6574990996</v>
      </c>
      <c r="G11" s="0" t="n">
        <f aca="false">G8+G10+G24</f>
        <v>28436.1839090744</v>
      </c>
      <c r="H11" s="0" t="n">
        <f aca="false">H8+H10+H24</f>
        <v>29252.6938999418</v>
      </c>
      <c r="I11" s="0" t="n">
        <f aca="false">I8+I10+I24</f>
        <v>29925.5058596405</v>
      </c>
      <c r="J11" s="0" t="n">
        <f aca="false">J8+J10+J24</f>
        <v>30694.2780607134</v>
      </c>
      <c r="K11" s="0" t="n">
        <f aca="false">K8+K10+K24</f>
        <v>31308.1636219277</v>
      </c>
      <c r="L11" s="0" t="n">
        <f aca="false">L8+L10+L24</f>
        <v>31934.3268943662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-10203.04656</v>
      </c>
      <c r="D12" s="4" t="n">
        <f aca="false">-D6*Assumptions!D31/100</f>
        <v>-10748.7273537</v>
      </c>
      <c r="E12" s="4" t="n">
        <f aca="false">-E6*Assumptions!E31/100</f>
        <v>-11287.2951663696</v>
      </c>
      <c r="F12" s="4" t="n">
        <f aca="false">-F6*Assumptions!F31/100</f>
        <v>-11726.1374180966</v>
      </c>
      <c r="G12" s="4" t="n">
        <f aca="false">-G6*Assumptions!G31/100</f>
        <v>-12157.4989176477</v>
      </c>
      <c r="H12" s="4" t="n">
        <f aca="false">-H6*Assumptions!H31/100</f>
        <v>-12461.4363905889</v>
      </c>
      <c r="I12" s="4" t="n">
        <f aca="false">-I6*Assumptions!I31/100</f>
        <v>-12640.0151103897</v>
      </c>
      <c r="J12" s="4" t="n">
        <f aca="false">-J6*Assumptions!J31/100</f>
        <v>-12807.6843706574</v>
      </c>
      <c r="K12" s="4" t="n">
        <f aca="false">-K6*Assumptions!K31/100</f>
        <v>-12951.2187644665</v>
      </c>
      <c r="L12" s="4" t="n">
        <f aca="false">-L6*Assumptions!L31/100</f>
        <v>-13095.3714602797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14666.87943</v>
      </c>
      <c r="D13" s="0" t="n">
        <f aca="false">D11+D12</f>
        <v>15085.933128</v>
      </c>
      <c r="E13" s="0" t="n">
        <f aca="false">E11+E12</f>
        <v>15471.3787194204</v>
      </c>
      <c r="F13" s="0" t="n">
        <f aca="false">F11+F12</f>
        <v>15935.520081003</v>
      </c>
      <c r="G13" s="0" t="n">
        <f aca="false">G11+G12</f>
        <v>16278.6849914266</v>
      </c>
      <c r="H13" s="0" t="n">
        <f aca="false">H11+H12</f>
        <v>16791.2575093529</v>
      </c>
      <c r="I13" s="0" t="n">
        <f aca="false">I11+I12</f>
        <v>17285.4907492508</v>
      </c>
      <c r="J13" s="0" t="n">
        <f aca="false">J11+J12</f>
        <v>17886.593690056</v>
      </c>
      <c r="K13" s="0" t="n">
        <f aca="false">K11+K12</f>
        <v>18356.9448574612</v>
      </c>
      <c r="L13" s="0" t="n">
        <f aca="false">L11+L12</f>
        <v>18838.9554340865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11146.8283668</v>
      </c>
      <c r="D15" s="0" t="n">
        <f aca="false">D13-MAX(0,D13)*D14/100</f>
        <v>11465.30917728</v>
      </c>
      <c r="E15" s="0" t="n">
        <f aca="false">E13-MAX(0,E13)*E14/100</f>
        <v>11758.2478267595</v>
      </c>
      <c r="F15" s="0" t="n">
        <f aca="false">F13-MAX(0,F13)*F14/100</f>
        <v>12110.9952615623</v>
      </c>
      <c r="G15" s="0" t="n">
        <f aca="false">G13-MAX(0,G13)*G14/100</f>
        <v>12371.8005934842</v>
      </c>
      <c r="H15" s="0" t="n">
        <f aca="false">H13-MAX(0,H13)*H14/100</f>
        <v>12761.3557071082</v>
      </c>
      <c r="I15" s="0" t="n">
        <f aca="false">I13-MAX(0,I13)*I14/100</f>
        <v>13136.9729694306</v>
      </c>
      <c r="J15" s="0" t="n">
        <f aca="false">J13-MAX(0,J13)*J14/100</f>
        <v>13593.8112044426</v>
      </c>
      <c r="K15" s="0" t="n">
        <f aca="false">K13-MAX(0,K13)*K14/100</f>
        <v>13951.2780916705</v>
      </c>
      <c r="L15" s="0" t="n">
        <f aca="false">L13-MAX(0,L13)*L14/100</f>
        <v>14317.6061299058</v>
      </c>
    </row>
    <row r="16" customFormat="false" ht="15" hidden="false" customHeight="false" outlineLevel="0" collapsed="false">
      <c r="A16" s="0" t="s">
        <v>119</v>
      </c>
      <c r="C16" s="0" t="n">
        <f aca="false">-C12</f>
        <v>10203.04656</v>
      </c>
      <c r="D16" s="0" t="n">
        <f aca="false">-D12</f>
        <v>10748.7273537</v>
      </c>
      <c r="E16" s="0" t="n">
        <f aca="false">-E12</f>
        <v>11287.2951663696</v>
      </c>
      <c r="F16" s="0" t="n">
        <f aca="false">-F12</f>
        <v>11726.1374180966</v>
      </c>
      <c r="G16" s="0" t="n">
        <f aca="false">-G12</f>
        <v>12157.4989176477</v>
      </c>
      <c r="H16" s="0" t="n">
        <f aca="false">-H12</f>
        <v>12461.4363905889</v>
      </c>
      <c r="I16" s="0" t="n">
        <f aca="false">-I12</f>
        <v>12640.0151103897</v>
      </c>
      <c r="J16" s="0" t="n">
        <f aca="false">-J12</f>
        <v>12807.6843706574</v>
      </c>
      <c r="K16" s="0" t="n">
        <f aca="false">-K12</f>
        <v>12951.2187644665</v>
      </c>
      <c r="L16" s="0" t="n">
        <f aca="false">-L12</f>
        <v>13095.3714602797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-15486.7671</v>
      </c>
      <c r="D17" s="4" t="n">
        <f aca="false">-D6*Assumptions!D32/100</f>
        <v>-15085.933128</v>
      </c>
      <c r="E17" s="4" t="n">
        <f aca="false">-E6*Assumptions!E32/100</f>
        <v>-14595.64030134</v>
      </c>
      <c r="F17" s="4" t="n">
        <f aca="false">-F6*Assumptions!F32/100</f>
        <v>-14031.2755430215</v>
      </c>
      <c r="G17" s="4" t="n">
        <f aca="false">-G6*Assumptions!G32/100</f>
        <v>-13393.8547397814</v>
      </c>
      <c r="H17" s="4" t="n">
        <f aca="false">-H6*Assumptions!H32/100</f>
        <v>-13200.674142573</v>
      </c>
      <c r="I17" s="4" t="n">
        <f aca="false">-I6*Assumptions!I32/100</f>
        <v>-13180.1866963037</v>
      </c>
      <c r="J17" s="4" t="n">
        <f aca="false">-J6*Assumptions!J32/100</f>
        <v>-13249.3286593007</v>
      </c>
      <c r="K17" s="4" t="n">
        <f aca="false">-K6*Assumptions!K32/100</f>
        <v>-13289.0766452786</v>
      </c>
      <c r="L17" s="4" t="n">
        <f aca="false">-L6*Assumptions!L32/100</f>
        <v>-13325.1148192319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-92.4188999999997</v>
      </c>
      <c r="D18" s="4" t="n">
        <f aca="false">(D6-C6)*Assumptions!$B$37/100</f>
        <v>-95.6535614999998</v>
      </c>
      <c r="E18" s="4" t="n">
        <f aca="false">(E6-D6)*Assumptions!$B$37/100</f>
        <v>-90.5155987680002</v>
      </c>
      <c r="F18" s="4" t="n">
        <f aca="false">(F6-E6)*Assumptions!$B$37/100</f>
        <v>-87.5738418080402</v>
      </c>
      <c r="G18" s="4" t="n">
        <f aca="false">(G6-F6)*Assumptions!$B$37/100</f>
        <v>-84.1876532581293</v>
      </c>
      <c r="H18" s="4" t="n">
        <f aca="false">(H6-G6)*Assumptions!$B$37/100</f>
        <v>-77.2722388833539</v>
      </c>
      <c r="I18" s="4" t="n">
        <f aca="false">(I6-H6)*Assumptions!$B$37/100</f>
        <v>-72.8677212670028</v>
      </c>
      <c r="J18" s="4" t="n">
        <f aca="false">(J6-I6)*Assumptions!$B$37/100</f>
        <v>-71.3026493406596</v>
      </c>
      <c r="K18" s="4" t="n">
        <f aca="false">(K6-J6)*Assumptions!$B$37/100</f>
        <v>-66.2466432965039</v>
      </c>
      <c r="L18" s="4" t="n">
        <f aca="false">(L6-K6)*Assumptions!$B$37/100</f>
        <v>-67.5715761624338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5770.6889268</v>
      </c>
      <c r="D19" s="0" t="n">
        <f aca="false">D15+D16+D17+D18</f>
        <v>7032.44984148</v>
      </c>
      <c r="E19" s="0" t="n">
        <f aca="false">E15+E16+E17+E18</f>
        <v>8359.3870930211</v>
      </c>
      <c r="F19" s="0" t="n">
        <f aca="false">F15+F16+F17+F18</f>
        <v>9718.28329482929</v>
      </c>
      <c r="G19" s="0" t="n">
        <f aca="false">G15+G16+G17+G18</f>
        <v>11051.2571180924</v>
      </c>
      <c r="H19" s="0" t="n">
        <f aca="false">H15+H16+H17+H18</f>
        <v>11944.8457162407</v>
      </c>
      <c r="I19" s="0" t="n">
        <f aca="false">I15+I16+I17+I18</f>
        <v>12523.9336622495</v>
      </c>
      <c r="J19" s="0" t="n">
        <f aca="false">J15+J16+J17+J18</f>
        <v>13080.8642664585</v>
      </c>
      <c r="K19" s="0" t="n">
        <f aca="false">K15+K16+K17+K18</f>
        <v>13547.1735675618</v>
      </c>
      <c r="L19" s="0" t="n">
        <f aca="false">L15+L16+L17+L18</f>
        <v>14020.2911947911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5393.16722130841</v>
      </c>
      <c r="D21" s="0" t="n">
        <f aca="false">D19*D20</f>
        <v>6142.41404618744</v>
      </c>
      <c r="E21" s="0" t="n">
        <f aca="false">E19*E20</f>
        <v>6823.74993614191</v>
      </c>
      <c r="F21" s="0" t="n">
        <f aca="false">F19*F20</f>
        <v>7414.03179494671</v>
      </c>
      <c r="G21" s="0" t="n">
        <f aca="false">G19*G20</f>
        <v>7879.39359112042</v>
      </c>
      <c r="H21" s="0" t="n">
        <f aca="false">H19*H20</f>
        <v>7959.355057705</v>
      </c>
      <c r="I21" s="0" t="n">
        <f aca="false">I19*I20</f>
        <v>7799.27645554563</v>
      </c>
      <c r="J21" s="0" t="n">
        <f aca="false">J19*J20</f>
        <v>7613.18209865834</v>
      </c>
      <c r="K21" s="0" t="n">
        <f aca="false">K19*K20</f>
        <v>7368.76482004095</v>
      </c>
      <c r="L21" s="0" t="n">
        <f aca="false">L19*L20</f>
        <v>7127.20510439465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71520.5401260495</v>
      </c>
    </row>
    <row r="31" customFormat="false" ht="15" hidden="false" customHeight="false" outlineLevel="0" collapsed="false">
      <c r="A31" s="0" t="s">
        <v>128</v>
      </c>
      <c r="B31" s="0" t="n">
        <f aca="false">L19</f>
        <v>14020.2911947911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286013.940373738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196284.076727075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196284.076727075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99780.8714615251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171301.411587575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113400.411587575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44.8852606235286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-0.411726597332521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44.8852606235286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110005.361682207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6.98153455083643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5.5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3.2</v>
      </c>
      <c r="J5" s="4" t="n">
        <f aca="false">Assumptions!J41</f>
        <v>3</v>
      </c>
      <c r="K5" s="4" t="n">
        <f aca="false">Assumptions!K41</f>
        <v>2.8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88018</v>
      </c>
      <c r="C6" s="0" t="n">
        <f aca="false">B6*(1+C5/100)</f>
        <v>92858.99</v>
      </c>
      <c r="D6" s="0" t="n">
        <f aca="false">C6*(1+D5/100)</f>
        <v>97966.23445</v>
      </c>
      <c r="E6" s="0" t="n">
        <f aca="false">D6*(1+E5/100)</f>
        <v>102864.5461725</v>
      </c>
      <c r="F6" s="0" t="n">
        <f aca="false">E6*(1+F5/100)</f>
        <v>107493.450750262</v>
      </c>
      <c r="G6" s="0" t="n">
        <f aca="false">F6*(1+G5/100)</f>
        <v>111793.188780273</v>
      </c>
      <c r="H6" s="0" t="n">
        <f aca="false">G6*(1+H5/100)</f>
        <v>115705.950387583</v>
      </c>
      <c r="I6" s="0" t="n">
        <f aca="false">H6*(1+I5/100)</f>
        <v>119408.540799985</v>
      </c>
      <c r="J6" s="0" t="n">
        <f aca="false">I6*(1+J5/100)</f>
        <v>122990.797023985</v>
      </c>
      <c r="K6" s="0" t="n">
        <f aca="false">J6*(1+K5/100)</f>
        <v>126434.539340656</v>
      </c>
      <c r="L6" s="0" t="n">
        <f aca="false">K6*(1+L5/100)</f>
        <v>129595.402824173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27.8</v>
      </c>
      <c r="D7" s="4" t="n">
        <f aca="false">Assumptions!D42</f>
        <v>28.2</v>
      </c>
      <c r="E7" s="4" t="n">
        <f aca="false">Assumptions!E42</f>
        <v>28.6</v>
      </c>
      <c r="F7" s="4" t="n">
        <f aca="false">Assumptions!F42</f>
        <v>29</v>
      </c>
      <c r="G7" s="4" t="n">
        <f aca="false">Assumptions!G42</f>
        <v>29.2</v>
      </c>
      <c r="H7" s="4" t="n">
        <f aca="false">Assumptions!H42</f>
        <v>29.4</v>
      </c>
      <c r="I7" s="4" t="n">
        <f aca="false">Assumptions!I42</f>
        <v>29.5</v>
      </c>
      <c r="J7" s="4" t="n">
        <f aca="false">Assumptions!J42</f>
        <v>29.6</v>
      </c>
      <c r="K7" s="4" t="n">
        <f aca="false">Assumptions!K42</f>
        <v>29.6</v>
      </c>
      <c r="L7" s="4" t="n">
        <f aca="false">Assumptions!L42</f>
        <v>29.6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25814.79922</v>
      </c>
      <c r="D8" s="0" t="n">
        <f aca="false">D6*D7/100</f>
        <v>27626.4781149</v>
      </c>
      <c r="E8" s="0" t="n">
        <f aca="false">E6*E7/100</f>
        <v>29419.260205335</v>
      </c>
      <c r="F8" s="0" t="n">
        <f aca="false">F6*F7/100</f>
        <v>31173.1007175761</v>
      </c>
      <c r="G8" s="0" t="n">
        <f aca="false">G6*G7/100</f>
        <v>32643.6111238397</v>
      </c>
      <c r="H8" s="0" t="n">
        <f aca="false">H6*H7/100</f>
        <v>34017.5494139493</v>
      </c>
      <c r="I8" s="0" t="n">
        <f aca="false">I6*I7/100</f>
        <v>35225.5195359956</v>
      </c>
      <c r="J8" s="0" t="n">
        <f aca="false">J6*J7/100</f>
        <v>36405.2759190995</v>
      </c>
      <c r="K8" s="0" t="n">
        <f aca="false">K6*K7/100</f>
        <v>37424.6236448343</v>
      </c>
      <c r="L8" s="0" t="n">
        <f aca="false">L6*L7/100</f>
        <v>38360.2392359551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25814.79922</v>
      </c>
      <c r="D11" s="0" t="n">
        <f aca="false">D8+D10+D24</f>
        <v>27626.4781149</v>
      </c>
      <c r="E11" s="0" t="n">
        <f aca="false">E8+E10+E24</f>
        <v>29419.260205335</v>
      </c>
      <c r="F11" s="0" t="n">
        <f aca="false">F8+F10+F24</f>
        <v>31173.1007175761</v>
      </c>
      <c r="G11" s="0" t="n">
        <f aca="false">G8+G10+G24</f>
        <v>32643.6111238397</v>
      </c>
      <c r="H11" s="0" t="n">
        <f aca="false">H8+H10+H24</f>
        <v>34017.5494139493</v>
      </c>
      <c r="I11" s="0" t="n">
        <f aca="false">I8+I10+I24</f>
        <v>35225.5195359956</v>
      </c>
      <c r="J11" s="0" t="n">
        <f aca="false">J8+J10+J24</f>
        <v>36405.2759190995</v>
      </c>
      <c r="K11" s="0" t="n">
        <f aca="false">K8+K10+K24</f>
        <v>37424.6236448343</v>
      </c>
      <c r="L11" s="0" t="n">
        <f aca="false">L8+L10+L24</f>
        <v>38360.2392359551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-10214.4889</v>
      </c>
      <c r="D12" s="4" t="n">
        <f aca="false">-D6*Assumptions!D45/100</f>
        <v>-10776.2857895</v>
      </c>
      <c r="E12" s="4" t="n">
        <f aca="false">-E6*Assumptions!E45/100</f>
        <v>-11417.9646251475</v>
      </c>
      <c r="F12" s="4" t="n">
        <f aca="false">-F6*Assumptions!F45/100</f>
        <v>-12039.2664840294</v>
      </c>
      <c r="G12" s="4" t="n">
        <f aca="false">-G6*Assumptions!G45/100</f>
        <v>-12520.8371433906</v>
      </c>
      <c r="H12" s="4" t="n">
        <f aca="false">-H6*Assumptions!H45/100</f>
        <v>-12843.3604930217</v>
      </c>
      <c r="I12" s="4" t="n">
        <f aca="false">-I6*Assumptions!I45/100</f>
        <v>-13134.9394879984</v>
      </c>
      <c r="J12" s="4" t="n">
        <f aca="false">-J6*Assumptions!J45/100</f>
        <v>-13405.9968756143</v>
      </c>
      <c r="K12" s="4" t="n">
        <f aca="false">-K6*Assumptions!K45/100</f>
        <v>-13654.9302487909</v>
      </c>
      <c r="L12" s="4" t="n">
        <f aca="false">-L6*Assumptions!L45/100</f>
        <v>-13866.7081021865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15600.31032</v>
      </c>
      <c r="D13" s="0" t="n">
        <f aca="false">D11+D12</f>
        <v>16850.1923254</v>
      </c>
      <c r="E13" s="0" t="n">
        <f aca="false">E11+E12</f>
        <v>18001.2955801875</v>
      </c>
      <c r="F13" s="0" t="n">
        <f aca="false">F11+F12</f>
        <v>19133.8342335467</v>
      </c>
      <c r="G13" s="0" t="n">
        <f aca="false">G11+G12</f>
        <v>20122.7739804491</v>
      </c>
      <c r="H13" s="0" t="n">
        <f aca="false">H11+H12</f>
        <v>21174.1889209276</v>
      </c>
      <c r="I13" s="0" t="n">
        <f aca="false">I11+I12</f>
        <v>22090.5800479973</v>
      </c>
      <c r="J13" s="0" t="n">
        <f aca="false">J11+J12</f>
        <v>22999.2790434851</v>
      </c>
      <c r="K13" s="0" t="n">
        <f aca="false">K11+K12</f>
        <v>23769.6933960434</v>
      </c>
      <c r="L13" s="0" t="n">
        <f aca="false">L11+L12</f>
        <v>24493.5311337686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12012.2389464</v>
      </c>
      <c r="D15" s="0" t="n">
        <f aca="false">D13-MAX(0,D13)*D14/100</f>
        <v>12974.648090558</v>
      </c>
      <c r="E15" s="0" t="n">
        <f aca="false">E13-MAX(0,E13)*E14/100</f>
        <v>13860.9975967444</v>
      </c>
      <c r="F15" s="0" t="n">
        <f aca="false">F13-MAX(0,F13)*F14/100</f>
        <v>14733.052359831</v>
      </c>
      <c r="G15" s="0" t="n">
        <f aca="false">G13-MAX(0,G13)*G14/100</f>
        <v>15494.5359649458</v>
      </c>
      <c r="H15" s="0" t="n">
        <f aca="false">H13-MAX(0,H13)*H14/100</f>
        <v>16304.1254691143</v>
      </c>
      <c r="I15" s="0" t="n">
        <f aca="false">I13-MAX(0,I13)*I14/100</f>
        <v>17009.7466369579</v>
      </c>
      <c r="J15" s="0" t="n">
        <f aca="false">J13-MAX(0,J13)*J14/100</f>
        <v>17709.4448634836</v>
      </c>
      <c r="K15" s="0" t="n">
        <f aca="false">K13-MAX(0,K13)*K14/100</f>
        <v>18302.6639149534</v>
      </c>
      <c r="L15" s="0" t="n">
        <f aca="false">L13-MAX(0,L13)*L14/100</f>
        <v>18860.0189730019</v>
      </c>
    </row>
    <row r="16" customFormat="false" ht="15" hidden="false" customHeight="false" outlineLevel="0" collapsed="false">
      <c r="A16" s="0" t="s">
        <v>119</v>
      </c>
      <c r="C16" s="0" t="n">
        <f aca="false">-C12</f>
        <v>10214.4889</v>
      </c>
      <c r="D16" s="0" t="n">
        <f aca="false">-D12</f>
        <v>10776.2857895</v>
      </c>
      <c r="E16" s="0" t="n">
        <f aca="false">-E12</f>
        <v>11417.9646251475</v>
      </c>
      <c r="F16" s="0" t="n">
        <f aca="false">-F12</f>
        <v>12039.2664840294</v>
      </c>
      <c r="G16" s="0" t="n">
        <f aca="false">-G12</f>
        <v>12520.8371433906</v>
      </c>
      <c r="H16" s="0" t="n">
        <f aca="false">-H12</f>
        <v>12843.3604930217</v>
      </c>
      <c r="I16" s="0" t="n">
        <f aca="false">-I12</f>
        <v>13134.9394879984</v>
      </c>
      <c r="J16" s="0" t="n">
        <f aca="false">-J12</f>
        <v>13405.9968756143</v>
      </c>
      <c r="K16" s="0" t="n">
        <f aca="false">-K12</f>
        <v>13654.9302487909</v>
      </c>
      <c r="L16" s="0" t="n">
        <f aca="false">-L12</f>
        <v>13866.7081021865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-14857.4384</v>
      </c>
      <c r="D17" s="4" t="n">
        <f aca="false">-D6*Assumptions!D46/100</f>
        <v>-14205.10399525</v>
      </c>
      <c r="E17" s="4" t="n">
        <f aca="false">-E6*Assumptions!E46/100</f>
        <v>-13372.391002425</v>
      </c>
      <c r="F17" s="4" t="n">
        <f aca="false">-F6*Assumptions!F46/100</f>
        <v>-12899.2140900315</v>
      </c>
      <c r="G17" s="4" t="n">
        <f aca="false">-G6*Assumptions!G46/100</f>
        <v>-12856.2167097314</v>
      </c>
      <c r="H17" s="4" t="n">
        <f aca="false">-H6*Assumptions!H46/100</f>
        <v>-12959.0664434092</v>
      </c>
      <c r="I17" s="4" t="n">
        <f aca="false">-I6*Assumptions!I46/100</f>
        <v>-13134.9394879984</v>
      </c>
      <c r="J17" s="4" t="n">
        <f aca="false">-J6*Assumptions!J46/100</f>
        <v>-13283.0060785904</v>
      </c>
      <c r="K17" s="4" t="n">
        <f aca="false">-K6*Assumptions!K46/100</f>
        <v>-13402.0611701096</v>
      </c>
      <c r="L17" s="4" t="n">
        <f aca="false">-L6*Assumptions!L46/100</f>
        <v>-13607.5172965381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-96.8197999999998</v>
      </c>
      <c r="D18" s="4" t="n">
        <f aca="false">(D6-C6)*Assumptions!$B$51/100</f>
        <v>-102.144889</v>
      </c>
      <c r="E18" s="4" t="n">
        <f aca="false">(E6-D6)*Assumptions!$B$51/100</f>
        <v>-97.96623445</v>
      </c>
      <c r="F18" s="4" t="n">
        <f aca="false">(F6-E6)*Assumptions!$B$51/100</f>
        <v>-92.5780915552497</v>
      </c>
      <c r="G18" s="4" t="n">
        <f aca="false">(G6-F6)*Assumptions!$B$51/100</f>
        <v>-85.99476060021</v>
      </c>
      <c r="H18" s="4" t="n">
        <f aca="false">(H6-G6)*Assumptions!$B$51/100</f>
        <v>-78.2552321461908</v>
      </c>
      <c r="I18" s="4" t="n">
        <f aca="false">(I6-H6)*Assumptions!$B$51/100</f>
        <v>-74.0518082480528</v>
      </c>
      <c r="J18" s="4" t="n">
        <f aca="false">(J6-I6)*Assumptions!$B$51/100</f>
        <v>-71.6451244799912</v>
      </c>
      <c r="K18" s="4" t="n">
        <f aca="false">(K6-J6)*Assumptions!$B$51/100</f>
        <v>-68.8748463334315</v>
      </c>
      <c r="L18" s="4" t="n">
        <f aca="false">(L6-K6)*Assumptions!$B$51/100</f>
        <v>-63.217269670328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7272.4696464</v>
      </c>
      <c r="D19" s="0" t="n">
        <f aca="false">D15+D16+D17+D18</f>
        <v>9443.684995808</v>
      </c>
      <c r="E19" s="0" t="n">
        <f aca="false">E15+E16+E17+E18</f>
        <v>11808.6049850169</v>
      </c>
      <c r="F19" s="0" t="n">
        <f aca="false">F15+F16+F17+F18</f>
        <v>13780.5266622736</v>
      </c>
      <c r="G19" s="0" t="n">
        <f aca="false">G15+G16+G17+G18</f>
        <v>15073.1616380048</v>
      </c>
      <c r="H19" s="0" t="n">
        <f aca="false">H15+H16+H17+H18</f>
        <v>16110.1642865805</v>
      </c>
      <c r="I19" s="0" t="n">
        <f aca="false">I15+I16+I17+I18</f>
        <v>16935.6948287098</v>
      </c>
      <c r="J19" s="0" t="n">
        <f aca="false">J15+J16+J17+J18</f>
        <v>17760.7905360276</v>
      </c>
      <c r="K19" s="0" t="n">
        <f aca="false">K15+K16+K17+K18</f>
        <v>18486.6581473013</v>
      </c>
      <c r="L19" s="0" t="n">
        <f aca="false">L15+L16+L17+L18</f>
        <v>19055.9925089799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0.940733772342427</v>
      </c>
      <c r="D20" s="0" t="n">
        <f aca="false">1/(1+$B$27/100)^D4</f>
        <v>0.884980030425614</v>
      </c>
      <c r="E20" s="0" t="n">
        <f aca="false">1/(1+$B$27/100)^E4</f>
        <v>0.832530602470003</v>
      </c>
      <c r="F20" s="0" t="n">
        <f aca="false">1/(1+$B$27/100)^F4</f>
        <v>0.78318965425212</v>
      </c>
      <c r="G20" s="0" t="n">
        <f aca="false">1/(1+$B$27/100)^G4</f>
        <v>0.736772957904158</v>
      </c>
      <c r="H20" s="0" t="n">
        <f aca="false">1/(1+$B$27/100)^H4</f>
        <v>0.693107204049067</v>
      </c>
      <c r="I20" s="0" t="n">
        <f aca="false">1/(1+$B$27/100)^I4</f>
        <v>0.652029354702791</v>
      </c>
      <c r="J20" s="0" t="n">
        <f aca="false">1/(1+$B$27/100)^J4</f>
        <v>0.613386034527555</v>
      </c>
      <c r="K20" s="0" t="n">
        <f aca="false">1/(1+$B$27/100)^K4</f>
        <v>0.577032958163269</v>
      </c>
      <c r="L20" s="0" t="n">
        <f aca="false">1/(1+$B$27/100)^L4</f>
        <v>0.542834391498842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6841.45780470367</v>
      </c>
      <c r="D21" s="0" t="n">
        <f aca="false">D19*D20</f>
        <v>8357.47263492008</v>
      </c>
      <c r="E21" s="0" t="n">
        <f aca="false">E19*E20</f>
        <v>9831.02502250638</v>
      </c>
      <c r="F21" s="0" t="n">
        <f aca="false">F19*F20</f>
        <v>10792.7659120382</v>
      </c>
      <c r="G21" s="0" t="n">
        <f aca="false">G19*G20</f>
        <v>11105.4978850003</v>
      </c>
      <c r="H21" s="0" t="n">
        <f aca="false">H19*H20</f>
        <v>11166.0709254429</v>
      </c>
      <c r="I21" s="0" t="n">
        <f aca="false">I19*I20</f>
        <v>11042.5701706071</v>
      </c>
      <c r="J21" s="0" t="n">
        <f aca="false">J19*J20</f>
        <v>10894.2208769685</v>
      </c>
      <c r="K21" s="0" t="n">
        <f aca="false">K19*K20</f>
        <v>10667.4110372904</v>
      </c>
      <c r="L21" s="0" t="n">
        <f aca="false">L19*L20</f>
        <v>10344.2480980186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6.3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101042.740367496</v>
      </c>
    </row>
    <row r="31" customFormat="false" ht="15" hidden="false" customHeight="false" outlineLevel="0" collapsed="false">
      <c r="A31" s="0" t="s">
        <v>128</v>
      </c>
      <c r="B31" s="0" t="n">
        <f aca="false">L19</f>
        <v>19055.9925089799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514010.324255378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304895.880143678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304895.880143678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165507.969568297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266550.709935793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208649.709935793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82.5860901065539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0.0823865020518211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82.5860901065539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156259.138573635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18.3771795116016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11.0224174096773</v>
      </c>
      <c r="C4" s="0" t="n">
        <f aca="false">B4/Assumptions!$B$2-1</f>
        <v>-0.855538434997677</v>
      </c>
      <c r="D4" s="4" t="n">
        <f aca="false">Assumptions!$B$24</f>
        <v>0.25</v>
      </c>
      <c r="E4" s="4" t="n">
        <f aca="false">DCF_Bear!$B$43</f>
        <v>11.0224174096773</v>
      </c>
      <c r="F4" s="4" t="n">
        <f aca="false">DCF_Bear!$B$47</f>
        <v>-5.58338296854606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44.8852606235286</v>
      </c>
      <c r="C5" s="0" t="n">
        <f aca="false">B5/Assumptions!$B$2-1</f>
        <v>-0.411726597332521</v>
      </c>
      <c r="D5" s="4" t="n">
        <f aca="false">Assumptions!$B$38</f>
        <v>0.5</v>
      </c>
      <c r="E5" s="4" t="n">
        <f aca="false">DCF_Base!$B$43</f>
        <v>44.8852606235286</v>
      </c>
      <c r="F5" s="4" t="n">
        <f aca="false">DCF_Base!$B$47</f>
        <v>6.98153455083643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82.5860901065539</v>
      </c>
      <c r="C6" s="0" t="n">
        <f aca="false">B6/Assumptions!$B$2-1</f>
        <v>0.0823865020518211</v>
      </c>
      <c r="D6" s="4" t="n">
        <f aca="false">Assumptions!$B$52</f>
        <v>0.25</v>
      </c>
      <c r="E6" s="4" t="n">
        <f aca="false">DCF_Bull!$B$43</f>
        <v>82.5860901065539</v>
      </c>
      <c r="F6" s="4" t="n">
        <f aca="false">DCF_Bull!$B$47</f>
        <v>18.3771795116016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45.8447571908221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45.8447571908221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-0.664312446511874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6.6892164111821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44.8852606235286</v>
      </c>
      <c r="C15" s="3" t="n">
        <v>7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35.4034248140272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28.608843339412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22.3107904177687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17.2963513683989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6.98153455083643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56.3469294673468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56.3469294673468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56.3469294673468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56.3469294673468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56.3469294673468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50.3412972816227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50.3412972816227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50.3412972816227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50.3412972816227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50.3412972816227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44.8852606235286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44.8852606235286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44.8852606235286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44.8852606235286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44.8852606235286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39.9226160361229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39.9226160361229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39.9226160361229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39.9226160361229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39.9226160361229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32.1802499097075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34.3094987858944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35.4034248140272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35.4034248140272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35.4034248140272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2026-09-25T16:37:07Z</dcterms:created>
  <dc:creator>openpyxl</dc:creator>
  <dc:description/>
  <dc:language>en-NZ</dc:language>
  <cp:lastModifiedBy/>
  <dcterms:modified xsi:type="dcterms:W3CDTF">2026-09-25T16:37:07Z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