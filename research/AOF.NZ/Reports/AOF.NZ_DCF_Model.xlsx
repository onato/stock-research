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FCF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<sst xmlns="http://schemas.openxmlformats.org/spreadsheetml/2006/main" count="205" uniqueCount="183">
  <si>
    <t>AOF.NZ DCF Valuation Model (Base Case)</t>
  </si>
  <si>
    <t>Gray cells are INPUTS. Distressed micro-cap: see Model_Info tab and top warning before use.</t>
  </si>
  <si>
    <t>KEY INPUTS</t>
  </si>
  <si>
    <t>Current Stock Price</t>
  </si>
  <si>
    <t>Shares Outstanding, post 2026 raise (M)</t>
  </si>
  <si>
    <t>Cash &amp; Equivalents FY2025 (M)</t>
  </si>
  <si>
    <t>Total Debt FY2025 (M)</t>
  </si>
  <si>
    <t>Net Debt (M)</t>
  </si>
  <si>
    <t>FY2026 Revenue Estimate (M, base for Y1 growth)</t>
  </si>
  <si>
    <t>WACC</t>
  </si>
  <si>
    <t>Terminal Growth Rate</t>
  </si>
  <si>
    <t>Terminal Cap Multiple</t>
  </si>
  <si>
    <t>New-Raise Price ($/share, funds dilution)</t>
  </si>
  <si>
    <t>Liquidity Headroom before new raise (M)</t>
  </si>
  <si>
    <t>ANNUAL ASSUMPTIONS (10-YEAR BUILD)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</si>
  <si>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</si>
  <si>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</si>
  <si>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</si>
  <si>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</si>
  <si>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</si>
  <si>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</si>
  <si>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</si>
  <si>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</si>
  <si>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</si>
  <si>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</si>
  <si>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Revenue Growth %</t>
  </si>
  <si>
    <t>Adj EBITDA Margin %</t>
  </si>
  <si>
    <t>SBC % of Revenue</t>
  </si>
  <si>
    <t>D&amp;A % of Revenue</t>
  </si>
  <si>
    <t>Cash Tax Rate %</t>
  </si>
  <si>
    <t>Capex % of Revenue</t>
  </si>
  <si>
    <t>Working Capital Capture % (of rev growth)</t>
  </si>
  <si>
    <t>PROJECTIONS (component build)</t>
  </si>
  <si>
    <t>Revenue</t>
  </si>
  <si>
    <t>Adj EBITDA</t>
  </si>
  <si>
    <t>Less: SBC</t>
  </si>
  <si>
    <t>Owner EBITDA</t>
  </si>
  <si>
    <t>Less: D&amp;A</t>
  </si>
  <si>
    <t>EBIT</t>
  </si>
  <si>
    <t>NOPAT</t>
  </si>
  <si>
    <t>Add back: D&amp;A</t>
  </si>
  <si>
    <t>Less: Capex</t>
  </si>
  <si>
    <t>Working Capital (tailwind/drag)</t>
  </si>
  <si>
    <t>Owner FCF</t>
  </si>
  <si>
    <t>Owner FCF Margin %</t>
  </si>
  <si>
    <t>Cumulative Owner FCF since last raise (helper, resets after a raise)</t>
  </si>
  <si>
    <t>Shares Outstanding (M)</t>
  </si>
  <si>
    <t>Discount Factor</t>
  </si>
  <si>
    <t>PV of FCF</t>
  </si>
  <si>
    <t>VALUATION</t>
  </si>
  <si>
    <t>Sum of PV of FCF (Y1-10)</t>
  </si>
  <si>
    <t>Terminal FCF (Year 10 x (1+g))</t>
  </si>
  <si>
    <t>Gordon Terminal Value</t>
  </si>
  <si>
    <t>Cap Terminal Value (multiple x Y10 FCF)</t>
  </si>
  <si>
    <t>Terminal Value used (lower of Gordon/Cap; Gordon only if Y10 FCF&lt;0)</t>
  </si>
  <si>
    <t>PV of Terminal Value</t>
  </si>
  <si>
    <t>Enterprise Value</t>
  </si>
  <si>
    <t>Less: Net Debt</t>
  </si>
  <si>
    <t>Equity Value (raw, can be negative)</t>
  </si>
  <si>
    <t>Equity Value (floored at $0 - limited liability)</t>
  </si>
  <si>
    <t>INTRINSIC VALUE/SHARE (raw)</t>
  </si>
  <si>
    <t>INTRINSIC VALUE/SHARE (floored)</t>
  </si>
  <si>
    <t>ENTRY PRICE (15% IRR Target)</t>
  </si>
  <si>
    <t>PV of Yrs 1-10 FCF @15%</t>
  </si>
  <si>
    <t>PV of Terminal Value @15%</t>
  </si>
  <si>
    <t>Equity Value at 15% hurdle (raw)</t>
  </si>
  <si>
    <t>Entry Price (15% IRR, raw)</t>
  </si>
  <si>
    <t>Entry Price (15% IRR, floored at $0)</t>
  </si>
  <si>
    <t>Upside to Intrinsic Value (floored)</t>
  </si>
  <si>
    <t>Upside to Entry Price (floored)</t>
  </si>
  <si>
    <t>NOTE: Base-case raw intrinsic value is likely NEGATIVE (net debt exceeds</t>
  </si>
  <si>
    <t>enterprise value from a decade of thin projected FCF). This is a genuine</t>
  </si>
  <si>
    <t>finding, not a bug - see Model_Info and FCF Quality tabs.</t>
  </si>
  <si>
    <t>Scenario Comparison</t>
  </si>
  <si>
    <t>Metric</t>
  </si>
  <si>
    <t>Bear</t>
  </si>
  <si>
    <t>Base</t>
  </si>
  <si>
    <t>Bull</t>
  </si>
  <si>
    <t>Terminal Growth</t>
  </si>
  <si>
    <t>Year 10 Revenue (M)</t>
  </si>
  <si>
    <t>Year 10 Owner FCF (M)</t>
  </si>
  <si>
    <t>Year 10 Owner FCF Margin</t>
  </si>
  <si>
    <t>Terminal Year Shares (M)</t>
  </si>
  <si>
    <t>Intrinsic Value/Share (raw)</t>
  </si>
  <si>
    <t>Intrinsic Value/Share (floored)</t>
  </si>
  <si>
    <t>Upside/Downside %</t>
  </si>
  <si>
    <t>Entry Price (15% IRR)</t>
  </si>
  <si>
    <t>Terminal % of EV</t>
  </si>
  <si>
    <t>Probability Weight</t>
  </si>
  <si>
    <t>Weighted IV (floored)</t>
  </si>
  <si>
    <t>Weighted IV (raw)</t>
  </si>
  <si>
    <t>Weighted Upside %</t>
  </si>
  <si>
    <t>Sensitivity Analysis - Base Case (raw, unfloored)</t>
  </si>
  <si>
    <t>Intrinsic Value by WACC &amp; Terminal Growth (values are RAW - most of this grid is negative)</t>
  </si>
  <si>
    <t>WACC \ Term G</t>
  </si>
  <si>
    <t>Note: even the most favorable corner of this grid (lowest WACC, highest</t>
  </si>
  <si>
    <t>terminal growth) remains negative for the base case - net debt exceeds the</t>
  </si>
  <si>
    <t>enterprise value this component build generates across the whole grid.</t>
  </si>
  <si>
    <t>Reported FCF vs Owner FCF Reconciliation - Historical</t>
  </si>
  <si>
    <t>AoFrio has negligible SBC (unlike SaaS peers) - the reported-to-owner FCF gap here is driven</t>
  </si>
  <si>
    <t>almost entirely by capitalized development capex intensity, not stock compensation.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</si>
  <si>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</si>
  <si>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</si>
  <si>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</si>
  <si>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</si>
  <si>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</si>
  <si>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</si>
  <si>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</si>
  <si>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</si>
  <si>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Operating Cash Flow</t>
  </si>
  <si>
    <t>Capex</t>
  </si>
  <si>
    <t>Reported FCF (OCF - Capex)</t>
  </si>
  <si>
    <t>Owner FCF (= Reported FCF - SBC)</t>
  </si>
  <si>
    <t>Reported FCF Margin %</t>
  </si>
  <si>
    <t>Memo: FY2025 capex was 10.9% of revenue (up from 2.5% FY2021) - the</t>
  </si>
  <si>
    <t>primary driver of AoFrio's negative owner FCF, reflecting capitalized SaaS</t>
  </si>
  <si>
    <t>platform development (SCS 800 / AoFrio iQ), a real recurring cost.</t>
  </si>
  <si>
    <t>Historical Growth Rates</t>
  </si>
  <si>
    <t>3-Year CAGR</t>
  </si>
  <si>
    <t>5-Year CAGR</t>
  </si>
  <si>
    <t>EPS</t>
  </si>
  <si>
    <t>n/a</t>
  </si>
  <si>
    <t>Equity (Book Value)</t>
  </si>
  <si>
    <t>FCF (reported)</t>
  </si>
  <si>
    <t>Growth Rate Source:</t>
  </si>
  <si>
    <t>none_usable -- bottom_up_revenue_build</t>
  </si>
  <si>
    <t>Warning:</t>
  </si>
  <si>
    <t>Historical CAGRs are not usable growth anchors for this DCF. EPS has been near-zero/negative in 6 of the last 8 years (no meaningful compounding to measure); reported FCF was negative in 6 of the last 8 years (FY2018-2025), so no FCF CAGR is computable; equity CAGR is actually NEGATIVE over 3 years (-12.6%) as accumulated losses erode the FY2022 capital raise, and revenue CAGR is dominated by the FY2020 COVID trough base effect (17.7% 5yr) rather than organic strength. None of the standard CAGR anchors are appropriate. This DCF instead builds revenue bottom-up from the realized 1H2026 Motors/IoT segment split and management's FY2026 guidance walk-back, per the analysis brief.</t>
  </si>
  <si>
    <t>Notes:</t>
  </si>
  <si>
    <t>Reported FCF has been negative in FY2018, FY2019, FY2020, FY2022, FY2023, FY2024 and FY2025 (6 of last 8 years); only FY2021 (+$1.7m) and the small FY2024 (-$0.14m, near breakeven) were close to positive. FY2025 FCF of -$5.26m was driven by capex ($9.08m, ~10.9% of revenue, mostly capitalized SaaS platform development) outrunning operating cash flow. SBC has never been a material driver of the gap between reported and owner FCF for this company (always &lt;0.15% of revenue) -- the entire adjustment here is about capex intensity and working capital, not stock compensation.</t>
  </si>
  <si>
    <t>AOF.NZ DCF Model - Provenance &amp; Methodology</t>
  </si>
  <si>
    <t>Built by: dcf-analyst agent (Claude), 2026-08-08.</t>
  </si>
  <si>
    <t>Data vintage: Share price fetched live from Yahoo Finance chart API on 2026-08-08 (NZ$0.065).</t>
  </si>
  <si>
    <t xml:space="preserve">  Financials from AOF.NZ_Metrics.csv (FY2010-FY2025 annuals, H1-2011 to H1-2025 halves) and</t>
  </si>
  <si>
    <t xml:space="preserve">  AOF.NZ_Analysis.json (freshly regenerated qualitative analysis incorporating the 1H2026</t>
  </si>
  <si>
    <t xml:space="preserve">  interim result released Aug-2026 and the May-June 2026 capital raise).</t>
  </si>
  <si>
    <t>KEY METHODOLOGY CHOICES:</t>
  </si>
  <si>
    <t>1. Post-raise share count (561.4m) is an ESTIMATE reconciled from disclosed raise proceeds:</t>
  </si>
  <si>
    <t xml:space="preserve">   FY2025 434.232m + Wairahi placement 65.135m ($4.559m @ $0.07) + 1-for-7 rights issue</t>
  </si>
  <si>
    <t xml:space="preserve">   ~62.0m shares (implied by the remaining $4.341m of the combined $8.9m raised, at $0.07,</t>
  </si>
  <si>
    <t xml:space="preserve">   applied to the pre-placement register). CONFIRM against the next quarterly/annual filing</t>
  </si>
  <si>
    <t xml:space="preserve">   once the exact post-raise register is disclosed.</t>
  </si>
  <si>
    <t>2. FY2026 revenue ($71.1m est, -14.5% YoY) is built from the actual 1H26 result ($33.8m,</t>
  </si>
  <si>
    <t xml:space="preserve">   Motors $10.6m / IoT $23.2m) plus a 2H26 estimate assuming Motors stays flat at the post-</t>
  </si>
  <si>
    <t xml:space="preserve">   customer-loss run-rate and IoT decelerates to +5% YoY (from 1H26 actual +6.8%).</t>
  </si>
  <si>
    <t>3. NO historical CAGR (revenue/EPS/equity/FCF) was usable as a clean growth anchor - equity</t>
  </si>
  <si>
    <t xml:space="preserve">   CAGR is NEGATIVE over 3 years, FCF has been negative in 6 of the last 8 years, and EPS is</t>
  </si>
  <si>
    <t xml:space="preserve">   near-zero/choppy throughout. Revenue is instead built bottom-up from the realized 1H26</t>
  </si>
  <si>
    <t xml:space="preserve">   segment split per the modelling brief.</t>
  </si>
  <si>
    <t>4. 10-year (not 5-year) explicit horizon used because base-case owner-FCF margin is still</t>
  </si>
  <si>
    <t xml:space="preserve">   climbing at year 10 (3.7%, from a 2026 starting point below zero) - a 5-year horizon would</t>
  </si>
  <si>
    <t xml:space="preserve">   capitalize an immature, still-loss-making margin in perpetuity.</t>
  </si>
  <si>
    <t>5. SBC is immaterial for this company (0.02%-0.13% of revenue historically, vs SaaS peers</t>
  </si>
  <si>
    <t xml:space="preserve">   with SBC at teens-% of revenue) - modeled forward at a flat, negligible 0.1% of revenue.</t>
  </si>
  <si>
    <t xml:space="preserve">   The reported-vs-owner FCF gap here is almost entirely capex intensity, not stock comp.</t>
  </si>
  <si>
    <t>6. Base and Bear scenarios model FURTHER dilutive equity raises (at $0.07/share, matching the</t>
  </si>
  <si>
    <t xml:space="preserve">   2026 placement/rights price) whenever cumulative post-raise owner FCF burn exceeds an</t>
  </si>
  <si>
    <t xml:space="preserve">   assumed $8.9m liquidity headroom. This reflects realistic funding risk for a company that</t>
  </si>
  <si>
    <t xml:space="preserve">   already needed to raise capital mid-2026 and remains FCF-negative for years under Base/Bear.</t>
  </si>
  <si>
    <t>7. WACC (20% base, 18% bull, 23% bear) stacks CAPM (12.75%) with premiums for micro-cap size,</t>
  </si>
  <si>
    <t xml:space="preserve">   illiquidity, crystallized customer concentration, and funding/going-concern-adjacent risk.</t>
  </si>
  <si>
    <t xml:space="preserve">   See wacc_rationale block in the JSON for the full stack (sums to 22.25% unstacked; applied</t>
  </si>
  <si>
    <t xml:space="preserve">   base rate of 20% is moderated for comparability with other NZX micro-caps in this project).</t>
  </si>
  <si>
    <t>8. Base-case and Bear-case RAW intrinsic values are NEGATIVE (net debt of $8.2m exceeds the</t>
  </si>
  <si>
    <t xml:space="preserve">   enterprise value this component build generates). Displayed/floored values are MAX(0, raw)</t>
  </si>
  <si>
    <t xml:space="preserve">   per limited liability - this is a genuine, important finding, not a calculation error. See</t>
  </si>
  <si>
    <t xml:space="preserve">   the sanity_check block in the JSON: the market prices AOF.NZ well above what this DCF</t>
  </si>
  <si>
    <t xml:space="preserve">   supports on fundamentals alone, implying the market is pricing real option value on the</t>
  </si>
  <si>
    <t xml:space="preserve">   SCS 800/AoFrio iQ SaaS ramp that a cash-flow-only DCF cannot capture.</t>
  </si>
  <si>
    <t>WHAT TO REFRESH AFTER THE NEXT REPORT (FY2026 annual, expected ~Feb 2027):</t>
  </si>
  <si>
    <t>- Confirm the exact post-raise share count and updated net debt/cash position.</t>
  </si>
  <si>
    <t>- Replace the FY2026 revenue ESTIMATE with the actual reported figure and re-anchor the</t>
  </si>
  <si>
    <t xml:space="preserve">  10-year build from the actual FY2026 base rather than the 1H26-derived estimate.</t>
  </si>
  <si>
    <t>- Check whether SCS 800/AoFrio iQ purchase orders materialized in 2H26 as guided - this is</t>
  </si>
  <si>
    <t xml:space="preserve">  the single biggest swing factor between the Base and Bull scenarios.</t>
  </si>
  <si>
    <t>- Check whether any further capital raise occurred (would confirm/adjust the dilution-funding</t>
  </si>
  <si>
    <t xml:space="preserve">  mechanism built into the Base/Bear scenarios).</t>
  </si>
  <si>
    <t>CELL COLOUR CONVENTIONS:</t>
  </si>
  <si>
    <t>- Light gray cells = INPUTS (safe to edit; formulas will recalculate).</t>
  </si>
  <si>
    <t>- White cells = FORMULAS (derived; edit with care, will break the formula chain).</t>
  </si>
  <si>
    <t>- Green highlight = headline output (intrinsic value, entry price).</t>
  </si>
  <si>
    <t>All figures go stale. This model reflects information available as of 2026-08-08 and must be</t>
  </si>
  <si>
    <t>re-checked against subsequent filings before being relied upon.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</si>
</sst>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&quot;$&quot;#,##0.00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5" fontId="0" fillId="0" borderId="2" xfId="0" applyNumberFormat="1" applyBorder="1"/>
    <xf numFmtId="0" fontId="5" fillId="0" borderId="0" xfId="0" applyFont="1"/>
    <xf numFmtId="166" fontId="0" fillId="0" borderId="2" xfId="0" applyNumberFormat="1" applyBorder="1"/>
    <xf numFmtId="166" fontId="4" fillId="4" borderId="2" xfId="0" applyNumberFormat="1" applyFont="1" applyFill="1" applyBorder="1"/>
    <xf numFmtId="165" fontId="4" fillId="3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cols>
    <col min="1" max="1" width="32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0.065</v>
      </c>
    </row>
    <row r="6" spans="1:2">
      <c r="A6" t="s">
        <v>4</v>
      </c>
      <c r="B6" s="4">
        <v>561.4</v>
      </c>
    </row>
    <row r="7" spans="1:2">
      <c r="A7" t="s">
        <v>5</v>
      </c>
      <c r="B7" s="4">
        <v>1.342</v>
      </c>
    </row>
    <row r="8" spans="1:2">
      <c r="A8" t="s">
        <v>6</v>
      </c>
      <c r="B8" s="4">
        <v>9.553000000000001</v>
      </c>
    </row>
    <row r="9" spans="1:2">
      <c r="A9" t="s">
        <v>7</v>
      </c>
      <c r="B9" s="5">
        <f>B8-B7</f>
        <v>0</v>
      </c>
    </row>
    <row r="10" spans="1:2">
      <c r="A10" t="s">
        <v>8</v>
      </c>
      <c r="B10" s="4">
        <v>71.09999999999999</v>
      </c>
    </row>
    <row r="11" spans="1:2">
      <c r="A11" t="s">
        <v>9</v>
      </c>
      <c r="B11" s="6">
        <v>0.2</v>
      </c>
    </row>
    <row r="12" spans="1:2">
      <c r="A12" t="s">
        <v>10</v>
      </c>
      <c r="B12" s="6">
        <v>0.03</v>
      </c>
    </row>
    <row r="13" spans="1:2">
      <c r="A13" t="s">
        <v>11</v>
      </c>
      <c r="B13" s="4">
        <v>15</v>
      </c>
    </row>
    <row r="14" spans="1:2">
      <c r="A14" t="s">
        <v>12</v>
      </c>
      <c r="B14" s="4">
        <v>0.07000000000000001</v>
      </c>
    </row>
    <row r="15" spans="1:2">
      <c r="A15" t="s">
        <v>13</v>
      </c>
      <c r="B15" s="4">
        <v>8.9</v>
      </c>
    </row>
    <row r="17" spans="1:11">
      <c r="A17" s="3" t="s">
        <v>14</v>
      </c>
    </row>
    <row r="18" spans="1:11">
      <c r="A18" s="7"/>
      <c r="B18" s="7" t="s">
        <v>15</v>
      </c>
      <c r="C18" s="7" t="s">
        <v>16</v>
      </c>
      <c r="D18" s="7" t="s">
        <v>17</v>
      </c>
      <c r="E18" s="7" t="s">
        <v>18</v>
      </c>
      <c r="F18" s="7" t="s">
        <v>19</v>
      </c>
      <c r="G18" s="7" t="s">
        <v>20</v>
      </c>
      <c r="H18" s="7" t="s">
        <v>21</v>
      </c>
      <c r="I18" s="7" t="s">
        <v>22</v>
      </c>
      <c r="J18" s="7" t="s">
        <v>23</v>
      </c>
      <c r="K18" s="7" t="s">
        <v>24</v>
      </c>
    </row>
    <row r="19" spans="1:11">
      <c r="A19" t="s">
        <v>25</v>
      </c>
      <c r="B19" s="6">
        <v>0.08</v>
      </c>
      <c r="C19" s="6">
        <v>0.09</v>
      </c>
      <c r="D19" s="6">
        <v>0.09</v>
      </c>
      <c r="E19" s="6">
        <v>0.08</v>
      </c>
      <c r="F19" s="6">
        <v>0.08</v>
      </c>
      <c r="G19" s="6">
        <v>0.07000000000000001</v>
      </c>
      <c r="H19" s="6">
        <v>0.06</v>
      </c>
      <c r="I19" s="6">
        <v>0.05</v>
      </c>
      <c r="J19" s="6">
        <v>0.04</v>
      </c>
      <c r="K19" s="6">
        <v>0.03</v>
      </c>
    </row>
    <row r="20" spans="1:11">
      <c r="A20" t="s">
        <v>26</v>
      </c>
      <c r="B20" s="6">
        <v>0.025</v>
      </c>
      <c r="C20" s="6">
        <v>0.035</v>
      </c>
      <c r="D20" s="6">
        <v>0.045</v>
      </c>
      <c r="E20" s="6">
        <v>0.055</v>
      </c>
      <c r="F20" s="6">
        <v>0.065</v>
      </c>
      <c r="G20" s="6">
        <v>0.073</v>
      </c>
      <c r="H20" s="6">
        <v>0.08</v>
      </c>
      <c r="I20" s="6">
        <v>0.08599999999999999</v>
      </c>
      <c r="J20" s="6">
        <v>0.092</v>
      </c>
      <c r="K20" s="6">
        <v>0.098</v>
      </c>
    </row>
    <row r="21" spans="1:11">
      <c r="A21" t="s">
        <v>27</v>
      </c>
      <c r="B21" s="6">
        <v>0.001</v>
      </c>
      <c r="C21" s="6">
        <v>0.001</v>
      </c>
      <c r="D21" s="6">
        <v>0.001</v>
      </c>
      <c r="E21" s="6">
        <v>0.001</v>
      </c>
      <c r="F21" s="6">
        <v>0.001</v>
      </c>
      <c r="G21" s="6">
        <v>0.001</v>
      </c>
      <c r="H21" s="6">
        <v>0.001</v>
      </c>
      <c r="I21" s="6">
        <v>0.001</v>
      </c>
      <c r="J21" s="6">
        <v>0.001</v>
      </c>
      <c r="K21" s="6">
        <v>0.001</v>
      </c>
    </row>
    <row r="22" spans="1:11">
      <c r="A22" t="s">
        <v>28</v>
      </c>
      <c r="B22" s="6">
        <v>0.043</v>
      </c>
      <c r="C22" s="6">
        <v>0.042</v>
      </c>
      <c r="D22" s="6">
        <v>0.04099999999999999</v>
      </c>
      <c r="E22" s="6">
        <v>0.04</v>
      </c>
      <c r="F22" s="6">
        <v>0.039</v>
      </c>
      <c r="G22" s="6">
        <v>0.038</v>
      </c>
      <c r="H22" s="6">
        <v>0.03700000000000001</v>
      </c>
      <c r="I22" s="6">
        <v>0.036</v>
      </c>
      <c r="J22" s="6">
        <v>0.035</v>
      </c>
      <c r="K22" s="6">
        <v>0.035</v>
      </c>
    </row>
    <row r="23" spans="1:11">
      <c r="A23" t="s">
        <v>29</v>
      </c>
      <c r="B23" s="6">
        <v>0</v>
      </c>
      <c r="C23" s="6">
        <v>0</v>
      </c>
      <c r="D23" s="6">
        <v>0.05</v>
      </c>
      <c r="E23" s="6">
        <v>0.12</v>
      </c>
      <c r="F23" s="6">
        <v>0.18</v>
      </c>
      <c r="G23" s="6">
        <v>0.21</v>
      </c>
      <c r="H23" s="6">
        <v>0.28</v>
      </c>
      <c r="I23" s="6">
        <v>0.28</v>
      </c>
      <c r="J23" s="6">
        <v>0.28</v>
      </c>
      <c r="K23" s="6">
        <v>0.28</v>
      </c>
    </row>
    <row r="24" spans="1:11">
      <c r="A24" t="s">
        <v>30</v>
      </c>
      <c r="B24" s="6">
        <v>0.095</v>
      </c>
      <c r="C24" s="6">
        <v>0.08500000000000001</v>
      </c>
      <c r="D24" s="6">
        <v>0.075</v>
      </c>
      <c r="E24" s="6">
        <v>0.068</v>
      </c>
      <c r="F24" s="6">
        <v>0.062</v>
      </c>
      <c r="G24" s="6">
        <v>0.057</v>
      </c>
      <c r="H24" s="6">
        <v>0.053</v>
      </c>
      <c r="I24" s="6">
        <v>0.05</v>
      </c>
      <c r="J24" s="6">
        <v>0.048</v>
      </c>
      <c r="K24" s="6">
        <v>0.046</v>
      </c>
    </row>
    <row r="25" spans="1:11">
      <c r="A25" t="s">
        <v>31</v>
      </c>
      <c r="B25" s="6">
        <v>0.12</v>
      </c>
    </row>
    <row r="27" spans="1:11">
      <c r="A27" s="3" t="s">
        <v>32</v>
      </c>
    </row>
    <row r="28" spans="1:11">
      <c r="A28" s="7"/>
      <c r="B28" s="7" t="s">
        <v>15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20</v>
      </c>
      <c r="H28" s="7" t="s">
        <v>21</v>
      </c>
      <c r="I28" s="7" t="s">
        <v>22</v>
      </c>
      <c r="J28" s="7" t="s">
        <v>23</v>
      </c>
      <c r="K28" s="7" t="s">
        <v>24</v>
      </c>
    </row>
    <row r="29" spans="1:11">
      <c r="A29" t="s">
        <v>33</v>
      </c>
      <c r="B29" s="5">
        <f>$B$10*(1+B19)</f>
        <v>0</v>
      </c>
      <c r="C29" s="5">
        <f>B29*(1+C19)</f>
        <v>0</v>
      </c>
      <c r="D29" s="5">
        <f>C29*(1+D19)</f>
        <v>0</v>
      </c>
      <c r="E29" s="5">
        <f>D29*(1+E19)</f>
        <v>0</v>
      </c>
      <c r="F29" s="5">
        <f>E29*(1+F19)</f>
        <v>0</v>
      </c>
      <c r="G29" s="5">
        <f>F29*(1+G19)</f>
        <v>0</v>
      </c>
      <c r="H29" s="5">
        <f>G29*(1+H19)</f>
        <v>0</v>
      </c>
      <c r="I29" s="5">
        <f>H29*(1+I19)</f>
        <v>0</v>
      </c>
      <c r="J29" s="5">
        <f>I29*(1+J19)</f>
        <v>0</v>
      </c>
      <c r="K29" s="5">
        <f>J29*(1+K19)</f>
        <v>0</v>
      </c>
    </row>
    <row r="30" spans="1:11">
      <c r="A30" t="s">
        <v>34</v>
      </c>
      <c r="B30" s="5">
        <f>B29*B20</f>
        <v>0</v>
      </c>
      <c r="C30" s="5">
        <f>C29*C20</f>
        <v>0</v>
      </c>
      <c r="D30" s="5">
        <f>D29*D20</f>
        <v>0</v>
      </c>
      <c r="E30" s="5">
        <f>E29*E20</f>
        <v>0</v>
      </c>
      <c r="F30" s="5">
        <f>F29*F20</f>
        <v>0</v>
      </c>
      <c r="G30" s="5">
        <f>G29*G20</f>
        <v>0</v>
      </c>
      <c r="H30" s="5">
        <f>H29*H20</f>
        <v>0</v>
      </c>
      <c r="I30" s="5">
        <f>I29*I20</f>
        <v>0</v>
      </c>
      <c r="J30" s="5">
        <f>J29*J20</f>
        <v>0</v>
      </c>
      <c r="K30" s="5">
        <f>K29*K20</f>
        <v>0</v>
      </c>
    </row>
    <row r="31" spans="1:11">
      <c r="A31" t="s">
        <v>35</v>
      </c>
      <c r="B31" s="5">
        <f>B29*B21</f>
        <v>0</v>
      </c>
      <c r="C31" s="5">
        <f>C29*C21</f>
        <v>0</v>
      </c>
      <c r="D31" s="5">
        <f>D29*D21</f>
        <v>0</v>
      </c>
      <c r="E31" s="5">
        <f>E29*E21</f>
        <v>0</v>
      </c>
      <c r="F31" s="5">
        <f>F29*F21</f>
        <v>0</v>
      </c>
      <c r="G31" s="5">
        <f>G29*G21</f>
        <v>0</v>
      </c>
      <c r="H31" s="5">
        <f>H29*H21</f>
        <v>0</v>
      </c>
      <c r="I31" s="5">
        <f>I29*I21</f>
        <v>0</v>
      </c>
      <c r="J31" s="5">
        <f>J29*J21</f>
        <v>0</v>
      </c>
      <c r="K31" s="5">
        <f>K29*K21</f>
        <v>0</v>
      </c>
    </row>
    <row r="32" spans="1:11">
      <c r="A32" t="s">
        <v>36</v>
      </c>
      <c r="B32" s="5">
        <f>B30-B31</f>
        <v>0</v>
      </c>
      <c r="C32" s="5">
        <f>C30-C31</f>
        <v>0</v>
      </c>
      <c r="D32" s="5">
        <f>D30-D31</f>
        <v>0</v>
      </c>
      <c r="E32" s="5">
        <f>E30-E31</f>
        <v>0</v>
      </c>
      <c r="F32" s="5">
        <f>F30-F31</f>
        <v>0</v>
      </c>
      <c r="G32" s="5">
        <f>G30-G31</f>
        <v>0</v>
      </c>
      <c r="H32" s="5">
        <f>H30-H31</f>
        <v>0</v>
      </c>
      <c r="I32" s="5">
        <f>I30-I31</f>
        <v>0</v>
      </c>
      <c r="J32" s="5">
        <f>J30-J31</f>
        <v>0</v>
      </c>
      <c r="K32" s="5">
        <f>K30-K31</f>
        <v>0</v>
      </c>
    </row>
    <row r="33" spans="1:11">
      <c r="A33" t="s">
        <v>37</v>
      </c>
      <c r="B33" s="5">
        <f>B29*B22</f>
        <v>0</v>
      </c>
      <c r="C33" s="5">
        <f>C29*C22</f>
        <v>0</v>
      </c>
      <c r="D33" s="5">
        <f>D29*D22</f>
        <v>0</v>
      </c>
      <c r="E33" s="5">
        <f>E29*E22</f>
        <v>0</v>
      </c>
      <c r="F33" s="5">
        <f>F29*F22</f>
        <v>0</v>
      </c>
      <c r="G33" s="5">
        <f>G29*G22</f>
        <v>0</v>
      </c>
      <c r="H33" s="5">
        <f>H29*H22</f>
        <v>0</v>
      </c>
      <c r="I33" s="5">
        <f>I29*I22</f>
        <v>0</v>
      </c>
      <c r="J33" s="5">
        <f>J29*J22</f>
        <v>0</v>
      </c>
      <c r="K33" s="5">
        <f>K29*K22</f>
        <v>0</v>
      </c>
    </row>
    <row r="34" spans="1:11">
      <c r="A34" t="s">
        <v>38</v>
      </c>
      <c r="B34" s="5">
        <f>B32-B33</f>
        <v>0</v>
      </c>
      <c r="C34" s="5">
        <f>C32-C33</f>
        <v>0</v>
      </c>
      <c r="D34" s="5">
        <f>D32-D33</f>
        <v>0</v>
      </c>
      <c r="E34" s="5">
        <f>E32-E33</f>
        <v>0</v>
      </c>
      <c r="F34" s="5">
        <f>F32-F33</f>
        <v>0</v>
      </c>
      <c r="G34" s="5">
        <f>G32-G33</f>
        <v>0</v>
      </c>
      <c r="H34" s="5">
        <f>H32-H33</f>
        <v>0</v>
      </c>
      <c r="I34" s="5">
        <f>I32-I33</f>
        <v>0</v>
      </c>
      <c r="J34" s="5">
        <f>J32-J33</f>
        <v>0</v>
      </c>
      <c r="K34" s="5">
        <f>K32-K33</f>
        <v>0</v>
      </c>
    </row>
    <row r="35" spans="1:11">
      <c r="A35" t="s">
        <v>39</v>
      </c>
      <c r="B35" s="5">
        <f>IF(B34&gt;0,B34*(1-B23),B34)</f>
        <v>0</v>
      </c>
      <c r="C35" s="5">
        <f>IF(C34&gt;0,C34*(1-C23),C34)</f>
        <v>0</v>
      </c>
      <c r="D35" s="5">
        <f>IF(D34&gt;0,D34*(1-D23),D34)</f>
        <v>0</v>
      </c>
      <c r="E35" s="5">
        <f>IF(E34&gt;0,E34*(1-E23),E34)</f>
        <v>0</v>
      </c>
      <c r="F35" s="5">
        <f>IF(F34&gt;0,F34*(1-F23),F34)</f>
        <v>0</v>
      </c>
      <c r="G35" s="5">
        <f>IF(G34&gt;0,G34*(1-G23),G34)</f>
        <v>0</v>
      </c>
      <c r="H35" s="5">
        <f>IF(H34&gt;0,H34*(1-H23),H34)</f>
        <v>0</v>
      </c>
      <c r="I35" s="5">
        <f>IF(I34&gt;0,I34*(1-I23),I34)</f>
        <v>0</v>
      </c>
      <c r="J35" s="5">
        <f>IF(J34&gt;0,J34*(1-J23),J34)</f>
        <v>0</v>
      </c>
      <c r="K35" s="5">
        <f>IF(K34&gt;0,K34*(1-K23),K34)</f>
        <v>0</v>
      </c>
    </row>
    <row r="36" spans="1:11">
      <c r="A36" t="s">
        <v>40</v>
      </c>
      <c r="B36" s="5">
        <f>B33</f>
        <v>0</v>
      </c>
      <c r="C36" s="5">
        <f>C33</f>
        <v>0</v>
      </c>
      <c r="D36" s="5">
        <f>D33</f>
        <v>0</v>
      </c>
      <c r="E36" s="5">
        <f>E33</f>
        <v>0</v>
      </c>
      <c r="F36" s="5">
        <f>F33</f>
        <v>0</v>
      </c>
      <c r="G36" s="5">
        <f>G33</f>
        <v>0</v>
      </c>
      <c r="H36" s="5">
        <f>H33</f>
        <v>0</v>
      </c>
      <c r="I36" s="5">
        <f>I33</f>
        <v>0</v>
      </c>
      <c r="J36" s="5">
        <f>J33</f>
        <v>0</v>
      </c>
      <c r="K36" s="5">
        <f>K33</f>
        <v>0</v>
      </c>
    </row>
    <row r="37" spans="1:11">
      <c r="A37" t="s">
        <v>41</v>
      </c>
      <c r="B37" s="5">
        <f>B29*B24</f>
        <v>0</v>
      </c>
      <c r="C37" s="5">
        <f>C29*C24</f>
        <v>0</v>
      </c>
      <c r="D37" s="5">
        <f>D29*D24</f>
        <v>0</v>
      </c>
      <c r="E37" s="5">
        <f>E29*E24</f>
        <v>0</v>
      </c>
      <c r="F37" s="5">
        <f>F29*F24</f>
        <v>0</v>
      </c>
      <c r="G37" s="5">
        <f>G29*G24</f>
        <v>0</v>
      </c>
      <c r="H37" s="5">
        <f>H29*H24</f>
        <v>0</v>
      </c>
      <c r="I37" s="5">
        <f>I29*I24</f>
        <v>0</v>
      </c>
      <c r="J37" s="5">
        <f>J29*J24</f>
        <v>0</v>
      </c>
      <c r="K37" s="5">
        <f>K29*K24</f>
        <v>0</v>
      </c>
    </row>
    <row r="38" spans="1:11">
      <c r="A38" t="s">
        <v>42</v>
      </c>
      <c r="B38" s="5">
        <f>$B$25*(B29-$B$10)</f>
        <v>0</v>
      </c>
      <c r="C38" s="5">
        <f>$B$25*(C29-B29)</f>
        <v>0</v>
      </c>
      <c r="D38" s="5">
        <f>$B$25*(D29-C29)</f>
        <v>0</v>
      </c>
      <c r="E38" s="5">
        <f>$B$25*(E29-D29)</f>
        <v>0</v>
      </c>
      <c r="F38" s="5">
        <f>$B$25*(F29-E29)</f>
        <v>0</v>
      </c>
      <c r="G38" s="5">
        <f>$B$25*(G29-F29)</f>
        <v>0</v>
      </c>
      <c r="H38" s="5">
        <f>$B$25*(H29-G29)</f>
        <v>0</v>
      </c>
      <c r="I38" s="5">
        <f>$B$25*(I29-H29)</f>
        <v>0</v>
      </c>
      <c r="J38" s="5">
        <f>$B$25*(J29-I29)</f>
        <v>0</v>
      </c>
      <c r="K38" s="5">
        <f>$B$25*(K29-J29)</f>
        <v>0</v>
      </c>
    </row>
    <row r="39" spans="1:11">
      <c r="A39" t="s">
        <v>43</v>
      </c>
      <c r="B39" s="5">
        <f>B35+B36-B37+B38</f>
        <v>0</v>
      </c>
      <c r="C39" s="5">
        <f>C35+C36-C37+C38</f>
        <v>0</v>
      </c>
      <c r="D39" s="5">
        <f>D35+D36-D37+D38</f>
        <v>0</v>
      </c>
      <c r="E39" s="5">
        <f>E35+E36-E37+E38</f>
        <v>0</v>
      </c>
      <c r="F39" s="5">
        <f>F35+F36-F37+F38</f>
        <v>0</v>
      </c>
      <c r="G39" s="5">
        <f>G35+G36-G37+G38</f>
        <v>0</v>
      </c>
      <c r="H39" s="5">
        <f>H35+H36-H37+H38</f>
        <v>0</v>
      </c>
      <c r="I39" s="5">
        <f>I35+I36-I37+I38</f>
        <v>0</v>
      </c>
      <c r="J39" s="5">
        <f>J35+J36-J37+J38</f>
        <v>0</v>
      </c>
      <c r="K39" s="5">
        <f>K35+K36-K37+K38</f>
        <v>0</v>
      </c>
    </row>
    <row r="40" spans="1:11">
      <c r="A40" t="s">
        <v>44</v>
      </c>
      <c r="B40" s="8">
        <f>B39/B29</f>
        <v>0</v>
      </c>
      <c r="C40" s="8">
        <f>C39/C29</f>
        <v>0</v>
      </c>
      <c r="D40" s="8">
        <f>D39/D29</f>
        <v>0</v>
      </c>
      <c r="E40" s="8">
        <f>E39/E29</f>
        <v>0</v>
      </c>
      <c r="F40" s="8">
        <f>F39/F29</f>
        <v>0</v>
      </c>
      <c r="G40" s="8">
        <f>G39/G29</f>
        <v>0</v>
      </c>
      <c r="H40" s="8">
        <f>H39/H29</f>
        <v>0</v>
      </c>
      <c r="I40" s="8">
        <f>I39/I29</f>
        <v>0</v>
      </c>
      <c r="J40" s="8">
        <f>J39/J29</f>
        <v>0</v>
      </c>
      <c r="K40" s="8">
        <f>K39/K29</f>
        <v>0</v>
      </c>
    </row>
    <row r="41" spans="1:11">
      <c r="A41" t="s">
        <v>45</v>
      </c>
      <c r="B41" s="5">
        <f>IF(B39&lt;-$B$15,-$B$15,B39)</f>
        <v>0</v>
      </c>
      <c r="C41" s="5">
        <f>IF(B41+C39&lt;-$B$15,-$B$15,B41+C39)</f>
        <v>0</v>
      </c>
      <c r="D41" s="5">
        <f>IF(C41+D39&lt;-$B$15,-$B$15,C41+D39)</f>
        <v>0</v>
      </c>
      <c r="E41" s="5">
        <f>IF(D41+E39&lt;-$B$15,-$B$15,D41+E39)</f>
        <v>0</v>
      </c>
      <c r="F41" s="5">
        <f>IF(E41+F39&lt;-$B$15,-$B$15,E41+F39)</f>
        <v>0</v>
      </c>
      <c r="G41" s="5">
        <f>IF(F41+G39&lt;-$B$15,-$B$15,F41+G39)</f>
        <v>0</v>
      </c>
      <c r="H41" s="5">
        <f>IF(G41+H39&lt;-$B$15,-$B$15,G41+H39)</f>
        <v>0</v>
      </c>
      <c r="I41" s="5">
        <f>IF(H41+I39&lt;-$B$15,-$B$15,H41+I39)</f>
        <v>0</v>
      </c>
      <c r="J41" s="5">
        <f>IF(I41+J39&lt;-$B$15,-$B$15,I41+J39)</f>
        <v>0</v>
      </c>
      <c r="K41" s="5">
        <f>IF(J41+K39&lt;-$B$15,-$B$15,J41+K39)</f>
        <v>0</v>
      </c>
    </row>
    <row r="42" spans="1:11">
      <c r="A42" t="s">
        <v>46</v>
      </c>
      <c r="B42" s="5">
        <f>IF((0+B39)&lt;-$B$15,$B$6+((-$B$15-(0+B39))/$B$14),$B$6)</f>
        <v>0</v>
      </c>
      <c r="C42" s="5">
        <f>IF((B41+C39)&lt;-$B$15,B42+((-$B$15-(B41+C39))/$B$14),B42)</f>
        <v>0</v>
      </c>
      <c r="D42" s="5">
        <f>IF((C41+D39)&lt;-$B$15,C42+((-$B$15-(C41+D39))/$B$14),C42)</f>
        <v>0</v>
      </c>
      <c r="E42" s="5">
        <f>IF((D41+E39)&lt;-$B$15,D42+((-$B$15-(D41+E39))/$B$14),D42)</f>
        <v>0</v>
      </c>
      <c r="F42" s="5">
        <f>IF((E41+F39)&lt;-$B$15,E42+((-$B$15-(E41+F39))/$B$14),E42)</f>
        <v>0</v>
      </c>
      <c r="G42" s="5">
        <f>IF((F41+G39)&lt;-$B$15,F42+((-$B$15-(F41+G39))/$B$14),F42)</f>
        <v>0</v>
      </c>
      <c r="H42" s="5">
        <f>IF((G41+H39)&lt;-$B$15,G42+((-$B$15-(G41+H39))/$B$14),G42)</f>
        <v>0</v>
      </c>
      <c r="I42" s="5">
        <f>IF((H41+I39)&lt;-$B$15,H42+((-$B$15-(H41+I39))/$B$14),H42)</f>
        <v>0</v>
      </c>
      <c r="J42" s="5">
        <f>IF((I41+J39)&lt;-$B$15,I42+((-$B$15-(I41+J39))/$B$14),I42)</f>
        <v>0</v>
      </c>
      <c r="K42" s="5">
        <f>IF((J41+K39)&lt;-$B$15,J42+((-$B$15-(J41+K39))/$B$14),J42)</f>
        <v>0</v>
      </c>
    </row>
    <row r="43" spans="1:11">
      <c r="A43" t="s">
        <v>47</v>
      </c>
      <c r="B43" s="5">
        <f>1/(1+$B$11)^1</f>
        <v>0</v>
      </c>
      <c r="C43" s="5">
        <f>1/(1+$B$11)^2</f>
        <v>0</v>
      </c>
      <c r="D43" s="5">
        <f>1/(1+$B$11)^3</f>
        <v>0</v>
      </c>
      <c r="E43" s="5">
        <f>1/(1+$B$11)^4</f>
        <v>0</v>
      </c>
      <c r="F43" s="5">
        <f>1/(1+$B$11)^5</f>
        <v>0</v>
      </c>
      <c r="G43" s="5">
        <f>1/(1+$B$11)^6</f>
        <v>0</v>
      </c>
      <c r="H43" s="5">
        <f>1/(1+$B$11)^7</f>
        <v>0</v>
      </c>
      <c r="I43" s="5">
        <f>1/(1+$B$11)^8</f>
        <v>0</v>
      </c>
      <c r="J43" s="5">
        <f>1/(1+$B$11)^9</f>
        <v>0</v>
      </c>
      <c r="K43" s="5">
        <f>1/(1+$B$11)^10</f>
        <v>0</v>
      </c>
    </row>
    <row r="44" spans="1:11">
      <c r="A44" t="s">
        <v>48</v>
      </c>
      <c r="B44" s="5">
        <f>B39*B43</f>
        <v>0</v>
      </c>
      <c r="C44" s="5">
        <f>C39*C43</f>
        <v>0</v>
      </c>
      <c r="D44" s="5">
        <f>D39*D43</f>
        <v>0</v>
      </c>
      <c r="E44" s="5">
        <f>E39*E43</f>
        <v>0</v>
      </c>
      <c r="F44" s="5">
        <f>F39*F43</f>
        <v>0</v>
      </c>
      <c r="G44" s="5">
        <f>G39*G43</f>
        <v>0</v>
      </c>
      <c r="H44" s="5">
        <f>H39*H43</f>
        <v>0</v>
      </c>
      <c r="I44" s="5">
        <f>I39*I43</f>
        <v>0</v>
      </c>
      <c r="J44" s="5">
        <f>J39*J43</f>
        <v>0</v>
      </c>
      <c r="K44" s="5">
        <f>K39*K43</f>
        <v>0</v>
      </c>
    </row>
    <row r="46" spans="1:11">
      <c r="A46" s="3" t="s">
        <v>49</v>
      </c>
    </row>
    <row r="47" spans="1:11">
      <c r="A47" t="s">
        <v>50</v>
      </c>
      <c r="B47" s="5">
        <f>SUM(B44:K44)</f>
        <v>0</v>
      </c>
    </row>
    <row r="48" spans="1:11">
      <c r="A48" t="s">
        <v>51</v>
      </c>
      <c r="B48" s="5">
        <f>K39*(1+$B$12)</f>
        <v>0</v>
      </c>
    </row>
    <row r="49" spans="1:2">
      <c r="A49" t="s">
        <v>52</v>
      </c>
      <c r="B49" s="5">
        <f>B48/($B$11-$B$12)</f>
        <v>0</v>
      </c>
    </row>
    <row r="50" spans="1:2">
      <c r="A50" t="s">
        <v>53</v>
      </c>
      <c r="B50" s="5">
        <f>$B$13*K39</f>
        <v>0</v>
      </c>
    </row>
    <row r="51" spans="1:2">
      <c r="A51" t="s">
        <v>54</v>
      </c>
      <c r="B51" s="5">
        <f>IF(K39&gt;0,MIN(B49,B50),B49)</f>
        <v>0</v>
      </c>
    </row>
    <row r="52" spans="1:2">
      <c r="A52" t="s">
        <v>55</v>
      </c>
      <c r="B52" s="5">
        <f>B51*K43</f>
        <v>0</v>
      </c>
    </row>
    <row r="53" spans="1:2">
      <c r="A53" t="s">
        <v>56</v>
      </c>
      <c r="B53" s="5">
        <f>B47+B52</f>
        <v>0</v>
      </c>
    </row>
    <row r="54" spans="1:2">
      <c r="A54" t="s">
        <v>57</v>
      </c>
      <c r="B54" s="5">
        <f>B9</f>
        <v>0</v>
      </c>
    </row>
    <row r="55" spans="1:2">
      <c r="A55" t="s">
        <v>58</v>
      </c>
      <c r="B55" s="5">
        <f>B53-B54</f>
        <v>0</v>
      </c>
    </row>
    <row r="56" spans="1:2">
      <c r="A56" t="s">
        <v>59</v>
      </c>
      <c r="B56" s="5">
        <f>MAX(0,B55)</f>
        <v>0</v>
      </c>
    </row>
    <row r="57" spans="1:2">
      <c r="A57" s="9" t="s">
        <v>60</v>
      </c>
      <c r="B57" s="10">
        <f>B55/K42</f>
        <v>0</v>
      </c>
    </row>
    <row r="58" spans="1:2">
      <c r="A58" s="9" t="s">
        <v>61</v>
      </c>
      <c r="B58" s="11">
        <f>MAX(0,B57)</f>
        <v>0</v>
      </c>
    </row>
    <row r="60" spans="1:2">
      <c r="A60" s="3" t="s">
        <v>62</v>
      </c>
    </row>
    <row r="61" spans="1:2">
      <c r="A61" t="s">
        <v>63</v>
      </c>
      <c r="B61" s="5">
        <f>NPV(0.15,B39:K39)</f>
        <v>0</v>
      </c>
    </row>
    <row r="62" spans="1:2">
      <c r="A62" t="s">
        <v>64</v>
      </c>
      <c r="B62" s="5">
        <f>B51/(1.15^10)</f>
        <v>0</v>
      </c>
    </row>
    <row r="63" spans="1:2">
      <c r="A63" t="s">
        <v>57</v>
      </c>
      <c r="B63" s="5">
        <f>B9</f>
        <v>0</v>
      </c>
    </row>
    <row r="64" spans="1:2">
      <c r="A64" t="s">
        <v>65</v>
      </c>
      <c r="B64" s="5">
        <f>B61+B62-B63</f>
        <v>0</v>
      </c>
    </row>
    <row r="65" spans="1:2">
      <c r="A65" t="s">
        <v>66</v>
      </c>
      <c r="B65" s="10">
        <f>B64/K42</f>
        <v>0</v>
      </c>
    </row>
    <row r="66" spans="1:2">
      <c r="A66" s="9" t="s">
        <v>67</v>
      </c>
      <c r="B66" s="11">
        <f>MAX(0,B65)</f>
        <v>0</v>
      </c>
    </row>
    <row r="68" spans="1:2">
      <c r="A68" t="s">
        <v>68</v>
      </c>
      <c r="B68" s="8">
        <f>(B58-B5)/B5</f>
        <v>0</v>
      </c>
    </row>
    <row r="69" spans="1:2">
      <c r="A69" t="s">
        <v>69</v>
      </c>
      <c r="B69" s="8">
        <f>(B5-B66)/B5</f>
        <v>0</v>
      </c>
    </row>
    <row r="71" spans="1:2">
      <c r="A71" s="2" t="s">
        <v>70</v>
      </c>
    </row>
    <row r="72" spans="1:2">
      <c r="A72" s="2" t="s">
        <v>71</v>
      </c>
    </row>
    <row r="73" spans="1:2">
      <c r="A73" s="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73</v>
      </c>
    </row>
    <row r="3" spans="1:4">
      <c r="A3" s="7" t="s">
        <v>74</v>
      </c>
      <c r="B3" s="7" t="s">
        <v>75</v>
      </c>
      <c r="C3" s="7" t="s">
        <v>76</v>
      </c>
      <c r="D3" s="7" t="s">
        <v>77</v>
      </c>
    </row>
    <row r="4" spans="1:4">
      <c r="A4" t="s">
        <v>9</v>
      </c>
      <c r="B4" s="8">
        <v>0.23</v>
      </c>
      <c r="C4" s="8">
        <v>0.2</v>
      </c>
      <c r="D4" s="8">
        <v>0.18</v>
      </c>
    </row>
    <row r="5" spans="1:4">
      <c r="A5" t="s">
        <v>78</v>
      </c>
      <c r="B5" s="8">
        <v>0.015</v>
      </c>
      <c r="C5" s="8">
        <v>0.03</v>
      </c>
      <c r="D5" s="8">
        <v>0.035</v>
      </c>
    </row>
    <row r="6" spans="1:4">
      <c r="A6" t="s">
        <v>79</v>
      </c>
      <c r="B6" s="5">
        <v>87.43000000000001</v>
      </c>
      <c r="C6" s="5">
        <v>135.75</v>
      </c>
      <c r="D6" s="5">
        <v>186.42</v>
      </c>
    </row>
    <row r="7" spans="1:4">
      <c r="A7" t="s">
        <v>80</v>
      </c>
      <c r="B7" s="5">
        <v>-0.843</v>
      </c>
      <c r="C7" s="5">
        <v>5.041</v>
      </c>
      <c r="D7" s="5">
        <v>15.081</v>
      </c>
    </row>
    <row r="8" spans="1:4">
      <c r="A8" t="s">
        <v>81</v>
      </c>
      <c r="B8" s="8">
        <v>-0.009599999999999999</v>
      </c>
      <c r="C8" s="8">
        <v>0.0371</v>
      </c>
      <c r="D8" s="8">
        <v>0.0809</v>
      </c>
    </row>
    <row r="9" spans="1:4">
      <c r="A9" t="s">
        <v>82</v>
      </c>
      <c r="B9" s="5">
        <v>766.75</v>
      </c>
      <c r="C9" s="5">
        <v>588.77</v>
      </c>
      <c r="D9" s="5">
        <v>561.4</v>
      </c>
    </row>
    <row r="10" spans="1:4">
      <c r="A10" t="s">
        <v>83</v>
      </c>
      <c r="B10" s="10">
        <v>-0.0272</v>
      </c>
      <c r="C10" s="10">
        <v>-0.012</v>
      </c>
      <c r="D10" s="10">
        <v>0.0459</v>
      </c>
    </row>
    <row r="11" spans="1:4">
      <c r="A11" t="s">
        <v>84</v>
      </c>
      <c r="B11" s="10">
        <v>0</v>
      </c>
      <c r="C11" s="10">
        <v>0</v>
      </c>
      <c r="D11" s="10">
        <v>0.0459</v>
      </c>
    </row>
    <row r="12" spans="1:4">
      <c r="A12" t="s">
        <v>85</v>
      </c>
      <c r="B12" s="8">
        <v>-1</v>
      </c>
      <c r="C12" s="8">
        <v>-1</v>
      </c>
      <c r="D12" s="8">
        <v>-0.294</v>
      </c>
    </row>
    <row r="13" spans="1:4">
      <c r="A13" t="s">
        <v>86</v>
      </c>
      <c r="B13" s="10">
        <v>0</v>
      </c>
      <c r="C13" s="10">
        <v>0</v>
      </c>
      <c r="D13" s="10">
        <v>0.0631</v>
      </c>
    </row>
    <row r="14" spans="1:4">
      <c r="A14" t="s">
        <v>87</v>
      </c>
      <c r="B14" s="5">
        <v>4</v>
      </c>
      <c r="C14" s="5">
        <v>435.7</v>
      </c>
      <c r="D14" s="5">
        <v>60.6</v>
      </c>
    </row>
    <row r="17" spans="1:4">
      <c r="A17" s="9" t="s">
        <v>88</v>
      </c>
      <c r="B17" s="8">
        <v>0.3</v>
      </c>
      <c r="C17" s="8">
        <v>0.5</v>
      </c>
      <c r="D17" s="8">
        <v>0.2</v>
      </c>
    </row>
    <row r="19" spans="1:4">
      <c r="A19" s="9" t="s">
        <v>89</v>
      </c>
      <c r="B19" s="11">
        <v>0.0092</v>
      </c>
    </row>
    <row r="20" spans="1:4">
      <c r="A20" s="9" t="s">
        <v>90</v>
      </c>
      <c r="B20" s="10">
        <v>-0.005</v>
      </c>
    </row>
    <row r="21" spans="1:4">
      <c r="A21" s="9" t="s">
        <v>91</v>
      </c>
      <c r="B21" s="8">
        <v>-0.8590000000000001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92</v>
      </c>
    </row>
    <row r="2" spans="1:6">
      <c r="A2" t="s">
        <v>93</v>
      </c>
    </row>
    <row r="4" spans="1:6">
      <c r="A4" s="7" t="s">
        <v>94</v>
      </c>
      <c r="B4" s="12">
        <v>0.01</v>
      </c>
      <c r="C4" s="12">
        <v>0.02</v>
      </c>
      <c r="D4" s="12">
        <v>0.03</v>
      </c>
      <c r="E4" s="12">
        <v>0.04</v>
      </c>
      <c r="F4" s="12">
        <v>0.05</v>
      </c>
    </row>
    <row r="5" spans="1:6">
      <c r="A5" s="12">
        <v>0.16</v>
      </c>
      <c r="B5" s="10">
        <v>-0.006</v>
      </c>
      <c r="C5" s="10">
        <v>-0.005</v>
      </c>
      <c r="D5" s="10">
        <v>-0.0037</v>
      </c>
      <c r="E5" s="10">
        <v>-0.0023</v>
      </c>
      <c r="F5" s="10">
        <v>-0.0005999999999999999</v>
      </c>
    </row>
    <row r="6" spans="1:6">
      <c r="A6" s="12">
        <v>0.18</v>
      </c>
      <c r="B6" s="10">
        <v>-0.0101</v>
      </c>
      <c r="C6" s="10">
        <v>-0.0094</v>
      </c>
      <c r="D6" s="10">
        <v>-0.0086</v>
      </c>
      <c r="E6" s="10">
        <v>-0.0077</v>
      </c>
      <c r="F6" s="10">
        <v>-0.0066</v>
      </c>
    </row>
    <row r="7" spans="1:6">
      <c r="A7" s="12">
        <v>0.2</v>
      </c>
      <c r="B7" s="10">
        <v>-0.0131</v>
      </c>
      <c r="C7" s="10">
        <v>-0.0126</v>
      </c>
      <c r="D7" s="10">
        <v>-0.012</v>
      </c>
      <c r="E7" s="10">
        <v>-0.0114</v>
      </c>
      <c r="F7" s="10">
        <v>-0.0107</v>
      </c>
    </row>
    <row r="8" spans="1:6">
      <c r="A8" s="12">
        <v>0.22</v>
      </c>
      <c r="B8" s="10">
        <v>-0.0152</v>
      </c>
      <c r="C8" s="10">
        <v>-0.0149</v>
      </c>
      <c r="D8" s="10">
        <v>-0.0145</v>
      </c>
      <c r="E8" s="10">
        <v>-0.0141</v>
      </c>
      <c r="F8" s="10">
        <v>-0.0136</v>
      </c>
    </row>
    <row r="9" spans="1:6">
      <c r="A9" s="12">
        <v>0.24</v>
      </c>
      <c r="B9" s="10">
        <v>-0.0169</v>
      </c>
      <c r="C9" s="10">
        <v>-0.0166</v>
      </c>
      <c r="D9" s="10">
        <v>-0.0163</v>
      </c>
      <c r="E9" s="10">
        <v>-0.0161</v>
      </c>
      <c r="F9" s="10">
        <v>-0.0157</v>
      </c>
    </row>
    <row r="11" spans="1:6">
      <c r="A11" s="2" t="s">
        <v>95</v>
      </c>
    </row>
    <row r="12" spans="1:6">
      <c r="A12" s="2" t="s">
        <v>96</v>
      </c>
    </row>
    <row r="13" spans="1:6">
      <c r="A13" s="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cols>
    <col min="1" max="1" width="32.7109375" customWidth="1"/>
    <col min="2" max="10" width="11.7109375" customWidth="1"/>
  </cols>
  <sheetData>
    <row r="1" spans="1:9">
      <c r="A1" s="1" t="s">
        <v>98</v>
      </c>
    </row>
    <row r="2" spans="1:9">
      <c r="A2" s="2" t="s">
        <v>99</v>
      </c>
    </row>
    <row r="3" spans="1:9">
      <c r="A3" s="2" t="s">
        <v>100</v>
      </c>
    </row>
    <row r="5" spans="1:9">
      <c r="A5" s="7" t="s">
        <v>74</v>
      </c>
      <c r="B5" s="7" t="s">
        <v>101</v>
      </c>
      <c r="C5" s="7" t="s">
        <v>102</v>
      </c>
      <c r="D5" s="7" t="s">
        <v>103</v>
      </c>
      <c r="E5" s="7" t="s">
        <v>104</v>
      </c>
      <c r="F5" s="7" t="s">
        <v>105</v>
      </c>
      <c r="G5" s="7" t="s">
        <v>106</v>
      </c>
      <c r="H5" s="7" t="s">
        <v>107</v>
      </c>
      <c r="I5" s="7" t="s">
        <v>108</v>
      </c>
    </row>
    <row r="6" spans="1:9">
      <c r="A6" t="s">
        <v>33</v>
      </c>
      <c r="B6" s="5">
        <v>58.761</v>
      </c>
      <c r="C6" s="5">
        <v>61.719</v>
      </c>
      <c r="D6" s="5">
        <v>36.88</v>
      </c>
      <c r="E6" s="5">
        <v>64.218</v>
      </c>
      <c r="F6" s="5">
        <v>74.324</v>
      </c>
      <c r="G6" s="5">
        <v>66.55200000000001</v>
      </c>
      <c r="H6" s="5">
        <v>79.69</v>
      </c>
      <c r="I6" s="5">
        <v>83.18600000000001</v>
      </c>
    </row>
    <row r="7" spans="1:9">
      <c r="A7" t="s">
        <v>109</v>
      </c>
      <c r="B7" s="5">
        <v>1.849</v>
      </c>
      <c r="C7" s="5">
        <v>2.987</v>
      </c>
      <c r="D7" s="5">
        <v>0.34</v>
      </c>
      <c r="E7" s="5">
        <v>3.947</v>
      </c>
      <c r="F7" s="5">
        <v>-4.364</v>
      </c>
      <c r="G7" s="5">
        <v>3.948</v>
      </c>
      <c r="H7" s="5">
        <v>5.762</v>
      </c>
      <c r="I7" s="5">
        <v>3.819</v>
      </c>
    </row>
    <row r="8" spans="1:9">
      <c r="A8" t="s">
        <v>110</v>
      </c>
      <c r="B8" s="5">
        <v>2.526</v>
      </c>
      <c r="C8" s="5">
        <v>3.758</v>
      </c>
      <c r="D8" s="5">
        <v>3.363</v>
      </c>
      <c r="E8" s="5">
        <v>2.223</v>
      </c>
      <c r="F8" s="5">
        <v>1.846</v>
      </c>
      <c r="G8" s="5">
        <v>4.379</v>
      </c>
      <c r="H8" s="5">
        <v>5.902</v>
      </c>
      <c r="I8" s="5">
        <v>9.077999999999999</v>
      </c>
    </row>
    <row r="9" spans="1:9">
      <c r="A9" t="s">
        <v>111</v>
      </c>
      <c r="B9" s="5">
        <v>-0.677</v>
      </c>
      <c r="C9" s="5">
        <v>-0.771</v>
      </c>
      <c r="D9" s="5">
        <v>-3.023</v>
      </c>
      <c r="E9" s="5">
        <v>1.724</v>
      </c>
      <c r="F9" s="5">
        <v>-6.21</v>
      </c>
      <c r="G9" s="5">
        <v>-0.431</v>
      </c>
      <c r="H9" s="5">
        <v>-0.14</v>
      </c>
      <c r="I9" s="5">
        <v>-5.259</v>
      </c>
    </row>
    <row r="10" spans="1:9">
      <c r="A10" t="s">
        <v>35</v>
      </c>
      <c r="B10" s="5">
        <v>0.056</v>
      </c>
      <c r="C10" s="5">
        <v>0.012</v>
      </c>
      <c r="D10" s="5">
        <v>0.006</v>
      </c>
      <c r="E10" s="5">
        <v>0.031</v>
      </c>
      <c r="F10" s="5">
        <v>0.095</v>
      </c>
      <c r="G10" s="5">
        <v>0.077</v>
      </c>
      <c r="H10" s="5">
        <v>0.07099999999999999</v>
      </c>
      <c r="I10" s="5">
        <v>0.016</v>
      </c>
    </row>
    <row r="11" spans="1:9">
      <c r="A11" t="s">
        <v>112</v>
      </c>
      <c r="B11" s="5">
        <f>B9-B10</f>
        <v>0</v>
      </c>
      <c r="C11" s="5">
        <f>C9-C10</f>
        <v>0</v>
      </c>
      <c r="D11" s="5">
        <f>D9-D10</f>
        <v>0</v>
      </c>
      <c r="E11" s="5">
        <f>E9-E10</f>
        <v>0</v>
      </c>
      <c r="F11" s="5">
        <f>F9-F10</f>
        <v>0</v>
      </c>
      <c r="G11" s="5">
        <f>G9-G10</f>
        <v>0</v>
      </c>
      <c r="H11" s="5">
        <f>H9-H10</f>
        <v>0</v>
      </c>
      <c r="I11" s="5">
        <f>I9-I10</f>
        <v>0</v>
      </c>
    </row>
    <row r="12" spans="1:9">
      <c r="A12" t="s">
        <v>113</v>
      </c>
      <c r="B12" s="8">
        <f>B9/B6</f>
        <v>0</v>
      </c>
      <c r="C12" s="8">
        <f>C9/C6</f>
        <v>0</v>
      </c>
      <c r="D12" s="8">
        <f>D9/D6</f>
        <v>0</v>
      </c>
      <c r="E12" s="8">
        <f>E9/E6</f>
        <v>0</v>
      </c>
      <c r="F12" s="8">
        <f>F9/F6</f>
        <v>0</v>
      </c>
      <c r="G12" s="8">
        <f>G9/G6</f>
        <v>0</v>
      </c>
      <c r="H12" s="8">
        <f>H9/H6</f>
        <v>0</v>
      </c>
      <c r="I12" s="8">
        <f>I9/I6</f>
        <v>0</v>
      </c>
    </row>
    <row r="13" spans="1:9">
      <c r="A13" t="s">
        <v>44</v>
      </c>
      <c r="B13" s="8">
        <f>B11/B6</f>
        <v>0</v>
      </c>
      <c r="C13" s="8">
        <f>C11/C6</f>
        <v>0</v>
      </c>
      <c r="D13" s="8">
        <f>D11/D6</f>
        <v>0</v>
      </c>
      <c r="E13" s="8">
        <f>E11/E6</f>
        <v>0</v>
      </c>
      <c r="F13" s="8">
        <f>F11/F6</f>
        <v>0</v>
      </c>
      <c r="G13" s="8">
        <f>G11/G6</f>
        <v>0</v>
      </c>
      <c r="H13" s="8">
        <f>H11/H6</f>
        <v>0</v>
      </c>
      <c r="I13" s="8">
        <f>I11/I6</f>
        <v>0</v>
      </c>
    </row>
    <row r="14" spans="1:9">
      <c r="A14" t="s">
        <v>30</v>
      </c>
      <c r="B14" s="8">
        <f>B8/B6</f>
        <v>0</v>
      </c>
      <c r="C14" s="8">
        <f>C8/C6</f>
        <v>0</v>
      </c>
      <c r="D14" s="8">
        <f>D8/D6</f>
        <v>0</v>
      </c>
      <c r="E14" s="8">
        <f>E8/E6</f>
        <v>0</v>
      </c>
      <c r="F14" s="8">
        <f>F8/F6</f>
        <v>0</v>
      </c>
      <c r="G14" s="8">
        <f>G8/G6</f>
        <v>0</v>
      </c>
      <c r="H14" s="8">
        <f>H8/H6</f>
        <v>0</v>
      </c>
      <c r="I14" s="8">
        <f>I8/I6</f>
        <v>0</v>
      </c>
    </row>
    <row r="16" spans="1:9">
      <c r="A16" s="2" t="s">
        <v>114</v>
      </c>
    </row>
    <row r="17" spans="1:1">
      <c r="A17" s="2" t="s">
        <v>115</v>
      </c>
    </row>
    <row r="18" spans="1:1">
      <c r="A18" s="2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24.7109375" customWidth="1"/>
    <col min="2" max="3" width="15.7109375" customWidth="1"/>
  </cols>
  <sheetData>
    <row r="1" spans="1:3">
      <c r="A1" s="1" t="s">
        <v>117</v>
      </c>
    </row>
    <row r="3" spans="1:3">
      <c r="A3" s="7" t="s">
        <v>74</v>
      </c>
      <c r="B3" s="7" t="s">
        <v>118</v>
      </c>
      <c r="C3" s="7" t="s">
        <v>119</v>
      </c>
    </row>
    <row r="4" spans="1:3">
      <c r="A4" t="s">
        <v>33</v>
      </c>
      <c r="B4" s="8">
        <v>0.038</v>
      </c>
      <c r="C4" s="8">
        <v>0.177</v>
      </c>
    </row>
    <row r="5" spans="1:3">
      <c r="A5" t="s">
        <v>120</v>
      </c>
      <c r="B5" t="s">
        <v>121</v>
      </c>
      <c r="C5" t="s">
        <v>121</v>
      </c>
    </row>
    <row r="6" spans="1:3">
      <c r="A6" t="s">
        <v>122</v>
      </c>
      <c r="B6" s="8">
        <v>-0.126</v>
      </c>
      <c r="C6" s="8">
        <v>0.015</v>
      </c>
    </row>
    <row r="7" spans="1:3">
      <c r="A7" t="s">
        <v>123</v>
      </c>
      <c r="B7" t="s">
        <v>121</v>
      </c>
      <c r="C7" t="s">
        <v>121</v>
      </c>
    </row>
    <row r="9" spans="1:3">
      <c r="A9" s="9" t="s">
        <v>124</v>
      </c>
      <c r="B9" t="s">
        <v>125</v>
      </c>
    </row>
    <row r="11" spans="1:3">
      <c r="A11" s="9" t="s">
        <v>126</v>
      </c>
    </row>
    <row r="12" spans="1:3" ht="90" customHeight="1">
      <c r="A12" s="13" t="s">
        <v>127</v>
      </c>
    </row>
    <row r="14" spans="1:3">
      <c r="A14" s="9" t="s">
        <v>128</v>
      </c>
    </row>
    <row r="15" spans="1:3" ht="75" customHeight="1">
      <c r="A15" s="13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sheetFormatPr defaultRowHeight="15"/>
  <cols>
    <col min="1" max="1" width="100.7109375" customWidth="1"/>
  </cols>
  <sheetData>
    <row r="1" spans="1:1">
      <c r="A1" s="1" t="s">
        <v>130</v>
      </c>
    </row>
    <row r="3" spans="1:1">
      <c r="A3" t="s">
        <v>131</v>
      </c>
    </row>
    <row r="4" spans="1:1">
      <c r="A4" t="s">
        <v>132</v>
      </c>
    </row>
    <row r="5" spans="1:1">
      <c r="A5" t="s">
        <v>133</v>
      </c>
    </row>
    <row r="6" spans="1:1">
      <c r="A6" t="s">
        <v>134</v>
      </c>
    </row>
    <row r="7" spans="1:1">
      <c r="A7" t="s">
        <v>135</v>
      </c>
    </row>
    <row r="9" spans="1:1">
      <c r="A9" t="s">
        <v>136</v>
      </c>
    </row>
    <row r="10" spans="1:1">
      <c r="A10" t="s">
        <v>137</v>
      </c>
    </row>
    <row r="11" spans="1:1">
      <c r="A11" t="s">
        <v>138</v>
      </c>
    </row>
    <row r="12" spans="1:1">
      <c r="A12" t="s">
        <v>139</v>
      </c>
    </row>
    <row r="13" spans="1:1">
      <c r="A13" t="s">
        <v>140</v>
      </c>
    </row>
    <row r="14" spans="1:1">
      <c r="A14" t="s">
        <v>141</v>
      </c>
    </row>
    <row r="15" spans="1:1">
      <c r="A15" t="s">
        <v>142</v>
      </c>
    </row>
    <row r="16" spans="1:1">
      <c r="A16" t="s">
        <v>143</v>
      </c>
    </row>
    <row r="17" spans="1:1">
      <c r="A17" t="s">
        <v>144</v>
      </c>
    </row>
    <row r="18" spans="1:1">
      <c r="A18" t="s">
        <v>145</v>
      </c>
    </row>
    <row r="19" spans="1:1">
      <c r="A19" t="s">
        <v>146</v>
      </c>
    </row>
    <row r="20" spans="1:1">
      <c r="A20" t="s">
        <v>147</v>
      </c>
    </row>
    <row r="21" spans="1:1">
      <c r="A21" t="s">
        <v>148</v>
      </c>
    </row>
    <row r="22" spans="1:1">
      <c r="A22" t="s">
        <v>149</v>
      </c>
    </row>
    <row r="23" spans="1:1">
      <c r="A23" t="s">
        <v>150</v>
      </c>
    </row>
    <row r="24" spans="1:1">
      <c r="A24" t="s">
        <v>151</v>
      </c>
    </row>
    <row r="25" spans="1:1">
      <c r="A25" t="s">
        <v>152</v>
      </c>
    </row>
    <row r="26" spans="1:1">
      <c r="A26" t="s">
        <v>153</v>
      </c>
    </row>
    <row r="27" spans="1:1">
      <c r="A27" t="s">
        <v>154</v>
      </c>
    </row>
    <row r="28" spans="1:1">
      <c r="A28" t="s">
        <v>155</v>
      </c>
    </row>
    <row r="29" spans="1:1">
      <c r="A29" t="s">
        <v>156</v>
      </c>
    </row>
    <row r="30" spans="1:1">
      <c r="A30" t="s">
        <v>157</v>
      </c>
    </row>
    <row r="31" spans="1:1">
      <c r="A31" t="s">
        <v>158</v>
      </c>
    </row>
    <row r="32" spans="1:1">
      <c r="A32" t="s">
        <v>159</v>
      </c>
    </row>
    <row r="33" spans="1:1">
      <c r="A33" t="s">
        <v>160</v>
      </c>
    </row>
    <row r="34" spans="1:1">
      <c r="A34" t="s">
        <v>161</v>
      </c>
    </row>
    <row r="35" spans="1:1">
      <c r="A35" t="s">
        <v>162</v>
      </c>
    </row>
    <row r="36" spans="1:1">
      <c r="A36" t="s">
        <v>163</v>
      </c>
    </row>
    <row r="37" spans="1:1">
      <c r="A37" t="s">
        <v>164</v>
      </c>
    </row>
    <row r="38" spans="1:1">
      <c r="A38" t="s">
        <v>165</v>
      </c>
    </row>
    <row r="39" spans="1:1">
      <c r="A39" t="s">
        <v>166</v>
      </c>
    </row>
    <row r="40" spans="1:1">
      <c r="A40" t="s">
        <v>167</v>
      </c>
    </row>
    <row r="41" spans="1:1">
      <c r="A41" t="s">
        <v>168</v>
      </c>
    </row>
    <row r="43" spans="1:1">
      <c r="A43" t="s">
        <v>169</v>
      </c>
    </row>
    <row r="44" spans="1:1">
      <c r="A44" t="s">
        <v>170</v>
      </c>
    </row>
    <row r="45" spans="1:1">
      <c r="A45" t="s">
        <v>171</v>
      </c>
    </row>
    <row r="46" spans="1:1">
      <c r="A46" t="s">
        <v>172</v>
      </c>
    </row>
    <row r="47" spans="1:1">
      <c r="A47" t="s">
        <v>173</v>
      </c>
    </row>
    <row r="48" spans="1:1">
      <c r="A48" t="s">
        <v>174</v>
      </c>
    </row>
    <row r="49" spans="1:1">
      <c r="A49" t="s">
        <v>175</v>
      </c>
    </row>
    <row r="50" spans="1:1">
      <c r="A50" t="s">
        <v>176</v>
      </c>
    </row>
    <row r="52" spans="1:1">
      <c r="A52" t="s">
        <v>177</v>
      </c>
    </row>
    <row r="53" spans="1:1">
      <c r="A53" t="s">
        <v>178</v>
      </c>
    </row>
    <row r="54" spans="1:1">
      <c r="A54" t="s">
        <v>179</v>
      </c>
    </row>
    <row r="55" spans="1:1">
      <c r="A55" t="s">
        <v>180</v>
      </c>
    </row>
    <row r="57" spans="1:1">
      <c r="A57" t="s">
        <v>181</v>
      </c>
    </row>
    <row r="58" spans="1:1">
      <c r="A5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Scenarios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2026-08-07T22:01:48Z</dcterms:created>
  <dcterms:modified xsi:type="dcterms:W3CDTF">2026-08-07T22:01:48Z</dcterms:modified>
</cp:coreProperties>
</file>