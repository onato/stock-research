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<sst xmlns="http://schemas.openxmlformats.org/spreadsheetml/2006/main" count="342" uniqueCount="160">
  <si>
    <t xml:space="preserve">Ticker</t>
  </si>
  <si>
    <t xml:space="preserve">2580.HK</t>
  </si>
  <si>
    <t xml:space="preserve">Company</t>
  </si>
  <si>
    <t xml:space="preserve">AUX Electric Co., Ltd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</si>
  <si>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</si>
  <si>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</si>
  <si>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</si>
  <si>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</si>
  <si>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 Friday close; 52-week range 7.85-16.70, IPO price 17.42)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</si>
  <si>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</si>
  <si>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</si>
  <si>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</si>
  <si>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</si>
  <si>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</si>
  <si>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</si>
  <si>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</si>
  <si>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</si>
  <si>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</si>
  <si>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</si>
  <si>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</si>
  <si>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</si>
  <si>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</si>
  <si>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2026-10-18T06:45:12Z</t>
  </si>
  <si>
    <t xml:space="preserve">Drivers file</t>
  </si>
  <si>
    <t xml:space="preserve">2580.HK_Drivers.json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</si>
  <si>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</si>
  <si>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</si>
  <si>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</si>
  <si>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AUX is a cyclical, low-moat, net-cash manufacturer valued on mid-cycle owner FCF rather than on either the FY2024 subsidy peak or the H1 FY2026 trough. Interest income and WMP fair-value gains are stripped from the flows and the matching RMB9.0bn of cash and WMPs added back once; pledged deposits that secure bills payable are treated as operating and excluded; the declared-but-unpaid FY2025 dividend is deducted. The terminal is capped at 12x owner FCF in base (10x bear, 14x bull) because the market has never paid a compounder multiple for a #5 Chinese white-goods maker; any value above the no-re-rate ~2-3x EV/EBITDA the stock trades at today is a re-rating thesis, and the entry price at a 15% hurdle is the figure that does not depend on it. House and street bases coincide because SBC is 0.04% of revenue.
key_risks_to_valuation: Margin path: each 1pp of terminal EBITDA margin is worth roughly RMB3bn of base equity value; the 11% mid-cycle assumption sits between a 13.7% peak and an 8.5% seasonal trough; Cash quality and governance: RMB9.0bn of cash/WMPs sits in PRC subsidiaries under an 82% controlling shareholder with a sprawling private group; the DCF takes it at face value, the market plainly does not; ODM/tariff/RMB: ~50% of revenue is export, 39% is third-party ODM; a 10% RMB move or a US tariff step changes FY revenue by high single digits with little offset; Dividend commitment vs capex: 75% payout plus 6% capex in FY2026 exceeds owner FCF in a weak year; sustained, it draws down the net cash the valuation adds back; Terminal cap: the 12x FCF cap binds in base, so the valuation is a function of the exit multiple assumption as much as of the growth rate; at the stock's current ~3x EV/FCF the implied exit multiple is a 4x re-rating; Tax: the HNTE 15% concession to Dec 2027 is assumed to lapse; renewal would add ~2pp to NOPAT, and dividend withholding on the Cayman structure could run higher than the 25% path if the payout is maintained</t>
  </si>
  <si>
    <t xml:space="preserve">Data sources</t>
  </si>
  <si>
    <t xml:space="preserve">price: Yahoo Finance chart API at inputs.price_as_of (HKEX regular close); 52-week range 7.85-16.70; IPO price HK$17.42 on 2 Sep 2025
fx: Yahoo Finance CNYHKD=X at inputs.fx_note date; cross-checked against HKDCNY=X inverse and the HK$1.22 = RMB1.06 dividend declaration rate
financials: research/2580.HK/Reports/2580.HK_Metrics.csv (core_metrics, RMB millions); H1 FY2026 interim report (balance sheet p.35-36, cash flow p.39-40, notes 8-9, 14) for 30 June 2026 anchors; FY2025 annual report cash flow statement (lines 4411-4497) for SBC, interest income, D&amp;A, tax paid and the derivative/FX adjustments
qualitative: research/2580.HK/Reports/2580.HK_Analysis.json (2026-10-18): business mix, competitive position, March-2026 profit warning, H1 FY2026 drivers, 75% payout commitment, HNTE tax status</t>
  </si>
  <si>
    <t xml:space="preserve">Scenario narrative: bear</t>
  </si>
  <si>
    <t xml:space="preserve">Structural squeeze. ODM keeps shrinking under tariffs and a strong RMB, China household stays in a price war led by scaled incumbents and Xiaomi, margins settle at the seasonal-trough 8.8%, and the IPO capex is sunk on a smaller base. Revenue never regains FY2025 levels in the horizon. Governance and controlling-shareholder (AUX Holdings conglomerate, 82% owner) risks are not modelled as a separate cash leakage but are the reason this scenario carries 35% weight rather than the 15% default.</t>
  </si>
  <si>
    <t xml:space="preserve">Scenario narrative: base</t>
  </si>
  <si>
    <t xml:space="preserve">Mid-cycle normalisation. The axes that matter for AUX are (1) China household AC demand after the trade-in subsidy withdrawal, (2) ODM export order volatility and tariffs, (3) the RMB, which hits ~50% of revenue, (4) copper/aluminium input costs, and (5) whether central AC and premium sub-brands can shift mix fast enough to hold margin against a Midea/Gree/Haier price war. Base assumes none of these breaks decisively either way: FY2026 is a -10% revenue year with an 10.5% EBITDA margin, followed by 2-4% growth and an 11% mid-cycle margin, capex normalising to 3% once IPO-funded capacity is built, and the 75% payout funded from flows plus the RMB6.4bn net cash.</t>
  </si>
  <si>
    <t xml:space="preserve">Scenario narrative: bull</t>
  </si>
  <si>
    <t xml:space="preserve">Cyclical recovery plus mix shift. Middle East and ODM demand recover in 2027, overseas sales companies compound, central AC/data-centre cooling and AUFIT/ShinFlow lift blended margin to a 13% plateau (the FY2024 peak, not exceeded), and in-house compressors give a durable unit-cost edge. The market re-rates a 12% dividend yield, net-cash #5 player from ~2x EV/EBITDA toward a 14x FCF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</si>
  <si>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</si>
  <si>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</si>
  <si>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</si>
  <si>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</si>
  <si>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</si>
  <si>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</si>
  <si>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</si>
  <si>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</si>
  <si>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</si>
  <si>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</si>
  <si>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</si>
  <si>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</si>
  <si>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</si>
  <si>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</si>
  <si>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</si>
  <si>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</si>
  <si>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</si>
  <si>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</si>
  <si>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</si>
  <si>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</si>
  <si>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</si>
  <si>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</si>
  <si>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</si>
  <si>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</si>
  <si>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</si>
  <si>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</si>
  <si>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</si>
  <si>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</si>
  <si>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</si>
  <si>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</si>
  <si>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</si>
  <si>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</si>
  <si>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</si>
  <si>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</si>
  <si>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</si>
  <si>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</si>
  <si>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</si>
  <si>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</si>
  <si>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</si>
  <si>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</si>
  <si>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</si>
  <si>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</si>
  <si>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</si>
  <si>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</si>
  <si>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</si>
  <si>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</si>
  <si>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</si>
  <si>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</si>
  <si>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</si>
  <si>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</si>
  <si>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</si>
  <si>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</si>
  <si>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</si>
  <si>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</si>
  <si>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</si>
  <si>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</si>
  <si>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</si>
  <si>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</si>
  <si>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</si>
  <si>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</si>
  <si>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</si>
  <si>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</si>
  <si>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</si>
  <si>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</si>
  <si>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</si>
  <si>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</si>
  <si>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</si>
  <si>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</si>
  <si>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2580.HK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</si>
  <si>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</si>
  <si>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</si>
  <si>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</si>
  <si>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</si>
  <si>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</si>
  <si>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</si>
  <si>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</si>
  <si>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</si>
  <si>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</si>
  <si>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</si>
  <si>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</si>
  <si>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</si>
  <si>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</si>
  <si>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</si>
  <si>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</si>
  <si>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</si>
  <si>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</si>
  <si>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</si>
  <si>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</si>
  <si>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</si>
  <si>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</si>
  <si>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</si>
  <si>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</si>
  <si>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</si>
  <si>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</si>
  <si>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</si>
  <si>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</si>
  <si>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</si>
  <si>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</si>
  <si>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</si>
  <si>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2580.HK owner-FCF component DCF: base case (millions, CNY)</t>
  </si>
  <si>
    <t xml:space="preserve">2580.HK owner-FCF component DCF: bull case (millions, CNY)</t>
  </si>
  <si>
    <t xml:space="preserve">2580.HK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</si>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</sst>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19527.585</v>
      </c>
      <c r="C2" s="0" t="n">
        <v>15377.689</v>
      </c>
      <c r="D2" s="0" t="n">
        <v>4149.896</v>
      </c>
      <c r="E2" s="0" t="n">
        <v>21.3</v>
      </c>
      <c r="I2" s="0" t="n">
        <v>1441.738</v>
      </c>
      <c r="J2" s="0" t="n">
        <v>7.4</v>
      </c>
      <c r="O2" s="0" t="n">
        <v>1729.702</v>
      </c>
      <c r="P2" s="0" t="n">
        <v>14706.949</v>
      </c>
      <c r="Q2" s="0" t="n">
        <v>12977.247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24831.833</v>
      </c>
      <c r="C3" s="0" t="n">
        <v>19409.654</v>
      </c>
      <c r="D3" s="0" t="n">
        <v>5422.179</v>
      </c>
      <c r="E3" s="0" t="n">
        <v>21.8</v>
      </c>
      <c r="I3" s="0" t="n">
        <v>2486.794</v>
      </c>
      <c r="J3" s="0" t="n">
        <v>10</v>
      </c>
      <c r="O3" s="0" t="n">
        <v>4242.279</v>
      </c>
      <c r="P3" s="0" t="n">
        <v>19969.47</v>
      </c>
      <c r="Q3" s="0" t="n">
        <v>15727.191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29759.319</v>
      </c>
      <c r="C4" s="0" t="n">
        <v>23518.994</v>
      </c>
      <c r="D4" s="0" t="n">
        <v>6240.325</v>
      </c>
      <c r="E4" s="0" t="n">
        <v>21</v>
      </c>
      <c r="F4" s="0" t="n">
        <v>3594.193</v>
      </c>
      <c r="G4" s="0" t="n">
        <v>12.1</v>
      </c>
      <c r="H4" s="0" t="n">
        <v>4155.327</v>
      </c>
      <c r="I4" s="0" t="n">
        <v>2910.171</v>
      </c>
      <c r="J4" s="0" t="n">
        <v>9.8</v>
      </c>
      <c r="K4" s="0" t="n">
        <v>2.23</v>
      </c>
      <c r="L4" s="0" t="n">
        <v>2518.079</v>
      </c>
      <c r="M4" s="0" t="n">
        <v>925.224</v>
      </c>
      <c r="N4" s="0" t="n">
        <v>1592.855</v>
      </c>
      <c r="O4" s="0" t="n">
        <v>3835.706</v>
      </c>
      <c r="P4" s="0" t="n">
        <v>24170.972</v>
      </c>
      <c r="Q4" s="0" t="n">
        <v>20335.266</v>
      </c>
      <c r="R4" s="0" t="n">
        <v>1553.334</v>
      </c>
      <c r="S4" s="0" t="n">
        <v>2907.756</v>
      </c>
      <c r="T4" s="0" t="n">
        <v>1302.53</v>
      </c>
      <c r="U4" s="0" t="n">
        <v>4.245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30048.58</v>
      </c>
      <c r="C5" s="0" t="n">
        <v>24388.923</v>
      </c>
      <c r="D5" s="0" t="n">
        <v>5659.657</v>
      </c>
      <c r="E5" s="0" t="n">
        <v>18.8</v>
      </c>
      <c r="F5" s="0" t="n">
        <v>2947.512</v>
      </c>
      <c r="G5" s="0" t="n">
        <v>9.8</v>
      </c>
      <c r="H5" s="0" t="n">
        <v>3596.801</v>
      </c>
      <c r="I5" s="0" t="n">
        <v>2234.983</v>
      </c>
      <c r="J5" s="0" t="n">
        <v>7.4</v>
      </c>
      <c r="K5" s="0" t="n">
        <v>1.56</v>
      </c>
      <c r="L5" s="0" t="n">
        <v>2887.051</v>
      </c>
      <c r="M5" s="0" t="n">
        <v>1409.449</v>
      </c>
      <c r="N5" s="0" t="n">
        <v>1477.602</v>
      </c>
      <c r="O5" s="0" t="n">
        <v>9958.387</v>
      </c>
      <c r="P5" s="0" t="n">
        <v>31419.286</v>
      </c>
      <c r="Q5" s="0" t="n">
        <v>21460.899</v>
      </c>
      <c r="R5" s="0" t="n">
        <v>1462.846</v>
      </c>
      <c r="S5" s="0" t="n">
        <v>6879.199</v>
      </c>
      <c r="T5" s="0" t="n">
        <v>1429.412</v>
      </c>
      <c r="U5" s="0" t="n">
        <v>12.351</v>
      </c>
      <c r="AA5" s="0" t="s">
        <v>18</v>
      </c>
      <c r="AB5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68</v>
      </c>
      <c r="B1" s="2" t="s">
        <v>69</v>
      </c>
    </row>
    <row r="2" customFormat="false" ht="15" hidden="false" customHeight="false" outlineLevel="0" collapsed="false">
      <c r="A2" s="0" t="s">
        <v>70</v>
      </c>
      <c r="B2" s="3" t="n">
        <v>8</v>
      </c>
    </row>
    <row r="3" customFormat="false" ht="15" hidden="false" customHeight="false" outlineLevel="0" collapsed="false">
      <c r="A3" s="0" t="s">
        <v>71</v>
      </c>
      <c r="B3" s="3" t="n">
        <v>1588.235</v>
      </c>
    </row>
    <row r="4" customFormat="false" ht="15" hidden="false" customHeight="false" outlineLevel="0" collapsed="false">
      <c r="A4" s="0" t="s">
        <v>72</v>
      </c>
      <c r="B4" s="3" t="n">
        <v>-6422.07</v>
      </c>
    </row>
    <row r="5" customFormat="false" ht="15" hidden="false" customHeight="false" outlineLevel="0" collapsed="false">
      <c r="A5" s="0" t="s">
        <v>73</v>
      </c>
      <c r="B5" s="3" t="n">
        <v>-1683.529</v>
      </c>
    </row>
    <row r="6" customFormat="false" ht="15" hidden="false" customHeight="false" outlineLevel="0" collapsed="false">
      <c r="A6" s="0" t="s">
        <v>74</v>
      </c>
      <c r="B6" s="3" t="n">
        <v>15</v>
      </c>
    </row>
    <row r="7" customFormat="false" ht="15" hidden="false" customHeight="false" outlineLevel="0" collapsed="false">
      <c r="A7" s="0" t="s">
        <v>75</v>
      </c>
      <c r="B7" s="3" t="n">
        <v>30048.58</v>
      </c>
    </row>
    <row r="8" customFormat="false" ht="15" hidden="false" customHeight="false" outlineLevel="0" collapsed="false">
      <c r="A8" s="0" t="s">
        <v>76</v>
      </c>
      <c r="B8" s="3" t="s">
        <v>67</v>
      </c>
    </row>
    <row r="9" customFormat="false" ht="15" hidden="false" customHeight="false" outlineLevel="0" collapsed="false">
      <c r="A9" s="0" t="s">
        <v>77</v>
      </c>
      <c r="B9" s="3" t="s">
        <v>78</v>
      </c>
    </row>
    <row r="10" customFormat="false" ht="15" hidden="false" customHeight="false" outlineLevel="0" collapsed="false">
      <c r="A10" s="0" t="s">
        <v>79</v>
      </c>
      <c r="B10" s="3" t="n">
        <v>1.1724</v>
      </c>
    </row>
    <row r="12" customFormat="false" ht="15" hidden="false" customHeight="false" outlineLevel="0" collapsed="false">
      <c r="A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90</v>
      </c>
    </row>
    <row r="13" customFormat="false" ht="15" hidden="false" customHeight="false" outlineLevel="0" collapsed="false">
      <c r="A13" s="0" t="s">
        <v>91</v>
      </c>
      <c r="C13" s="3" t="n">
        <v>-14</v>
      </c>
      <c r="D13" s="3" t="n">
        <v>-3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92</v>
      </c>
      <c r="C14" s="3" t="n">
        <v>9.8</v>
      </c>
      <c r="D14" s="3" t="n">
        <v>9</v>
      </c>
      <c r="E14" s="3" t="n">
        <v>8.8</v>
      </c>
      <c r="F14" s="3" t="n">
        <v>8.8</v>
      </c>
      <c r="G14" s="3" t="n">
        <v>8.8</v>
      </c>
      <c r="H14" s="3" t="n">
        <v>8.8</v>
      </c>
      <c r="I14" s="3" t="n">
        <v>8.8</v>
      </c>
      <c r="J14" s="3" t="n">
        <v>8.8</v>
      </c>
      <c r="K14" s="3" t="n">
        <v>8.8</v>
      </c>
      <c r="L14" s="3" t="n">
        <v>8.8</v>
      </c>
    </row>
    <row r="15" customFormat="false" ht="15" hidden="false" customHeight="false" outlineLevel="0" collapsed="false">
      <c r="A15" s="0" t="s">
        <v>93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94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95</v>
      </c>
      <c r="C17" s="3" t="n">
        <v>2.6</v>
      </c>
      <c r="D17" s="3" t="n">
        <v>2.8</v>
      </c>
      <c r="E17" s="3" t="n">
        <v>2.9</v>
      </c>
      <c r="F17" s="3" t="n">
        <v>2.9</v>
      </c>
      <c r="G17" s="3" t="n">
        <v>2.9</v>
      </c>
      <c r="H17" s="3" t="n">
        <v>2.9</v>
      </c>
      <c r="I17" s="3" t="n">
        <v>2.9</v>
      </c>
      <c r="J17" s="3" t="n">
        <v>2.9</v>
      </c>
      <c r="K17" s="3" t="n">
        <v>2.9</v>
      </c>
      <c r="L17" s="3" t="n">
        <v>2.9</v>
      </c>
    </row>
    <row r="18" customFormat="false" ht="15" hidden="false" customHeight="false" outlineLevel="0" collapsed="false">
      <c r="A18" s="0" t="s">
        <v>96</v>
      </c>
      <c r="C18" s="3" t="n">
        <v>6</v>
      </c>
      <c r="D18" s="3" t="n">
        <v>4.5</v>
      </c>
      <c r="E18" s="3" t="n">
        <v>3.5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97</v>
      </c>
      <c r="C19" s="3" t="n">
        <v>21</v>
      </c>
      <c r="D19" s="3" t="n">
        <v>23</v>
      </c>
      <c r="E19" s="3" t="n">
        <v>25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98</v>
      </c>
      <c r="B20" s="3" t="n">
        <v>9.5</v>
      </c>
    </row>
    <row r="21" customFormat="false" ht="15" hidden="false" customHeight="false" outlineLevel="0" collapsed="false">
      <c r="A21" s="0" t="s">
        <v>99</v>
      </c>
      <c r="B21" s="3" t="n">
        <v>1.5</v>
      </c>
    </row>
    <row r="22" customFormat="false" ht="15" hidden="false" customHeight="false" outlineLevel="0" collapsed="false">
      <c r="A22" s="0" t="s">
        <v>100</v>
      </c>
      <c r="B22" s="3" t="n">
        <v>10</v>
      </c>
    </row>
    <row r="23" customFormat="false" ht="15" hidden="false" customHeight="false" outlineLevel="0" collapsed="false">
      <c r="A23" s="0" t="s">
        <v>101</v>
      </c>
      <c r="B23" s="3" t="n">
        <v>0</v>
      </c>
    </row>
    <row r="24" customFormat="false" ht="15" hidden="false" customHeight="false" outlineLevel="0" collapsed="false">
      <c r="A24" s="0" t="s">
        <v>102</v>
      </c>
      <c r="B24" s="3" t="n">
        <v>0.35</v>
      </c>
    </row>
    <row r="26" customFormat="false" ht="15" hidden="false" customHeight="false" outlineLevel="0" collapsed="false">
      <c r="A26" s="2" t="s">
        <v>103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  <c r="I26" s="2" t="s">
        <v>87</v>
      </c>
      <c r="J26" s="2" t="s">
        <v>88</v>
      </c>
      <c r="K26" s="2" t="s">
        <v>89</v>
      </c>
      <c r="L26" s="2" t="s">
        <v>90</v>
      </c>
    </row>
    <row r="27" customFormat="false" ht="15" hidden="false" customHeight="false" outlineLevel="0" collapsed="false">
      <c r="A27" s="0" t="s">
        <v>91</v>
      </c>
      <c r="C27" s="3" t="n">
        <v>-10</v>
      </c>
      <c r="D27" s="3" t="n">
        <v>3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92</v>
      </c>
      <c r="C28" s="3" t="n">
        <v>10.5</v>
      </c>
      <c r="D28" s="3" t="n">
        <v>10.6</v>
      </c>
      <c r="E28" s="3" t="n">
        <v>10.8</v>
      </c>
      <c r="F28" s="3" t="n">
        <v>11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93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94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95</v>
      </c>
      <c r="C31" s="3" t="n">
        <v>2.5</v>
      </c>
      <c r="D31" s="3" t="n">
        <v>2.6</v>
      </c>
      <c r="E31" s="3" t="n">
        <v>2.7</v>
      </c>
      <c r="F31" s="3" t="n">
        <v>2.7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96</v>
      </c>
      <c r="C32" s="3" t="n">
        <v>6</v>
      </c>
      <c r="D32" s="3" t="n">
        <v>5</v>
      </c>
      <c r="E32" s="3" t="n">
        <v>4</v>
      </c>
      <c r="F32" s="3" t="n">
        <v>3.5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97</v>
      </c>
      <c r="C33" s="3" t="n">
        <v>21</v>
      </c>
      <c r="D33" s="3" t="n">
        <v>22</v>
      </c>
      <c r="E33" s="3" t="n">
        <v>23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98</v>
      </c>
      <c r="B34" s="3" t="n">
        <v>9.5</v>
      </c>
    </row>
    <row r="35" customFormat="false" ht="15" hidden="false" customHeight="false" outlineLevel="0" collapsed="false">
      <c r="A35" s="0" t="s">
        <v>99</v>
      </c>
      <c r="B35" s="3" t="n">
        <v>2</v>
      </c>
    </row>
    <row r="36" customFormat="false" ht="15" hidden="false" customHeight="false" outlineLevel="0" collapsed="false">
      <c r="A36" s="0" t="s">
        <v>100</v>
      </c>
      <c r="B36" s="3" t="n">
        <v>12</v>
      </c>
    </row>
    <row r="37" customFormat="false" ht="15" hidden="false" customHeight="false" outlineLevel="0" collapsed="false">
      <c r="A37" s="0" t="s">
        <v>101</v>
      </c>
      <c r="B37" s="3" t="n">
        <v>5</v>
      </c>
    </row>
    <row r="38" customFormat="false" ht="15" hidden="false" customHeight="false" outlineLevel="0" collapsed="false">
      <c r="A38" s="0" t="s">
        <v>102</v>
      </c>
      <c r="B38" s="3" t="n">
        <v>0.45</v>
      </c>
    </row>
    <row r="40" customFormat="false" ht="15" hidden="false" customHeight="false" outlineLevel="0" collapsed="false">
      <c r="A40" s="2" t="s">
        <v>104</v>
      </c>
      <c r="C40" s="2" t="s">
        <v>81</v>
      </c>
      <c r="D40" s="2" t="s">
        <v>82</v>
      </c>
      <c r="E40" s="2" t="s">
        <v>83</v>
      </c>
      <c r="F40" s="2" t="s">
        <v>84</v>
      </c>
      <c r="G40" s="2" t="s">
        <v>85</v>
      </c>
      <c r="H40" s="2" t="s">
        <v>86</v>
      </c>
      <c r="I40" s="2" t="s">
        <v>87</v>
      </c>
      <c r="J40" s="2" t="s">
        <v>88</v>
      </c>
      <c r="K40" s="2" t="s">
        <v>89</v>
      </c>
      <c r="L40" s="2" t="s">
        <v>90</v>
      </c>
    </row>
    <row r="41" customFormat="false" ht="15" hidden="false" customHeight="false" outlineLevel="0" collapsed="false">
      <c r="A41" s="0" t="s">
        <v>91</v>
      </c>
      <c r="C41" s="3" t="n">
        <v>-7</v>
      </c>
      <c r="D41" s="3" t="n">
        <v>6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92</v>
      </c>
      <c r="C42" s="3" t="n">
        <v>10.8</v>
      </c>
      <c r="D42" s="3" t="n">
        <v>11.5</v>
      </c>
      <c r="E42" s="3" t="n">
        <v>12</v>
      </c>
      <c r="F42" s="3" t="n">
        <v>12.5</v>
      </c>
      <c r="G42" s="3" t="n">
        <v>12.8</v>
      </c>
      <c r="H42" s="3" t="n">
        <v>13</v>
      </c>
      <c r="I42" s="3" t="n">
        <v>13</v>
      </c>
      <c r="J42" s="3" t="n">
        <v>13</v>
      </c>
      <c r="K42" s="3" t="n">
        <v>13</v>
      </c>
      <c r="L42" s="3" t="n">
        <v>13</v>
      </c>
    </row>
    <row r="43" customFormat="false" ht="15" hidden="false" customHeight="false" outlineLevel="0" collapsed="false">
      <c r="A43" s="0" t="s">
        <v>93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94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95</v>
      </c>
      <c r="C45" s="3" t="n">
        <v>2.5</v>
      </c>
      <c r="D45" s="3" t="n">
        <v>2.6</v>
      </c>
      <c r="E45" s="3" t="n">
        <v>2.7</v>
      </c>
      <c r="F45" s="3" t="n">
        <v>2.7</v>
      </c>
      <c r="G45" s="3" t="n">
        <v>2.7</v>
      </c>
      <c r="H45" s="3" t="n">
        <v>2.7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96</v>
      </c>
      <c r="C46" s="3" t="n">
        <v>6</v>
      </c>
      <c r="D46" s="3" t="n">
        <v>5.5</v>
      </c>
      <c r="E46" s="3" t="n">
        <v>4.5</v>
      </c>
      <c r="F46" s="3" t="n">
        <v>4</v>
      </c>
      <c r="G46" s="3" t="n">
        <v>3.5</v>
      </c>
      <c r="H46" s="3" t="n">
        <v>3.5</v>
      </c>
      <c r="I46" s="3" t="n">
        <v>3.2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97</v>
      </c>
      <c r="C47" s="3" t="n">
        <v>21</v>
      </c>
      <c r="D47" s="3" t="n">
        <v>22</v>
      </c>
      <c r="E47" s="3" t="n">
        <v>23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98</v>
      </c>
      <c r="B48" s="3" t="n">
        <v>9.5</v>
      </c>
    </row>
    <row r="49" customFormat="false" ht="15" hidden="false" customHeight="false" outlineLevel="0" collapsed="false">
      <c r="A49" s="0" t="s">
        <v>99</v>
      </c>
      <c r="B49" s="3" t="n">
        <v>2.5</v>
      </c>
    </row>
    <row r="50" customFormat="false" ht="15" hidden="false" customHeight="false" outlineLevel="0" collapsed="false">
      <c r="A50" s="0" t="s">
        <v>100</v>
      </c>
      <c r="B50" s="3" t="n">
        <v>14</v>
      </c>
    </row>
    <row r="51" customFormat="false" ht="15" hidden="false" customHeight="false" outlineLevel="0" collapsed="false">
      <c r="A51" s="0" t="s">
        <v>101</v>
      </c>
      <c r="B51" s="3" t="n">
        <v>8</v>
      </c>
    </row>
    <row r="52" customFormat="false" ht="15" hidden="false" customHeight="false" outlineLevel="0" collapsed="false">
      <c r="A52" s="0" t="s">
        <v>102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Assumptions!C13</f>
        <v>-14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30048.58</v>
      </c>
      <c r="C6" s="0" t="n">
        <f aca="false">B6*(1+C5/100)</f>
        <v>25841.7788</v>
      </c>
      <c r="D6" s="0" t="n">
        <f aca="false">C6*(1+D5/100)</f>
        <v>25066.525436</v>
      </c>
      <c r="E6" s="0" t="n">
        <f aca="false">D6*(1+E5/100)</f>
        <v>25317.19069036</v>
      </c>
      <c r="F6" s="0" t="n">
        <f aca="false">E6*(1+F5/100)</f>
        <v>25823.5345041672</v>
      </c>
      <c r="G6" s="0" t="n">
        <f aca="false">F6*(1+G5/100)</f>
        <v>26340.0051942505</v>
      </c>
      <c r="H6" s="0" t="n">
        <f aca="false">G6*(1+H5/100)</f>
        <v>26866.8052981356</v>
      </c>
      <c r="I6" s="0" t="n">
        <f aca="false">H6*(1+I5/100)</f>
        <v>27404.1414040983</v>
      </c>
      <c r="J6" s="0" t="n">
        <f aca="false">I6*(1+J5/100)</f>
        <v>27815.2035251597</v>
      </c>
      <c r="K6" s="0" t="n">
        <f aca="false">J6*(1+K5/100)</f>
        <v>28232.4315780371</v>
      </c>
      <c r="L6" s="0" t="n">
        <f aca="false">K6*(1+L5/100)</f>
        <v>28655.9180517077</v>
      </c>
    </row>
    <row r="7" customFormat="false" ht="15" hidden="false" customHeight="false" outlineLevel="0" collapsed="false">
      <c r="A7" s="0" t="s">
        <v>92</v>
      </c>
      <c r="C7" s="4" t="n">
        <f aca="false">Assumptions!C14</f>
        <v>9.8</v>
      </c>
      <c r="D7" s="4" t="n">
        <f aca="false">Assumptions!D14</f>
        <v>9</v>
      </c>
      <c r="E7" s="4" t="n">
        <f aca="false">Assumptions!E14</f>
        <v>8.8</v>
      </c>
      <c r="F7" s="4" t="n">
        <f aca="false">Assumptions!F14</f>
        <v>8.8</v>
      </c>
      <c r="G7" s="4" t="n">
        <f aca="false">Assumptions!G14</f>
        <v>8.8</v>
      </c>
      <c r="H7" s="4" t="n">
        <f aca="false">Assumptions!H14</f>
        <v>8.8</v>
      </c>
      <c r="I7" s="4" t="n">
        <f aca="false">Assumptions!I14</f>
        <v>8.8</v>
      </c>
      <c r="J7" s="4" t="n">
        <f aca="false">Assumptions!J14</f>
        <v>8.8</v>
      </c>
      <c r="K7" s="4" t="n">
        <f aca="false">Assumptions!K14</f>
        <v>8.8</v>
      </c>
      <c r="L7" s="4" t="n">
        <f aca="false">Assumptions!L14</f>
        <v>8.8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2532.4943224</v>
      </c>
      <c r="D8" s="0" t="n">
        <f aca="false">D6*D7/100</f>
        <v>2255.98728924</v>
      </c>
      <c r="E8" s="0" t="n">
        <f aca="false">E6*E7/100</f>
        <v>2227.91278075168</v>
      </c>
      <c r="F8" s="0" t="n">
        <f aca="false">F6*F7/100</f>
        <v>2272.47103636671</v>
      </c>
      <c r="G8" s="0" t="n">
        <f aca="false">G6*G7/100</f>
        <v>2317.92045709405</v>
      </c>
      <c r="H8" s="0" t="n">
        <f aca="false">H6*H7/100</f>
        <v>2364.27886623593</v>
      </c>
      <c r="I8" s="0" t="n">
        <f aca="false">I6*I7/100</f>
        <v>2411.56444356065</v>
      </c>
      <c r="J8" s="0" t="n">
        <f aca="false">J6*J7/100</f>
        <v>2447.73791021406</v>
      </c>
      <c r="K8" s="0" t="n">
        <f aca="false">K6*K7/100</f>
        <v>2484.45397886727</v>
      </c>
      <c r="L8" s="0" t="n">
        <f aca="false">L6*L7/100</f>
        <v>2521.72078855028</v>
      </c>
    </row>
    <row r="9" customFormat="false" ht="15" hidden="false" customHeight="false" outlineLevel="0" collapsed="false">
      <c r="A9" s="0" t="s">
        <v>93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-10.33671152</v>
      </c>
      <c r="D10" s="0" t="n">
        <f aca="false">-D6*D9/100</f>
        <v>-10.0266101744</v>
      </c>
      <c r="E10" s="0" t="n">
        <f aca="false">-E6*E9/100</f>
        <v>-10.126876276144</v>
      </c>
      <c r="F10" s="0" t="n">
        <f aca="false">-F6*F9/100</f>
        <v>-10.3294138016669</v>
      </c>
      <c r="G10" s="0" t="n">
        <f aca="false">-G6*G9/100</f>
        <v>-10.5360020777002</v>
      </c>
      <c r="H10" s="0" t="n">
        <f aca="false">-H6*H9/100</f>
        <v>-10.7467221192542</v>
      </c>
      <c r="I10" s="0" t="n">
        <f aca="false">-I6*I9/100</f>
        <v>-10.9616565616393</v>
      </c>
      <c r="J10" s="0" t="n">
        <f aca="false">-J6*J9/100</f>
        <v>-11.1260814100639</v>
      </c>
      <c r="K10" s="0" t="n">
        <f aca="false">-K6*K9/100</f>
        <v>-11.2929726312149</v>
      </c>
      <c r="L10" s="0" t="n">
        <f aca="false">-L6*L9/100</f>
        <v>-11.4623672206831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2522.15761088</v>
      </c>
      <c r="D11" s="0" t="n">
        <f aca="false">D8+D10+D24</f>
        <v>2245.9606790656</v>
      </c>
      <c r="E11" s="0" t="n">
        <f aca="false">E8+E10+E24</f>
        <v>2217.78590447554</v>
      </c>
      <c r="F11" s="0" t="n">
        <f aca="false">F8+F10+F24</f>
        <v>2262.14162256505</v>
      </c>
      <c r="G11" s="0" t="n">
        <f aca="false">G8+G10+G24</f>
        <v>2307.38445501635</v>
      </c>
      <c r="H11" s="0" t="n">
        <f aca="false">H8+H10+H24</f>
        <v>2353.53214411668</v>
      </c>
      <c r="I11" s="0" t="n">
        <f aca="false">I8+I10+I24</f>
        <v>2400.60278699901</v>
      </c>
      <c r="J11" s="0" t="n">
        <f aca="false">J8+J10+J24</f>
        <v>2436.61182880399</v>
      </c>
      <c r="K11" s="0" t="n">
        <f aca="false">K8+K10+K24</f>
        <v>2473.16100623605</v>
      </c>
      <c r="L11" s="0" t="n">
        <f aca="false">L8+L10+L24</f>
        <v>2510.25842132959</v>
      </c>
    </row>
    <row r="12" customFormat="false" ht="15" hidden="false" customHeight="false" outlineLevel="0" collapsed="false">
      <c r="A12" s="0" t="s">
        <v>110</v>
      </c>
      <c r="C12" s="4" t="n">
        <f aca="false">-C6*Assumptions!C17/100</f>
        <v>-671.8862488</v>
      </c>
      <c r="D12" s="4" t="n">
        <f aca="false">-D6*Assumptions!D17/100</f>
        <v>-701.862712208</v>
      </c>
      <c r="E12" s="4" t="n">
        <f aca="false">-E6*Assumptions!E17/100</f>
        <v>-734.19853002044</v>
      </c>
      <c r="F12" s="4" t="n">
        <f aca="false">-F6*Assumptions!F17/100</f>
        <v>-748.882500620849</v>
      </c>
      <c r="G12" s="4" t="n">
        <f aca="false">-G6*Assumptions!G17/100</f>
        <v>-763.860150633266</v>
      </c>
      <c r="H12" s="4" t="n">
        <f aca="false">-H6*Assumptions!H17/100</f>
        <v>-779.137353645931</v>
      </c>
      <c r="I12" s="4" t="n">
        <f aca="false">-I6*Assumptions!I17/100</f>
        <v>-794.72010071885</v>
      </c>
      <c r="J12" s="4" t="n">
        <f aca="false">-J6*Assumptions!J17/100</f>
        <v>-806.640902229633</v>
      </c>
      <c r="K12" s="4" t="n">
        <f aca="false">-K6*Assumptions!K17/100</f>
        <v>-818.740515763077</v>
      </c>
      <c r="L12" s="4" t="n">
        <f aca="false">-L6*Assumptions!L17/100</f>
        <v>-831.021623499523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1850.27136208</v>
      </c>
      <c r="D13" s="0" t="n">
        <f aca="false">D11+D12</f>
        <v>1544.0979668576</v>
      </c>
      <c r="E13" s="0" t="n">
        <f aca="false">E11+E12</f>
        <v>1483.5873744551</v>
      </c>
      <c r="F13" s="0" t="n">
        <f aca="false">F11+F12</f>
        <v>1513.2591219442</v>
      </c>
      <c r="G13" s="0" t="n">
        <f aca="false">G11+G12</f>
        <v>1543.52430438308</v>
      </c>
      <c r="H13" s="0" t="n">
        <f aca="false">H11+H12</f>
        <v>1574.39479047074</v>
      </c>
      <c r="I13" s="0" t="n">
        <f aca="false">I11+I12</f>
        <v>1605.88268628016</v>
      </c>
      <c r="J13" s="0" t="n">
        <f aca="false">J11+J12</f>
        <v>1629.97092657436</v>
      </c>
      <c r="K13" s="0" t="n">
        <f aca="false">K11+K12</f>
        <v>1654.42049047298</v>
      </c>
      <c r="L13" s="0" t="n">
        <f aca="false">L11+L12</f>
        <v>1679.23679783007</v>
      </c>
    </row>
    <row r="14" customFormat="false" ht="15" hidden="false" customHeight="false" outlineLevel="0" collapsed="false">
      <c r="A14" s="0" t="s">
        <v>97</v>
      </c>
      <c r="C14" s="4" t="n">
        <f aca="false">Assumptions!C19</f>
        <v>21</v>
      </c>
      <c r="D14" s="4" t="n">
        <f aca="false">Assumptions!D19</f>
        <v>23</v>
      </c>
      <c r="E14" s="4" t="n">
        <f aca="false">Assumptions!E19</f>
        <v>25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1461.7143760432</v>
      </c>
      <c r="D15" s="0" t="n">
        <f aca="false">D13-MAX(0,D13)*D14/100</f>
        <v>1188.95543448035</v>
      </c>
      <c r="E15" s="0" t="n">
        <f aca="false">E13-MAX(0,E13)*E14/100</f>
        <v>1112.69053084132</v>
      </c>
      <c r="F15" s="0" t="n">
        <f aca="false">F13-MAX(0,F13)*F14/100</f>
        <v>1119.81175023871</v>
      </c>
      <c r="G15" s="0" t="n">
        <f aca="false">G13-MAX(0,G13)*G14/100</f>
        <v>1142.20798524348</v>
      </c>
      <c r="H15" s="0" t="n">
        <f aca="false">H13-MAX(0,H13)*H14/100</f>
        <v>1165.05214494835</v>
      </c>
      <c r="I15" s="0" t="n">
        <f aca="false">I13-MAX(0,I13)*I14/100</f>
        <v>1188.35318784732</v>
      </c>
      <c r="J15" s="0" t="n">
        <f aca="false">J13-MAX(0,J13)*J14/100</f>
        <v>1206.17848566503</v>
      </c>
      <c r="K15" s="0" t="n">
        <f aca="false">K13-MAX(0,K13)*K14/100</f>
        <v>1224.27116295</v>
      </c>
      <c r="L15" s="0" t="n">
        <f aca="false">L13-MAX(0,L13)*L14/100</f>
        <v>1242.63523039425</v>
      </c>
    </row>
    <row r="16" customFormat="false" ht="15" hidden="false" customHeight="false" outlineLevel="0" collapsed="false">
      <c r="A16" s="0" t="s">
        <v>113</v>
      </c>
      <c r="C16" s="0" t="n">
        <f aca="false">-C12</f>
        <v>671.8862488</v>
      </c>
      <c r="D16" s="0" t="n">
        <f aca="false">-D12</f>
        <v>701.862712208</v>
      </c>
      <c r="E16" s="0" t="n">
        <f aca="false">-E12</f>
        <v>734.19853002044</v>
      </c>
      <c r="F16" s="0" t="n">
        <f aca="false">-F12</f>
        <v>748.882500620849</v>
      </c>
      <c r="G16" s="0" t="n">
        <f aca="false">-G12</f>
        <v>763.860150633266</v>
      </c>
      <c r="H16" s="0" t="n">
        <f aca="false">-H12</f>
        <v>779.137353645931</v>
      </c>
      <c r="I16" s="0" t="n">
        <f aca="false">-I12</f>
        <v>794.72010071885</v>
      </c>
      <c r="J16" s="0" t="n">
        <f aca="false">-J12</f>
        <v>806.640902229633</v>
      </c>
      <c r="K16" s="0" t="n">
        <f aca="false">-K12</f>
        <v>818.740515763077</v>
      </c>
      <c r="L16" s="0" t="n">
        <f aca="false">-L12</f>
        <v>831.021623499523</v>
      </c>
    </row>
    <row r="17" customFormat="false" ht="15" hidden="false" customHeight="false" outlineLevel="0" collapsed="false">
      <c r="A17" s="0" t="s">
        <v>114</v>
      </c>
      <c r="C17" s="4" t="n">
        <f aca="false">-C6*Assumptions!C18/100</f>
        <v>-1550.506728</v>
      </c>
      <c r="D17" s="4" t="n">
        <f aca="false">-D6*Assumptions!D18/100</f>
        <v>-1127.99364462</v>
      </c>
      <c r="E17" s="4" t="n">
        <f aca="false">-E6*Assumptions!E18/100</f>
        <v>-886.1016741626</v>
      </c>
      <c r="F17" s="4" t="n">
        <f aca="false">-F6*Assumptions!F18/100</f>
        <v>-774.706035125016</v>
      </c>
      <c r="G17" s="4" t="n">
        <f aca="false">-G6*Assumptions!G18/100</f>
        <v>-790.200155827516</v>
      </c>
      <c r="H17" s="4" t="n">
        <f aca="false">-H6*Assumptions!H18/100</f>
        <v>-806.004158944067</v>
      </c>
      <c r="I17" s="4" t="n">
        <f aca="false">-I6*Assumptions!I18/100</f>
        <v>-822.124242122948</v>
      </c>
      <c r="J17" s="4" t="n">
        <f aca="false">-J6*Assumptions!J18/100</f>
        <v>-834.456105754792</v>
      </c>
      <c r="K17" s="4" t="n">
        <f aca="false">-K6*Assumptions!K18/100</f>
        <v>-846.972947341114</v>
      </c>
      <c r="L17" s="4" t="n">
        <f aca="false">-L6*Assumptions!L18/100</f>
        <v>-859.677541551231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583.0938968432</v>
      </c>
      <c r="D19" s="0" t="n">
        <f aca="false">D15+D16+D17+D18</f>
        <v>762.824502068352</v>
      </c>
      <c r="E19" s="0" t="n">
        <f aca="false">E15+E16+E17+E18</f>
        <v>960.787386699162</v>
      </c>
      <c r="F19" s="0" t="n">
        <f aca="false">F15+F16+F17+F18</f>
        <v>1093.98821573454</v>
      </c>
      <c r="G19" s="0" t="n">
        <f aca="false">G15+G16+G17+G18</f>
        <v>1115.86798004923</v>
      </c>
      <c r="H19" s="0" t="n">
        <f aca="false">H15+H16+H17+H18</f>
        <v>1138.18533965022</v>
      </c>
      <c r="I19" s="0" t="n">
        <f aca="false">I15+I16+I17+I18</f>
        <v>1160.94904644322</v>
      </c>
      <c r="J19" s="0" t="n">
        <f aca="false">J15+J16+J17+J18</f>
        <v>1178.36328213987</v>
      </c>
      <c r="K19" s="0" t="n">
        <f aca="false">K15+K16+K17+K18</f>
        <v>1196.03873137197</v>
      </c>
      <c r="L19" s="0" t="n">
        <f aca="false">L15+L16+L17+L18</f>
        <v>1213.97931234254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532.505841865936</v>
      </c>
      <c r="D21" s="0" t="n">
        <f aca="false">D19*D20</f>
        <v>636.204000807616</v>
      </c>
      <c r="E21" s="0" t="n">
        <f aca="false">E19*E20</f>
        <v>731.787413421931</v>
      </c>
      <c r="F21" s="0" t="n">
        <f aca="false">F19*F20</f>
        <v>760.950080238978</v>
      </c>
      <c r="G21" s="0" t="n">
        <f aca="false">G19*G20</f>
        <v>708.830211729459</v>
      </c>
      <c r="H21" s="0" t="n">
        <f aca="false">H19*H20</f>
        <v>660.280197227442</v>
      </c>
      <c r="I21" s="0" t="n">
        <f aca="false">I19*I20</f>
        <v>615.055526184466</v>
      </c>
      <c r="J21" s="0" t="n">
        <f aca="false">J19*J20</f>
        <v>570.11996262761</v>
      </c>
      <c r="K21" s="0" t="n">
        <f aca="false">K19*K20</f>
        <v>528.467362618287</v>
      </c>
      <c r="L21" s="0" t="n">
        <f aca="false">L19*L20</f>
        <v>489.857874938412</v>
      </c>
    </row>
    <row r="23" customFormat="false" ht="15" hidden="false" customHeight="false" outlineLevel="0" collapsed="false">
      <c r="A23" s="0" t="s">
        <v>94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100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6234.05847166014</v>
      </c>
    </row>
    <row r="31" customFormat="false" ht="15" hidden="false" customHeight="false" outlineLevel="0" collapsed="false">
      <c r="A31" s="0" t="s">
        <v>122</v>
      </c>
      <c r="B31" s="0" t="n">
        <f aca="false">L19</f>
        <v>1213.97931234254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15402.362525346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12139.7931234254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12139.7931234254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4898.57874938412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11132.6372210443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15871.1782210443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11.7157532395095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0.464469154938681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66.4327905248432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58.682577549628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11.8081106409837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9127.3259409458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8.74321202862722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Assumptions!C27</f>
        <v>-10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30048.58</v>
      </c>
      <c r="C6" s="0" t="n">
        <f aca="false">B6*(1+C5/100)</f>
        <v>27043.722</v>
      </c>
      <c r="D6" s="0" t="n">
        <f aca="false">C6*(1+D5/100)</f>
        <v>27855.03366</v>
      </c>
      <c r="E6" s="0" t="n">
        <f aca="false">D6*(1+E5/100)</f>
        <v>28969.2350064</v>
      </c>
      <c r="F6" s="0" t="n">
        <f aca="false">E6*(1+F5/100)</f>
        <v>30128.004406656</v>
      </c>
      <c r="G6" s="0" t="n">
        <f aca="false">F6*(1+G5/100)</f>
        <v>31182.484560889</v>
      </c>
      <c r="H6" s="0" t="n">
        <f aca="false">G6*(1+H5/100)</f>
        <v>32117.9590977156</v>
      </c>
      <c r="I6" s="0" t="n">
        <f aca="false">H6*(1+I5/100)</f>
        <v>33081.4978706471</v>
      </c>
      <c r="J6" s="0" t="n">
        <f aca="false">I6*(1+J5/100)</f>
        <v>33908.5353174133</v>
      </c>
      <c r="K6" s="0" t="n">
        <f aca="false">J6*(1+K5/100)</f>
        <v>34756.2487003486</v>
      </c>
      <c r="L6" s="0" t="n">
        <f aca="false">K6*(1+L5/100)</f>
        <v>35451.3736743556</v>
      </c>
    </row>
    <row r="7" customFormat="false" ht="15" hidden="false" customHeight="false" outlineLevel="0" collapsed="false">
      <c r="A7" s="0" t="s">
        <v>92</v>
      </c>
      <c r="C7" s="4" t="n">
        <f aca="false">Assumptions!C28</f>
        <v>10.5</v>
      </c>
      <c r="D7" s="4" t="n">
        <f aca="false">Assumptions!D28</f>
        <v>10.6</v>
      </c>
      <c r="E7" s="4" t="n">
        <f aca="false">Assumptions!E28</f>
        <v>10.8</v>
      </c>
      <c r="F7" s="4" t="n">
        <f aca="false">Assumptions!F28</f>
        <v>11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2839.59081</v>
      </c>
      <c r="D8" s="0" t="n">
        <f aca="false">D6*D7/100</f>
        <v>2952.63356796</v>
      </c>
      <c r="E8" s="0" t="n">
        <f aca="false">E6*E7/100</f>
        <v>3128.6773806912</v>
      </c>
      <c r="F8" s="0" t="n">
        <f aca="false">F6*F7/100</f>
        <v>3314.08048473216</v>
      </c>
      <c r="G8" s="0" t="n">
        <f aca="false">G6*G7/100</f>
        <v>3430.07330169779</v>
      </c>
      <c r="H8" s="0" t="n">
        <f aca="false">H6*H7/100</f>
        <v>3532.97550074872</v>
      </c>
      <c r="I8" s="0" t="n">
        <f aca="false">I6*I7/100</f>
        <v>3638.96476577118</v>
      </c>
      <c r="J8" s="0" t="n">
        <f aca="false">J6*J7/100</f>
        <v>3729.93888491546</v>
      </c>
      <c r="K8" s="0" t="n">
        <f aca="false">K6*K7/100</f>
        <v>3823.18735703835</v>
      </c>
      <c r="L8" s="0" t="n">
        <f aca="false">L6*L7/100</f>
        <v>3899.65110417911</v>
      </c>
    </row>
    <row r="9" customFormat="false" ht="15" hidden="false" customHeight="false" outlineLevel="0" collapsed="false">
      <c r="A9" s="0" t="s">
        <v>93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-10.8174888</v>
      </c>
      <c r="D10" s="0" t="n">
        <f aca="false">-D6*D9/100</f>
        <v>-11.142013464</v>
      </c>
      <c r="E10" s="0" t="n">
        <f aca="false">-E6*E9/100</f>
        <v>-11.58769400256</v>
      </c>
      <c r="F10" s="0" t="n">
        <f aca="false">-F6*F9/100</f>
        <v>-12.0512017626624</v>
      </c>
      <c r="G10" s="0" t="n">
        <f aca="false">-G6*G9/100</f>
        <v>-12.4729938243556</v>
      </c>
      <c r="H10" s="0" t="n">
        <f aca="false">-H6*H9/100</f>
        <v>-12.8471836390863</v>
      </c>
      <c r="I10" s="0" t="n">
        <f aca="false">-I6*I9/100</f>
        <v>-13.2325991482588</v>
      </c>
      <c r="J10" s="0" t="n">
        <f aca="false">-J6*J9/100</f>
        <v>-13.5634141269653</v>
      </c>
      <c r="K10" s="0" t="n">
        <f aca="false">-K6*K9/100</f>
        <v>-13.9024994801394</v>
      </c>
      <c r="L10" s="0" t="n">
        <f aca="false">-L6*L9/100</f>
        <v>-14.1805494697422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2828.7733212</v>
      </c>
      <c r="D11" s="0" t="n">
        <f aca="false">D8+D10+D24</f>
        <v>2941.491554496</v>
      </c>
      <c r="E11" s="0" t="n">
        <f aca="false">E8+E10+E24</f>
        <v>3117.08968668864</v>
      </c>
      <c r="F11" s="0" t="n">
        <f aca="false">F8+F10+F24</f>
        <v>3302.0292829695</v>
      </c>
      <c r="G11" s="0" t="n">
        <f aca="false">G8+G10+G24</f>
        <v>3417.60030787343</v>
      </c>
      <c r="H11" s="0" t="n">
        <f aca="false">H8+H10+H24</f>
        <v>3520.12831710963</v>
      </c>
      <c r="I11" s="0" t="n">
        <f aca="false">I8+I10+I24</f>
        <v>3625.73216662292</v>
      </c>
      <c r="J11" s="0" t="n">
        <f aca="false">J8+J10+J24</f>
        <v>3716.3754707885</v>
      </c>
      <c r="K11" s="0" t="n">
        <f aca="false">K8+K10+K24</f>
        <v>3809.28485755821</v>
      </c>
      <c r="L11" s="0" t="n">
        <f aca="false">L8+L10+L24</f>
        <v>3885.47055470937</v>
      </c>
    </row>
    <row r="12" customFormat="false" ht="15" hidden="false" customHeight="false" outlineLevel="0" collapsed="false">
      <c r="A12" s="0" t="s">
        <v>110</v>
      </c>
      <c r="C12" s="4" t="n">
        <f aca="false">-C6*Assumptions!C31/100</f>
        <v>-676.09305</v>
      </c>
      <c r="D12" s="4" t="n">
        <f aca="false">-D6*Assumptions!D31/100</f>
        <v>-724.23087516</v>
      </c>
      <c r="E12" s="4" t="n">
        <f aca="false">-E6*Assumptions!E31/100</f>
        <v>-782.1693451728</v>
      </c>
      <c r="F12" s="4" t="n">
        <f aca="false">-F6*Assumptions!F31/100</f>
        <v>-813.456118979712</v>
      </c>
      <c r="G12" s="4" t="n">
        <f aca="false">-G6*Assumptions!G31/100</f>
        <v>-841.927083144002</v>
      </c>
      <c r="H12" s="4" t="n">
        <f aca="false">-H6*Assumptions!H31/100</f>
        <v>-867.184895638322</v>
      </c>
      <c r="I12" s="4" t="n">
        <f aca="false">-I6*Assumptions!I31/100</f>
        <v>-893.200442507472</v>
      </c>
      <c r="J12" s="4" t="n">
        <f aca="false">-J6*Assumptions!J31/100</f>
        <v>-915.530453570159</v>
      </c>
      <c r="K12" s="4" t="n">
        <f aca="false">-K6*Assumptions!K31/100</f>
        <v>-938.418714909412</v>
      </c>
      <c r="L12" s="4" t="n">
        <f aca="false">-L6*Assumptions!L31/100</f>
        <v>-957.187089207601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2152.6802712</v>
      </c>
      <c r="D13" s="0" t="n">
        <f aca="false">D11+D12</f>
        <v>2217.260679336</v>
      </c>
      <c r="E13" s="0" t="n">
        <f aca="false">E11+E12</f>
        <v>2334.92034151584</v>
      </c>
      <c r="F13" s="0" t="n">
        <f aca="false">F11+F12</f>
        <v>2488.57316398979</v>
      </c>
      <c r="G13" s="0" t="n">
        <f aca="false">G11+G12</f>
        <v>2575.67322472943</v>
      </c>
      <c r="H13" s="0" t="n">
        <f aca="false">H11+H12</f>
        <v>2652.94342147131</v>
      </c>
      <c r="I13" s="0" t="n">
        <f aca="false">I11+I12</f>
        <v>2732.53172411545</v>
      </c>
      <c r="J13" s="0" t="n">
        <f aca="false">J11+J12</f>
        <v>2800.84501721834</v>
      </c>
      <c r="K13" s="0" t="n">
        <f aca="false">K11+K12</f>
        <v>2870.86614264879</v>
      </c>
      <c r="L13" s="0" t="n">
        <f aca="false">L11+L12</f>
        <v>2928.28346550177</v>
      </c>
    </row>
    <row r="14" customFormat="false" ht="15" hidden="false" customHeight="false" outlineLevel="0" collapsed="false">
      <c r="A14" s="0" t="s">
        <v>97</v>
      </c>
      <c r="C14" s="4" t="n">
        <f aca="false">Assumptions!C33</f>
        <v>21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1700.617414248</v>
      </c>
      <c r="D15" s="0" t="n">
        <f aca="false">D13-MAX(0,D13)*D14/100</f>
        <v>1729.46332988208</v>
      </c>
      <c r="E15" s="0" t="n">
        <f aca="false">E13-MAX(0,E13)*E14/100</f>
        <v>1797.8886629672</v>
      </c>
      <c r="F15" s="0" t="n">
        <f aca="false">F13-MAX(0,F13)*F14/100</f>
        <v>1866.42987299234</v>
      </c>
      <c r="G15" s="0" t="n">
        <f aca="false">G13-MAX(0,G13)*G14/100</f>
        <v>1931.75491854707</v>
      </c>
      <c r="H15" s="0" t="n">
        <f aca="false">H13-MAX(0,H13)*H14/100</f>
        <v>1989.70756610348</v>
      </c>
      <c r="I15" s="0" t="n">
        <f aca="false">I13-MAX(0,I13)*I14/100</f>
        <v>2049.39879308659</v>
      </c>
      <c r="J15" s="0" t="n">
        <f aca="false">J13-MAX(0,J13)*J14/100</f>
        <v>2100.63376291375</v>
      </c>
      <c r="K15" s="0" t="n">
        <f aca="false">K13-MAX(0,K13)*K14/100</f>
        <v>2153.1496069866</v>
      </c>
      <c r="L15" s="0" t="n">
        <f aca="false">L13-MAX(0,L13)*L14/100</f>
        <v>2196.21259912633</v>
      </c>
    </row>
    <row r="16" customFormat="false" ht="15" hidden="false" customHeight="false" outlineLevel="0" collapsed="false">
      <c r="A16" s="0" t="s">
        <v>113</v>
      </c>
      <c r="C16" s="0" t="n">
        <f aca="false">-C12</f>
        <v>676.09305</v>
      </c>
      <c r="D16" s="0" t="n">
        <f aca="false">-D12</f>
        <v>724.23087516</v>
      </c>
      <c r="E16" s="0" t="n">
        <f aca="false">-E12</f>
        <v>782.1693451728</v>
      </c>
      <c r="F16" s="0" t="n">
        <f aca="false">-F12</f>
        <v>813.456118979712</v>
      </c>
      <c r="G16" s="0" t="n">
        <f aca="false">-G12</f>
        <v>841.927083144002</v>
      </c>
      <c r="H16" s="0" t="n">
        <f aca="false">-H12</f>
        <v>867.184895638322</v>
      </c>
      <c r="I16" s="0" t="n">
        <f aca="false">-I12</f>
        <v>893.200442507472</v>
      </c>
      <c r="J16" s="0" t="n">
        <f aca="false">-J12</f>
        <v>915.530453570159</v>
      </c>
      <c r="K16" s="0" t="n">
        <f aca="false">-K12</f>
        <v>938.418714909412</v>
      </c>
      <c r="L16" s="0" t="n">
        <f aca="false">-L12</f>
        <v>957.187089207601</v>
      </c>
    </row>
    <row r="17" customFormat="false" ht="15" hidden="false" customHeight="false" outlineLevel="0" collapsed="false">
      <c r="A17" s="0" t="s">
        <v>114</v>
      </c>
      <c r="C17" s="4" t="n">
        <f aca="false">-C6*Assumptions!C32/100</f>
        <v>-1622.62332</v>
      </c>
      <c r="D17" s="4" t="n">
        <f aca="false">-D6*Assumptions!D32/100</f>
        <v>-1392.751683</v>
      </c>
      <c r="E17" s="4" t="n">
        <f aca="false">-E6*Assumptions!E32/100</f>
        <v>-1158.769400256</v>
      </c>
      <c r="F17" s="4" t="n">
        <f aca="false">-F6*Assumptions!F32/100</f>
        <v>-1054.48015423296</v>
      </c>
      <c r="G17" s="4" t="n">
        <f aca="false">-G6*Assumptions!G32/100</f>
        <v>-935.474536826669</v>
      </c>
      <c r="H17" s="4" t="n">
        <f aca="false">-H6*Assumptions!H32/100</f>
        <v>-963.538772931469</v>
      </c>
      <c r="I17" s="4" t="n">
        <f aca="false">-I6*Assumptions!I32/100</f>
        <v>-992.444936119413</v>
      </c>
      <c r="J17" s="4" t="n">
        <f aca="false">-J6*Assumptions!J32/100</f>
        <v>-1017.2560595224</v>
      </c>
      <c r="K17" s="4" t="n">
        <f aca="false">-K6*Assumptions!K32/100</f>
        <v>-1042.68746101046</v>
      </c>
      <c r="L17" s="4" t="n">
        <f aca="false">-L6*Assumptions!L32/100</f>
        <v>-1063.54121023067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(C6-B6)*Assumptions!$B$37/100</f>
        <v>-150.2429</v>
      </c>
      <c r="D18" s="4" t="n">
        <f aca="false">(D6-C6)*Assumptions!$B$37/100</f>
        <v>40.565583</v>
      </c>
      <c r="E18" s="4" t="n">
        <f aca="false">(E6-D6)*Assumptions!$B$37/100</f>
        <v>55.7100673200001</v>
      </c>
      <c r="F18" s="4" t="n">
        <f aca="false">(F6-E6)*Assumptions!$B$37/100</f>
        <v>57.9384700128001</v>
      </c>
      <c r="G18" s="4" t="n">
        <f aca="false">(G6-F6)*Assumptions!$B$37/100</f>
        <v>52.7240077116479</v>
      </c>
      <c r="H18" s="4" t="n">
        <f aca="false">(H6-G6)*Assumptions!$B$37/100</f>
        <v>46.7737268413335</v>
      </c>
      <c r="I18" s="4" t="n">
        <f aca="false">(I6-H6)*Assumptions!$B$37/100</f>
        <v>48.1769386465734</v>
      </c>
      <c r="J18" s="4" t="n">
        <f aca="false">(J6-I6)*Assumptions!$B$37/100</f>
        <v>41.3518723383088</v>
      </c>
      <c r="K18" s="4" t="n">
        <f aca="false">(K6-J6)*Assumptions!$B$37/100</f>
        <v>42.3856691467663</v>
      </c>
      <c r="L18" s="4" t="n">
        <f aca="false">(L6-K6)*Assumptions!$B$37/100</f>
        <v>34.7562487003488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603.844244248001</v>
      </c>
      <c r="D19" s="0" t="n">
        <f aca="false">D15+D16+D17+D18</f>
        <v>1101.50810504208</v>
      </c>
      <c r="E19" s="0" t="n">
        <f aca="false">E15+E16+E17+E18</f>
        <v>1476.998675204</v>
      </c>
      <c r="F19" s="0" t="n">
        <f aca="false">F15+F16+F17+F18</f>
        <v>1683.34430775189</v>
      </c>
      <c r="G19" s="0" t="n">
        <f aca="false">G15+G16+G17+G18</f>
        <v>1890.93147257605</v>
      </c>
      <c r="H19" s="0" t="n">
        <f aca="false">H15+H16+H17+H18</f>
        <v>1940.12741565167</v>
      </c>
      <c r="I19" s="0" t="n">
        <f aca="false">I15+I16+I17+I18</f>
        <v>1998.33123812122</v>
      </c>
      <c r="J19" s="0" t="n">
        <f aca="false">J15+J16+J17+J18</f>
        <v>2040.26002929982</v>
      </c>
      <c r="K19" s="0" t="n">
        <f aca="false">K15+K16+K17+K18</f>
        <v>2091.26653003232</v>
      </c>
      <c r="L19" s="0" t="n">
        <f aca="false">L15+L16+L17+L18</f>
        <v>2124.61472680361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551.455930820092</v>
      </c>
      <c r="D21" s="0" t="n">
        <f aca="false">D19*D20</f>
        <v>918.669840113492</v>
      </c>
      <c r="E21" s="0" t="n">
        <f aca="false">E19*E20</f>
        <v>1124.96172942951</v>
      </c>
      <c r="F21" s="0" t="n">
        <f aca="false">F19*F20</f>
        <v>1170.89102755423</v>
      </c>
      <c r="G21" s="0" t="n">
        <f aca="false">G19*G20</f>
        <v>1201.17198453248</v>
      </c>
      <c r="H21" s="0" t="n">
        <f aca="false">H19*H20</f>
        <v>1125.50009917237</v>
      </c>
      <c r="I21" s="0" t="n">
        <f aca="false">I19*I20</f>
        <v>1058.68959100232</v>
      </c>
      <c r="J21" s="0" t="n">
        <f aca="false">J19*J20</f>
        <v>987.125947732097</v>
      </c>
      <c r="K21" s="0" t="n">
        <f aca="false">K19*K20</f>
        <v>924.022005867945</v>
      </c>
      <c r="L21" s="0" t="n">
        <f aca="false">L19*L20</f>
        <v>857.312183620806</v>
      </c>
    </row>
    <row r="23" customFormat="false" ht="15" hidden="false" customHeight="false" outlineLevel="0" collapsed="false">
      <c r="A23" s="0" t="s">
        <v>94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100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9919.80033984533</v>
      </c>
    </row>
    <row r="31" customFormat="false" ht="15" hidden="false" customHeight="false" outlineLevel="0" collapsed="false">
      <c r="A31" s="0" t="s">
        <v>122</v>
      </c>
      <c r="B31" s="0" t="n">
        <f aca="false">L19</f>
        <v>2124.61472680361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28894.7602845291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25495.3767216433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25495.3767216433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10287.7462034497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20207.546543295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24946.087543295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18.4146508770799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1.30183135963499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77.1935213086251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77.8199192605004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18.5290783753552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16670.0540103052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12.1559165731627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Assumptions!C41</f>
        <v>-7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30048.58</v>
      </c>
      <c r="C6" s="0" t="n">
        <f aca="false">B6*(1+C5/100)</f>
        <v>27945.1794</v>
      </c>
      <c r="D6" s="0" t="n">
        <f aca="false">C6*(1+D5/100)</f>
        <v>29621.890164</v>
      </c>
      <c r="E6" s="0" t="n">
        <f aca="false">D6*(1+E5/100)</f>
        <v>31695.42247548</v>
      </c>
      <c r="F6" s="0" t="n">
        <f aca="false">E6*(1+F5/100)</f>
        <v>33597.1478240088</v>
      </c>
      <c r="G6" s="0" t="n">
        <f aca="false">F6*(1+G5/100)</f>
        <v>35277.0052152093</v>
      </c>
      <c r="H6" s="0" t="n">
        <f aca="false">G6*(1+H5/100)</f>
        <v>36864.4704498937</v>
      </c>
      <c r="I6" s="0" t="n">
        <f aca="false">H6*(1+I5/100)</f>
        <v>38339.0492678894</v>
      </c>
      <c r="J6" s="0" t="n">
        <f aca="false">I6*(1+J5/100)</f>
        <v>39680.9159922655</v>
      </c>
      <c r="K6" s="0" t="n">
        <f aca="false">J6*(1+K5/100)</f>
        <v>40871.3434720335</v>
      </c>
      <c r="L6" s="0" t="n">
        <f aca="false">K6*(1+L5/100)</f>
        <v>41893.1270588343</v>
      </c>
    </row>
    <row r="7" customFormat="false" ht="15" hidden="false" customHeight="false" outlineLevel="0" collapsed="false">
      <c r="A7" s="0" t="s">
        <v>92</v>
      </c>
      <c r="C7" s="4" t="n">
        <f aca="false">Assumptions!C42</f>
        <v>10.8</v>
      </c>
      <c r="D7" s="4" t="n">
        <f aca="false">Assumptions!D42</f>
        <v>11.5</v>
      </c>
      <c r="E7" s="4" t="n">
        <f aca="false">Assumptions!E42</f>
        <v>12</v>
      </c>
      <c r="F7" s="4" t="n">
        <f aca="false">Assumptions!F42</f>
        <v>12.5</v>
      </c>
      <c r="G7" s="4" t="n">
        <f aca="false">Assumptions!G42</f>
        <v>12.8</v>
      </c>
      <c r="H7" s="4" t="n">
        <f aca="false">Assumptions!H42</f>
        <v>13</v>
      </c>
      <c r="I7" s="4" t="n">
        <f aca="false">Assumptions!I42</f>
        <v>13</v>
      </c>
      <c r="J7" s="4" t="n">
        <f aca="false">Assumptions!J42</f>
        <v>13</v>
      </c>
      <c r="K7" s="4" t="n">
        <f aca="false">Assumptions!K42</f>
        <v>13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3018.0793752</v>
      </c>
      <c r="D8" s="0" t="n">
        <f aca="false">D6*D7/100</f>
        <v>3406.51736886</v>
      </c>
      <c r="E8" s="0" t="n">
        <f aca="false">E6*E7/100</f>
        <v>3803.4506970576</v>
      </c>
      <c r="F8" s="0" t="n">
        <f aca="false">F6*F7/100</f>
        <v>4199.6434780011</v>
      </c>
      <c r="G8" s="0" t="n">
        <f aca="false">G6*G7/100</f>
        <v>4515.45666754679</v>
      </c>
      <c r="H8" s="0" t="n">
        <f aca="false">H6*H7/100</f>
        <v>4792.38115848618</v>
      </c>
      <c r="I8" s="0" t="n">
        <f aca="false">I6*I7/100</f>
        <v>4984.07640482562</v>
      </c>
      <c r="J8" s="0" t="n">
        <f aca="false">J6*J7/100</f>
        <v>5158.51907899452</v>
      </c>
      <c r="K8" s="0" t="n">
        <f aca="false">K6*K7/100</f>
        <v>5313.27465136436</v>
      </c>
      <c r="L8" s="0" t="n">
        <f aca="false">L6*L7/100</f>
        <v>5446.10651764846</v>
      </c>
    </row>
    <row r="9" customFormat="false" ht="15" hidden="false" customHeight="false" outlineLevel="0" collapsed="false">
      <c r="A9" s="0" t="s">
        <v>93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-11.17807176</v>
      </c>
      <c r="D10" s="0" t="n">
        <f aca="false">-D6*D9/100</f>
        <v>-11.8487560656</v>
      </c>
      <c r="E10" s="0" t="n">
        <f aca="false">-E6*E9/100</f>
        <v>-12.678168990192</v>
      </c>
      <c r="F10" s="0" t="n">
        <f aca="false">-F6*F9/100</f>
        <v>-13.4388591296035</v>
      </c>
      <c r="G10" s="0" t="n">
        <f aca="false">-G6*G9/100</f>
        <v>-14.1108020860837</v>
      </c>
      <c r="H10" s="0" t="n">
        <f aca="false">-H6*H9/100</f>
        <v>-14.7457881799575</v>
      </c>
      <c r="I10" s="0" t="n">
        <f aca="false">-I6*I9/100</f>
        <v>-15.3356197071558</v>
      </c>
      <c r="J10" s="0" t="n">
        <f aca="false">-J6*J9/100</f>
        <v>-15.8723663969062</v>
      </c>
      <c r="K10" s="0" t="n">
        <f aca="false">-K6*K9/100</f>
        <v>-16.3485373888134</v>
      </c>
      <c r="L10" s="0" t="n">
        <f aca="false">-L6*L9/100</f>
        <v>-16.7572508235337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3006.90130344</v>
      </c>
      <c r="D11" s="0" t="n">
        <f aca="false">D8+D10+D24</f>
        <v>3394.6686127944</v>
      </c>
      <c r="E11" s="0" t="n">
        <f aca="false">E8+E10+E24</f>
        <v>3790.77252806741</v>
      </c>
      <c r="F11" s="0" t="n">
        <f aca="false">F8+F10+F24</f>
        <v>4186.2046188715</v>
      </c>
      <c r="G11" s="0" t="n">
        <f aca="false">G8+G10+G24</f>
        <v>4501.3458654607</v>
      </c>
      <c r="H11" s="0" t="n">
        <f aca="false">H8+H10+H24</f>
        <v>4777.63537030622</v>
      </c>
      <c r="I11" s="0" t="n">
        <f aca="false">I8+I10+I24</f>
        <v>4968.74078511847</v>
      </c>
      <c r="J11" s="0" t="n">
        <f aca="false">J8+J10+J24</f>
        <v>5142.64671259761</v>
      </c>
      <c r="K11" s="0" t="n">
        <f aca="false">K8+K10+K24</f>
        <v>5296.92611397554</v>
      </c>
      <c r="L11" s="0" t="n">
        <f aca="false">L8+L10+L24</f>
        <v>5429.34926682493</v>
      </c>
    </row>
    <row r="12" customFormat="false" ht="15" hidden="false" customHeight="false" outlineLevel="0" collapsed="false">
      <c r="A12" s="0" t="s">
        <v>110</v>
      </c>
      <c r="C12" s="4" t="n">
        <f aca="false">-C6*Assumptions!C45/100</f>
        <v>-698.629485</v>
      </c>
      <c r="D12" s="4" t="n">
        <f aca="false">-D6*Assumptions!D45/100</f>
        <v>-770.169144264</v>
      </c>
      <c r="E12" s="4" t="n">
        <f aca="false">-E6*Assumptions!E45/100</f>
        <v>-855.77640683796</v>
      </c>
      <c r="F12" s="4" t="n">
        <f aca="false">-F6*Assumptions!F45/100</f>
        <v>-907.122991248238</v>
      </c>
      <c r="G12" s="4" t="n">
        <f aca="false">-G6*Assumptions!G45/100</f>
        <v>-952.47914081065</v>
      </c>
      <c r="H12" s="4" t="n">
        <f aca="false">-H6*Assumptions!H45/100</f>
        <v>-995.340702147129</v>
      </c>
      <c r="I12" s="4" t="n">
        <f aca="false">-I6*Assumptions!I45/100</f>
        <v>-1035.15433023301</v>
      </c>
      <c r="J12" s="4" t="n">
        <f aca="false">-J6*Assumptions!J45/100</f>
        <v>-1071.38473179117</v>
      </c>
      <c r="K12" s="4" t="n">
        <f aca="false">-K6*Assumptions!K45/100</f>
        <v>-1103.5262737449</v>
      </c>
      <c r="L12" s="4" t="n">
        <f aca="false">-L6*Assumptions!L45/100</f>
        <v>-1131.11443058853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2308.27181844</v>
      </c>
      <c r="D13" s="0" t="n">
        <f aca="false">D11+D12</f>
        <v>2624.4994685304</v>
      </c>
      <c r="E13" s="0" t="n">
        <f aca="false">E11+E12</f>
        <v>2934.99612122945</v>
      </c>
      <c r="F13" s="0" t="n">
        <f aca="false">F11+F12</f>
        <v>3279.08162762326</v>
      </c>
      <c r="G13" s="0" t="n">
        <f aca="false">G11+G12</f>
        <v>3548.86672465005</v>
      </c>
      <c r="H13" s="0" t="n">
        <f aca="false">H11+H12</f>
        <v>3782.29466815909</v>
      </c>
      <c r="I13" s="0" t="n">
        <f aca="false">I11+I12</f>
        <v>3933.58645488545</v>
      </c>
      <c r="J13" s="0" t="n">
        <f aca="false">J11+J12</f>
        <v>4071.26198080644</v>
      </c>
      <c r="K13" s="0" t="n">
        <f aca="false">K11+K12</f>
        <v>4193.39984023064</v>
      </c>
      <c r="L13" s="0" t="n">
        <f aca="false">L11+L12</f>
        <v>4298.2348362364</v>
      </c>
    </row>
    <row r="14" customFormat="false" ht="15" hidden="false" customHeight="false" outlineLevel="0" collapsed="false">
      <c r="A14" s="0" t="s">
        <v>97</v>
      </c>
      <c r="C14" s="4" t="n">
        <f aca="false">Assumptions!C47</f>
        <v>21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1823.5347365676</v>
      </c>
      <c r="D15" s="0" t="n">
        <f aca="false">D13-MAX(0,D13)*D14/100</f>
        <v>2047.10958545371</v>
      </c>
      <c r="E15" s="0" t="n">
        <f aca="false">E13-MAX(0,E13)*E14/100</f>
        <v>2259.94701334668</v>
      </c>
      <c r="F15" s="0" t="n">
        <f aca="false">F13-MAX(0,F13)*F14/100</f>
        <v>2492.10203699368</v>
      </c>
      <c r="G15" s="0" t="n">
        <f aca="false">G13-MAX(0,G13)*G14/100</f>
        <v>2697.13871073404</v>
      </c>
      <c r="H15" s="0" t="n">
        <f aca="false">H13-MAX(0,H13)*H14/100</f>
        <v>2874.54394780091</v>
      </c>
      <c r="I15" s="0" t="n">
        <f aca="false">I13-MAX(0,I13)*I14/100</f>
        <v>2989.52570571294</v>
      </c>
      <c r="J15" s="0" t="n">
        <f aca="false">J13-MAX(0,J13)*J14/100</f>
        <v>3094.1591054129</v>
      </c>
      <c r="K15" s="0" t="n">
        <f aca="false">K13-MAX(0,K13)*K14/100</f>
        <v>3186.98387857529</v>
      </c>
      <c r="L15" s="0" t="n">
        <f aca="false">L13-MAX(0,L13)*L14/100</f>
        <v>3266.65847553967</v>
      </c>
    </row>
    <row r="16" customFormat="false" ht="15" hidden="false" customHeight="false" outlineLevel="0" collapsed="false">
      <c r="A16" s="0" t="s">
        <v>113</v>
      </c>
      <c r="C16" s="0" t="n">
        <f aca="false">-C12</f>
        <v>698.629485</v>
      </c>
      <c r="D16" s="0" t="n">
        <f aca="false">-D12</f>
        <v>770.169144264</v>
      </c>
      <c r="E16" s="0" t="n">
        <f aca="false">-E12</f>
        <v>855.77640683796</v>
      </c>
      <c r="F16" s="0" t="n">
        <f aca="false">-F12</f>
        <v>907.122991248238</v>
      </c>
      <c r="G16" s="0" t="n">
        <f aca="false">-G12</f>
        <v>952.47914081065</v>
      </c>
      <c r="H16" s="0" t="n">
        <f aca="false">-H12</f>
        <v>995.340702147129</v>
      </c>
      <c r="I16" s="0" t="n">
        <f aca="false">-I12</f>
        <v>1035.15433023301</v>
      </c>
      <c r="J16" s="0" t="n">
        <f aca="false">-J12</f>
        <v>1071.38473179117</v>
      </c>
      <c r="K16" s="0" t="n">
        <f aca="false">-K12</f>
        <v>1103.5262737449</v>
      </c>
      <c r="L16" s="0" t="n">
        <f aca="false">-L12</f>
        <v>1131.11443058853</v>
      </c>
    </row>
    <row r="17" customFormat="false" ht="15" hidden="false" customHeight="false" outlineLevel="0" collapsed="false">
      <c r="A17" s="0" t="s">
        <v>114</v>
      </c>
      <c r="C17" s="4" t="n">
        <f aca="false">-C6*Assumptions!C46/100</f>
        <v>-1676.710764</v>
      </c>
      <c r="D17" s="4" t="n">
        <f aca="false">-D6*Assumptions!D46/100</f>
        <v>-1629.20395902</v>
      </c>
      <c r="E17" s="4" t="n">
        <f aca="false">-E6*Assumptions!E46/100</f>
        <v>-1426.2940113966</v>
      </c>
      <c r="F17" s="4" t="n">
        <f aca="false">-F6*Assumptions!F46/100</f>
        <v>-1343.88591296035</v>
      </c>
      <c r="G17" s="4" t="n">
        <f aca="false">-G6*Assumptions!G46/100</f>
        <v>-1234.69518253232</v>
      </c>
      <c r="H17" s="4" t="n">
        <f aca="false">-H6*Assumptions!H46/100</f>
        <v>-1290.25646574628</v>
      </c>
      <c r="I17" s="4" t="n">
        <f aca="false">-I6*Assumptions!I46/100</f>
        <v>-1226.84957657246</v>
      </c>
      <c r="J17" s="4" t="n">
        <f aca="false">-J6*Assumptions!J46/100</f>
        <v>-1190.42747976797</v>
      </c>
      <c r="K17" s="4" t="n">
        <f aca="false">-K6*Assumptions!K46/100</f>
        <v>-1226.14030416101</v>
      </c>
      <c r="L17" s="4" t="n">
        <f aca="false">-L6*Assumptions!L46/100</f>
        <v>-1256.79381176503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(C6-B6)*Assumptions!$B$51/100</f>
        <v>-168.272048</v>
      </c>
      <c r="D18" s="4" t="n">
        <f aca="false">(D6-C6)*Assumptions!$B$51/100</f>
        <v>134.13686112</v>
      </c>
      <c r="E18" s="4" t="n">
        <f aca="false">(E6-D6)*Assumptions!$B$51/100</f>
        <v>165.8825849184</v>
      </c>
      <c r="F18" s="4" t="n">
        <f aca="false">(F6-E6)*Assumptions!$B$51/100</f>
        <v>152.138027882304</v>
      </c>
      <c r="G18" s="4" t="n">
        <f aca="false">(G6-F6)*Assumptions!$B$51/100</f>
        <v>134.388591296035</v>
      </c>
      <c r="H18" s="4" t="n">
        <f aca="false">(H6-G6)*Assumptions!$B$51/100</f>
        <v>126.997218774753</v>
      </c>
      <c r="I18" s="4" t="n">
        <f aca="false">(I6-H6)*Assumptions!$B$51/100</f>
        <v>117.96630543966</v>
      </c>
      <c r="J18" s="4" t="n">
        <f aca="false">(J6-I6)*Assumptions!$B$51/100</f>
        <v>107.34933795009</v>
      </c>
      <c r="K18" s="4" t="n">
        <f aca="false">(K6-J6)*Assumptions!$B$51/100</f>
        <v>95.2341983814375</v>
      </c>
      <c r="L18" s="4" t="n">
        <f aca="false">(L6-K6)*Assumptions!$B$51/100</f>
        <v>81.7426869440667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677.1814095676</v>
      </c>
      <c r="D19" s="0" t="n">
        <f aca="false">D15+D16+D17+D18</f>
        <v>1322.21163181771</v>
      </c>
      <c r="E19" s="0" t="n">
        <f aca="false">E15+E16+E17+E18</f>
        <v>1855.31199370644</v>
      </c>
      <c r="F19" s="0" t="n">
        <f aca="false">F15+F16+F17+F18</f>
        <v>2207.47714316387</v>
      </c>
      <c r="G19" s="0" t="n">
        <f aca="false">G15+G16+G17+G18</f>
        <v>2549.3112603084</v>
      </c>
      <c r="H19" s="0" t="n">
        <f aca="false">H15+H16+H17+H18</f>
        <v>2706.62540297651</v>
      </c>
      <c r="I19" s="0" t="n">
        <f aca="false">I15+I16+I17+I18</f>
        <v>2915.79676481316</v>
      </c>
      <c r="J19" s="0" t="n">
        <f aca="false">J15+J16+J17+J18</f>
        <v>3082.46569538619</v>
      </c>
      <c r="K19" s="0" t="n">
        <f aca="false">K15+K16+K17+K18</f>
        <v>3159.60404654062</v>
      </c>
      <c r="L19" s="0" t="n">
        <f aca="false">L15+L16+L17+L18</f>
        <v>3222.72178130723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618.430511020639</v>
      </c>
      <c r="D21" s="0" t="n">
        <f aca="false">D19*D20</f>
        <v>1102.73900195385</v>
      </c>
      <c r="E21" s="0" t="n">
        <f aca="false">E19*E20</f>
        <v>1413.10552548941</v>
      </c>
      <c r="F21" s="0" t="n">
        <f aca="false">F19*F20</f>
        <v>1535.46435423749</v>
      </c>
      <c r="G21" s="0" t="n">
        <f aca="false">G19*G20</f>
        <v>1619.39303996247</v>
      </c>
      <c r="H21" s="0" t="n">
        <f aca="false">H19*H20</f>
        <v>1570.15829728342</v>
      </c>
      <c r="I21" s="0" t="n">
        <f aca="false">I19*I20</f>
        <v>1544.75075277719</v>
      </c>
      <c r="J21" s="0" t="n">
        <f aca="false">J19*J20</f>
        <v>1491.36964269892</v>
      </c>
      <c r="K21" s="0" t="n">
        <f aca="false">K19*K20</f>
        <v>1396.06483769805</v>
      </c>
      <c r="L21" s="0" t="n">
        <f aca="false">L19*L20</f>
        <v>1300.41395867168</v>
      </c>
    </row>
    <row r="23" customFormat="false" ht="15" hidden="false" customHeight="false" outlineLevel="0" collapsed="false">
      <c r="A23" s="0" t="s">
        <v>94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100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13591.8899217931</v>
      </c>
    </row>
    <row r="31" customFormat="false" ht="15" hidden="false" customHeight="false" outlineLevel="0" collapsed="false">
      <c r="A31" s="0" t="s">
        <v>122</v>
      </c>
      <c r="B31" s="0" t="n">
        <f aca="false">L19</f>
        <v>3222.72178130723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47189.8546548559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45118.1049383012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45118.1049383012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18205.7954214035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31797.6853431967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36536.2263431967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26.9702353648948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2.37127942061186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86.4016190750692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99.0119021285469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27.1071035312928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26426.3186067193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15.9280922207867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130</v>
      </c>
      <c r="D3" s="2" t="s">
        <v>141</v>
      </c>
      <c r="E3" s="2" t="s">
        <v>133</v>
      </c>
      <c r="F3" s="2" t="s">
        <v>142</v>
      </c>
    </row>
    <row r="4" customFormat="false" ht="15" hidden="false" customHeight="false" outlineLevel="0" collapsed="false">
      <c r="A4" s="0" t="s">
        <v>143</v>
      </c>
      <c r="B4" s="4" t="n">
        <f aca="false">DCF_Bear!$B$38</f>
        <v>11.7157532395095</v>
      </c>
      <c r="C4" s="0" t="n">
        <f aca="false">B4/Assumptions!$B$2-1</f>
        <v>0.464469154938681</v>
      </c>
      <c r="D4" s="4" t="n">
        <f aca="false">Assumptions!$B$24</f>
        <v>0.35</v>
      </c>
      <c r="E4" s="4" t="n">
        <f aca="false">DCF_Bear!$B$43</f>
        <v>11.8081106409837</v>
      </c>
      <c r="F4" s="4" t="n">
        <f aca="false">DCF_Bear!$B$47</f>
        <v>8.74321202862722</v>
      </c>
    </row>
    <row r="5" customFormat="false" ht="15" hidden="false" customHeight="false" outlineLevel="0" collapsed="false">
      <c r="A5" s="0" t="s">
        <v>144</v>
      </c>
      <c r="B5" s="4" t="n">
        <f aca="false">DCF_Base!$B$38</f>
        <v>18.4146508770799</v>
      </c>
      <c r="C5" s="0" t="n">
        <f aca="false">B5/Assumptions!$B$2-1</f>
        <v>1.30183135963499</v>
      </c>
      <c r="D5" s="4" t="n">
        <f aca="false">Assumptions!$B$38</f>
        <v>0.45</v>
      </c>
      <c r="E5" s="4" t="n">
        <f aca="false">DCF_Base!$B$43</f>
        <v>18.5290783753552</v>
      </c>
      <c r="F5" s="4" t="n">
        <f aca="false">DCF_Base!$B$47</f>
        <v>12.1559165731627</v>
      </c>
    </row>
    <row r="6" customFormat="false" ht="15" hidden="false" customHeight="false" outlineLevel="0" collapsed="false">
      <c r="A6" s="0" t="s">
        <v>145</v>
      </c>
      <c r="B6" s="4" t="n">
        <f aca="false">DCF_Bull!$B$38</f>
        <v>26.9702353648948</v>
      </c>
      <c r="C6" s="0" t="n">
        <f aca="false">B6/Assumptions!$B$2-1</f>
        <v>2.37127942061186</v>
      </c>
      <c r="D6" s="4" t="n">
        <f aca="false">Assumptions!$B$52</f>
        <v>0.2</v>
      </c>
      <c r="E6" s="4" t="n">
        <f aca="false">DCF_Bull!$B$43</f>
        <v>27.1071035312928</v>
      </c>
      <c r="F6" s="4" t="n">
        <f aca="false">DCF_Bull!$B$47</f>
        <v>15.9280922207867</v>
      </c>
    </row>
    <row r="8" customFormat="false" ht="15" hidden="false" customHeight="false" outlineLevel="0" collapsed="false">
      <c r="A8" s="0" t="s">
        <v>146</v>
      </c>
      <c r="B8" s="0" t="n">
        <f aca="false">SUMPRODUCT(B4:B6,D4:D6)</f>
        <v>17.7811536014933</v>
      </c>
    </row>
    <row r="9" customFormat="false" ht="15" hidden="false" customHeight="false" outlineLevel="0" collapsed="false">
      <c r="A9" s="0" t="s">
        <v>147</v>
      </c>
      <c r="B9" s="0" t="n">
        <f aca="false">SUMPRODUCT(E4:E6,D4:D6)</f>
        <v>17.8923446995127</v>
      </c>
    </row>
    <row r="10" customFormat="false" ht="15" hidden="false" customHeight="false" outlineLevel="0" collapsed="false">
      <c r="A10" s="0" t="s">
        <v>148</v>
      </c>
      <c r="B10" s="0" t="n">
        <f aca="false">1-Assumptions!$B$2/B8</f>
        <v>0.550085434314669</v>
      </c>
    </row>
    <row r="11" customFormat="false" ht="15" hidden="false" customHeight="false" outlineLevel="0" collapsed="false">
      <c r="A11" s="0" t="s">
        <v>149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150</v>
      </c>
      <c r="B12" s="0" t="n">
        <f aca="false">SUMPRODUCT(F4:F6,D4:D6)</f>
        <v>11.7159051121001</v>
      </c>
    </row>
    <row r="14" customFormat="false" ht="15" hidden="false" customHeight="false" outlineLevel="0" collapsed="false">
      <c r="A14" s="2" t="s">
        <v>151</v>
      </c>
      <c r="C14" s="0" t="s">
        <v>152</v>
      </c>
    </row>
    <row r="15" customFormat="false" ht="15" hidden="false" customHeight="false" outlineLevel="0" collapsed="false">
      <c r="A15" s="0" t="s">
        <v>153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18.9604283064916</v>
      </c>
      <c r="C15" s="3" t="n">
        <v>9</v>
      </c>
    </row>
    <row r="16" customFormat="false" ht="15" hidden="false" customHeight="false" outlineLevel="0" collapsed="false">
      <c r="A16" s="0" t="s">
        <v>154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18.4146508770799</v>
      </c>
      <c r="C16" s="3" t="n">
        <v>9.5</v>
      </c>
    </row>
    <row r="17" customFormat="false" ht="15" hidden="false" customHeight="false" outlineLevel="0" collapsed="false">
      <c r="A17" s="0" t="s">
        <v>155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17.8929869036021</v>
      </c>
      <c r="C17" s="3" t="n">
        <v>10</v>
      </c>
    </row>
    <row r="18" customFormat="false" ht="15" hidden="false" customHeight="false" outlineLevel="0" collapsed="false">
      <c r="A18" s="0" t="s">
        <v>156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16.5489884362505</v>
      </c>
      <c r="C18" s="3" t="n">
        <v>11</v>
      </c>
    </row>
    <row r="19" customFormat="false" ht="15" hidden="false" customHeight="false" outlineLevel="0" collapsed="false">
      <c r="A19" s="0" t="s">
        <v>157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15.1152759726894</v>
      </c>
      <c r="C19" s="3" t="n">
        <v>12</v>
      </c>
    </row>
    <row r="20" customFormat="false" ht="15" hidden="false" customHeight="false" outlineLevel="0" collapsed="false">
      <c r="A20" s="0" t="s">
        <v>158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12.1559165731627</v>
      </c>
      <c r="C20" s="3" t="n">
        <v>15</v>
      </c>
    </row>
    <row r="22" customFormat="false" ht="15" hidden="false" customHeight="false" outlineLevel="0" collapsed="false">
      <c r="A22" s="2" t="s">
        <v>159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20.755657958129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20.755657958129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20.755657958129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20.755657958129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20.755657958129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19.5316023621324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19.5316023621324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19.5316023621324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19.5316023621324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19.5316023621324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18.3401980629904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18.4146508770799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18.4146508770799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18.4146508770799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18.4146508770799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16.6034764274126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16.9768852907751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17.3942246086509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17.3942246086509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17.3942246086509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15.2035767402949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15.4839574519284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15.7938519226812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16.1381791124065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16.4608893485168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2026-10-18T06:45:12Z</dcterms:created>
  <dc:creator>openpyxl</dc:creator>
  <dc:description/>
  <dc:language>en-NZ</dc:language>
  <cp:lastModifiedBy/>
  <dcterms:modified xsi:type="dcterms:W3CDTF">2026-10-18T06:45:12Z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