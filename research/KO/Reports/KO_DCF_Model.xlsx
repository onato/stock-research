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<sst xmlns="http://schemas.openxmlformats.org/spreadsheetml/2006/main" count="390" uniqueCount="175">
  <si>
    <t xml:space="preserve">Ticker</t>
  </si>
  <si>
    <t xml:space="preserve">KO</t>
  </si>
  <si>
    <t xml:space="preserve">Company</t>
  </si>
  <si>
    <t xml:space="preserve">The Coca-Cola Company</t>
  </si>
  <si>
    <t xml:space="preserve">Valuation date</t>
  </si>
  <si>
    <t xml:space="preserve">2026-09-29</t>
  </si>
  <si>
    <t xml:space="preserve">Current price</t>
  </si>
  <si>
    <t xml:space="preserve">Price as of</t>
  </si>
  <si>
    <t xml:space="preserve">2026-09-28T20:00:03Z regular close (Yahoo Finance chart API)</t>
  </si>
  <si>
    <t xml:space="preserve">Balance sheet date</t>
  </si>
  <si>
    <t xml:space="preserve">2026-07-03</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</si>
  <si>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</si>
  <si>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</si>
  <si>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</si>
  <si>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</si>
  <si>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</si>
  <si>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</si>
  <si>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</si>
  <si>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</si>
  <si>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</si>
  <si>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</si>
  <si>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2026-09-28T22:36:03Z</t>
  </si>
  <si>
    <t xml:space="preserve">Drivers file</t>
  </si>
  <si>
    <t xml:space="preserve">KO_Drivers.json</t>
  </si>
  <si>
    <t xml:space="preserve">Convention</t>
  </si>
  <si>
    <t xml:space="preserve">Percents stored as percents; formulas divide by 100. Blue = input, green = link, black = formula.</t>
  </si>
  <si>
    <t xml:space="preserve">Methodology</t>
  </si>
  <si>
    <t xml:space="preserve">summary: House owner-FCF basis: SBC expensed (small at 0.6% of revenue), share count flat, equity income stripped from the flows and the bottler stakes added at quoted market value, NCI deducted once, the IRS case carried at expected value in the bridge, terminal value capped at 20x owner FCF. Coca-Cola's cash flow is among the most predictable in the market, so the valuation question is almost entirely the multiple: at 7% WACC and a 20x cap the house value is far below a price that embeds ~34x normalized owner FCF and a ~2.9% FCF yield. The house/street band is negligible because SBC is tiny; the gap to the price is a multiple gap, not an accounting-regime gap.
key_risks_to_valuation: IRS transfer-pricing appeal (11th Circuit, argued 2026-06-25): a loss costs the 6.5bn deposit plus ~15bn incremental and raises the go-forward tax rate; a win returns 6.5bn. Carried at -3.2bn expected value; the swing between outcomes is ~5/share.; GLP-1 adoption and sugar taxes (Mexico IEPS doubled in 2026 and extended to zero-sugar) could push developed- and Latin-market volume negative faster than price/mix can offset.; The 20x terminal cap is the single largest driver: Gordon at 7%/2.5% would be 22.8x and the market pays ~34x; every 1x on the cap is worth ~3.5/share.; Bottler stakes are valued at quoted market prices (34.3bn), which move with the investees' own multiples; carrying value is 20.8bn.; FX: most revenue is non-USD; a strong dollar cuts reported growth 2-4pp in bad years and the WACC is USD-built.; Recurring 'one-off' charges: BODYARMOR (960 in FY2025, 760 in FY2024) shows past M&amp;A can be written down again; the margin paths allow ~1pp/yr but a fairlife-scale miss would exceed it.; The Q2-2026 10-Q is missing from the XBRL feed and the CSV mislabels Q1-2026 as Q2-2026; anchors here were read from the filing HTML and should be re-checked once the pipeline ingests it.</t>
  </si>
  <si>
    <t xml:space="preserve">Data sources</t>
  </si>
  <si>
    <t xml:space="preserve">price: Yahoo Finance chart API at inputs.price_as_of; 52-week range 65.35-92.49
financials: KO_Metrics.csv (SEC XBRL companyfacts, FY2007-Q1-2026) for history; Q2-2026 10-Q HTML (accession 0001628280-26-050503, period ended 2026-07-03) read directly for the balance-sheet, share-count and H1 cash-flow anchors; FY2025 10-K XBRL for equity-method quoted market value, cash taxes and interest income
qualitative: KO_Analysis.json (2026-09-29): business model, GLP-1/sugar-tax/IRS risks, FY2026 guidance raised July 2026 (organic ~5%, comparable EPS +9-10%)</t>
  </si>
  <si>
    <t xml:space="preserve">Scenario narrative: bear</t>
  </si>
  <si>
    <t xml:space="preserve">GLP-1 uptake (users cut sugary-drink consumption by up to ~65%) and proliferating sugar/packaging taxes structurally cap volume; pricing elasticity ends the price/mix run; sports drinks keep losing to Gatorade with further BODYARMOR write-downs; growth drops to 1% and GAAP EBITDA margin falls back to 30%. The IRS methodology is upheld and applied going forward, adding ~3pp to the cash tax rate on top of the 15bn in the bridge. A 1%-growth staple is capped at 17x.</t>
  </si>
  <si>
    <t xml:space="preserve">Scenario narrative: base</t>
  </si>
  <si>
    <t xml:space="preserve">Coca-Cola remains the world's dominant NARTD franchise and grows revenue 4-5% near term, fading to 2.5%, on price/mix plus emerging-market volume; Coca-Cola Zero Sugar offsets full-sugar decline in developed markets; fairlife and Costa keep the finished-goods mix growing. GAAP EBITDA margin holds 33-34% with ~1pp/yr of recurring 'other operating charges'. The bottler stakes are worth their quoted 34bn and the IRS appeal resolves as a modest net cost. Value is set by a 20x cap on year-10 owner FCF at a 7% WACC -- the market is paying ~34x today.</t>
  </si>
  <si>
    <t xml:space="preserve">Scenario narrative: bull</t>
  </si>
  <si>
    <t xml:space="preserve">New CEO Braun's technology-led RGM and productivity programme lifts EBITDA margin ~2.5pp to 35.5% while zero-sugar, fairlife and emerging markets keep organic growth at 5-6% for five years; Mexico and other sugar taxes prove absorbable through reformulation; the 11th Circuit reverses the Tax Court (already carried in the bridge weighting) and the 22x cap credits a mature compounder that has historically commanded a premium multiple.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</si>
  <si>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</si>
  <si>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</si>
  <si>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</si>
  <si>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</si>
  <si>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</si>
  <si>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</si>
  <si>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</si>
  <si>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</si>
  <si>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</si>
  <si>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</si>
  <si>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</si>
  <si>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</si>
  <si>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</si>
  <si>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</si>
  <si>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</si>
  <si>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</si>
  <si>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</si>
  <si>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</si>
  <si>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</si>
  <si>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</si>
  <si>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</si>
  <si>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</si>
  <si>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</si>
  <si>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</si>
  <si>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</si>
  <si>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</si>
  <si>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</si>
  <si>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</si>
  <si>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</si>
  <si>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</si>
  <si>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</si>
  <si>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</si>
  <si>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</si>
  <si>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</si>
  <si>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</si>
  <si>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</si>
  <si>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</si>
  <si>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</si>
  <si>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</si>
  <si>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</si>
  <si>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</si>
  <si>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</si>
  <si>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</si>
  <si>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</si>
  <si>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</si>
  <si>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</si>
  <si>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</si>
  <si>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</si>
  <si>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</si>
  <si>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</si>
  <si>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</si>
  <si>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</si>
  <si>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</si>
  <si>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</si>
  <si>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</si>
  <si>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</si>
  <si>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</si>
  <si>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</si>
  <si>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</si>
  <si>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</si>
  <si>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</si>
  <si>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</si>
  <si>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</si>
  <si>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</si>
  <si>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</si>
  <si>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</si>
  <si>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</si>
  <si>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</si>
  <si>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</si>
  <si>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</si>
  <si>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</si>
  <si>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</si>
  <si>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</si>
  <si>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</si>
  <si>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</si>
  <si>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</si>
  <si>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</si>
  <si>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</si>
  <si>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</si>
  <si>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</si>
  <si>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</si>
  <si>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</si>
  <si>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</si>
  <si>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</si>
  <si>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KO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</si>
  <si>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</si>
  <si>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</si>
  <si>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</si>
  <si>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</si>
  <si>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</si>
  <si>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</si>
  <si>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</si>
  <si>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</si>
  <si>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</si>
  <si>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</si>
  <si>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</si>
  <si>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</si>
  <si>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</si>
  <si>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</si>
  <si>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</si>
  <si>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</si>
  <si>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</si>
  <si>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</si>
  <si>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</si>
  <si>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</si>
  <si>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</si>
  <si>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</si>
  <si>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</si>
  <si>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</si>
  <si>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</si>
  <si>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</si>
  <si>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</si>
  <si>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</si>
  <si>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</si>
  <si>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</si>
  <si>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KO owner-FCF component DCF: base case (millions, USD)</t>
  </si>
  <si>
    <t xml:space="preserve">KO owner-FCF component DCF: bull case (millions, USD)</t>
  </si>
  <si>
    <t xml:space="preserve">KO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</si>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</sst>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87.18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0</v>
      </c>
      <c r="S2" s="0" t="n">
        <v>2440</v>
      </c>
      <c r="AA2" s="0" t="s">
        <v>17</v>
      </c>
      <c r="AB2" s="0" t="s">
        <v>14</v>
      </c>
    </row>
    <row r="3" customFormat="false" ht="15" hidden="false" customHeight="false" outlineLevel="0" collapsed="false">
      <c r="A3" s="0" t="s">
        <v>64</v>
      </c>
      <c r="D3" s="0" t="n">
        <v>18451</v>
      </c>
      <c r="F3" s="0" t="n">
        <v>7252</v>
      </c>
      <c r="H3" s="0" t="n">
        <v>8415</v>
      </c>
      <c r="I3" s="0" t="n">
        <v>6027</v>
      </c>
      <c r="K3" s="0" t="n">
        <v>2.59</v>
      </c>
      <c r="L3" s="0" t="n">
        <v>7150</v>
      </c>
      <c r="M3" s="0" t="n">
        <v>1648</v>
      </c>
      <c r="N3" s="0" t="n">
        <v>5502</v>
      </c>
      <c r="O3" s="0" t="n">
        <v>0</v>
      </c>
      <c r="S3" s="0" t="n">
        <v>4093</v>
      </c>
      <c r="T3" s="0" t="n">
        <v>2331</v>
      </c>
      <c r="U3" s="0" t="n">
        <v>313</v>
      </c>
      <c r="AA3" s="0" t="s">
        <v>17</v>
      </c>
      <c r="AB3" s="0" t="s">
        <v>14</v>
      </c>
    </row>
    <row r="4" customFormat="false" ht="15" hidden="false" customHeight="false" outlineLevel="0" collapsed="false">
      <c r="A4" s="0" t="s">
        <v>65</v>
      </c>
      <c r="D4" s="0" t="n">
        <v>20570</v>
      </c>
      <c r="F4" s="0" t="n">
        <v>8446</v>
      </c>
      <c r="H4" s="0" t="n">
        <v>9674</v>
      </c>
      <c r="I4" s="0" t="n">
        <v>5874</v>
      </c>
      <c r="K4" s="0" t="n">
        <v>2.51</v>
      </c>
      <c r="L4" s="0" t="n">
        <v>7571</v>
      </c>
      <c r="M4" s="0" t="n">
        <v>1968</v>
      </c>
      <c r="N4" s="0" t="n">
        <v>5603</v>
      </c>
      <c r="O4" s="0" t="n">
        <v>20862</v>
      </c>
      <c r="P4" s="0" t="n">
        <v>40519</v>
      </c>
      <c r="R4" s="0" t="n">
        <v>3246</v>
      </c>
      <c r="S4" s="0" t="n">
        <v>4701</v>
      </c>
      <c r="T4" s="0" t="n">
        <v>2336</v>
      </c>
      <c r="U4" s="0" t="n">
        <v>266</v>
      </c>
      <c r="AA4" s="0" t="s">
        <v>17</v>
      </c>
      <c r="AB4" s="0" t="s">
        <v>14</v>
      </c>
    </row>
    <row r="5" customFormat="false" ht="15" hidden="false" customHeight="false" outlineLevel="0" collapsed="false">
      <c r="A5" s="0" t="s">
        <v>66</v>
      </c>
      <c r="D5" s="0" t="n">
        <v>19902</v>
      </c>
      <c r="F5" s="0" t="n">
        <v>8231</v>
      </c>
      <c r="H5" s="0" t="n">
        <v>9467</v>
      </c>
      <c r="I5" s="0" t="n">
        <v>6906</v>
      </c>
      <c r="K5" s="0" t="n">
        <v>2.95</v>
      </c>
      <c r="L5" s="0" t="n">
        <v>8186</v>
      </c>
      <c r="M5" s="0" t="n">
        <v>1993</v>
      </c>
      <c r="N5" s="0" t="n">
        <v>6193</v>
      </c>
      <c r="O5" s="0" t="n">
        <v>25346</v>
      </c>
      <c r="P5" s="0" t="n">
        <v>48671</v>
      </c>
      <c r="R5" s="0" t="n">
        <v>5161</v>
      </c>
      <c r="S5" s="0" t="n">
        <v>7021</v>
      </c>
      <c r="T5" s="0" t="n">
        <v>2329</v>
      </c>
      <c r="U5" s="0" t="n">
        <v>241</v>
      </c>
      <c r="AA5" s="0" t="s">
        <v>17</v>
      </c>
      <c r="AB5" s="0" t="s">
        <v>14</v>
      </c>
    </row>
    <row r="6" customFormat="false" ht="15" hidden="false" customHeight="false" outlineLevel="0" collapsed="false">
      <c r="A6" s="0" t="s">
        <v>67</v>
      </c>
      <c r="D6" s="0" t="n">
        <v>22426</v>
      </c>
      <c r="F6" s="0" t="n">
        <v>8413</v>
      </c>
      <c r="H6" s="0" t="n">
        <v>9856</v>
      </c>
      <c r="I6" s="0" t="n">
        <v>11837</v>
      </c>
      <c r="K6" s="0" t="n">
        <v>2.55</v>
      </c>
      <c r="L6" s="0" t="n">
        <v>9532</v>
      </c>
      <c r="M6" s="0" t="n">
        <v>2215</v>
      </c>
      <c r="N6" s="0" t="n">
        <v>7317</v>
      </c>
      <c r="O6" s="0" t="n">
        <v>31317</v>
      </c>
      <c r="P6" s="0" t="n">
        <v>72921</v>
      </c>
      <c r="R6" s="0" t="n">
        <v>16593</v>
      </c>
      <c r="S6" s="0" t="n">
        <v>8517</v>
      </c>
      <c r="T6" s="0" t="n">
        <v>4667</v>
      </c>
      <c r="U6" s="0" t="n">
        <v>380</v>
      </c>
      <c r="AA6" s="0" t="s">
        <v>17</v>
      </c>
      <c r="AB6" s="0" t="s">
        <v>14</v>
      </c>
    </row>
    <row r="7" customFormat="false" ht="15" hidden="false" customHeight="false" outlineLevel="0" collapsed="false">
      <c r="A7" s="0" t="s">
        <v>68</v>
      </c>
      <c r="D7" s="0" t="n">
        <v>28327</v>
      </c>
      <c r="F7" s="0" t="n">
        <v>10173</v>
      </c>
      <c r="H7" s="0" t="n">
        <v>12127</v>
      </c>
      <c r="I7" s="0" t="n">
        <v>8646</v>
      </c>
      <c r="K7" s="0" t="n">
        <v>1.88</v>
      </c>
      <c r="L7" s="0" t="n">
        <v>9474</v>
      </c>
      <c r="M7" s="0" t="n">
        <v>2920</v>
      </c>
      <c r="N7" s="0" t="n">
        <v>6554</v>
      </c>
      <c r="O7" s="0" t="n">
        <v>31921</v>
      </c>
      <c r="P7" s="0" t="n">
        <v>79974</v>
      </c>
      <c r="R7" s="0" t="n">
        <v>17738</v>
      </c>
      <c r="S7" s="0" t="n">
        <v>12803</v>
      </c>
      <c r="T7" s="0" t="n">
        <v>4646</v>
      </c>
      <c r="U7" s="0" t="n">
        <v>354</v>
      </c>
      <c r="AA7" s="0" t="s">
        <v>17</v>
      </c>
      <c r="AB7" s="0" t="s">
        <v>14</v>
      </c>
    </row>
    <row r="8" customFormat="false" ht="15" hidden="false" customHeight="false" outlineLevel="0" collapsed="false">
      <c r="A8" s="0" t="s">
        <v>69</v>
      </c>
      <c r="D8" s="0" t="n">
        <v>28964</v>
      </c>
      <c r="F8" s="0" t="n">
        <v>10779</v>
      </c>
      <c r="H8" s="0" t="n">
        <v>12761</v>
      </c>
      <c r="I8" s="0" t="n">
        <v>9086</v>
      </c>
      <c r="K8" s="0" t="n">
        <v>2</v>
      </c>
      <c r="L8" s="0" t="n">
        <v>10645</v>
      </c>
      <c r="M8" s="0" t="n">
        <v>2780</v>
      </c>
      <c r="N8" s="0" t="n">
        <v>7865</v>
      </c>
      <c r="O8" s="0" t="n">
        <v>33168</v>
      </c>
      <c r="P8" s="0" t="n">
        <v>86174</v>
      </c>
      <c r="R8" s="0" t="n">
        <v>17890</v>
      </c>
      <c r="S8" s="0" t="n">
        <v>8442</v>
      </c>
      <c r="T8" s="0" t="n">
        <v>4584</v>
      </c>
      <c r="U8" s="0" t="n">
        <v>259</v>
      </c>
      <c r="AA8" s="0" t="s">
        <v>17</v>
      </c>
      <c r="AB8" s="0" t="s">
        <v>14</v>
      </c>
    </row>
    <row r="9" customFormat="false" ht="15" hidden="false" customHeight="false" outlineLevel="0" collapsed="false">
      <c r="A9" s="0" t="s">
        <v>70</v>
      </c>
      <c r="D9" s="0" t="n">
        <v>28433</v>
      </c>
      <c r="F9" s="0" t="n">
        <v>10228</v>
      </c>
      <c r="H9" s="0" t="n">
        <v>12205</v>
      </c>
      <c r="I9" s="0" t="n">
        <v>8626</v>
      </c>
      <c r="K9" s="0" t="n">
        <v>1.94</v>
      </c>
      <c r="L9" s="0" t="n">
        <v>10542</v>
      </c>
      <c r="M9" s="0" t="n">
        <v>2550</v>
      </c>
      <c r="N9" s="0" t="n">
        <v>7992</v>
      </c>
      <c r="O9" s="0" t="n">
        <v>33440</v>
      </c>
      <c r="P9" s="0" t="n">
        <v>90055</v>
      </c>
      <c r="R9" s="0" t="n">
        <v>21202</v>
      </c>
      <c r="S9" s="0" t="n">
        <v>10414</v>
      </c>
      <c r="T9" s="0" t="n">
        <v>4509</v>
      </c>
      <c r="U9" s="0" t="n">
        <v>227</v>
      </c>
      <c r="AA9" s="0" t="s">
        <v>17</v>
      </c>
      <c r="AB9" s="0" t="s">
        <v>14</v>
      </c>
    </row>
    <row r="10" customFormat="false" ht="15" hidden="false" customHeight="false" outlineLevel="0" collapsed="false">
      <c r="A10" s="0" t="s">
        <v>71</v>
      </c>
      <c r="D10" s="0" t="n">
        <v>28109</v>
      </c>
      <c r="F10" s="0" t="n">
        <v>9708</v>
      </c>
      <c r="H10" s="0" t="n">
        <v>11684</v>
      </c>
      <c r="I10" s="0" t="n">
        <v>7124</v>
      </c>
      <c r="K10" s="0" t="n">
        <v>1.62</v>
      </c>
      <c r="L10" s="0" t="n">
        <v>10615</v>
      </c>
      <c r="M10" s="0" t="n">
        <v>2406</v>
      </c>
      <c r="N10" s="0" t="n">
        <v>8209</v>
      </c>
      <c r="O10" s="0" t="n">
        <v>30561</v>
      </c>
      <c r="P10" s="0" t="n">
        <v>92023</v>
      </c>
      <c r="R10" s="0" t="n">
        <v>26167</v>
      </c>
      <c r="S10" s="0" t="n">
        <v>8958</v>
      </c>
      <c r="T10" s="0" t="n">
        <v>4450</v>
      </c>
      <c r="U10" s="0" t="n">
        <v>209</v>
      </c>
      <c r="AA10" s="0" t="s">
        <v>17</v>
      </c>
      <c r="AB10" s="0" t="s">
        <v>14</v>
      </c>
    </row>
    <row r="11" customFormat="false" ht="15" hidden="false" customHeight="false" outlineLevel="0" collapsed="false">
      <c r="A11" s="0" t="s">
        <v>72</v>
      </c>
      <c r="D11" s="0" t="n">
        <v>26812</v>
      </c>
      <c r="F11" s="0" t="n">
        <v>8728</v>
      </c>
      <c r="H11" s="0" t="n">
        <v>10698</v>
      </c>
      <c r="I11" s="0" t="n">
        <v>7366</v>
      </c>
      <c r="K11" s="0" t="n">
        <v>1.69</v>
      </c>
      <c r="L11" s="0" t="n">
        <v>10528</v>
      </c>
      <c r="M11" s="0" t="n">
        <v>2553</v>
      </c>
      <c r="N11" s="0" t="n">
        <v>7975</v>
      </c>
      <c r="O11" s="0" t="n">
        <v>25764</v>
      </c>
      <c r="P11" s="0" t="n">
        <v>89996</v>
      </c>
      <c r="R11" s="0" t="n">
        <v>33663</v>
      </c>
      <c r="S11" s="0" t="n">
        <v>7309</v>
      </c>
      <c r="T11" s="0" t="n">
        <v>4405</v>
      </c>
      <c r="U11" s="0" t="n">
        <v>236</v>
      </c>
      <c r="AA11" s="0" t="s">
        <v>17</v>
      </c>
      <c r="AB11" s="0" t="s">
        <v>14</v>
      </c>
    </row>
    <row r="12" customFormat="false" ht="15" hidden="false" customHeight="false" outlineLevel="0" collapsed="false">
      <c r="A12" s="0" t="s">
        <v>73</v>
      </c>
      <c r="B12" s="0" t="n">
        <v>41863</v>
      </c>
      <c r="C12" s="0" t="n">
        <v>16465</v>
      </c>
      <c r="D12" s="0" t="n">
        <v>25398</v>
      </c>
      <c r="E12" s="0" t="n">
        <v>60.6693261352507</v>
      </c>
      <c r="F12" s="0" t="n">
        <v>8657</v>
      </c>
      <c r="G12" s="0" t="n">
        <v>20.6793588610468</v>
      </c>
      <c r="H12" s="0" t="n">
        <v>10444</v>
      </c>
      <c r="I12" s="0" t="n">
        <v>6550</v>
      </c>
      <c r="J12" s="0" t="n">
        <v>15.6462747533622</v>
      </c>
      <c r="K12" s="0" t="n">
        <v>1.51</v>
      </c>
      <c r="L12" s="0" t="n">
        <v>8792</v>
      </c>
      <c r="M12" s="0" t="n">
        <v>2262</v>
      </c>
      <c r="N12" s="0" t="n">
        <v>6530</v>
      </c>
      <c r="O12" s="0" t="n">
        <v>23220</v>
      </c>
      <c r="P12" s="0" t="n">
        <v>87270</v>
      </c>
      <c r="R12" s="0" t="n">
        <v>36738</v>
      </c>
      <c r="S12" s="0" t="n">
        <v>8555</v>
      </c>
      <c r="T12" s="0" t="n">
        <v>4367</v>
      </c>
      <c r="U12" s="0" t="n">
        <v>258</v>
      </c>
      <c r="AA12" s="0" t="s">
        <v>17</v>
      </c>
      <c r="AB12" s="0" t="s">
        <v>14</v>
      </c>
    </row>
    <row r="13" customFormat="false" ht="15" hidden="false" customHeight="false" outlineLevel="0" collapsed="false">
      <c r="A13" s="0" t="s">
        <v>74</v>
      </c>
      <c r="B13" s="0" t="n">
        <v>36212</v>
      </c>
      <c r="C13" s="0" t="n">
        <v>13721</v>
      </c>
      <c r="D13" s="0" t="n">
        <v>22491</v>
      </c>
      <c r="E13" s="0" t="n">
        <v>62.10924555396</v>
      </c>
      <c r="F13" s="0" t="n">
        <v>7755</v>
      </c>
      <c r="G13" s="0" t="n">
        <v>21.4155528554071</v>
      </c>
      <c r="H13" s="0" t="n">
        <v>9015</v>
      </c>
      <c r="I13" s="0" t="n">
        <v>1283</v>
      </c>
      <c r="J13" s="0" t="n">
        <v>3.5430244117972</v>
      </c>
      <c r="K13" s="0" t="n">
        <v>0.29</v>
      </c>
      <c r="L13" s="0" t="n">
        <v>7041</v>
      </c>
      <c r="M13" s="0" t="n">
        <v>1750</v>
      </c>
      <c r="N13" s="0" t="n">
        <v>5291</v>
      </c>
      <c r="O13" s="0" t="n">
        <v>18977</v>
      </c>
      <c r="P13" s="0" t="n">
        <v>87896</v>
      </c>
      <c r="R13" s="0" t="n">
        <v>37778</v>
      </c>
      <c r="S13" s="0" t="n">
        <v>6102</v>
      </c>
      <c r="T13" s="0" t="n">
        <v>4324</v>
      </c>
      <c r="U13" s="0" t="n">
        <v>219</v>
      </c>
      <c r="AA13" s="0" t="s">
        <v>17</v>
      </c>
      <c r="AB13" s="0" t="s">
        <v>14</v>
      </c>
    </row>
    <row r="14" customFormat="false" ht="15" hidden="false" customHeight="false" outlineLevel="0" collapsed="false">
      <c r="A14" s="0" t="s">
        <v>75</v>
      </c>
      <c r="B14" s="0" t="n">
        <v>34300</v>
      </c>
      <c r="C14" s="0" t="n">
        <v>13067</v>
      </c>
      <c r="D14" s="0" t="n">
        <v>21233</v>
      </c>
      <c r="E14" s="0" t="n">
        <v>61.9037900874636</v>
      </c>
      <c r="F14" s="0" t="n">
        <v>9152</v>
      </c>
      <c r="G14" s="0" t="n">
        <v>26.6822157434402</v>
      </c>
      <c r="H14" s="0" t="n">
        <v>10238</v>
      </c>
      <c r="I14" s="0" t="n">
        <v>6476</v>
      </c>
      <c r="J14" s="0" t="n">
        <v>18.8804664723032</v>
      </c>
      <c r="K14" s="0" t="n">
        <v>1.51</v>
      </c>
      <c r="L14" s="0" t="n">
        <v>7627</v>
      </c>
      <c r="M14" s="0" t="n">
        <v>1548</v>
      </c>
      <c r="N14" s="0" t="n">
        <v>6079</v>
      </c>
      <c r="O14" s="0" t="n">
        <v>19058</v>
      </c>
      <c r="P14" s="0" t="n">
        <v>83216</v>
      </c>
      <c r="R14" s="0" t="n">
        <v>35382</v>
      </c>
      <c r="S14" s="0" t="n">
        <v>9077</v>
      </c>
      <c r="T14" s="0" t="n">
        <v>4299</v>
      </c>
      <c r="U14" s="0" t="n">
        <v>225</v>
      </c>
      <c r="AA14" s="0" t="s">
        <v>17</v>
      </c>
      <c r="AB14" s="0" t="s">
        <v>14</v>
      </c>
    </row>
    <row r="15" customFormat="false" ht="15" hidden="false" customHeight="false" outlineLevel="0" collapsed="false">
      <c r="A15" s="0" t="s">
        <v>76</v>
      </c>
      <c r="B15" s="0" t="n">
        <v>37266</v>
      </c>
      <c r="C15" s="0" t="n">
        <v>14619</v>
      </c>
      <c r="D15" s="0" t="n">
        <v>22647</v>
      </c>
      <c r="E15" s="0" t="n">
        <v>60.7712123651586</v>
      </c>
      <c r="F15" s="0" t="n">
        <v>10086</v>
      </c>
      <c r="G15" s="0" t="n">
        <v>27.0648848816616</v>
      </c>
      <c r="H15" s="0" t="n">
        <v>11451</v>
      </c>
      <c r="I15" s="0" t="n">
        <v>8985</v>
      </c>
      <c r="J15" s="0" t="n">
        <v>24.1104492030269</v>
      </c>
      <c r="K15" s="0" t="n">
        <v>2.09</v>
      </c>
      <c r="L15" s="0" t="n">
        <v>10471</v>
      </c>
      <c r="M15" s="0" t="n">
        <v>2054</v>
      </c>
      <c r="N15" s="0" t="n">
        <v>8417</v>
      </c>
      <c r="O15" s="0" t="n">
        <v>21098</v>
      </c>
      <c r="P15" s="0" t="n">
        <v>86381</v>
      </c>
      <c r="R15" s="0" t="n">
        <v>36022</v>
      </c>
      <c r="S15" s="0" t="n">
        <v>6480</v>
      </c>
      <c r="T15" s="0" t="n">
        <v>4314</v>
      </c>
      <c r="U15" s="0" t="n">
        <v>201</v>
      </c>
      <c r="AA15" s="0" t="s">
        <v>17</v>
      </c>
      <c r="AB15" s="0" t="s">
        <v>14</v>
      </c>
    </row>
    <row r="16" customFormat="false" ht="15" hidden="false" customHeight="false" outlineLevel="0" collapsed="false">
      <c r="A16" s="0" t="s">
        <v>77</v>
      </c>
      <c r="B16" s="0" t="n">
        <v>33014</v>
      </c>
      <c r="C16" s="0" t="n">
        <v>13433</v>
      </c>
      <c r="D16" s="0" t="n">
        <v>19581</v>
      </c>
      <c r="E16" s="0" t="n">
        <v>59.3112013085358</v>
      </c>
      <c r="F16" s="0" t="n">
        <v>8997</v>
      </c>
      <c r="G16" s="0" t="n">
        <v>27.2520748773248</v>
      </c>
      <c r="H16" s="0" t="n">
        <v>10533</v>
      </c>
      <c r="I16" s="0" t="n">
        <v>7768</v>
      </c>
      <c r="J16" s="0" t="n">
        <v>23.5294117647059</v>
      </c>
      <c r="K16" s="0" t="n">
        <v>1.8</v>
      </c>
      <c r="L16" s="0" t="n">
        <v>9844</v>
      </c>
      <c r="M16" s="0" t="n">
        <v>1177</v>
      </c>
      <c r="N16" s="0" t="n">
        <v>8667</v>
      </c>
      <c r="O16" s="0" t="n">
        <v>21284</v>
      </c>
      <c r="P16" s="0" t="n">
        <v>87296</v>
      </c>
      <c r="R16" s="0" t="n">
        <v>41095</v>
      </c>
      <c r="S16" s="0" t="n">
        <v>6795</v>
      </c>
      <c r="T16" s="0" t="n">
        <v>4323</v>
      </c>
      <c r="U16" s="0" t="n">
        <v>141</v>
      </c>
      <c r="AA16" s="0" t="s">
        <v>17</v>
      </c>
      <c r="AB16" s="0" t="s">
        <v>14</v>
      </c>
    </row>
    <row r="17" customFormat="false" ht="15" hidden="false" customHeight="false" outlineLevel="0" collapsed="false">
      <c r="A17" s="0" t="s">
        <v>78</v>
      </c>
      <c r="B17" s="0" t="n">
        <v>38655</v>
      </c>
      <c r="C17" s="0" t="n">
        <v>15357</v>
      </c>
      <c r="D17" s="0" t="n">
        <v>23298</v>
      </c>
      <c r="E17" s="0" t="n">
        <v>60.2716336825766</v>
      </c>
      <c r="F17" s="0" t="n">
        <v>10308</v>
      </c>
      <c r="G17" s="0" t="n">
        <v>26.6666666666667</v>
      </c>
      <c r="H17" s="0" t="n">
        <v>11760</v>
      </c>
      <c r="I17" s="0" t="n">
        <v>9804</v>
      </c>
      <c r="J17" s="0" t="n">
        <v>25.3628249902988</v>
      </c>
      <c r="K17" s="0" t="n">
        <v>2.26</v>
      </c>
      <c r="L17" s="0" t="n">
        <v>12625</v>
      </c>
      <c r="M17" s="0" t="n">
        <v>1367</v>
      </c>
      <c r="N17" s="0" t="n">
        <v>11258</v>
      </c>
      <c r="O17" s="0" t="n">
        <v>24860</v>
      </c>
      <c r="P17" s="0" t="n">
        <v>94354</v>
      </c>
      <c r="R17" s="0" t="n">
        <v>40792</v>
      </c>
      <c r="S17" s="0" t="n">
        <v>9684</v>
      </c>
      <c r="T17" s="0" t="n">
        <v>4340</v>
      </c>
      <c r="U17" s="0" t="n">
        <v>337</v>
      </c>
      <c r="AA17" s="0" t="s">
        <v>17</v>
      </c>
      <c r="AB17" s="0" t="s">
        <v>14</v>
      </c>
    </row>
    <row r="18" customFormat="false" ht="15" hidden="false" customHeight="false" outlineLevel="0" collapsed="false">
      <c r="A18" s="0" t="s">
        <v>79</v>
      </c>
      <c r="B18" s="0" t="n">
        <v>43004</v>
      </c>
      <c r="C18" s="0" t="n">
        <v>18000</v>
      </c>
      <c r="D18" s="0" t="n">
        <v>25004</v>
      </c>
      <c r="E18" s="0" t="n">
        <v>58.1434285182774</v>
      </c>
      <c r="F18" s="0" t="n">
        <v>10909</v>
      </c>
      <c r="G18" s="0" t="n">
        <v>25.3674076830062</v>
      </c>
      <c r="H18" s="0" t="n">
        <v>12169</v>
      </c>
      <c r="I18" s="0" t="n">
        <v>9571</v>
      </c>
      <c r="J18" s="0" t="n">
        <v>22.2560692028649</v>
      </c>
      <c r="K18" s="0" t="n">
        <v>2.2</v>
      </c>
      <c r="L18" s="0" t="n">
        <v>11018</v>
      </c>
      <c r="M18" s="0" t="n">
        <v>1484</v>
      </c>
      <c r="N18" s="0" t="n">
        <v>9534</v>
      </c>
      <c r="O18" s="0" t="n">
        <v>25826</v>
      </c>
      <c r="P18" s="0" t="n">
        <v>92763</v>
      </c>
      <c r="R18" s="0" t="n">
        <v>37175</v>
      </c>
      <c r="S18" s="0" t="n">
        <v>9519</v>
      </c>
      <c r="T18" s="0" t="n">
        <v>4350</v>
      </c>
      <c r="U18" s="0" t="n">
        <v>361</v>
      </c>
      <c r="AA18" s="0" t="s">
        <v>17</v>
      </c>
      <c r="AB18" s="0" t="s">
        <v>14</v>
      </c>
    </row>
    <row r="19" customFormat="false" ht="15" hidden="false" customHeight="false" outlineLevel="0" collapsed="false">
      <c r="A19" s="0" t="s">
        <v>80</v>
      </c>
      <c r="B19" s="0" t="n">
        <v>45754</v>
      </c>
      <c r="C19" s="0" t="n">
        <v>18520</v>
      </c>
      <c r="D19" s="0" t="n">
        <v>27234</v>
      </c>
      <c r="E19" s="0" t="n">
        <v>59.5226646850549</v>
      </c>
      <c r="F19" s="0" t="n">
        <v>11311</v>
      </c>
      <c r="G19" s="0" t="n">
        <v>24.7213358394894</v>
      </c>
      <c r="H19" s="0" t="n">
        <v>12439</v>
      </c>
      <c r="I19" s="0" t="n">
        <v>10714</v>
      </c>
      <c r="J19" s="0" t="n">
        <v>23.4165318879224</v>
      </c>
      <c r="K19" s="0" t="n">
        <v>2.48</v>
      </c>
      <c r="L19" s="0" t="n">
        <v>11599</v>
      </c>
      <c r="M19" s="0" t="n">
        <v>1852</v>
      </c>
      <c r="N19" s="0" t="n">
        <v>9747</v>
      </c>
      <c r="O19" s="0" t="n">
        <v>27480</v>
      </c>
      <c r="P19" s="0" t="n">
        <v>97703</v>
      </c>
      <c r="R19" s="0" t="n">
        <v>37507</v>
      </c>
      <c r="S19" s="0" t="n">
        <v>9366</v>
      </c>
      <c r="T19" s="0" t="n">
        <v>4339</v>
      </c>
      <c r="U19" s="0" t="n">
        <v>254</v>
      </c>
      <c r="AA19" s="0" t="s">
        <v>17</v>
      </c>
      <c r="AB19" s="0" t="s">
        <v>14</v>
      </c>
    </row>
    <row r="20" customFormat="false" ht="15" hidden="false" customHeight="false" outlineLevel="0" collapsed="false">
      <c r="A20" s="0" t="s">
        <v>81</v>
      </c>
      <c r="B20" s="0" t="n">
        <v>47061</v>
      </c>
      <c r="C20" s="0" t="n">
        <v>18324</v>
      </c>
      <c r="D20" s="0" t="n">
        <v>28737</v>
      </c>
      <c r="E20" s="0" t="n">
        <v>61.063300822337</v>
      </c>
      <c r="F20" s="0" t="n">
        <v>9992</v>
      </c>
      <c r="G20" s="0" t="n">
        <v>21.2320180191666</v>
      </c>
      <c r="H20" s="0" t="n">
        <v>11067</v>
      </c>
      <c r="I20" s="0" t="n">
        <v>10649</v>
      </c>
      <c r="J20" s="0" t="n">
        <v>22.6280784513716</v>
      </c>
      <c r="K20" s="0" t="n">
        <v>2.47</v>
      </c>
      <c r="L20" s="0" t="n">
        <v>6805</v>
      </c>
      <c r="M20" s="0" t="n">
        <v>2064</v>
      </c>
      <c r="N20" s="0" t="n">
        <v>4741</v>
      </c>
      <c r="O20" s="0" t="n">
        <v>26372</v>
      </c>
      <c r="P20" s="0" t="n">
        <v>100549</v>
      </c>
      <c r="R20" s="0" t="n">
        <v>43023</v>
      </c>
      <c r="S20" s="0" t="n">
        <v>10828</v>
      </c>
      <c r="T20" s="0" t="n">
        <v>4320</v>
      </c>
      <c r="U20" s="0" t="n">
        <v>286</v>
      </c>
      <c r="AA20" s="0" t="s">
        <v>17</v>
      </c>
      <c r="AB20" s="0" t="s">
        <v>14</v>
      </c>
    </row>
    <row r="21" customFormat="false" ht="15" hidden="false" customHeight="false" outlineLevel="0" collapsed="false">
      <c r="A21" s="0" t="s">
        <v>82</v>
      </c>
      <c r="B21" s="0" t="n">
        <v>47941</v>
      </c>
      <c r="C21" s="0" t="n">
        <v>18397</v>
      </c>
      <c r="D21" s="0" t="n">
        <v>29544</v>
      </c>
      <c r="E21" s="0" t="n">
        <v>61.625748315638</v>
      </c>
      <c r="F21" s="0" t="n">
        <v>13762</v>
      </c>
      <c r="G21" s="0" t="n">
        <v>28.7061179366304</v>
      </c>
      <c r="H21" s="0" t="n">
        <v>14812</v>
      </c>
      <c r="I21" s="0" t="n">
        <v>13137</v>
      </c>
      <c r="J21" s="0" t="n">
        <v>27.402432156192</v>
      </c>
      <c r="K21" s="0" t="n">
        <v>3.05</v>
      </c>
      <c r="L21" s="0" t="n">
        <v>7408</v>
      </c>
      <c r="M21" s="0" t="n">
        <v>2112</v>
      </c>
      <c r="N21" s="0" t="n">
        <v>5296</v>
      </c>
      <c r="O21" s="0" t="n">
        <v>34275</v>
      </c>
      <c r="P21" s="0" t="n">
        <v>104816</v>
      </c>
      <c r="R21" s="0" t="n">
        <v>43941</v>
      </c>
      <c r="S21" s="0" t="n">
        <v>10270</v>
      </c>
      <c r="T21" s="0" t="n">
        <v>4313</v>
      </c>
      <c r="U21" s="0" t="n">
        <v>279</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87.18</v>
      </c>
    </row>
    <row r="3" customFormat="false" ht="15" hidden="false" customHeight="false" outlineLevel="0" collapsed="false">
      <c r="A3" s="0" t="s">
        <v>86</v>
      </c>
      <c r="B3" s="3" t="n">
        <v>4313</v>
      </c>
    </row>
    <row r="4" customFormat="false" ht="15" hidden="false" customHeight="false" outlineLevel="0" collapsed="false">
      <c r="A4" s="0" t="s">
        <v>87</v>
      </c>
      <c r="B4" s="3" t="n">
        <v>30636</v>
      </c>
    </row>
    <row r="5" customFormat="false" ht="15" hidden="false" customHeight="false" outlineLevel="0" collapsed="false">
      <c r="A5" s="0" t="s">
        <v>88</v>
      </c>
      <c r="B5" s="3" t="n">
        <v>32385</v>
      </c>
    </row>
    <row r="6" customFormat="false" ht="15" hidden="false" customHeight="false" outlineLevel="0" collapsed="false">
      <c r="A6" s="0" t="s">
        <v>89</v>
      </c>
      <c r="B6" s="3" t="n">
        <v>15</v>
      </c>
    </row>
    <row r="7" customFormat="false" ht="15" hidden="false" customHeight="false" outlineLevel="0" collapsed="false">
      <c r="A7" s="0" t="s">
        <v>90</v>
      </c>
      <c r="B7" s="3" t="n">
        <v>47941</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3.5</v>
      </c>
      <c r="D13" s="3" t="n">
        <v>2</v>
      </c>
      <c r="E13" s="3" t="n">
        <v>1.5</v>
      </c>
      <c r="F13" s="3" t="n">
        <v>1.5</v>
      </c>
      <c r="G13" s="3" t="n">
        <v>1</v>
      </c>
      <c r="H13" s="3" t="n">
        <v>1</v>
      </c>
      <c r="I13" s="3" t="n">
        <v>1</v>
      </c>
      <c r="J13" s="3" t="n">
        <v>1</v>
      </c>
      <c r="K13" s="3" t="n">
        <v>1</v>
      </c>
      <c r="L13" s="3" t="n">
        <v>1</v>
      </c>
    </row>
    <row r="14" customFormat="false" ht="15" hidden="false" customHeight="false" outlineLevel="0" collapsed="false">
      <c r="A14" s="0" t="s">
        <v>107</v>
      </c>
      <c r="C14" s="3" t="n">
        <v>32</v>
      </c>
      <c r="D14" s="3" t="n">
        <v>31.5</v>
      </c>
      <c r="E14" s="3" t="n">
        <v>31</v>
      </c>
      <c r="F14" s="3" t="n">
        <v>30.5</v>
      </c>
      <c r="G14" s="3" t="n">
        <v>30</v>
      </c>
      <c r="H14" s="3" t="n">
        <v>30</v>
      </c>
      <c r="I14" s="3" t="n">
        <v>30</v>
      </c>
      <c r="J14" s="3" t="n">
        <v>30</v>
      </c>
      <c r="K14" s="3" t="n">
        <v>30</v>
      </c>
      <c r="L14" s="3" t="n">
        <v>30</v>
      </c>
    </row>
    <row r="15" customFormat="false" ht="15" hidden="false" customHeight="false" outlineLevel="0" collapsed="false">
      <c r="A15" s="0" t="s">
        <v>108</v>
      </c>
      <c r="C15" s="3" t="n">
        <v>0.6</v>
      </c>
      <c r="D15" s="3" t="n">
        <v>0.6</v>
      </c>
      <c r="E15" s="3" t="n">
        <v>0.6</v>
      </c>
      <c r="F15" s="3" t="n">
        <v>0.6</v>
      </c>
      <c r="G15" s="3" t="n">
        <v>0.6</v>
      </c>
      <c r="H15" s="3" t="n">
        <v>0.6</v>
      </c>
      <c r="I15" s="3" t="n">
        <v>0.6</v>
      </c>
      <c r="J15" s="3" t="n">
        <v>0.6</v>
      </c>
      <c r="K15" s="3" t="n">
        <v>0.6</v>
      </c>
      <c r="L15" s="3" t="n">
        <v>0.6</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2.2</v>
      </c>
      <c r="D17" s="3" t="n">
        <v>2.2</v>
      </c>
      <c r="E17" s="3" t="n">
        <v>2.2</v>
      </c>
      <c r="F17" s="3" t="n">
        <v>2.2</v>
      </c>
      <c r="G17" s="3" t="n">
        <v>2.2</v>
      </c>
      <c r="H17" s="3" t="n">
        <v>2.2</v>
      </c>
      <c r="I17" s="3" t="n">
        <v>2.2</v>
      </c>
      <c r="J17" s="3" t="n">
        <v>2.2</v>
      </c>
      <c r="K17" s="3" t="n">
        <v>2.2</v>
      </c>
      <c r="L17" s="3" t="n">
        <v>2.2</v>
      </c>
    </row>
    <row r="18" customFormat="false" ht="15" hidden="false" customHeight="false" outlineLevel="0" collapsed="false">
      <c r="A18" s="0" t="s">
        <v>111</v>
      </c>
      <c r="C18" s="3" t="n">
        <v>4.5</v>
      </c>
      <c r="D18" s="3" t="n">
        <v>4.5</v>
      </c>
      <c r="E18" s="3" t="n">
        <v>4.5</v>
      </c>
      <c r="F18" s="3" t="n">
        <v>4.5</v>
      </c>
      <c r="G18" s="3" t="n">
        <v>4.5</v>
      </c>
      <c r="H18" s="3" t="n">
        <v>4.5</v>
      </c>
      <c r="I18" s="3" t="n">
        <v>4.5</v>
      </c>
      <c r="J18" s="3" t="n">
        <v>4.5</v>
      </c>
      <c r="K18" s="3" t="n">
        <v>4.5</v>
      </c>
      <c r="L18" s="3" t="n">
        <v>4.5</v>
      </c>
    </row>
    <row r="19" customFormat="false" ht="15" hidden="false" customHeight="false" outlineLevel="0" collapsed="false">
      <c r="A19" s="0" t="s">
        <v>112</v>
      </c>
      <c r="C19" s="3" t="n">
        <v>20.5</v>
      </c>
      <c r="D19" s="3" t="n">
        <v>22</v>
      </c>
      <c r="E19" s="3" t="n">
        <v>23</v>
      </c>
      <c r="F19" s="3" t="n">
        <v>23.5</v>
      </c>
      <c r="G19" s="3" t="n">
        <v>24</v>
      </c>
      <c r="H19" s="3" t="n">
        <v>24</v>
      </c>
      <c r="I19" s="3" t="n">
        <v>24</v>
      </c>
      <c r="J19" s="3" t="n">
        <v>24</v>
      </c>
      <c r="K19" s="3" t="n">
        <v>24</v>
      </c>
      <c r="L19" s="3" t="n">
        <v>24</v>
      </c>
    </row>
    <row r="20" customFormat="false" ht="15" hidden="false" customHeight="false" outlineLevel="0" collapsed="false">
      <c r="A20" s="0" t="s">
        <v>113</v>
      </c>
      <c r="B20" s="3" t="n">
        <v>7</v>
      </c>
    </row>
    <row r="21" customFormat="false" ht="15" hidden="false" customHeight="false" outlineLevel="0" collapsed="false">
      <c r="A21" s="0" t="s">
        <v>114</v>
      </c>
      <c r="B21" s="3" t="n">
        <v>2</v>
      </c>
    </row>
    <row r="22" customFormat="false" ht="15" hidden="false" customHeight="false" outlineLevel="0" collapsed="false">
      <c r="A22" s="0" t="s">
        <v>115</v>
      </c>
      <c r="B22" s="3" t="n">
        <v>17</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5</v>
      </c>
      <c r="D27" s="3" t="n">
        <v>4</v>
      </c>
      <c r="E27" s="3" t="n">
        <v>4</v>
      </c>
      <c r="F27" s="3" t="n">
        <v>3.5</v>
      </c>
      <c r="G27" s="3" t="n">
        <v>3.5</v>
      </c>
      <c r="H27" s="3" t="n">
        <v>3</v>
      </c>
      <c r="I27" s="3" t="n">
        <v>3</v>
      </c>
      <c r="J27" s="3" t="n">
        <v>3</v>
      </c>
      <c r="K27" s="3" t="n">
        <v>2.5</v>
      </c>
      <c r="L27" s="3" t="n">
        <v>2.5</v>
      </c>
    </row>
    <row r="28" customFormat="false" ht="15" hidden="false" customHeight="false" outlineLevel="0" collapsed="false">
      <c r="A28" s="0" t="s">
        <v>107</v>
      </c>
      <c r="C28" s="3" t="n">
        <v>33</v>
      </c>
      <c r="D28" s="3" t="n">
        <v>33.3</v>
      </c>
      <c r="E28" s="3" t="n">
        <v>33.5</v>
      </c>
      <c r="F28" s="3" t="n">
        <v>33.8</v>
      </c>
      <c r="G28" s="3" t="n">
        <v>34</v>
      </c>
      <c r="H28" s="3" t="n">
        <v>34</v>
      </c>
      <c r="I28" s="3" t="n">
        <v>34</v>
      </c>
      <c r="J28" s="3" t="n">
        <v>34</v>
      </c>
      <c r="K28" s="3" t="n">
        <v>34</v>
      </c>
      <c r="L28" s="3" t="n">
        <v>34</v>
      </c>
    </row>
    <row r="29" customFormat="false" ht="15" hidden="false" customHeight="false" outlineLevel="0" collapsed="false">
      <c r="A29" s="0" t="s">
        <v>108</v>
      </c>
      <c r="C29" s="3" t="n">
        <v>0.6</v>
      </c>
      <c r="D29" s="3" t="n">
        <v>0.6</v>
      </c>
      <c r="E29" s="3" t="n">
        <v>0.6</v>
      </c>
      <c r="F29" s="3" t="n">
        <v>0.6</v>
      </c>
      <c r="G29" s="3" t="n">
        <v>0.6</v>
      </c>
      <c r="H29" s="3" t="n">
        <v>0.6</v>
      </c>
      <c r="I29" s="3" t="n">
        <v>0.6</v>
      </c>
      <c r="J29" s="3" t="n">
        <v>0.6</v>
      </c>
      <c r="K29" s="3" t="n">
        <v>0.6</v>
      </c>
      <c r="L29" s="3" t="n">
        <v>0.6</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2.2</v>
      </c>
      <c r="D31" s="3" t="n">
        <v>2.2</v>
      </c>
      <c r="E31" s="3" t="n">
        <v>2.2</v>
      </c>
      <c r="F31" s="3" t="n">
        <v>2.2</v>
      </c>
      <c r="G31" s="3" t="n">
        <v>2.2</v>
      </c>
      <c r="H31" s="3" t="n">
        <v>2.2</v>
      </c>
      <c r="I31" s="3" t="n">
        <v>2.2</v>
      </c>
      <c r="J31" s="3" t="n">
        <v>2.2</v>
      </c>
      <c r="K31" s="3" t="n">
        <v>2.2</v>
      </c>
      <c r="L31" s="3" t="n">
        <v>2.2</v>
      </c>
    </row>
    <row r="32" customFormat="false" ht="15" hidden="false" customHeight="false" outlineLevel="0" collapsed="false">
      <c r="A32" s="0" t="s">
        <v>111</v>
      </c>
      <c r="C32" s="3" t="n">
        <v>4.3</v>
      </c>
      <c r="D32" s="3" t="n">
        <v>4.3</v>
      </c>
      <c r="E32" s="3" t="n">
        <v>4.2</v>
      </c>
      <c r="F32" s="3" t="n">
        <v>4.2</v>
      </c>
      <c r="G32" s="3" t="n">
        <v>4.1</v>
      </c>
      <c r="H32" s="3" t="n">
        <v>4.1</v>
      </c>
      <c r="I32" s="3" t="n">
        <v>4</v>
      </c>
      <c r="J32" s="3" t="n">
        <v>4</v>
      </c>
      <c r="K32" s="3" t="n">
        <v>4</v>
      </c>
      <c r="L32" s="3" t="n">
        <v>4</v>
      </c>
    </row>
    <row r="33" customFormat="false" ht="15" hidden="false" customHeight="false" outlineLevel="0" collapsed="false">
      <c r="A33" s="0" t="s">
        <v>112</v>
      </c>
      <c r="C33" s="3" t="n">
        <v>20</v>
      </c>
      <c r="D33" s="3" t="n">
        <v>20.5</v>
      </c>
      <c r="E33" s="3" t="n">
        <v>21</v>
      </c>
      <c r="F33" s="3" t="n">
        <v>21</v>
      </c>
      <c r="G33" s="3" t="n">
        <v>21</v>
      </c>
      <c r="H33" s="3" t="n">
        <v>21</v>
      </c>
      <c r="I33" s="3" t="n">
        <v>21</v>
      </c>
      <c r="J33" s="3" t="n">
        <v>21</v>
      </c>
      <c r="K33" s="3" t="n">
        <v>21</v>
      </c>
      <c r="L33" s="3" t="n">
        <v>21</v>
      </c>
    </row>
    <row r="34" customFormat="false" ht="15" hidden="false" customHeight="false" outlineLevel="0" collapsed="false">
      <c r="A34" s="0" t="s">
        <v>113</v>
      </c>
      <c r="B34" s="3" t="n">
        <v>7</v>
      </c>
    </row>
    <row r="35" customFormat="false" ht="15" hidden="false" customHeight="false" outlineLevel="0" collapsed="false">
      <c r="A35" s="0" t="s">
        <v>114</v>
      </c>
      <c r="B35" s="3" t="n">
        <v>2.5</v>
      </c>
    </row>
    <row r="36" customFormat="false" ht="15" hidden="false" customHeight="false" outlineLevel="0" collapsed="false">
      <c r="A36" s="0" t="s">
        <v>115</v>
      </c>
      <c r="B36" s="3" t="n">
        <v>20</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6</v>
      </c>
      <c r="D41" s="3" t="n">
        <v>5.5</v>
      </c>
      <c r="E41" s="3" t="n">
        <v>5</v>
      </c>
      <c r="F41" s="3" t="n">
        <v>5</v>
      </c>
      <c r="G41" s="3" t="n">
        <v>4.5</v>
      </c>
      <c r="H41" s="3" t="n">
        <v>4</v>
      </c>
      <c r="I41" s="3" t="n">
        <v>4</v>
      </c>
      <c r="J41" s="3" t="n">
        <v>3.5</v>
      </c>
      <c r="K41" s="3" t="n">
        <v>3</v>
      </c>
      <c r="L41" s="3" t="n">
        <v>3</v>
      </c>
    </row>
    <row r="42" customFormat="false" ht="15" hidden="false" customHeight="false" outlineLevel="0" collapsed="false">
      <c r="A42" s="0" t="s">
        <v>107</v>
      </c>
      <c r="C42" s="3" t="n">
        <v>33.5</v>
      </c>
      <c r="D42" s="3" t="n">
        <v>34</v>
      </c>
      <c r="E42" s="3" t="n">
        <v>34.5</v>
      </c>
      <c r="F42" s="3" t="n">
        <v>35</v>
      </c>
      <c r="G42" s="3" t="n">
        <v>35.5</v>
      </c>
      <c r="H42" s="3" t="n">
        <v>35.5</v>
      </c>
      <c r="I42" s="3" t="n">
        <v>35.5</v>
      </c>
      <c r="J42" s="3" t="n">
        <v>35.5</v>
      </c>
      <c r="K42" s="3" t="n">
        <v>35.5</v>
      </c>
      <c r="L42" s="3" t="n">
        <v>35.5</v>
      </c>
    </row>
    <row r="43" customFormat="false" ht="15" hidden="false" customHeight="false" outlineLevel="0" collapsed="false">
      <c r="A43" s="0" t="s">
        <v>108</v>
      </c>
      <c r="C43" s="3" t="n">
        <v>0.6</v>
      </c>
      <c r="D43" s="3" t="n">
        <v>0.6</v>
      </c>
      <c r="E43" s="3" t="n">
        <v>0.6</v>
      </c>
      <c r="F43" s="3" t="n">
        <v>0.6</v>
      </c>
      <c r="G43" s="3" t="n">
        <v>0.6</v>
      </c>
      <c r="H43" s="3" t="n">
        <v>0.6</v>
      </c>
      <c r="I43" s="3" t="n">
        <v>0.6</v>
      </c>
      <c r="J43" s="3" t="n">
        <v>0.6</v>
      </c>
      <c r="K43" s="3" t="n">
        <v>0.6</v>
      </c>
      <c r="L43" s="3" t="n">
        <v>0.6</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2.2</v>
      </c>
      <c r="D45" s="3" t="n">
        <v>2.2</v>
      </c>
      <c r="E45" s="3" t="n">
        <v>2.2</v>
      </c>
      <c r="F45" s="3" t="n">
        <v>2.2</v>
      </c>
      <c r="G45" s="3" t="n">
        <v>2.2</v>
      </c>
      <c r="H45" s="3" t="n">
        <v>2.2</v>
      </c>
      <c r="I45" s="3" t="n">
        <v>2.2</v>
      </c>
      <c r="J45" s="3" t="n">
        <v>2.2</v>
      </c>
      <c r="K45" s="3" t="n">
        <v>2.2</v>
      </c>
      <c r="L45" s="3" t="n">
        <v>2.2</v>
      </c>
    </row>
    <row r="46" customFormat="false" ht="15" hidden="false" customHeight="false" outlineLevel="0" collapsed="false">
      <c r="A46" s="0" t="s">
        <v>111</v>
      </c>
      <c r="C46" s="3" t="n">
        <v>4.2</v>
      </c>
      <c r="D46" s="3" t="n">
        <v>4.1</v>
      </c>
      <c r="E46" s="3" t="n">
        <v>4</v>
      </c>
      <c r="F46" s="3" t="n">
        <v>4</v>
      </c>
      <c r="G46" s="3" t="n">
        <v>3.9</v>
      </c>
      <c r="H46" s="3" t="n">
        <v>3.9</v>
      </c>
      <c r="I46" s="3" t="n">
        <v>3.8</v>
      </c>
      <c r="J46" s="3" t="n">
        <v>3.8</v>
      </c>
      <c r="K46" s="3" t="n">
        <v>3.8</v>
      </c>
      <c r="L46" s="3" t="n">
        <v>3.8</v>
      </c>
    </row>
    <row r="47" customFormat="false" ht="15" hidden="false" customHeight="false" outlineLevel="0" collapsed="false">
      <c r="A47" s="0" t="s">
        <v>112</v>
      </c>
      <c r="C47" s="3" t="n">
        <v>19.5</v>
      </c>
      <c r="D47" s="3" t="n">
        <v>20</v>
      </c>
      <c r="E47" s="3" t="n">
        <v>20.5</v>
      </c>
      <c r="F47" s="3" t="n">
        <v>20.5</v>
      </c>
      <c r="G47" s="3" t="n">
        <v>20.5</v>
      </c>
      <c r="H47" s="3" t="n">
        <v>20.5</v>
      </c>
      <c r="I47" s="3" t="n">
        <v>20.5</v>
      </c>
      <c r="J47" s="3" t="n">
        <v>20.5</v>
      </c>
      <c r="K47" s="3" t="n">
        <v>20.5</v>
      </c>
      <c r="L47" s="3" t="n">
        <v>20.5</v>
      </c>
    </row>
    <row r="48" customFormat="false" ht="15" hidden="false" customHeight="false" outlineLevel="0" collapsed="false">
      <c r="A48" s="0" t="s">
        <v>113</v>
      </c>
      <c r="B48" s="3" t="n">
        <v>7</v>
      </c>
    </row>
    <row r="49" customFormat="false" ht="15" hidden="false" customHeight="false" outlineLevel="0" collapsed="false">
      <c r="A49" s="0" t="s">
        <v>114</v>
      </c>
      <c r="B49" s="3" t="n">
        <v>3</v>
      </c>
    </row>
    <row r="50" customFormat="false" ht="15" hidden="false" customHeight="false" outlineLevel="0" collapsed="false">
      <c r="A50" s="0" t="s">
        <v>115</v>
      </c>
      <c r="B50" s="3" t="n">
        <v>22</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3.5</v>
      </c>
      <c r="D5" s="4" t="n">
        <f aca="false">Assumptions!D13</f>
        <v>2</v>
      </c>
      <c r="E5" s="4" t="n">
        <f aca="false">Assumptions!E13</f>
        <v>1.5</v>
      </c>
      <c r="F5" s="4" t="n">
        <f aca="false">Assumptions!F13</f>
        <v>1.5</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47941</v>
      </c>
      <c r="C6" s="0" t="n">
        <f aca="false">B6*(1+C5/100)</f>
        <v>49618.935</v>
      </c>
      <c r="D6" s="0" t="n">
        <f aca="false">C6*(1+D5/100)</f>
        <v>50611.3137</v>
      </c>
      <c r="E6" s="0" t="n">
        <f aca="false">D6*(1+E5/100)</f>
        <v>51370.4834055</v>
      </c>
      <c r="F6" s="0" t="n">
        <f aca="false">E6*(1+F5/100)</f>
        <v>52141.0406565825</v>
      </c>
      <c r="G6" s="0" t="n">
        <f aca="false">F6*(1+G5/100)</f>
        <v>52662.4510631483</v>
      </c>
      <c r="H6" s="0" t="n">
        <f aca="false">G6*(1+H5/100)</f>
        <v>53189.0755737798</v>
      </c>
      <c r="I6" s="0" t="n">
        <f aca="false">H6*(1+I5/100)</f>
        <v>53720.9663295176</v>
      </c>
      <c r="J6" s="0" t="n">
        <f aca="false">I6*(1+J5/100)</f>
        <v>54258.1759928128</v>
      </c>
      <c r="K6" s="0" t="n">
        <f aca="false">J6*(1+K5/100)</f>
        <v>54800.7577527409</v>
      </c>
      <c r="L6" s="0" t="n">
        <f aca="false">K6*(1+L5/100)</f>
        <v>55348.7653302683</v>
      </c>
    </row>
    <row r="7" customFormat="false" ht="15" hidden="false" customHeight="false" outlineLevel="0" collapsed="false">
      <c r="A7" s="0" t="s">
        <v>107</v>
      </c>
      <c r="C7" s="4" t="n">
        <f aca="false">Assumptions!C14</f>
        <v>32</v>
      </c>
      <c r="D7" s="4" t="n">
        <f aca="false">Assumptions!D14</f>
        <v>31.5</v>
      </c>
      <c r="E7" s="4" t="n">
        <f aca="false">Assumptions!E14</f>
        <v>31</v>
      </c>
      <c r="F7" s="4" t="n">
        <f aca="false">Assumptions!F14</f>
        <v>30.5</v>
      </c>
      <c r="G7" s="4" t="n">
        <f aca="false">Assumptions!G14</f>
        <v>30</v>
      </c>
      <c r="H7" s="4" t="n">
        <f aca="false">Assumptions!H14</f>
        <v>30</v>
      </c>
      <c r="I7" s="4" t="n">
        <f aca="false">Assumptions!I14</f>
        <v>30</v>
      </c>
      <c r="J7" s="4" t="n">
        <f aca="false">Assumptions!J14</f>
        <v>30</v>
      </c>
      <c r="K7" s="4" t="n">
        <f aca="false">Assumptions!K14</f>
        <v>30</v>
      </c>
      <c r="L7" s="4" t="n">
        <f aca="false">Assumptions!L14</f>
        <v>30</v>
      </c>
    </row>
    <row r="8" customFormat="false" ht="15" hidden="false" customHeight="false" outlineLevel="0" collapsed="false">
      <c r="A8" s="0" t="s">
        <v>43</v>
      </c>
      <c r="C8" s="0" t="n">
        <f aca="false">C6*C7/100</f>
        <v>15878.0592</v>
      </c>
      <c r="D8" s="0" t="n">
        <f aca="false">D6*D7/100</f>
        <v>15942.5638155</v>
      </c>
      <c r="E8" s="0" t="n">
        <f aca="false">E6*E7/100</f>
        <v>15924.849855705</v>
      </c>
      <c r="F8" s="0" t="n">
        <f aca="false">F6*F7/100</f>
        <v>15903.0174002577</v>
      </c>
      <c r="G8" s="0" t="n">
        <f aca="false">G6*G7/100</f>
        <v>15798.7353189445</v>
      </c>
      <c r="H8" s="0" t="n">
        <f aca="false">H6*H7/100</f>
        <v>15956.7226721339</v>
      </c>
      <c r="I8" s="0" t="n">
        <f aca="false">I6*I7/100</f>
        <v>16116.2898988553</v>
      </c>
      <c r="J8" s="0" t="n">
        <f aca="false">J6*J7/100</f>
        <v>16277.4527978438</v>
      </c>
      <c r="K8" s="0" t="n">
        <f aca="false">K6*K7/100</f>
        <v>16440.2273258223</v>
      </c>
      <c r="L8" s="0" t="n">
        <f aca="false">L6*L7/100</f>
        <v>16604.6295990805</v>
      </c>
    </row>
    <row r="9" customFormat="false" ht="15" hidden="false" customHeight="false" outlineLevel="0" collapsed="false">
      <c r="A9" s="0" t="s">
        <v>108</v>
      </c>
      <c r="C9" s="4" t="n">
        <f aca="false">Assumptions!C15</f>
        <v>0.6</v>
      </c>
      <c r="D9" s="4" t="n">
        <f aca="false">Assumptions!D15</f>
        <v>0.6</v>
      </c>
      <c r="E9" s="4" t="n">
        <f aca="false">Assumptions!E15</f>
        <v>0.6</v>
      </c>
      <c r="F9" s="4" t="n">
        <f aca="false">Assumptions!F15</f>
        <v>0.6</v>
      </c>
      <c r="G9" s="4" t="n">
        <f aca="false">Assumptions!G15</f>
        <v>0.6</v>
      </c>
      <c r="H9" s="4" t="n">
        <f aca="false">Assumptions!H15</f>
        <v>0.6</v>
      </c>
      <c r="I9" s="4" t="n">
        <f aca="false">Assumptions!I15</f>
        <v>0.6</v>
      </c>
      <c r="J9" s="4" t="n">
        <f aca="false">Assumptions!J15</f>
        <v>0.6</v>
      </c>
      <c r="K9" s="4" t="n">
        <f aca="false">Assumptions!K15</f>
        <v>0.6</v>
      </c>
      <c r="L9" s="4" t="n">
        <f aca="false">Assumptions!L15</f>
        <v>0.6</v>
      </c>
    </row>
    <row r="10" customFormat="false" ht="15" hidden="false" customHeight="false" outlineLevel="0" collapsed="false">
      <c r="A10" s="0" t="s">
        <v>123</v>
      </c>
      <c r="C10" s="0" t="n">
        <f aca="false">-C6*C9/100</f>
        <v>-297.71361</v>
      </c>
      <c r="D10" s="0" t="n">
        <f aca="false">-D6*D9/100</f>
        <v>-303.6678822</v>
      </c>
      <c r="E10" s="0" t="n">
        <f aca="false">-E6*E9/100</f>
        <v>-308.222900433</v>
      </c>
      <c r="F10" s="0" t="n">
        <f aca="false">-F6*F9/100</f>
        <v>-312.846243939495</v>
      </c>
      <c r="G10" s="0" t="n">
        <f aca="false">-G6*G9/100</f>
        <v>-315.97470637889</v>
      </c>
      <c r="H10" s="0" t="n">
        <f aca="false">-H6*H9/100</f>
        <v>-319.134453442679</v>
      </c>
      <c r="I10" s="0" t="n">
        <f aca="false">-I6*I9/100</f>
        <v>-322.325797977106</v>
      </c>
      <c r="J10" s="0" t="n">
        <f aca="false">-J6*J9/100</f>
        <v>-325.549055956877</v>
      </c>
      <c r="K10" s="0" t="n">
        <f aca="false">-K6*K9/100</f>
        <v>-328.804546516445</v>
      </c>
      <c r="L10" s="0" t="n">
        <f aca="false">-L6*L9/100</f>
        <v>-332.09259198161</v>
      </c>
    </row>
    <row r="11" customFormat="false" ht="15" hidden="false" customHeight="false" outlineLevel="0" collapsed="false">
      <c r="A11" s="0" t="s">
        <v>124</v>
      </c>
      <c r="C11" s="0" t="n">
        <f aca="false">C8+C10+C24</f>
        <v>15580.34559</v>
      </c>
      <c r="D11" s="0" t="n">
        <f aca="false">D8+D10+D24</f>
        <v>15638.8959333</v>
      </c>
      <c r="E11" s="0" t="n">
        <f aca="false">E8+E10+E24</f>
        <v>15616.626955272</v>
      </c>
      <c r="F11" s="0" t="n">
        <f aca="false">F8+F10+F24</f>
        <v>15590.1711563182</v>
      </c>
      <c r="G11" s="0" t="n">
        <f aca="false">G8+G10+G24</f>
        <v>15482.7606125656</v>
      </c>
      <c r="H11" s="0" t="n">
        <f aca="false">H8+H10+H24</f>
        <v>15637.5882186913</v>
      </c>
      <c r="I11" s="0" t="n">
        <f aca="false">I8+I10+I24</f>
        <v>15793.9641008782</v>
      </c>
      <c r="J11" s="0" t="n">
        <f aca="false">J8+J10+J24</f>
        <v>15951.903741887</v>
      </c>
      <c r="K11" s="0" t="n">
        <f aca="false">K8+K10+K24</f>
        <v>16111.4227793058</v>
      </c>
      <c r="L11" s="0" t="n">
        <f aca="false">L8+L10+L24</f>
        <v>16272.5370070989</v>
      </c>
    </row>
    <row r="12" customFormat="false" ht="15" hidden="false" customHeight="false" outlineLevel="0" collapsed="false">
      <c r="A12" s="0" t="s">
        <v>125</v>
      </c>
      <c r="C12" s="4" t="n">
        <f aca="false">-C6*Assumptions!C17/100</f>
        <v>-1091.61657</v>
      </c>
      <c r="D12" s="4" t="n">
        <f aca="false">-D6*Assumptions!D17/100</f>
        <v>-1113.4489014</v>
      </c>
      <c r="E12" s="4" t="n">
        <f aca="false">-E6*Assumptions!E17/100</f>
        <v>-1130.150634921</v>
      </c>
      <c r="F12" s="4" t="n">
        <f aca="false">-F6*Assumptions!F17/100</f>
        <v>-1147.10289444481</v>
      </c>
      <c r="G12" s="4" t="n">
        <f aca="false">-G6*Assumptions!G17/100</f>
        <v>-1158.57392338926</v>
      </c>
      <c r="H12" s="4" t="n">
        <f aca="false">-H6*Assumptions!H17/100</f>
        <v>-1170.15966262316</v>
      </c>
      <c r="I12" s="4" t="n">
        <f aca="false">-I6*Assumptions!I17/100</f>
        <v>-1181.86125924939</v>
      </c>
      <c r="J12" s="4" t="n">
        <f aca="false">-J6*Assumptions!J17/100</f>
        <v>-1193.67987184188</v>
      </c>
      <c r="K12" s="4" t="n">
        <f aca="false">-K6*Assumptions!K17/100</f>
        <v>-1205.6166705603</v>
      </c>
      <c r="L12" s="4" t="n">
        <f aca="false">-L6*Assumptions!L17/100</f>
        <v>-1217.6728372659</v>
      </c>
    </row>
    <row r="13" customFormat="false" ht="15" hidden="false" customHeight="false" outlineLevel="0" collapsed="false">
      <c r="A13" s="0" t="s">
        <v>126</v>
      </c>
      <c r="C13" s="0" t="n">
        <f aca="false">C11+C12</f>
        <v>14488.72902</v>
      </c>
      <c r="D13" s="0" t="n">
        <f aca="false">D11+D12</f>
        <v>14525.4470319</v>
      </c>
      <c r="E13" s="0" t="n">
        <f aca="false">E11+E12</f>
        <v>14486.476320351</v>
      </c>
      <c r="F13" s="0" t="n">
        <f aca="false">F11+F12</f>
        <v>14443.0682618734</v>
      </c>
      <c r="G13" s="0" t="n">
        <f aca="false">G11+G12</f>
        <v>14324.1866891763</v>
      </c>
      <c r="H13" s="0" t="n">
        <f aca="false">H11+H12</f>
        <v>14467.4285560681</v>
      </c>
      <c r="I13" s="0" t="n">
        <f aca="false">I11+I12</f>
        <v>14612.1028416288</v>
      </c>
      <c r="J13" s="0" t="n">
        <f aca="false">J11+J12</f>
        <v>14758.2238700451</v>
      </c>
      <c r="K13" s="0" t="n">
        <f aca="false">K11+K12</f>
        <v>14905.8061087455</v>
      </c>
      <c r="L13" s="0" t="n">
        <f aca="false">L11+L12</f>
        <v>15054.864169833</v>
      </c>
    </row>
    <row r="14" customFormat="false" ht="15" hidden="false" customHeight="false" outlineLevel="0" collapsed="false">
      <c r="A14" s="0" t="s">
        <v>112</v>
      </c>
      <c r="C14" s="4" t="n">
        <f aca="false">Assumptions!C19</f>
        <v>20.5</v>
      </c>
      <c r="D14" s="4" t="n">
        <f aca="false">Assumptions!D19</f>
        <v>22</v>
      </c>
      <c r="E14" s="4" t="n">
        <f aca="false">Assumptions!E19</f>
        <v>23</v>
      </c>
      <c r="F14" s="4" t="n">
        <f aca="false">Assumptions!F19</f>
        <v>23.5</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127</v>
      </c>
      <c r="C15" s="0" t="n">
        <f aca="false">C13-MAX(0,C13)*C14/100</f>
        <v>11518.5395709</v>
      </c>
      <c r="D15" s="0" t="n">
        <f aca="false">D13-MAX(0,D13)*D14/100</f>
        <v>11329.848684882</v>
      </c>
      <c r="E15" s="0" t="n">
        <f aca="false">E13-MAX(0,E13)*E14/100</f>
        <v>11154.5867666703</v>
      </c>
      <c r="F15" s="0" t="n">
        <f aca="false">F13-MAX(0,F13)*F14/100</f>
        <v>11048.9472203331</v>
      </c>
      <c r="G15" s="0" t="n">
        <f aca="false">G13-MAX(0,G13)*G14/100</f>
        <v>10886.381883774</v>
      </c>
      <c r="H15" s="0" t="n">
        <f aca="false">H13-MAX(0,H13)*H14/100</f>
        <v>10995.2457026118</v>
      </c>
      <c r="I15" s="0" t="n">
        <f aca="false">I13-MAX(0,I13)*I14/100</f>
        <v>11105.1981596379</v>
      </c>
      <c r="J15" s="0" t="n">
        <f aca="false">J13-MAX(0,J13)*J14/100</f>
        <v>11216.2501412343</v>
      </c>
      <c r="K15" s="0" t="n">
        <f aca="false">K13-MAX(0,K13)*K14/100</f>
        <v>11328.4126426466</v>
      </c>
      <c r="L15" s="0" t="n">
        <f aca="false">L13-MAX(0,L13)*L14/100</f>
        <v>11441.6967690731</v>
      </c>
    </row>
    <row r="16" customFormat="false" ht="15" hidden="false" customHeight="false" outlineLevel="0" collapsed="false">
      <c r="A16" s="0" t="s">
        <v>128</v>
      </c>
      <c r="C16" s="0" t="n">
        <f aca="false">-C12</f>
        <v>1091.61657</v>
      </c>
      <c r="D16" s="0" t="n">
        <f aca="false">-D12</f>
        <v>1113.4489014</v>
      </c>
      <c r="E16" s="0" t="n">
        <f aca="false">-E12</f>
        <v>1130.150634921</v>
      </c>
      <c r="F16" s="0" t="n">
        <f aca="false">-F12</f>
        <v>1147.10289444481</v>
      </c>
      <c r="G16" s="0" t="n">
        <f aca="false">-G12</f>
        <v>1158.57392338926</v>
      </c>
      <c r="H16" s="0" t="n">
        <f aca="false">-H12</f>
        <v>1170.15966262316</v>
      </c>
      <c r="I16" s="0" t="n">
        <f aca="false">-I12</f>
        <v>1181.86125924939</v>
      </c>
      <c r="J16" s="0" t="n">
        <f aca="false">-J12</f>
        <v>1193.67987184188</v>
      </c>
      <c r="K16" s="0" t="n">
        <f aca="false">-K12</f>
        <v>1205.6166705603</v>
      </c>
      <c r="L16" s="0" t="n">
        <f aca="false">-L12</f>
        <v>1217.6728372659</v>
      </c>
    </row>
    <row r="17" customFormat="false" ht="15" hidden="false" customHeight="false" outlineLevel="0" collapsed="false">
      <c r="A17" s="0" t="s">
        <v>129</v>
      </c>
      <c r="C17" s="4" t="n">
        <f aca="false">-C6*Assumptions!C18/100</f>
        <v>-2232.852075</v>
      </c>
      <c r="D17" s="4" t="n">
        <f aca="false">-D6*Assumptions!D18/100</f>
        <v>-2277.5091165</v>
      </c>
      <c r="E17" s="4" t="n">
        <f aca="false">-E6*Assumptions!E18/100</f>
        <v>-2311.6717532475</v>
      </c>
      <c r="F17" s="4" t="n">
        <f aca="false">-F6*Assumptions!F18/100</f>
        <v>-2346.34682954621</v>
      </c>
      <c r="G17" s="4" t="n">
        <f aca="false">-G6*Assumptions!G18/100</f>
        <v>-2369.81029784167</v>
      </c>
      <c r="H17" s="4" t="n">
        <f aca="false">-H6*Assumptions!H18/100</f>
        <v>-2393.50840082009</v>
      </c>
      <c r="I17" s="4" t="n">
        <f aca="false">-I6*Assumptions!I18/100</f>
        <v>-2417.44348482829</v>
      </c>
      <c r="J17" s="4" t="n">
        <f aca="false">-J6*Assumptions!J18/100</f>
        <v>-2441.61791967657</v>
      </c>
      <c r="K17" s="4" t="n">
        <f aca="false">-K6*Assumptions!K18/100</f>
        <v>-2466.03409887334</v>
      </c>
      <c r="L17" s="4" t="n">
        <f aca="false">-L6*Assumptions!L18/100</f>
        <v>-2490.69443986207</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10377.3040659</v>
      </c>
      <c r="D19" s="0" t="n">
        <f aca="false">D15+D16+D17+D18</f>
        <v>10165.788469782</v>
      </c>
      <c r="E19" s="0" t="n">
        <f aca="false">E15+E16+E17+E18</f>
        <v>9973.06564834377</v>
      </c>
      <c r="F19" s="0" t="n">
        <f aca="false">F15+F16+F17+F18</f>
        <v>9849.70328523172</v>
      </c>
      <c r="G19" s="0" t="n">
        <f aca="false">G15+G16+G17+G18</f>
        <v>9675.14550932161</v>
      </c>
      <c r="H19" s="0" t="n">
        <f aca="false">H15+H16+H17+H18</f>
        <v>9771.89696441482</v>
      </c>
      <c r="I19" s="0" t="n">
        <f aca="false">I15+I16+I17+I18</f>
        <v>9869.61593405897</v>
      </c>
      <c r="J19" s="0" t="n">
        <f aca="false">J15+J16+J17+J18</f>
        <v>9968.31209339956</v>
      </c>
      <c r="K19" s="0" t="n">
        <f aca="false">K15+K16+K17+K18</f>
        <v>10067.9952143336</v>
      </c>
      <c r="L19" s="0" t="n">
        <f aca="false">L15+L16+L17+L18</f>
        <v>10168.6751664769</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9698.41501485981</v>
      </c>
      <c r="D21" s="0" t="n">
        <f aca="false">D19*D20</f>
        <v>8879.19335294087</v>
      </c>
      <c r="E21" s="0" t="n">
        <f aca="false">E19*E20</f>
        <v>8140.99231483611</v>
      </c>
      <c r="F21" s="0" t="n">
        <f aca="false">F19*F20</f>
        <v>7514.29147639206</v>
      </c>
      <c r="G21" s="0" t="n">
        <f aca="false">G19*G20</f>
        <v>6898.24503263978</v>
      </c>
      <c r="H21" s="0" t="n">
        <f aca="false">H19*H20</f>
        <v>6511.427554174</v>
      </c>
      <c r="I21" s="0" t="n">
        <f aca="false">I19*I20</f>
        <v>6146.30077543527</v>
      </c>
      <c r="J21" s="0" t="n">
        <f aca="false">J19*J20</f>
        <v>5801.64839550432</v>
      </c>
      <c r="K21" s="0" t="n">
        <f aca="false">K19*K20</f>
        <v>5476.32231725174</v>
      </c>
      <c r="L21" s="0" t="n">
        <f aca="false">L19*L20</f>
        <v>5169.23882282641</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7</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17</v>
      </c>
    </row>
    <row r="30" customFormat="false" ht="15" hidden="false" customHeight="false" outlineLevel="0" collapsed="false">
      <c r="A30" s="0" t="s">
        <v>136</v>
      </c>
      <c r="B30" s="0" t="n">
        <f aca="false">SUM(C21:L21)</f>
        <v>70236.0750568604</v>
      </c>
    </row>
    <row r="31" customFormat="false" ht="15" hidden="false" customHeight="false" outlineLevel="0" collapsed="false">
      <c r="A31" s="0" t="s">
        <v>137</v>
      </c>
      <c r="B31" s="0" t="n">
        <f aca="false">L19</f>
        <v>10168.6751664769</v>
      </c>
    </row>
    <row r="32" customFormat="false" ht="15" hidden="false" customHeight="false" outlineLevel="0" collapsed="false">
      <c r="A32" s="0" t="s">
        <v>138</v>
      </c>
      <c r="B32" s="0" t="n">
        <f aca="false">IF(B27&gt;B28,B31*(1+B28/100)/((B27-B28)/100),B31*B29)</f>
        <v>207440.973396129</v>
      </c>
    </row>
    <row r="33" customFormat="false" ht="15" hidden="false" customHeight="false" outlineLevel="0" collapsed="false">
      <c r="A33" s="0" t="s">
        <v>139</v>
      </c>
      <c r="B33" s="0" t="n">
        <f aca="false">B31*B29</f>
        <v>172867.477830107</v>
      </c>
    </row>
    <row r="34" customFormat="false" ht="15" hidden="false" customHeight="false" outlineLevel="0" collapsed="false">
      <c r="A34" s="0" t="s">
        <v>140</v>
      </c>
      <c r="B34" s="0" t="n">
        <f aca="false">MAX(0,MIN(B32,B33))</f>
        <v>172867.477830107</v>
      </c>
    </row>
    <row r="35" customFormat="false" ht="15" hidden="false" customHeight="false" outlineLevel="0" collapsed="false">
      <c r="A35" s="0" t="s">
        <v>141</v>
      </c>
      <c r="B35" s="0" t="n">
        <f aca="false">B34/(1+B27/100)^L4</f>
        <v>87877.059988049</v>
      </c>
    </row>
    <row r="36" customFormat="false" ht="15" hidden="false" customHeight="false" outlineLevel="0" collapsed="false">
      <c r="A36" s="0" t="s">
        <v>142</v>
      </c>
      <c r="B36" s="0" t="n">
        <f aca="false">B30+B35</f>
        <v>158113.135044909</v>
      </c>
    </row>
    <row r="37" customFormat="false" ht="15" hidden="false" customHeight="false" outlineLevel="0" collapsed="false">
      <c r="A37" s="0" t="s">
        <v>143</v>
      </c>
      <c r="B37" s="0" t="n">
        <f aca="false">B36+Assumptions!$B$5-Assumptions!$B$4</f>
        <v>159862.135044909</v>
      </c>
    </row>
    <row r="38" customFormat="false" ht="15" hidden="false" customHeight="false" outlineLevel="0" collapsed="false">
      <c r="A38" s="0" t="s">
        <v>144</v>
      </c>
      <c r="B38" s="0" t="n">
        <f aca="false">B37/Assumptions!$B$3*Assumptions!$B$10</f>
        <v>37.0651831775816</v>
      </c>
    </row>
    <row r="39" customFormat="false" ht="15" hidden="false" customHeight="false" outlineLevel="0" collapsed="false">
      <c r="A39" s="0" t="s">
        <v>145</v>
      </c>
      <c r="B39" s="4" t="n">
        <f aca="false">B38/Assumptions!$B$2-1</f>
        <v>-0.574843046827465</v>
      </c>
    </row>
    <row r="41" customFormat="false" ht="15" hidden="false" customHeight="false" outlineLevel="0" collapsed="false">
      <c r="A41" s="0" t="s">
        <v>146</v>
      </c>
      <c r="B41" s="0" t="n">
        <f aca="false">SUMPRODUCT(-C10:L10/(1+$B$27/100)^C4:L4)</f>
        <v>2209.54901216174</v>
      </c>
    </row>
    <row r="42" customFormat="false" ht="15" hidden="false" customHeight="false" outlineLevel="0" collapsed="false">
      <c r="A42" s="0" t="s">
        <v>147</v>
      </c>
      <c r="B42" s="0" t="n">
        <f aca="false">IF(B27&gt;B28,-L10*(1+B28/100)/((B27-B28)/100),-L10*20)/(1+B27/100)^L4</f>
        <v>3443.90829476351</v>
      </c>
    </row>
    <row r="43" customFormat="false" ht="15" hidden="false" customHeight="false" outlineLevel="0" collapsed="false">
      <c r="A43" s="0" t="s">
        <v>148</v>
      </c>
      <c r="B43" s="0" t="n">
        <f aca="false">(B37+B41+B42)/Assumptions!$B$3*Assumptions!$B$10</f>
        <v>38.3759778232865</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79784.9897677418</v>
      </c>
    </row>
    <row r="47" customFormat="false" ht="15" hidden="false" customHeight="false" outlineLevel="0" collapsed="false">
      <c r="A47" s="0" t="s">
        <v>150</v>
      </c>
      <c r="B47" s="0" t="n">
        <f aca="false">(SUMPRODUCT(C19:L19/(1+B45/100)^C4:L4)+B46/(1+B45/100)^L4+Assumptions!$B$5-Assumptions!$B$4)/Assumptions!$B$3*Assumptions!$B$10</f>
        <v>16.6356701908737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5</v>
      </c>
      <c r="D5" s="4" t="n">
        <f aca="false">Assumptions!D27</f>
        <v>4</v>
      </c>
      <c r="E5" s="4" t="n">
        <f aca="false">Assumptions!E27</f>
        <v>4</v>
      </c>
      <c r="F5" s="4" t="n">
        <f aca="false">Assumptions!F27</f>
        <v>3.5</v>
      </c>
      <c r="G5" s="4" t="n">
        <f aca="false">Assumptions!G27</f>
        <v>3.5</v>
      </c>
      <c r="H5" s="4" t="n">
        <f aca="false">Assumptions!H27</f>
        <v>3</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47941</v>
      </c>
      <c r="C6" s="0" t="n">
        <f aca="false">B6*(1+C5/100)</f>
        <v>50338.05</v>
      </c>
      <c r="D6" s="0" t="n">
        <f aca="false">C6*(1+D5/100)</f>
        <v>52351.572</v>
      </c>
      <c r="E6" s="0" t="n">
        <f aca="false">D6*(1+E5/100)</f>
        <v>54445.63488</v>
      </c>
      <c r="F6" s="0" t="n">
        <f aca="false">E6*(1+F5/100)</f>
        <v>56351.2321008</v>
      </c>
      <c r="G6" s="0" t="n">
        <f aca="false">F6*(1+G5/100)</f>
        <v>58323.525224328</v>
      </c>
      <c r="H6" s="0" t="n">
        <f aca="false">G6*(1+H5/100)</f>
        <v>60073.2309810578</v>
      </c>
      <c r="I6" s="0" t="n">
        <f aca="false">H6*(1+I5/100)</f>
        <v>61875.4279104896</v>
      </c>
      <c r="J6" s="0" t="n">
        <f aca="false">I6*(1+J5/100)</f>
        <v>63731.6907478043</v>
      </c>
      <c r="K6" s="0" t="n">
        <f aca="false">J6*(1+K5/100)</f>
        <v>65324.9830164994</v>
      </c>
      <c r="L6" s="0" t="n">
        <f aca="false">K6*(1+L5/100)</f>
        <v>66958.1075919118</v>
      </c>
    </row>
    <row r="7" customFormat="false" ht="15" hidden="false" customHeight="false" outlineLevel="0" collapsed="false">
      <c r="A7" s="0" t="s">
        <v>107</v>
      </c>
      <c r="C7" s="4" t="n">
        <f aca="false">Assumptions!C28</f>
        <v>33</v>
      </c>
      <c r="D7" s="4" t="n">
        <f aca="false">Assumptions!D28</f>
        <v>33.3</v>
      </c>
      <c r="E7" s="4" t="n">
        <f aca="false">Assumptions!E28</f>
        <v>33.5</v>
      </c>
      <c r="F7" s="4" t="n">
        <f aca="false">Assumptions!F28</f>
        <v>33.8</v>
      </c>
      <c r="G7" s="4" t="n">
        <f aca="false">Assumptions!G28</f>
        <v>34</v>
      </c>
      <c r="H7" s="4" t="n">
        <f aca="false">Assumptions!H28</f>
        <v>34</v>
      </c>
      <c r="I7" s="4" t="n">
        <f aca="false">Assumptions!I28</f>
        <v>34</v>
      </c>
      <c r="J7" s="4" t="n">
        <f aca="false">Assumptions!J28</f>
        <v>34</v>
      </c>
      <c r="K7" s="4" t="n">
        <f aca="false">Assumptions!K28</f>
        <v>34</v>
      </c>
      <c r="L7" s="4" t="n">
        <f aca="false">Assumptions!L28</f>
        <v>34</v>
      </c>
    </row>
    <row r="8" customFormat="false" ht="15" hidden="false" customHeight="false" outlineLevel="0" collapsed="false">
      <c r="A8" s="0" t="s">
        <v>43</v>
      </c>
      <c r="C8" s="0" t="n">
        <f aca="false">C6*C7/100</f>
        <v>16611.5565</v>
      </c>
      <c r="D8" s="0" t="n">
        <f aca="false">D6*D7/100</f>
        <v>17433.073476</v>
      </c>
      <c r="E8" s="0" t="n">
        <f aca="false">E6*E7/100</f>
        <v>18239.2876848</v>
      </c>
      <c r="F8" s="0" t="n">
        <f aca="false">F6*F7/100</f>
        <v>19046.7164500704</v>
      </c>
      <c r="G8" s="0" t="n">
        <f aca="false">G6*G7/100</f>
        <v>19829.9985762715</v>
      </c>
      <c r="H8" s="0" t="n">
        <f aca="false">H6*H7/100</f>
        <v>20424.8985335597</v>
      </c>
      <c r="I8" s="0" t="n">
        <f aca="false">I6*I7/100</f>
        <v>21037.6454895665</v>
      </c>
      <c r="J8" s="0" t="n">
        <f aca="false">J6*J7/100</f>
        <v>21668.7748542535</v>
      </c>
      <c r="K8" s="0" t="n">
        <f aca="false">K6*K7/100</f>
        <v>22210.4942256098</v>
      </c>
      <c r="L8" s="0" t="n">
        <f aca="false">L6*L7/100</f>
        <v>22765.75658125</v>
      </c>
    </row>
    <row r="9" customFormat="false" ht="15" hidden="false" customHeight="false" outlineLevel="0" collapsed="false">
      <c r="A9" s="0" t="s">
        <v>108</v>
      </c>
      <c r="C9" s="4" t="n">
        <f aca="false">Assumptions!C29</f>
        <v>0.6</v>
      </c>
      <c r="D9" s="4" t="n">
        <f aca="false">Assumptions!D29</f>
        <v>0.6</v>
      </c>
      <c r="E9" s="4" t="n">
        <f aca="false">Assumptions!E29</f>
        <v>0.6</v>
      </c>
      <c r="F9" s="4" t="n">
        <f aca="false">Assumptions!F29</f>
        <v>0.6</v>
      </c>
      <c r="G9" s="4" t="n">
        <f aca="false">Assumptions!G29</f>
        <v>0.6</v>
      </c>
      <c r="H9" s="4" t="n">
        <f aca="false">Assumptions!H29</f>
        <v>0.6</v>
      </c>
      <c r="I9" s="4" t="n">
        <f aca="false">Assumptions!I29</f>
        <v>0.6</v>
      </c>
      <c r="J9" s="4" t="n">
        <f aca="false">Assumptions!J29</f>
        <v>0.6</v>
      </c>
      <c r="K9" s="4" t="n">
        <f aca="false">Assumptions!K29</f>
        <v>0.6</v>
      </c>
      <c r="L9" s="4" t="n">
        <f aca="false">Assumptions!L29</f>
        <v>0.6</v>
      </c>
    </row>
    <row r="10" customFormat="false" ht="15" hidden="false" customHeight="false" outlineLevel="0" collapsed="false">
      <c r="A10" s="0" t="s">
        <v>123</v>
      </c>
      <c r="C10" s="0" t="n">
        <f aca="false">-C6*C9/100</f>
        <v>-302.0283</v>
      </c>
      <c r="D10" s="0" t="n">
        <f aca="false">-D6*D9/100</f>
        <v>-314.109432</v>
      </c>
      <c r="E10" s="0" t="n">
        <f aca="false">-E6*E9/100</f>
        <v>-326.67380928</v>
      </c>
      <c r="F10" s="0" t="n">
        <f aca="false">-F6*F9/100</f>
        <v>-338.1073926048</v>
      </c>
      <c r="G10" s="0" t="n">
        <f aca="false">-G6*G9/100</f>
        <v>-349.941151345968</v>
      </c>
      <c r="H10" s="0" t="n">
        <f aca="false">-H6*H9/100</f>
        <v>-360.439385886347</v>
      </c>
      <c r="I10" s="0" t="n">
        <f aca="false">-I6*I9/100</f>
        <v>-371.252567462938</v>
      </c>
      <c r="J10" s="0" t="n">
        <f aca="false">-J6*J9/100</f>
        <v>-382.390144486826</v>
      </c>
      <c r="K10" s="0" t="n">
        <f aca="false">-K6*K9/100</f>
        <v>-391.949898098996</v>
      </c>
      <c r="L10" s="0" t="n">
        <f aca="false">-L6*L9/100</f>
        <v>-401.748645551471</v>
      </c>
    </row>
    <row r="11" customFormat="false" ht="15" hidden="false" customHeight="false" outlineLevel="0" collapsed="false">
      <c r="A11" s="0" t="s">
        <v>124</v>
      </c>
      <c r="C11" s="0" t="n">
        <f aca="false">C8+C10+C24</f>
        <v>16309.5282</v>
      </c>
      <c r="D11" s="0" t="n">
        <f aca="false">D8+D10+D24</f>
        <v>17118.964044</v>
      </c>
      <c r="E11" s="0" t="n">
        <f aca="false">E8+E10+E24</f>
        <v>17912.61387552</v>
      </c>
      <c r="F11" s="0" t="n">
        <f aca="false">F8+F10+F24</f>
        <v>18708.6090574656</v>
      </c>
      <c r="G11" s="0" t="n">
        <f aca="false">G8+G10+G24</f>
        <v>19480.0574249256</v>
      </c>
      <c r="H11" s="0" t="n">
        <f aca="false">H8+H10+H24</f>
        <v>20064.4591476733</v>
      </c>
      <c r="I11" s="0" t="n">
        <f aca="false">I8+I10+I24</f>
        <v>20666.3929221035</v>
      </c>
      <c r="J11" s="0" t="n">
        <f aca="false">J8+J10+J24</f>
        <v>21286.3847097666</v>
      </c>
      <c r="K11" s="0" t="n">
        <f aca="false">K8+K10+K24</f>
        <v>21818.5443275108</v>
      </c>
      <c r="L11" s="0" t="n">
        <f aca="false">L8+L10+L24</f>
        <v>22364.0079356986</v>
      </c>
    </row>
    <row r="12" customFormat="false" ht="15" hidden="false" customHeight="false" outlineLevel="0" collapsed="false">
      <c r="A12" s="0" t="s">
        <v>125</v>
      </c>
      <c r="C12" s="4" t="n">
        <f aca="false">-C6*Assumptions!C31/100</f>
        <v>-1107.4371</v>
      </c>
      <c r="D12" s="4" t="n">
        <f aca="false">-D6*Assumptions!D31/100</f>
        <v>-1151.734584</v>
      </c>
      <c r="E12" s="4" t="n">
        <f aca="false">-E6*Assumptions!E31/100</f>
        <v>-1197.80396736</v>
      </c>
      <c r="F12" s="4" t="n">
        <f aca="false">-F6*Assumptions!F31/100</f>
        <v>-1239.7271062176</v>
      </c>
      <c r="G12" s="4" t="n">
        <f aca="false">-G6*Assumptions!G31/100</f>
        <v>-1283.11755493522</v>
      </c>
      <c r="H12" s="4" t="n">
        <f aca="false">-H6*Assumptions!H31/100</f>
        <v>-1321.61108158327</v>
      </c>
      <c r="I12" s="4" t="n">
        <f aca="false">-I6*Assumptions!I31/100</f>
        <v>-1361.25941403077</v>
      </c>
      <c r="J12" s="4" t="n">
        <f aca="false">-J6*Assumptions!J31/100</f>
        <v>-1402.09719645169</v>
      </c>
      <c r="K12" s="4" t="n">
        <f aca="false">-K6*Assumptions!K31/100</f>
        <v>-1437.14962636299</v>
      </c>
      <c r="L12" s="4" t="n">
        <f aca="false">-L6*Assumptions!L31/100</f>
        <v>-1473.07836702206</v>
      </c>
    </row>
    <row r="13" customFormat="false" ht="15" hidden="false" customHeight="false" outlineLevel="0" collapsed="false">
      <c r="A13" s="0" t="s">
        <v>126</v>
      </c>
      <c r="C13" s="0" t="n">
        <f aca="false">C11+C12</f>
        <v>15202.0911</v>
      </c>
      <c r="D13" s="0" t="n">
        <f aca="false">D11+D12</f>
        <v>15967.22946</v>
      </c>
      <c r="E13" s="0" t="n">
        <f aca="false">E11+E12</f>
        <v>16714.80990816</v>
      </c>
      <c r="F13" s="0" t="n">
        <f aca="false">F11+F12</f>
        <v>17468.881951248</v>
      </c>
      <c r="G13" s="0" t="n">
        <f aca="false">G11+G12</f>
        <v>18196.9398699903</v>
      </c>
      <c r="H13" s="0" t="n">
        <f aca="false">H11+H12</f>
        <v>18742.84806609</v>
      </c>
      <c r="I13" s="0" t="n">
        <f aca="false">I11+I12</f>
        <v>19305.1335080728</v>
      </c>
      <c r="J13" s="0" t="n">
        <f aca="false">J11+J12</f>
        <v>19884.2875133149</v>
      </c>
      <c r="K13" s="0" t="n">
        <f aca="false">K11+K12</f>
        <v>20381.3947011478</v>
      </c>
      <c r="L13" s="0" t="n">
        <f aca="false">L11+L12</f>
        <v>20890.9295686765</v>
      </c>
    </row>
    <row r="14" customFormat="false" ht="15" hidden="false" customHeight="false" outlineLevel="0" collapsed="false">
      <c r="A14" s="0" t="s">
        <v>112</v>
      </c>
      <c r="C14" s="4" t="n">
        <f aca="false">Assumptions!C33</f>
        <v>20</v>
      </c>
      <c r="D14" s="4" t="n">
        <f aca="false">Assumptions!D33</f>
        <v>20.5</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127</v>
      </c>
      <c r="C15" s="0" t="n">
        <f aca="false">C13-MAX(0,C13)*C14/100</f>
        <v>12161.67288</v>
      </c>
      <c r="D15" s="0" t="n">
        <f aca="false">D13-MAX(0,D13)*D14/100</f>
        <v>12693.9474207</v>
      </c>
      <c r="E15" s="0" t="n">
        <f aca="false">E13-MAX(0,E13)*E14/100</f>
        <v>13204.6998274464</v>
      </c>
      <c r="F15" s="0" t="n">
        <f aca="false">F13-MAX(0,F13)*F14/100</f>
        <v>13800.4167414859</v>
      </c>
      <c r="G15" s="0" t="n">
        <f aca="false">G13-MAX(0,G13)*G14/100</f>
        <v>14375.5824972924</v>
      </c>
      <c r="H15" s="0" t="n">
        <f aca="false">H13-MAX(0,H13)*H14/100</f>
        <v>14806.8499722111</v>
      </c>
      <c r="I15" s="0" t="n">
        <f aca="false">I13-MAX(0,I13)*I14/100</f>
        <v>15251.0554713775</v>
      </c>
      <c r="J15" s="0" t="n">
        <f aca="false">J13-MAX(0,J13)*J14/100</f>
        <v>15708.5871355188</v>
      </c>
      <c r="K15" s="0" t="n">
        <f aca="false">K13-MAX(0,K13)*K14/100</f>
        <v>16101.3018139068</v>
      </c>
      <c r="L15" s="0" t="n">
        <f aca="false">L13-MAX(0,L13)*L14/100</f>
        <v>16503.8343592544</v>
      </c>
    </row>
    <row r="16" customFormat="false" ht="15" hidden="false" customHeight="false" outlineLevel="0" collapsed="false">
      <c r="A16" s="0" t="s">
        <v>128</v>
      </c>
      <c r="C16" s="0" t="n">
        <f aca="false">-C12</f>
        <v>1107.4371</v>
      </c>
      <c r="D16" s="0" t="n">
        <f aca="false">-D12</f>
        <v>1151.734584</v>
      </c>
      <c r="E16" s="0" t="n">
        <f aca="false">-E12</f>
        <v>1197.80396736</v>
      </c>
      <c r="F16" s="0" t="n">
        <f aca="false">-F12</f>
        <v>1239.7271062176</v>
      </c>
      <c r="G16" s="0" t="n">
        <f aca="false">-G12</f>
        <v>1283.11755493522</v>
      </c>
      <c r="H16" s="0" t="n">
        <f aca="false">-H12</f>
        <v>1321.61108158327</v>
      </c>
      <c r="I16" s="0" t="n">
        <f aca="false">-I12</f>
        <v>1361.25941403077</v>
      </c>
      <c r="J16" s="0" t="n">
        <f aca="false">-J12</f>
        <v>1402.09719645169</v>
      </c>
      <c r="K16" s="0" t="n">
        <f aca="false">-K12</f>
        <v>1437.14962636299</v>
      </c>
      <c r="L16" s="0" t="n">
        <f aca="false">-L12</f>
        <v>1473.07836702206</v>
      </c>
    </row>
    <row r="17" customFormat="false" ht="15" hidden="false" customHeight="false" outlineLevel="0" collapsed="false">
      <c r="A17" s="0" t="s">
        <v>129</v>
      </c>
      <c r="C17" s="4" t="n">
        <f aca="false">-C6*Assumptions!C32/100</f>
        <v>-2164.53615</v>
      </c>
      <c r="D17" s="4" t="n">
        <f aca="false">-D6*Assumptions!D32/100</f>
        <v>-2251.117596</v>
      </c>
      <c r="E17" s="4" t="n">
        <f aca="false">-E6*Assumptions!E32/100</f>
        <v>-2286.71666496</v>
      </c>
      <c r="F17" s="4" t="n">
        <f aca="false">-F6*Assumptions!F32/100</f>
        <v>-2366.7517482336</v>
      </c>
      <c r="G17" s="4" t="n">
        <f aca="false">-G6*Assumptions!G32/100</f>
        <v>-2391.26453419745</v>
      </c>
      <c r="H17" s="4" t="n">
        <f aca="false">-H6*Assumptions!H32/100</f>
        <v>-2463.00247022337</v>
      </c>
      <c r="I17" s="4" t="n">
        <f aca="false">-I6*Assumptions!I32/100</f>
        <v>-2475.01711641958</v>
      </c>
      <c r="J17" s="4" t="n">
        <f aca="false">-J6*Assumptions!J32/100</f>
        <v>-2549.26762991217</v>
      </c>
      <c r="K17" s="4" t="n">
        <f aca="false">-K6*Assumptions!K32/100</f>
        <v>-2612.99932065997</v>
      </c>
      <c r="L17" s="4" t="n">
        <f aca="false">-L6*Assumptions!L32/100</f>
        <v>-2678.32430367647</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11104.57383</v>
      </c>
      <c r="D19" s="0" t="n">
        <f aca="false">D15+D16+D17+D18</f>
        <v>11594.5644087</v>
      </c>
      <c r="E19" s="0" t="n">
        <f aca="false">E15+E16+E17+E18</f>
        <v>12115.7871298464</v>
      </c>
      <c r="F19" s="0" t="n">
        <f aca="false">F15+F16+F17+F18</f>
        <v>12673.3920994699</v>
      </c>
      <c r="G19" s="0" t="n">
        <f aca="false">G15+G16+G17+G18</f>
        <v>13267.4355180301</v>
      </c>
      <c r="H19" s="0" t="n">
        <f aca="false">H15+H16+H17+H18</f>
        <v>13665.458583571</v>
      </c>
      <c r="I19" s="0" t="n">
        <f aca="false">I15+I16+I17+I18</f>
        <v>14137.2977689887</v>
      </c>
      <c r="J19" s="0" t="n">
        <f aca="false">J15+J16+J17+J18</f>
        <v>14561.4167020583</v>
      </c>
      <c r="K19" s="0" t="n">
        <f aca="false">K15+K16+K17+K18</f>
        <v>14925.4521196098</v>
      </c>
      <c r="L19" s="0" t="n">
        <f aca="false">L15+L16+L17+L18</f>
        <v>15298.5884226</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10378.1063831776</v>
      </c>
      <c r="D21" s="0" t="n">
        <f aca="false">D19*D20</f>
        <v>10127.1415920168</v>
      </c>
      <c r="E21" s="0" t="n">
        <f aca="false">E19*E20</f>
        <v>9890.09131095513</v>
      </c>
      <c r="F21" s="0" t="n">
        <f aca="false">F19*F20</f>
        <v>9668.47015308653</v>
      </c>
      <c r="G21" s="0" t="n">
        <f aca="false">G19*G20</f>
        <v>9459.49816154623</v>
      </c>
      <c r="H21" s="0" t="n">
        <f aca="false">H19*H20</f>
        <v>9105.87206204917</v>
      </c>
      <c r="I21" s="0" t="n">
        <f aca="false">I19*I20</f>
        <v>8803.99853658329</v>
      </c>
      <c r="J21" s="0" t="n">
        <f aca="false">J19*J20</f>
        <v>8474.87709596335</v>
      </c>
      <c r="K21" s="0" t="n">
        <f aca="false">K19*K20</f>
        <v>8118.45703117985</v>
      </c>
      <c r="L21" s="0" t="n">
        <f aca="false">L19*L20</f>
        <v>7777.02659528911</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7</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20</v>
      </c>
    </row>
    <row r="30" customFormat="false" ht="15" hidden="false" customHeight="false" outlineLevel="0" collapsed="false">
      <c r="A30" s="0" t="s">
        <v>136</v>
      </c>
      <c r="B30" s="0" t="n">
        <f aca="false">SUM(C21:L21)</f>
        <v>91803.538921847</v>
      </c>
    </row>
    <row r="31" customFormat="false" ht="15" hidden="false" customHeight="false" outlineLevel="0" collapsed="false">
      <c r="A31" s="0" t="s">
        <v>137</v>
      </c>
      <c r="B31" s="0" t="n">
        <f aca="false">L19</f>
        <v>15298.5884226</v>
      </c>
    </row>
    <row r="32" customFormat="false" ht="15" hidden="false" customHeight="false" outlineLevel="0" collapsed="false">
      <c r="A32" s="0" t="s">
        <v>138</v>
      </c>
      <c r="B32" s="0" t="n">
        <f aca="false">IF(B27&gt;B28,B31*(1+B28/100)/((B27-B28)/100),B31*B29)</f>
        <v>348467.847403667</v>
      </c>
    </row>
    <row r="33" customFormat="false" ht="15" hidden="false" customHeight="false" outlineLevel="0" collapsed="false">
      <c r="A33" s="0" t="s">
        <v>139</v>
      </c>
      <c r="B33" s="0" t="n">
        <f aca="false">B31*B29</f>
        <v>305971.768452</v>
      </c>
    </row>
    <row r="34" customFormat="false" ht="15" hidden="false" customHeight="false" outlineLevel="0" collapsed="false">
      <c r="A34" s="0" t="s">
        <v>140</v>
      </c>
      <c r="B34" s="0" t="n">
        <f aca="false">MAX(0,MIN(B32,B33))</f>
        <v>305971.768452</v>
      </c>
    </row>
    <row r="35" customFormat="false" ht="15" hidden="false" customHeight="false" outlineLevel="0" collapsed="false">
      <c r="A35" s="0" t="s">
        <v>141</v>
      </c>
      <c r="B35" s="0" t="n">
        <f aca="false">B34/(1+B27/100)^L4</f>
        <v>155540.531905782</v>
      </c>
    </row>
    <row r="36" customFormat="false" ht="15" hidden="false" customHeight="false" outlineLevel="0" collapsed="false">
      <c r="A36" s="0" t="s">
        <v>142</v>
      </c>
      <c r="B36" s="0" t="n">
        <f aca="false">B30+B35</f>
        <v>247344.070827629</v>
      </c>
    </row>
    <row r="37" customFormat="false" ht="15" hidden="false" customHeight="false" outlineLevel="0" collapsed="false">
      <c r="A37" s="0" t="s">
        <v>143</v>
      </c>
      <c r="B37" s="0" t="n">
        <f aca="false">B36+Assumptions!$B$5-Assumptions!$B$4</f>
        <v>249093.070827629</v>
      </c>
    </row>
    <row r="38" customFormat="false" ht="15" hidden="false" customHeight="false" outlineLevel="0" collapsed="false">
      <c r="A38" s="0" t="s">
        <v>144</v>
      </c>
      <c r="B38" s="0" t="n">
        <f aca="false">B37/Assumptions!$B$3*Assumptions!$B$10</f>
        <v>57.7540159581797</v>
      </c>
    </row>
    <row r="39" customFormat="false" ht="15" hidden="false" customHeight="false" outlineLevel="0" collapsed="false">
      <c r="A39" s="0" t="s">
        <v>145</v>
      </c>
      <c r="B39" s="4" t="n">
        <f aca="false">B38/Assumptions!$B$2-1</f>
        <v>-0.337531360883463</v>
      </c>
    </row>
    <row r="41" customFormat="false" ht="15" hidden="false" customHeight="false" outlineLevel="0" collapsed="false">
      <c r="A41" s="0" t="s">
        <v>146</v>
      </c>
      <c r="B41" s="0" t="n">
        <f aca="false">SUMPRODUCT(-C10:L10/(1+$B$27/100)^C4:L4)</f>
        <v>2442.08301719851</v>
      </c>
    </row>
    <row r="42" customFormat="false" ht="15" hidden="false" customHeight="false" outlineLevel="0" collapsed="false">
      <c r="A42" s="0" t="s">
        <v>147</v>
      </c>
      <c r="B42" s="0" t="n">
        <f aca="false">IF(B27&gt;B28,-L10*(1+B28/100)/((B27-B28)/100),-L10*20)/(1+B27/100)^L4</f>
        <v>4651.87456826058</v>
      </c>
    </row>
    <row r="43" customFormat="false" ht="15" hidden="false" customHeight="false" outlineLevel="0" collapsed="false">
      <c r="A43" s="0" t="s">
        <v>148</v>
      </c>
      <c r="B43" s="0" t="n">
        <f aca="false">(B37+B41+B42)/Assumptions!$B$3*Assumptions!$B$10</f>
        <v>59.3988009304633</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125448.42506532</v>
      </c>
    </row>
    <row r="47" customFormat="false" ht="15" hidden="false" customHeight="false" outlineLevel="0" collapsed="false">
      <c r="A47" s="0" t="s">
        <v>150</v>
      </c>
      <c r="B47" s="0" t="n">
        <f aca="false">(SUMPRODUCT(C19:L19/(1+B45/100)^C4:L4)+B46/(1+B45/100)^L4+Assumptions!$B$5-Assumptions!$B$4)/Assumptions!$B$3*Assumptions!$B$10</f>
        <v>22.4894605904675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6</v>
      </c>
      <c r="D5" s="4" t="n">
        <f aca="false">Assumptions!D41</f>
        <v>5.5</v>
      </c>
      <c r="E5" s="4" t="n">
        <f aca="false">Assumptions!E41</f>
        <v>5</v>
      </c>
      <c r="F5" s="4" t="n">
        <f aca="false">Assumptions!F41</f>
        <v>5</v>
      </c>
      <c r="G5" s="4" t="n">
        <f aca="false">Assumptions!G41</f>
        <v>4.5</v>
      </c>
      <c r="H5" s="4" t="n">
        <f aca="false">Assumptions!H41</f>
        <v>4</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47941</v>
      </c>
      <c r="C6" s="0" t="n">
        <f aca="false">B6*(1+C5/100)</f>
        <v>50817.46</v>
      </c>
      <c r="D6" s="0" t="n">
        <f aca="false">C6*(1+D5/100)</f>
        <v>53612.4203</v>
      </c>
      <c r="E6" s="0" t="n">
        <f aca="false">D6*(1+E5/100)</f>
        <v>56293.041315</v>
      </c>
      <c r="F6" s="0" t="n">
        <f aca="false">E6*(1+F5/100)</f>
        <v>59107.69338075</v>
      </c>
      <c r="G6" s="0" t="n">
        <f aca="false">F6*(1+G5/100)</f>
        <v>61767.5395828838</v>
      </c>
      <c r="H6" s="0" t="n">
        <f aca="false">G6*(1+H5/100)</f>
        <v>64238.2411661991</v>
      </c>
      <c r="I6" s="0" t="n">
        <f aca="false">H6*(1+I5/100)</f>
        <v>66807.7708128471</v>
      </c>
      <c r="J6" s="0" t="n">
        <f aca="false">I6*(1+J5/100)</f>
        <v>69146.0427912967</v>
      </c>
      <c r="K6" s="0" t="n">
        <f aca="false">J6*(1+K5/100)</f>
        <v>71220.4240750356</v>
      </c>
      <c r="L6" s="0" t="n">
        <f aca="false">K6*(1+L5/100)</f>
        <v>73357.0367972867</v>
      </c>
    </row>
    <row r="7" customFormat="false" ht="15" hidden="false" customHeight="false" outlineLevel="0" collapsed="false">
      <c r="A7" s="0" t="s">
        <v>107</v>
      </c>
      <c r="C7" s="4" t="n">
        <f aca="false">Assumptions!C42</f>
        <v>33.5</v>
      </c>
      <c r="D7" s="4" t="n">
        <f aca="false">Assumptions!D42</f>
        <v>34</v>
      </c>
      <c r="E7" s="4" t="n">
        <f aca="false">Assumptions!E42</f>
        <v>34.5</v>
      </c>
      <c r="F7" s="4" t="n">
        <f aca="false">Assumptions!F42</f>
        <v>35</v>
      </c>
      <c r="G7" s="4" t="n">
        <f aca="false">Assumptions!G42</f>
        <v>35.5</v>
      </c>
      <c r="H7" s="4" t="n">
        <f aca="false">Assumptions!H42</f>
        <v>35.5</v>
      </c>
      <c r="I7" s="4" t="n">
        <f aca="false">Assumptions!I42</f>
        <v>35.5</v>
      </c>
      <c r="J7" s="4" t="n">
        <f aca="false">Assumptions!J42</f>
        <v>35.5</v>
      </c>
      <c r="K7" s="4" t="n">
        <f aca="false">Assumptions!K42</f>
        <v>35.5</v>
      </c>
      <c r="L7" s="4" t="n">
        <f aca="false">Assumptions!L42</f>
        <v>35.5</v>
      </c>
    </row>
    <row r="8" customFormat="false" ht="15" hidden="false" customHeight="false" outlineLevel="0" collapsed="false">
      <c r="A8" s="0" t="s">
        <v>43</v>
      </c>
      <c r="C8" s="0" t="n">
        <f aca="false">C6*C7/100</f>
        <v>17023.8491</v>
      </c>
      <c r="D8" s="0" t="n">
        <f aca="false">D6*D7/100</f>
        <v>18228.222902</v>
      </c>
      <c r="E8" s="0" t="n">
        <f aca="false">E6*E7/100</f>
        <v>19421.099253675</v>
      </c>
      <c r="F8" s="0" t="n">
        <f aca="false">F6*F7/100</f>
        <v>20687.6926832625</v>
      </c>
      <c r="G8" s="0" t="n">
        <f aca="false">G6*G7/100</f>
        <v>21927.4765519237</v>
      </c>
      <c r="H8" s="0" t="n">
        <f aca="false">H6*H7/100</f>
        <v>22804.5756140007</v>
      </c>
      <c r="I8" s="0" t="n">
        <f aca="false">I6*I7/100</f>
        <v>23716.7586385607</v>
      </c>
      <c r="J8" s="0" t="n">
        <f aca="false">J6*J7/100</f>
        <v>24546.8451909103</v>
      </c>
      <c r="K8" s="0" t="n">
        <f aca="false">K6*K7/100</f>
        <v>25283.2505466376</v>
      </c>
      <c r="L8" s="0" t="n">
        <f aca="false">L6*L7/100</f>
        <v>26041.7480630368</v>
      </c>
    </row>
    <row r="9" customFormat="false" ht="15" hidden="false" customHeight="false" outlineLevel="0" collapsed="false">
      <c r="A9" s="0" t="s">
        <v>108</v>
      </c>
      <c r="C9" s="4" t="n">
        <f aca="false">Assumptions!C43</f>
        <v>0.6</v>
      </c>
      <c r="D9" s="4" t="n">
        <f aca="false">Assumptions!D43</f>
        <v>0.6</v>
      </c>
      <c r="E9" s="4" t="n">
        <f aca="false">Assumptions!E43</f>
        <v>0.6</v>
      </c>
      <c r="F9" s="4" t="n">
        <f aca="false">Assumptions!F43</f>
        <v>0.6</v>
      </c>
      <c r="G9" s="4" t="n">
        <f aca="false">Assumptions!G43</f>
        <v>0.6</v>
      </c>
      <c r="H9" s="4" t="n">
        <f aca="false">Assumptions!H43</f>
        <v>0.6</v>
      </c>
      <c r="I9" s="4" t="n">
        <f aca="false">Assumptions!I43</f>
        <v>0.6</v>
      </c>
      <c r="J9" s="4" t="n">
        <f aca="false">Assumptions!J43</f>
        <v>0.6</v>
      </c>
      <c r="K9" s="4" t="n">
        <f aca="false">Assumptions!K43</f>
        <v>0.6</v>
      </c>
      <c r="L9" s="4" t="n">
        <f aca="false">Assumptions!L43</f>
        <v>0.6</v>
      </c>
    </row>
    <row r="10" customFormat="false" ht="15" hidden="false" customHeight="false" outlineLevel="0" collapsed="false">
      <c r="A10" s="0" t="s">
        <v>123</v>
      </c>
      <c r="C10" s="0" t="n">
        <f aca="false">-C6*C9/100</f>
        <v>-304.90476</v>
      </c>
      <c r="D10" s="0" t="n">
        <f aca="false">-D6*D9/100</f>
        <v>-321.6745218</v>
      </c>
      <c r="E10" s="0" t="n">
        <f aca="false">-E6*E9/100</f>
        <v>-337.75824789</v>
      </c>
      <c r="F10" s="0" t="n">
        <f aca="false">-F6*F9/100</f>
        <v>-354.6461602845</v>
      </c>
      <c r="G10" s="0" t="n">
        <f aca="false">-G6*G9/100</f>
        <v>-370.605237497303</v>
      </c>
      <c r="H10" s="0" t="n">
        <f aca="false">-H6*H9/100</f>
        <v>-385.429446997195</v>
      </c>
      <c r="I10" s="0" t="n">
        <f aca="false">-I6*I9/100</f>
        <v>-400.846624877082</v>
      </c>
      <c r="J10" s="0" t="n">
        <f aca="false">-J6*J9/100</f>
        <v>-414.87625674778</v>
      </c>
      <c r="K10" s="0" t="n">
        <f aca="false">-K6*K9/100</f>
        <v>-427.322544450214</v>
      </c>
      <c r="L10" s="0" t="n">
        <f aca="false">-L6*L9/100</f>
        <v>-440.14222078372</v>
      </c>
    </row>
    <row r="11" customFormat="false" ht="15" hidden="false" customHeight="false" outlineLevel="0" collapsed="false">
      <c r="A11" s="0" t="s">
        <v>124</v>
      </c>
      <c r="C11" s="0" t="n">
        <f aca="false">C8+C10+C24</f>
        <v>16718.94434</v>
      </c>
      <c r="D11" s="0" t="n">
        <f aca="false">D8+D10+D24</f>
        <v>17906.5483802</v>
      </c>
      <c r="E11" s="0" t="n">
        <f aca="false">E8+E10+E24</f>
        <v>19083.341005785</v>
      </c>
      <c r="F11" s="0" t="n">
        <f aca="false">F8+F10+F24</f>
        <v>20333.046522978</v>
      </c>
      <c r="G11" s="0" t="n">
        <f aca="false">G8+G10+G24</f>
        <v>21556.8713144264</v>
      </c>
      <c r="H11" s="0" t="n">
        <f aca="false">H8+H10+H24</f>
        <v>22419.1461670035</v>
      </c>
      <c r="I11" s="0" t="n">
        <f aca="false">I8+I10+I24</f>
        <v>23315.9120136836</v>
      </c>
      <c r="J11" s="0" t="n">
        <f aca="false">J8+J10+J24</f>
        <v>24131.9689341626</v>
      </c>
      <c r="K11" s="0" t="n">
        <f aca="false">K8+K10+K24</f>
        <v>24855.9280021874</v>
      </c>
      <c r="L11" s="0" t="n">
        <f aca="false">L8+L10+L24</f>
        <v>25601.6058422531</v>
      </c>
    </row>
    <row r="12" customFormat="false" ht="15" hidden="false" customHeight="false" outlineLevel="0" collapsed="false">
      <c r="A12" s="0" t="s">
        <v>125</v>
      </c>
      <c r="C12" s="4" t="n">
        <f aca="false">-C6*Assumptions!C45/100</f>
        <v>-1117.98412</v>
      </c>
      <c r="D12" s="4" t="n">
        <f aca="false">-D6*Assumptions!D45/100</f>
        <v>-1179.4732466</v>
      </c>
      <c r="E12" s="4" t="n">
        <f aca="false">-E6*Assumptions!E45/100</f>
        <v>-1238.44690893</v>
      </c>
      <c r="F12" s="4" t="n">
        <f aca="false">-F6*Assumptions!F45/100</f>
        <v>-1300.3692543765</v>
      </c>
      <c r="G12" s="4" t="n">
        <f aca="false">-G6*Assumptions!G45/100</f>
        <v>-1358.88587082344</v>
      </c>
      <c r="H12" s="4" t="n">
        <f aca="false">-H6*Assumptions!H45/100</f>
        <v>-1413.24130565638</v>
      </c>
      <c r="I12" s="4" t="n">
        <f aca="false">-I6*Assumptions!I45/100</f>
        <v>-1469.77095788264</v>
      </c>
      <c r="J12" s="4" t="n">
        <f aca="false">-J6*Assumptions!J45/100</f>
        <v>-1521.21294140853</v>
      </c>
      <c r="K12" s="4" t="n">
        <f aca="false">-K6*Assumptions!K45/100</f>
        <v>-1566.84932965078</v>
      </c>
      <c r="L12" s="4" t="n">
        <f aca="false">-L6*Assumptions!L45/100</f>
        <v>-1613.85480954031</v>
      </c>
    </row>
    <row r="13" customFormat="false" ht="15" hidden="false" customHeight="false" outlineLevel="0" collapsed="false">
      <c r="A13" s="0" t="s">
        <v>126</v>
      </c>
      <c r="C13" s="0" t="n">
        <f aca="false">C11+C12</f>
        <v>15600.96022</v>
      </c>
      <c r="D13" s="0" t="n">
        <f aca="false">D11+D12</f>
        <v>16727.0751336</v>
      </c>
      <c r="E13" s="0" t="n">
        <f aca="false">E11+E12</f>
        <v>17844.894096855</v>
      </c>
      <c r="F13" s="0" t="n">
        <f aca="false">F11+F12</f>
        <v>19032.6772686015</v>
      </c>
      <c r="G13" s="0" t="n">
        <f aca="false">G11+G12</f>
        <v>20197.985443603</v>
      </c>
      <c r="H13" s="0" t="n">
        <f aca="false">H11+H12</f>
        <v>21005.9048613471</v>
      </c>
      <c r="I13" s="0" t="n">
        <f aca="false">I11+I12</f>
        <v>21846.141055801</v>
      </c>
      <c r="J13" s="0" t="n">
        <f aca="false">J11+J12</f>
        <v>22610.755992754</v>
      </c>
      <c r="K13" s="0" t="n">
        <f aca="false">K11+K12</f>
        <v>23289.0786725366</v>
      </c>
      <c r="L13" s="0" t="n">
        <f aca="false">L11+L12</f>
        <v>23987.7510327127</v>
      </c>
    </row>
    <row r="14" customFormat="false" ht="15" hidden="false" customHeight="false" outlineLevel="0" collapsed="false">
      <c r="A14" s="0" t="s">
        <v>112</v>
      </c>
      <c r="C14" s="4" t="n">
        <f aca="false">Assumptions!C47</f>
        <v>19.5</v>
      </c>
      <c r="D14" s="4" t="n">
        <f aca="false">Assumptions!D47</f>
        <v>20</v>
      </c>
      <c r="E14" s="4" t="n">
        <f aca="false">Assumptions!E47</f>
        <v>20.5</v>
      </c>
      <c r="F14" s="4" t="n">
        <f aca="false">Assumptions!F47</f>
        <v>20.5</v>
      </c>
      <c r="G14" s="4" t="n">
        <f aca="false">Assumptions!G47</f>
        <v>20.5</v>
      </c>
      <c r="H14" s="4" t="n">
        <f aca="false">Assumptions!H47</f>
        <v>20.5</v>
      </c>
      <c r="I14" s="4" t="n">
        <f aca="false">Assumptions!I47</f>
        <v>20.5</v>
      </c>
      <c r="J14" s="4" t="n">
        <f aca="false">Assumptions!J47</f>
        <v>20.5</v>
      </c>
      <c r="K14" s="4" t="n">
        <f aca="false">Assumptions!K47</f>
        <v>20.5</v>
      </c>
      <c r="L14" s="4" t="n">
        <f aca="false">Assumptions!L47</f>
        <v>20.5</v>
      </c>
    </row>
    <row r="15" customFormat="false" ht="15" hidden="false" customHeight="false" outlineLevel="0" collapsed="false">
      <c r="A15" s="0" t="s">
        <v>127</v>
      </c>
      <c r="C15" s="0" t="n">
        <f aca="false">C13-MAX(0,C13)*C14/100</f>
        <v>12558.7729771</v>
      </c>
      <c r="D15" s="0" t="n">
        <f aca="false">D13-MAX(0,D13)*D14/100</f>
        <v>13381.66010688</v>
      </c>
      <c r="E15" s="0" t="n">
        <f aca="false">E13-MAX(0,E13)*E14/100</f>
        <v>14186.6908069997</v>
      </c>
      <c r="F15" s="0" t="n">
        <f aca="false">F13-MAX(0,F13)*F14/100</f>
        <v>15130.9784285382</v>
      </c>
      <c r="G15" s="0" t="n">
        <f aca="false">G13-MAX(0,G13)*G14/100</f>
        <v>16057.3984276644</v>
      </c>
      <c r="H15" s="0" t="n">
        <f aca="false">H13-MAX(0,H13)*H14/100</f>
        <v>16699.694364771</v>
      </c>
      <c r="I15" s="0" t="n">
        <f aca="false">I13-MAX(0,I13)*I14/100</f>
        <v>17367.6821393618</v>
      </c>
      <c r="J15" s="0" t="n">
        <f aca="false">J13-MAX(0,J13)*J14/100</f>
        <v>17975.5510142395</v>
      </c>
      <c r="K15" s="0" t="n">
        <f aca="false">K13-MAX(0,K13)*K14/100</f>
        <v>18514.8175446666</v>
      </c>
      <c r="L15" s="0" t="n">
        <f aca="false">L13-MAX(0,L13)*L14/100</f>
        <v>19070.2620710066</v>
      </c>
    </row>
    <row r="16" customFormat="false" ht="15" hidden="false" customHeight="false" outlineLevel="0" collapsed="false">
      <c r="A16" s="0" t="s">
        <v>128</v>
      </c>
      <c r="C16" s="0" t="n">
        <f aca="false">-C12</f>
        <v>1117.98412</v>
      </c>
      <c r="D16" s="0" t="n">
        <f aca="false">-D12</f>
        <v>1179.4732466</v>
      </c>
      <c r="E16" s="0" t="n">
        <f aca="false">-E12</f>
        <v>1238.44690893</v>
      </c>
      <c r="F16" s="0" t="n">
        <f aca="false">-F12</f>
        <v>1300.3692543765</v>
      </c>
      <c r="G16" s="0" t="n">
        <f aca="false">-G12</f>
        <v>1358.88587082344</v>
      </c>
      <c r="H16" s="0" t="n">
        <f aca="false">-H12</f>
        <v>1413.24130565638</v>
      </c>
      <c r="I16" s="0" t="n">
        <f aca="false">-I12</f>
        <v>1469.77095788264</v>
      </c>
      <c r="J16" s="0" t="n">
        <f aca="false">-J12</f>
        <v>1521.21294140853</v>
      </c>
      <c r="K16" s="0" t="n">
        <f aca="false">-K12</f>
        <v>1566.84932965078</v>
      </c>
      <c r="L16" s="0" t="n">
        <f aca="false">-L12</f>
        <v>1613.85480954031</v>
      </c>
    </row>
    <row r="17" customFormat="false" ht="15" hidden="false" customHeight="false" outlineLevel="0" collapsed="false">
      <c r="A17" s="0" t="s">
        <v>129</v>
      </c>
      <c r="C17" s="4" t="n">
        <f aca="false">-C6*Assumptions!C46/100</f>
        <v>-2134.33332</v>
      </c>
      <c r="D17" s="4" t="n">
        <f aca="false">-D6*Assumptions!D46/100</f>
        <v>-2198.1092323</v>
      </c>
      <c r="E17" s="4" t="n">
        <f aca="false">-E6*Assumptions!E46/100</f>
        <v>-2251.7216526</v>
      </c>
      <c r="F17" s="4" t="n">
        <f aca="false">-F6*Assumptions!F46/100</f>
        <v>-2364.30773523</v>
      </c>
      <c r="G17" s="4" t="n">
        <f aca="false">-G6*Assumptions!G46/100</f>
        <v>-2408.93404373247</v>
      </c>
      <c r="H17" s="4" t="n">
        <f aca="false">-H6*Assumptions!H46/100</f>
        <v>-2505.29140548176</v>
      </c>
      <c r="I17" s="4" t="n">
        <f aca="false">-I6*Assumptions!I46/100</f>
        <v>-2538.69529088819</v>
      </c>
      <c r="J17" s="4" t="n">
        <f aca="false">-J6*Assumptions!J46/100</f>
        <v>-2627.54962606928</v>
      </c>
      <c r="K17" s="4" t="n">
        <f aca="false">-K6*Assumptions!K46/100</f>
        <v>-2706.37611485135</v>
      </c>
      <c r="L17" s="4" t="n">
        <f aca="false">-L6*Assumptions!L46/100</f>
        <v>-2787.56739829689</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11542.4237771</v>
      </c>
      <c r="D19" s="0" t="n">
        <f aca="false">D15+D16+D17+D18</f>
        <v>12363.02412118</v>
      </c>
      <c r="E19" s="0" t="n">
        <f aca="false">E15+E16+E17+E18</f>
        <v>13173.4160633297</v>
      </c>
      <c r="F19" s="0" t="n">
        <f aca="false">F15+F16+F17+F18</f>
        <v>14067.0399476847</v>
      </c>
      <c r="G19" s="0" t="n">
        <f aca="false">G15+G16+G17+G18</f>
        <v>15007.3502547553</v>
      </c>
      <c r="H19" s="0" t="n">
        <f aca="false">H15+H16+H17+H18</f>
        <v>15607.6442649456</v>
      </c>
      <c r="I19" s="0" t="n">
        <f aca="false">I15+I16+I17+I18</f>
        <v>16298.7578063562</v>
      </c>
      <c r="J19" s="0" t="n">
        <f aca="false">J15+J16+J17+J18</f>
        <v>16869.2143295787</v>
      </c>
      <c r="K19" s="0" t="n">
        <f aca="false">K15+K16+K17+K18</f>
        <v>17375.2907594661</v>
      </c>
      <c r="L19" s="0" t="n">
        <f aca="false">L15+L16+L17+L18</f>
        <v>17896.54948225</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10787.311941215</v>
      </c>
      <c r="D21" s="0" t="n">
        <f aca="false">D19*D20</f>
        <v>10798.3440660145</v>
      </c>
      <c r="E21" s="0" t="n">
        <f aca="false">E19*E20</f>
        <v>10753.4315638959</v>
      </c>
      <c r="F21" s="0" t="n">
        <f aca="false">F19*F20</f>
        <v>10731.6774237699</v>
      </c>
      <c r="G21" s="0" t="n">
        <f aca="false">G19*G20</f>
        <v>10700.0333223113</v>
      </c>
      <c r="H21" s="0" t="n">
        <f aca="false">H19*H20</f>
        <v>10400.0323880409</v>
      </c>
      <c r="I21" s="0" t="n">
        <f aca="false">I19*I20</f>
        <v>10150.0472169478</v>
      </c>
      <c r="J21" s="0" t="n">
        <f aca="false">J19*J20</f>
        <v>9818.03632667381</v>
      </c>
      <c r="K21" s="0" t="n">
        <f aca="false">K19*K20</f>
        <v>9451.00693128414</v>
      </c>
      <c r="L21" s="0" t="n">
        <f aca="false">L19*L20</f>
        <v>9097.69826095576</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7</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22</v>
      </c>
    </row>
    <row r="30" customFormat="false" ht="15" hidden="false" customHeight="false" outlineLevel="0" collapsed="false">
      <c r="A30" s="0" t="s">
        <v>136</v>
      </c>
      <c r="B30" s="0" t="n">
        <f aca="false">SUM(C21:L21)</f>
        <v>102687.619441109</v>
      </c>
    </row>
    <row r="31" customFormat="false" ht="15" hidden="false" customHeight="false" outlineLevel="0" collapsed="false">
      <c r="A31" s="0" t="s">
        <v>137</v>
      </c>
      <c r="B31" s="0" t="n">
        <f aca="false">L19</f>
        <v>17896.54948225</v>
      </c>
    </row>
    <row r="32" customFormat="false" ht="15" hidden="false" customHeight="false" outlineLevel="0" collapsed="false">
      <c r="A32" s="0" t="s">
        <v>138</v>
      </c>
      <c r="B32" s="0" t="n">
        <f aca="false">IF(B27&gt;B28,B31*(1+B28/100)/((B27-B28)/100),B31*B29)</f>
        <v>460836.149167939</v>
      </c>
    </row>
    <row r="33" customFormat="false" ht="15" hidden="false" customHeight="false" outlineLevel="0" collapsed="false">
      <c r="A33" s="0" t="s">
        <v>139</v>
      </c>
      <c r="B33" s="0" t="n">
        <f aca="false">B31*B29</f>
        <v>393724.088609501</v>
      </c>
    </row>
    <row r="34" customFormat="false" ht="15" hidden="false" customHeight="false" outlineLevel="0" collapsed="false">
      <c r="A34" s="0" t="s">
        <v>140</v>
      </c>
      <c r="B34" s="0" t="n">
        <f aca="false">MAX(0,MIN(B32,B33))</f>
        <v>393724.088609501</v>
      </c>
    </row>
    <row r="35" customFormat="false" ht="15" hidden="false" customHeight="false" outlineLevel="0" collapsed="false">
      <c r="A35" s="0" t="s">
        <v>141</v>
      </c>
      <c r="B35" s="0" t="n">
        <f aca="false">B34/(1+B27/100)^L4</f>
        <v>200149.361741027</v>
      </c>
    </row>
    <row r="36" customFormat="false" ht="15" hidden="false" customHeight="false" outlineLevel="0" collapsed="false">
      <c r="A36" s="0" t="s">
        <v>142</v>
      </c>
      <c r="B36" s="0" t="n">
        <f aca="false">B30+B35</f>
        <v>302836.981182136</v>
      </c>
    </row>
    <row r="37" customFormat="false" ht="15" hidden="false" customHeight="false" outlineLevel="0" collapsed="false">
      <c r="A37" s="0" t="s">
        <v>143</v>
      </c>
      <c r="B37" s="0" t="n">
        <f aca="false">B36+Assumptions!$B$5-Assumptions!$B$4</f>
        <v>304585.981182136</v>
      </c>
    </row>
    <row r="38" customFormat="false" ht="15" hidden="false" customHeight="false" outlineLevel="0" collapsed="false">
      <c r="A38" s="0" t="s">
        <v>144</v>
      </c>
      <c r="B38" s="0" t="n">
        <f aca="false">B37/Assumptions!$B$3*Assumptions!$B$10</f>
        <v>70.6204454398645</v>
      </c>
    </row>
    <row r="39" customFormat="false" ht="15" hidden="false" customHeight="false" outlineLevel="0" collapsed="false">
      <c r="A39" s="0" t="s">
        <v>145</v>
      </c>
      <c r="B39" s="4" t="n">
        <f aca="false">B38/Assumptions!$B$2-1</f>
        <v>-0.189946714385588</v>
      </c>
    </row>
    <row r="41" customFormat="false" ht="15" hidden="false" customHeight="false" outlineLevel="0" collapsed="false">
      <c r="A41" s="0" t="s">
        <v>146</v>
      </c>
      <c r="B41" s="0" t="n">
        <f aca="false">SUMPRODUCT(-C10:L10/(1+$B$27/100)^C4:L4)</f>
        <v>2580.52425852841</v>
      </c>
    </row>
    <row r="42" customFormat="false" ht="15" hidden="false" customHeight="false" outlineLevel="0" collapsed="false">
      <c r="A42" s="0" t="s">
        <v>147</v>
      </c>
      <c r="B42" s="0" t="n">
        <f aca="false">IF(B27&gt;B28,-L10*(1+B28/100)/((B27-B28)/100),-L10*20)/(1+B27/100)^L4</f>
        <v>5761.45914913067</v>
      </c>
    </row>
    <row r="43" customFormat="false" ht="15" hidden="false" customHeight="false" outlineLevel="0" collapsed="false">
      <c r="A43" s="0" t="s">
        <v>148</v>
      </c>
      <c r="B43" s="0" t="n">
        <f aca="false">(B37+B41+B42)/Assumptions!$B$3*Assumptions!$B$10</f>
        <v>72.554594154833</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153612.049722646</v>
      </c>
    </row>
    <row r="47" customFormat="false" ht="15" hidden="false" customHeight="false" outlineLevel="0" collapsed="false">
      <c r="A47" s="0" t="s">
        <v>150</v>
      </c>
      <c r="B47" s="0" t="n">
        <f aca="false">(SUMPRODUCT(C19:L19/(1+B45/100)^C4:L4)+B46/(1+B45/100)^L4+Assumptions!$B$5-Assumptions!$B$4)/Assumptions!$B$3*Assumptions!$B$10</f>
        <v>25.7414726677391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37.0651831775816</v>
      </c>
      <c r="C4" s="0" t="n">
        <f aca="false">B4/Assumptions!$B$2-1</f>
        <v>-0.574843046827465</v>
      </c>
      <c r="D4" s="4" t="n">
        <f aca="false">Assumptions!$B$24</f>
        <v>0.25</v>
      </c>
      <c r="E4" s="4" t="n">
        <f aca="false">DCF_Bear!$B$43</f>
        <v>38.3759778232865</v>
      </c>
      <c r="F4" s="4" t="n">
        <f aca="false">DCF_Bear!$B$47</f>
        <v>16.6356701908737</v>
      </c>
    </row>
    <row r="5" customFormat="false" ht="15" hidden="false" customHeight="false" outlineLevel="0" collapsed="false">
      <c r="A5" s="0" t="s">
        <v>159</v>
      </c>
      <c r="B5" s="4" t="n">
        <f aca="false">DCF_Base!$B$38</f>
        <v>57.7540159581797</v>
      </c>
      <c r="C5" s="0" t="n">
        <f aca="false">B5/Assumptions!$B$2-1</f>
        <v>-0.337531360883463</v>
      </c>
      <c r="D5" s="4" t="n">
        <f aca="false">Assumptions!$B$38</f>
        <v>0.5</v>
      </c>
      <c r="E5" s="4" t="n">
        <f aca="false">DCF_Base!$B$43</f>
        <v>59.3988009304633</v>
      </c>
      <c r="F5" s="4" t="n">
        <f aca="false">DCF_Base!$B$47</f>
        <v>22.4894605904675</v>
      </c>
    </row>
    <row r="6" customFormat="false" ht="15" hidden="false" customHeight="false" outlineLevel="0" collapsed="false">
      <c r="A6" s="0" t="s">
        <v>160</v>
      </c>
      <c r="B6" s="4" t="n">
        <f aca="false">DCF_Bull!$B$38</f>
        <v>70.6204454398645</v>
      </c>
      <c r="C6" s="0" t="n">
        <f aca="false">B6/Assumptions!$B$2-1</f>
        <v>-0.189946714385588</v>
      </c>
      <c r="D6" s="4" t="n">
        <f aca="false">Assumptions!$B$52</f>
        <v>0.25</v>
      </c>
      <c r="E6" s="4" t="n">
        <f aca="false">DCF_Bull!$B$43</f>
        <v>72.554594154833</v>
      </c>
      <c r="F6" s="4" t="n">
        <f aca="false">DCF_Bull!$B$47</f>
        <v>25.7414726677391</v>
      </c>
    </row>
    <row r="8" customFormat="false" ht="15" hidden="false" customHeight="false" outlineLevel="0" collapsed="false">
      <c r="A8" s="0" t="s">
        <v>161</v>
      </c>
      <c r="B8" s="0" t="n">
        <f aca="false">SUMPRODUCT(B4:B6,D4:D6)</f>
        <v>55.7984151334514</v>
      </c>
    </row>
    <row r="9" customFormat="false" ht="15" hidden="false" customHeight="false" outlineLevel="0" collapsed="false">
      <c r="A9" s="0" t="s">
        <v>162</v>
      </c>
      <c r="B9" s="0" t="n">
        <f aca="false">SUMPRODUCT(E4:E6,D4:D6)</f>
        <v>57.4320434597615</v>
      </c>
    </row>
    <row r="10" customFormat="false" ht="15" hidden="false" customHeight="false" outlineLevel="0" collapsed="false">
      <c r="A10" s="0" t="s">
        <v>163</v>
      </c>
      <c r="B10" s="0" t="n">
        <f aca="false">1-Assumptions!$B$2/B8</f>
        <v>-0.562409967944327</v>
      </c>
    </row>
    <row r="11" customFormat="false" ht="15" hidden="false" customHeight="false" outlineLevel="0" collapsed="false">
      <c r="A11" s="0" t="s">
        <v>164</v>
      </c>
      <c r="B11" s="0" t="n">
        <f aca="false">IF(ABS(B9-B8)&gt;0.01*ABS(B8),(Assumptions!$B$2-B8)/(B9-B8)*100,"n/a")</f>
        <v>1920.97457917065</v>
      </c>
    </row>
    <row r="12" customFormat="false" ht="15" hidden="false" customHeight="false" outlineLevel="0" collapsed="false">
      <c r="A12" s="0" t="s">
        <v>165</v>
      </c>
      <c r="B12" s="0" t="n">
        <f aca="false">SUMPRODUCT(F4:F6,D4:D6)</f>
        <v>21.839016009887</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57.7540159581797</v>
      </c>
      <c r="C15" s="3" t="n">
        <v>7</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43.3762405196164</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37.5660807729854</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33.1261679447734</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29.6236303960608</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22.4894605904675</v>
      </c>
      <c r="C20" s="3" t="n">
        <v>15</v>
      </c>
    </row>
    <row r="22" customFormat="false" ht="15" hidden="false" customHeight="false" outlineLevel="0" collapsed="false">
      <c r="A22" s="2" t="s">
        <v>174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67.4896177701329</v>
      </c>
      <c r="C24" s="0" t="n">
        <f aca="false">(SUMPRODUCT(DCF_Base!$C$19:$L$19/(1+$A$24/100)^DCF_Base!$C$4:$L$4)+MAX(0,MIN(IF($A$24&gt;$C$23,DCF_Base!$L$19*(1+$C$23/100)/(($A$24-$C$23)/100),DCF_Base!$L$19*DCF_Base!$B$29),DCF_Base!$L$19*DCF_Base!$B$29))/(1+$A$24/100)^DCF_Base!$L$4+Assumptions!$B$5-Assumptions!$B$4)/Assumptions!$B$3*Assumptions!$B$10</f>
        <v>67.4896177701329</v>
      </c>
      <c r="D24" s="0" t="n">
        <f aca="false">(SUMPRODUCT(DCF_Base!$C$19:$L$19/(1+$A$24/100)^DCF_Base!$C$4:$L$4)+MAX(0,MIN(IF($A$24&gt;$D$23,DCF_Base!$L$19*(1+$D$23/100)/(($A$24-$D$23)/100),DCF_Base!$L$19*DCF_Base!$B$29),DCF_Base!$L$19*DCF_Base!$B$29))/(1+$A$24/100)^DCF_Base!$L$4+Assumptions!$B$5-Assumptions!$B$4)/Assumptions!$B$3*Assumptions!$B$10</f>
        <v>67.4896177701329</v>
      </c>
      <c r="E24" s="0" t="n">
        <f aca="false">(SUMPRODUCT(DCF_Base!$C$19:$L$19/(1+$A$24/100)^DCF_Base!$C$4:$L$4)+MAX(0,MIN(IF($A$24&gt;$E$23,DCF_Base!$L$19*(1+$E$23/100)/(($A$24-$E$23)/100),DCF_Base!$L$19*DCF_Base!$B$29),DCF_Base!$L$19*DCF_Base!$B$29))/(1+$A$24/100)^DCF_Base!$L$4+Assumptions!$B$5-Assumptions!$B$4)/Assumptions!$B$3*Assumptions!$B$10</f>
        <v>67.4896177701329</v>
      </c>
      <c r="F24" s="0" t="n">
        <f aca="false">(SUMPRODUCT(DCF_Base!$C$19:$L$19/(1+$A$24/100)^DCF_Base!$C$4:$L$4)+MAX(0,MIN(IF($A$24&gt;$F$23,DCF_Base!$L$19*(1+$F$23/100)/(($A$24-$F$23)/100),DCF_Base!$L$19*DCF_Base!$B$29),DCF_Base!$L$19*DCF_Base!$B$29))/(1+$A$24/100)^DCF_Base!$L$4+Assumptions!$B$5-Assumptions!$B$4)/Assumptions!$B$3*Assumptions!$B$10</f>
        <v>67.4896177701329</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62.3861047366227</v>
      </c>
      <c r="C25" s="0" t="n">
        <f aca="false">(SUMPRODUCT(DCF_Base!$C$19:$L$19/(1+$A$25/100)^DCF_Base!$C$4:$L$4)+MAX(0,MIN(IF($A$25&gt;$C$23,DCF_Base!$L$19*(1+$C$23/100)/(($A$25-$C$23)/100),DCF_Base!$L$19*DCF_Base!$B$29),DCF_Base!$L$19*DCF_Base!$B$29))/(1+$A$25/100)^DCF_Base!$L$4+Assumptions!$B$5-Assumptions!$B$4)/Assumptions!$B$3*Assumptions!$B$10</f>
        <v>62.3861047366227</v>
      </c>
      <c r="D25" s="0" t="n">
        <f aca="false">(SUMPRODUCT(DCF_Base!$C$19:$L$19/(1+$A$25/100)^DCF_Base!$C$4:$L$4)+MAX(0,MIN(IF($A$25&gt;$D$23,DCF_Base!$L$19*(1+$D$23/100)/(($A$25-$D$23)/100),DCF_Base!$L$19*DCF_Base!$B$29),DCF_Base!$L$19*DCF_Base!$B$29))/(1+$A$25/100)^DCF_Base!$L$4+Assumptions!$B$5-Assumptions!$B$4)/Assumptions!$B$3*Assumptions!$B$10</f>
        <v>62.3861047366227</v>
      </c>
      <c r="E25" s="0" t="n">
        <f aca="false">(SUMPRODUCT(DCF_Base!$C$19:$L$19/(1+$A$25/100)^DCF_Base!$C$4:$L$4)+MAX(0,MIN(IF($A$25&gt;$E$23,DCF_Base!$L$19*(1+$E$23/100)/(($A$25-$E$23)/100),DCF_Base!$L$19*DCF_Base!$B$29),DCF_Base!$L$19*DCF_Base!$B$29))/(1+$A$25/100)^DCF_Base!$L$4+Assumptions!$B$5-Assumptions!$B$4)/Assumptions!$B$3*Assumptions!$B$10</f>
        <v>62.3861047366227</v>
      </c>
      <c r="F25" s="0" t="n">
        <f aca="false">(SUMPRODUCT(DCF_Base!$C$19:$L$19/(1+$A$25/100)^DCF_Base!$C$4:$L$4)+MAX(0,MIN(IF($A$25&gt;$F$23,DCF_Base!$L$19*(1+$F$23/100)/(($A$25-$F$23)/100),DCF_Base!$L$19*DCF_Base!$B$29),DCF_Base!$L$19*DCF_Base!$B$29))/(1+$A$25/100)^DCF_Base!$L$4+Assumptions!$B$5-Assumptions!$B$4)/Assumptions!$B$3*Assumptions!$B$10</f>
        <v>62.3861047366227</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54.9673150303312</v>
      </c>
      <c r="C26" s="0" t="n">
        <f aca="false">(SUMPRODUCT(DCF_Base!$C$19:$L$19/(1+$A$26/100)^DCF_Base!$C$4:$L$4)+MAX(0,MIN(IF($A$26&gt;$C$23,DCF_Base!$L$19*(1+$C$23/100)/(($A$26-$C$23)/100),DCF_Base!$L$19*DCF_Base!$B$29),DCF_Base!$L$19*DCF_Base!$B$29))/(1+$A$26/100)^DCF_Base!$L$4+Assumptions!$B$5-Assumptions!$B$4)/Assumptions!$B$3*Assumptions!$B$10</f>
        <v>57.7540159581797</v>
      </c>
      <c r="D26" s="0" t="n">
        <f aca="false">(SUMPRODUCT(DCF_Base!$C$19:$L$19/(1+$A$26/100)^DCF_Base!$C$4:$L$4)+MAX(0,MIN(IF($A$26&gt;$D$23,DCF_Base!$L$19*(1+$D$23/100)/(($A$26-$D$23)/100),DCF_Base!$L$19*DCF_Base!$B$29),DCF_Base!$L$19*DCF_Base!$B$29))/(1+$A$26/100)^DCF_Base!$L$4+Assumptions!$B$5-Assumptions!$B$4)/Assumptions!$B$3*Assumptions!$B$10</f>
        <v>57.7540159581797</v>
      </c>
      <c r="E26" s="0" t="n">
        <f aca="false">(SUMPRODUCT(DCF_Base!$C$19:$L$19/(1+$A$26/100)^DCF_Base!$C$4:$L$4)+MAX(0,MIN(IF($A$26&gt;$E$23,DCF_Base!$L$19*(1+$E$23/100)/(($A$26-$E$23)/100),DCF_Base!$L$19*DCF_Base!$B$29),DCF_Base!$L$19*DCF_Base!$B$29))/(1+$A$26/100)^DCF_Base!$L$4+Assumptions!$B$5-Assumptions!$B$4)/Assumptions!$B$3*Assumptions!$B$10</f>
        <v>57.7540159581797</v>
      </c>
      <c r="F26" s="0" t="n">
        <f aca="false">(SUMPRODUCT(DCF_Base!$C$19:$L$19/(1+$A$26/100)^DCF_Base!$C$4:$L$4)+MAX(0,MIN(IF($A$26&gt;$F$23,DCF_Base!$L$19*(1+$F$23/100)/(($A$26-$F$23)/100),DCF_Base!$L$19*DCF_Base!$B$29),DCF_Base!$L$19*DCF_Base!$B$29))/(1+$A$26/100)^DCF_Base!$L$4+Assumptions!$B$5-Assumptions!$B$4)/Assumptions!$B$3*Assumptions!$B$10</f>
        <v>57.7540159581797</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46.3409238193316</v>
      </c>
      <c r="C27" s="0" t="n">
        <f aca="false">(SUMPRODUCT(DCF_Base!$C$19:$L$19/(1+$A$27/100)^DCF_Base!$C$4:$L$4)+MAX(0,MIN(IF($A$27&gt;$C$23,DCF_Base!$L$19*(1+$C$23/100)/(($A$27-$C$23)/100),DCF_Base!$L$19*DCF_Base!$B$29),DCF_Base!$L$19*DCF_Base!$B$29))/(1+$A$27/100)^DCF_Base!$L$4+Assumptions!$B$5-Assumptions!$B$4)/Assumptions!$B$3*Assumptions!$B$10</f>
        <v>48.6158300530125</v>
      </c>
      <c r="D27" s="0" t="n">
        <f aca="false">(SUMPRODUCT(DCF_Base!$C$19:$L$19/(1+$A$27/100)^DCF_Base!$C$4:$L$4)+MAX(0,MIN(IF($A$27&gt;$D$23,DCF_Base!$L$19*(1+$D$23/100)/(($A$27-$D$23)/100),DCF_Base!$L$19*DCF_Base!$B$29),DCF_Base!$L$19*DCF_Base!$B$29))/(1+$A$27/100)^DCF_Base!$L$4+Assumptions!$B$5-Assumptions!$B$4)/Assumptions!$B$3*Assumptions!$B$10</f>
        <v>51.304355601908</v>
      </c>
      <c r="E27" s="0" t="n">
        <f aca="false">(SUMPRODUCT(DCF_Base!$C$19:$L$19/(1+$A$27/100)^DCF_Base!$C$4:$L$4)+MAX(0,MIN(IF($A$27&gt;$E$23,DCF_Base!$L$19*(1+$E$23/100)/(($A$27-$E$23)/100),DCF_Base!$L$19*DCF_Base!$B$29),DCF_Base!$L$19*DCF_Base!$B$29))/(1+$A$27/100)^DCF_Base!$L$4+Assumptions!$B$5-Assumptions!$B$4)/Assumptions!$B$3*Assumptions!$B$10</f>
        <v>53.5447935593209</v>
      </c>
      <c r="F27" s="0" t="n">
        <f aca="false">(SUMPRODUCT(DCF_Base!$C$19:$L$19/(1+$A$27/100)^DCF_Base!$C$4:$L$4)+MAX(0,MIN(IF($A$27&gt;$F$23,DCF_Base!$L$19*(1+$F$23/100)/(($A$27-$F$23)/100),DCF_Base!$L$19*DCF_Base!$B$29),DCF_Base!$L$19*DCF_Base!$B$29))/(1+$A$27/100)^DCF_Base!$L$4+Assumptions!$B$5-Assumptions!$B$4)/Assumptions!$B$3*Assumptions!$B$10</f>
        <v>53.5447935593209</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40.026132570648</v>
      </c>
      <c r="C28" s="0" t="n">
        <f aca="false">(SUMPRODUCT(DCF_Base!$C$19:$L$19/(1+$A$28/100)^DCF_Base!$C$4:$L$4)+MAX(0,MIN(IF($A$28&gt;$C$23,DCF_Base!$L$19*(1+$C$23/100)/(($A$28-$C$23)/100),DCF_Base!$L$19*DCF_Base!$B$29),DCF_Base!$L$19*DCF_Base!$B$29))/(1+$A$28/100)^DCF_Base!$L$4+Assumptions!$B$5-Assumptions!$B$4)/Assumptions!$B$3*Assumptions!$B$10</f>
        <v>41.5815398326691</v>
      </c>
      <c r="D28" s="0" t="n">
        <f aca="false">(SUMPRODUCT(DCF_Base!$C$19:$L$19/(1+$A$28/100)^DCF_Base!$C$4:$L$4)+MAX(0,MIN(IF($A$28&gt;$D$23,DCF_Base!$L$19*(1+$D$23/100)/(($A$28-$D$23)/100),DCF_Base!$L$19*DCF_Base!$B$29),DCF_Base!$L$19*DCF_Base!$B$29))/(1+$A$28/100)^DCF_Base!$L$4+Assumptions!$B$5-Assumptions!$B$4)/Assumptions!$B$3*Assumptions!$B$10</f>
        <v>43.3762405196164</v>
      </c>
      <c r="E28" s="0" t="n">
        <f aca="false">(SUMPRODUCT(DCF_Base!$C$19:$L$19/(1+$A$28/100)^DCF_Base!$C$4:$L$4)+MAX(0,MIN(IF($A$28&gt;$E$23,DCF_Base!$L$19*(1+$E$23/100)/(($A$28-$E$23)/100),DCF_Base!$L$19*DCF_Base!$B$29),DCF_Base!$L$19*DCF_Base!$B$29))/(1+$A$28/100)^DCF_Base!$L$4+Assumptions!$B$5-Assumptions!$B$4)/Assumptions!$B$3*Assumptions!$B$10</f>
        <v>45.4700579877216</v>
      </c>
      <c r="F28" s="0" t="n">
        <f aca="false">(SUMPRODUCT(DCF_Base!$C$19:$L$19/(1+$A$28/100)^DCF_Base!$C$4:$L$4)+MAX(0,MIN(IF($A$28&gt;$F$23,DCF_Base!$L$19*(1+$F$23/100)/(($A$28-$F$23)/100),DCF_Base!$L$19*DCF_Base!$B$29),DCF_Base!$L$19*DCF_Base!$B$29))/(1+$A$28/100)^DCF_Base!$L$4+Assumptions!$B$5-Assumptions!$B$4)/Assumptions!$B$3*Assumptions!$B$10</f>
        <v>47.9445695409369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2026-09-28T22:36:03Z</dcterms:created>
  <dc:creator>openpyxl</dc:creator>
  <dc:description/>
  <dc:language>en-NZ</dc:language>
  <cp:lastModifiedBy/>
  <dcterms:modified xsi:type="dcterms:W3CDTF">2026-09-28T22:36:03Z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