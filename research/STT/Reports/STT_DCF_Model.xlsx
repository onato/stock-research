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<sst xmlns="http://schemas.openxmlformats.org/spreadsheetml/2006/main" count="390" uniqueCount="176">
  <si>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</si>
  <si>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STT</t>
  </si>
  <si>
    <t xml:space="preserve">Company</t>
  </si>
  <si>
    <t xml:space="preserve">State Street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</si>
  <si>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</si>
  <si>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</si>
  <si>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</si>
  <si>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</si>
  <si>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2026-10-01T20:02:05Z regular close (Yahoo chart API)</t>
  </si>
  <si>
    <t xml:space="preserve">Balance sheet date</t>
  </si>
  <si>
    <t xml:space="preserve">2026-06-30</t>
  </si>
  <si>
    <t xml:space="preserve">Model</t>
  </si>
  <si>
    <t xml:space="preserve">Bank FCFE at cost of equity on tangible book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</si>
  <si>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</si>
  <si>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</si>
  <si>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</si>
  <si>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</si>
  <si>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</si>
  <si>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</si>
  <si>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</si>
  <si>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</si>
  <si>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2026-10-02T09:03:29Z</t>
  </si>
  <si>
    <t xml:space="preserve">Drivers file</t>
  </si>
  <si>
    <t xml:space="preserve">STT_Drivers.json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</si>
  <si>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</si>
  <si>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</si>
  <si>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</si>
  <si>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State Street is a fee-led custody bank and asset manager that distributes ~80% of its earnings, so it is valued as a stream of free cash flow to equity (net income less the common equity retained to grow the balance sheet at a G-SIB CET1 level) capitalised at a 10.25% USD cost of equity, with deposits and wholesale funding treated as operating liabilities and only the ~$3.56B of preferred stock deducted ahead of common. FY0 is the FY2026 guided run-rate (revenue +13%, ~32% pretax margin) ex the Q1 restructuring charge, and the record Q2 is not annualised. The three cases differ on whether 2026's market-driven revenue step holds, how much of the 35% pretax-margin target the transformation programme delivers, and how much capital balance-sheet growth absorbs.
key_risks_to_valuation: Market levels: ~60% of revenue (servicing and management fees) is ad-valorem on AUC/A and AUM; a 20% equity drawdown cuts fee revenue high-single-digits with a lag - the bear case's FY2027 -3%; Net interest income (~21% of revenue) is the second swing factor: FY2026's +14-15% NII growth reverses if the Fed eases faster than the forward curve, and deposits ($319.5B, up $45B in H1-2026) can leave as fast as they arrived; Margin execution: the base case takes the pretax margin to 33.5%, a level STT has not sustained; each 1pp of terminal pretax margin is worth roughly $6/share; Capital: as a G-SIB, CET1 requirements, the G-SIB surcharge and any Basel III endgame re-proposal set the retention the model charges; the bear case lifts retention to 1.1x growth; Unmodelled: the pending Santander/CACEIS Latam acquisition (undisclosed terms, 2027 close) and the August 2026 Series L preferred / Series G refinancing (assumed one-for-one); The model holds the share count flat and treats buybacks as the FCFE distribution channel; per-share value is insensitive to repurchase pace but sensitive to the 10.25% cost of equity and the 21.5% tax rate (see sensitivity grid)</t>
  </si>
  <si>
    <t xml:space="preserve">Data sources</t>
  </si>
  <si>
    <t xml:space="preserve">price: Yahoo Finance chart API at inputs.price_as_of; 52-week range 104.64-195.93
financials: SEC XBRL companyfacts (CIK 0000093751): FY2025 10-K filed 2026-02-19 and Q2-2026 10-Q filed 2026-07-30 for revenues, NII, noninterest income/expense, pretax income, tax, preferred dividends, buybacks, dividends, capex, goodwill, intangibles, equity components, AOCI, deposits and share counts; EDGAR full-text search for the August 2026 preferred filings (documents themselves returned HTTP 403); STT_Metrics.csv (XBRL-derived) for the FY2007-FY2025 history
qualitative: STT_Analysis.json (2026-10-02): Q2-2026 results and raised FY2026 guidance (fee revenue +12-13%, NII +14-15%, ~500bps operating leverage), medium-term ~35% pretax margin and mid-20s ROTCE targets, $1B transformation programme, Latam acquisition, dividend increase to $0.92</t>
  </si>
  <si>
    <t xml:space="preserve">Scenario narrative: bear</t>
  </si>
  <si>
    <t xml:space="preserve">The 2026 peak reverses in FY2027: a 15-20% equity correction cuts AUC/A- and AUM-linked fees with a one-to-two-quarter lag, FX and securities-finance volumes fall from records, and Fed easing compresses NII, so revenue falls 3% against a sticky cost base and the pretax margin drops back to ~28%. Fee compression then holds growth to 2.5-3%, the transformation programme stalls at a 30% margin, the balance sheet consumes capital faster than revenue (1.1x retention, G-SIB surcharge creep), and the market exits at 12x FCFE. No solvency element - this is an earnings reset and de-rating, not a credit event.</t>
  </si>
  <si>
    <t xml:space="preserve">Scenario narrative: base</t>
  </si>
  <si>
    <t xml:space="preserve">State Street's value turns on four axes: (1) servicing-fee growth on a record $57.9T of AUC/A, which the base case holds at mid-single digits as ~$384B/quarter of new mandates onboard and markets compound, against persistent custody fee compression; (2) SSGA/SPDR management fees on $6.3T AUM, which ride ETF adoption but are market-level sensitive; (3) net interest income (~21% of revenue), which gives back part of 2026's +14-15% as the Fed eases; and (4) operating leverage from the $1B transformation programme, which lifts the pretax margin from FY2026's ~32% to 33.5% - most of management's ~35% medium-term target, discounted for STT's history of never sustaining much above 30%. Revenue grows 4.5-5% to FY2031 and 3% thereafter; FY2027 is modelled soft (+4.5%, 50bps margin give-back) because 2026 was lifted by record markets and trading volumes management itself does not extrapolate. ~85% of earnings is distributed through the $0.92 quarterly dividend and buybacks.</t>
  </si>
  <si>
    <t xml:space="preserve">Scenario narrative: bull</t>
  </si>
  <si>
    <t xml:space="preserve">Equity markets keep compounding and the mandate pipeline converts: fee revenue grows high-single-digit for two more years, State Street Alpha and the Latam securities-services acquisition add genuine new revenue lines, and the 2026 operating-leverage run-rate persists so the 35% pretax target is hit by FY2029 and slightly exceeded. Capital-light fee growth (0.7x retention) lets payout stay ~85-90%. Digital-asset/tokenisation custody optionality is NOT separately priced - it is upside to this case, not inside 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</si>
  <si>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</si>
  <si>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</si>
  <si>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</si>
  <si>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</si>
  <si>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</si>
  <si>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</si>
  <si>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</si>
  <si>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</si>
  <si>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</si>
  <si>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</si>
  <si>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</si>
  <si>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</si>
  <si>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</si>
  <si>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</si>
  <si>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</si>
  <si>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</si>
  <si>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</si>
  <si>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</si>
  <si>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</si>
  <si>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</si>
  <si>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</si>
  <si>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</si>
  <si>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</si>
  <si>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</si>
  <si>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</si>
  <si>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</si>
  <si>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</si>
  <si>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</si>
  <si>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</si>
  <si>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</si>
  <si>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</si>
  <si>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</si>
  <si>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</si>
  <si>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</si>
  <si>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</si>
  <si>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</si>
  <si>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</si>
  <si>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</si>
  <si>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</si>
  <si>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</si>
  <si>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</si>
  <si>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</si>
  <si>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</si>
  <si>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</si>
  <si>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</si>
  <si>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</si>
  <si>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</si>
  <si>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</si>
  <si>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</si>
  <si>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</si>
  <si>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</si>
  <si>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</si>
  <si>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</si>
  <si>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</si>
  <si>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</si>
  <si>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</si>
  <si>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</si>
  <si>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</si>
  <si>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</si>
  <si>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</si>
  <si>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</si>
  <si>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</si>
  <si>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</si>
  <si>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</si>
  <si>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</si>
  <si>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</si>
  <si>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</si>
  <si>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</si>
  <si>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</si>
  <si>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</si>
  <si>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</si>
  <si>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</si>
  <si>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</si>
  <si>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</si>
  <si>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</si>
  <si>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</si>
  <si>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</si>
  <si>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</si>
  <si>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</si>
  <si>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</si>
  <si>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</si>
  <si>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</si>
  <si>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</si>
  <si>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</si>
  <si>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</si>
  <si>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STT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</si>
  <si>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</si>
  <si>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</si>
  <si>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</si>
  <si>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</si>
  <si>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</si>
  <si>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</si>
  <si>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</si>
  <si>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</si>
  <si>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</si>
  <si>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</si>
  <si>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</si>
  <si>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</si>
  <si>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</si>
  <si>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</si>
  <si>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</si>
  <si>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</si>
  <si>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</si>
  <si>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</si>
  <si>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</si>
  <si>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</si>
  <si>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</si>
  <si>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</si>
  <si>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</si>
  <si>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</si>
  <si>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</si>
  <si>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</si>
  <si>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</si>
  <si>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</si>
  <si>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</si>
  <si>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</si>
  <si>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STT owner-FCF component DCF: base case (millions, USD)</t>
  </si>
  <si>
    <t xml:space="preserve">STT owner-FCF component DCF: bull case (millions, USD)</t>
  </si>
  <si>
    <t xml:space="preserve">STT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</si>
  <si>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</si>
  <si>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</si>
  <si>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</si>
  <si>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</si>
  <si>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</si>
  <si>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</si>
  <si>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</si>
  <si>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</si>
  <si>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</si>
  <si>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</si>
  <si>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</si>
  <si>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</si>
  <si>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</si>
  <si>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</si>
  <si>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</si>
  <si>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</si>
  <si>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10.25%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</si>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</sst>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174.62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7252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8336</v>
      </c>
      <c r="I3" s="0" t="n">
        <v>1261</v>
      </c>
      <c r="J3" s="0" t="n">
        <v>15.1271593090211</v>
      </c>
      <c r="K3" s="0" t="n">
        <v>3.49</v>
      </c>
      <c r="L3" s="0" t="n">
        <v>2939</v>
      </c>
      <c r="M3" s="0" t="n">
        <v>476</v>
      </c>
      <c r="N3" s="0" t="n">
        <v>2463</v>
      </c>
      <c r="O3" s="0" t="n">
        <v>11299</v>
      </c>
      <c r="T3" s="0" t="n">
        <v>365.488</v>
      </c>
      <c r="V3" s="0" t="n">
        <v>0.88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10693</v>
      </c>
      <c r="I4" s="0" t="n">
        <v>1811</v>
      </c>
      <c r="J4" s="0" t="n">
        <v>16.9363134761059</v>
      </c>
      <c r="K4" s="0" t="n">
        <v>4.32</v>
      </c>
      <c r="L4" s="0" t="n">
        <v>-1877</v>
      </c>
      <c r="M4" s="0" t="n">
        <v>681</v>
      </c>
      <c r="N4" s="0" t="n">
        <v>-2558</v>
      </c>
      <c r="O4" s="0" t="n">
        <v>12774</v>
      </c>
      <c r="P4" s="0" t="n">
        <v>173631</v>
      </c>
      <c r="Q4" s="0" t="n">
        <v>160857</v>
      </c>
      <c r="R4" s="0" t="n">
        <v>4419</v>
      </c>
      <c r="T4" s="0" t="n">
        <v>416.1</v>
      </c>
      <c r="V4" s="0" t="n">
        <v>0.95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8640</v>
      </c>
      <c r="I5" s="0" t="n">
        <v>-1881</v>
      </c>
      <c r="J5" s="0" t="n">
        <v>-21.7708333333333</v>
      </c>
      <c r="K5" s="0" t="n">
        <v>-4.32</v>
      </c>
      <c r="L5" s="0" t="n">
        <v>-4231</v>
      </c>
      <c r="M5" s="0" t="n">
        <v>325</v>
      </c>
      <c r="N5" s="0" t="n">
        <v>-4556</v>
      </c>
      <c r="O5" s="0" t="n">
        <v>14491</v>
      </c>
      <c r="P5" s="0" t="n">
        <v>157946</v>
      </c>
      <c r="Q5" s="0" t="n">
        <v>143455</v>
      </c>
      <c r="R5" s="0" t="n">
        <v>8838</v>
      </c>
      <c r="T5" s="0" t="n">
        <v>474.003</v>
      </c>
      <c r="V5" s="0" t="n">
        <v>0.04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8953</v>
      </c>
      <c r="I6" s="0" t="n">
        <v>1556</v>
      </c>
      <c r="J6" s="0" t="n">
        <v>17.3796492795711</v>
      </c>
      <c r="K6" s="0" t="n">
        <v>3.11</v>
      </c>
      <c r="L6" s="0" t="n">
        <v>823</v>
      </c>
      <c r="M6" s="0" t="n">
        <v>262</v>
      </c>
      <c r="N6" s="0" t="n">
        <v>561</v>
      </c>
      <c r="O6" s="0" t="n">
        <v>17787</v>
      </c>
      <c r="P6" s="0" t="n">
        <v>160505</v>
      </c>
      <c r="Q6" s="0" t="n">
        <v>142718</v>
      </c>
      <c r="R6" s="0" t="n">
        <v>8550</v>
      </c>
      <c r="T6" s="0" t="n">
        <v>497.924</v>
      </c>
      <c r="U6" s="0" t="n">
        <v>229</v>
      </c>
      <c r="V6" s="0" t="n">
        <v>0.04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9594</v>
      </c>
      <c r="I7" s="0" t="n">
        <v>1920</v>
      </c>
      <c r="J7" s="0" t="n">
        <v>20.0125078173859</v>
      </c>
      <c r="K7" s="0" t="n">
        <v>3.82</v>
      </c>
      <c r="L7" s="0" t="n">
        <v>3374</v>
      </c>
      <c r="M7" s="0" t="n">
        <v>298</v>
      </c>
      <c r="N7" s="0" t="n">
        <v>3076</v>
      </c>
      <c r="O7" s="0" t="n">
        <v>19398</v>
      </c>
      <c r="P7" s="0" t="n">
        <v>216827</v>
      </c>
      <c r="Q7" s="0" t="n">
        <v>197429</v>
      </c>
      <c r="R7" s="0" t="n">
        <v>8131</v>
      </c>
      <c r="T7" s="0" t="n">
        <v>496.072</v>
      </c>
      <c r="U7" s="0" t="n">
        <v>261</v>
      </c>
      <c r="V7" s="0" t="n">
        <v>0.72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9649</v>
      </c>
      <c r="I8" s="0" t="n">
        <v>2061</v>
      </c>
      <c r="J8" s="0" t="n">
        <v>21.3597263965178</v>
      </c>
      <c r="K8" s="0" t="n">
        <v>4.25</v>
      </c>
      <c r="L8" s="0" t="n">
        <v>1933</v>
      </c>
      <c r="M8" s="0" t="n">
        <v>355</v>
      </c>
      <c r="N8" s="0" t="n">
        <v>1578</v>
      </c>
      <c r="O8" s="0" t="n">
        <v>20825</v>
      </c>
      <c r="P8" s="0" t="n">
        <v>222582</v>
      </c>
      <c r="Q8" s="0" t="n">
        <v>201713</v>
      </c>
      <c r="R8" s="0" t="n">
        <v>7429</v>
      </c>
      <c r="T8" s="0" t="n">
        <v>481.129</v>
      </c>
      <c r="U8" s="0" t="n">
        <v>353</v>
      </c>
      <c r="V8" s="0" t="n">
        <v>0.96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9864</v>
      </c>
      <c r="I9" s="0" t="n">
        <v>2050</v>
      </c>
      <c r="J9" s="0" t="n">
        <v>20.7826439578264</v>
      </c>
      <c r="K9" s="0" t="n">
        <v>4.52</v>
      </c>
      <c r="L9" s="0" t="n">
        <v>-2024</v>
      </c>
      <c r="M9" s="0" t="n">
        <v>388</v>
      </c>
      <c r="N9" s="0" t="n">
        <v>-2412</v>
      </c>
      <c r="O9" s="0" t="n">
        <v>20248</v>
      </c>
      <c r="P9" s="0" t="n">
        <v>243291</v>
      </c>
      <c r="Q9" s="0" t="n">
        <v>222913</v>
      </c>
      <c r="R9" s="0" t="n">
        <v>9699</v>
      </c>
      <c r="T9" s="0" t="n">
        <v>455.155</v>
      </c>
      <c r="U9" s="0" t="n">
        <v>355</v>
      </c>
      <c r="V9" s="0" t="n">
        <v>1.04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10274</v>
      </c>
      <c r="I10" s="0" t="n">
        <v>2022</v>
      </c>
      <c r="J10" s="0" t="n">
        <v>19.6807475180066</v>
      </c>
      <c r="K10" s="0" t="n">
        <v>4.62</v>
      </c>
      <c r="L10" s="0" t="n">
        <v>-561</v>
      </c>
      <c r="M10" s="0" t="n">
        <v>427</v>
      </c>
      <c r="N10" s="0" t="n">
        <v>-988</v>
      </c>
      <c r="O10" s="0" t="n">
        <v>21328</v>
      </c>
      <c r="P10" s="0" t="n">
        <v>274119</v>
      </c>
      <c r="Q10" s="0" t="n">
        <v>252791</v>
      </c>
      <c r="R10" s="0" t="n">
        <v>10042</v>
      </c>
      <c r="T10" s="0" t="n">
        <v>432.007</v>
      </c>
      <c r="U10" s="0" t="n">
        <v>329</v>
      </c>
      <c r="V10" s="0" t="n">
        <v>1.16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10360</v>
      </c>
      <c r="I11" s="0" t="n">
        <v>1980</v>
      </c>
      <c r="J11" s="0" t="n">
        <v>19.1119691119691</v>
      </c>
      <c r="K11" s="0" t="n">
        <v>4.53</v>
      </c>
      <c r="L11" s="0" t="n">
        <v>-1403</v>
      </c>
      <c r="M11" s="0" t="n">
        <v>703</v>
      </c>
      <c r="N11" s="0" t="n">
        <v>-2106</v>
      </c>
      <c r="O11" s="0" t="n">
        <v>21135</v>
      </c>
      <c r="P11" s="0" t="n">
        <v>245155</v>
      </c>
      <c r="Q11" s="0" t="n">
        <v>224020</v>
      </c>
      <c r="R11" s="0" t="n">
        <v>11534</v>
      </c>
      <c r="T11" s="0" t="n">
        <v>413.638</v>
      </c>
      <c r="U11" s="0" t="n">
        <v>319</v>
      </c>
      <c r="V11" s="0" t="n">
        <v>1.32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10207</v>
      </c>
      <c r="I12" s="0" t="n">
        <v>2143</v>
      </c>
      <c r="J12" s="0" t="n">
        <v>20.9953953169394</v>
      </c>
      <c r="K12" s="0" t="n">
        <v>5.03</v>
      </c>
      <c r="L12" s="0" t="n">
        <v>2290</v>
      </c>
      <c r="M12" s="0" t="n">
        <v>613</v>
      </c>
      <c r="N12" s="0" t="n">
        <v>1677</v>
      </c>
      <c r="O12" s="0" t="n">
        <v>21193</v>
      </c>
      <c r="P12" s="0" t="n">
        <v>242698</v>
      </c>
      <c r="Q12" s="0" t="n">
        <v>221479</v>
      </c>
      <c r="T12" s="0" t="n">
        <v>396.09</v>
      </c>
      <c r="U12" s="0" t="n">
        <v>268</v>
      </c>
      <c r="V12" s="0" t="n">
        <v>1.44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11266</v>
      </c>
      <c r="I13" s="0" t="n">
        <v>2156</v>
      </c>
      <c r="J13" s="0" t="n">
        <v>19.1372270548553</v>
      </c>
      <c r="K13" s="0" t="n">
        <v>5.26</v>
      </c>
      <c r="L13" s="0" t="n">
        <v>6940</v>
      </c>
      <c r="M13" s="0" t="n">
        <v>637</v>
      </c>
      <c r="N13" s="0" t="n">
        <v>6303</v>
      </c>
      <c r="O13" s="0" t="n">
        <v>22270</v>
      </c>
      <c r="P13" s="0" t="n">
        <v>238425</v>
      </c>
      <c r="Q13" s="0" t="n">
        <v>216108</v>
      </c>
      <c r="T13" s="0" t="n">
        <v>380.213</v>
      </c>
      <c r="U13" s="0" t="n">
        <v>243</v>
      </c>
      <c r="V13" s="0" t="n">
        <v>1.6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12131</v>
      </c>
      <c r="I14" s="0" t="n">
        <v>2593</v>
      </c>
      <c r="J14" s="0" t="n">
        <v>21.3749896958206</v>
      </c>
      <c r="K14" s="0" t="n">
        <v>6.46</v>
      </c>
      <c r="L14" s="0" t="n">
        <v>10175</v>
      </c>
      <c r="M14" s="0" t="n">
        <v>609</v>
      </c>
      <c r="N14" s="0" t="n">
        <v>9566</v>
      </c>
      <c r="O14" s="0" t="n">
        <v>24737</v>
      </c>
      <c r="P14" s="0" t="n">
        <v>244596</v>
      </c>
      <c r="Q14" s="0" t="n">
        <v>219859</v>
      </c>
      <c r="T14" s="0" t="n">
        <v>379.946724</v>
      </c>
      <c r="U14" s="0" t="n">
        <v>262</v>
      </c>
      <c r="V14" s="0" t="n">
        <v>1.78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11756</v>
      </c>
      <c r="I15" s="0" t="n">
        <v>2242</v>
      </c>
      <c r="J15" s="0" t="n">
        <v>19.0711126233413</v>
      </c>
      <c r="K15" s="0" t="n">
        <v>5.43</v>
      </c>
      <c r="L15" s="0" t="n">
        <v>5690</v>
      </c>
      <c r="M15" s="0" t="n">
        <v>730</v>
      </c>
      <c r="N15" s="0" t="n">
        <v>4960</v>
      </c>
      <c r="O15" s="0" t="n">
        <v>24431</v>
      </c>
      <c r="P15" s="0" t="n">
        <v>245610</v>
      </c>
      <c r="Q15" s="0" t="n">
        <v>221179</v>
      </c>
      <c r="T15" s="0" t="n">
        <v>373.666</v>
      </c>
      <c r="V15" s="0" t="n">
        <v>1.98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11703</v>
      </c>
      <c r="I16" s="0" t="n">
        <v>2420</v>
      </c>
      <c r="J16" s="0" t="n">
        <v>20.6784585149107</v>
      </c>
      <c r="K16" s="0" t="n">
        <v>6.4</v>
      </c>
      <c r="L16" s="0" t="n">
        <v>3532</v>
      </c>
      <c r="M16" s="0" t="n">
        <v>560</v>
      </c>
      <c r="N16" s="0" t="n">
        <v>2972</v>
      </c>
      <c r="O16" s="0" t="n">
        <v>26200</v>
      </c>
      <c r="P16" s="0" t="n">
        <v>314706</v>
      </c>
      <c r="Q16" s="0" t="n">
        <v>288506</v>
      </c>
      <c r="T16" s="0" t="n">
        <v>357.106</v>
      </c>
      <c r="V16" s="0" t="n">
        <v>2.08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12027</v>
      </c>
      <c r="I17" s="0" t="n">
        <v>2693</v>
      </c>
      <c r="J17" s="0" t="n">
        <v>22.3912862725534</v>
      </c>
      <c r="K17" s="0" t="n">
        <v>7.3</v>
      </c>
      <c r="L17" s="0" t="n">
        <v>-6710</v>
      </c>
      <c r="M17" s="0" t="n">
        <v>811</v>
      </c>
      <c r="N17" s="0" t="n">
        <v>-7521</v>
      </c>
      <c r="O17" s="0" t="n">
        <v>27363</v>
      </c>
      <c r="P17" s="0" t="n">
        <v>314624</v>
      </c>
      <c r="Q17" s="0" t="n">
        <v>287261</v>
      </c>
      <c r="T17" s="0" t="n">
        <v>365.98282</v>
      </c>
      <c r="V17" s="0" t="n">
        <v>2.18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12148</v>
      </c>
      <c r="I18" s="0" t="n">
        <v>2774</v>
      </c>
      <c r="J18" s="0" t="n">
        <v>22.8350345735924</v>
      </c>
      <c r="K18" s="0" t="n">
        <v>7.28</v>
      </c>
      <c r="L18" s="0" t="n">
        <v>11954</v>
      </c>
      <c r="M18" s="0" t="n">
        <v>734</v>
      </c>
      <c r="N18" s="0" t="n">
        <v>11220</v>
      </c>
      <c r="O18" s="0" t="n">
        <v>25191</v>
      </c>
      <c r="P18" s="0" t="n">
        <v>301450</v>
      </c>
      <c r="Q18" s="0" t="n">
        <v>276259</v>
      </c>
      <c r="T18" s="0" t="n">
        <v>370.109</v>
      </c>
      <c r="V18" s="0" t="n">
        <v>2.4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11945</v>
      </c>
      <c r="I19" s="0" t="n">
        <v>1944</v>
      </c>
      <c r="J19" s="0" t="n">
        <v>16.2745918794475</v>
      </c>
      <c r="K19" s="0" t="n">
        <v>5.65</v>
      </c>
      <c r="L19" s="0" t="n">
        <v>690</v>
      </c>
      <c r="M19" s="0" t="n">
        <v>816</v>
      </c>
      <c r="N19" s="0" t="n">
        <v>-126</v>
      </c>
      <c r="O19" s="0" t="n">
        <v>23799</v>
      </c>
      <c r="P19" s="0" t="n">
        <v>297258</v>
      </c>
      <c r="Q19" s="0" t="n">
        <v>273459</v>
      </c>
      <c r="T19" s="0" t="n">
        <v>326.568</v>
      </c>
      <c r="V19" s="0" t="n">
        <v>2.64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13000</v>
      </c>
      <c r="I20" s="0" t="n">
        <v>2687</v>
      </c>
      <c r="J20" s="0" t="n">
        <v>20.6692307692308</v>
      </c>
      <c r="K20" s="0" t="n">
        <v>8.33</v>
      </c>
      <c r="L20" s="0" t="n">
        <v>-13210</v>
      </c>
      <c r="M20" s="0" t="n">
        <v>926</v>
      </c>
      <c r="N20" s="0" t="n">
        <v>-14136</v>
      </c>
      <c r="O20" s="0" t="n">
        <v>25326</v>
      </c>
      <c r="P20" s="0" t="n">
        <v>353240</v>
      </c>
      <c r="Q20" s="0" t="n">
        <v>327914</v>
      </c>
      <c r="T20" s="0" t="n">
        <v>302.226</v>
      </c>
      <c r="V20" s="0" t="n">
        <v>2.9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13944</v>
      </c>
      <c r="I21" s="0" t="n">
        <v>2945</v>
      </c>
      <c r="J21" s="0" t="n">
        <v>21.1201950659782</v>
      </c>
      <c r="K21" s="0" t="n">
        <v>9.55</v>
      </c>
      <c r="L21" s="0" t="n">
        <v>11898</v>
      </c>
      <c r="M21" s="0" t="n">
        <v>1055</v>
      </c>
      <c r="N21" s="0" t="n">
        <v>10843</v>
      </c>
      <c r="O21" s="0" t="n">
        <v>27841</v>
      </c>
      <c r="P21" s="0" t="n">
        <v>366047</v>
      </c>
      <c r="Q21" s="0" t="n">
        <v>338206</v>
      </c>
      <c r="T21" s="0" t="n">
        <v>289.019</v>
      </c>
      <c r="V21" s="0" t="n">
        <v>3.2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174.62</v>
      </c>
    </row>
    <row r="3" customFormat="false" ht="15" hidden="false" customHeight="false" outlineLevel="0" collapsed="false">
      <c r="A3" s="0" t="s">
        <v>86</v>
      </c>
      <c r="B3" s="3" t="n">
        <v>279.6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-3559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15750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-3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37</v>
      </c>
      <c r="D14" s="3" t="n">
        <v>37</v>
      </c>
      <c r="E14" s="3" t="n">
        <v>37.5</v>
      </c>
      <c r="F14" s="3" t="n">
        <v>38</v>
      </c>
      <c r="G14" s="3" t="n">
        <v>38.5</v>
      </c>
      <c r="H14" s="3" t="n">
        <v>39</v>
      </c>
      <c r="I14" s="3" t="n">
        <v>39</v>
      </c>
      <c r="J14" s="3" t="n">
        <v>39</v>
      </c>
      <c r="K14" s="3" t="n">
        <v>39</v>
      </c>
      <c r="L14" s="3" t="n">
        <v>39</v>
      </c>
    </row>
    <row r="15" customFormat="false" ht="15" hidden="false" customHeight="false" outlineLevel="0" collapsed="false">
      <c r="A15" s="0" t="s">
        <v>109</v>
      </c>
      <c r="C15" s="3" t="n">
        <v>2</v>
      </c>
      <c r="D15" s="3" t="n">
        <v>2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112</v>
      </c>
      <c r="C18" s="3" t="n">
        <v>7</v>
      </c>
      <c r="D18" s="3" t="n">
        <v>9.2</v>
      </c>
      <c r="E18" s="3" t="n">
        <v>10.3</v>
      </c>
      <c r="F18" s="3" t="n">
        <v>10.3</v>
      </c>
      <c r="G18" s="3" t="n">
        <v>10.3</v>
      </c>
      <c r="H18" s="3" t="n">
        <v>10.3</v>
      </c>
      <c r="I18" s="3" t="n">
        <v>10.3</v>
      </c>
      <c r="J18" s="3" t="n">
        <v>9.75</v>
      </c>
      <c r="K18" s="3" t="n">
        <v>9.75</v>
      </c>
      <c r="L18" s="3" t="n">
        <v>9.75</v>
      </c>
    </row>
    <row r="19" customFormat="false" ht="15" hidden="false" customHeight="false" outlineLevel="0" collapsed="false">
      <c r="A19" s="0" t="s">
        <v>113</v>
      </c>
      <c r="C19" s="3" t="n">
        <v>21.5</v>
      </c>
      <c r="D19" s="3" t="n">
        <v>21.5</v>
      </c>
      <c r="E19" s="3" t="n">
        <v>21.5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114</v>
      </c>
      <c r="B20" s="3" t="n">
        <v>10.25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4.5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40.5</v>
      </c>
      <c r="D28" s="3" t="n">
        <v>41.5</v>
      </c>
      <c r="E28" s="3" t="n">
        <v>42</v>
      </c>
      <c r="F28" s="3" t="n">
        <v>42.5</v>
      </c>
      <c r="G28" s="3" t="n">
        <v>42.5</v>
      </c>
      <c r="H28" s="3" t="n">
        <v>42.5</v>
      </c>
      <c r="I28" s="3" t="n">
        <v>42.5</v>
      </c>
      <c r="J28" s="3" t="n">
        <v>42.5</v>
      </c>
      <c r="K28" s="3" t="n">
        <v>42.5</v>
      </c>
      <c r="L28" s="3" t="n">
        <v>42.5</v>
      </c>
    </row>
    <row r="29" customFormat="false" ht="15" hidden="false" customHeight="false" outlineLevel="0" collapsed="false">
      <c r="A29" s="0" t="s">
        <v>109</v>
      </c>
      <c r="C29" s="3" t="n">
        <v>2</v>
      </c>
      <c r="D29" s="3" t="n">
        <v>2</v>
      </c>
      <c r="E29" s="3" t="n">
        <v>2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7</v>
      </c>
      <c r="D31" s="3" t="n">
        <v>7</v>
      </c>
      <c r="E31" s="3" t="n">
        <v>7</v>
      </c>
      <c r="F31" s="3" t="n">
        <v>7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112</v>
      </c>
      <c r="C32" s="3" t="n">
        <v>10.6</v>
      </c>
      <c r="D32" s="3" t="n">
        <v>11</v>
      </c>
      <c r="E32" s="3" t="n">
        <v>11</v>
      </c>
      <c r="F32" s="3" t="n">
        <v>10.6</v>
      </c>
      <c r="G32" s="3" t="n">
        <v>10.6</v>
      </c>
      <c r="H32" s="3" t="n">
        <v>10.2</v>
      </c>
      <c r="I32" s="3" t="n">
        <v>10.2</v>
      </c>
      <c r="J32" s="3" t="n">
        <v>9.8</v>
      </c>
      <c r="K32" s="3" t="n">
        <v>9.4</v>
      </c>
      <c r="L32" s="3" t="n">
        <v>9.4</v>
      </c>
    </row>
    <row r="33" customFormat="false" ht="15" hidden="false" customHeight="false" outlineLevel="0" collapsed="false">
      <c r="A33" s="0" t="s">
        <v>113</v>
      </c>
      <c r="C33" s="3" t="n">
        <v>21.5</v>
      </c>
      <c r="D33" s="3" t="n">
        <v>21.5</v>
      </c>
      <c r="E33" s="3" t="n">
        <v>21.5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114</v>
      </c>
      <c r="B34" s="3" t="n">
        <v>10.25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42</v>
      </c>
      <c r="D42" s="3" t="n">
        <v>43</v>
      </c>
      <c r="E42" s="3" t="n">
        <v>44</v>
      </c>
      <c r="F42" s="3" t="n">
        <v>44.5</v>
      </c>
      <c r="G42" s="3" t="n">
        <v>44.5</v>
      </c>
      <c r="H42" s="3" t="n">
        <v>44.5</v>
      </c>
      <c r="I42" s="3" t="n">
        <v>44.5</v>
      </c>
      <c r="J42" s="3" t="n">
        <v>44.5</v>
      </c>
      <c r="K42" s="3" t="n">
        <v>44.5</v>
      </c>
      <c r="L42" s="3" t="n">
        <v>44.5</v>
      </c>
    </row>
    <row r="43" customFormat="false" ht="15" hidden="false" customHeight="false" outlineLevel="0" collapsed="false">
      <c r="A43" s="0" t="s">
        <v>109</v>
      </c>
      <c r="C43" s="3" t="n">
        <v>2</v>
      </c>
      <c r="D43" s="3" t="n">
        <v>2</v>
      </c>
      <c r="E43" s="3" t="n">
        <v>2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7</v>
      </c>
      <c r="D45" s="3" t="n">
        <v>7</v>
      </c>
      <c r="E45" s="3" t="n">
        <v>7</v>
      </c>
      <c r="F45" s="3" t="n">
        <v>7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112</v>
      </c>
      <c r="C46" s="3" t="n">
        <v>11.9</v>
      </c>
      <c r="D46" s="3" t="n">
        <v>11.9</v>
      </c>
      <c r="E46" s="3" t="n">
        <v>11.55</v>
      </c>
      <c r="F46" s="3" t="n">
        <v>11.2</v>
      </c>
      <c r="G46" s="3" t="n">
        <v>10.85</v>
      </c>
      <c r="H46" s="3" t="n">
        <v>10.5</v>
      </c>
      <c r="I46" s="3" t="n">
        <v>10.15</v>
      </c>
      <c r="J46" s="3" t="n">
        <v>9.8</v>
      </c>
      <c r="K46" s="3" t="n">
        <v>9.45</v>
      </c>
      <c r="L46" s="3" t="n">
        <v>9.1</v>
      </c>
    </row>
    <row r="47" customFormat="false" ht="15" hidden="false" customHeight="false" outlineLevel="0" collapsed="false">
      <c r="A47" s="0" t="s">
        <v>113</v>
      </c>
      <c r="C47" s="3" t="n">
        <v>21.5</v>
      </c>
      <c r="D47" s="3" t="n">
        <v>21.5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114</v>
      </c>
      <c r="B48" s="3" t="n">
        <v>10.25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-3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15750</v>
      </c>
      <c r="C6" s="0" t="n">
        <f aca="false">B6*(1+C5/100)</f>
        <v>15277.5</v>
      </c>
      <c r="D6" s="0" t="n">
        <f aca="false">C6*(1+D5/100)</f>
        <v>15583.05</v>
      </c>
      <c r="E6" s="0" t="n">
        <f aca="false">D6*(1+E5/100)</f>
        <v>16050.5415</v>
      </c>
      <c r="F6" s="0" t="n">
        <f aca="false">E6*(1+F5/100)</f>
        <v>16532.057745</v>
      </c>
      <c r="G6" s="0" t="n">
        <f aca="false">F6*(1+G5/100)</f>
        <v>17028.01947735</v>
      </c>
      <c r="H6" s="0" t="n">
        <f aca="false">G6*(1+H5/100)</f>
        <v>17538.8600616705</v>
      </c>
      <c r="I6" s="0" t="n">
        <f aca="false">H6*(1+I5/100)</f>
        <v>18065.0258635206</v>
      </c>
      <c r="J6" s="0" t="n">
        <f aca="false">I6*(1+J5/100)</f>
        <v>18516.6515101086</v>
      </c>
      <c r="K6" s="0" t="n">
        <f aca="false">J6*(1+K5/100)</f>
        <v>18979.5677978613</v>
      </c>
      <c r="L6" s="0" t="n">
        <f aca="false">K6*(1+L5/100)</f>
        <v>19454.0569928079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37</v>
      </c>
      <c r="D7" s="4" t="n">
        <f aca="false">Assumptions!D14</f>
        <v>37</v>
      </c>
      <c r="E7" s="4" t="n">
        <f aca="false">Assumptions!E14</f>
        <v>37.5</v>
      </c>
      <c r="F7" s="4" t="n">
        <f aca="false">Assumptions!F14</f>
        <v>38</v>
      </c>
      <c r="G7" s="4" t="n">
        <f aca="false">Assumptions!G14</f>
        <v>38.5</v>
      </c>
      <c r="H7" s="4" t="n">
        <f aca="false">Assumptions!H14</f>
        <v>39</v>
      </c>
      <c r="I7" s="4" t="n">
        <f aca="false">Assumptions!I14</f>
        <v>39</v>
      </c>
      <c r="J7" s="4" t="n">
        <f aca="false">Assumptions!J14</f>
        <v>39</v>
      </c>
      <c r="K7" s="4" t="n">
        <f aca="false">Assumptions!K14</f>
        <v>39</v>
      </c>
      <c r="L7" s="4" t="n">
        <f aca="false">Assumptions!L14</f>
        <v>39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5652.675</v>
      </c>
      <c r="D8" s="0" t="n">
        <f aca="false">D6*D7/100</f>
        <v>5765.7285</v>
      </c>
      <c r="E8" s="0" t="n">
        <f aca="false">E6*E7/100</f>
        <v>6018.9530625</v>
      </c>
      <c r="F8" s="0" t="n">
        <f aca="false">F6*F7/100</f>
        <v>6282.1819431</v>
      </c>
      <c r="G8" s="0" t="n">
        <f aca="false">G6*G7/100</f>
        <v>6555.78749877975</v>
      </c>
      <c r="H8" s="0" t="n">
        <f aca="false">H6*H7/100</f>
        <v>6840.1554240515</v>
      </c>
      <c r="I8" s="0" t="n">
        <f aca="false">I6*I7/100</f>
        <v>7045.36008677304</v>
      </c>
      <c r="J8" s="0" t="n">
        <f aca="false">J6*J7/100</f>
        <v>7221.49408894237</v>
      </c>
      <c r="K8" s="0" t="n">
        <f aca="false">K6*K7/100</f>
        <v>7402.03144116592</v>
      </c>
      <c r="L8" s="0" t="n">
        <f aca="false">L6*L7/100</f>
        <v>7587.08222719507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2</v>
      </c>
      <c r="D9" s="4" t="n">
        <f aca="false">Assumptions!D15</f>
        <v>2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-305.55</v>
      </c>
      <c r="D10" s="0" t="n">
        <f aca="false">-D6*D9/100</f>
        <v>-311.661</v>
      </c>
      <c r="E10" s="0" t="n">
        <f aca="false">-E6*E9/100</f>
        <v>-321.01083</v>
      </c>
      <c r="F10" s="0" t="n">
        <f aca="false">-F6*F9/100</f>
        <v>-330.6411549</v>
      </c>
      <c r="G10" s="0" t="n">
        <f aca="false">-G6*G9/100</f>
        <v>-340.560389547</v>
      </c>
      <c r="H10" s="0" t="n">
        <f aca="false">-H6*H9/100</f>
        <v>-350.77720123341</v>
      </c>
      <c r="I10" s="0" t="n">
        <f aca="false">-I6*I9/100</f>
        <v>-361.300517270412</v>
      </c>
      <c r="J10" s="0" t="n">
        <f aca="false">-J6*J9/100</f>
        <v>-370.333030202173</v>
      </c>
      <c r="K10" s="0" t="n">
        <f aca="false">-K6*K9/100</f>
        <v>-379.591355957227</v>
      </c>
      <c r="L10" s="0" t="n">
        <f aca="false">-L6*L9/100</f>
        <v>-389.081139856157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5347.125</v>
      </c>
      <c r="D11" s="0" t="n">
        <f aca="false">D8+D10+D24</f>
        <v>5454.0675</v>
      </c>
      <c r="E11" s="0" t="n">
        <f aca="false">E8+E10+E24</f>
        <v>5697.9422325</v>
      </c>
      <c r="F11" s="0" t="n">
        <f aca="false">F8+F10+F24</f>
        <v>5951.5407882</v>
      </c>
      <c r="G11" s="0" t="n">
        <f aca="false">G8+G10+G24</f>
        <v>6215.22710923275</v>
      </c>
      <c r="H11" s="0" t="n">
        <f aca="false">H8+H10+H24</f>
        <v>6489.37822281809</v>
      </c>
      <c r="I11" s="0" t="n">
        <f aca="false">I8+I10+I24</f>
        <v>6684.05956950263</v>
      </c>
      <c r="J11" s="0" t="n">
        <f aca="false">J8+J10+J24</f>
        <v>6851.16105874019</v>
      </c>
      <c r="K11" s="0" t="n">
        <f aca="false">K8+K10+K24</f>
        <v>7022.4400852087</v>
      </c>
      <c r="L11" s="0" t="n">
        <f aca="false">L8+L10+L24</f>
        <v>7198.00108733891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-1069.425</v>
      </c>
      <c r="D12" s="4" t="n">
        <f aca="false">-D6*Assumptions!D17/100</f>
        <v>-1090.8135</v>
      </c>
      <c r="E12" s="4" t="n">
        <f aca="false">-E6*Assumptions!E17/100</f>
        <v>-1123.537905</v>
      </c>
      <c r="F12" s="4" t="n">
        <f aca="false">-F6*Assumptions!F17/100</f>
        <v>-1157.24404215</v>
      </c>
      <c r="G12" s="4" t="n">
        <f aca="false">-G6*Assumptions!G17/100</f>
        <v>-1191.9613634145</v>
      </c>
      <c r="H12" s="4" t="n">
        <f aca="false">-H6*Assumptions!H17/100</f>
        <v>-1227.72020431694</v>
      </c>
      <c r="I12" s="4" t="n">
        <f aca="false">-I6*Assumptions!I17/100</f>
        <v>-1264.55181044644</v>
      </c>
      <c r="J12" s="4" t="n">
        <f aca="false">-J6*Assumptions!J17/100</f>
        <v>-1296.1656057076</v>
      </c>
      <c r="K12" s="4" t="n">
        <f aca="false">-K6*Assumptions!K17/100</f>
        <v>-1328.56974585029</v>
      </c>
      <c r="L12" s="4" t="n">
        <f aca="false">-L6*Assumptions!L17/100</f>
        <v>-1361.78398949655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4277.7</v>
      </c>
      <c r="D13" s="0" t="n">
        <f aca="false">D11+D12</f>
        <v>4363.254</v>
      </c>
      <c r="E13" s="0" t="n">
        <f aca="false">E11+E12</f>
        <v>4574.4043275</v>
      </c>
      <c r="F13" s="0" t="n">
        <f aca="false">F11+F12</f>
        <v>4794.29674605</v>
      </c>
      <c r="G13" s="0" t="n">
        <f aca="false">G11+G12</f>
        <v>5023.26574581825</v>
      </c>
      <c r="H13" s="0" t="n">
        <f aca="false">H11+H12</f>
        <v>5261.65801850115</v>
      </c>
      <c r="I13" s="0" t="n">
        <f aca="false">I11+I12</f>
        <v>5419.50775905619</v>
      </c>
      <c r="J13" s="0" t="n">
        <f aca="false">J11+J12</f>
        <v>5554.99545303259</v>
      </c>
      <c r="K13" s="0" t="n">
        <f aca="false">K11+K12</f>
        <v>5693.8703393584</v>
      </c>
      <c r="L13" s="0" t="n">
        <f aca="false">L11+L12</f>
        <v>5836.21709784236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21.5</v>
      </c>
      <c r="D14" s="4" t="n">
        <f aca="false">Assumptions!D19</f>
        <v>21.5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3357.9945</v>
      </c>
      <c r="D15" s="0" t="n">
        <f aca="false">D13-MAX(0,D13)*D14/100</f>
        <v>3425.15439</v>
      </c>
      <c r="E15" s="0" t="n">
        <f aca="false">E13-MAX(0,E13)*E14/100</f>
        <v>3590.9073970875</v>
      </c>
      <c r="F15" s="0" t="n">
        <f aca="false">F13-MAX(0,F13)*F14/100</f>
        <v>3763.52294564925</v>
      </c>
      <c r="G15" s="0" t="n">
        <f aca="false">G13-MAX(0,G13)*G14/100</f>
        <v>3943.26361046733</v>
      </c>
      <c r="H15" s="0" t="n">
        <f aca="false">H13-MAX(0,H13)*H14/100</f>
        <v>4130.4015445234</v>
      </c>
      <c r="I15" s="0" t="n">
        <f aca="false">I13-MAX(0,I13)*I14/100</f>
        <v>4254.31359085911</v>
      </c>
      <c r="J15" s="0" t="n">
        <f aca="false">J13-MAX(0,J13)*J14/100</f>
        <v>4360.67143063058</v>
      </c>
      <c r="K15" s="0" t="n">
        <f aca="false">K13-MAX(0,K13)*K14/100</f>
        <v>4469.68821639635</v>
      </c>
      <c r="L15" s="0" t="n">
        <f aca="false">L13-MAX(0,L13)*L14/100</f>
        <v>4581.43042180626</v>
      </c>
    </row>
    <row r="16" customFormat="false" ht="15" hidden="false" customHeight="false" outlineLevel="0" collapsed="false">
      <c r="A16" s="0" t="s">
        <v>129</v>
      </c>
      <c r="C16" s="0" t="n">
        <f aca="false">-C12</f>
        <v>1069.425</v>
      </c>
      <c r="D16" s="0" t="n">
        <f aca="false">-D12</f>
        <v>1090.8135</v>
      </c>
      <c r="E16" s="0" t="n">
        <f aca="false">-E12</f>
        <v>1123.537905</v>
      </c>
      <c r="F16" s="0" t="n">
        <f aca="false">-F12</f>
        <v>1157.24404215</v>
      </c>
      <c r="G16" s="0" t="n">
        <f aca="false">-G12</f>
        <v>1191.9613634145</v>
      </c>
      <c r="H16" s="0" t="n">
        <f aca="false">-H12</f>
        <v>1227.72020431694</v>
      </c>
      <c r="I16" s="0" t="n">
        <f aca="false">-I12</f>
        <v>1264.55181044644</v>
      </c>
      <c r="J16" s="0" t="n">
        <f aca="false">-J12</f>
        <v>1296.1656057076</v>
      </c>
      <c r="K16" s="0" t="n">
        <f aca="false">-K12</f>
        <v>1328.56974585029</v>
      </c>
      <c r="L16" s="0" t="n">
        <f aca="false">-L12</f>
        <v>1361.78398949655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-1069.425</v>
      </c>
      <c r="D17" s="4" t="n">
        <f aca="false">-D6*Assumptions!D18/100</f>
        <v>-1433.6406</v>
      </c>
      <c r="E17" s="4" t="n">
        <f aca="false">-E6*Assumptions!E18/100</f>
        <v>-1653.2057745</v>
      </c>
      <c r="F17" s="4" t="n">
        <f aca="false">-F6*Assumptions!F18/100</f>
        <v>-1702.801947735</v>
      </c>
      <c r="G17" s="4" t="n">
        <f aca="false">-G6*Assumptions!G18/100</f>
        <v>-1753.88600616705</v>
      </c>
      <c r="H17" s="4" t="n">
        <f aca="false">-H6*Assumptions!H18/100</f>
        <v>-1806.50258635206</v>
      </c>
      <c r="I17" s="4" t="n">
        <f aca="false">-I6*Assumptions!I18/100</f>
        <v>-1860.69766394262</v>
      </c>
      <c r="J17" s="4" t="n">
        <f aca="false">-J6*Assumptions!J18/100</f>
        <v>-1805.37352223559</v>
      </c>
      <c r="K17" s="4" t="n">
        <f aca="false">-K6*Assumptions!K18/100</f>
        <v>-1850.50786029148</v>
      </c>
      <c r="L17" s="4" t="n">
        <f aca="false">-L6*Assumptions!L18/100</f>
        <v>-1896.77055679877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3357.9945</v>
      </c>
      <c r="D19" s="0" t="n">
        <f aca="false">D15+D16+D17+D18</f>
        <v>3082.32729</v>
      </c>
      <c r="E19" s="0" t="n">
        <f aca="false">E15+E16+E17+E18</f>
        <v>3061.2395275875</v>
      </c>
      <c r="F19" s="0" t="n">
        <f aca="false">F15+F16+F17+F18</f>
        <v>3217.96504006425</v>
      </c>
      <c r="G19" s="0" t="n">
        <f aca="false">G15+G16+G17+G18</f>
        <v>3381.33896771478</v>
      </c>
      <c r="H19" s="0" t="n">
        <f aca="false">H15+H16+H17+H18</f>
        <v>3551.61916248828</v>
      </c>
      <c r="I19" s="0" t="n">
        <f aca="false">I15+I16+I17+I18</f>
        <v>3658.16773736292</v>
      </c>
      <c r="J19" s="0" t="n">
        <f aca="false">J15+J16+J17+J18</f>
        <v>3851.4635141026</v>
      </c>
      <c r="K19" s="0" t="n">
        <f aca="false">K15+K16+K17+K18</f>
        <v>3947.75010195516</v>
      </c>
      <c r="L19" s="0" t="n">
        <f aca="false">L15+L16+L17+L18</f>
        <v>4046.44385450404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0.90702947845805</v>
      </c>
      <c r="D20" s="0" t="n">
        <f aca="false">1/(1+$B$27/100)^D4</f>
        <v>0.822702474791882</v>
      </c>
      <c r="E20" s="0" t="n">
        <f aca="false">1/(1+$B$27/100)^E4</f>
        <v>0.746215396636628</v>
      </c>
      <c r="F20" s="0" t="n">
        <f aca="false">1/(1+$B$27/100)^F4</f>
        <v>0.676839362028687</v>
      </c>
      <c r="G20" s="0" t="n">
        <f aca="false">1/(1+$B$27/100)^G4</f>
        <v>0.613913253540759</v>
      </c>
      <c r="H20" s="0" t="n">
        <f aca="false">1/(1+$B$27/100)^H4</f>
        <v>0.55683741817756</v>
      </c>
      <c r="I20" s="0" t="n">
        <f aca="false">1/(1+$B$27/100)^I4</f>
        <v>0.505067952995519</v>
      </c>
      <c r="J20" s="0" t="n">
        <f aca="false">1/(1+$B$27/100)^J4</f>
        <v>0.4581115219914</v>
      </c>
      <c r="K20" s="0" t="n">
        <f aca="false">1/(1+$B$27/100)^K4</f>
        <v>0.415520654867483</v>
      </c>
      <c r="L20" s="0" t="n">
        <f aca="false">1/(1+$B$27/100)^L4</f>
        <v>0.376889482873001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3045.8</v>
      </c>
      <c r="D21" s="0" t="n">
        <f aca="false">D19*D20</f>
        <v>2535.83828960156</v>
      </c>
      <c r="E21" s="0" t="n">
        <f aca="false">E19*E20</f>
        <v>2284.34406827843</v>
      </c>
      <c r="F21" s="0" t="n">
        <f aca="false">F19*F20</f>
        <v>2178.04540474771</v>
      </c>
      <c r="G21" s="0" t="n">
        <f aca="false">G19*G20</f>
        <v>2075.84880699393</v>
      </c>
      <c r="H21" s="0" t="n">
        <f aca="false">H19*H20</f>
        <v>1977.67444478992</v>
      </c>
      <c r="I21" s="0" t="n">
        <f aca="false">I19*I20</f>
        <v>1847.62329082414</v>
      </c>
      <c r="J21" s="0" t="n">
        <f aca="false">J19*J20</f>
        <v>1764.39981233989</v>
      </c>
      <c r="K21" s="0" t="n">
        <f aca="false">K19*K20</f>
        <v>1640.37170761758</v>
      </c>
      <c r="L21" s="0" t="n">
        <f aca="false">L19*L20</f>
        <v>1525.06213179866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10.25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20875.0079569918</v>
      </c>
    </row>
    <row r="31" customFormat="false" ht="15" hidden="false" customHeight="false" outlineLevel="0" collapsed="false">
      <c r="A31" s="0" t="s">
        <v>138</v>
      </c>
      <c r="B31" s="0" t="n">
        <f aca="false">L19</f>
        <v>4046.44385450404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53517.4832369889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48557.3262540485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48557.3262540485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18300.7455815839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39175.7535385757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35616.7535385757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127.384669308211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-0.27050355452863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2057.78549236829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1939.44005594742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141.680898021786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33180.8396069331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77.6804837322088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4.5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15750</v>
      </c>
      <c r="C6" s="0" t="n">
        <f aca="false">B6*(1+C5/100)</f>
        <v>16458.75</v>
      </c>
      <c r="D6" s="0" t="n">
        <f aca="false">C6*(1+D5/100)</f>
        <v>17281.6875</v>
      </c>
      <c r="E6" s="0" t="n">
        <f aca="false">D6*(1+E5/100)</f>
        <v>18145.771875</v>
      </c>
      <c r="F6" s="0" t="n">
        <f aca="false">E6*(1+F5/100)</f>
        <v>18962.331609375</v>
      </c>
      <c r="G6" s="0" t="n">
        <f aca="false">F6*(1+G5/100)</f>
        <v>19815.6365317969</v>
      </c>
      <c r="H6" s="0" t="n">
        <f aca="false">G6*(1+H5/100)</f>
        <v>20608.2619930688</v>
      </c>
      <c r="I6" s="0" t="n">
        <f aca="false">H6*(1+I5/100)</f>
        <v>21432.5924727915</v>
      </c>
      <c r="J6" s="0" t="n">
        <f aca="false">I6*(1+J5/100)</f>
        <v>22182.7332093392</v>
      </c>
      <c r="K6" s="0" t="n">
        <f aca="false">J6*(1+K5/100)</f>
        <v>22848.2152056194</v>
      </c>
      <c r="L6" s="0" t="n">
        <f aca="false">K6*(1+L5/100)</f>
        <v>23533.661661788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40.5</v>
      </c>
      <c r="D7" s="4" t="n">
        <f aca="false">Assumptions!D28</f>
        <v>41.5</v>
      </c>
      <c r="E7" s="4" t="n">
        <f aca="false">Assumptions!E28</f>
        <v>42</v>
      </c>
      <c r="F7" s="4" t="n">
        <f aca="false">Assumptions!F28</f>
        <v>42.5</v>
      </c>
      <c r="G7" s="4" t="n">
        <f aca="false">Assumptions!G28</f>
        <v>42.5</v>
      </c>
      <c r="H7" s="4" t="n">
        <f aca="false">Assumptions!H28</f>
        <v>42.5</v>
      </c>
      <c r="I7" s="4" t="n">
        <f aca="false">Assumptions!I28</f>
        <v>42.5</v>
      </c>
      <c r="J7" s="4" t="n">
        <f aca="false">Assumptions!J28</f>
        <v>42.5</v>
      </c>
      <c r="K7" s="4" t="n">
        <f aca="false">Assumptions!K28</f>
        <v>42.5</v>
      </c>
      <c r="L7" s="4" t="n">
        <f aca="false">Assumptions!L28</f>
        <v>42.5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6665.79375</v>
      </c>
      <c r="D8" s="0" t="n">
        <f aca="false">D6*D7/100</f>
        <v>7171.9003125</v>
      </c>
      <c r="E8" s="0" t="n">
        <f aca="false">E6*E7/100</f>
        <v>7621.2241875</v>
      </c>
      <c r="F8" s="0" t="n">
        <f aca="false">F6*F7/100</f>
        <v>8058.99093398438</v>
      </c>
      <c r="G8" s="0" t="n">
        <f aca="false">G6*G7/100</f>
        <v>8421.64552601367</v>
      </c>
      <c r="H8" s="0" t="n">
        <f aca="false">H6*H7/100</f>
        <v>8758.51134705422</v>
      </c>
      <c r="I8" s="0" t="n">
        <f aca="false">I6*I7/100</f>
        <v>9108.85180093639</v>
      </c>
      <c r="J8" s="0" t="n">
        <f aca="false">J6*J7/100</f>
        <v>9427.66161396916</v>
      </c>
      <c r="K8" s="0" t="n">
        <f aca="false">K6*K7/100</f>
        <v>9710.49146238824</v>
      </c>
      <c r="L8" s="0" t="n">
        <f aca="false">L6*L7/100</f>
        <v>10001.8062062599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2</v>
      </c>
      <c r="F9" s="4" t="n">
        <f aca="false">Assumptions!F29</f>
        <v>2</v>
      </c>
      <c r="G9" s="4" t="n">
        <f aca="false">Assumptions!G29</f>
        <v>2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-329.175</v>
      </c>
      <c r="D10" s="0" t="n">
        <f aca="false">-D6*D9/100</f>
        <v>-345.63375</v>
      </c>
      <c r="E10" s="0" t="n">
        <f aca="false">-E6*E9/100</f>
        <v>-362.9154375</v>
      </c>
      <c r="F10" s="0" t="n">
        <f aca="false">-F6*F9/100</f>
        <v>-379.2466321875</v>
      </c>
      <c r="G10" s="0" t="n">
        <f aca="false">-G6*G9/100</f>
        <v>-396.312730635938</v>
      </c>
      <c r="H10" s="0" t="n">
        <f aca="false">-H6*H9/100</f>
        <v>-412.165239861375</v>
      </c>
      <c r="I10" s="0" t="n">
        <f aca="false">-I6*I9/100</f>
        <v>-428.65184945583</v>
      </c>
      <c r="J10" s="0" t="n">
        <f aca="false">-J6*J9/100</f>
        <v>-443.654664186784</v>
      </c>
      <c r="K10" s="0" t="n">
        <f aca="false">-K6*K9/100</f>
        <v>-456.964304112388</v>
      </c>
      <c r="L10" s="0" t="n">
        <f aca="false">-L6*L9/100</f>
        <v>-470.673233235759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6336.61875</v>
      </c>
      <c r="D11" s="0" t="n">
        <f aca="false">D8+D10+D24</f>
        <v>6826.2665625</v>
      </c>
      <c r="E11" s="0" t="n">
        <f aca="false">E8+E10+E24</f>
        <v>7258.30875</v>
      </c>
      <c r="F11" s="0" t="n">
        <f aca="false">F8+F10+F24</f>
        <v>7679.74430179688</v>
      </c>
      <c r="G11" s="0" t="n">
        <f aca="false">G8+G10+G24</f>
        <v>8025.33279537773</v>
      </c>
      <c r="H11" s="0" t="n">
        <f aca="false">H8+H10+H24</f>
        <v>8346.34610719284</v>
      </c>
      <c r="I11" s="0" t="n">
        <f aca="false">I8+I10+I24</f>
        <v>8680.19995148056</v>
      </c>
      <c r="J11" s="0" t="n">
        <f aca="false">J8+J10+J24</f>
        <v>8984.00694978238</v>
      </c>
      <c r="K11" s="0" t="n">
        <f aca="false">K8+K10+K24</f>
        <v>9253.52715827585</v>
      </c>
      <c r="L11" s="0" t="n">
        <f aca="false">L8+L10+L24</f>
        <v>9531.13297302413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-1152.1125</v>
      </c>
      <c r="D12" s="4" t="n">
        <f aca="false">-D6*Assumptions!D31/100</f>
        <v>-1209.718125</v>
      </c>
      <c r="E12" s="4" t="n">
        <f aca="false">-E6*Assumptions!E31/100</f>
        <v>-1270.20403125</v>
      </c>
      <c r="F12" s="4" t="n">
        <f aca="false">-F6*Assumptions!F31/100</f>
        <v>-1327.36321265625</v>
      </c>
      <c r="G12" s="4" t="n">
        <f aca="false">-G6*Assumptions!G31/100</f>
        <v>-1387.09455722578</v>
      </c>
      <c r="H12" s="4" t="n">
        <f aca="false">-H6*Assumptions!H31/100</f>
        <v>-1442.57833951481</v>
      </c>
      <c r="I12" s="4" t="n">
        <f aca="false">-I6*Assumptions!I31/100</f>
        <v>-1500.28147309541</v>
      </c>
      <c r="J12" s="4" t="n">
        <f aca="false">-J6*Assumptions!J31/100</f>
        <v>-1552.79132465374</v>
      </c>
      <c r="K12" s="4" t="n">
        <f aca="false">-K6*Assumptions!K31/100</f>
        <v>-1599.37506439336</v>
      </c>
      <c r="L12" s="4" t="n">
        <f aca="false">-L6*Assumptions!L31/100</f>
        <v>-1647.35631632516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5184.50625</v>
      </c>
      <c r="D13" s="0" t="n">
        <f aca="false">D11+D12</f>
        <v>5616.5484375</v>
      </c>
      <c r="E13" s="0" t="n">
        <f aca="false">E11+E12</f>
        <v>5988.10471875</v>
      </c>
      <c r="F13" s="0" t="n">
        <f aca="false">F11+F12</f>
        <v>6352.38108914063</v>
      </c>
      <c r="G13" s="0" t="n">
        <f aca="false">G11+G12</f>
        <v>6638.23823815195</v>
      </c>
      <c r="H13" s="0" t="n">
        <f aca="false">H11+H12</f>
        <v>6903.76776767803</v>
      </c>
      <c r="I13" s="0" t="n">
        <f aca="false">I11+I12</f>
        <v>7179.91847838515</v>
      </c>
      <c r="J13" s="0" t="n">
        <f aca="false">J11+J12</f>
        <v>7431.21562512863</v>
      </c>
      <c r="K13" s="0" t="n">
        <f aca="false">K11+K12</f>
        <v>7654.15209388249</v>
      </c>
      <c r="L13" s="0" t="n">
        <f aca="false">L11+L12</f>
        <v>7883.77665669897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21.5</v>
      </c>
      <c r="D14" s="4" t="n">
        <f aca="false">Assumptions!D33</f>
        <v>21.5</v>
      </c>
      <c r="E14" s="4" t="n">
        <f aca="false">Assumptions!E33</f>
        <v>21.5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4069.83740625</v>
      </c>
      <c r="D15" s="0" t="n">
        <f aca="false">D13-MAX(0,D13)*D14/100</f>
        <v>4408.9905234375</v>
      </c>
      <c r="E15" s="0" t="n">
        <f aca="false">E13-MAX(0,E13)*E14/100</f>
        <v>4700.66220421875</v>
      </c>
      <c r="F15" s="0" t="n">
        <f aca="false">F13-MAX(0,F13)*F14/100</f>
        <v>4986.61915497539</v>
      </c>
      <c r="G15" s="0" t="n">
        <f aca="false">G13-MAX(0,G13)*G14/100</f>
        <v>5211.01701694928</v>
      </c>
      <c r="H15" s="0" t="n">
        <f aca="false">H13-MAX(0,H13)*H14/100</f>
        <v>5419.45769762725</v>
      </c>
      <c r="I15" s="0" t="n">
        <f aca="false">I13-MAX(0,I13)*I14/100</f>
        <v>5636.23600553235</v>
      </c>
      <c r="J15" s="0" t="n">
        <f aca="false">J13-MAX(0,J13)*J14/100</f>
        <v>5833.50426572598</v>
      </c>
      <c r="K15" s="0" t="n">
        <f aca="false">K13-MAX(0,K13)*K14/100</f>
        <v>6008.50939369776</v>
      </c>
      <c r="L15" s="0" t="n">
        <f aca="false">L13-MAX(0,L13)*L14/100</f>
        <v>6188.76467550869</v>
      </c>
    </row>
    <row r="16" customFormat="false" ht="15" hidden="false" customHeight="false" outlineLevel="0" collapsed="false">
      <c r="A16" s="0" t="s">
        <v>129</v>
      </c>
      <c r="C16" s="0" t="n">
        <f aca="false">-C12</f>
        <v>1152.1125</v>
      </c>
      <c r="D16" s="0" t="n">
        <f aca="false">-D12</f>
        <v>1209.718125</v>
      </c>
      <c r="E16" s="0" t="n">
        <f aca="false">-E12</f>
        <v>1270.20403125</v>
      </c>
      <c r="F16" s="0" t="n">
        <f aca="false">-F12</f>
        <v>1327.36321265625</v>
      </c>
      <c r="G16" s="0" t="n">
        <f aca="false">-G12</f>
        <v>1387.09455722578</v>
      </c>
      <c r="H16" s="0" t="n">
        <f aca="false">-H12</f>
        <v>1442.57833951481</v>
      </c>
      <c r="I16" s="0" t="n">
        <f aca="false">-I12</f>
        <v>1500.28147309541</v>
      </c>
      <c r="J16" s="0" t="n">
        <f aca="false">-J12</f>
        <v>1552.79132465374</v>
      </c>
      <c r="K16" s="0" t="n">
        <f aca="false">-K12</f>
        <v>1599.37506439336</v>
      </c>
      <c r="L16" s="0" t="n">
        <f aca="false">-L12</f>
        <v>1647.35631632516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-1744.6275</v>
      </c>
      <c r="D17" s="4" t="n">
        <f aca="false">-D6*Assumptions!D32/100</f>
        <v>-1900.985625</v>
      </c>
      <c r="E17" s="4" t="n">
        <f aca="false">-E6*Assumptions!E32/100</f>
        <v>-1996.03490625</v>
      </c>
      <c r="F17" s="4" t="n">
        <f aca="false">-F6*Assumptions!F32/100</f>
        <v>-2010.00715059375</v>
      </c>
      <c r="G17" s="4" t="n">
        <f aca="false">-G6*Assumptions!G32/100</f>
        <v>-2100.45747237047</v>
      </c>
      <c r="H17" s="4" t="n">
        <f aca="false">-H6*Assumptions!H32/100</f>
        <v>-2102.04272329301</v>
      </c>
      <c r="I17" s="4" t="n">
        <f aca="false">-I6*Assumptions!I32/100</f>
        <v>-2186.12443222473</v>
      </c>
      <c r="J17" s="4" t="n">
        <f aca="false">-J6*Assumptions!J32/100</f>
        <v>-2173.90785451524</v>
      </c>
      <c r="K17" s="4" t="n">
        <f aca="false">-K6*Assumptions!K32/100</f>
        <v>-2147.73222932822</v>
      </c>
      <c r="L17" s="4" t="n">
        <f aca="false">-L6*Assumptions!L32/100</f>
        <v>-2212.16419620807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3477.32240625</v>
      </c>
      <c r="D19" s="0" t="n">
        <f aca="false">D15+D16+D17+D18</f>
        <v>3717.7230234375</v>
      </c>
      <c r="E19" s="0" t="n">
        <f aca="false">E15+E16+E17+E18</f>
        <v>3974.83132921875</v>
      </c>
      <c r="F19" s="0" t="n">
        <f aca="false">F15+F16+F17+F18</f>
        <v>4303.97521703789</v>
      </c>
      <c r="G19" s="0" t="n">
        <f aca="false">G15+G16+G17+G18</f>
        <v>4497.6541018046</v>
      </c>
      <c r="H19" s="0" t="n">
        <f aca="false">H15+H16+H17+H18</f>
        <v>4759.99331384905</v>
      </c>
      <c r="I19" s="0" t="n">
        <f aca="false">I15+I16+I17+I18</f>
        <v>4950.39304640302</v>
      </c>
      <c r="J19" s="0" t="n">
        <f aca="false">J15+J16+J17+J18</f>
        <v>5212.38773586448</v>
      </c>
      <c r="K19" s="0" t="n">
        <f aca="false">K15+K16+K17+K18</f>
        <v>5460.15222876289</v>
      </c>
      <c r="L19" s="0" t="n">
        <f aca="false">L15+L16+L17+L18</f>
        <v>5623.95679562578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0.90702947845805</v>
      </c>
      <c r="D20" s="0" t="n">
        <f aca="false">1/(1+$B$27/100)^D4</f>
        <v>0.822702474791882</v>
      </c>
      <c r="E20" s="0" t="n">
        <f aca="false">1/(1+$B$27/100)^E4</f>
        <v>0.746215396636628</v>
      </c>
      <c r="F20" s="0" t="n">
        <f aca="false">1/(1+$B$27/100)^F4</f>
        <v>0.676839362028687</v>
      </c>
      <c r="G20" s="0" t="n">
        <f aca="false">1/(1+$B$27/100)^G4</f>
        <v>0.613913253540759</v>
      </c>
      <c r="H20" s="0" t="n">
        <f aca="false">1/(1+$B$27/100)^H4</f>
        <v>0.55683741817756</v>
      </c>
      <c r="I20" s="0" t="n">
        <f aca="false">1/(1+$B$27/100)^I4</f>
        <v>0.505067952995519</v>
      </c>
      <c r="J20" s="0" t="n">
        <f aca="false">1/(1+$B$27/100)^J4</f>
        <v>0.4581115219914</v>
      </c>
      <c r="K20" s="0" t="n">
        <f aca="false">1/(1+$B$27/100)^K4</f>
        <v>0.415520654867483</v>
      </c>
      <c r="L20" s="0" t="n">
        <f aca="false">1/(1+$B$27/100)^L4</f>
        <v>0.376889482873001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3154.03392857143</v>
      </c>
      <c r="D21" s="0" t="n">
        <f aca="false">D19*D20</f>
        <v>3058.57993197279</v>
      </c>
      <c r="E21" s="0" t="n">
        <f aca="false">E19*E20</f>
        <v>2966.08033689666</v>
      </c>
      <c r="F21" s="0" t="n">
        <f aca="false">F19*F20</f>
        <v>2913.09984008721</v>
      </c>
      <c r="G21" s="0" t="n">
        <f aca="false">G19*G20</f>
        <v>2761.1694629398</v>
      </c>
      <c r="H21" s="0" t="n">
        <f aca="false">H19*H20</f>
        <v>2650.54238742615</v>
      </c>
      <c r="I21" s="0" t="n">
        <f aca="false">I19*I20</f>
        <v>2500.28488247002</v>
      </c>
      <c r="J21" s="0" t="n">
        <f aca="false">J19*J20</f>
        <v>2387.85487888619</v>
      </c>
      <c r="K21" s="0" t="n">
        <f aca="false">K19*K20</f>
        <v>2268.8060297717</v>
      </c>
      <c r="L21" s="0" t="n">
        <f aca="false">L19*L20</f>
        <v>2119.6101684035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10.25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26780.0618474254</v>
      </c>
    </row>
    <row r="31" customFormat="false" ht="15" hidden="false" customHeight="false" outlineLevel="0" collapsed="false">
      <c r="A31" s="0" t="s">
        <v>138</v>
      </c>
      <c r="B31" s="0" t="n">
        <f aca="false">L19</f>
        <v>5623.95679562578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79898.9724068214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84359.3519343867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79898.9724068214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30113.0823924911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56893.1442399165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53334.1442399165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190.751588840903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0.0923811066367144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2370.24949567406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2520.18683063007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208.242419764738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48272.2958291213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107.595296914123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15750</v>
      </c>
      <c r="C6" s="0" t="n">
        <f aca="false">B6*(1+C5/100)</f>
        <v>16852.5</v>
      </c>
      <c r="D6" s="0" t="n">
        <f aca="false">C6*(1+D5/100)</f>
        <v>18032.175</v>
      </c>
      <c r="E6" s="0" t="n">
        <f aca="false">D6*(1+E5/100)</f>
        <v>19204.266375</v>
      </c>
      <c r="F6" s="0" t="n">
        <f aca="false">E6*(1+F5/100)</f>
        <v>20356.5223575</v>
      </c>
      <c r="G6" s="0" t="n">
        <f aca="false">F6*(1+G5/100)</f>
        <v>21476.1310871625</v>
      </c>
      <c r="H6" s="0" t="n">
        <f aca="false">G6*(1+H5/100)</f>
        <v>22549.9376415206</v>
      </c>
      <c r="I6" s="0" t="n">
        <f aca="false">H6*(1+I5/100)</f>
        <v>23564.6848353891</v>
      </c>
      <c r="J6" s="0" t="n">
        <f aca="false">I6*(1+J5/100)</f>
        <v>24507.2722288046</v>
      </c>
      <c r="K6" s="0" t="n">
        <f aca="false">J6*(1+K5/100)</f>
        <v>25365.0267568128</v>
      </c>
      <c r="L6" s="0" t="n">
        <f aca="false">K6*(1+L5/100)</f>
        <v>26125.9775595172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42</v>
      </c>
      <c r="D7" s="4" t="n">
        <f aca="false">Assumptions!D42</f>
        <v>43</v>
      </c>
      <c r="E7" s="4" t="n">
        <f aca="false">Assumptions!E42</f>
        <v>44</v>
      </c>
      <c r="F7" s="4" t="n">
        <f aca="false">Assumptions!F42</f>
        <v>44.5</v>
      </c>
      <c r="G7" s="4" t="n">
        <f aca="false">Assumptions!G42</f>
        <v>44.5</v>
      </c>
      <c r="H7" s="4" t="n">
        <f aca="false">Assumptions!H42</f>
        <v>44.5</v>
      </c>
      <c r="I7" s="4" t="n">
        <f aca="false">Assumptions!I42</f>
        <v>44.5</v>
      </c>
      <c r="J7" s="4" t="n">
        <f aca="false">Assumptions!J42</f>
        <v>44.5</v>
      </c>
      <c r="K7" s="4" t="n">
        <f aca="false">Assumptions!K42</f>
        <v>44.5</v>
      </c>
      <c r="L7" s="4" t="n">
        <f aca="false">Assumptions!L42</f>
        <v>44.5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7078.05</v>
      </c>
      <c r="D8" s="0" t="n">
        <f aca="false">D6*D7/100</f>
        <v>7753.83525</v>
      </c>
      <c r="E8" s="0" t="n">
        <f aca="false">E6*E7/100</f>
        <v>8449.877205</v>
      </c>
      <c r="F8" s="0" t="n">
        <f aca="false">F6*F7/100</f>
        <v>9058.6524490875</v>
      </c>
      <c r="G8" s="0" t="n">
        <f aca="false">G6*G7/100</f>
        <v>9556.87833378731</v>
      </c>
      <c r="H8" s="0" t="n">
        <f aca="false">H6*H7/100</f>
        <v>10034.7222504767</v>
      </c>
      <c r="I8" s="0" t="n">
        <f aca="false">I6*I7/100</f>
        <v>10486.2847517481</v>
      </c>
      <c r="J8" s="0" t="n">
        <f aca="false">J6*J7/100</f>
        <v>10905.7361418181</v>
      </c>
      <c r="K8" s="0" t="n">
        <f aca="false">K6*K7/100</f>
        <v>11287.4369067817</v>
      </c>
      <c r="L8" s="0" t="n">
        <f aca="false">L6*L7/100</f>
        <v>11626.0600139851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2</v>
      </c>
      <c r="D9" s="4" t="n">
        <f aca="false">Assumptions!D43</f>
        <v>2</v>
      </c>
      <c r="E9" s="4" t="n">
        <f aca="false">Assumptions!E43</f>
        <v>2</v>
      </c>
      <c r="F9" s="4" t="n">
        <f aca="false">Assumptions!F43</f>
        <v>2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-337.05</v>
      </c>
      <c r="D10" s="0" t="n">
        <f aca="false">-D6*D9/100</f>
        <v>-360.6435</v>
      </c>
      <c r="E10" s="0" t="n">
        <f aca="false">-E6*E9/100</f>
        <v>-384.0853275</v>
      </c>
      <c r="F10" s="0" t="n">
        <f aca="false">-F6*F9/100</f>
        <v>-407.13044715</v>
      </c>
      <c r="G10" s="0" t="n">
        <f aca="false">-G6*G9/100</f>
        <v>-429.52262174325</v>
      </c>
      <c r="H10" s="0" t="n">
        <f aca="false">-H6*H9/100</f>
        <v>-450.998752830413</v>
      </c>
      <c r="I10" s="0" t="n">
        <f aca="false">-I6*I9/100</f>
        <v>-471.293696707781</v>
      </c>
      <c r="J10" s="0" t="n">
        <f aca="false">-J6*J9/100</f>
        <v>-490.145444576092</v>
      </c>
      <c r="K10" s="0" t="n">
        <f aca="false">-K6*K9/100</f>
        <v>-507.300535136256</v>
      </c>
      <c r="L10" s="0" t="n">
        <f aca="false">-L6*L9/100</f>
        <v>-522.519551190343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6741</v>
      </c>
      <c r="D11" s="0" t="n">
        <f aca="false">D8+D10+D24</f>
        <v>7393.19175</v>
      </c>
      <c r="E11" s="0" t="n">
        <f aca="false">E8+E10+E24</f>
        <v>8065.7918775</v>
      </c>
      <c r="F11" s="0" t="n">
        <f aca="false">F8+F10+F24</f>
        <v>8651.5220019375</v>
      </c>
      <c r="G11" s="0" t="n">
        <f aca="false">G8+G10+G24</f>
        <v>9127.35571204406</v>
      </c>
      <c r="H11" s="0" t="n">
        <f aca="false">H8+H10+H24</f>
        <v>9583.72349764627</v>
      </c>
      <c r="I11" s="0" t="n">
        <f aca="false">I8+I10+I24</f>
        <v>10014.9910550403</v>
      </c>
      <c r="J11" s="0" t="n">
        <f aca="false">J8+J10+J24</f>
        <v>10415.590697242</v>
      </c>
      <c r="K11" s="0" t="n">
        <f aca="false">K8+K10+K24</f>
        <v>10780.1363716454</v>
      </c>
      <c r="L11" s="0" t="n">
        <f aca="false">L8+L10+L24</f>
        <v>11103.5404627948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-1179.675</v>
      </c>
      <c r="D12" s="4" t="n">
        <f aca="false">-D6*Assumptions!D45/100</f>
        <v>-1262.25225</v>
      </c>
      <c r="E12" s="4" t="n">
        <f aca="false">-E6*Assumptions!E45/100</f>
        <v>-1344.29864625</v>
      </c>
      <c r="F12" s="4" t="n">
        <f aca="false">-F6*Assumptions!F45/100</f>
        <v>-1424.956565025</v>
      </c>
      <c r="G12" s="4" t="n">
        <f aca="false">-G6*Assumptions!G45/100</f>
        <v>-1503.32917610138</v>
      </c>
      <c r="H12" s="4" t="n">
        <f aca="false">-H6*Assumptions!H45/100</f>
        <v>-1578.49563490644</v>
      </c>
      <c r="I12" s="4" t="n">
        <f aca="false">-I6*Assumptions!I45/100</f>
        <v>-1649.52793847723</v>
      </c>
      <c r="J12" s="4" t="n">
        <f aca="false">-J6*Assumptions!J45/100</f>
        <v>-1715.50905601632</v>
      </c>
      <c r="K12" s="4" t="n">
        <f aca="false">-K6*Assumptions!K45/100</f>
        <v>-1775.55187297689</v>
      </c>
      <c r="L12" s="4" t="n">
        <f aca="false">-L6*Assumptions!L45/100</f>
        <v>-1828.8184291662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5561.325</v>
      </c>
      <c r="D13" s="0" t="n">
        <f aca="false">D11+D12</f>
        <v>6130.9395</v>
      </c>
      <c r="E13" s="0" t="n">
        <f aca="false">E11+E12</f>
        <v>6721.49323125</v>
      </c>
      <c r="F13" s="0" t="n">
        <f aca="false">F11+F12</f>
        <v>7226.5654369125</v>
      </c>
      <c r="G13" s="0" t="n">
        <f aca="false">G11+G12</f>
        <v>7624.02653594269</v>
      </c>
      <c r="H13" s="0" t="n">
        <f aca="false">H11+H12</f>
        <v>8005.22786273982</v>
      </c>
      <c r="I13" s="0" t="n">
        <f aca="false">I11+I12</f>
        <v>8365.46311656311</v>
      </c>
      <c r="J13" s="0" t="n">
        <f aca="false">J11+J12</f>
        <v>8700.08164122564</v>
      </c>
      <c r="K13" s="0" t="n">
        <f aca="false">K11+K12</f>
        <v>9004.58449866854</v>
      </c>
      <c r="L13" s="0" t="n">
        <f aca="false">L11+L12</f>
        <v>9274.72203362859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4365.640125</v>
      </c>
      <c r="D15" s="0" t="n">
        <f aca="false">D13-MAX(0,D13)*D14/100</f>
        <v>4812.7875075</v>
      </c>
      <c r="E15" s="0" t="n">
        <f aca="false">E13-MAX(0,E13)*E14/100</f>
        <v>5276.37218653125</v>
      </c>
      <c r="F15" s="0" t="n">
        <f aca="false">F13-MAX(0,F13)*F14/100</f>
        <v>5672.85386797631</v>
      </c>
      <c r="G15" s="0" t="n">
        <f aca="false">G13-MAX(0,G13)*G14/100</f>
        <v>5984.86083071501</v>
      </c>
      <c r="H15" s="0" t="n">
        <f aca="false">H13-MAX(0,H13)*H14/100</f>
        <v>6284.10387225076</v>
      </c>
      <c r="I15" s="0" t="n">
        <f aca="false">I13-MAX(0,I13)*I14/100</f>
        <v>6566.88854650204</v>
      </c>
      <c r="J15" s="0" t="n">
        <f aca="false">J13-MAX(0,J13)*J14/100</f>
        <v>6829.56408836213</v>
      </c>
      <c r="K15" s="0" t="n">
        <f aca="false">K13-MAX(0,K13)*K14/100</f>
        <v>7068.5988314548</v>
      </c>
      <c r="L15" s="0" t="n">
        <f aca="false">L13-MAX(0,L13)*L14/100</f>
        <v>7280.65679639844</v>
      </c>
    </row>
    <row r="16" customFormat="false" ht="15" hidden="false" customHeight="false" outlineLevel="0" collapsed="false">
      <c r="A16" s="0" t="s">
        <v>129</v>
      </c>
      <c r="C16" s="0" t="n">
        <f aca="false">-C12</f>
        <v>1179.675</v>
      </c>
      <c r="D16" s="0" t="n">
        <f aca="false">-D12</f>
        <v>1262.25225</v>
      </c>
      <c r="E16" s="0" t="n">
        <f aca="false">-E12</f>
        <v>1344.29864625</v>
      </c>
      <c r="F16" s="0" t="n">
        <f aca="false">-F12</f>
        <v>1424.956565025</v>
      </c>
      <c r="G16" s="0" t="n">
        <f aca="false">-G12</f>
        <v>1503.32917610138</v>
      </c>
      <c r="H16" s="0" t="n">
        <f aca="false">-H12</f>
        <v>1578.49563490644</v>
      </c>
      <c r="I16" s="0" t="n">
        <f aca="false">-I12</f>
        <v>1649.52793847723</v>
      </c>
      <c r="J16" s="0" t="n">
        <f aca="false">-J12</f>
        <v>1715.50905601632</v>
      </c>
      <c r="K16" s="0" t="n">
        <f aca="false">-K12</f>
        <v>1775.55187297689</v>
      </c>
      <c r="L16" s="0" t="n">
        <f aca="false">-L12</f>
        <v>1828.8184291662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-2005.4475</v>
      </c>
      <c r="D17" s="4" t="n">
        <f aca="false">-D6*Assumptions!D46/100</f>
        <v>-2145.828825</v>
      </c>
      <c r="E17" s="4" t="n">
        <f aca="false">-E6*Assumptions!E46/100</f>
        <v>-2218.0927663125</v>
      </c>
      <c r="F17" s="4" t="n">
        <f aca="false">-F6*Assumptions!F46/100</f>
        <v>-2279.93050404</v>
      </c>
      <c r="G17" s="4" t="n">
        <f aca="false">-G6*Assumptions!G46/100</f>
        <v>-2330.16022295713</v>
      </c>
      <c r="H17" s="4" t="n">
        <f aca="false">-H6*Assumptions!H46/100</f>
        <v>-2367.74345235967</v>
      </c>
      <c r="I17" s="4" t="n">
        <f aca="false">-I6*Assumptions!I46/100</f>
        <v>-2391.81551079199</v>
      </c>
      <c r="J17" s="4" t="n">
        <f aca="false">-J6*Assumptions!J46/100</f>
        <v>-2401.71267842285</v>
      </c>
      <c r="K17" s="4" t="n">
        <f aca="false">-K6*Assumptions!K46/100</f>
        <v>-2396.99502851881</v>
      </c>
      <c r="L17" s="4" t="n">
        <f aca="false">-L6*Assumptions!L46/100</f>
        <v>-2377.46395791606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3539.867625</v>
      </c>
      <c r="D19" s="0" t="n">
        <f aca="false">D15+D16+D17+D18</f>
        <v>3929.2109325</v>
      </c>
      <c r="E19" s="0" t="n">
        <f aca="false">E15+E16+E17+E18</f>
        <v>4402.57806646875</v>
      </c>
      <c r="F19" s="0" t="n">
        <f aca="false">F15+F16+F17+F18</f>
        <v>4817.87992896131</v>
      </c>
      <c r="G19" s="0" t="n">
        <f aca="false">G15+G16+G17+G18</f>
        <v>5158.02978385925</v>
      </c>
      <c r="H19" s="0" t="n">
        <f aca="false">H15+H16+H17+H18</f>
        <v>5494.85605479754</v>
      </c>
      <c r="I19" s="0" t="n">
        <f aca="false">I15+I16+I17+I18</f>
        <v>5824.60097418729</v>
      </c>
      <c r="J19" s="0" t="n">
        <f aca="false">J15+J16+J17+J18</f>
        <v>6143.3604659556</v>
      </c>
      <c r="K19" s="0" t="n">
        <f aca="false">K15+K16+K17+K18</f>
        <v>6447.15567591289</v>
      </c>
      <c r="L19" s="0" t="n">
        <f aca="false">L15+L16+L17+L18</f>
        <v>6732.01126764858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0.90702947845805</v>
      </c>
      <c r="D20" s="0" t="n">
        <f aca="false">1/(1+$B$27/100)^D4</f>
        <v>0.822702474791882</v>
      </c>
      <c r="E20" s="0" t="n">
        <f aca="false">1/(1+$B$27/100)^E4</f>
        <v>0.746215396636628</v>
      </c>
      <c r="F20" s="0" t="n">
        <f aca="false">1/(1+$B$27/100)^F4</f>
        <v>0.676839362028687</v>
      </c>
      <c r="G20" s="0" t="n">
        <f aca="false">1/(1+$B$27/100)^G4</f>
        <v>0.613913253540759</v>
      </c>
      <c r="H20" s="0" t="n">
        <f aca="false">1/(1+$B$27/100)^H4</f>
        <v>0.55683741817756</v>
      </c>
      <c r="I20" s="0" t="n">
        <f aca="false">1/(1+$B$27/100)^I4</f>
        <v>0.505067952995519</v>
      </c>
      <c r="J20" s="0" t="n">
        <f aca="false">1/(1+$B$27/100)^J4</f>
        <v>0.4581115219914</v>
      </c>
      <c r="K20" s="0" t="n">
        <f aca="false">1/(1+$B$27/100)^K4</f>
        <v>0.415520654867483</v>
      </c>
      <c r="L20" s="0" t="n">
        <f aca="false">1/(1+$B$27/100)^L4</f>
        <v>0.376889482873001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3210.76428571429</v>
      </c>
      <c r="D21" s="0" t="n">
        <f aca="false">D19*D20</f>
        <v>3232.57155814707</v>
      </c>
      <c r="E21" s="0" t="n">
        <f aca="false">E19*E20</f>
        <v>3285.27153809369</v>
      </c>
      <c r="F21" s="0" t="n">
        <f aca="false">F19*F20</f>
        <v>3260.93077744899</v>
      </c>
      <c r="G21" s="0" t="n">
        <f aca="false">G19*G20</f>
        <v>3166.58284646917</v>
      </c>
      <c r="H21" s="0" t="n">
        <f aca="false">H19*H20</f>
        <v>3059.74145881079</v>
      </c>
      <c r="I21" s="0" t="n">
        <f aca="false">I19*I20</f>
        <v>2941.81929104848</v>
      </c>
      <c r="J21" s="0" t="n">
        <f aca="false">J19*J20</f>
        <v>2814.34421320072</v>
      </c>
      <c r="K21" s="0" t="n">
        <f aca="false">K19*K20</f>
        <v>2678.92634848793</v>
      </c>
      <c r="L21" s="0" t="n">
        <f aca="false">L19*L20</f>
        <v>2537.22424535929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10.25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30188.1765627804</v>
      </c>
    </row>
    <row r="31" customFormat="false" ht="15" hidden="false" customHeight="false" outlineLevel="0" collapsed="false">
      <c r="A31" s="0" t="s">
        <v>138</v>
      </c>
      <c r="B31" s="0" t="n">
        <f aca="false">L19</f>
        <v>6732.01126764858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95640.9876645247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100980.169014729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95640.9876645247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36046.0823823458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66234.2589451262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62675.2589451262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224.160439717905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0.283704270518296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2549.71408638861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2797.79430541153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243.286006212183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57783.0967139837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125.384190929139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127.384669308211</v>
      </c>
      <c r="C4" s="0" t="n">
        <f aca="false">B4/Assumptions!$B$2-1</f>
        <v>-0.27050355452863</v>
      </c>
      <c r="D4" s="4" t="n">
        <f aca="false">Assumptions!$B$24</f>
        <v>0.25</v>
      </c>
      <c r="E4" s="4" t="n">
        <f aca="false">DCF_Bear!$B$43</f>
        <v>141.680898021786</v>
      </c>
      <c r="F4" s="4" t="n">
        <f aca="false">DCF_Bear!$B$47</f>
        <v>77.6804837322088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190.751588840903</v>
      </c>
      <c r="C5" s="0" t="n">
        <f aca="false">B5/Assumptions!$B$2-1</f>
        <v>0.0923811066367144</v>
      </c>
      <c r="D5" s="4" t="n">
        <f aca="false">Assumptions!$B$38</f>
        <v>0.5</v>
      </c>
      <c r="E5" s="4" t="n">
        <f aca="false">DCF_Base!$B$43</f>
        <v>208.242419764738</v>
      </c>
      <c r="F5" s="4" t="n">
        <f aca="false">DCF_Base!$B$47</f>
        <v>107.595296914123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224.160439717905</v>
      </c>
      <c r="C6" s="0" t="n">
        <f aca="false">B6/Assumptions!$B$2-1</f>
        <v>0.283704270518296</v>
      </c>
      <c r="D6" s="4" t="n">
        <f aca="false">Assumptions!$B$52</f>
        <v>0.25</v>
      </c>
      <c r="E6" s="4" t="n">
        <f aca="false">DCF_Bull!$B$43</f>
        <v>243.286006212183</v>
      </c>
      <c r="F6" s="4" t="n">
        <f aca="false">DCF_Bull!$B$47</f>
        <v>125.384190929139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183.26207167698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200.362935940861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0.0471569026689439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-50.5358766880198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104.563817122399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216.337481415522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198.286289384203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190.751588840903</v>
      </c>
      <c r="C17" s="3" t="n">
        <v>10.25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170.991275988708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149.803447219477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107.595296914123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229.209151965425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229.209151965425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229.209151965425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229.209151965425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229.209151965425</v>
      </c>
    </row>
    <row r="25" customFormat="false" ht="15" hidden="false" customHeight="false" outlineLevel="0" collapsed="false">
      <c r="A25" s="3" t="n">
        <v>9.25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204.510040390341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212.241404349351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212.241404349351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212.241404349351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212.241404349351</v>
      </c>
    </row>
    <row r="26" customFormat="false" ht="15" hidden="false" customHeight="false" outlineLevel="0" collapsed="false">
      <c r="A26" s="3" t="n">
        <v>10.25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176.778080122433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183.314076135911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190.751588840903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196.763999905143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196.763999905143</v>
      </c>
    </row>
    <row r="27" customFormat="false" ht="15" hidden="false" customHeight="false" outlineLevel="0" collapsed="false">
      <c r="A27" s="3" t="n">
        <v>11.25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155.111255491624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159.871451658716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165.208641300606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171.234500573708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178.091512849996</v>
      </c>
    </row>
    <row r="28" customFormat="false" ht="15" hidden="false" customHeight="false" outlineLevel="0" collapsed="false">
      <c r="A28" s="3" t="n">
        <v>12.25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137.730018305794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141.286898070972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145.228305378331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149.620159235103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154.544359013908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2026-10-02T09:03:29Z</dcterms:created>
  <dc:creator>openpyxl</dc:creator>
  <dc:description/>
  <dc:language>en-NZ</dc:language>
  <cp:lastModifiedBy/>
  <dcterms:modified xsi:type="dcterms:W3CDTF">2026-10-02T09:03:29Z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