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<sst xmlns="http://schemas.openxmlformats.org/spreadsheetml/2006/main" count="376" uniqueCount="177">
  <si>
    <t xml:space="preserve">Ticker</t>
  </si>
  <si>
    <t xml:space="preserve">BS6.SI</t>
  </si>
  <si>
    <t xml:space="preserve">Company</t>
  </si>
  <si>
    <t xml:space="preserve">Yangzijiang Shipbuilding (Holdings) Ltd.</t>
  </si>
  <si>
    <t xml:space="preserve">Valuation date</t>
  </si>
  <si>
    <t xml:space="preserve">2026-10-24</t>
  </si>
  <si>
    <t xml:space="preserve">Current price</t>
  </si>
  <si>
    <t xml:space="preserve">Price as of</t>
  </si>
  <si>
    <t xml:space="preserve">2026-10-23T09:06:50Z SGX regular close (Yahoo chart API regularMarketTime); 52-week range 3.16-5.41</t>
  </si>
  <si>
    <t xml:space="preserve">Balance sheet date</t>
  </si>
  <si>
    <t xml:space="preserve">2025-12-31</t>
  </si>
  <si>
    <t xml:space="preserve">Model</t>
  </si>
  <si>
    <t xml:space="preserve">owner_fcf_dcf_component</t>
  </si>
  <si>
    <t xml:space="preserve">Currency (model)</t>
  </si>
  <si>
    <t xml:space="preserve">CNY</t>
  </si>
  <si>
    <t xml:space="preserve">Currency (quote)</t>
  </si>
  <si>
    <t xml:space="preserve">SGD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</si>
  <si>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</si>
  <si>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</si>
  <si>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</si>
  <si>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</si>
  <si>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</si>
  <si>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2026-10-24T00:03:47Z</t>
  </si>
  <si>
    <t xml:space="preserve">Drivers file</t>
  </si>
  <si>
    <t xml:space="preserve">BS6.SI_Drivers.json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</si>
  <si>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</si>
  <si>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</si>
  <si>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</si>
  <si>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Value a peak-cycle shipbuilder as two pieces: the contracted, peak-priced orderbook cash flows to ~2029 (high confidence on volume, RMB/USD risk on margin) and a mid-cycle shipyard after that, capitalized at a cyclical 12x cap. Net cash is counted net of the peak-cycle customer-advance float, and interest income is stripped so the cash pile is not counted twice. The market price implies peak-ish margins persisting well beyond the orderbook.
key_risks_to_valuation: Mid-cycle margin: each 1pp of terminal operating EBITDA margin is worth ~RMB 0.29/share (~SGD 0.06) through the 12x terminal cap; the gap to the price is mostly about how long peak margins last, not the terminal level.; RMB/USD: contracts are USD-priced and costs are RMB; the RMB at ~6.66 vs ~7.2 at signing is a margin headwind that hedging only delays.; Order intake: FY2025 US$2.5bn vs FY2024 US$14.6bn; the FY2026 US$4.5bn target is the first test of the post-peak run-rate.; US port fees / Section 301 measures on China-built vessels and owner diversification to Korean and Japanese yards.; Stale anchors: net cash is from the 31-Dec-2025 balance sheet; the ~RMB 4.1bn FY2025 final dividend is deducted in the bridge, but H1 FY2026 contract-balance movements are not visible until the interim is extracted.</t>
  </si>
  <si>
    <t xml:space="preserve">Data sources</t>
  </si>
  <si>
    <t xml:space="preserve">price: Yahoo Finance chart API at inputs.price_as_of; 52-week range 3.16-5.41
fx: Yahoo CNYSGD=X, cross-checked with SGD=X and CNY=X, 2026-10-23
financials: BS6.SI_Metrics.csv (core_metrics) and BS6.SI_Annual_FY2025.txt (income statement p.65, balance sheet p.67, cash flow p.71, notes 13, 15, 18, 23, 28); FY2025 results announcement 25-Feb-2026 (segment gross margins, orderbook, FY2026 order target)
qualitative: BS6.SI_Analysis.json (written concurrently; read after the first build) for H1 FY2026 results, the Poseidon stake, the Jingjiang yard and Section 301 status; FY2025 results announcement commentary (section 11).</t>
  </si>
  <si>
    <t xml:space="preserve">Scenario narrative: bear</t>
  </si>
  <si>
    <t xml:space="preserve">The classic shipbuilding bust: excess Chinese yard capacity, US port fees and Section 301 measures on China-built ships pushing Western owners to Korean and Japanese yards, a weak dry-bulk market and continued RMB strength. Order intake stays near FY2025's US$2.5bn, newbuild prices fall, and from 2029 revenue drops ~40% to ~RMB 20bn at a ~10% operating EBITDA margin, close to the FY2016-2021 trough when onerous-contract provisions hit. Customer advances unwind as the book runs off.</t>
  </si>
  <si>
    <t xml:space="preserve">Scenario narrative: base</t>
  </si>
  <si>
    <t xml:space="preserve">The contracted orderbook (US$22.4bn, slots filled to 2H2029) delivers as scheduled and Hongyuan lifts volume from 2027, but the RMB's appreciation against USD-priced contracts is a margin headwind from FY2027 (H1 FY2026 margins held at the FY2025 peak), and the order collapse of 2025 (US$2.5bn) and US$1.75bn in H1 FY2026, against a US$4.5bn target, means the post-2029 book is smaller and priced well below the 2023-24 peak. Operating EBITDA margin fades from 33.7% to a 15% mid-cycle; revenue round-trips to ~RMB 29-30bn. The value is roughly half contracted peak cash flows to 2029 and half a mid-cycle shipyard.</t>
  </si>
  <si>
    <t xml:space="preserve">Scenario narrative: bull</t>
  </si>
  <si>
    <t xml:space="preserve">Fleet-replacement and decarbonisation demand (aging tanker and bulk fleets, dual-fuel container ships, IMO net-zero framework) keeps the upcycle running into the 2030s; YZJ's cost leadership and Hongyuan capacity let it rebuild orders to US$6-8bn a year at prices that hold up, and the mid-cycle margin settles at 20% rather than 15%. Revenue peaks ~RMB 37bn and does not fall back much.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</si>
  <si>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</si>
  <si>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</si>
  <si>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</si>
  <si>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</si>
  <si>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</si>
  <si>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</si>
  <si>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</si>
  <si>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</si>
  <si>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</si>
  <si>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</si>
  <si>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</si>
  <si>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</si>
  <si>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</si>
  <si>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</si>
  <si>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</si>
  <si>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</si>
  <si>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</si>
  <si>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</si>
  <si>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</si>
  <si>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</si>
  <si>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</si>
  <si>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</si>
  <si>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</si>
  <si>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</si>
  <si>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</si>
  <si>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</si>
  <si>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</si>
  <si>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Bookings</t>
  </si>
  <si>
    <t xml:space="preserve">EffectiveCashTaxRate</t>
  </si>
  <si>
    <t xml:space="preserve">InvestmentPropertyCapex</t>
  </si>
  <si>
    <t xml:space="preserve">NetIncomeInclNCI</t>
  </si>
  <si>
    <t xml:space="preserve">NewUnitsDelivered</t>
  </si>
  <si>
    <t xml:space="preserve">OrderBook</t>
  </si>
  <si>
    <t xml:space="preserve">RestrictedCash</t>
  </si>
  <si>
    <t xml:space="preserve">FY2013</t>
  </si>
  <si>
    <t xml:space="preserve">thousands</t>
  </si>
  <si>
    <t xml:space="preserve">FY2014</t>
  </si>
  <si>
    <t xml:space="preserve">FY2015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</si>
  <si>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</si>
  <si>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</si>
  <si>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</si>
  <si>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</si>
  <si>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</si>
  <si>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</si>
  <si>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</si>
  <si>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</si>
  <si>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</si>
  <si>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</si>
  <si>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</si>
  <si>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</si>
  <si>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</si>
  <si>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</si>
  <si>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</si>
  <si>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</si>
  <si>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</si>
  <si>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</si>
  <si>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</si>
  <si>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</si>
  <si>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CNY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</si>
  <si>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</si>
  <si>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</si>
  <si>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</si>
  <si>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</si>
  <si>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</si>
  <si>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</si>
  <si>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</si>
  <si>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</si>
  <si>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</si>
  <si>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</si>
  <si>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</si>
  <si>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</si>
  <si>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</si>
  <si>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</si>
  <si>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</si>
  <si>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</si>
  <si>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</si>
  <si>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</si>
  <si>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</si>
  <si>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</si>
  <si>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</si>
  <si>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</si>
  <si>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</si>
  <si>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</si>
  <si>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</si>
  <si>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</si>
  <si>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BS6.SI owner-FCF component DCF: bear case (millions, CNY)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</si>
  <si>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</si>
  <si>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</si>
  <si>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</si>
  <si>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</si>
  <si>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</si>
  <si>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</si>
  <si>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</si>
  <si>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</si>
  <si>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</si>
  <si>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</si>
  <si>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</si>
  <si>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</si>
  <si>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</si>
  <si>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</si>
  <si>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</si>
  <si>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</si>
  <si>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</si>
  <si>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</si>
  <si>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</si>
  <si>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</si>
  <si>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</si>
  <si>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</si>
  <si>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</si>
  <si>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</si>
  <si>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</si>
  <si>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</si>
  <si>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</si>
  <si>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</si>
  <si>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</si>
  <si>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</si>
  <si>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BS6.SI owner-FCF component DCF: base case (millions, CNY)</t>
  </si>
  <si>
    <t xml:space="preserve">BS6.SI owner-FCF component DCF: bull case (millions, CNY)</t>
  </si>
  <si>
    <t xml:space="preserve">BS6.SI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</si>
  <si>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</si>
  <si>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</si>
  <si>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</si>
  <si>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</si>
  <si>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</si>
  <si>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</si>
  <si>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</si>
  <si>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</si>
  <si>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</si>
  <si>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</si>
  <si>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</si>
  <si>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</si>
  <si>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</si>
  <si>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</si>
  <si>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</t>
  </si>
  <si>
    <t xml:space="preserve">Value per share at 9.5% (WACC)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</si>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</sst>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4.88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16</v>
      </c>
    </row>
    <row r="10" customFormat="false" ht="15" hidden="false" customHeight="false" outlineLevel="0" collapsed="false">
      <c r="A10" s="0" t="s">
        <v>17</v>
      </c>
      <c r="B10" s="0" t="s">
        <v>18</v>
      </c>
    </row>
    <row r="11" customFormat="false" ht="15" hidden="false" customHeight="false" outlineLevel="0" collapsed="false">
      <c r="A11" s="0" t="s">
        <v>19</v>
      </c>
      <c r="B11" s="0" t="s">
        <v>20</v>
      </c>
    </row>
    <row r="12" customFormat="false" ht="15" hidden="false" customHeight="false" outlineLevel="0" collapsed="false">
      <c r="A12" s="0" t="s">
        <v>21</v>
      </c>
      <c r="B12" s="0" t="s">
        <v>22</v>
      </c>
    </row>
    <row r="13" customFormat="false" ht="15" hidden="false" customHeight="false" outlineLevel="0" collapsed="false">
      <c r="A13" s="0" t="s">
        <v>23</v>
      </c>
      <c r="B13" s="0" t="s">
        <v>24</v>
      </c>
    </row>
    <row r="14" customFormat="false" ht="15" hidden="false" customHeight="false" outlineLevel="0" collapsed="false">
      <c r="A14" s="0" t="s">
        <v>25</v>
      </c>
      <c r="B14" s="0" t="s">
        <v>26</v>
      </c>
    </row>
    <row r="15" customFormat="false" ht="23.85" hidden="false" customHeight="false" outlineLevel="0" collapsed="false">
      <c r="A15" s="0" t="s">
        <v>27</v>
      </c>
      <c r="B15" s="1" t="s">
        <v>28</v>
      </c>
    </row>
    <row r="16" customFormat="false" ht="46.25" hidden="false" customHeight="false" outlineLevel="0" collapsed="false">
      <c r="A16" s="0" t="s">
        <v>29</v>
      </c>
      <c r="B16" s="1" t="s">
        <v>30</v>
      </c>
    </row>
    <row r="17" customFormat="false" ht="15" hidden="false" customHeight="false" outlineLevel="0" collapsed="false">
      <c r="A17" s="0" t="s">
        <v>31</v>
      </c>
      <c r="B17" s="0" t="s">
        <v>32</v>
      </c>
    </row>
    <row r="18" customFormat="false" ht="15" hidden="false" customHeight="false" outlineLevel="0" collapsed="false">
      <c r="A18" s="0" t="s">
        <v>33</v>
      </c>
      <c r="B18" s="0" t="s">
        <v>34</v>
      </c>
    </row>
    <row r="19" customFormat="false" ht="15" hidden="false" customHeight="false" outlineLevel="0" collapsed="false">
      <c r="A19" s="0" t="s">
        <v>35</v>
      </c>
      <c r="B19" s="0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37</v>
      </c>
      <c r="B1" s="2" t="s">
        <v>38</v>
      </c>
      <c r="C1" s="2" t="s">
        <v>39</v>
      </c>
      <c r="D1" s="2" t="s">
        <v>40</v>
      </c>
      <c r="E1" s="2" t="s">
        <v>41</v>
      </c>
      <c r="F1" s="2" t="s">
        <v>42</v>
      </c>
      <c r="G1" s="2" t="s">
        <v>43</v>
      </c>
      <c r="H1" s="2" t="s">
        <v>44</v>
      </c>
      <c r="I1" s="2" t="s">
        <v>45</v>
      </c>
      <c r="J1" s="2" t="s">
        <v>46</v>
      </c>
      <c r="K1" s="2" t="s">
        <v>47</v>
      </c>
      <c r="L1" s="2" t="s">
        <v>48</v>
      </c>
      <c r="M1" s="2" t="s">
        <v>49</v>
      </c>
      <c r="N1" s="2" t="s">
        <v>50</v>
      </c>
      <c r="O1" s="2" t="s">
        <v>51</v>
      </c>
      <c r="P1" s="2" t="s">
        <v>52</v>
      </c>
      <c r="Q1" s="2" t="s">
        <v>53</v>
      </c>
      <c r="R1" s="2" t="s">
        <v>54</v>
      </c>
      <c r="S1" s="2" t="s">
        <v>55</v>
      </c>
      <c r="T1" s="2" t="s">
        <v>56</v>
      </c>
      <c r="U1" s="2" t="s">
        <v>57</v>
      </c>
      <c r="V1" s="2" t="s">
        <v>58</v>
      </c>
      <c r="W1" s="2" t="s">
        <v>59</v>
      </c>
      <c r="X1" s="2" t="s">
        <v>60</v>
      </c>
      <c r="Y1" s="2" t="s">
        <v>61</v>
      </c>
      <c r="Z1" s="2" t="s">
        <v>62</v>
      </c>
      <c r="AA1" s="2" t="s">
        <v>17</v>
      </c>
      <c r="AB1" s="2" t="s">
        <v>63</v>
      </c>
      <c r="AC1" s="2" t="s">
        <v>64</v>
      </c>
      <c r="AD1" s="2" t="s">
        <v>65</v>
      </c>
      <c r="AE1" s="2" t="s">
        <v>66</v>
      </c>
      <c r="AF1" s="2" t="s">
        <v>67</v>
      </c>
      <c r="AG1" s="2" t="s">
        <v>68</v>
      </c>
      <c r="AH1" s="2" t="s">
        <v>69</v>
      </c>
      <c r="AI1" s="2" t="s">
        <v>70</v>
      </c>
    </row>
    <row r="2" customFormat="false" ht="15" hidden="false" customHeight="false" outlineLevel="0" collapsed="false">
      <c r="A2" s="0" t="s">
        <v>71</v>
      </c>
      <c r="B2" s="0" t="n">
        <v>14338637</v>
      </c>
      <c r="C2" s="0" t="n">
        <v>9576742</v>
      </c>
      <c r="D2" s="0" t="n">
        <v>4761895</v>
      </c>
      <c r="E2" s="0" t="n">
        <v>33.2102</v>
      </c>
      <c r="F2" s="0" t="n">
        <v>4860229</v>
      </c>
      <c r="G2" s="0" t="n">
        <v>33.896</v>
      </c>
      <c r="H2" s="0" t="n">
        <v>5145077</v>
      </c>
      <c r="I2" s="0" t="n">
        <v>3095878</v>
      </c>
      <c r="J2" s="0" t="n">
        <v>21.5912</v>
      </c>
      <c r="K2" s="0" t="n">
        <v>0.8079</v>
      </c>
      <c r="L2" s="0" t="n">
        <v>-3581580</v>
      </c>
      <c r="M2" s="0" t="n">
        <v>1117799</v>
      </c>
      <c r="N2" s="0" t="n">
        <v>-4699379</v>
      </c>
      <c r="O2" s="0" t="n">
        <v>17800809</v>
      </c>
      <c r="P2" s="0" t="n">
        <v>43211180</v>
      </c>
      <c r="Q2" s="0" t="n">
        <v>24938299</v>
      </c>
      <c r="R2" s="0" t="n">
        <v>13373442</v>
      </c>
      <c r="S2" s="0" t="n">
        <v>1436246</v>
      </c>
      <c r="T2" s="0" t="n">
        <v>3832006.4364</v>
      </c>
      <c r="U2" s="0" t="n">
        <v>0</v>
      </c>
      <c r="AA2" s="0" t="s">
        <v>72</v>
      </c>
      <c r="AB2" s="0" t="s">
        <v>14</v>
      </c>
      <c r="AD2" s="0" t="n">
        <v>21.7</v>
      </c>
      <c r="AF2" s="0" t="n">
        <v>3077386</v>
      </c>
    </row>
    <row r="3" customFormat="false" ht="15" hidden="false" customHeight="false" outlineLevel="0" collapsed="false">
      <c r="A3" s="0" t="s">
        <v>73</v>
      </c>
      <c r="B3" s="0" t="n">
        <v>15353551</v>
      </c>
      <c r="C3" s="0" t="n">
        <v>11209669</v>
      </c>
      <c r="D3" s="0" t="n">
        <v>4143882</v>
      </c>
      <c r="E3" s="0" t="n">
        <v>26.9897</v>
      </c>
      <c r="F3" s="0" t="n">
        <v>4197873</v>
      </c>
      <c r="G3" s="0" t="n">
        <v>27.3414</v>
      </c>
      <c r="H3" s="0" t="n">
        <v>4628085</v>
      </c>
      <c r="I3" s="0" t="n">
        <v>3482922</v>
      </c>
      <c r="J3" s="0" t="n">
        <v>22.6848</v>
      </c>
      <c r="K3" s="0" t="n">
        <v>0.9089</v>
      </c>
      <c r="L3" s="0" t="n">
        <v>9061335</v>
      </c>
      <c r="M3" s="0" t="n">
        <v>729175</v>
      </c>
      <c r="N3" s="0" t="n">
        <v>8332160</v>
      </c>
      <c r="O3" s="0" t="n">
        <v>20473394</v>
      </c>
      <c r="P3" s="0" t="n">
        <v>40777982</v>
      </c>
      <c r="Q3" s="0" t="n">
        <v>19701971</v>
      </c>
      <c r="R3" s="0" t="n">
        <v>8050355</v>
      </c>
      <c r="S3" s="0" t="n">
        <v>2652565</v>
      </c>
      <c r="T3" s="0" t="n">
        <v>3832018.924</v>
      </c>
      <c r="U3" s="0" t="n">
        <v>0</v>
      </c>
      <c r="AA3" s="0" t="s">
        <v>72</v>
      </c>
      <c r="AB3" s="0" t="s">
        <v>14</v>
      </c>
      <c r="AD3" s="0" t="n">
        <v>12.5</v>
      </c>
      <c r="AF3" s="0" t="n">
        <v>3480830</v>
      </c>
    </row>
    <row r="4" customFormat="false" ht="15" hidden="false" customHeight="false" outlineLevel="0" collapsed="false">
      <c r="A4" s="0" t="s">
        <v>74</v>
      </c>
      <c r="B4" s="0" t="n">
        <v>16014348</v>
      </c>
      <c r="C4" s="0" t="n">
        <v>12295077</v>
      </c>
      <c r="D4" s="0" t="n">
        <v>3719271</v>
      </c>
      <c r="E4" s="0" t="n">
        <v>23.2246</v>
      </c>
      <c r="F4" s="0" t="n">
        <v>3699009</v>
      </c>
      <c r="G4" s="0" t="n">
        <v>23.0981</v>
      </c>
      <c r="H4" s="0" t="n">
        <v>4238393</v>
      </c>
      <c r="I4" s="0" t="n">
        <v>2459600</v>
      </c>
      <c r="J4" s="0" t="n">
        <v>15.3587</v>
      </c>
      <c r="K4" s="0" t="n">
        <v>0.6419</v>
      </c>
      <c r="L4" s="0" t="n">
        <v>3139357</v>
      </c>
      <c r="M4" s="0" t="n">
        <v>228151</v>
      </c>
      <c r="N4" s="0" t="n">
        <v>2911206</v>
      </c>
      <c r="O4" s="0" t="n">
        <v>21799389</v>
      </c>
      <c r="P4" s="0" t="n">
        <v>41246062</v>
      </c>
      <c r="Q4" s="0" t="n">
        <v>18887081</v>
      </c>
      <c r="R4" s="0" t="n">
        <v>8282421</v>
      </c>
      <c r="S4" s="0" t="n">
        <v>5992935</v>
      </c>
      <c r="T4" s="0" t="n">
        <v>3831749.4937</v>
      </c>
      <c r="U4" s="0" t="n">
        <v>0</v>
      </c>
      <c r="AA4" s="0" t="s">
        <v>72</v>
      </c>
      <c r="AB4" s="0" t="s">
        <v>14</v>
      </c>
      <c r="AD4" s="0" t="n">
        <v>20.8</v>
      </c>
      <c r="AF4" s="0" t="n">
        <v>2454241</v>
      </c>
    </row>
    <row r="5" customFormat="false" ht="15" hidden="false" customHeight="false" outlineLevel="0" collapsed="false">
      <c r="A5" s="0" t="s">
        <v>75</v>
      </c>
      <c r="B5" s="0" t="n">
        <v>15089438</v>
      </c>
      <c r="C5" s="0" t="n">
        <v>11452816</v>
      </c>
      <c r="D5" s="0" t="n">
        <v>3636622</v>
      </c>
      <c r="E5" s="0" t="n">
        <v>24.1004</v>
      </c>
      <c r="F5" s="0" t="n">
        <v>3215634</v>
      </c>
      <c r="G5" s="0" t="n">
        <v>21.3105</v>
      </c>
      <c r="H5" s="0" t="n">
        <v>3757322</v>
      </c>
      <c r="I5" s="0" t="n">
        <v>1752432</v>
      </c>
      <c r="J5" s="0" t="n">
        <v>11.6136</v>
      </c>
      <c r="K5" s="0" t="n">
        <v>0.4573</v>
      </c>
      <c r="L5" s="0" t="n">
        <v>4288066</v>
      </c>
      <c r="M5" s="0" t="n">
        <v>338146</v>
      </c>
      <c r="N5" s="0" t="n">
        <v>3949920</v>
      </c>
      <c r="O5" s="0" t="n">
        <v>22691966</v>
      </c>
      <c r="P5" s="0" t="n">
        <v>41234183</v>
      </c>
      <c r="Q5" s="0" t="n">
        <v>18035074</v>
      </c>
      <c r="R5" s="0" t="n">
        <v>7224457</v>
      </c>
      <c r="S5" s="0" t="n">
        <v>7085796</v>
      </c>
      <c r="T5" s="0" t="n">
        <v>3832127.7061</v>
      </c>
      <c r="U5" s="0" t="n">
        <v>0</v>
      </c>
      <c r="AA5" s="0" t="s">
        <v>72</v>
      </c>
      <c r="AB5" s="0" t="s">
        <v>14</v>
      </c>
      <c r="AD5" s="0" t="n">
        <v>24.2</v>
      </c>
      <c r="AF5" s="0" t="n">
        <v>1845958</v>
      </c>
    </row>
    <row r="6" customFormat="false" ht="15" hidden="false" customHeight="false" outlineLevel="0" collapsed="false">
      <c r="A6" s="0" t="s">
        <v>76</v>
      </c>
      <c r="B6" s="0" t="n">
        <v>19205596</v>
      </c>
      <c r="C6" s="0" t="n">
        <v>15893633</v>
      </c>
      <c r="D6" s="0" t="n">
        <v>3311963</v>
      </c>
      <c r="E6" s="0" t="n">
        <v>17.2448</v>
      </c>
      <c r="F6" s="0" t="n">
        <v>3600564</v>
      </c>
      <c r="G6" s="0" t="n">
        <v>18.7475</v>
      </c>
      <c r="H6" s="0" t="n">
        <v>4083122</v>
      </c>
      <c r="I6" s="0" t="n">
        <v>2931498</v>
      </c>
      <c r="J6" s="0" t="n">
        <v>15.2638</v>
      </c>
      <c r="K6" s="0" t="n">
        <v>0.7559</v>
      </c>
      <c r="L6" s="0" t="n">
        <v>1582101</v>
      </c>
      <c r="M6" s="0" t="n">
        <v>48333</v>
      </c>
      <c r="N6" s="0" t="n">
        <v>1533768</v>
      </c>
      <c r="O6" s="0" t="n">
        <v>25884714</v>
      </c>
      <c r="P6" s="0" t="n">
        <v>43372653</v>
      </c>
      <c r="Q6" s="0" t="n">
        <v>16855956</v>
      </c>
      <c r="R6" s="0" t="n">
        <v>4890746</v>
      </c>
      <c r="S6" s="0" t="n">
        <v>6195431</v>
      </c>
      <c r="T6" s="0" t="n">
        <v>3878155.8407</v>
      </c>
      <c r="U6" s="0" t="n">
        <v>0</v>
      </c>
      <c r="AA6" s="0" t="s">
        <v>72</v>
      </c>
      <c r="AB6" s="0" t="s">
        <v>14</v>
      </c>
      <c r="AD6" s="0" t="n">
        <v>16.7</v>
      </c>
      <c r="AF6" s="0" t="n">
        <v>3091922</v>
      </c>
    </row>
    <row r="7" customFormat="false" ht="15" hidden="false" customHeight="false" outlineLevel="0" collapsed="false">
      <c r="A7" s="0" t="s">
        <v>77</v>
      </c>
      <c r="B7" s="0" t="n">
        <v>23238289</v>
      </c>
      <c r="C7" s="0" t="n">
        <v>19126513</v>
      </c>
      <c r="D7" s="0" t="n">
        <v>4111776</v>
      </c>
      <c r="E7" s="0" t="n">
        <v>17.694</v>
      </c>
      <c r="F7" s="0" t="n">
        <v>4043978</v>
      </c>
      <c r="G7" s="0" t="n">
        <v>17.4022</v>
      </c>
      <c r="H7" s="0" t="n">
        <v>4576278</v>
      </c>
      <c r="I7" s="0" t="n">
        <v>3070345</v>
      </c>
      <c r="J7" s="0" t="n">
        <v>13.2124</v>
      </c>
      <c r="K7" s="0" t="n">
        <v>0.776</v>
      </c>
      <c r="L7" s="0" t="n">
        <v>1307134</v>
      </c>
      <c r="M7" s="0" t="n">
        <v>483484</v>
      </c>
      <c r="N7" s="0" t="n">
        <v>823650</v>
      </c>
      <c r="O7" s="0" t="n">
        <v>29101587</v>
      </c>
      <c r="P7" s="0" t="n">
        <v>44911484</v>
      </c>
      <c r="Q7" s="0" t="n">
        <v>15093085</v>
      </c>
      <c r="R7" s="0" t="n">
        <v>4043981</v>
      </c>
      <c r="S7" s="0" t="n">
        <v>6594143</v>
      </c>
      <c r="T7" s="0" t="n">
        <v>3956630.1546</v>
      </c>
      <c r="U7" s="0" t="n">
        <v>0</v>
      </c>
      <c r="AA7" s="0" t="s">
        <v>72</v>
      </c>
      <c r="AB7" s="0" t="s">
        <v>14</v>
      </c>
      <c r="AD7" s="0" t="n">
        <v>16.3</v>
      </c>
      <c r="AF7" s="0" t="n">
        <v>3080097</v>
      </c>
    </row>
    <row r="8" customFormat="false" ht="15" hidden="false" customHeight="false" outlineLevel="0" collapsed="false">
      <c r="A8" s="0" t="s">
        <v>78</v>
      </c>
      <c r="B8" s="0" t="n">
        <v>23597175</v>
      </c>
      <c r="C8" s="0" t="n">
        <v>19268621</v>
      </c>
      <c r="D8" s="0" t="n">
        <v>4328554</v>
      </c>
      <c r="E8" s="0" t="n">
        <v>18.3435</v>
      </c>
      <c r="F8" s="0" t="n">
        <v>4373583</v>
      </c>
      <c r="G8" s="0" t="n">
        <v>18.5343</v>
      </c>
      <c r="H8" s="0" t="n">
        <v>4869017</v>
      </c>
      <c r="I8" s="0" t="n">
        <v>3105069</v>
      </c>
      <c r="J8" s="0" t="n">
        <v>13.1586</v>
      </c>
      <c r="K8" s="0" t="n">
        <v>0.7888</v>
      </c>
      <c r="L8" s="0" t="n">
        <v>4608676</v>
      </c>
      <c r="M8" s="0" t="n">
        <v>528881</v>
      </c>
      <c r="N8" s="0" t="n">
        <v>4079795</v>
      </c>
      <c r="O8" s="0" t="n">
        <v>31095631</v>
      </c>
      <c r="P8" s="0" t="n">
        <v>45756122</v>
      </c>
      <c r="Q8" s="0" t="n">
        <v>13701597</v>
      </c>
      <c r="R8" s="0" t="n">
        <v>5032932</v>
      </c>
      <c r="S8" s="0" t="n">
        <v>10183019</v>
      </c>
      <c r="T8" s="0" t="n">
        <v>3936446.501</v>
      </c>
      <c r="U8" s="0" t="n">
        <v>0</v>
      </c>
      <c r="AA8" s="0" t="s">
        <v>72</v>
      </c>
      <c r="AB8" s="0" t="s">
        <v>14</v>
      </c>
      <c r="AC8" s="0" t="n">
        <v>0.83</v>
      </c>
      <c r="AD8" s="0" t="n">
        <v>18.7</v>
      </c>
      <c r="AF8" s="0" t="n">
        <v>3296313</v>
      </c>
    </row>
    <row r="9" customFormat="false" ht="15" hidden="false" customHeight="false" outlineLevel="0" collapsed="false">
      <c r="A9" s="0" t="s">
        <v>79</v>
      </c>
      <c r="B9" s="0" t="n">
        <v>14841266</v>
      </c>
      <c r="C9" s="0" t="n">
        <v>10619119</v>
      </c>
      <c r="D9" s="0" t="n">
        <v>4222147</v>
      </c>
      <c r="E9" s="0" t="n">
        <v>28.4487</v>
      </c>
      <c r="F9" s="0" t="n">
        <v>3365283</v>
      </c>
      <c r="G9" s="0" t="n">
        <v>22.6752</v>
      </c>
      <c r="H9" s="0" t="n">
        <v>3881419</v>
      </c>
      <c r="I9" s="0" t="n">
        <v>2516404</v>
      </c>
      <c r="J9" s="0" t="n">
        <v>16.9555</v>
      </c>
      <c r="K9" s="0" t="n">
        <v>0.6439</v>
      </c>
      <c r="L9" s="0" t="n">
        <v>-611542</v>
      </c>
      <c r="M9" s="0" t="n">
        <v>288097</v>
      </c>
      <c r="N9" s="0" t="n">
        <v>-899639</v>
      </c>
      <c r="O9" s="0" t="n">
        <v>32342355</v>
      </c>
      <c r="P9" s="0" t="n">
        <v>44910661</v>
      </c>
      <c r="Q9" s="0" t="n">
        <v>11534146</v>
      </c>
      <c r="R9" s="0" t="n">
        <v>4244053</v>
      </c>
      <c r="S9" s="0" t="n">
        <v>6633416</v>
      </c>
      <c r="T9" s="0" t="n">
        <v>3908066.4699</v>
      </c>
      <c r="U9" s="0" t="n">
        <v>0</v>
      </c>
      <c r="AA9" s="0" t="s">
        <v>72</v>
      </c>
      <c r="AB9" s="0" t="s">
        <v>14</v>
      </c>
      <c r="AD9" s="0" t="n">
        <v>26.2</v>
      </c>
      <c r="AF9" s="0" t="n">
        <v>2618053</v>
      </c>
      <c r="AG9" s="0" t="n">
        <v>45</v>
      </c>
      <c r="AH9" s="0" t="n">
        <v>3.09</v>
      </c>
    </row>
    <row r="10" customFormat="false" ht="15" hidden="false" customHeight="false" outlineLevel="0" collapsed="false">
      <c r="A10" s="0" t="s">
        <v>80</v>
      </c>
      <c r="B10" s="0" t="n">
        <v>16767906</v>
      </c>
      <c r="C10" s="0" t="n">
        <v>13137593</v>
      </c>
      <c r="D10" s="0" t="n">
        <v>3630313</v>
      </c>
      <c r="E10" s="0" t="n">
        <v>21.6504</v>
      </c>
      <c r="F10" s="0" t="n">
        <v>4951629</v>
      </c>
      <c r="G10" s="0" t="n">
        <v>29.5304</v>
      </c>
      <c r="H10" s="0" t="n">
        <v>5452220</v>
      </c>
      <c r="I10" s="0" t="n">
        <v>3698632</v>
      </c>
      <c r="J10" s="0" t="n">
        <v>22.0578</v>
      </c>
      <c r="K10" s="0" t="n">
        <v>0.9579</v>
      </c>
      <c r="L10" s="0" t="n">
        <v>6142591</v>
      </c>
      <c r="M10" s="0" t="n">
        <v>669066</v>
      </c>
      <c r="N10" s="0" t="n">
        <v>5473525</v>
      </c>
      <c r="O10" s="0" t="n">
        <v>35923416</v>
      </c>
      <c r="P10" s="0" t="n">
        <v>51612264</v>
      </c>
      <c r="Q10" s="0" t="n">
        <v>15550699</v>
      </c>
      <c r="R10" s="0" t="n">
        <v>4456593</v>
      </c>
      <c r="S10" s="0" t="n">
        <v>12363193</v>
      </c>
      <c r="T10" s="0" t="n">
        <v>3861188.0155</v>
      </c>
      <c r="U10" s="0" t="n">
        <v>0</v>
      </c>
      <c r="AA10" s="0" t="s">
        <v>72</v>
      </c>
      <c r="AB10" s="0" t="s">
        <v>14</v>
      </c>
      <c r="AC10" s="0" t="n">
        <v>7.41</v>
      </c>
      <c r="AD10" s="0" t="n">
        <v>14.3</v>
      </c>
      <c r="AF10" s="0" t="n">
        <v>3727089</v>
      </c>
      <c r="AH10" s="0" t="n">
        <v>8.5</v>
      </c>
    </row>
    <row r="11" customFormat="false" ht="15" hidden="false" customHeight="false" outlineLevel="0" collapsed="false">
      <c r="A11" s="0" t="s">
        <v>81</v>
      </c>
      <c r="B11" s="0" t="n">
        <v>20705076</v>
      </c>
      <c r="C11" s="0" t="n">
        <v>17507878</v>
      </c>
      <c r="D11" s="0" t="n">
        <v>3197198</v>
      </c>
      <c r="E11" s="0" t="n">
        <v>15.4416</v>
      </c>
      <c r="F11" s="0" t="n">
        <v>3409270</v>
      </c>
      <c r="G11" s="0" t="n">
        <v>16.4659</v>
      </c>
      <c r="H11" s="0" t="n">
        <v>3866303</v>
      </c>
      <c r="I11" s="0" t="n">
        <v>2807480</v>
      </c>
      <c r="J11" s="0" t="n">
        <v>13.5594</v>
      </c>
      <c r="K11" s="0" t="n">
        <v>0.7125</v>
      </c>
      <c r="L11" s="0" t="n">
        <v>4632391</v>
      </c>
      <c r="M11" s="0" t="n">
        <v>904847</v>
      </c>
      <c r="N11" s="0" t="n">
        <v>3727544</v>
      </c>
      <c r="O11" s="0" t="n">
        <v>17573131</v>
      </c>
      <c r="P11" s="0" t="n">
        <v>32967103</v>
      </c>
      <c r="Q11" s="0" t="n">
        <v>15262343</v>
      </c>
      <c r="R11" s="0" t="n">
        <v>4567540</v>
      </c>
      <c r="S11" s="0" t="n">
        <v>10778393</v>
      </c>
      <c r="T11" s="0" t="n">
        <v>3940322.807</v>
      </c>
      <c r="U11" s="0" t="n">
        <v>0</v>
      </c>
      <c r="AA11" s="0" t="s">
        <v>72</v>
      </c>
      <c r="AB11" s="0" t="s">
        <v>14</v>
      </c>
      <c r="AC11" s="0" t="n">
        <v>4.43</v>
      </c>
      <c r="AD11" s="0" t="n">
        <v>21.9</v>
      </c>
      <c r="AF11" s="0" t="n">
        <v>2819562</v>
      </c>
      <c r="AG11" s="0" t="n">
        <v>67</v>
      </c>
      <c r="AH11" s="0" t="n">
        <v>10.51</v>
      </c>
    </row>
    <row r="12" customFormat="false" ht="15" hidden="false" customHeight="false" outlineLevel="0" collapsed="false">
      <c r="A12" s="0" t="s">
        <v>82</v>
      </c>
      <c r="B12" s="0" t="n">
        <v>24112330</v>
      </c>
      <c r="C12" s="0" t="n">
        <v>18702077</v>
      </c>
      <c r="D12" s="0" t="n">
        <v>5410253</v>
      </c>
      <c r="E12" s="0" t="n">
        <v>22.4377</v>
      </c>
      <c r="F12" s="0" t="n">
        <v>5226606</v>
      </c>
      <c r="G12" s="0" t="n">
        <v>21.6761</v>
      </c>
      <c r="H12" s="0" t="n">
        <v>5721976</v>
      </c>
      <c r="I12" s="0" t="n">
        <v>4101548</v>
      </c>
      <c r="J12" s="0" t="n">
        <v>17.0102</v>
      </c>
      <c r="K12" s="0" t="n">
        <v>1.0382</v>
      </c>
      <c r="L12" s="0" t="n">
        <v>7973309</v>
      </c>
      <c r="M12" s="0" t="n">
        <v>790100</v>
      </c>
      <c r="N12" s="0" t="n">
        <v>7183209</v>
      </c>
      <c r="O12" s="0" t="n">
        <v>20940553</v>
      </c>
      <c r="P12" s="0" t="n">
        <v>40864327</v>
      </c>
      <c r="Q12" s="0" t="n">
        <v>19721377</v>
      </c>
      <c r="R12" s="0" t="n">
        <v>5594646</v>
      </c>
      <c r="S12" s="0" t="n">
        <v>16560685</v>
      </c>
      <c r="T12" s="0" t="n">
        <v>3950633.7893</v>
      </c>
      <c r="U12" s="0" t="n">
        <v>0</v>
      </c>
      <c r="AA12" s="0" t="s">
        <v>72</v>
      </c>
      <c r="AB12" s="0" t="s">
        <v>14</v>
      </c>
      <c r="AC12" s="0" t="n">
        <v>7.1</v>
      </c>
      <c r="AD12" s="0" t="n">
        <v>14.3</v>
      </c>
      <c r="AF12" s="0" t="n">
        <v>4069498</v>
      </c>
      <c r="AG12" s="0" t="n">
        <v>57</v>
      </c>
      <c r="AH12" s="0" t="n">
        <v>14.5</v>
      </c>
    </row>
    <row r="13" customFormat="false" ht="15" hidden="false" customHeight="false" outlineLevel="0" collapsed="false">
      <c r="A13" s="0" t="s">
        <v>83</v>
      </c>
      <c r="B13" s="0" t="n">
        <v>26541716</v>
      </c>
      <c r="C13" s="0" t="n">
        <v>18933569</v>
      </c>
      <c r="D13" s="0" t="n">
        <v>7608147</v>
      </c>
      <c r="E13" s="0" t="n">
        <v>28.6649</v>
      </c>
      <c r="F13" s="0" t="n">
        <v>8302123</v>
      </c>
      <c r="G13" s="0" t="n">
        <v>31.2795</v>
      </c>
      <c r="H13" s="0" t="n">
        <v>8763390</v>
      </c>
      <c r="I13" s="0" t="n">
        <v>6633616</v>
      </c>
      <c r="J13" s="0" t="n">
        <v>24.9932</v>
      </c>
      <c r="K13" s="0" t="n">
        <v>1.6791</v>
      </c>
      <c r="L13" s="0" t="n">
        <v>12961071</v>
      </c>
      <c r="M13" s="0" t="n">
        <v>1056461</v>
      </c>
      <c r="N13" s="0" t="n">
        <v>11904610</v>
      </c>
      <c r="O13" s="0" t="n">
        <v>26277952</v>
      </c>
      <c r="P13" s="0" t="n">
        <v>54556325</v>
      </c>
      <c r="Q13" s="0" t="n">
        <v>28179196</v>
      </c>
      <c r="R13" s="0" t="n">
        <v>6800000</v>
      </c>
      <c r="S13" s="0" t="n">
        <v>28119740</v>
      </c>
      <c r="T13" s="0" t="n">
        <v>3950697.3974</v>
      </c>
      <c r="U13" s="0" t="n">
        <v>0</v>
      </c>
      <c r="AA13" s="0" t="s">
        <v>72</v>
      </c>
      <c r="AB13" s="0" t="s">
        <v>14</v>
      </c>
      <c r="AC13" s="0" t="n">
        <v>14.6</v>
      </c>
      <c r="AD13" s="0" t="n">
        <v>14.1</v>
      </c>
      <c r="AE13" s="0" t="n">
        <v>40829</v>
      </c>
      <c r="AF13" s="0" t="n">
        <v>6634263</v>
      </c>
      <c r="AH13" s="0" t="n">
        <v>24.4</v>
      </c>
    </row>
    <row r="14" customFormat="false" ht="15" hidden="false" customHeight="false" outlineLevel="0" collapsed="false">
      <c r="A14" s="0" t="s">
        <v>84</v>
      </c>
      <c r="B14" s="0" t="n">
        <v>28504820</v>
      </c>
      <c r="C14" s="0" t="n">
        <v>18743847</v>
      </c>
      <c r="D14" s="0" t="n">
        <v>9760973</v>
      </c>
      <c r="E14" s="0" t="n">
        <v>34.2432</v>
      </c>
      <c r="F14" s="0" t="n">
        <v>10791992</v>
      </c>
      <c r="G14" s="0" t="n">
        <v>37.8602</v>
      </c>
      <c r="H14" s="0" t="n">
        <v>11321876</v>
      </c>
      <c r="I14" s="0" t="n">
        <v>8637076</v>
      </c>
      <c r="J14" s="0" t="n">
        <v>30.3004</v>
      </c>
      <c r="K14" s="0" t="n">
        <v>2.1923</v>
      </c>
      <c r="L14" s="0" t="n">
        <v>4464550</v>
      </c>
      <c r="M14" s="0" t="n">
        <v>1952959</v>
      </c>
      <c r="N14" s="0" t="n">
        <v>2511591</v>
      </c>
      <c r="O14" s="0" t="n">
        <v>32141914</v>
      </c>
      <c r="P14" s="0" t="n">
        <v>58333847</v>
      </c>
      <c r="Q14" s="0" t="n">
        <v>26076025</v>
      </c>
      <c r="R14" s="0" t="n">
        <v>5500000</v>
      </c>
      <c r="S14" s="0" t="n">
        <v>20075701</v>
      </c>
      <c r="T14" s="0" t="n">
        <v>3939732.7008</v>
      </c>
      <c r="U14" s="0" t="n">
        <v>0</v>
      </c>
      <c r="AA14" s="0" t="s">
        <v>72</v>
      </c>
      <c r="AB14" s="0" t="s">
        <v>14</v>
      </c>
      <c r="AC14" s="0" t="n">
        <v>2.5</v>
      </c>
      <c r="AD14" s="0" t="n">
        <v>12.8</v>
      </c>
      <c r="AE14" s="0" t="n">
        <v>181105</v>
      </c>
      <c r="AF14" s="0" t="n">
        <v>8631892</v>
      </c>
      <c r="AG14" s="0" t="n">
        <v>56</v>
      </c>
      <c r="AH14" s="0" t="n">
        <v>22.4</v>
      </c>
      <c r="AI14" s="0" t="n">
        <v>6068489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85</v>
      </c>
      <c r="B1" s="2" t="s">
        <v>86</v>
      </c>
    </row>
    <row r="2" customFormat="false" ht="15" hidden="false" customHeight="false" outlineLevel="0" collapsed="false">
      <c r="A2" s="0" t="s">
        <v>87</v>
      </c>
      <c r="B2" s="3" t="n">
        <v>4.88</v>
      </c>
    </row>
    <row r="3" customFormat="false" ht="15" hidden="false" customHeight="false" outlineLevel="0" collapsed="false">
      <c r="A3" s="0" t="s">
        <v>88</v>
      </c>
      <c r="B3" s="3" t="n">
        <v>3935.589</v>
      </c>
    </row>
    <row r="4" customFormat="false" ht="15" hidden="false" customHeight="false" outlineLevel="0" collapsed="false">
      <c r="A4" s="0" t="s">
        <v>89</v>
      </c>
      <c r="B4" s="3" t="n">
        <v>-20644.19</v>
      </c>
    </row>
    <row r="5" customFormat="false" ht="15" hidden="false" customHeight="false" outlineLevel="0" collapsed="false">
      <c r="A5" s="0" t="s">
        <v>90</v>
      </c>
      <c r="B5" s="3" t="n">
        <v>-3562.86</v>
      </c>
    </row>
    <row r="6" customFormat="false" ht="15" hidden="false" customHeight="false" outlineLevel="0" collapsed="false">
      <c r="A6" s="0" t="s">
        <v>91</v>
      </c>
      <c r="B6" s="3" t="n">
        <v>15</v>
      </c>
    </row>
    <row r="7" customFormat="false" ht="15" hidden="false" customHeight="false" outlineLevel="0" collapsed="false">
      <c r="A7" s="0" t="s">
        <v>92</v>
      </c>
      <c r="B7" s="3" t="n">
        <v>28504.82</v>
      </c>
    </row>
    <row r="8" customFormat="false" ht="15" hidden="false" customHeight="false" outlineLevel="0" collapsed="false">
      <c r="A8" s="0" t="s">
        <v>93</v>
      </c>
      <c r="B8" s="3" t="s">
        <v>84</v>
      </c>
    </row>
    <row r="9" customFormat="false" ht="15" hidden="false" customHeight="false" outlineLevel="0" collapsed="false">
      <c r="A9" s="0" t="s">
        <v>94</v>
      </c>
      <c r="B9" s="3" t="s">
        <v>95</v>
      </c>
    </row>
    <row r="10" customFormat="false" ht="15" hidden="false" customHeight="false" outlineLevel="0" collapsed="false">
      <c r="A10" s="0" t="s">
        <v>96</v>
      </c>
      <c r="B10" s="3" t="n">
        <v>0.1911</v>
      </c>
    </row>
    <row r="12" customFormat="false" ht="15" hidden="false" customHeight="false" outlineLevel="0" collapsed="false">
      <c r="A12" s="2" t="s">
        <v>97</v>
      </c>
      <c r="C12" s="2" t="s">
        <v>98</v>
      </c>
      <c r="D12" s="2" t="s">
        <v>99</v>
      </c>
      <c r="E12" s="2" t="s">
        <v>100</v>
      </c>
      <c r="F12" s="2" t="s">
        <v>101</v>
      </c>
      <c r="G12" s="2" t="s">
        <v>102</v>
      </c>
      <c r="H12" s="2" t="s">
        <v>103</v>
      </c>
      <c r="I12" s="2" t="s">
        <v>104</v>
      </c>
      <c r="J12" s="2" t="s">
        <v>105</v>
      </c>
      <c r="K12" s="2" t="s">
        <v>106</v>
      </c>
      <c r="L12" s="2" t="s">
        <v>107</v>
      </c>
    </row>
    <row r="13" customFormat="false" ht="15" hidden="false" customHeight="false" outlineLevel="0" collapsed="false">
      <c r="A13" s="0" t="s">
        <v>108</v>
      </c>
      <c r="C13" s="3" t="n">
        <v>14</v>
      </c>
      <c r="D13" s="3" t="n">
        <v>0</v>
      </c>
      <c r="E13" s="3" t="n">
        <v>-4</v>
      </c>
      <c r="F13" s="3" t="n">
        <v>-10</v>
      </c>
      <c r="G13" s="3" t="n">
        <v>-15</v>
      </c>
      <c r="H13" s="3" t="n">
        <v>-12</v>
      </c>
      <c r="I13" s="3" t="n">
        <v>-5</v>
      </c>
      <c r="J13" s="3" t="n">
        <v>0</v>
      </c>
      <c r="K13" s="3" t="n">
        <v>2</v>
      </c>
      <c r="L13" s="3" t="n">
        <v>2</v>
      </c>
    </row>
    <row r="14" customFormat="false" ht="15" hidden="false" customHeight="false" outlineLevel="0" collapsed="false">
      <c r="A14" s="0" t="s">
        <v>109</v>
      </c>
      <c r="C14" s="3" t="n">
        <v>32</v>
      </c>
      <c r="D14" s="3" t="n">
        <v>28</v>
      </c>
      <c r="E14" s="3" t="n">
        <v>24</v>
      </c>
      <c r="F14" s="3" t="n">
        <v>20</v>
      </c>
      <c r="G14" s="3" t="n">
        <v>15</v>
      </c>
      <c r="H14" s="3" t="n">
        <v>11</v>
      </c>
      <c r="I14" s="3" t="n">
        <v>9</v>
      </c>
      <c r="J14" s="3" t="n">
        <v>9</v>
      </c>
      <c r="K14" s="3" t="n">
        <v>9.5</v>
      </c>
      <c r="L14" s="3" t="n">
        <v>10</v>
      </c>
    </row>
    <row r="15" customFormat="false" ht="15" hidden="false" customHeight="false" outlineLevel="0" collapsed="false">
      <c r="A15" s="0" t="s">
        <v>110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</row>
    <row r="16" customFormat="false" ht="15" hidden="false" customHeight="false" outlineLevel="0" collapsed="false">
      <c r="A16" s="0" t="s">
        <v>111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112</v>
      </c>
      <c r="C17" s="3" t="n">
        <v>2</v>
      </c>
      <c r="D17" s="3" t="n">
        <v>2.3</v>
      </c>
      <c r="E17" s="3" t="n">
        <v>2.6</v>
      </c>
      <c r="F17" s="3" t="n">
        <v>2.8</v>
      </c>
      <c r="G17" s="3" t="n">
        <v>3</v>
      </c>
      <c r="H17" s="3" t="n">
        <v>3</v>
      </c>
      <c r="I17" s="3" t="n">
        <v>3</v>
      </c>
      <c r="J17" s="3" t="n">
        <v>3</v>
      </c>
      <c r="K17" s="3" t="n">
        <v>2.9</v>
      </c>
      <c r="L17" s="3" t="n">
        <v>2.8</v>
      </c>
    </row>
    <row r="18" customFormat="false" ht="15" hidden="false" customHeight="false" outlineLevel="0" collapsed="false">
      <c r="A18" s="0" t="s">
        <v>113</v>
      </c>
      <c r="C18" s="3" t="n">
        <v>8</v>
      </c>
      <c r="D18" s="3" t="n">
        <v>6.5</v>
      </c>
      <c r="E18" s="3" t="n">
        <v>4</v>
      </c>
      <c r="F18" s="3" t="n">
        <v>2.8</v>
      </c>
      <c r="G18" s="3" t="n">
        <v>2.6</v>
      </c>
      <c r="H18" s="3" t="n">
        <v>2.6</v>
      </c>
      <c r="I18" s="3" t="n">
        <v>2.6</v>
      </c>
      <c r="J18" s="3" t="n">
        <v>2.7</v>
      </c>
      <c r="K18" s="3" t="n">
        <v>2.8</v>
      </c>
      <c r="L18" s="3" t="n">
        <v>2.8</v>
      </c>
    </row>
    <row r="19" customFormat="false" ht="15" hidden="false" customHeight="false" outlineLevel="0" collapsed="false">
      <c r="A19" s="0" t="s">
        <v>114</v>
      </c>
      <c r="C19" s="3" t="n">
        <v>20</v>
      </c>
      <c r="D19" s="3" t="n">
        <v>20</v>
      </c>
      <c r="E19" s="3" t="n">
        <v>20</v>
      </c>
      <c r="F19" s="3" t="n">
        <v>20</v>
      </c>
      <c r="G19" s="3" t="n">
        <v>20</v>
      </c>
      <c r="H19" s="3" t="n">
        <v>20</v>
      </c>
      <c r="I19" s="3" t="n">
        <v>20</v>
      </c>
      <c r="J19" s="3" t="n">
        <v>20</v>
      </c>
      <c r="K19" s="3" t="n">
        <v>20</v>
      </c>
      <c r="L19" s="3" t="n">
        <v>20</v>
      </c>
    </row>
    <row r="20" customFormat="false" ht="15" hidden="false" customHeight="false" outlineLevel="0" collapsed="false">
      <c r="A20" s="0" t="s">
        <v>115</v>
      </c>
      <c r="B20" s="3" t="n">
        <v>9.5</v>
      </c>
    </row>
    <row r="21" customFormat="false" ht="15" hidden="false" customHeight="false" outlineLevel="0" collapsed="false">
      <c r="A21" s="0" t="s">
        <v>116</v>
      </c>
      <c r="B21" s="3" t="n">
        <v>1.5</v>
      </c>
    </row>
    <row r="22" customFormat="false" ht="15" hidden="false" customHeight="false" outlineLevel="0" collapsed="false">
      <c r="A22" s="0" t="s">
        <v>117</v>
      </c>
      <c r="B22" s="3" t="n">
        <v>12</v>
      </c>
    </row>
    <row r="23" customFormat="false" ht="15" hidden="false" customHeight="false" outlineLevel="0" collapsed="false">
      <c r="A23" s="0" t="s">
        <v>118</v>
      </c>
      <c r="B23" s="3" t="n">
        <v>15</v>
      </c>
    </row>
    <row r="24" customFormat="false" ht="15" hidden="false" customHeight="false" outlineLevel="0" collapsed="false">
      <c r="A24" s="0" t="s">
        <v>119</v>
      </c>
      <c r="B24" s="3" t="n">
        <v>0.25</v>
      </c>
    </row>
    <row r="26" customFormat="false" ht="15" hidden="false" customHeight="false" outlineLevel="0" collapsed="false">
      <c r="A26" s="2" t="s">
        <v>120</v>
      </c>
      <c r="C26" s="2" t="s">
        <v>98</v>
      </c>
      <c r="D26" s="2" t="s">
        <v>99</v>
      </c>
      <c r="E26" s="2" t="s">
        <v>100</v>
      </c>
      <c r="F26" s="2" t="s">
        <v>101</v>
      </c>
      <c r="G26" s="2" t="s">
        <v>102</v>
      </c>
      <c r="H26" s="2" t="s">
        <v>103</v>
      </c>
      <c r="I26" s="2" t="s">
        <v>104</v>
      </c>
      <c r="J26" s="2" t="s">
        <v>105</v>
      </c>
      <c r="K26" s="2" t="s">
        <v>106</v>
      </c>
      <c r="L26" s="2" t="s">
        <v>107</v>
      </c>
    </row>
    <row r="27" customFormat="false" ht="15" hidden="false" customHeight="false" outlineLevel="0" collapsed="false">
      <c r="A27" s="0" t="s">
        <v>108</v>
      </c>
      <c r="C27" s="3" t="n">
        <v>20</v>
      </c>
      <c r="D27" s="3" t="n">
        <v>5</v>
      </c>
      <c r="E27" s="3" t="n">
        <v>3</v>
      </c>
      <c r="F27" s="3" t="n">
        <v>-3</v>
      </c>
      <c r="G27" s="3" t="n">
        <v>-10</v>
      </c>
      <c r="H27" s="3" t="n">
        <v>-10</v>
      </c>
      <c r="I27" s="3" t="n">
        <v>-5</v>
      </c>
      <c r="J27" s="3" t="n">
        <v>2</v>
      </c>
      <c r="K27" s="3" t="n">
        <v>2.5</v>
      </c>
      <c r="L27" s="3" t="n">
        <v>2.5</v>
      </c>
    </row>
    <row r="28" customFormat="false" ht="15" hidden="false" customHeight="false" outlineLevel="0" collapsed="false">
      <c r="A28" s="0" t="s">
        <v>109</v>
      </c>
      <c r="C28" s="3" t="n">
        <v>33</v>
      </c>
      <c r="D28" s="3" t="n">
        <v>31.5</v>
      </c>
      <c r="E28" s="3" t="n">
        <v>29.5</v>
      </c>
      <c r="F28" s="3" t="n">
        <v>26.5</v>
      </c>
      <c r="G28" s="3" t="n">
        <v>22.5</v>
      </c>
      <c r="H28" s="3" t="n">
        <v>19</v>
      </c>
      <c r="I28" s="3" t="n">
        <v>17</v>
      </c>
      <c r="J28" s="3" t="n">
        <v>16</v>
      </c>
      <c r="K28" s="3" t="n">
        <v>15.5</v>
      </c>
      <c r="L28" s="3" t="n">
        <v>15</v>
      </c>
    </row>
    <row r="29" customFormat="false" ht="15" hidden="false" customHeight="false" outlineLevel="0" collapsed="false">
      <c r="A29" s="0" t="s">
        <v>110</v>
      </c>
      <c r="C29" s="3" t="n">
        <v>0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</row>
    <row r="30" customFormat="false" ht="15" hidden="false" customHeight="false" outlineLevel="0" collapsed="false">
      <c r="A30" s="0" t="s">
        <v>111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112</v>
      </c>
      <c r="C31" s="3" t="n">
        <v>2</v>
      </c>
      <c r="D31" s="3" t="n">
        <v>2.2</v>
      </c>
      <c r="E31" s="3" t="n">
        <v>2.4</v>
      </c>
      <c r="F31" s="3" t="n">
        <v>2.5</v>
      </c>
      <c r="G31" s="3" t="n">
        <v>2.6</v>
      </c>
      <c r="H31" s="3" t="n">
        <v>2.6</v>
      </c>
      <c r="I31" s="3" t="n">
        <v>2.6</v>
      </c>
      <c r="J31" s="3" t="n">
        <v>2.5</v>
      </c>
      <c r="K31" s="3" t="n">
        <v>2.5</v>
      </c>
      <c r="L31" s="3" t="n">
        <v>2.5</v>
      </c>
    </row>
    <row r="32" customFormat="false" ht="15" hidden="false" customHeight="false" outlineLevel="0" collapsed="false">
      <c r="A32" s="0" t="s">
        <v>113</v>
      </c>
      <c r="C32" s="3" t="n">
        <v>8</v>
      </c>
      <c r="D32" s="3" t="n">
        <v>7</v>
      </c>
      <c r="E32" s="3" t="n">
        <v>4.5</v>
      </c>
      <c r="F32" s="3" t="n">
        <v>3.2</v>
      </c>
      <c r="G32" s="3" t="n">
        <v>2.8</v>
      </c>
      <c r="H32" s="3" t="n">
        <v>2.8</v>
      </c>
      <c r="I32" s="3" t="n">
        <v>2.8</v>
      </c>
      <c r="J32" s="3" t="n">
        <v>2.8</v>
      </c>
      <c r="K32" s="3" t="n">
        <v>2.8</v>
      </c>
      <c r="L32" s="3" t="n">
        <v>2.8</v>
      </c>
    </row>
    <row r="33" customFormat="false" ht="15" hidden="false" customHeight="false" outlineLevel="0" collapsed="false">
      <c r="A33" s="0" t="s">
        <v>114</v>
      </c>
      <c r="C33" s="3" t="n">
        <v>20</v>
      </c>
      <c r="D33" s="3" t="n">
        <v>20</v>
      </c>
      <c r="E33" s="3" t="n">
        <v>20</v>
      </c>
      <c r="F33" s="3" t="n">
        <v>20</v>
      </c>
      <c r="G33" s="3" t="n">
        <v>20</v>
      </c>
      <c r="H33" s="3" t="n">
        <v>20</v>
      </c>
      <c r="I33" s="3" t="n">
        <v>20</v>
      </c>
      <c r="J33" s="3" t="n">
        <v>20</v>
      </c>
      <c r="K33" s="3" t="n">
        <v>20</v>
      </c>
      <c r="L33" s="3" t="n">
        <v>20</v>
      </c>
    </row>
    <row r="34" customFormat="false" ht="15" hidden="false" customHeight="false" outlineLevel="0" collapsed="false">
      <c r="A34" s="0" t="s">
        <v>115</v>
      </c>
      <c r="B34" s="3" t="n">
        <v>9.5</v>
      </c>
    </row>
    <row r="35" customFormat="false" ht="15" hidden="false" customHeight="false" outlineLevel="0" collapsed="false">
      <c r="A35" s="0" t="s">
        <v>116</v>
      </c>
      <c r="B35" s="3" t="n">
        <v>2</v>
      </c>
    </row>
    <row r="36" customFormat="false" ht="15" hidden="false" customHeight="false" outlineLevel="0" collapsed="false">
      <c r="A36" s="0" t="s">
        <v>117</v>
      </c>
      <c r="B36" s="3" t="n">
        <v>12</v>
      </c>
    </row>
    <row r="37" customFormat="false" ht="15" hidden="false" customHeight="false" outlineLevel="0" collapsed="false">
      <c r="A37" s="0" t="s">
        <v>118</v>
      </c>
      <c r="B37" s="3" t="n">
        <v>15</v>
      </c>
    </row>
    <row r="38" customFormat="false" ht="15" hidden="false" customHeight="false" outlineLevel="0" collapsed="false">
      <c r="A38" s="0" t="s">
        <v>119</v>
      </c>
      <c r="B38" s="3" t="n">
        <v>0.5</v>
      </c>
    </row>
    <row r="40" customFormat="false" ht="15" hidden="false" customHeight="false" outlineLevel="0" collapsed="false">
      <c r="A40" s="2" t="s">
        <v>121</v>
      </c>
      <c r="C40" s="2" t="s">
        <v>98</v>
      </c>
      <c r="D40" s="2" t="s">
        <v>99</v>
      </c>
      <c r="E40" s="2" t="s">
        <v>100</v>
      </c>
      <c r="F40" s="2" t="s">
        <v>101</v>
      </c>
      <c r="G40" s="2" t="s">
        <v>102</v>
      </c>
      <c r="H40" s="2" t="s">
        <v>103</v>
      </c>
      <c r="I40" s="2" t="s">
        <v>104</v>
      </c>
      <c r="J40" s="2" t="s">
        <v>105</v>
      </c>
      <c r="K40" s="2" t="s">
        <v>106</v>
      </c>
      <c r="L40" s="2" t="s">
        <v>107</v>
      </c>
    </row>
    <row r="41" customFormat="false" ht="15" hidden="false" customHeight="false" outlineLevel="0" collapsed="false">
      <c r="A41" s="0" t="s">
        <v>108</v>
      </c>
      <c r="C41" s="3" t="n">
        <v>25</v>
      </c>
      <c r="D41" s="3" t="n">
        <v>7</v>
      </c>
      <c r="E41" s="3" t="n">
        <v>5</v>
      </c>
      <c r="F41" s="3" t="n">
        <v>2</v>
      </c>
      <c r="G41" s="3" t="n">
        <v>-2</v>
      </c>
      <c r="H41" s="3" t="n">
        <v>-4</v>
      </c>
      <c r="I41" s="3" t="n">
        <v>0</v>
      </c>
      <c r="J41" s="3" t="n">
        <v>3</v>
      </c>
      <c r="K41" s="3" t="n">
        <v>3</v>
      </c>
      <c r="L41" s="3" t="n">
        <v>3</v>
      </c>
    </row>
    <row r="42" customFormat="false" ht="15" hidden="false" customHeight="false" outlineLevel="0" collapsed="false">
      <c r="A42" s="0" t="s">
        <v>109</v>
      </c>
      <c r="C42" s="3" t="n">
        <v>34</v>
      </c>
      <c r="D42" s="3" t="n">
        <v>33.5</v>
      </c>
      <c r="E42" s="3" t="n">
        <v>32.5</v>
      </c>
      <c r="F42" s="3" t="n">
        <v>30.5</v>
      </c>
      <c r="G42" s="3" t="n">
        <v>27.5</v>
      </c>
      <c r="H42" s="3" t="n">
        <v>24.5</v>
      </c>
      <c r="I42" s="3" t="n">
        <v>22.5</v>
      </c>
      <c r="J42" s="3" t="n">
        <v>21</v>
      </c>
      <c r="K42" s="3" t="n">
        <v>20</v>
      </c>
      <c r="L42" s="3" t="n">
        <v>20</v>
      </c>
    </row>
    <row r="43" customFormat="false" ht="15" hidden="false" customHeight="false" outlineLevel="0" collapsed="false">
      <c r="A43" s="0" t="s">
        <v>110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</row>
    <row r="44" customFormat="false" ht="15" hidden="false" customHeight="false" outlineLevel="0" collapsed="false">
      <c r="A44" s="0" t="s">
        <v>111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112</v>
      </c>
      <c r="C45" s="3" t="n">
        <v>2</v>
      </c>
      <c r="D45" s="3" t="n">
        <v>2.2</v>
      </c>
      <c r="E45" s="3" t="n">
        <v>2.4</v>
      </c>
      <c r="F45" s="3" t="n">
        <v>2.5</v>
      </c>
      <c r="G45" s="3" t="n">
        <v>2.5</v>
      </c>
      <c r="H45" s="3" t="n">
        <v>2.5</v>
      </c>
      <c r="I45" s="3" t="n">
        <v>2.5</v>
      </c>
      <c r="J45" s="3" t="n">
        <v>2.5</v>
      </c>
      <c r="K45" s="3" t="n">
        <v>2.5</v>
      </c>
      <c r="L45" s="3" t="n">
        <v>2.5</v>
      </c>
    </row>
    <row r="46" customFormat="false" ht="15" hidden="false" customHeight="false" outlineLevel="0" collapsed="false">
      <c r="A46" s="0" t="s">
        <v>113</v>
      </c>
      <c r="C46" s="3" t="n">
        <v>8.5</v>
      </c>
      <c r="D46" s="3" t="n">
        <v>7.5</v>
      </c>
      <c r="E46" s="3" t="n">
        <v>5</v>
      </c>
      <c r="F46" s="3" t="n">
        <v>3.4</v>
      </c>
      <c r="G46" s="3" t="n">
        <v>3</v>
      </c>
      <c r="H46" s="3" t="n">
        <v>3</v>
      </c>
      <c r="I46" s="3" t="n">
        <v>3</v>
      </c>
      <c r="J46" s="3" t="n">
        <v>3</v>
      </c>
      <c r="K46" s="3" t="n">
        <v>3</v>
      </c>
      <c r="L46" s="3" t="n">
        <v>3</v>
      </c>
    </row>
    <row r="47" customFormat="false" ht="15" hidden="false" customHeight="false" outlineLevel="0" collapsed="false">
      <c r="A47" s="0" t="s">
        <v>114</v>
      </c>
      <c r="C47" s="3" t="n">
        <v>20</v>
      </c>
      <c r="D47" s="3" t="n">
        <v>20</v>
      </c>
      <c r="E47" s="3" t="n">
        <v>20</v>
      </c>
      <c r="F47" s="3" t="n">
        <v>20</v>
      </c>
      <c r="G47" s="3" t="n">
        <v>20</v>
      </c>
      <c r="H47" s="3" t="n">
        <v>20</v>
      </c>
      <c r="I47" s="3" t="n">
        <v>20</v>
      </c>
      <c r="J47" s="3" t="n">
        <v>20</v>
      </c>
      <c r="K47" s="3" t="n">
        <v>20</v>
      </c>
      <c r="L47" s="3" t="n">
        <v>20</v>
      </c>
    </row>
    <row r="48" customFormat="false" ht="15" hidden="false" customHeight="false" outlineLevel="0" collapsed="false">
      <c r="A48" s="0" t="s">
        <v>115</v>
      </c>
      <c r="B48" s="3" t="n">
        <v>9.5</v>
      </c>
    </row>
    <row r="49" customFormat="false" ht="15" hidden="false" customHeight="false" outlineLevel="0" collapsed="false">
      <c r="A49" s="0" t="s">
        <v>116</v>
      </c>
      <c r="B49" s="3" t="n">
        <v>2.5</v>
      </c>
    </row>
    <row r="50" customFormat="false" ht="15" hidden="false" customHeight="false" outlineLevel="0" collapsed="false">
      <c r="A50" s="0" t="s">
        <v>117</v>
      </c>
      <c r="B50" s="3" t="n">
        <v>12</v>
      </c>
    </row>
    <row r="51" customFormat="false" ht="15" hidden="false" customHeight="false" outlineLevel="0" collapsed="false">
      <c r="A51" s="0" t="s">
        <v>118</v>
      </c>
      <c r="B51" s="3" t="n">
        <v>15</v>
      </c>
    </row>
    <row r="52" customFormat="false" ht="15" hidden="false" customHeight="false" outlineLevel="0" collapsed="false">
      <c r="A52" s="0" t="s">
        <v>119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122</v>
      </c>
    </row>
    <row r="3" customFormat="false" ht="15" hidden="false" customHeight="false" outlineLevel="0" collapsed="false">
      <c r="A3" s="0" t="s">
        <v>123</v>
      </c>
      <c r="B3" s="0" t="s">
        <v>84</v>
      </c>
      <c r="C3" s="2" t="s">
        <v>98</v>
      </c>
      <c r="D3" s="2" t="s">
        <v>99</v>
      </c>
      <c r="E3" s="2" t="s">
        <v>100</v>
      </c>
      <c r="F3" s="2" t="s">
        <v>101</v>
      </c>
      <c r="G3" s="2" t="s">
        <v>102</v>
      </c>
      <c r="H3" s="2" t="s">
        <v>103</v>
      </c>
      <c r="I3" s="2" t="s">
        <v>104</v>
      </c>
      <c r="J3" s="2" t="s">
        <v>105</v>
      </c>
      <c r="K3" s="2" t="s">
        <v>106</v>
      </c>
      <c r="L3" s="2" t="s">
        <v>107</v>
      </c>
    </row>
    <row r="4" customFormat="false" ht="15" hidden="false" customHeight="false" outlineLevel="0" collapsed="false">
      <c r="A4" s="0" t="s">
        <v>124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108</v>
      </c>
      <c r="C5" s="4" t="n">
        <f aca="false">Assumptions!C13</f>
        <v>14</v>
      </c>
      <c r="D5" s="4" t="n">
        <f aca="false">Assumptions!D13</f>
        <v>0</v>
      </c>
      <c r="E5" s="4" t="n">
        <f aca="false">Assumptions!E13</f>
        <v>-4</v>
      </c>
      <c r="F5" s="4" t="n">
        <f aca="false">Assumptions!F13</f>
        <v>-10</v>
      </c>
      <c r="G5" s="4" t="n">
        <f aca="false">Assumptions!G13</f>
        <v>-15</v>
      </c>
      <c r="H5" s="4" t="n">
        <f aca="false">Assumptions!H13</f>
        <v>-12</v>
      </c>
      <c r="I5" s="4" t="n">
        <f aca="false">Assumptions!I13</f>
        <v>-5</v>
      </c>
      <c r="J5" s="4" t="n">
        <f aca="false">Assumptions!J13</f>
        <v>0</v>
      </c>
      <c r="K5" s="4" t="n">
        <f aca="false">Assumptions!K13</f>
        <v>2</v>
      </c>
      <c r="L5" s="4" t="n">
        <f aca="false">Assumptions!L13</f>
        <v>2</v>
      </c>
    </row>
    <row r="6" customFormat="false" ht="15" hidden="false" customHeight="false" outlineLevel="0" collapsed="false">
      <c r="A6" s="0" t="s">
        <v>38</v>
      </c>
      <c r="B6" s="3" t="n">
        <v>28504.82</v>
      </c>
      <c r="C6" s="0" t="n">
        <f aca="false">B6*(1+C5/100)</f>
        <v>32495.4948</v>
      </c>
      <c r="D6" s="0" t="n">
        <f aca="false">C6*(1+D5/100)</f>
        <v>32495.4948</v>
      </c>
      <c r="E6" s="0" t="n">
        <f aca="false">D6*(1+E5/100)</f>
        <v>31195.675008</v>
      </c>
      <c r="F6" s="0" t="n">
        <f aca="false">E6*(1+F5/100)</f>
        <v>28076.1075072</v>
      </c>
      <c r="G6" s="0" t="n">
        <f aca="false">F6*(1+G5/100)</f>
        <v>23864.69138112</v>
      </c>
      <c r="H6" s="0" t="n">
        <f aca="false">G6*(1+H5/100)</f>
        <v>21000.9284153856</v>
      </c>
      <c r="I6" s="0" t="n">
        <f aca="false">H6*(1+I5/100)</f>
        <v>19950.8819946163</v>
      </c>
      <c r="J6" s="0" t="n">
        <f aca="false">I6*(1+J5/100)</f>
        <v>19950.8819946163</v>
      </c>
      <c r="K6" s="0" t="n">
        <f aca="false">J6*(1+K5/100)</f>
        <v>20349.8996345086</v>
      </c>
      <c r="L6" s="0" t="n">
        <f aca="false">K6*(1+L5/100)</f>
        <v>20756.8976271988</v>
      </c>
    </row>
    <row r="7" customFormat="false" ht="15" hidden="false" customHeight="false" outlineLevel="0" collapsed="false">
      <c r="A7" s="0" t="s">
        <v>109</v>
      </c>
      <c r="C7" s="4" t="n">
        <f aca="false">Assumptions!C14</f>
        <v>32</v>
      </c>
      <c r="D7" s="4" t="n">
        <f aca="false">Assumptions!D14</f>
        <v>28</v>
      </c>
      <c r="E7" s="4" t="n">
        <f aca="false">Assumptions!E14</f>
        <v>24</v>
      </c>
      <c r="F7" s="4" t="n">
        <f aca="false">Assumptions!F14</f>
        <v>20</v>
      </c>
      <c r="G7" s="4" t="n">
        <f aca="false">Assumptions!G14</f>
        <v>15</v>
      </c>
      <c r="H7" s="4" t="n">
        <f aca="false">Assumptions!H14</f>
        <v>11</v>
      </c>
      <c r="I7" s="4" t="n">
        <f aca="false">Assumptions!I14</f>
        <v>9</v>
      </c>
      <c r="J7" s="4" t="n">
        <f aca="false">Assumptions!J14</f>
        <v>9</v>
      </c>
      <c r="K7" s="4" t="n">
        <f aca="false">Assumptions!K14</f>
        <v>9.5</v>
      </c>
      <c r="L7" s="4" t="n">
        <f aca="false">Assumptions!L14</f>
        <v>10</v>
      </c>
    </row>
    <row r="8" customFormat="false" ht="15" hidden="false" customHeight="false" outlineLevel="0" collapsed="false">
      <c r="A8" s="0" t="s">
        <v>44</v>
      </c>
      <c r="C8" s="0" t="n">
        <f aca="false">C6*C7/100</f>
        <v>10398.558336</v>
      </c>
      <c r="D8" s="0" t="n">
        <f aca="false">D6*D7/100</f>
        <v>9098.738544</v>
      </c>
      <c r="E8" s="0" t="n">
        <f aca="false">E6*E7/100</f>
        <v>7486.96200192</v>
      </c>
      <c r="F8" s="0" t="n">
        <f aca="false">F6*F7/100</f>
        <v>5615.22150144</v>
      </c>
      <c r="G8" s="0" t="n">
        <f aca="false">G6*G7/100</f>
        <v>3579.703707168</v>
      </c>
      <c r="H8" s="0" t="n">
        <f aca="false">H6*H7/100</f>
        <v>2310.10212569242</v>
      </c>
      <c r="I8" s="0" t="n">
        <f aca="false">I6*I7/100</f>
        <v>1795.57937951547</v>
      </c>
      <c r="J8" s="0" t="n">
        <f aca="false">J6*J7/100</f>
        <v>1795.57937951547</v>
      </c>
      <c r="K8" s="0" t="n">
        <f aca="false">K6*K7/100</f>
        <v>1933.24046527832</v>
      </c>
      <c r="L8" s="0" t="n">
        <f aca="false">L6*L7/100</f>
        <v>2075.68976271988</v>
      </c>
    </row>
    <row r="9" customFormat="false" ht="15" hidden="false" customHeight="false" outlineLevel="0" collapsed="false">
      <c r="A9" s="0" t="s">
        <v>110</v>
      </c>
      <c r="C9" s="4" t="n">
        <f aca="false">Assumptions!C15</f>
        <v>0</v>
      </c>
      <c r="D9" s="4" t="n">
        <f aca="false">Assumptions!D15</f>
        <v>0</v>
      </c>
      <c r="E9" s="4" t="n">
        <f aca="false">Assumptions!E15</f>
        <v>0</v>
      </c>
      <c r="F9" s="4" t="n">
        <f aca="false">Assumptions!F15</f>
        <v>0</v>
      </c>
      <c r="G9" s="4" t="n">
        <f aca="false">Assumptions!G15</f>
        <v>0</v>
      </c>
      <c r="H9" s="4" t="n">
        <f aca="false">Assumptions!H15</f>
        <v>0</v>
      </c>
      <c r="I9" s="4" t="n">
        <f aca="false">Assumptions!I15</f>
        <v>0</v>
      </c>
      <c r="J9" s="4" t="n">
        <f aca="false">Assumptions!J15</f>
        <v>0</v>
      </c>
      <c r="K9" s="4" t="n">
        <f aca="false">Assumptions!K15</f>
        <v>0</v>
      </c>
      <c r="L9" s="4" t="n">
        <f aca="false">Assumptions!L15</f>
        <v>0</v>
      </c>
    </row>
    <row r="10" customFormat="false" ht="15" hidden="false" customHeight="false" outlineLevel="0" collapsed="false">
      <c r="A10" s="0" t="s">
        <v>125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126</v>
      </c>
      <c r="C11" s="0" t="n">
        <f aca="false">C8+C10+C24</f>
        <v>10398.558336</v>
      </c>
      <c r="D11" s="0" t="n">
        <f aca="false">D8+D10+D24</f>
        <v>9098.738544</v>
      </c>
      <c r="E11" s="0" t="n">
        <f aca="false">E8+E10+E24</f>
        <v>7486.96200192</v>
      </c>
      <c r="F11" s="0" t="n">
        <f aca="false">F8+F10+F24</f>
        <v>5615.22150144</v>
      </c>
      <c r="G11" s="0" t="n">
        <f aca="false">G8+G10+G24</f>
        <v>3579.703707168</v>
      </c>
      <c r="H11" s="0" t="n">
        <f aca="false">H8+H10+H24</f>
        <v>2310.10212569242</v>
      </c>
      <c r="I11" s="0" t="n">
        <f aca="false">I8+I10+I24</f>
        <v>1795.57937951547</v>
      </c>
      <c r="J11" s="0" t="n">
        <f aca="false">J8+J10+J24</f>
        <v>1795.57937951547</v>
      </c>
      <c r="K11" s="0" t="n">
        <f aca="false">K8+K10+K24</f>
        <v>1933.24046527832</v>
      </c>
      <c r="L11" s="0" t="n">
        <f aca="false">L8+L10+L24</f>
        <v>2075.68976271988</v>
      </c>
    </row>
    <row r="12" customFormat="false" ht="15" hidden="false" customHeight="false" outlineLevel="0" collapsed="false">
      <c r="A12" s="0" t="s">
        <v>127</v>
      </c>
      <c r="C12" s="4" t="n">
        <f aca="false">-C6*Assumptions!C17/100</f>
        <v>-649.909896</v>
      </c>
      <c r="D12" s="4" t="n">
        <f aca="false">-D6*Assumptions!D17/100</f>
        <v>-747.3963804</v>
      </c>
      <c r="E12" s="4" t="n">
        <f aca="false">-E6*Assumptions!E17/100</f>
        <v>-811.087550208</v>
      </c>
      <c r="F12" s="4" t="n">
        <f aca="false">-F6*Assumptions!F17/100</f>
        <v>-786.1310102016</v>
      </c>
      <c r="G12" s="4" t="n">
        <f aca="false">-G6*Assumptions!G17/100</f>
        <v>-715.9407414336</v>
      </c>
      <c r="H12" s="4" t="n">
        <f aca="false">-H6*Assumptions!H17/100</f>
        <v>-630.027852461568</v>
      </c>
      <c r="I12" s="4" t="n">
        <f aca="false">-I6*Assumptions!I17/100</f>
        <v>-598.52645983849</v>
      </c>
      <c r="J12" s="4" t="n">
        <f aca="false">-J6*Assumptions!J17/100</f>
        <v>-598.52645983849</v>
      </c>
      <c r="K12" s="4" t="n">
        <f aca="false">-K6*Assumptions!K17/100</f>
        <v>-590.147089400751</v>
      </c>
      <c r="L12" s="4" t="n">
        <f aca="false">-L6*Assumptions!L17/100</f>
        <v>-581.193133561567</v>
      </c>
    </row>
    <row r="13" customFormat="false" ht="15" hidden="false" customHeight="false" outlineLevel="0" collapsed="false">
      <c r="A13" s="0" t="s">
        <v>128</v>
      </c>
      <c r="C13" s="0" t="n">
        <f aca="false">C11+C12</f>
        <v>9748.64844</v>
      </c>
      <c r="D13" s="0" t="n">
        <f aca="false">D11+D12</f>
        <v>8351.3421636</v>
      </c>
      <c r="E13" s="0" t="n">
        <f aca="false">E11+E12</f>
        <v>6675.874451712</v>
      </c>
      <c r="F13" s="0" t="n">
        <f aca="false">F11+F12</f>
        <v>4829.0904912384</v>
      </c>
      <c r="G13" s="0" t="n">
        <f aca="false">G11+G12</f>
        <v>2863.7629657344</v>
      </c>
      <c r="H13" s="0" t="n">
        <f aca="false">H11+H12</f>
        <v>1680.07427323085</v>
      </c>
      <c r="I13" s="0" t="n">
        <f aca="false">I11+I12</f>
        <v>1197.05291967698</v>
      </c>
      <c r="J13" s="0" t="n">
        <f aca="false">J11+J12</f>
        <v>1197.05291967698</v>
      </c>
      <c r="K13" s="0" t="n">
        <f aca="false">K11+K12</f>
        <v>1343.09337587757</v>
      </c>
      <c r="L13" s="0" t="n">
        <f aca="false">L11+L12</f>
        <v>1494.49662915832</v>
      </c>
    </row>
    <row r="14" customFormat="false" ht="15" hidden="false" customHeight="false" outlineLevel="0" collapsed="false">
      <c r="A14" s="0" t="s">
        <v>114</v>
      </c>
      <c r="C14" s="4" t="n">
        <f aca="false">Assumptions!C19</f>
        <v>20</v>
      </c>
      <c r="D14" s="4" t="n">
        <f aca="false">Assumptions!D19</f>
        <v>20</v>
      </c>
      <c r="E14" s="4" t="n">
        <f aca="false">Assumptions!E19</f>
        <v>20</v>
      </c>
      <c r="F14" s="4" t="n">
        <f aca="false">Assumptions!F19</f>
        <v>20</v>
      </c>
      <c r="G14" s="4" t="n">
        <f aca="false">Assumptions!G19</f>
        <v>20</v>
      </c>
      <c r="H14" s="4" t="n">
        <f aca="false">Assumptions!H19</f>
        <v>20</v>
      </c>
      <c r="I14" s="4" t="n">
        <f aca="false">Assumptions!I19</f>
        <v>20</v>
      </c>
      <c r="J14" s="4" t="n">
        <f aca="false">Assumptions!J19</f>
        <v>20</v>
      </c>
      <c r="K14" s="4" t="n">
        <f aca="false">Assumptions!K19</f>
        <v>20</v>
      </c>
      <c r="L14" s="4" t="n">
        <f aca="false">Assumptions!L19</f>
        <v>20</v>
      </c>
    </row>
    <row r="15" customFormat="false" ht="15" hidden="false" customHeight="false" outlineLevel="0" collapsed="false">
      <c r="A15" s="0" t="s">
        <v>129</v>
      </c>
      <c r="C15" s="0" t="n">
        <f aca="false">C13-MAX(0,C13)*C14/100</f>
        <v>7798.918752</v>
      </c>
      <c r="D15" s="0" t="n">
        <f aca="false">D13-MAX(0,D13)*D14/100</f>
        <v>6681.07373088</v>
      </c>
      <c r="E15" s="0" t="n">
        <f aca="false">E13-MAX(0,E13)*E14/100</f>
        <v>5340.6995613696</v>
      </c>
      <c r="F15" s="0" t="n">
        <f aca="false">F13-MAX(0,F13)*F14/100</f>
        <v>3863.27239299072</v>
      </c>
      <c r="G15" s="0" t="n">
        <f aca="false">G13-MAX(0,G13)*G14/100</f>
        <v>2291.01037258752</v>
      </c>
      <c r="H15" s="0" t="n">
        <f aca="false">H13-MAX(0,H13)*H14/100</f>
        <v>1344.05941858468</v>
      </c>
      <c r="I15" s="0" t="n">
        <f aca="false">I13-MAX(0,I13)*I14/100</f>
        <v>957.642335741584</v>
      </c>
      <c r="J15" s="0" t="n">
        <f aca="false">J13-MAX(0,J13)*J14/100</f>
        <v>957.642335741584</v>
      </c>
      <c r="K15" s="0" t="n">
        <f aca="false">K13-MAX(0,K13)*K14/100</f>
        <v>1074.47470070206</v>
      </c>
      <c r="L15" s="0" t="n">
        <f aca="false">L13-MAX(0,L13)*L14/100</f>
        <v>1195.59730332665</v>
      </c>
    </row>
    <row r="16" customFormat="false" ht="15" hidden="false" customHeight="false" outlineLevel="0" collapsed="false">
      <c r="A16" s="0" t="s">
        <v>130</v>
      </c>
      <c r="C16" s="0" t="n">
        <f aca="false">-C12</f>
        <v>649.909896</v>
      </c>
      <c r="D16" s="0" t="n">
        <f aca="false">-D12</f>
        <v>747.3963804</v>
      </c>
      <c r="E16" s="0" t="n">
        <f aca="false">-E12</f>
        <v>811.087550208</v>
      </c>
      <c r="F16" s="0" t="n">
        <f aca="false">-F12</f>
        <v>786.1310102016</v>
      </c>
      <c r="G16" s="0" t="n">
        <f aca="false">-G12</f>
        <v>715.9407414336</v>
      </c>
      <c r="H16" s="0" t="n">
        <f aca="false">-H12</f>
        <v>630.027852461568</v>
      </c>
      <c r="I16" s="0" t="n">
        <f aca="false">-I12</f>
        <v>598.52645983849</v>
      </c>
      <c r="J16" s="0" t="n">
        <f aca="false">-J12</f>
        <v>598.52645983849</v>
      </c>
      <c r="K16" s="0" t="n">
        <f aca="false">-K12</f>
        <v>590.147089400751</v>
      </c>
      <c r="L16" s="0" t="n">
        <f aca="false">-L12</f>
        <v>581.193133561567</v>
      </c>
    </row>
    <row r="17" customFormat="false" ht="15" hidden="false" customHeight="false" outlineLevel="0" collapsed="false">
      <c r="A17" s="0" t="s">
        <v>131</v>
      </c>
      <c r="C17" s="4" t="n">
        <f aca="false">-C6*Assumptions!C18/100</f>
        <v>-2599.639584</v>
      </c>
      <c r="D17" s="4" t="n">
        <f aca="false">-D6*Assumptions!D18/100</f>
        <v>-2112.207162</v>
      </c>
      <c r="E17" s="4" t="n">
        <f aca="false">-E6*Assumptions!E18/100</f>
        <v>-1247.82700032</v>
      </c>
      <c r="F17" s="4" t="n">
        <f aca="false">-F6*Assumptions!F18/100</f>
        <v>-786.1310102016</v>
      </c>
      <c r="G17" s="4" t="n">
        <f aca="false">-G6*Assumptions!G18/100</f>
        <v>-620.48197590912</v>
      </c>
      <c r="H17" s="4" t="n">
        <f aca="false">-H6*Assumptions!H18/100</f>
        <v>-546.024138800026</v>
      </c>
      <c r="I17" s="4" t="n">
        <f aca="false">-I6*Assumptions!I18/100</f>
        <v>-518.722931860024</v>
      </c>
      <c r="J17" s="4" t="n">
        <f aca="false">-J6*Assumptions!J18/100</f>
        <v>-538.673813854641</v>
      </c>
      <c r="K17" s="4" t="n">
        <f aca="false">-K6*Assumptions!K18/100</f>
        <v>-569.797189766242</v>
      </c>
      <c r="L17" s="4" t="n">
        <f aca="false">-L6*Assumptions!L18/100</f>
        <v>-581.193133561567</v>
      </c>
    </row>
    <row r="18" customFormat="false" ht="15" hidden="false" customHeight="false" outlineLevel="0" collapsed="false">
      <c r="A18" s="0" t="s">
        <v>132</v>
      </c>
      <c r="C18" s="4" t="n">
        <f aca="false">(C6-B6)*Assumptions!$B$23/100</f>
        <v>598.601220000001</v>
      </c>
      <c r="D18" s="4" t="n">
        <f aca="false">(D6-C6)*Assumptions!$B$23/100</f>
        <v>0</v>
      </c>
      <c r="E18" s="4" t="n">
        <f aca="false">(E6-D6)*Assumptions!$B$23/100</f>
        <v>-194.9729688</v>
      </c>
      <c r="F18" s="4" t="n">
        <f aca="false">(F6-E6)*Assumptions!$B$23/100</f>
        <v>-467.93512512</v>
      </c>
      <c r="G18" s="4" t="n">
        <f aca="false">(G6-F6)*Assumptions!$B$23/100</f>
        <v>-631.712418912</v>
      </c>
      <c r="H18" s="4" t="n">
        <f aca="false">(H6-G6)*Assumptions!$B$23/100</f>
        <v>-429.56444486016</v>
      </c>
      <c r="I18" s="4" t="n">
        <f aca="false">(I6-H6)*Assumptions!$B$23/100</f>
        <v>-157.506963115392</v>
      </c>
      <c r="J18" s="4" t="n">
        <f aca="false">(J6-I6)*Assumptions!$B$23/100</f>
        <v>0</v>
      </c>
      <c r="K18" s="4" t="n">
        <f aca="false">(K6-J6)*Assumptions!$B$23/100</f>
        <v>59.8526459838487</v>
      </c>
      <c r="L18" s="4" t="n">
        <f aca="false">(L6-K6)*Assumptions!$B$23/100</f>
        <v>61.0496989035259</v>
      </c>
    </row>
    <row r="19" customFormat="false" ht="15" hidden="false" customHeight="false" outlineLevel="0" collapsed="false">
      <c r="A19" s="0" t="s">
        <v>133</v>
      </c>
      <c r="C19" s="0" t="n">
        <f aca="false">C15+C16+C17+C18</f>
        <v>6447.790284</v>
      </c>
      <c r="D19" s="0" t="n">
        <f aca="false">D15+D16+D17+D18</f>
        <v>5316.26294928</v>
      </c>
      <c r="E19" s="0" t="n">
        <f aca="false">E15+E16+E17+E18</f>
        <v>4708.9871424576</v>
      </c>
      <c r="F19" s="0" t="n">
        <f aca="false">F15+F16+F17+F18</f>
        <v>3395.33726787072</v>
      </c>
      <c r="G19" s="0" t="n">
        <f aca="false">G15+G16+G17+G18</f>
        <v>1754.7567192</v>
      </c>
      <c r="H19" s="0" t="n">
        <f aca="false">H15+H16+H17+H18</f>
        <v>998.498687386061</v>
      </c>
      <c r="I19" s="0" t="n">
        <f aca="false">I15+I16+I17+I18</f>
        <v>879.938900604656</v>
      </c>
      <c r="J19" s="0" t="n">
        <f aca="false">J15+J16+J17+J18</f>
        <v>1017.49498172543</v>
      </c>
      <c r="K19" s="0" t="n">
        <f aca="false">K15+K16+K17+K18</f>
        <v>1154.67724632041</v>
      </c>
      <c r="L19" s="0" t="n">
        <f aca="false">L15+L16+L17+L18</f>
        <v>1256.64700223018</v>
      </c>
    </row>
    <row r="20" customFormat="false" ht="15" hidden="false" customHeight="false" outlineLevel="0" collapsed="false">
      <c r="A20" s="0" t="s">
        <v>134</v>
      </c>
      <c r="C20" s="0" t="n">
        <f aca="false">1/(1+$B$27/100)^C4</f>
        <v>0.91324200913242</v>
      </c>
      <c r="D20" s="0" t="n">
        <f aca="false">1/(1+$B$27/100)^D4</f>
        <v>0.834010967244219</v>
      </c>
      <c r="E20" s="0" t="n">
        <f aca="false">1/(1+$B$27/100)^E4</f>
        <v>0.761653851364584</v>
      </c>
      <c r="F20" s="0" t="n">
        <f aca="false">1/(1+$B$27/100)^F4</f>
        <v>0.695574293483638</v>
      </c>
      <c r="G20" s="0" t="n">
        <f aca="false">1/(1+$B$27/100)^G4</f>
        <v>0.635227665281862</v>
      </c>
      <c r="H20" s="0" t="n">
        <f aca="false">1/(1+$B$27/100)^H4</f>
        <v>0.580116589298504</v>
      </c>
      <c r="I20" s="0" t="n">
        <f aca="false">1/(1+$B$27/100)^I4</f>
        <v>0.529786839542012</v>
      </c>
      <c r="J20" s="0" t="n">
        <f aca="false">1/(1+$B$27/100)^J4</f>
        <v>0.483823597755263</v>
      </c>
      <c r="K20" s="0" t="n">
        <f aca="false">1/(1+$B$27/100)^K4</f>
        <v>0.441848034479692</v>
      </c>
      <c r="L20" s="0" t="n">
        <f aca="false">1/(1+$B$27/100)^L4</f>
        <v>0.403514186739445</v>
      </c>
    </row>
    <row r="21" customFormat="false" ht="15" hidden="false" customHeight="false" outlineLevel="0" collapsed="false">
      <c r="A21" s="0" t="s">
        <v>135</v>
      </c>
      <c r="C21" s="0" t="n">
        <f aca="false">C19*C20</f>
        <v>5888.39295342466</v>
      </c>
      <c r="D21" s="0" t="n">
        <f aca="false">D19*D20</f>
        <v>4433.82160445362</v>
      </c>
      <c r="E21" s="0" t="n">
        <f aca="false">E19*E20</f>
        <v>3586.61819307914</v>
      </c>
      <c r="F21" s="0" t="n">
        <f aca="false">F19*F20</f>
        <v>2361.70932123784</v>
      </c>
      <c r="G21" s="0" t="n">
        <f aca="false">G19*G20</f>
        <v>1114.67001387508</v>
      </c>
      <c r="H21" s="0" t="n">
        <f aca="false">H19*H20</f>
        <v>579.245652945434</v>
      </c>
      <c r="I21" s="0" t="n">
        <f aca="false">I19*I20</f>
        <v>466.180049141414</v>
      </c>
      <c r="J21" s="0" t="n">
        <f aca="false">J19*J20</f>
        <v>492.288082756324</v>
      </c>
      <c r="K21" s="0" t="n">
        <f aca="false">K19*K20</f>
        <v>510.191871745098</v>
      </c>
      <c r="L21" s="0" t="n">
        <f aca="false">L19*L20</f>
        <v>507.074893123471</v>
      </c>
    </row>
    <row r="23" customFormat="false" ht="15" hidden="false" customHeight="false" outlineLevel="0" collapsed="false">
      <c r="A23" s="0" t="s">
        <v>111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136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137</v>
      </c>
    </row>
    <row r="27" customFormat="false" ht="15" hidden="false" customHeight="false" outlineLevel="0" collapsed="false">
      <c r="A27" s="0" t="s">
        <v>115</v>
      </c>
      <c r="B27" s="4" t="n">
        <f aca="false">Assumptions!$B$20</f>
        <v>9.5</v>
      </c>
    </row>
    <row r="28" customFormat="false" ht="15" hidden="false" customHeight="false" outlineLevel="0" collapsed="false">
      <c r="A28" s="0" t="s">
        <v>116</v>
      </c>
      <c r="B28" s="4" t="n">
        <f aca="false">Assumptions!$B$21</f>
        <v>1.5</v>
      </c>
    </row>
    <row r="29" customFormat="false" ht="15" hidden="false" customHeight="false" outlineLevel="0" collapsed="false">
      <c r="A29" s="0" t="s">
        <v>117</v>
      </c>
      <c r="B29" s="4" t="n">
        <f aca="false">Assumptions!$B$22</f>
        <v>12</v>
      </c>
    </row>
    <row r="30" customFormat="false" ht="15" hidden="false" customHeight="false" outlineLevel="0" collapsed="false">
      <c r="A30" s="0" t="s">
        <v>138</v>
      </c>
      <c r="B30" s="0" t="n">
        <f aca="false">SUM(C21:L21)</f>
        <v>19940.1926357821</v>
      </c>
    </row>
    <row r="31" customFormat="false" ht="15" hidden="false" customHeight="false" outlineLevel="0" collapsed="false">
      <c r="A31" s="0" t="s">
        <v>139</v>
      </c>
      <c r="B31" s="0" t="n">
        <f aca="false">L19</f>
        <v>1256.64700223018</v>
      </c>
    </row>
    <row r="32" customFormat="false" ht="15" hidden="false" customHeight="false" outlineLevel="0" collapsed="false">
      <c r="A32" s="0" t="s">
        <v>140</v>
      </c>
      <c r="B32" s="0" t="n">
        <f aca="false">IF(B27&gt;B28,B31*(1+B28/100)/((B27-B28)/100),B31*B29)</f>
        <v>15943.7088407954</v>
      </c>
    </row>
    <row r="33" customFormat="false" ht="15" hidden="false" customHeight="false" outlineLevel="0" collapsed="false">
      <c r="A33" s="0" t="s">
        <v>141</v>
      </c>
      <c r="B33" s="0" t="n">
        <f aca="false">B31*B29</f>
        <v>15079.7640267621</v>
      </c>
    </row>
    <row r="34" customFormat="false" ht="15" hidden="false" customHeight="false" outlineLevel="0" collapsed="false">
      <c r="A34" s="0" t="s">
        <v>142</v>
      </c>
      <c r="B34" s="0" t="n">
        <f aca="false">MAX(0,MIN(B32,B33))</f>
        <v>15079.7640267621</v>
      </c>
    </row>
    <row r="35" customFormat="false" ht="15" hidden="false" customHeight="false" outlineLevel="0" collapsed="false">
      <c r="A35" s="0" t="s">
        <v>143</v>
      </c>
      <c r="B35" s="0" t="n">
        <f aca="false">B34/(1+B27/100)^L4</f>
        <v>6084.89871748166</v>
      </c>
    </row>
    <row r="36" customFormat="false" ht="15" hidden="false" customHeight="false" outlineLevel="0" collapsed="false">
      <c r="A36" s="0" t="s">
        <v>144</v>
      </c>
      <c r="B36" s="0" t="n">
        <f aca="false">B30+B35</f>
        <v>26025.0913532637</v>
      </c>
    </row>
    <row r="37" customFormat="false" ht="15" hidden="false" customHeight="false" outlineLevel="0" collapsed="false">
      <c r="A37" s="0" t="s">
        <v>145</v>
      </c>
      <c r="B37" s="0" t="n">
        <f aca="false">B36+Assumptions!$B$5-Assumptions!$B$4</f>
        <v>43106.4213532637</v>
      </c>
    </row>
    <row r="38" customFormat="false" ht="15" hidden="false" customHeight="false" outlineLevel="0" collapsed="false">
      <c r="A38" s="0" t="s">
        <v>146</v>
      </c>
      <c r="B38" s="0" t="n">
        <f aca="false">B37/Assumptions!$B$3*Assumptions!$B$10</f>
        <v>2.09311417442439</v>
      </c>
    </row>
    <row r="39" customFormat="false" ht="15" hidden="false" customHeight="false" outlineLevel="0" collapsed="false">
      <c r="A39" s="0" t="s">
        <v>147</v>
      </c>
      <c r="B39" s="4" t="n">
        <f aca="false">B38/Assumptions!$B$2-1</f>
        <v>-0.571083160978609</v>
      </c>
    </row>
    <row r="41" customFormat="false" ht="15" hidden="false" customHeight="false" outlineLevel="0" collapsed="false">
      <c r="A41" s="0" t="s">
        <v>148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149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150</v>
      </c>
      <c r="B43" s="0" t="n">
        <f aca="false">(B37+B41+B42)/Assumptions!$B$3*Assumptions!$B$10</f>
        <v>2.09311417442439</v>
      </c>
    </row>
    <row r="45" customFormat="false" ht="15" hidden="false" customHeight="false" outlineLevel="0" collapsed="false">
      <c r="A45" s="0" t="s">
        <v>91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151</v>
      </c>
      <c r="B46" s="0" t="n">
        <f aca="false">MAX(0,MIN(IF(B45&gt;B28,B31*(1+B28/100)/((B45-B28)/100),B31*B29),B31*B29))</f>
        <v>9448.12375750837</v>
      </c>
    </row>
    <row r="47" customFormat="false" ht="15" hidden="false" customHeight="false" outlineLevel="0" collapsed="false">
      <c r="A47" s="0" t="s">
        <v>152</v>
      </c>
      <c r="B47" s="0" t="n">
        <f aca="false">(SUMPRODUCT(C19:L19/(1+B45/100)^C4:L4)+B46/(1+B45/100)^L4+Assumptions!$B$5-Assumptions!$B$4)/Assumptions!$B$3*Assumptions!$B$10</f>
        <v>1.78142181311112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153</v>
      </c>
    </row>
    <row r="3" customFormat="false" ht="15" hidden="false" customHeight="false" outlineLevel="0" collapsed="false">
      <c r="A3" s="0" t="s">
        <v>123</v>
      </c>
      <c r="B3" s="0" t="s">
        <v>84</v>
      </c>
      <c r="C3" s="2" t="s">
        <v>98</v>
      </c>
      <c r="D3" s="2" t="s">
        <v>99</v>
      </c>
      <c r="E3" s="2" t="s">
        <v>100</v>
      </c>
      <c r="F3" s="2" t="s">
        <v>101</v>
      </c>
      <c r="G3" s="2" t="s">
        <v>102</v>
      </c>
      <c r="H3" s="2" t="s">
        <v>103</v>
      </c>
      <c r="I3" s="2" t="s">
        <v>104</v>
      </c>
      <c r="J3" s="2" t="s">
        <v>105</v>
      </c>
      <c r="K3" s="2" t="s">
        <v>106</v>
      </c>
      <c r="L3" s="2" t="s">
        <v>107</v>
      </c>
    </row>
    <row r="4" customFormat="false" ht="15" hidden="false" customHeight="false" outlineLevel="0" collapsed="false">
      <c r="A4" s="0" t="s">
        <v>124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108</v>
      </c>
      <c r="C5" s="4" t="n">
        <f aca="false">Assumptions!C27</f>
        <v>20</v>
      </c>
      <c r="D5" s="4" t="n">
        <f aca="false">Assumptions!D27</f>
        <v>5</v>
      </c>
      <c r="E5" s="4" t="n">
        <f aca="false">Assumptions!E27</f>
        <v>3</v>
      </c>
      <c r="F5" s="4" t="n">
        <f aca="false">Assumptions!F27</f>
        <v>-3</v>
      </c>
      <c r="G5" s="4" t="n">
        <f aca="false">Assumptions!G27</f>
        <v>-10</v>
      </c>
      <c r="H5" s="4" t="n">
        <f aca="false">Assumptions!H27</f>
        <v>-10</v>
      </c>
      <c r="I5" s="4" t="n">
        <f aca="false">Assumptions!I27</f>
        <v>-5</v>
      </c>
      <c r="J5" s="4" t="n">
        <f aca="false">Assumptions!J27</f>
        <v>2</v>
      </c>
      <c r="K5" s="4" t="n">
        <f aca="false">Assumptions!K27</f>
        <v>2.5</v>
      </c>
      <c r="L5" s="4" t="n">
        <f aca="false">Assumptions!L27</f>
        <v>2.5</v>
      </c>
    </row>
    <row r="6" customFormat="false" ht="15" hidden="false" customHeight="false" outlineLevel="0" collapsed="false">
      <c r="A6" s="0" t="s">
        <v>38</v>
      </c>
      <c r="B6" s="3" t="n">
        <v>28504.82</v>
      </c>
      <c r="C6" s="0" t="n">
        <f aca="false">B6*(1+C5/100)</f>
        <v>34205.784</v>
      </c>
      <c r="D6" s="0" t="n">
        <f aca="false">C6*(1+D5/100)</f>
        <v>35916.0732</v>
      </c>
      <c r="E6" s="0" t="n">
        <f aca="false">D6*(1+E5/100)</f>
        <v>36993.555396</v>
      </c>
      <c r="F6" s="0" t="n">
        <f aca="false">E6*(1+F5/100)</f>
        <v>35883.74873412</v>
      </c>
      <c r="G6" s="0" t="n">
        <f aca="false">F6*(1+G5/100)</f>
        <v>32295.373860708</v>
      </c>
      <c r="H6" s="0" t="n">
        <f aca="false">G6*(1+H5/100)</f>
        <v>29065.8364746372</v>
      </c>
      <c r="I6" s="0" t="n">
        <f aca="false">H6*(1+I5/100)</f>
        <v>27612.5446509053</v>
      </c>
      <c r="J6" s="0" t="n">
        <f aca="false">I6*(1+J5/100)</f>
        <v>28164.7955439235</v>
      </c>
      <c r="K6" s="0" t="n">
        <f aca="false">J6*(1+K5/100)</f>
        <v>28868.9154325215</v>
      </c>
      <c r="L6" s="0" t="n">
        <f aca="false">K6*(1+L5/100)</f>
        <v>29590.6383183346</v>
      </c>
    </row>
    <row r="7" customFormat="false" ht="15" hidden="false" customHeight="false" outlineLevel="0" collapsed="false">
      <c r="A7" s="0" t="s">
        <v>109</v>
      </c>
      <c r="C7" s="4" t="n">
        <f aca="false">Assumptions!C28</f>
        <v>33</v>
      </c>
      <c r="D7" s="4" t="n">
        <f aca="false">Assumptions!D28</f>
        <v>31.5</v>
      </c>
      <c r="E7" s="4" t="n">
        <f aca="false">Assumptions!E28</f>
        <v>29.5</v>
      </c>
      <c r="F7" s="4" t="n">
        <f aca="false">Assumptions!F28</f>
        <v>26.5</v>
      </c>
      <c r="G7" s="4" t="n">
        <f aca="false">Assumptions!G28</f>
        <v>22.5</v>
      </c>
      <c r="H7" s="4" t="n">
        <f aca="false">Assumptions!H28</f>
        <v>19</v>
      </c>
      <c r="I7" s="4" t="n">
        <f aca="false">Assumptions!I28</f>
        <v>17</v>
      </c>
      <c r="J7" s="4" t="n">
        <f aca="false">Assumptions!J28</f>
        <v>16</v>
      </c>
      <c r="K7" s="4" t="n">
        <f aca="false">Assumptions!K28</f>
        <v>15.5</v>
      </c>
      <c r="L7" s="4" t="n">
        <f aca="false">Assumptions!L28</f>
        <v>15</v>
      </c>
    </row>
    <row r="8" customFormat="false" ht="15" hidden="false" customHeight="false" outlineLevel="0" collapsed="false">
      <c r="A8" s="0" t="s">
        <v>44</v>
      </c>
      <c r="C8" s="0" t="n">
        <f aca="false">C6*C7/100</f>
        <v>11287.90872</v>
      </c>
      <c r="D8" s="0" t="n">
        <f aca="false">D6*D7/100</f>
        <v>11313.563058</v>
      </c>
      <c r="E8" s="0" t="n">
        <f aca="false">E6*E7/100</f>
        <v>10913.09884182</v>
      </c>
      <c r="F8" s="0" t="n">
        <f aca="false">F6*F7/100</f>
        <v>9509.1934145418</v>
      </c>
      <c r="G8" s="0" t="n">
        <f aca="false">G6*G7/100</f>
        <v>7266.4591186593</v>
      </c>
      <c r="H8" s="0" t="n">
        <f aca="false">H6*H7/100</f>
        <v>5522.50893018107</v>
      </c>
      <c r="I8" s="0" t="n">
        <f aca="false">I6*I7/100</f>
        <v>4694.13259065391</v>
      </c>
      <c r="J8" s="0" t="n">
        <f aca="false">J6*J7/100</f>
        <v>4506.36728702775</v>
      </c>
      <c r="K8" s="0" t="n">
        <f aca="false">K6*K7/100</f>
        <v>4474.68189204084</v>
      </c>
      <c r="L8" s="0" t="n">
        <f aca="false">L6*L7/100</f>
        <v>4438.59574775019</v>
      </c>
    </row>
    <row r="9" customFormat="false" ht="15" hidden="false" customHeight="false" outlineLevel="0" collapsed="false">
      <c r="A9" s="0" t="s">
        <v>110</v>
      </c>
      <c r="C9" s="4" t="n">
        <f aca="false">Assumptions!C29</f>
        <v>0</v>
      </c>
      <c r="D9" s="4" t="n">
        <f aca="false">Assumptions!D29</f>
        <v>0</v>
      </c>
      <c r="E9" s="4" t="n">
        <f aca="false">Assumptions!E29</f>
        <v>0</v>
      </c>
      <c r="F9" s="4" t="n">
        <f aca="false">Assumptions!F29</f>
        <v>0</v>
      </c>
      <c r="G9" s="4" t="n">
        <f aca="false">Assumptions!G29</f>
        <v>0</v>
      </c>
      <c r="H9" s="4" t="n">
        <f aca="false">Assumptions!H29</f>
        <v>0</v>
      </c>
      <c r="I9" s="4" t="n">
        <f aca="false">Assumptions!I29</f>
        <v>0</v>
      </c>
      <c r="J9" s="4" t="n">
        <f aca="false">Assumptions!J29</f>
        <v>0</v>
      </c>
      <c r="K9" s="4" t="n">
        <f aca="false">Assumptions!K29</f>
        <v>0</v>
      </c>
      <c r="L9" s="4" t="n">
        <f aca="false">Assumptions!L29</f>
        <v>0</v>
      </c>
    </row>
    <row r="10" customFormat="false" ht="15" hidden="false" customHeight="false" outlineLevel="0" collapsed="false">
      <c r="A10" s="0" t="s">
        <v>125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126</v>
      </c>
      <c r="C11" s="0" t="n">
        <f aca="false">C8+C10+C24</f>
        <v>11287.90872</v>
      </c>
      <c r="D11" s="0" t="n">
        <f aca="false">D8+D10+D24</f>
        <v>11313.563058</v>
      </c>
      <c r="E11" s="0" t="n">
        <f aca="false">E8+E10+E24</f>
        <v>10913.09884182</v>
      </c>
      <c r="F11" s="0" t="n">
        <f aca="false">F8+F10+F24</f>
        <v>9509.1934145418</v>
      </c>
      <c r="G11" s="0" t="n">
        <f aca="false">G8+G10+G24</f>
        <v>7266.4591186593</v>
      </c>
      <c r="H11" s="0" t="n">
        <f aca="false">H8+H10+H24</f>
        <v>5522.50893018107</v>
      </c>
      <c r="I11" s="0" t="n">
        <f aca="false">I8+I10+I24</f>
        <v>4694.13259065391</v>
      </c>
      <c r="J11" s="0" t="n">
        <f aca="false">J8+J10+J24</f>
        <v>4506.36728702775</v>
      </c>
      <c r="K11" s="0" t="n">
        <f aca="false">K8+K10+K24</f>
        <v>4474.68189204084</v>
      </c>
      <c r="L11" s="0" t="n">
        <f aca="false">L8+L10+L24</f>
        <v>4438.59574775019</v>
      </c>
    </row>
    <row r="12" customFormat="false" ht="15" hidden="false" customHeight="false" outlineLevel="0" collapsed="false">
      <c r="A12" s="0" t="s">
        <v>127</v>
      </c>
      <c r="C12" s="4" t="n">
        <f aca="false">-C6*Assumptions!C31/100</f>
        <v>-684.11568</v>
      </c>
      <c r="D12" s="4" t="n">
        <f aca="false">-D6*Assumptions!D31/100</f>
        <v>-790.1536104</v>
      </c>
      <c r="E12" s="4" t="n">
        <f aca="false">-E6*Assumptions!E31/100</f>
        <v>-887.845329504</v>
      </c>
      <c r="F12" s="4" t="n">
        <f aca="false">-F6*Assumptions!F31/100</f>
        <v>-897.093718353</v>
      </c>
      <c r="G12" s="4" t="n">
        <f aca="false">-G6*Assumptions!G31/100</f>
        <v>-839.679720378408</v>
      </c>
      <c r="H12" s="4" t="n">
        <f aca="false">-H6*Assumptions!H31/100</f>
        <v>-755.711748340567</v>
      </c>
      <c r="I12" s="4" t="n">
        <f aca="false">-I6*Assumptions!I31/100</f>
        <v>-717.926160923539</v>
      </c>
      <c r="J12" s="4" t="n">
        <f aca="false">-J6*Assumptions!J31/100</f>
        <v>-704.119888598086</v>
      </c>
      <c r="K12" s="4" t="n">
        <f aca="false">-K6*Assumptions!K31/100</f>
        <v>-721.722885813039</v>
      </c>
      <c r="L12" s="4" t="n">
        <f aca="false">-L6*Assumptions!L31/100</f>
        <v>-739.765957958364</v>
      </c>
    </row>
    <row r="13" customFormat="false" ht="15" hidden="false" customHeight="false" outlineLevel="0" collapsed="false">
      <c r="A13" s="0" t="s">
        <v>128</v>
      </c>
      <c r="C13" s="0" t="n">
        <f aca="false">C11+C12</f>
        <v>10603.79304</v>
      </c>
      <c r="D13" s="0" t="n">
        <f aca="false">D11+D12</f>
        <v>10523.4094476</v>
      </c>
      <c r="E13" s="0" t="n">
        <f aca="false">E11+E12</f>
        <v>10025.253512316</v>
      </c>
      <c r="F13" s="0" t="n">
        <f aca="false">F11+F12</f>
        <v>8612.0996961888</v>
      </c>
      <c r="G13" s="0" t="n">
        <f aca="false">G11+G12</f>
        <v>6426.77939828089</v>
      </c>
      <c r="H13" s="0" t="n">
        <f aca="false">H11+H12</f>
        <v>4766.7971818405</v>
      </c>
      <c r="I13" s="0" t="n">
        <f aca="false">I11+I12</f>
        <v>3976.20642973037</v>
      </c>
      <c r="J13" s="0" t="n">
        <f aca="false">J11+J12</f>
        <v>3802.24739842967</v>
      </c>
      <c r="K13" s="0" t="n">
        <f aca="false">K11+K12</f>
        <v>3752.9590062278</v>
      </c>
      <c r="L13" s="0" t="n">
        <f aca="false">L11+L12</f>
        <v>3698.82978979182</v>
      </c>
    </row>
    <row r="14" customFormat="false" ht="15" hidden="false" customHeight="false" outlineLevel="0" collapsed="false">
      <c r="A14" s="0" t="s">
        <v>114</v>
      </c>
      <c r="C14" s="4" t="n">
        <f aca="false">Assumptions!C33</f>
        <v>20</v>
      </c>
      <c r="D14" s="4" t="n">
        <f aca="false">Assumptions!D33</f>
        <v>20</v>
      </c>
      <c r="E14" s="4" t="n">
        <f aca="false">Assumptions!E33</f>
        <v>20</v>
      </c>
      <c r="F14" s="4" t="n">
        <f aca="false">Assumptions!F33</f>
        <v>20</v>
      </c>
      <c r="G14" s="4" t="n">
        <f aca="false">Assumptions!G33</f>
        <v>20</v>
      </c>
      <c r="H14" s="4" t="n">
        <f aca="false">Assumptions!H33</f>
        <v>20</v>
      </c>
      <c r="I14" s="4" t="n">
        <f aca="false">Assumptions!I33</f>
        <v>20</v>
      </c>
      <c r="J14" s="4" t="n">
        <f aca="false">Assumptions!J33</f>
        <v>20</v>
      </c>
      <c r="K14" s="4" t="n">
        <f aca="false">Assumptions!K33</f>
        <v>20</v>
      </c>
      <c r="L14" s="4" t="n">
        <f aca="false">Assumptions!L33</f>
        <v>20</v>
      </c>
    </row>
    <row r="15" customFormat="false" ht="15" hidden="false" customHeight="false" outlineLevel="0" collapsed="false">
      <c r="A15" s="0" t="s">
        <v>129</v>
      </c>
      <c r="C15" s="0" t="n">
        <f aca="false">C13-MAX(0,C13)*C14/100</f>
        <v>8483.034432</v>
      </c>
      <c r="D15" s="0" t="n">
        <f aca="false">D13-MAX(0,D13)*D14/100</f>
        <v>8418.72755808</v>
      </c>
      <c r="E15" s="0" t="n">
        <f aca="false">E13-MAX(0,E13)*E14/100</f>
        <v>8020.2028098528</v>
      </c>
      <c r="F15" s="0" t="n">
        <f aca="false">F13-MAX(0,F13)*F14/100</f>
        <v>6889.67975695104</v>
      </c>
      <c r="G15" s="0" t="n">
        <f aca="false">G13-MAX(0,G13)*G14/100</f>
        <v>5141.42351862471</v>
      </c>
      <c r="H15" s="0" t="n">
        <f aca="false">H13-MAX(0,H13)*H14/100</f>
        <v>3813.4377454724</v>
      </c>
      <c r="I15" s="0" t="n">
        <f aca="false">I13-MAX(0,I13)*I14/100</f>
        <v>3180.9651437843</v>
      </c>
      <c r="J15" s="0" t="n">
        <f aca="false">J13-MAX(0,J13)*J14/100</f>
        <v>3041.79791874373</v>
      </c>
      <c r="K15" s="0" t="n">
        <f aca="false">K13-MAX(0,K13)*K14/100</f>
        <v>3002.36720498224</v>
      </c>
      <c r="L15" s="0" t="n">
        <f aca="false">L13-MAX(0,L13)*L14/100</f>
        <v>2959.06383183346</v>
      </c>
    </row>
    <row r="16" customFormat="false" ht="15" hidden="false" customHeight="false" outlineLevel="0" collapsed="false">
      <c r="A16" s="0" t="s">
        <v>130</v>
      </c>
      <c r="C16" s="0" t="n">
        <f aca="false">-C12</f>
        <v>684.11568</v>
      </c>
      <c r="D16" s="0" t="n">
        <f aca="false">-D12</f>
        <v>790.1536104</v>
      </c>
      <c r="E16" s="0" t="n">
        <f aca="false">-E12</f>
        <v>887.845329504</v>
      </c>
      <c r="F16" s="0" t="n">
        <f aca="false">-F12</f>
        <v>897.093718353</v>
      </c>
      <c r="G16" s="0" t="n">
        <f aca="false">-G12</f>
        <v>839.679720378408</v>
      </c>
      <c r="H16" s="0" t="n">
        <f aca="false">-H12</f>
        <v>755.711748340567</v>
      </c>
      <c r="I16" s="0" t="n">
        <f aca="false">-I12</f>
        <v>717.926160923539</v>
      </c>
      <c r="J16" s="0" t="n">
        <f aca="false">-J12</f>
        <v>704.119888598086</v>
      </c>
      <c r="K16" s="0" t="n">
        <f aca="false">-K12</f>
        <v>721.722885813039</v>
      </c>
      <c r="L16" s="0" t="n">
        <f aca="false">-L12</f>
        <v>739.765957958364</v>
      </c>
    </row>
    <row r="17" customFormat="false" ht="15" hidden="false" customHeight="false" outlineLevel="0" collapsed="false">
      <c r="A17" s="0" t="s">
        <v>131</v>
      </c>
      <c r="C17" s="4" t="n">
        <f aca="false">-C6*Assumptions!C32/100</f>
        <v>-2736.46272</v>
      </c>
      <c r="D17" s="4" t="n">
        <f aca="false">-D6*Assumptions!D32/100</f>
        <v>-2514.125124</v>
      </c>
      <c r="E17" s="4" t="n">
        <f aca="false">-E6*Assumptions!E32/100</f>
        <v>-1664.70999282</v>
      </c>
      <c r="F17" s="4" t="n">
        <f aca="false">-F6*Assumptions!F32/100</f>
        <v>-1148.27995949184</v>
      </c>
      <c r="G17" s="4" t="n">
        <f aca="false">-G6*Assumptions!G32/100</f>
        <v>-904.270468099824</v>
      </c>
      <c r="H17" s="4" t="n">
        <f aca="false">-H6*Assumptions!H32/100</f>
        <v>-813.843421289842</v>
      </c>
      <c r="I17" s="4" t="n">
        <f aca="false">-I6*Assumptions!I32/100</f>
        <v>-773.15125022535</v>
      </c>
      <c r="J17" s="4" t="n">
        <f aca="false">-J6*Assumptions!J32/100</f>
        <v>-788.614275229857</v>
      </c>
      <c r="K17" s="4" t="n">
        <f aca="false">-K6*Assumptions!K32/100</f>
        <v>-808.329632110603</v>
      </c>
      <c r="L17" s="4" t="n">
        <f aca="false">-L6*Assumptions!L32/100</f>
        <v>-828.537872913368</v>
      </c>
    </row>
    <row r="18" customFormat="false" ht="15" hidden="false" customHeight="false" outlineLevel="0" collapsed="false">
      <c r="A18" s="0" t="s">
        <v>132</v>
      </c>
      <c r="C18" s="4" t="n">
        <f aca="false">(C6-B6)*Assumptions!$B$37/100</f>
        <v>855.1446</v>
      </c>
      <c r="D18" s="4" t="n">
        <f aca="false">(D6-C6)*Assumptions!$B$37/100</f>
        <v>256.54338</v>
      </c>
      <c r="E18" s="4" t="n">
        <f aca="false">(E6-D6)*Assumptions!$B$37/100</f>
        <v>161.622329400001</v>
      </c>
      <c r="F18" s="4" t="n">
        <f aca="false">(F6-E6)*Assumptions!$B$37/100</f>
        <v>-166.470999282</v>
      </c>
      <c r="G18" s="4" t="n">
        <f aca="false">(G6-F6)*Assumptions!$B$37/100</f>
        <v>-538.2562310118</v>
      </c>
      <c r="H18" s="4" t="n">
        <f aca="false">(H6-G6)*Assumptions!$B$37/100</f>
        <v>-484.43060791062</v>
      </c>
      <c r="I18" s="4" t="n">
        <f aca="false">(I6-H6)*Assumptions!$B$37/100</f>
        <v>-217.993773559779</v>
      </c>
      <c r="J18" s="4" t="n">
        <f aca="false">(J6-I6)*Assumptions!$B$37/100</f>
        <v>82.837633952716</v>
      </c>
      <c r="K18" s="4" t="n">
        <f aca="false">(K6-J6)*Assumptions!$B$37/100</f>
        <v>105.617983289713</v>
      </c>
      <c r="L18" s="4" t="n">
        <f aca="false">(L6-K6)*Assumptions!$B$37/100</f>
        <v>108.258432871955</v>
      </c>
    </row>
    <row r="19" customFormat="false" ht="15" hidden="false" customHeight="false" outlineLevel="0" collapsed="false">
      <c r="A19" s="0" t="s">
        <v>133</v>
      </c>
      <c r="C19" s="0" t="n">
        <f aca="false">C15+C16+C17+C18</f>
        <v>7285.831992</v>
      </c>
      <c r="D19" s="0" t="n">
        <f aca="false">D15+D16+D17+D18</f>
        <v>6951.29942448</v>
      </c>
      <c r="E19" s="0" t="n">
        <f aca="false">E15+E16+E17+E18</f>
        <v>7404.9604759368</v>
      </c>
      <c r="F19" s="0" t="n">
        <f aca="false">F15+F16+F17+F18</f>
        <v>6472.0225165302</v>
      </c>
      <c r="G19" s="0" t="n">
        <f aca="false">G15+G16+G17+G18</f>
        <v>4538.5765398915</v>
      </c>
      <c r="H19" s="0" t="n">
        <f aca="false">H15+H16+H17+H18</f>
        <v>3270.87546461251</v>
      </c>
      <c r="I19" s="0" t="n">
        <f aca="false">I15+I16+I17+I18</f>
        <v>2907.74628092271</v>
      </c>
      <c r="J19" s="0" t="n">
        <f aca="false">J15+J16+J17+J18</f>
        <v>3040.14116606468</v>
      </c>
      <c r="K19" s="0" t="n">
        <f aca="false">K15+K16+K17+K18</f>
        <v>3021.37844197439</v>
      </c>
      <c r="L19" s="0" t="n">
        <f aca="false">L15+L16+L17+L18</f>
        <v>2978.55034975041</v>
      </c>
    </row>
    <row r="20" customFormat="false" ht="15" hidden="false" customHeight="false" outlineLevel="0" collapsed="false">
      <c r="A20" s="0" t="s">
        <v>134</v>
      </c>
      <c r="C20" s="0" t="n">
        <f aca="false">1/(1+$B$27/100)^C4</f>
        <v>0.91324200913242</v>
      </c>
      <c r="D20" s="0" t="n">
        <f aca="false">1/(1+$B$27/100)^D4</f>
        <v>0.834010967244219</v>
      </c>
      <c r="E20" s="0" t="n">
        <f aca="false">1/(1+$B$27/100)^E4</f>
        <v>0.761653851364584</v>
      </c>
      <c r="F20" s="0" t="n">
        <f aca="false">1/(1+$B$27/100)^F4</f>
        <v>0.695574293483638</v>
      </c>
      <c r="G20" s="0" t="n">
        <f aca="false">1/(1+$B$27/100)^G4</f>
        <v>0.635227665281862</v>
      </c>
      <c r="H20" s="0" t="n">
        <f aca="false">1/(1+$B$27/100)^H4</f>
        <v>0.580116589298504</v>
      </c>
      <c r="I20" s="0" t="n">
        <f aca="false">1/(1+$B$27/100)^I4</f>
        <v>0.529786839542012</v>
      </c>
      <c r="J20" s="0" t="n">
        <f aca="false">1/(1+$B$27/100)^J4</f>
        <v>0.483823597755263</v>
      </c>
      <c r="K20" s="0" t="n">
        <f aca="false">1/(1+$B$27/100)^K4</f>
        <v>0.441848034479692</v>
      </c>
      <c r="L20" s="0" t="n">
        <f aca="false">1/(1+$B$27/100)^L4</f>
        <v>0.403514186739445</v>
      </c>
    </row>
    <row r="21" customFormat="false" ht="15" hidden="false" customHeight="false" outlineLevel="0" collapsed="false">
      <c r="A21" s="0" t="s">
        <v>135</v>
      </c>
      <c r="C21" s="0" t="n">
        <f aca="false">C19*C20</f>
        <v>6653.72784657534</v>
      </c>
      <c r="D21" s="0" t="n">
        <f aca="false">D19*D20</f>
        <v>5797.45995661475</v>
      </c>
      <c r="E21" s="0" t="n">
        <f aca="false">E19*E20</f>
        <v>5640.01666569979</v>
      </c>
      <c r="F21" s="0" t="n">
        <f aca="false">F19*F20</f>
        <v>4501.77248934569</v>
      </c>
      <c r="G21" s="0" t="n">
        <f aca="false">G19*G20</f>
        <v>2883.02937913831</v>
      </c>
      <c r="H21" s="0" t="n">
        <f aca="false">H19*H20</f>
        <v>1897.48911855117</v>
      </c>
      <c r="I21" s="0" t="n">
        <f aca="false">I19*I20</f>
        <v>1540.48571236008</v>
      </c>
      <c r="J21" s="0" t="n">
        <f aca="false">J19*J20</f>
        <v>1470.89203664929</v>
      </c>
      <c r="K21" s="0" t="n">
        <f aca="false">K19*K20</f>
        <v>1334.9901260057</v>
      </c>
      <c r="L21" s="0" t="n">
        <f aca="false">L19*L20</f>
        <v>1201.88732204202</v>
      </c>
    </row>
    <row r="23" customFormat="false" ht="15" hidden="false" customHeight="false" outlineLevel="0" collapsed="false">
      <c r="A23" s="0" t="s">
        <v>111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136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137</v>
      </c>
    </row>
    <row r="27" customFormat="false" ht="15" hidden="false" customHeight="false" outlineLevel="0" collapsed="false">
      <c r="A27" s="0" t="s">
        <v>115</v>
      </c>
      <c r="B27" s="4" t="n">
        <f aca="false">Assumptions!$B$34</f>
        <v>9.5</v>
      </c>
    </row>
    <row r="28" customFormat="false" ht="15" hidden="false" customHeight="false" outlineLevel="0" collapsed="false">
      <c r="A28" s="0" t="s">
        <v>116</v>
      </c>
      <c r="B28" s="4" t="n">
        <f aca="false">Assumptions!$B$35</f>
        <v>2</v>
      </c>
    </row>
    <row r="29" customFormat="false" ht="15" hidden="false" customHeight="false" outlineLevel="0" collapsed="false">
      <c r="A29" s="0" t="s">
        <v>117</v>
      </c>
      <c r="B29" s="4" t="n">
        <f aca="false">Assumptions!$B$36</f>
        <v>12</v>
      </c>
    </row>
    <row r="30" customFormat="false" ht="15" hidden="false" customHeight="false" outlineLevel="0" collapsed="false">
      <c r="A30" s="0" t="s">
        <v>138</v>
      </c>
      <c r="B30" s="0" t="n">
        <f aca="false">SUM(C21:L21)</f>
        <v>32921.7506529821</v>
      </c>
    </row>
    <row r="31" customFormat="false" ht="15" hidden="false" customHeight="false" outlineLevel="0" collapsed="false">
      <c r="A31" s="0" t="s">
        <v>139</v>
      </c>
      <c r="B31" s="0" t="n">
        <f aca="false">L19</f>
        <v>2978.55034975041</v>
      </c>
    </row>
    <row r="32" customFormat="false" ht="15" hidden="false" customHeight="false" outlineLevel="0" collapsed="false">
      <c r="A32" s="0" t="s">
        <v>140</v>
      </c>
      <c r="B32" s="0" t="n">
        <f aca="false">IF(B27&gt;B28,B31*(1+B28/100)/((B27-B28)/100),B31*B29)</f>
        <v>40508.2847566056</v>
      </c>
    </row>
    <row r="33" customFormat="false" ht="15" hidden="false" customHeight="false" outlineLevel="0" collapsed="false">
      <c r="A33" s="0" t="s">
        <v>141</v>
      </c>
      <c r="B33" s="0" t="n">
        <f aca="false">B31*B29</f>
        <v>35742.6041970049</v>
      </c>
    </row>
    <row r="34" customFormat="false" ht="15" hidden="false" customHeight="false" outlineLevel="0" collapsed="false">
      <c r="A34" s="0" t="s">
        <v>142</v>
      </c>
      <c r="B34" s="0" t="n">
        <f aca="false">MAX(0,MIN(B32,B33))</f>
        <v>35742.6041970049</v>
      </c>
    </row>
    <row r="35" customFormat="false" ht="15" hidden="false" customHeight="false" outlineLevel="0" collapsed="false">
      <c r="A35" s="0" t="s">
        <v>143</v>
      </c>
      <c r="B35" s="0" t="n">
        <f aca="false">B34/(1+B27/100)^L4</f>
        <v>14422.6478645043</v>
      </c>
    </row>
    <row r="36" customFormat="false" ht="15" hidden="false" customHeight="false" outlineLevel="0" collapsed="false">
      <c r="A36" s="0" t="s">
        <v>144</v>
      </c>
      <c r="B36" s="0" t="n">
        <f aca="false">B30+B35</f>
        <v>47344.3985174864</v>
      </c>
    </row>
    <row r="37" customFormat="false" ht="15" hidden="false" customHeight="false" outlineLevel="0" collapsed="false">
      <c r="A37" s="0" t="s">
        <v>145</v>
      </c>
      <c r="B37" s="0" t="n">
        <f aca="false">B36+Assumptions!$B$5-Assumptions!$B$4</f>
        <v>64425.7285174864</v>
      </c>
    </row>
    <row r="38" customFormat="false" ht="15" hidden="false" customHeight="false" outlineLevel="0" collapsed="false">
      <c r="A38" s="0" t="s">
        <v>146</v>
      </c>
      <c r="B38" s="0" t="n">
        <f aca="false">B37/Assumptions!$B$3*Assumptions!$B$10</f>
        <v>3.12831363226487</v>
      </c>
    </row>
    <row r="39" customFormat="false" ht="15" hidden="false" customHeight="false" outlineLevel="0" collapsed="false">
      <c r="A39" s="0" t="s">
        <v>147</v>
      </c>
      <c r="B39" s="4" t="n">
        <f aca="false">B38/Assumptions!$B$2-1</f>
        <v>-0.358952124535888</v>
      </c>
    </row>
    <row r="41" customFormat="false" ht="15" hidden="false" customHeight="false" outlineLevel="0" collapsed="false">
      <c r="A41" s="0" t="s">
        <v>148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149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150</v>
      </c>
      <c r="B43" s="0" t="n">
        <f aca="false">(B37+B41+B42)/Assumptions!$B$3*Assumptions!$B$10</f>
        <v>3.12831363226487</v>
      </c>
    </row>
    <row r="45" customFormat="false" ht="15" hidden="false" customHeight="false" outlineLevel="0" collapsed="false">
      <c r="A45" s="0" t="s">
        <v>91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151</v>
      </c>
      <c r="B46" s="0" t="n">
        <f aca="false">MAX(0,MIN(IF(B45&gt;B28,B31*(1+B28/100)/((B45-B28)/100),B31*B29),B31*B29))</f>
        <v>23370.1642826571</v>
      </c>
    </row>
    <row r="47" customFormat="false" ht="15" hidden="false" customHeight="false" outlineLevel="0" collapsed="false">
      <c r="A47" s="0" t="s">
        <v>152</v>
      </c>
      <c r="B47" s="0" t="n">
        <f aca="false">(SUMPRODUCT(C19:L19/(1+B45/100)^C4:L4)+B46/(1+B45/100)^L4+Assumptions!$B$5-Assumptions!$B$4)/Assumptions!$B$3*Assumptions!$B$10</f>
        <v>2.44589279283593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154</v>
      </c>
    </row>
    <row r="3" customFormat="false" ht="15" hidden="false" customHeight="false" outlineLevel="0" collapsed="false">
      <c r="A3" s="0" t="s">
        <v>123</v>
      </c>
      <c r="B3" s="0" t="s">
        <v>84</v>
      </c>
      <c r="C3" s="2" t="s">
        <v>98</v>
      </c>
      <c r="D3" s="2" t="s">
        <v>99</v>
      </c>
      <c r="E3" s="2" t="s">
        <v>100</v>
      </c>
      <c r="F3" s="2" t="s">
        <v>101</v>
      </c>
      <c r="G3" s="2" t="s">
        <v>102</v>
      </c>
      <c r="H3" s="2" t="s">
        <v>103</v>
      </c>
      <c r="I3" s="2" t="s">
        <v>104</v>
      </c>
      <c r="J3" s="2" t="s">
        <v>105</v>
      </c>
      <c r="K3" s="2" t="s">
        <v>106</v>
      </c>
      <c r="L3" s="2" t="s">
        <v>107</v>
      </c>
    </row>
    <row r="4" customFormat="false" ht="15" hidden="false" customHeight="false" outlineLevel="0" collapsed="false">
      <c r="A4" s="0" t="s">
        <v>124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108</v>
      </c>
      <c r="C5" s="4" t="n">
        <f aca="false">Assumptions!C41</f>
        <v>25</v>
      </c>
      <c r="D5" s="4" t="n">
        <f aca="false">Assumptions!D41</f>
        <v>7</v>
      </c>
      <c r="E5" s="4" t="n">
        <f aca="false">Assumptions!E41</f>
        <v>5</v>
      </c>
      <c r="F5" s="4" t="n">
        <f aca="false">Assumptions!F41</f>
        <v>2</v>
      </c>
      <c r="G5" s="4" t="n">
        <f aca="false">Assumptions!G41</f>
        <v>-2</v>
      </c>
      <c r="H5" s="4" t="n">
        <f aca="false">Assumptions!H41</f>
        <v>-4</v>
      </c>
      <c r="I5" s="4" t="n">
        <f aca="false">Assumptions!I41</f>
        <v>0</v>
      </c>
      <c r="J5" s="4" t="n">
        <f aca="false">Assumptions!J41</f>
        <v>3</v>
      </c>
      <c r="K5" s="4" t="n">
        <f aca="false">Assumptions!K41</f>
        <v>3</v>
      </c>
      <c r="L5" s="4" t="n">
        <f aca="false">Assumptions!L41</f>
        <v>3</v>
      </c>
    </row>
    <row r="6" customFormat="false" ht="15" hidden="false" customHeight="false" outlineLevel="0" collapsed="false">
      <c r="A6" s="0" t="s">
        <v>38</v>
      </c>
      <c r="B6" s="3" t="n">
        <v>28504.82</v>
      </c>
      <c r="C6" s="0" t="n">
        <f aca="false">B6*(1+C5/100)</f>
        <v>35631.025</v>
      </c>
      <c r="D6" s="0" t="n">
        <f aca="false">C6*(1+D5/100)</f>
        <v>38125.19675</v>
      </c>
      <c r="E6" s="0" t="n">
        <f aca="false">D6*(1+E5/100)</f>
        <v>40031.4565875</v>
      </c>
      <c r="F6" s="0" t="n">
        <f aca="false">E6*(1+F5/100)</f>
        <v>40832.08571925</v>
      </c>
      <c r="G6" s="0" t="n">
        <f aca="false">F6*(1+G5/100)</f>
        <v>40015.444004865</v>
      </c>
      <c r="H6" s="0" t="n">
        <f aca="false">G6*(1+H5/100)</f>
        <v>38414.8262446704</v>
      </c>
      <c r="I6" s="0" t="n">
        <f aca="false">H6*(1+I5/100)</f>
        <v>38414.8262446704</v>
      </c>
      <c r="J6" s="0" t="n">
        <f aca="false">I6*(1+J5/100)</f>
        <v>39567.2710320105</v>
      </c>
      <c r="K6" s="0" t="n">
        <f aca="false">J6*(1+K5/100)</f>
        <v>40754.2891629708</v>
      </c>
      <c r="L6" s="0" t="n">
        <f aca="false">K6*(1+L5/100)</f>
        <v>41976.91783786</v>
      </c>
    </row>
    <row r="7" customFormat="false" ht="15" hidden="false" customHeight="false" outlineLevel="0" collapsed="false">
      <c r="A7" s="0" t="s">
        <v>109</v>
      </c>
      <c r="C7" s="4" t="n">
        <f aca="false">Assumptions!C42</f>
        <v>34</v>
      </c>
      <c r="D7" s="4" t="n">
        <f aca="false">Assumptions!D42</f>
        <v>33.5</v>
      </c>
      <c r="E7" s="4" t="n">
        <f aca="false">Assumptions!E42</f>
        <v>32.5</v>
      </c>
      <c r="F7" s="4" t="n">
        <f aca="false">Assumptions!F42</f>
        <v>30.5</v>
      </c>
      <c r="G7" s="4" t="n">
        <f aca="false">Assumptions!G42</f>
        <v>27.5</v>
      </c>
      <c r="H7" s="4" t="n">
        <f aca="false">Assumptions!H42</f>
        <v>24.5</v>
      </c>
      <c r="I7" s="4" t="n">
        <f aca="false">Assumptions!I42</f>
        <v>22.5</v>
      </c>
      <c r="J7" s="4" t="n">
        <f aca="false">Assumptions!J42</f>
        <v>21</v>
      </c>
      <c r="K7" s="4" t="n">
        <f aca="false">Assumptions!K42</f>
        <v>20</v>
      </c>
      <c r="L7" s="4" t="n">
        <f aca="false">Assumptions!L42</f>
        <v>20</v>
      </c>
    </row>
    <row r="8" customFormat="false" ht="15" hidden="false" customHeight="false" outlineLevel="0" collapsed="false">
      <c r="A8" s="0" t="s">
        <v>44</v>
      </c>
      <c r="C8" s="0" t="n">
        <f aca="false">C6*C7/100</f>
        <v>12114.5485</v>
      </c>
      <c r="D8" s="0" t="n">
        <f aca="false">D6*D7/100</f>
        <v>12771.94091125</v>
      </c>
      <c r="E8" s="0" t="n">
        <f aca="false">E6*E7/100</f>
        <v>13010.2233909375</v>
      </c>
      <c r="F8" s="0" t="n">
        <f aca="false">F6*F7/100</f>
        <v>12453.7861443713</v>
      </c>
      <c r="G8" s="0" t="n">
        <f aca="false">G6*G7/100</f>
        <v>11004.2471013379</v>
      </c>
      <c r="H8" s="0" t="n">
        <f aca="false">H6*H7/100</f>
        <v>9411.63242994425</v>
      </c>
      <c r="I8" s="0" t="n">
        <f aca="false">I6*I7/100</f>
        <v>8643.33590505084</v>
      </c>
      <c r="J8" s="0" t="n">
        <f aca="false">J6*J7/100</f>
        <v>8309.12691672221</v>
      </c>
      <c r="K8" s="0" t="n">
        <f aca="false">K6*K7/100</f>
        <v>8150.85783259417</v>
      </c>
      <c r="L8" s="0" t="n">
        <f aca="false">L6*L7/100</f>
        <v>8395.38356757199</v>
      </c>
    </row>
    <row r="9" customFormat="false" ht="15" hidden="false" customHeight="false" outlineLevel="0" collapsed="false">
      <c r="A9" s="0" t="s">
        <v>110</v>
      </c>
      <c r="C9" s="4" t="n">
        <f aca="false">Assumptions!C43</f>
        <v>0</v>
      </c>
      <c r="D9" s="4" t="n">
        <f aca="false">Assumptions!D43</f>
        <v>0</v>
      </c>
      <c r="E9" s="4" t="n">
        <f aca="false">Assumptions!E43</f>
        <v>0</v>
      </c>
      <c r="F9" s="4" t="n">
        <f aca="false">Assumptions!F43</f>
        <v>0</v>
      </c>
      <c r="G9" s="4" t="n">
        <f aca="false">Assumptions!G43</f>
        <v>0</v>
      </c>
      <c r="H9" s="4" t="n">
        <f aca="false">Assumptions!H43</f>
        <v>0</v>
      </c>
      <c r="I9" s="4" t="n">
        <f aca="false">Assumptions!I43</f>
        <v>0</v>
      </c>
      <c r="J9" s="4" t="n">
        <f aca="false">Assumptions!J43</f>
        <v>0</v>
      </c>
      <c r="K9" s="4" t="n">
        <f aca="false">Assumptions!K43</f>
        <v>0</v>
      </c>
      <c r="L9" s="4" t="n">
        <f aca="false">Assumptions!L43</f>
        <v>0</v>
      </c>
    </row>
    <row r="10" customFormat="false" ht="15" hidden="false" customHeight="false" outlineLevel="0" collapsed="false">
      <c r="A10" s="0" t="s">
        <v>125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126</v>
      </c>
      <c r="C11" s="0" t="n">
        <f aca="false">C8+C10+C24</f>
        <v>12114.5485</v>
      </c>
      <c r="D11" s="0" t="n">
        <f aca="false">D8+D10+D24</f>
        <v>12771.94091125</v>
      </c>
      <c r="E11" s="0" t="n">
        <f aca="false">E8+E10+E24</f>
        <v>13010.2233909375</v>
      </c>
      <c r="F11" s="0" t="n">
        <f aca="false">F8+F10+F24</f>
        <v>12453.7861443713</v>
      </c>
      <c r="G11" s="0" t="n">
        <f aca="false">G8+G10+G24</f>
        <v>11004.2471013379</v>
      </c>
      <c r="H11" s="0" t="n">
        <f aca="false">H8+H10+H24</f>
        <v>9411.63242994425</v>
      </c>
      <c r="I11" s="0" t="n">
        <f aca="false">I8+I10+I24</f>
        <v>8643.33590505084</v>
      </c>
      <c r="J11" s="0" t="n">
        <f aca="false">J8+J10+J24</f>
        <v>8309.12691672221</v>
      </c>
      <c r="K11" s="0" t="n">
        <f aca="false">K8+K10+K24</f>
        <v>8150.85783259417</v>
      </c>
      <c r="L11" s="0" t="n">
        <f aca="false">L8+L10+L24</f>
        <v>8395.38356757199</v>
      </c>
    </row>
    <row r="12" customFormat="false" ht="15" hidden="false" customHeight="false" outlineLevel="0" collapsed="false">
      <c r="A12" s="0" t="s">
        <v>127</v>
      </c>
      <c r="C12" s="4" t="n">
        <f aca="false">-C6*Assumptions!C45/100</f>
        <v>-712.6205</v>
      </c>
      <c r="D12" s="4" t="n">
        <f aca="false">-D6*Assumptions!D45/100</f>
        <v>-838.7543285</v>
      </c>
      <c r="E12" s="4" t="n">
        <f aca="false">-E6*Assumptions!E45/100</f>
        <v>-960.7549581</v>
      </c>
      <c r="F12" s="4" t="n">
        <f aca="false">-F6*Assumptions!F45/100</f>
        <v>-1020.80214298125</v>
      </c>
      <c r="G12" s="4" t="n">
        <f aca="false">-G6*Assumptions!G45/100</f>
        <v>-1000.38610012163</v>
      </c>
      <c r="H12" s="4" t="n">
        <f aca="false">-H6*Assumptions!H45/100</f>
        <v>-960.37065611676</v>
      </c>
      <c r="I12" s="4" t="n">
        <f aca="false">-I6*Assumptions!I45/100</f>
        <v>-960.37065611676</v>
      </c>
      <c r="J12" s="4" t="n">
        <f aca="false">-J6*Assumptions!J45/100</f>
        <v>-989.181775800263</v>
      </c>
      <c r="K12" s="4" t="n">
        <f aca="false">-K6*Assumptions!K45/100</f>
        <v>-1018.85722907427</v>
      </c>
      <c r="L12" s="4" t="n">
        <f aca="false">-L6*Assumptions!L45/100</f>
        <v>-1049.4229459465</v>
      </c>
    </row>
    <row r="13" customFormat="false" ht="15" hidden="false" customHeight="false" outlineLevel="0" collapsed="false">
      <c r="A13" s="0" t="s">
        <v>128</v>
      </c>
      <c r="C13" s="0" t="n">
        <f aca="false">C11+C12</f>
        <v>11401.928</v>
      </c>
      <c r="D13" s="0" t="n">
        <f aca="false">D11+D12</f>
        <v>11933.18658275</v>
      </c>
      <c r="E13" s="0" t="n">
        <f aca="false">E11+E12</f>
        <v>12049.4684328375</v>
      </c>
      <c r="F13" s="0" t="n">
        <f aca="false">F11+F12</f>
        <v>11432.98400139</v>
      </c>
      <c r="G13" s="0" t="n">
        <f aca="false">G11+G12</f>
        <v>10003.8610012163</v>
      </c>
      <c r="H13" s="0" t="n">
        <f aca="false">H11+H12</f>
        <v>8451.26177382749</v>
      </c>
      <c r="I13" s="0" t="n">
        <f aca="false">I11+I12</f>
        <v>7682.96524893408</v>
      </c>
      <c r="J13" s="0" t="n">
        <f aca="false">J11+J12</f>
        <v>7319.94514092195</v>
      </c>
      <c r="K13" s="0" t="n">
        <f aca="false">K11+K12</f>
        <v>7132.0006035199</v>
      </c>
      <c r="L13" s="0" t="n">
        <f aca="false">L11+L12</f>
        <v>7345.96062162549</v>
      </c>
    </row>
    <row r="14" customFormat="false" ht="15" hidden="false" customHeight="false" outlineLevel="0" collapsed="false">
      <c r="A14" s="0" t="s">
        <v>114</v>
      </c>
      <c r="C14" s="4" t="n">
        <f aca="false">Assumptions!C47</f>
        <v>20</v>
      </c>
      <c r="D14" s="4" t="n">
        <f aca="false">Assumptions!D47</f>
        <v>20</v>
      </c>
      <c r="E14" s="4" t="n">
        <f aca="false">Assumptions!E47</f>
        <v>20</v>
      </c>
      <c r="F14" s="4" t="n">
        <f aca="false">Assumptions!F47</f>
        <v>20</v>
      </c>
      <c r="G14" s="4" t="n">
        <f aca="false">Assumptions!G47</f>
        <v>20</v>
      </c>
      <c r="H14" s="4" t="n">
        <f aca="false">Assumptions!H47</f>
        <v>20</v>
      </c>
      <c r="I14" s="4" t="n">
        <f aca="false">Assumptions!I47</f>
        <v>20</v>
      </c>
      <c r="J14" s="4" t="n">
        <f aca="false">Assumptions!J47</f>
        <v>20</v>
      </c>
      <c r="K14" s="4" t="n">
        <f aca="false">Assumptions!K47</f>
        <v>20</v>
      </c>
      <c r="L14" s="4" t="n">
        <f aca="false">Assumptions!L47</f>
        <v>20</v>
      </c>
    </row>
    <row r="15" customFormat="false" ht="15" hidden="false" customHeight="false" outlineLevel="0" collapsed="false">
      <c r="A15" s="0" t="s">
        <v>129</v>
      </c>
      <c r="C15" s="0" t="n">
        <f aca="false">C13-MAX(0,C13)*C14/100</f>
        <v>9121.5424</v>
      </c>
      <c r="D15" s="0" t="n">
        <f aca="false">D13-MAX(0,D13)*D14/100</f>
        <v>9546.5492662</v>
      </c>
      <c r="E15" s="0" t="n">
        <f aca="false">E13-MAX(0,E13)*E14/100</f>
        <v>9639.57474627</v>
      </c>
      <c r="F15" s="0" t="n">
        <f aca="false">F13-MAX(0,F13)*F14/100</f>
        <v>9146.387201112</v>
      </c>
      <c r="G15" s="0" t="n">
        <f aca="false">G13-MAX(0,G13)*G14/100</f>
        <v>8003.088800973</v>
      </c>
      <c r="H15" s="0" t="n">
        <f aca="false">H13-MAX(0,H13)*H14/100</f>
        <v>6761.00941906199</v>
      </c>
      <c r="I15" s="0" t="n">
        <f aca="false">I13-MAX(0,I13)*I14/100</f>
        <v>6146.37219914727</v>
      </c>
      <c r="J15" s="0" t="n">
        <f aca="false">J13-MAX(0,J13)*J14/100</f>
        <v>5855.95611273756</v>
      </c>
      <c r="K15" s="0" t="n">
        <f aca="false">K13-MAX(0,K13)*K14/100</f>
        <v>5705.60048281592</v>
      </c>
      <c r="L15" s="0" t="n">
        <f aca="false">L13-MAX(0,L13)*L14/100</f>
        <v>5876.76849730039</v>
      </c>
    </row>
    <row r="16" customFormat="false" ht="15" hidden="false" customHeight="false" outlineLevel="0" collapsed="false">
      <c r="A16" s="0" t="s">
        <v>130</v>
      </c>
      <c r="C16" s="0" t="n">
        <f aca="false">-C12</f>
        <v>712.6205</v>
      </c>
      <c r="D16" s="0" t="n">
        <f aca="false">-D12</f>
        <v>838.7543285</v>
      </c>
      <c r="E16" s="0" t="n">
        <f aca="false">-E12</f>
        <v>960.7549581</v>
      </c>
      <c r="F16" s="0" t="n">
        <f aca="false">-F12</f>
        <v>1020.80214298125</v>
      </c>
      <c r="G16" s="0" t="n">
        <f aca="false">-G12</f>
        <v>1000.38610012163</v>
      </c>
      <c r="H16" s="0" t="n">
        <f aca="false">-H12</f>
        <v>960.37065611676</v>
      </c>
      <c r="I16" s="0" t="n">
        <f aca="false">-I12</f>
        <v>960.37065611676</v>
      </c>
      <c r="J16" s="0" t="n">
        <f aca="false">-J12</f>
        <v>989.181775800263</v>
      </c>
      <c r="K16" s="0" t="n">
        <f aca="false">-K12</f>
        <v>1018.85722907427</v>
      </c>
      <c r="L16" s="0" t="n">
        <f aca="false">-L12</f>
        <v>1049.4229459465</v>
      </c>
    </row>
    <row r="17" customFormat="false" ht="15" hidden="false" customHeight="false" outlineLevel="0" collapsed="false">
      <c r="A17" s="0" t="s">
        <v>131</v>
      </c>
      <c r="C17" s="4" t="n">
        <f aca="false">-C6*Assumptions!C46/100</f>
        <v>-3028.637125</v>
      </c>
      <c r="D17" s="4" t="n">
        <f aca="false">-D6*Assumptions!D46/100</f>
        <v>-2859.38975625</v>
      </c>
      <c r="E17" s="4" t="n">
        <f aca="false">-E6*Assumptions!E46/100</f>
        <v>-2001.572829375</v>
      </c>
      <c r="F17" s="4" t="n">
        <f aca="false">-F6*Assumptions!F46/100</f>
        <v>-1388.2909144545</v>
      </c>
      <c r="G17" s="4" t="n">
        <f aca="false">-G6*Assumptions!G46/100</f>
        <v>-1200.46332014595</v>
      </c>
      <c r="H17" s="4" t="n">
        <f aca="false">-H6*Assumptions!H46/100</f>
        <v>-1152.44478734011</v>
      </c>
      <c r="I17" s="4" t="n">
        <f aca="false">-I6*Assumptions!I46/100</f>
        <v>-1152.44478734011</v>
      </c>
      <c r="J17" s="4" t="n">
        <f aca="false">-J6*Assumptions!J46/100</f>
        <v>-1187.01813096032</v>
      </c>
      <c r="K17" s="4" t="n">
        <f aca="false">-K6*Assumptions!K46/100</f>
        <v>-1222.62867488913</v>
      </c>
      <c r="L17" s="4" t="n">
        <f aca="false">-L6*Assumptions!L46/100</f>
        <v>-1259.3075351358</v>
      </c>
    </row>
    <row r="18" customFormat="false" ht="15" hidden="false" customHeight="false" outlineLevel="0" collapsed="false">
      <c r="A18" s="0" t="s">
        <v>132</v>
      </c>
      <c r="C18" s="4" t="n">
        <f aca="false">(C6-B6)*Assumptions!$B$51/100</f>
        <v>1068.93075</v>
      </c>
      <c r="D18" s="4" t="n">
        <f aca="false">(D6-C6)*Assumptions!$B$51/100</f>
        <v>374.1257625</v>
      </c>
      <c r="E18" s="4" t="n">
        <f aca="false">(E6-D6)*Assumptions!$B$51/100</f>
        <v>285.938975625</v>
      </c>
      <c r="F18" s="4" t="n">
        <f aca="false">(F6-E6)*Assumptions!$B$51/100</f>
        <v>120.0943697625</v>
      </c>
      <c r="G18" s="4" t="n">
        <f aca="false">(G6-F6)*Assumptions!$B$51/100</f>
        <v>-122.49625715775</v>
      </c>
      <c r="H18" s="4" t="n">
        <f aca="false">(H6-G6)*Assumptions!$B$51/100</f>
        <v>-240.092664029191</v>
      </c>
      <c r="I18" s="4" t="n">
        <f aca="false">(I6-H6)*Assumptions!$B$51/100</f>
        <v>0</v>
      </c>
      <c r="J18" s="4" t="n">
        <f aca="false">(J6-I6)*Assumptions!$B$51/100</f>
        <v>172.866718101017</v>
      </c>
      <c r="K18" s="4" t="n">
        <f aca="false">(K6-J6)*Assumptions!$B$51/100</f>
        <v>178.052719644047</v>
      </c>
      <c r="L18" s="4" t="n">
        <f aca="false">(L6-K6)*Assumptions!$B$51/100</f>
        <v>183.394301233369</v>
      </c>
    </row>
    <row r="19" customFormat="false" ht="15" hidden="false" customHeight="false" outlineLevel="0" collapsed="false">
      <c r="A19" s="0" t="s">
        <v>133</v>
      </c>
      <c r="C19" s="0" t="n">
        <f aca="false">C15+C16+C17+C18</f>
        <v>7874.456525</v>
      </c>
      <c r="D19" s="0" t="n">
        <f aca="false">D15+D16+D17+D18</f>
        <v>7900.03960095</v>
      </c>
      <c r="E19" s="0" t="n">
        <f aca="false">E15+E16+E17+E18</f>
        <v>8884.69585062</v>
      </c>
      <c r="F19" s="0" t="n">
        <f aca="false">F15+F16+F17+F18</f>
        <v>8898.99279940125</v>
      </c>
      <c r="G19" s="0" t="n">
        <f aca="false">G15+G16+G17+G18</f>
        <v>7680.51532379093</v>
      </c>
      <c r="H19" s="0" t="n">
        <f aca="false">H15+H16+H17+H18</f>
        <v>6328.84262380945</v>
      </c>
      <c r="I19" s="0" t="n">
        <f aca="false">I15+I16+I17+I18</f>
        <v>5954.29806792391</v>
      </c>
      <c r="J19" s="0" t="n">
        <f aca="false">J15+J16+J17+J18</f>
        <v>5830.98647567852</v>
      </c>
      <c r="K19" s="0" t="n">
        <f aca="false">K15+K16+K17+K18</f>
        <v>5679.88175664511</v>
      </c>
      <c r="L19" s="0" t="n">
        <f aca="false">L15+L16+L17+L18</f>
        <v>5850.27820934446</v>
      </c>
    </row>
    <row r="20" customFormat="false" ht="15" hidden="false" customHeight="false" outlineLevel="0" collapsed="false">
      <c r="A20" s="0" t="s">
        <v>134</v>
      </c>
      <c r="C20" s="0" t="n">
        <f aca="false">1/(1+$B$27/100)^C4</f>
        <v>0.91324200913242</v>
      </c>
      <c r="D20" s="0" t="n">
        <f aca="false">1/(1+$B$27/100)^D4</f>
        <v>0.834010967244219</v>
      </c>
      <c r="E20" s="0" t="n">
        <f aca="false">1/(1+$B$27/100)^E4</f>
        <v>0.761653851364584</v>
      </c>
      <c r="F20" s="0" t="n">
        <f aca="false">1/(1+$B$27/100)^F4</f>
        <v>0.695574293483638</v>
      </c>
      <c r="G20" s="0" t="n">
        <f aca="false">1/(1+$B$27/100)^G4</f>
        <v>0.635227665281862</v>
      </c>
      <c r="H20" s="0" t="n">
        <f aca="false">1/(1+$B$27/100)^H4</f>
        <v>0.580116589298504</v>
      </c>
      <c r="I20" s="0" t="n">
        <f aca="false">1/(1+$B$27/100)^I4</f>
        <v>0.529786839542012</v>
      </c>
      <c r="J20" s="0" t="n">
        <f aca="false">1/(1+$B$27/100)^J4</f>
        <v>0.483823597755263</v>
      </c>
      <c r="K20" s="0" t="n">
        <f aca="false">1/(1+$B$27/100)^K4</f>
        <v>0.441848034479692</v>
      </c>
      <c r="L20" s="0" t="n">
        <f aca="false">1/(1+$B$27/100)^L4</f>
        <v>0.403514186739445</v>
      </c>
    </row>
    <row r="21" customFormat="false" ht="15" hidden="false" customHeight="false" outlineLevel="0" collapsed="false">
      <c r="A21" s="0" t="s">
        <v>135</v>
      </c>
      <c r="C21" s="0" t="n">
        <f aca="false">C19*C20</f>
        <v>7191.2844977169</v>
      </c>
      <c r="D21" s="0" t="n">
        <f aca="false">D19*D20</f>
        <v>6588.71966885594</v>
      </c>
      <c r="E21" s="0" t="n">
        <f aca="false">E19*E20</f>
        <v>6767.06281282766</v>
      </c>
      <c r="F21" s="0" t="n">
        <f aca="false">F19*F20</f>
        <v>6189.91062915951</v>
      </c>
      <c r="G21" s="0" t="n">
        <f aca="false">G19*G20</f>
        <v>4878.87581729327</v>
      </c>
      <c r="H21" s="0" t="n">
        <f aca="false">H19*H20</f>
        <v>3671.46659713133</v>
      </c>
      <c r="I21" s="0" t="n">
        <f aca="false">I19*I20</f>
        <v>3154.50875509652</v>
      </c>
      <c r="J21" s="0" t="n">
        <f aca="false">J19*J20</f>
        <v>2821.16885512506</v>
      </c>
      <c r="K21" s="0" t="n">
        <f aca="false">K19*K20</f>
        <v>2509.6445902507</v>
      </c>
      <c r="L21" s="0" t="n">
        <f aca="false">L19*L20</f>
        <v>2360.67025384313</v>
      </c>
    </row>
    <row r="23" customFormat="false" ht="15" hidden="false" customHeight="false" outlineLevel="0" collapsed="false">
      <c r="A23" s="0" t="s">
        <v>111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136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137</v>
      </c>
    </row>
    <row r="27" customFormat="false" ht="15" hidden="false" customHeight="false" outlineLevel="0" collapsed="false">
      <c r="A27" s="0" t="s">
        <v>115</v>
      </c>
      <c r="B27" s="4" t="n">
        <f aca="false">Assumptions!$B$48</f>
        <v>9.5</v>
      </c>
    </row>
    <row r="28" customFormat="false" ht="15" hidden="false" customHeight="false" outlineLevel="0" collapsed="false">
      <c r="A28" s="0" t="s">
        <v>116</v>
      </c>
      <c r="B28" s="4" t="n">
        <f aca="false">Assumptions!$B$49</f>
        <v>2.5</v>
      </c>
    </row>
    <row r="29" customFormat="false" ht="15" hidden="false" customHeight="false" outlineLevel="0" collapsed="false">
      <c r="A29" s="0" t="s">
        <v>117</v>
      </c>
      <c r="B29" s="4" t="n">
        <f aca="false">Assumptions!$B$50</f>
        <v>12</v>
      </c>
    </row>
    <row r="30" customFormat="false" ht="15" hidden="false" customHeight="false" outlineLevel="0" collapsed="false">
      <c r="A30" s="0" t="s">
        <v>138</v>
      </c>
      <c r="B30" s="0" t="n">
        <f aca="false">SUM(C21:L21)</f>
        <v>46133.3124773</v>
      </c>
    </row>
    <row r="31" customFormat="false" ht="15" hidden="false" customHeight="false" outlineLevel="0" collapsed="false">
      <c r="A31" s="0" t="s">
        <v>139</v>
      </c>
      <c r="B31" s="0" t="n">
        <f aca="false">L19</f>
        <v>5850.27820934446</v>
      </c>
    </row>
    <row r="32" customFormat="false" ht="15" hidden="false" customHeight="false" outlineLevel="0" collapsed="false">
      <c r="A32" s="0" t="s">
        <v>140</v>
      </c>
      <c r="B32" s="0" t="n">
        <f aca="false">IF(B27&gt;B28,B31*(1+B28/100)/((B27-B28)/100),B31*B29)</f>
        <v>85664.7880654011</v>
      </c>
    </row>
    <row r="33" customFormat="false" ht="15" hidden="false" customHeight="false" outlineLevel="0" collapsed="false">
      <c r="A33" s="0" t="s">
        <v>141</v>
      </c>
      <c r="B33" s="0" t="n">
        <f aca="false">B31*B29</f>
        <v>70203.3385121336</v>
      </c>
    </row>
    <row r="34" customFormat="false" ht="15" hidden="false" customHeight="false" outlineLevel="0" collapsed="false">
      <c r="A34" s="0" t="s">
        <v>142</v>
      </c>
      <c r="B34" s="0" t="n">
        <f aca="false">MAX(0,MIN(B32,B33))</f>
        <v>70203.3385121336</v>
      </c>
    </row>
    <row r="35" customFormat="false" ht="15" hidden="false" customHeight="false" outlineLevel="0" collapsed="false">
      <c r="A35" s="0" t="s">
        <v>143</v>
      </c>
      <c r="B35" s="0" t="n">
        <f aca="false">B34/(1+B27/100)^L4</f>
        <v>28328.0430461175</v>
      </c>
    </row>
    <row r="36" customFormat="false" ht="15" hidden="false" customHeight="false" outlineLevel="0" collapsed="false">
      <c r="A36" s="0" t="s">
        <v>144</v>
      </c>
      <c r="B36" s="0" t="n">
        <f aca="false">B30+B35</f>
        <v>74461.3555234175</v>
      </c>
    </row>
    <row r="37" customFormat="false" ht="15" hidden="false" customHeight="false" outlineLevel="0" collapsed="false">
      <c r="A37" s="0" t="s">
        <v>145</v>
      </c>
      <c r="B37" s="0" t="n">
        <f aca="false">B36+Assumptions!$B$5-Assumptions!$B$4</f>
        <v>91542.6855234175</v>
      </c>
    </row>
    <row r="38" customFormat="false" ht="15" hidden="false" customHeight="false" outlineLevel="0" collapsed="false">
      <c r="A38" s="0" t="s">
        <v>146</v>
      </c>
      <c r="B38" s="0" t="n">
        <f aca="false">B37/Assumptions!$B$3*Assumptions!$B$10</f>
        <v>4.44502899147373</v>
      </c>
    </row>
    <row r="39" customFormat="false" ht="15" hidden="false" customHeight="false" outlineLevel="0" collapsed="false">
      <c r="A39" s="0" t="s">
        <v>147</v>
      </c>
      <c r="B39" s="4" t="n">
        <f aca="false">B38/Assumptions!$B$2-1</f>
        <v>-0.0891334033865315</v>
      </c>
    </row>
    <row r="41" customFormat="false" ht="15" hidden="false" customHeight="false" outlineLevel="0" collapsed="false">
      <c r="A41" s="0" t="s">
        <v>148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149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150</v>
      </c>
      <c r="B43" s="0" t="n">
        <f aca="false">(B37+B41+B42)/Assumptions!$B$3*Assumptions!$B$10</f>
        <v>4.44502899147373</v>
      </c>
    </row>
    <row r="45" customFormat="false" ht="15" hidden="false" customHeight="false" outlineLevel="0" collapsed="false">
      <c r="A45" s="0" t="s">
        <v>91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151</v>
      </c>
      <c r="B46" s="0" t="n">
        <f aca="false">MAX(0,MIN(IF(B45&gt;B28,B31*(1+B28/100)/((B45-B28)/100),B31*B29),B31*B29))</f>
        <v>47972.2813166246</v>
      </c>
    </row>
    <row r="47" customFormat="false" ht="15" hidden="false" customHeight="false" outlineLevel="0" collapsed="false">
      <c r="A47" s="0" t="s">
        <v>152</v>
      </c>
      <c r="B47" s="0" t="n">
        <f aca="false">(SUMPRODUCT(C19:L19/(1+B45/100)^C4:L4)+B46/(1+B45/100)^L4+Assumptions!$B$5-Assumptions!$B$4)/Assumptions!$B$3*Assumptions!$B$10</f>
        <v>3.22661114995927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155</v>
      </c>
    </row>
    <row r="3" customFormat="false" ht="15" hidden="false" customHeight="false" outlineLevel="0" collapsed="false">
      <c r="A3" s="2" t="s">
        <v>156</v>
      </c>
      <c r="B3" s="2" t="s">
        <v>157</v>
      </c>
      <c r="C3" s="2" t="s">
        <v>147</v>
      </c>
      <c r="D3" s="2" t="s">
        <v>158</v>
      </c>
      <c r="E3" s="2" t="s">
        <v>150</v>
      </c>
      <c r="F3" s="2" t="s">
        <v>159</v>
      </c>
    </row>
    <row r="4" customFormat="false" ht="15" hidden="false" customHeight="false" outlineLevel="0" collapsed="false">
      <c r="A4" s="0" t="s">
        <v>160</v>
      </c>
      <c r="B4" s="4" t="n">
        <f aca="false">DCF_Bear!$B$38</f>
        <v>2.09311417442439</v>
      </c>
      <c r="C4" s="0" t="n">
        <f aca="false">B4/Assumptions!$B$2-1</f>
        <v>-0.571083160978609</v>
      </c>
      <c r="D4" s="4" t="n">
        <f aca="false">Assumptions!$B$24</f>
        <v>0.25</v>
      </c>
      <c r="E4" s="4" t="n">
        <f aca="false">DCF_Bear!$B$43</f>
        <v>2.09311417442439</v>
      </c>
      <c r="F4" s="4" t="n">
        <f aca="false">DCF_Bear!$B$47</f>
        <v>1.78142181311112</v>
      </c>
    </row>
    <row r="5" customFormat="false" ht="15" hidden="false" customHeight="false" outlineLevel="0" collapsed="false">
      <c r="A5" s="0" t="s">
        <v>161</v>
      </c>
      <c r="B5" s="4" t="n">
        <f aca="false">DCF_Base!$B$38</f>
        <v>3.12831363226487</v>
      </c>
      <c r="C5" s="0" t="n">
        <f aca="false">B5/Assumptions!$B$2-1</f>
        <v>-0.358952124535888</v>
      </c>
      <c r="D5" s="4" t="n">
        <f aca="false">Assumptions!$B$38</f>
        <v>0.5</v>
      </c>
      <c r="E5" s="4" t="n">
        <f aca="false">DCF_Base!$B$43</f>
        <v>3.12831363226487</v>
      </c>
      <c r="F5" s="4" t="n">
        <f aca="false">DCF_Base!$B$47</f>
        <v>2.44589279283593</v>
      </c>
    </row>
    <row r="6" customFormat="false" ht="15" hidden="false" customHeight="false" outlineLevel="0" collapsed="false">
      <c r="A6" s="0" t="s">
        <v>162</v>
      </c>
      <c r="B6" s="4" t="n">
        <f aca="false">DCF_Bull!$B$38</f>
        <v>4.44502899147373</v>
      </c>
      <c r="C6" s="0" t="n">
        <f aca="false">B6/Assumptions!$B$2-1</f>
        <v>-0.0891334033865315</v>
      </c>
      <c r="D6" s="4" t="n">
        <f aca="false">Assumptions!$B$52</f>
        <v>0.25</v>
      </c>
      <c r="E6" s="4" t="n">
        <f aca="false">DCF_Bull!$B$43</f>
        <v>4.44502899147373</v>
      </c>
      <c r="F6" s="4" t="n">
        <f aca="false">DCF_Bull!$B$47</f>
        <v>3.22661114995927</v>
      </c>
    </row>
    <row r="8" customFormat="false" ht="15" hidden="false" customHeight="false" outlineLevel="0" collapsed="false">
      <c r="A8" s="0" t="s">
        <v>163</v>
      </c>
      <c r="B8" s="0" t="n">
        <f aca="false">SUMPRODUCT(B4:B6,D4:D6)</f>
        <v>3.19869260760696</v>
      </c>
    </row>
    <row r="9" customFormat="false" ht="15" hidden="false" customHeight="false" outlineLevel="0" collapsed="false">
      <c r="A9" s="0" t="s">
        <v>164</v>
      </c>
      <c r="B9" s="0" t="n">
        <f aca="false">SUMPRODUCT(E4:E6,D4:D6)</f>
        <v>3.19869260760696</v>
      </c>
    </row>
    <row r="10" customFormat="false" ht="15" hidden="false" customHeight="false" outlineLevel="0" collapsed="false">
      <c r="A10" s="0" t="s">
        <v>165</v>
      </c>
      <c r="B10" s="0" t="n">
        <f aca="false">1-Assumptions!$B$2/B8</f>
        <v>-0.525623308846446</v>
      </c>
    </row>
    <row r="11" customFormat="false" ht="15" hidden="false" customHeight="false" outlineLevel="0" collapsed="false">
      <c r="A11" s="0" t="s">
        <v>166</v>
      </c>
      <c r="B11" s="0" t="str">
        <f aca="false">IF(ABS(B9-B8)&gt;0.01*ABS(B8),(Assumptions!$B$2-B8)/(B9-B8)*100,"n/a")</f>
        <v>n/a</v>
      </c>
    </row>
    <row r="12" customFormat="false" ht="15" hidden="false" customHeight="false" outlineLevel="0" collapsed="false">
      <c r="A12" s="0" t="s">
        <v>167</v>
      </c>
      <c r="B12" s="0" t="n">
        <f aca="false">SUMPRODUCT(F4:F6,D4:D6)</f>
        <v>2.47495463718556</v>
      </c>
    </row>
    <row r="14" customFormat="false" ht="15" hidden="false" customHeight="false" outlineLevel="0" collapsed="false">
      <c r="A14" s="2" t="s">
        <v>168</v>
      </c>
      <c r="C14" s="0" t="s">
        <v>169</v>
      </c>
    </row>
    <row r="15" customFormat="false" ht="15" hidden="false" customHeight="false" outlineLevel="0" collapsed="false">
      <c r="A15" s="0" t="s">
        <v>170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3.18936781922752</v>
      </c>
      <c r="C15" s="3" t="n">
        <v>9</v>
      </c>
    </row>
    <row r="16" customFormat="false" ht="15" hidden="false" customHeight="false" outlineLevel="0" collapsed="false">
      <c r="A16" s="0" t="s">
        <v>171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3.12831363226487</v>
      </c>
      <c r="C16" s="3" t="n">
        <v>9.5</v>
      </c>
    </row>
    <row r="17" customFormat="false" ht="15" hidden="false" customHeight="false" outlineLevel="0" collapsed="false">
      <c r="A17" s="0" t="s">
        <v>172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3.06969287875806</v>
      </c>
      <c r="C17" s="3" t="n">
        <v>10</v>
      </c>
    </row>
    <row r="18" customFormat="false" ht="15" hidden="false" customHeight="false" outlineLevel="0" collapsed="false">
      <c r="A18" s="0" t="s">
        <v>173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2.92533143113897</v>
      </c>
      <c r="C18" s="3" t="n">
        <v>11</v>
      </c>
    </row>
    <row r="19" customFormat="false" ht="15" hidden="false" customHeight="false" outlineLevel="0" collapsed="false">
      <c r="A19" s="0" t="s">
        <v>174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2.77347149691486</v>
      </c>
      <c r="C19" s="3" t="n">
        <v>12</v>
      </c>
    </row>
    <row r="20" customFormat="false" ht="15" hidden="false" customHeight="false" outlineLevel="0" collapsed="false">
      <c r="A20" s="0" t="s">
        <v>175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2.44589279283593</v>
      </c>
      <c r="C20" s="3" t="n">
        <v>15</v>
      </c>
    </row>
    <row r="22" customFormat="false" ht="15" hidden="false" customHeight="false" outlineLevel="0" collapsed="false">
      <c r="A22" s="2" t="s">
        <v>176</v>
      </c>
    </row>
    <row r="23" customFormat="false" ht="15" hidden="false" customHeight="false" outlineLevel="0" collapsed="false">
      <c r="B23" s="3" t="n">
        <v>1</v>
      </c>
      <c r="C23" s="3" t="n">
        <v>1.5</v>
      </c>
      <c r="D23" s="3" t="n">
        <v>2</v>
      </c>
      <c r="E23" s="3" t="n">
        <v>2.5</v>
      </c>
      <c r="F23" s="3" t="n">
        <v>3</v>
      </c>
    </row>
    <row r="24" customFormat="false" ht="15" hidden="false" customHeight="false" outlineLevel="0" collapsed="false">
      <c r="A24" s="3" t="n">
        <v>7.5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3.38840814558639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3.38840814558639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3.38840814558639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3.38840814558639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3.38840814558639</v>
      </c>
    </row>
    <row r="25" customFormat="false" ht="15" hidden="false" customHeight="false" outlineLevel="0" collapsed="false">
      <c r="A25" s="3" t="n">
        <v>8.5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3.252979507008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3.252979507008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3.252979507008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3.252979507008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3.252979507008</v>
      </c>
    </row>
    <row r="26" customFormat="false" ht="15" hidden="false" customHeight="false" outlineLevel="0" collapsed="false">
      <c r="A26" s="3" t="n">
        <v>9.5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3.12144775908307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3.12831363226487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3.12831363226487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3.12831363226487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3.12831363226487</v>
      </c>
    </row>
    <row r="27" customFormat="false" ht="15" hidden="false" customHeight="false" outlineLevel="0" collapsed="false">
      <c r="A27" s="3" t="n">
        <v>10.5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2.94046722318175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2.97490215935115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3.01338826448165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3.01338826448165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3.01338826448165</v>
      </c>
    </row>
    <row r="28" customFormat="false" ht="15" hidden="false" customHeight="false" outlineLevel="0" collapsed="false">
      <c r="A28" s="3" t="n">
        <v>11.5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2.79134316440909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2.81719925100888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2.84577703093495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2.87753011974171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2.90728974108974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2026-10-24T00:03:47Z</dcterms:created>
  <dc:creator>openpyxl</dc:creator>
  <dc:description/>
  <dc:language>en-NZ</dc:language>
  <cp:lastModifiedBy/>
  <dcterms:modified xsi:type="dcterms:W3CDTF">2026-10-24T00:03:47Z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