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<sst xmlns="http://schemas.openxmlformats.org/spreadsheetml/2006/main" count="373" uniqueCount="177">
  <si>
    <t xml:space="preserve">Ticker</t>
  </si>
  <si>
    <t xml:space="preserve">WBC.AX</t>
  </si>
  <si>
    <t xml:space="preserve">Company</t>
  </si>
  <si>
    <t xml:space="preserve">Westpac Banking Corporation</t>
  </si>
  <si>
    <t xml:space="preserve">Valuation date</t>
  </si>
  <si>
    <t xml:space="preserve">2026-09-25</t>
  </si>
  <si>
    <t xml:space="preserve">Current price</t>
  </si>
  <si>
    <t xml:space="preserve">Price as of</t>
  </si>
  <si>
    <t xml:space="preserve">2026-09-25T05:40:26Z ASX regular close</t>
  </si>
  <si>
    <t xml:space="preserve">Balance sheet date</t>
  </si>
  <si>
    <t xml:space="preserve">2026-03-31</t>
  </si>
  <si>
    <t xml:space="preserve">Model</t>
  </si>
  <si>
    <t xml:space="preserve">Bank FCFE capitalisation at cost of equity (engine route; cash earnings after regulatory capital retention, net debt zero)</t>
  </si>
  <si>
    <t xml:space="preserve">Currency (model)</t>
  </si>
  <si>
    <t xml:space="preserve">AUD</t>
  </si>
  <si>
    <t xml:space="preserve">Currency (quote)</t>
  </si>
  <si>
    <t xml:space="preserve">Units</t>
  </si>
  <si>
    <t xml:space="preserve">millions</t>
  </si>
  <si>
    <t xml:space="preserve">Engine</t>
  </si>
  <si>
    <t xml:space="preserve">dcf_engine v1</t>
  </si>
  <si>
    <t xml:space="preserve">Built at</t>
  </si>
  <si>
    <t xml:space="preserve">2026-09-25T06:04:35Z</t>
  </si>
  <si>
    <t xml:space="preserve">Drivers file</t>
  </si>
  <si>
    <t xml:space="preserve">WBC.AX_Drivers.json</t>
  </si>
  <si>
    <t xml:space="preserve">Convention</t>
  </si>
  <si>
    <t xml:space="preserve">Percents stored as percents; formulas divide by 100. Blue = input, green = link, black = formula.</t>
  </si>
  <si>
    <t xml:space="preserve">Methodology</t>
  </si>
  <si>
    <t xml:space="preserve">summary: A big-four bank is valued on what it can distribute after funding its regulatory capital, discounted at an AUD cost of equity, never on statutory operating cash flow (deposit and loan movement) and never with deposits or wholesale funding treated as net debt. Cash earnings ex Notable Items are the flow; capital retention to hold CET1 above target as risk-weighted assets grow is the reinvestment; 9.7% is the return an owner requires, matched to the same rate used for NAB.AX for cross-bank comparability. The result is the residual-income answer in FCFE form: at a ~10.8-11.5% base-case return on tangible equity and 2.5% terminal growth, the franchise is worth roughly 1.15x tangible book (~$21/share on FY2025 tangible book of $18.22), well below the ~1.9x (current_price / $18.22 FY2025 TBV) the market currently pays. That premium requires either a sustained ROTE well above what Westpac has delivered since its FY2023 NIM-cycle peak (11.67%), or a cost of equity meaningfully below 9.7%.
key_risks_to_valuation: Credit cycle: FY2025's credit impairment charge (424m, ~5bp of loans) is a cyclical low; every 10bp on ~$852bn of net loans is roughly $850m pre-tax (~9% of cash earnings), and Westpac's own economists now forecast an RBA tightening reversal that would test mortgage serviceability; Net interest margin: core NIM already contracted 1bp in FY25 to 1.81% on broker/non-bank mortgage competition and deposit mix shift; 5bp on ~$1,000bn of average interest-earning assets is roughly $500m of NOI (2.2%); UNITE execution: the programme has already been re-planned once (single-deposit-ledger decision pushed full benefits from FY28 to FY29) and cost-to-income moved the wrong way in FY25 (50.7% to 53.2%) even before that slip fully bites; a second re-plan would push the base case's margin recovery out further; Regulatory: AML/CTF reform takes effect 31 March 2026 against a bank with a A$1.3bn AUSTRAC penalty history; multi-regulator engagement (APRA, ASIC, ATO, ACCC, AUSTRAC, RBNZ and others) is a recurring cost and reputational risk noted in Analysis.json; Capital and distributions: FY2025-1H26 distributions (dividends plus buyback) have run ahead of organic FCFE, with tangible book per share falling from $18.22 (Sep-25) to $17.73 (Mar-26); a credit-cycle downturn could force either a dividend cut (as in FY2020) or slower buybacks to protect the CET1 buffer; Valuation regime: Australian bank multiples have decoupled from ROE-based models since 2023 (peers trading well above historical book-value multiples); the model is not a call on when, or whether, that regime reverts</t>
  </si>
  <si>
    <t xml:space="preserve">Data sources</t>
  </si>
  <si>
    <t xml:space="preserve">price: Yahoo Finance chart API at inputs.price_as_of (ASX regular close); 52-week range 33.46-43.32.
financials: WBC.AX_Metrics.csv (core_metrics, AUD millions, FY2015-FY2025 annual + H1 FY2024/FY2025 halves + partial H1 FY2026) exported from WBC.AX.duckdb; kpis table for CustomerDeposits, NetInterestIncome, OperatingExpenses, CreditImpairmentCharge, CostToIncomeRatio, NetLoansAndAdvances, CashTaxesPaid, BookValuePerShare, ROE, CET1Ratio, DividendsPaid, ShareRepurchases; FY2025 Annual Report (WBC.AX_Annual_FY2025.txt) five-year performance summary (10022-10023), total equity (637), intangible assets (5250), shares on issue (93, 5660), weighted average shares (1867), effective tax rate (1744), lease liabilities (1783), share-based payments (665, 683), buyback (696), interest received/paid (788-789), CTI and Notable Items (7660-7661, 11920-11945); H1 FY2026 results announcement (WBC.AX_HalfYear_H1-2026.txt) key shareholder metrics and NTA/share (169), CET1 ratio (127-129), DRP on-market-purchase mechanism (191-193) -- this is a short investor summary, not the full interim financial report, so 1H26 P&amp;L/balance-sheet detail is thinner than the FY2025 annual.
qualitative: WBC.AX_Analysis.json (2026-09-25): UNITE transformation re-plan and cost-to-income trajectory, credit and NIM risks, AML/CTF reform calendar, RBA rate-hike reversal forecast by Westpac's own economists, CORE/AUSTRAC overlay removal, bull/bear cases, Sell/Neutral analyst consensus with price targets below the recent share price.</t>
  </si>
  <si>
    <t xml:space="preserve">Scenario narrative: bear</t>
  </si>
  <si>
    <t xml:space="preserve">The rate-cycle reversal Westpac's own economists flagged for late 2026 (RBA hikes back to 4.6%) collides with fixed-rate mortgage repricing and already-falling consumer sentiment, triggering a credit-impairment spike (8-12% of net operating income) reminiscent of the FY2020 COVID-provisioning year. UNITE is re-planned again as AML/CTF reform compliance costs (effective March 2026) and any fresh conduct matter consume management bandwidth, keeping cost-to-income near 54-56% for two years. Growth stalls near zero, return on tangible equity falls to high single digits, and capital retention likely needs to run ahead of the clean-surplus formula shown here as RWA migration bites in a downturn -- as it did when Westpac cut its dividend in FY2020.</t>
  </si>
  <si>
    <t xml:space="preserve">Scenario narrative: base</t>
  </si>
  <si>
    <t xml:space="preserve">Westpac grows net operating income at 3.0-3.5% fading to 2.5%, roughly matching system credit growth net of continued core-NIM compression from broker and non-bank mortgage competition. Cost-to-income stays elevated near 53% through FY27-28 as the re-planned UNITE programme (full benefits now pushed to FY28/29 after the single-deposit-ledger decision) continues to ramp, then improves toward 47% by the mid-2030s -- still worse than peers, reflecting Westpac's persistent legacy-platform cost disadvantage. Credit impairments normalise up from FY2025's historically low ~5bp of loans toward a more typical ~15bp. Cash earnings hold roughly flat near $7bn through the UNITE investment years before resuming growth, and 70-80% of them are distributed as dividends and buybacks. At a 9.7% cost of equity and a ~10.8-11.5% return on tangible equity, the franchise is worth roughly 1.15x tangible book, well below the ~1.9x the market currently pays on FY2025 tangible book of $18.22/share.</t>
  </si>
  <si>
    <t xml:space="preserve">Scenario narrative: bull</t>
  </si>
  <si>
    <t xml:space="preserve">UNITE delivers ahead of its re-planned schedule, taking cost-to-income from the low-50s toward the low-40s by the mid-2030s as the single-deposit-ledger migration completes cleanly and digital/AI investment cuts servicing costs faster than guided. Business, institutional and NZ lending keep compounding at high-single to low-double digits, mortgage share stabilises as the proprietary channel holds up against brokers, and credit stays benign with the AUSTRAC/CORE remediation overhang fully behind the bank. Return on tangible equity lifts from ~11% to ~14%. Even this case falls short of the current market price at a 9.7% cost of equity -- the market is pricing a cost-to-income structure and sustained ROTE Westpac has not delivered in a decade.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</si>
  <si>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</si>
  <si>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</si>
  <si>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</si>
  <si>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</si>
  <si>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</si>
  <si>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</si>
  <si>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</si>
  <si>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</si>
  <si>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</si>
  <si>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</si>
  <si>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</si>
  <si>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</si>
  <si>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</si>
  <si>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</si>
  <si>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</si>
  <si>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</si>
  <si>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</si>
  <si>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</si>
  <si>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</si>
  <si>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</si>
  <si>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</si>
  <si>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</si>
  <si>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</si>
  <si>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</si>
  <si>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</si>
  <si>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</si>
  <si>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</si>
  <si>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BookValuePerShare</t>
  </si>
  <si>
    <t xml:space="preserve">CET1Ratio</t>
  </si>
  <si>
    <t xml:space="preserve">CashProfit</t>
  </si>
  <si>
    <t xml:space="preserve">CostToIncomeRatio</t>
  </si>
  <si>
    <t xml:space="preserve">CreditImpairmentCharge</t>
  </si>
  <si>
    <t xml:space="preserve">CustomerDeposits</t>
  </si>
  <si>
    <t xml:space="preserve">NetInterestIncome</t>
  </si>
  <si>
    <t xml:space="preserve">NetLoansAndAdvances</t>
  </si>
  <si>
    <t xml:space="preserve">OperatingExpenses</t>
  </si>
  <si>
    <t xml:space="preserve">ROE</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</si>
  <si>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</si>
  <si>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</si>
  <si>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</si>
  <si>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</si>
  <si>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</si>
  <si>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</si>
  <si>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</si>
  <si>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</si>
  <si>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</si>
  <si>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</si>
  <si>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</si>
  <si>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</si>
  <si>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</si>
  <si>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</si>
  <si>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</si>
  <si>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</si>
  <si>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</si>
  <si>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</si>
  <si>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</si>
  <si>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</si>
  <si>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</si>
  <si>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</si>
  <si>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AUD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</si>
  <si>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</si>
  <si>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</si>
  <si>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</si>
  <si>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</si>
  <si>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</si>
  <si>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</si>
  <si>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</si>
  <si>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</si>
  <si>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</si>
  <si>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</si>
  <si>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</si>
  <si>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</si>
  <si>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</si>
  <si>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</si>
  <si>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</si>
  <si>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</si>
  <si>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</si>
  <si>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</si>
  <si>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</si>
  <si>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</si>
  <si>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</si>
  <si>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</si>
  <si>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</si>
  <si>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</si>
  <si>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</si>
  <si>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</si>
  <si>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WBC.AX owner-FCF component DCF: bear case (millions, AUD)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</si>
  <si>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</si>
  <si>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</si>
  <si>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</si>
  <si>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</si>
  <si>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</si>
  <si>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</si>
  <si>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</si>
  <si>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</si>
  <si>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</si>
  <si>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</si>
  <si>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</si>
  <si>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</si>
  <si>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</si>
  <si>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</si>
  <si>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</si>
  <si>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</si>
  <si>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</si>
  <si>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</si>
  <si>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</si>
  <si>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</si>
  <si>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</si>
  <si>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</si>
  <si>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</si>
  <si>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</si>
  <si>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</si>
  <si>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</si>
  <si>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</si>
  <si>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</si>
  <si>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</si>
  <si>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</si>
  <si>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WBC.AX owner-FCF component DCF: base case (millions, AUD)</t>
  </si>
  <si>
    <t xml:space="preserve">WBC.AX owner-FCF component DCF: bull case (millions, AUD)</t>
  </si>
  <si>
    <t xml:space="preserve">WBC.AX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</si>
  <si>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</si>
  <si>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</si>
  <si>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</si>
  <si>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</si>
  <si>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</si>
  <si>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</si>
  <si>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</si>
  <si>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</si>
  <si>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</si>
  <si>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</si>
  <si>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</si>
  <si>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</si>
  <si>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</si>
  <si>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</si>
  <si>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</si>
  <si>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9.7%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</si>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</sst>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34.38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c r="AK1" s="2" t="s">
        <v>71</v>
      </c>
      <c r="AL1" s="2" t="s">
        <v>72</v>
      </c>
    </row>
    <row r="2" customFormat="false" ht="15" hidden="false" customHeight="false" outlineLevel="0" collapsed="false">
      <c r="A2" s="0" t="s">
        <v>73</v>
      </c>
      <c r="B2" s="0" t="n">
        <v>21642</v>
      </c>
      <c r="I2" s="0" t="n">
        <v>8012</v>
      </c>
      <c r="J2" s="0" t="n">
        <v>37</v>
      </c>
      <c r="K2" s="0" t="n">
        <v>2.55</v>
      </c>
      <c r="L2" s="0" t="n">
        <v>-541</v>
      </c>
      <c r="M2" s="0" t="n">
        <v>1307</v>
      </c>
      <c r="U2" s="0" t="n">
        <v>174</v>
      </c>
      <c r="AA2" s="0" t="s">
        <v>17</v>
      </c>
      <c r="AB2" s="0" t="s">
        <v>14</v>
      </c>
      <c r="AI2" s="0" t="n">
        <v>14267</v>
      </c>
    </row>
    <row r="3" customFormat="false" ht="15" hidden="false" customHeight="false" outlineLevel="0" collapsed="false">
      <c r="A3" s="0" t="s">
        <v>74</v>
      </c>
      <c r="B3" s="0" t="n">
        <v>20985</v>
      </c>
      <c r="F3" s="0" t="n">
        <v>10644</v>
      </c>
      <c r="G3" s="0" t="n">
        <v>50.7</v>
      </c>
      <c r="I3" s="0" t="n">
        <v>7445</v>
      </c>
      <c r="J3" s="0" t="n">
        <v>35.5</v>
      </c>
      <c r="K3" s="0" t="n">
        <v>2.246</v>
      </c>
      <c r="L3" s="0" t="n">
        <v>5497</v>
      </c>
      <c r="M3" s="0" t="n">
        <v>1228</v>
      </c>
      <c r="O3" s="0" t="n">
        <v>58120</v>
      </c>
      <c r="P3" s="0" t="n">
        <v>839202</v>
      </c>
      <c r="Q3" s="0" t="n">
        <v>781021</v>
      </c>
      <c r="S3" s="0" t="n">
        <v>17015</v>
      </c>
      <c r="T3" s="0" t="n">
        <v>3322</v>
      </c>
      <c r="U3" s="0" t="n">
        <v>135</v>
      </c>
      <c r="AA3" s="0" t="s">
        <v>17</v>
      </c>
      <c r="AB3" s="0" t="s">
        <v>14</v>
      </c>
      <c r="AC3" s="0" t="n">
        <v>17.5</v>
      </c>
      <c r="AI3" s="0" t="n">
        <v>15148</v>
      </c>
    </row>
    <row r="4" customFormat="false" ht="15" hidden="false" customHeight="false" outlineLevel="0" collapsed="false">
      <c r="A4" s="0" t="s">
        <v>75</v>
      </c>
      <c r="B4" s="0" t="n">
        <v>21650</v>
      </c>
      <c r="F4" s="0" t="n">
        <v>11515</v>
      </c>
      <c r="G4" s="0" t="n">
        <v>53.2</v>
      </c>
      <c r="I4" s="0" t="n">
        <v>7990</v>
      </c>
      <c r="J4" s="0" t="n">
        <v>36.9</v>
      </c>
      <c r="K4" s="0" t="n">
        <v>2.38</v>
      </c>
      <c r="L4" s="0" t="n">
        <v>2837</v>
      </c>
      <c r="M4" s="0" t="n">
        <v>1030</v>
      </c>
      <c r="O4" s="0" t="n">
        <v>61288</v>
      </c>
      <c r="P4" s="0" t="n">
        <v>851875</v>
      </c>
      <c r="Q4" s="0" t="n">
        <v>790533</v>
      </c>
      <c r="S4" s="0" t="n">
        <v>18397</v>
      </c>
      <c r="T4" s="0" t="n">
        <v>3364</v>
      </c>
      <c r="U4" s="0" t="n">
        <v>113</v>
      </c>
      <c r="AA4" s="0" t="s">
        <v>17</v>
      </c>
      <c r="AB4" s="0" t="s">
        <v>14</v>
      </c>
      <c r="AC4" s="0" t="n">
        <v>18.22</v>
      </c>
      <c r="AI4" s="0" t="n">
        <v>15516</v>
      </c>
      <c r="AL4" s="0" t="n">
        <v>13.4</v>
      </c>
    </row>
    <row r="5" customFormat="false" ht="15" hidden="false" customHeight="false" outlineLevel="0" collapsed="false">
      <c r="A5" s="0" t="s">
        <v>76</v>
      </c>
      <c r="B5" s="0" t="n">
        <v>22007</v>
      </c>
      <c r="F5" s="0" t="n">
        <v>11731</v>
      </c>
      <c r="G5" s="0" t="n">
        <v>53.3</v>
      </c>
      <c r="I5" s="0" t="n">
        <v>8095</v>
      </c>
      <c r="J5" s="0" t="n">
        <v>36.8</v>
      </c>
      <c r="K5" s="0" t="n">
        <v>2.375</v>
      </c>
      <c r="L5" s="0" t="n">
        <v>19770</v>
      </c>
      <c r="M5" s="0" t="n">
        <v>1192</v>
      </c>
      <c r="O5" s="0" t="n">
        <v>64521</v>
      </c>
      <c r="P5" s="0" t="n">
        <v>879592</v>
      </c>
      <c r="Q5" s="0" t="n">
        <v>815019</v>
      </c>
      <c r="S5" s="0" t="n">
        <v>26788</v>
      </c>
      <c r="T5" s="0" t="n">
        <v>3414</v>
      </c>
      <c r="U5" s="0" t="n">
        <v>113</v>
      </c>
      <c r="AA5" s="0" t="s">
        <v>17</v>
      </c>
      <c r="AB5" s="0" t="s">
        <v>14</v>
      </c>
      <c r="AC5" s="0" t="n">
        <v>18.9</v>
      </c>
      <c r="AI5" s="0" t="n">
        <v>16505</v>
      </c>
      <c r="AL5" s="0" t="n">
        <v>12.9</v>
      </c>
    </row>
    <row r="6" customFormat="false" ht="15" hidden="false" customHeight="false" outlineLevel="0" collapsed="false">
      <c r="A6" s="0" t="s">
        <v>77</v>
      </c>
      <c r="B6" s="0" t="n">
        <v>20649</v>
      </c>
      <c r="F6" s="0" t="n">
        <v>9749</v>
      </c>
      <c r="G6" s="0" t="n">
        <v>47.2</v>
      </c>
      <c r="I6" s="0" t="n">
        <v>6784</v>
      </c>
      <c r="J6" s="0" t="n">
        <v>32.9</v>
      </c>
      <c r="K6" s="0" t="n">
        <v>1.965</v>
      </c>
      <c r="L6" s="0" t="n">
        <v>7104</v>
      </c>
      <c r="M6" s="0" t="n">
        <v>1186</v>
      </c>
      <c r="O6" s="0" t="n">
        <v>65454</v>
      </c>
      <c r="P6" s="0" t="n">
        <v>906626</v>
      </c>
      <c r="Q6" s="0" t="n">
        <v>841119</v>
      </c>
      <c r="S6" s="0" t="n">
        <v>20059</v>
      </c>
      <c r="T6" s="0" t="n">
        <v>3456</v>
      </c>
      <c r="U6" s="0" t="n">
        <v>108</v>
      </c>
      <c r="AA6" s="0" t="s">
        <v>17</v>
      </c>
      <c r="AB6" s="0" t="s">
        <v>14</v>
      </c>
      <c r="AC6" s="0" t="n">
        <v>18.94</v>
      </c>
      <c r="AF6" s="0" t="n">
        <v>48.9</v>
      </c>
      <c r="AG6" s="0" t="n">
        <v>794</v>
      </c>
      <c r="AI6" s="0" t="n">
        <v>16907</v>
      </c>
      <c r="AK6" s="0" t="n">
        <v>10106</v>
      </c>
      <c r="AL6" s="0" t="n">
        <v>10.4</v>
      </c>
    </row>
    <row r="7" customFormat="false" ht="15" hidden="false" customHeight="false" outlineLevel="0" collapsed="false">
      <c r="A7" s="0" t="s">
        <v>78</v>
      </c>
      <c r="B7" s="0" t="n">
        <v>20183</v>
      </c>
      <c r="F7" s="0" t="n">
        <v>4266</v>
      </c>
      <c r="G7" s="0" t="n">
        <v>21.1</v>
      </c>
      <c r="I7" s="0" t="n">
        <v>2290</v>
      </c>
      <c r="J7" s="0" t="n">
        <v>11.3</v>
      </c>
      <c r="K7" s="0" t="n">
        <v>0.637</v>
      </c>
      <c r="L7" s="0" t="n">
        <v>58651</v>
      </c>
      <c r="M7" s="0" t="n">
        <v>1275</v>
      </c>
      <c r="O7" s="0" t="n">
        <v>68023</v>
      </c>
      <c r="P7" s="0" t="n">
        <v>911946</v>
      </c>
      <c r="Q7" s="0" t="n">
        <v>843872</v>
      </c>
      <c r="S7" s="0" t="n">
        <v>30129</v>
      </c>
      <c r="T7" s="0" t="n">
        <v>3595</v>
      </c>
      <c r="U7" s="0" t="n">
        <v>80</v>
      </c>
      <c r="AA7" s="0" t="s">
        <v>17</v>
      </c>
      <c r="AB7" s="0" t="s">
        <v>14</v>
      </c>
      <c r="AC7" s="0" t="n">
        <v>18.92</v>
      </c>
      <c r="AF7" s="0" t="n">
        <v>63.1</v>
      </c>
      <c r="AG7" s="0" t="n">
        <v>3178</v>
      </c>
      <c r="AI7" s="0" t="n">
        <v>16696</v>
      </c>
      <c r="AK7" s="0" t="n">
        <v>12739</v>
      </c>
      <c r="AL7" s="0" t="n">
        <v>3.4</v>
      </c>
    </row>
    <row r="8" customFormat="false" ht="15" hidden="false" customHeight="false" outlineLevel="0" collapsed="false">
      <c r="A8" s="0" t="s">
        <v>79</v>
      </c>
      <c r="B8" s="0" t="n">
        <v>21222</v>
      </c>
      <c r="F8" s="0" t="n">
        <v>8501</v>
      </c>
      <c r="G8" s="0" t="n">
        <v>40.1</v>
      </c>
      <c r="I8" s="0" t="n">
        <v>5458</v>
      </c>
      <c r="J8" s="0" t="n">
        <v>25.7</v>
      </c>
      <c r="K8" s="0" t="n">
        <v>1.494</v>
      </c>
      <c r="L8" s="0" t="n">
        <v>50410</v>
      </c>
      <c r="M8" s="0" t="n">
        <v>974</v>
      </c>
      <c r="O8" s="0" t="n">
        <v>72035</v>
      </c>
      <c r="P8" s="0" t="n">
        <v>935877</v>
      </c>
      <c r="Q8" s="0" t="n">
        <v>863785</v>
      </c>
      <c r="S8" s="0" t="n">
        <v>71353</v>
      </c>
      <c r="T8" s="0" t="n">
        <v>3657</v>
      </c>
      <c r="U8" s="0" t="n">
        <v>97</v>
      </c>
      <c r="AA8" s="0" t="s">
        <v>17</v>
      </c>
      <c r="AB8" s="0" t="s">
        <v>14</v>
      </c>
      <c r="AC8" s="0" t="n">
        <v>19.7</v>
      </c>
      <c r="AF8" s="0" t="n">
        <v>62.7</v>
      </c>
      <c r="AG8" s="0" t="n">
        <v>-590</v>
      </c>
      <c r="AI8" s="0" t="n">
        <v>16858</v>
      </c>
      <c r="AK8" s="0" t="n">
        <v>13311</v>
      </c>
      <c r="AL8" s="0" t="n">
        <v>7.8</v>
      </c>
    </row>
    <row r="9" customFormat="false" ht="15" hidden="false" customHeight="false" outlineLevel="0" collapsed="false">
      <c r="A9" s="0" t="s">
        <v>80</v>
      </c>
      <c r="B9" s="0" t="n">
        <v>19606</v>
      </c>
      <c r="F9" s="0" t="n">
        <v>8469</v>
      </c>
      <c r="G9" s="0" t="n">
        <v>43.2</v>
      </c>
      <c r="I9" s="0" t="n">
        <v>5694</v>
      </c>
      <c r="J9" s="0" t="n">
        <v>29</v>
      </c>
      <c r="K9" s="0" t="n">
        <v>1.599</v>
      </c>
      <c r="L9" s="0" t="n">
        <v>16954</v>
      </c>
      <c r="M9" s="0" t="n">
        <v>1265</v>
      </c>
      <c r="O9" s="0" t="n">
        <v>70452</v>
      </c>
      <c r="P9" s="0" t="n">
        <v>1014198</v>
      </c>
      <c r="Q9" s="0" t="n">
        <v>943689</v>
      </c>
      <c r="S9" s="0" t="n">
        <v>105257</v>
      </c>
      <c r="T9" s="0" t="n">
        <v>3564</v>
      </c>
      <c r="U9" s="0" t="n">
        <v>88</v>
      </c>
      <c r="AA9" s="0" t="s">
        <v>17</v>
      </c>
      <c r="AB9" s="0" t="s">
        <v>14</v>
      </c>
      <c r="AC9" s="0" t="n">
        <v>19.77</v>
      </c>
      <c r="AF9" s="0" t="n">
        <v>55.1</v>
      </c>
      <c r="AG9" s="0" t="n">
        <v>335</v>
      </c>
      <c r="AH9" s="0" t="n">
        <v>659129</v>
      </c>
      <c r="AI9" s="0" t="n">
        <v>17161</v>
      </c>
      <c r="AJ9" s="0" t="n">
        <v>739647</v>
      </c>
      <c r="AK9" s="0" t="n">
        <v>10802</v>
      </c>
      <c r="AL9" s="0" t="n">
        <v>8</v>
      </c>
    </row>
    <row r="10" customFormat="false" ht="15" hidden="false" customHeight="false" outlineLevel="0" collapsed="false">
      <c r="A10" s="0" t="s">
        <v>81</v>
      </c>
      <c r="B10" s="0" t="n">
        <v>21645</v>
      </c>
      <c r="F10" s="0" t="n">
        <v>10305</v>
      </c>
      <c r="G10" s="0" t="n">
        <v>47.6</v>
      </c>
      <c r="I10" s="0" t="n">
        <v>7195</v>
      </c>
      <c r="J10" s="0" t="n">
        <v>33.2</v>
      </c>
      <c r="K10" s="0" t="n">
        <v>2.053</v>
      </c>
      <c r="L10" s="0" t="n">
        <v>-10796</v>
      </c>
      <c r="M10" s="0" t="n">
        <v>1379</v>
      </c>
      <c r="O10" s="0" t="n">
        <v>72495</v>
      </c>
      <c r="P10" s="0" t="n">
        <v>1029774</v>
      </c>
      <c r="Q10" s="0" t="n">
        <v>957235</v>
      </c>
      <c r="S10" s="0" t="n">
        <v>102522</v>
      </c>
      <c r="T10" s="0" t="n">
        <v>3507</v>
      </c>
      <c r="U10" s="0" t="n">
        <v>90</v>
      </c>
      <c r="AA10" s="0" t="s">
        <v>17</v>
      </c>
      <c r="AB10" s="0" t="s">
        <v>14</v>
      </c>
      <c r="AC10" s="0" t="n">
        <v>20.67</v>
      </c>
      <c r="AF10" s="0" t="n">
        <v>49.4</v>
      </c>
      <c r="AG10" s="0" t="n">
        <v>648</v>
      </c>
      <c r="AH10" s="0" t="n">
        <v>688168</v>
      </c>
      <c r="AI10" s="0" t="n">
        <v>18317</v>
      </c>
      <c r="AJ10" s="0" t="n">
        <v>773254</v>
      </c>
      <c r="AK10" s="0" t="n">
        <v>10692</v>
      </c>
      <c r="AL10" s="0" t="n">
        <v>10.1</v>
      </c>
    </row>
    <row r="11" customFormat="false" ht="15" hidden="false" customHeight="false" outlineLevel="0" collapsed="false">
      <c r="A11" s="0" t="s">
        <v>82</v>
      </c>
      <c r="B11" s="0" t="n">
        <v>21588</v>
      </c>
      <c r="F11" s="0" t="n">
        <v>10107</v>
      </c>
      <c r="G11" s="0" t="n">
        <v>46.8</v>
      </c>
      <c r="I11" s="0" t="n">
        <v>6990</v>
      </c>
      <c r="J11" s="0" t="n">
        <v>32.4</v>
      </c>
      <c r="K11" s="0" t="n">
        <v>2.009</v>
      </c>
      <c r="L11" s="0" t="n">
        <v>-19767</v>
      </c>
      <c r="M11" s="0" t="n">
        <v>1017</v>
      </c>
      <c r="O11" s="0" t="n">
        <v>71705</v>
      </c>
      <c r="P11" s="0" t="n">
        <v>1077544</v>
      </c>
      <c r="Q11" s="0" t="n">
        <v>1005492</v>
      </c>
      <c r="S11" s="0" t="n">
        <v>65667</v>
      </c>
      <c r="T11" s="0" t="n">
        <v>3481</v>
      </c>
      <c r="U11" s="0" t="n">
        <v>97</v>
      </c>
      <c r="AA11" s="0" t="s">
        <v>17</v>
      </c>
      <c r="AB11" s="0" t="s">
        <v>14</v>
      </c>
      <c r="AC11" s="0" t="n">
        <v>20.6</v>
      </c>
      <c r="AF11" s="0" t="n">
        <v>50.7</v>
      </c>
      <c r="AG11" s="0" t="n">
        <v>537</v>
      </c>
      <c r="AH11" s="0" t="n">
        <v>720489</v>
      </c>
      <c r="AI11" s="0" t="n">
        <v>18753</v>
      </c>
      <c r="AJ11" s="0" t="n">
        <v>806767</v>
      </c>
      <c r="AK11" s="0" t="n">
        <v>10944</v>
      </c>
      <c r="AL11" s="0" t="n">
        <v>9.7</v>
      </c>
    </row>
    <row r="12" customFormat="false" ht="15" hidden="false" customHeight="false" outlineLevel="0" collapsed="false">
      <c r="A12" s="0" t="s">
        <v>83</v>
      </c>
      <c r="B12" s="0" t="n">
        <v>22384</v>
      </c>
      <c r="F12" s="0" t="n">
        <v>10044</v>
      </c>
      <c r="G12" s="0" t="n">
        <v>44.9</v>
      </c>
      <c r="I12" s="0" t="n">
        <v>6916</v>
      </c>
      <c r="J12" s="0" t="n">
        <v>30.9</v>
      </c>
      <c r="K12" s="0" t="n">
        <v>2.019</v>
      </c>
      <c r="L12" s="0" t="n">
        <v>9489</v>
      </c>
      <c r="M12" s="0" t="n">
        <v>1147</v>
      </c>
      <c r="O12" s="0" t="n">
        <v>72766</v>
      </c>
      <c r="P12" s="0" t="n">
        <v>1125356</v>
      </c>
      <c r="Q12" s="0" t="n">
        <v>1052263</v>
      </c>
      <c r="S12" s="0" t="n">
        <v>50430</v>
      </c>
      <c r="T12" s="0" t="n">
        <v>3427</v>
      </c>
      <c r="U12" s="0" t="n">
        <v>95</v>
      </c>
      <c r="AA12" s="0" t="s">
        <v>17</v>
      </c>
      <c r="AB12" s="0" t="s">
        <v>14</v>
      </c>
      <c r="AC12" s="0" t="n">
        <v>21.23</v>
      </c>
      <c r="AF12" s="0" t="n">
        <v>53.2</v>
      </c>
      <c r="AG12" s="0" t="n">
        <v>424</v>
      </c>
      <c r="AH12" s="0" t="n">
        <v>770457</v>
      </c>
      <c r="AI12" s="0" t="n">
        <v>19380</v>
      </c>
      <c r="AJ12" s="0" t="n">
        <v>851853</v>
      </c>
      <c r="AK12" s="0" t="n">
        <v>11916</v>
      </c>
      <c r="AL12" s="0" t="n">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84</v>
      </c>
      <c r="B1" s="2" t="s">
        <v>85</v>
      </c>
    </row>
    <row r="2" customFormat="false" ht="15" hidden="false" customHeight="false" outlineLevel="0" collapsed="false">
      <c r="A2" s="0" t="s">
        <v>86</v>
      </c>
      <c r="B2" s="3" t="n">
        <v>34.38</v>
      </c>
    </row>
    <row r="3" customFormat="false" ht="15" hidden="false" customHeight="false" outlineLevel="0" collapsed="false">
      <c r="A3" s="0" t="s">
        <v>87</v>
      </c>
      <c r="B3" s="3" t="n">
        <v>3420</v>
      </c>
    </row>
    <row r="4" customFormat="false" ht="15" hidden="false" customHeight="false" outlineLevel="0" collapsed="false">
      <c r="A4" s="0" t="s">
        <v>88</v>
      </c>
      <c r="B4" s="3" t="n">
        <v>0</v>
      </c>
    </row>
    <row r="5" customFormat="false" ht="15" hidden="false" customHeight="false" outlineLevel="0" collapsed="false">
      <c r="A5" s="0" t="s">
        <v>89</v>
      </c>
      <c r="B5" s="3" t="n">
        <v>0</v>
      </c>
    </row>
    <row r="6" customFormat="false" ht="15" hidden="false" customHeight="false" outlineLevel="0" collapsed="false">
      <c r="A6" s="0" t="s">
        <v>90</v>
      </c>
      <c r="B6" s="3" t="n">
        <v>15</v>
      </c>
    </row>
    <row r="7" customFormat="false" ht="15" hidden="false" customHeight="false" outlineLevel="0" collapsed="false">
      <c r="A7" s="0" t="s">
        <v>91</v>
      </c>
      <c r="B7" s="3" t="n">
        <v>23100</v>
      </c>
    </row>
    <row r="8" customFormat="false" ht="15" hidden="false" customHeight="false" outlineLevel="0" collapsed="false">
      <c r="A8" s="0" t="s">
        <v>92</v>
      </c>
      <c r="B8" s="3" t="s">
        <v>93</v>
      </c>
    </row>
    <row r="9" customFormat="false" ht="15" hidden="false" customHeight="false" outlineLevel="0" collapsed="false">
      <c r="A9" s="0" t="s">
        <v>94</v>
      </c>
      <c r="B9" s="3" t="s">
        <v>95</v>
      </c>
    </row>
    <row r="10" customFormat="false" ht="15" hidden="false" customHeight="false" outlineLevel="0" collapsed="false">
      <c r="A10" s="0" t="s">
        <v>96</v>
      </c>
      <c r="B10" s="3" t="n">
        <v>1</v>
      </c>
    </row>
    <row r="12" customFormat="false" ht="15" hidden="false" customHeight="false" outlineLevel="0" collapsed="false">
      <c r="A12" s="2" t="s">
        <v>97</v>
      </c>
      <c r="C12" s="2" t="s">
        <v>98</v>
      </c>
      <c r="D12" s="2" t="s">
        <v>99</v>
      </c>
      <c r="E12" s="2" t="s">
        <v>100</v>
      </c>
      <c r="F12" s="2" t="s">
        <v>101</v>
      </c>
      <c r="G12" s="2" t="s">
        <v>102</v>
      </c>
      <c r="H12" s="2" t="s">
        <v>103</v>
      </c>
      <c r="I12" s="2" t="s">
        <v>104</v>
      </c>
      <c r="J12" s="2" t="s">
        <v>105</v>
      </c>
      <c r="K12" s="2" t="s">
        <v>106</v>
      </c>
      <c r="L12" s="2" t="s">
        <v>107</v>
      </c>
    </row>
    <row r="13" customFormat="false" ht="15" hidden="false" customHeight="false" outlineLevel="0" collapsed="false">
      <c r="A13" s="0" t="s">
        <v>108</v>
      </c>
      <c r="C13" s="3" t="n">
        <v>1</v>
      </c>
      <c r="D13" s="3" t="n">
        <v>0</v>
      </c>
      <c r="E13" s="3" t="n">
        <v>1</v>
      </c>
      <c r="F13" s="3" t="n">
        <v>1.5</v>
      </c>
      <c r="G13" s="3" t="n">
        <v>1.5</v>
      </c>
      <c r="H13" s="3" t="n">
        <v>1.5</v>
      </c>
      <c r="I13" s="3" t="n">
        <v>1.5</v>
      </c>
      <c r="J13" s="3" t="n">
        <v>1.5</v>
      </c>
      <c r="K13" s="3" t="n">
        <v>1.5</v>
      </c>
      <c r="L13" s="3" t="n">
        <v>1.5</v>
      </c>
    </row>
    <row r="14" customFormat="false" ht="15" hidden="false" customHeight="false" outlineLevel="0" collapsed="false">
      <c r="A14" s="0" t="s">
        <v>109</v>
      </c>
      <c r="C14" s="3" t="n">
        <v>37.9</v>
      </c>
      <c r="D14" s="3" t="n">
        <v>32.4</v>
      </c>
      <c r="E14" s="3" t="n">
        <v>35.4</v>
      </c>
      <c r="F14" s="3" t="n">
        <v>38.9</v>
      </c>
      <c r="G14" s="3" t="n">
        <v>40.9</v>
      </c>
      <c r="H14" s="3" t="n">
        <v>42.4</v>
      </c>
      <c r="I14" s="3" t="n">
        <v>42.9</v>
      </c>
      <c r="J14" s="3" t="n">
        <v>42.9</v>
      </c>
      <c r="K14" s="3" t="n">
        <v>42.9</v>
      </c>
      <c r="L14" s="3" t="n">
        <v>42.9</v>
      </c>
    </row>
    <row r="15" customFormat="false" ht="15" hidden="false" customHeight="false" outlineLevel="0" collapsed="false">
      <c r="A15" s="0" t="s">
        <v>110</v>
      </c>
      <c r="C15" s="3" t="n">
        <v>0.4</v>
      </c>
      <c r="D15" s="3" t="n">
        <v>0.4</v>
      </c>
      <c r="E15" s="3" t="n">
        <v>0.4</v>
      </c>
      <c r="F15" s="3" t="n">
        <v>0.4</v>
      </c>
      <c r="G15" s="3" t="n">
        <v>0.4</v>
      </c>
      <c r="H15" s="3" t="n">
        <v>0.4</v>
      </c>
      <c r="I15" s="3" t="n">
        <v>0.4</v>
      </c>
      <c r="J15" s="3" t="n">
        <v>0.4</v>
      </c>
      <c r="K15" s="3" t="n">
        <v>0.4</v>
      </c>
      <c r="L15" s="3" t="n">
        <v>0.4</v>
      </c>
    </row>
    <row r="16" customFormat="false" ht="15" hidden="false" customHeight="false" outlineLevel="0" collapsed="false">
      <c r="A16" s="0" t="s">
        <v>111</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112</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113</v>
      </c>
      <c r="C18" s="3" t="n">
        <v>3.3</v>
      </c>
      <c r="D18" s="3" t="n">
        <v>0</v>
      </c>
      <c r="E18" s="3" t="n">
        <v>3.5</v>
      </c>
      <c r="F18" s="3" t="n">
        <v>5</v>
      </c>
      <c r="G18" s="3" t="n">
        <v>5</v>
      </c>
      <c r="H18" s="3" t="n">
        <v>4.9</v>
      </c>
      <c r="I18" s="3" t="n">
        <v>4.9</v>
      </c>
      <c r="J18" s="3" t="n">
        <v>4.9</v>
      </c>
      <c r="K18" s="3" t="n">
        <v>4.9</v>
      </c>
      <c r="L18" s="3" t="n">
        <v>4.9</v>
      </c>
    </row>
    <row r="19" customFormat="false" ht="15" hidden="false" customHeight="false" outlineLevel="0" collapsed="false">
      <c r="A19" s="0" t="s">
        <v>114</v>
      </c>
      <c r="C19" s="3" t="n">
        <v>31</v>
      </c>
      <c r="D19" s="3" t="n">
        <v>31</v>
      </c>
      <c r="E19" s="3" t="n">
        <v>31</v>
      </c>
      <c r="F19" s="3" t="n">
        <v>31</v>
      </c>
      <c r="G19" s="3" t="n">
        <v>31</v>
      </c>
      <c r="H19" s="3" t="n">
        <v>31</v>
      </c>
      <c r="I19" s="3" t="n">
        <v>31</v>
      </c>
      <c r="J19" s="3" t="n">
        <v>31</v>
      </c>
      <c r="K19" s="3" t="n">
        <v>31</v>
      </c>
      <c r="L19" s="3" t="n">
        <v>31</v>
      </c>
    </row>
    <row r="20" customFormat="false" ht="15" hidden="false" customHeight="false" outlineLevel="0" collapsed="false">
      <c r="A20" s="0" t="s">
        <v>115</v>
      </c>
      <c r="B20" s="3" t="n">
        <v>9.7</v>
      </c>
    </row>
    <row r="21" customFormat="false" ht="15" hidden="false" customHeight="false" outlineLevel="0" collapsed="false">
      <c r="A21" s="0" t="s">
        <v>116</v>
      </c>
      <c r="B21" s="3" t="n">
        <v>2</v>
      </c>
    </row>
    <row r="22" customFormat="false" ht="15" hidden="false" customHeight="false" outlineLevel="0" collapsed="false">
      <c r="A22" s="0" t="s">
        <v>117</v>
      </c>
      <c r="B22" s="3" t="n">
        <v>15</v>
      </c>
    </row>
    <row r="23" customFormat="false" ht="15" hidden="false" customHeight="false" outlineLevel="0" collapsed="false">
      <c r="A23" s="0" t="s">
        <v>118</v>
      </c>
      <c r="B23" s="3" t="n">
        <v>0</v>
      </c>
    </row>
    <row r="24" customFormat="false" ht="15" hidden="false" customHeight="false" outlineLevel="0" collapsed="false">
      <c r="A24" s="0" t="s">
        <v>119</v>
      </c>
      <c r="B24" s="3" t="n">
        <v>0.25</v>
      </c>
    </row>
    <row r="26" customFormat="false" ht="15" hidden="false" customHeight="false" outlineLevel="0" collapsed="false">
      <c r="A26" s="2" t="s">
        <v>120</v>
      </c>
      <c r="C26" s="2" t="s">
        <v>98</v>
      </c>
      <c r="D26" s="2" t="s">
        <v>99</v>
      </c>
      <c r="E26" s="2" t="s">
        <v>100</v>
      </c>
      <c r="F26" s="2" t="s">
        <v>101</v>
      </c>
      <c r="G26" s="2" t="s">
        <v>102</v>
      </c>
      <c r="H26" s="2" t="s">
        <v>103</v>
      </c>
      <c r="I26" s="2" t="s">
        <v>104</v>
      </c>
      <c r="J26" s="2" t="s">
        <v>105</v>
      </c>
      <c r="K26" s="2" t="s">
        <v>106</v>
      </c>
      <c r="L26" s="2" t="s">
        <v>107</v>
      </c>
    </row>
    <row r="27" customFormat="false" ht="15" hidden="false" customHeight="false" outlineLevel="0" collapsed="false">
      <c r="A27" s="0" t="s">
        <v>108</v>
      </c>
      <c r="C27" s="3" t="n">
        <v>3.2</v>
      </c>
      <c r="D27" s="3" t="n">
        <v>3.5</v>
      </c>
      <c r="E27" s="3" t="n">
        <v>3.5</v>
      </c>
      <c r="F27" s="3" t="n">
        <v>3.2</v>
      </c>
      <c r="G27" s="3" t="n">
        <v>3</v>
      </c>
      <c r="H27" s="3" t="n">
        <v>2.8</v>
      </c>
      <c r="I27" s="3" t="n">
        <v>2.5</v>
      </c>
      <c r="J27" s="3" t="n">
        <v>2.5</v>
      </c>
      <c r="K27" s="3" t="n">
        <v>2.5</v>
      </c>
      <c r="L27" s="3" t="n">
        <v>2.5</v>
      </c>
    </row>
    <row r="28" customFormat="false" ht="15" hidden="false" customHeight="false" outlineLevel="0" collapsed="false">
      <c r="A28" s="0" t="s">
        <v>109</v>
      </c>
      <c r="C28" s="3" t="n">
        <v>45.4</v>
      </c>
      <c r="D28" s="3" t="n">
        <v>44.9</v>
      </c>
      <c r="E28" s="3" t="n">
        <v>44.9</v>
      </c>
      <c r="F28" s="3" t="n">
        <v>45.4</v>
      </c>
      <c r="G28" s="3" t="n">
        <v>45.9</v>
      </c>
      <c r="H28" s="3" t="n">
        <v>46.4</v>
      </c>
      <c r="I28" s="3" t="n">
        <v>46.9</v>
      </c>
      <c r="J28" s="3" t="n">
        <v>47.4</v>
      </c>
      <c r="K28" s="3" t="n">
        <v>47.4</v>
      </c>
      <c r="L28" s="3" t="n">
        <v>47.4</v>
      </c>
    </row>
    <row r="29" customFormat="false" ht="15" hidden="false" customHeight="false" outlineLevel="0" collapsed="false">
      <c r="A29" s="0" t="s">
        <v>110</v>
      </c>
      <c r="C29" s="3" t="n">
        <v>0.4</v>
      </c>
      <c r="D29" s="3" t="n">
        <v>0.4</v>
      </c>
      <c r="E29" s="3" t="n">
        <v>0.4</v>
      </c>
      <c r="F29" s="3" t="n">
        <v>0.4</v>
      </c>
      <c r="G29" s="3" t="n">
        <v>0.4</v>
      </c>
      <c r="H29" s="3" t="n">
        <v>0.4</v>
      </c>
      <c r="I29" s="3" t="n">
        <v>0.4</v>
      </c>
      <c r="J29" s="3" t="n">
        <v>0.4</v>
      </c>
      <c r="K29" s="3" t="n">
        <v>0.4</v>
      </c>
      <c r="L29" s="3" t="n">
        <v>0.4</v>
      </c>
    </row>
    <row r="30" customFormat="false" ht="15" hidden="false" customHeight="false" outlineLevel="0" collapsed="false">
      <c r="A30" s="0" t="s">
        <v>111</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112</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113</v>
      </c>
      <c r="C32" s="3" t="n">
        <v>9.3</v>
      </c>
      <c r="D32" s="3" t="n">
        <v>10.2</v>
      </c>
      <c r="E32" s="3" t="n">
        <v>10.2</v>
      </c>
      <c r="F32" s="3" t="n">
        <v>9.3</v>
      </c>
      <c r="G32" s="3" t="n">
        <v>8.6</v>
      </c>
      <c r="H32" s="3" t="n">
        <v>8</v>
      </c>
      <c r="I32" s="3" t="n">
        <v>7.1</v>
      </c>
      <c r="J32" s="3" t="n">
        <v>7.1</v>
      </c>
      <c r="K32" s="3" t="n">
        <v>7.1</v>
      </c>
      <c r="L32" s="3" t="n">
        <v>7.1</v>
      </c>
    </row>
    <row r="33" customFormat="false" ht="15" hidden="false" customHeight="false" outlineLevel="0" collapsed="false">
      <c r="A33" s="0" t="s">
        <v>114</v>
      </c>
      <c r="C33" s="3" t="n">
        <v>31</v>
      </c>
      <c r="D33" s="3" t="n">
        <v>31</v>
      </c>
      <c r="E33" s="3" t="n">
        <v>31</v>
      </c>
      <c r="F33" s="3" t="n">
        <v>31</v>
      </c>
      <c r="G33" s="3" t="n">
        <v>31</v>
      </c>
      <c r="H33" s="3" t="n">
        <v>31</v>
      </c>
      <c r="I33" s="3" t="n">
        <v>31</v>
      </c>
      <c r="J33" s="3" t="n">
        <v>31</v>
      </c>
      <c r="K33" s="3" t="n">
        <v>31</v>
      </c>
      <c r="L33" s="3" t="n">
        <v>31</v>
      </c>
    </row>
    <row r="34" customFormat="false" ht="15" hidden="false" customHeight="false" outlineLevel="0" collapsed="false">
      <c r="A34" s="0" t="s">
        <v>115</v>
      </c>
      <c r="B34" s="3" t="n">
        <v>9.7</v>
      </c>
    </row>
    <row r="35" customFormat="false" ht="15" hidden="false" customHeight="false" outlineLevel="0" collapsed="false">
      <c r="A35" s="0" t="s">
        <v>116</v>
      </c>
      <c r="B35" s="3" t="n">
        <v>2.5</v>
      </c>
    </row>
    <row r="36" customFormat="false" ht="15" hidden="false" customHeight="false" outlineLevel="0" collapsed="false">
      <c r="A36" s="0" t="s">
        <v>117</v>
      </c>
      <c r="B36" s="3" t="n">
        <v>15</v>
      </c>
    </row>
    <row r="37" customFormat="false" ht="15" hidden="false" customHeight="false" outlineLevel="0" collapsed="false">
      <c r="A37" s="0" t="s">
        <v>118</v>
      </c>
      <c r="B37" s="3" t="n">
        <v>0</v>
      </c>
    </row>
    <row r="38" customFormat="false" ht="15" hidden="false" customHeight="false" outlineLevel="0" collapsed="false">
      <c r="A38" s="0" t="s">
        <v>119</v>
      </c>
      <c r="B38" s="3" t="n">
        <v>0.5</v>
      </c>
    </row>
    <row r="40" customFormat="false" ht="15" hidden="false" customHeight="false" outlineLevel="0" collapsed="false">
      <c r="A40" s="2" t="s">
        <v>121</v>
      </c>
      <c r="C40" s="2" t="s">
        <v>98</v>
      </c>
      <c r="D40" s="2" t="s">
        <v>99</v>
      </c>
      <c r="E40" s="2" t="s">
        <v>100</v>
      </c>
      <c r="F40" s="2" t="s">
        <v>101</v>
      </c>
      <c r="G40" s="2" t="s">
        <v>102</v>
      </c>
      <c r="H40" s="2" t="s">
        <v>103</v>
      </c>
      <c r="I40" s="2" t="s">
        <v>104</v>
      </c>
      <c r="J40" s="2" t="s">
        <v>105</v>
      </c>
      <c r="K40" s="2" t="s">
        <v>106</v>
      </c>
      <c r="L40" s="2" t="s">
        <v>107</v>
      </c>
    </row>
    <row r="41" customFormat="false" ht="15" hidden="false" customHeight="false" outlineLevel="0" collapsed="false">
      <c r="A41" s="0" t="s">
        <v>108</v>
      </c>
      <c r="C41" s="3" t="n">
        <v>4.5</v>
      </c>
      <c r="D41" s="3" t="n">
        <v>5</v>
      </c>
      <c r="E41" s="3" t="n">
        <v>5</v>
      </c>
      <c r="F41" s="3" t="n">
        <v>4.5</v>
      </c>
      <c r="G41" s="3" t="n">
        <v>4</v>
      </c>
      <c r="H41" s="3" t="n">
        <v>3.5</v>
      </c>
      <c r="I41" s="3" t="n">
        <v>3.5</v>
      </c>
      <c r="J41" s="3" t="n">
        <v>3</v>
      </c>
      <c r="K41" s="3" t="n">
        <v>3</v>
      </c>
      <c r="L41" s="3" t="n">
        <v>3</v>
      </c>
    </row>
    <row r="42" customFormat="false" ht="15" hidden="false" customHeight="false" outlineLevel="0" collapsed="false">
      <c r="A42" s="0" t="s">
        <v>109</v>
      </c>
      <c r="C42" s="3" t="n">
        <v>46.9</v>
      </c>
      <c r="D42" s="3" t="n">
        <v>47.9</v>
      </c>
      <c r="E42" s="3" t="n">
        <v>49.4</v>
      </c>
      <c r="F42" s="3" t="n">
        <v>50.9</v>
      </c>
      <c r="G42" s="3" t="n">
        <v>51.9</v>
      </c>
      <c r="H42" s="3" t="n">
        <v>52.4</v>
      </c>
      <c r="I42" s="3" t="n">
        <v>52.9</v>
      </c>
      <c r="J42" s="3" t="n">
        <v>53.4</v>
      </c>
      <c r="K42" s="3" t="n">
        <v>53.4</v>
      </c>
      <c r="L42" s="3" t="n">
        <v>53.4</v>
      </c>
    </row>
    <row r="43" customFormat="false" ht="15" hidden="false" customHeight="false" outlineLevel="0" collapsed="false">
      <c r="A43" s="0" t="s">
        <v>110</v>
      </c>
      <c r="C43" s="3" t="n">
        <v>0.4</v>
      </c>
      <c r="D43" s="3" t="n">
        <v>0.4</v>
      </c>
      <c r="E43" s="3" t="n">
        <v>0.4</v>
      </c>
      <c r="F43" s="3" t="n">
        <v>0.4</v>
      </c>
      <c r="G43" s="3" t="n">
        <v>0.4</v>
      </c>
      <c r="H43" s="3" t="n">
        <v>0.4</v>
      </c>
      <c r="I43" s="3" t="n">
        <v>0.4</v>
      </c>
      <c r="J43" s="3" t="n">
        <v>0.4</v>
      </c>
      <c r="K43" s="3" t="n">
        <v>0.4</v>
      </c>
      <c r="L43" s="3" t="n">
        <v>0.4</v>
      </c>
    </row>
    <row r="44" customFormat="false" ht="15" hidden="false" customHeight="false" outlineLevel="0" collapsed="false">
      <c r="A44" s="0" t="s">
        <v>111</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112</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113</v>
      </c>
      <c r="C46" s="3" t="n">
        <v>12.7</v>
      </c>
      <c r="D46" s="3" t="n">
        <v>13.8</v>
      </c>
      <c r="E46" s="3" t="n">
        <v>13.6</v>
      </c>
      <c r="F46" s="3" t="n">
        <v>12.2</v>
      </c>
      <c r="G46" s="3" t="n">
        <v>10.6</v>
      </c>
      <c r="H46" s="3" t="n">
        <v>9</v>
      </c>
      <c r="I46" s="3" t="n">
        <v>9.1</v>
      </c>
      <c r="J46" s="3" t="n">
        <v>7.9</v>
      </c>
      <c r="K46" s="3" t="n">
        <v>7.9</v>
      </c>
      <c r="L46" s="3" t="n">
        <v>7.9</v>
      </c>
    </row>
    <row r="47" customFormat="false" ht="15" hidden="false" customHeight="false" outlineLevel="0" collapsed="false">
      <c r="A47" s="0" t="s">
        <v>114</v>
      </c>
      <c r="C47" s="3" t="n">
        <v>31</v>
      </c>
      <c r="D47" s="3" t="n">
        <v>31</v>
      </c>
      <c r="E47" s="3" t="n">
        <v>31</v>
      </c>
      <c r="F47" s="3" t="n">
        <v>31</v>
      </c>
      <c r="G47" s="3" t="n">
        <v>31</v>
      </c>
      <c r="H47" s="3" t="n">
        <v>31</v>
      </c>
      <c r="I47" s="3" t="n">
        <v>31</v>
      </c>
      <c r="J47" s="3" t="n">
        <v>31</v>
      </c>
      <c r="K47" s="3" t="n">
        <v>31</v>
      </c>
      <c r="L47" s="3" t="n">
        <v>31</v>
      </c>
    </row>
    <row r="48" customFormat="false" ht="15" hidden="false" customHeight="false" outlineLevel="0" collapsed="false">
      <c r="A48" s="0" t="s">
        <v>115</v>
      </c>
      <c r="B48" s="3" t="n">
        <v>9.7</v>
      </c>
    </row>
    <row r="49" customFormat="false" ht="15" hidden="false" customHeight="false" outlineLevel="0" collapsed="false">
      <c r="A49" s="0" t="s">
        <v>116</v>
      </c>
      <c r="B49" s="3" t="n">
        <v>3</v>
      </c>
    </row>
    <row r="50" customFormat="false" ht="15" hidden="false" customHeight="false" outlineLevel="0" collapsed="false">
      <c r="A50" s="0" t="s">
        <v>117</v>
      </c>
      <c r="B50" s="3" t="n">
        <v>15</v>
      </c>
    </row>
    <row r="51" customFormat="false" ht="15" hidden="false" customHeight="false" outlineLevel="0" collapsed="false">
      <c r="A51" s="0" t="s">
        <v>118</v>
      </c>
      <c r="B51" s="3" t="n">
        <v>0</v>
      </c>
    </row>
    <row r="52" customFormat="false" ht="15" hidden="false" customHeight="false" outlineLevel="0" collapsed="false">
      <c r="A52" s="0" t="s">
        <v>119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122</v>
      </c>
    </row>
    <row r="3" customFormat="false" ht="15" hidden="false" customHeight="false" outlineLevel="0" collapsed="false">
      <c r="A3" s="0" t="s">
        <v>123</v>
      </c>
      <c r="B3" s="0" t="s">
        <v>93</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Assumptions!C13</f>
        <v>1</v>
      </c>
      <c r="D5" s="4" t="n">
        <f aca="false">Assumptions!D13</f>
        <v>0</v>
      </c>
      <c r="E5" s="4" t="n">
        <f aca="false">Assumptions!E13</f>
        <v>1</v>
      </c>
      <c r="F5" s="4" t="n">
        <f aca="false">Assumptions!F13</f>
        <v>1.5</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23100</v>
      </c>
      <c r="C6" s="0" t="n">
        <f aca="false">B6*(1+C5/100)</f>
        <v>23331</v>
      </c>
      <c r="D6" s="0" t="n">
        <f aca="false">C6*(1+D5/100)</f>
        <v>23331</v>
      </c>
      <c r="E6" s="0" t="n">
        <f aca="false">D6*(1+E5/100)</f>
        <v>23564.31</v>
      </c>
      <c r="F6" s="0" t="n">
        <f aca="false">E6*(1+F5/100)</f>
        <v>23917.77465</v>
      </c>
      <c r="G6" s="0" t="n">
        <f aca="false">F6*(1+G5/100)</f>
        <v>24276.54126975</v>
      </c>
      <c r="H6" s="0" t="n">
        <f aca="false">G6*(1+H5/100)</f>
        <v>24640.6893887962</v>
      </c>
      <c r="I6" s="0" t="n">
        <f aca="false">H6*(1+I5/100)</f>
        <v>25010.2997296282</v>
      </c>
      <c r="J6" s="0" t="n">
        <f aca="false">I6*(1+J5/100)</f>
        <v>25385.4542255726</v>
      </c>
      <c r="K6" s="0" t="n">
        <f aca="false">J6*(1+K5/100)</f>
        <v>25766.2360389562</v>
      </c>
      <c r="L6" s="0" t="n">
        <f aca="false">K6*(1+L5/100)</f>
        <v>26152.7295795405</v>
      </c>
    </row>
    <row r="7" customFormat="false" ht="15" hidden="false" customHeight="false" outlineLevel="0" collapsed="false">
      <c r="A7" s="0" t="s">
        <v>109</v>
      </c>
      <c r="C7" s="4" t="n">
        <f aca="false">Assumptions!C14</f>
        <v>37.9</v>
      </c>
      <c r="D7" s="4" t="n">
        <f aca="false">Assumptions!D14</f>
        <v>32.4</v>
      </c>
      <c r="E7" s="4" t="n">
        <f aca="false">Assumptions!E14</f>
        <v>35.4</v>
      </c>
      <c r="F7" s="4" t="n">
        <f aca="false">Assumptions!F14</f>
        <v>38.9</v>
      </c>
      <c r="G7" s="4" t="n">
        <f aca="false">Assumptions!G14</f>
        <v>40.9</v>
      </c>
      <c r="H7" s="4" t="n">
        <f aca="false">Assumptions!H14</f>
        <v>42.4</v>
      </c>
      <c r="I7" s="4" t="n">
        <f aca="false">Assumptions!I14</f>
        <v>42.9</v>
      </c>
      <c r="J7" s="4" t="n">
        <f aca="false">Assumptions!J14</f>
        <v>42.9</v>
      </c>
      <c r="K7" s="4" t="n">
        <f aca="false">Assumptions!K14</f>
        <v>42.9</v>
      </c>
      <c r="L7" s="4" t="n">
        <f aca="false">Assumptions!L14</f>
        <v>42.9</v>
      </c>
    </row>
    <row r="8" customFormat="false" ht="15" hidden="false" customHeight="false" outlineLevel="0" collapsed="false">
      <c r="A8" s="0" t="s">
        <v>43</v>
      </c>
      <c r="C8" s="0" t="n">
        <f aca="false">C6*C7/100</f>
        <v>8842.449</v>
      </c>
      <c r="D8" s="0" t="n">
        <f aca="false">D6*D7/100</f>
        <v>7559.244</v>
      </c>
      <c r="E8" s="0" t="n">
        <f aca="false">E6*E7/100</f>
        <v>8341.76574</v>
      </c>
      <c r="F8" s="0" t="n">
        <f aca="false">F6*F7/100</f>
        <v>9304.01433885</v>
      </c>
      <c r="G8" s="0" t="n">
        <f aca="false">G6*G7/100</f>
        <v>9929.10537932775</v>
      </c>
      <c r="H8" s="0" t="n">
        <f aca="false">H6*H7/100</f>
        <v>10447.6523008496</v>
      </c>
      <c r="I8" s="0" t="n">
        <f aca="false">I6*I7/100</f>
        <v>10729.4185840105</v>
      </c>
      <c r="J8" s="0" t="n">
        <f aca="false">J6*J7/100</f>
        <v>10890.3598627706</v>
      </c>
      <c r="K8" s="0" t="n">
        <f aca="false">K6*K7/100</f>
        <v>11053.7152607122</v>
      </c>
      <c r="L8" s="0" t="n">
        <f aca="false">L6*L7/100</f>
        <v>11219.5209896229</v>
      </c>
    </row>
    <row r="9" customFormat="false" ht="15" hidden="false" customHeight="false" outlineLevel="0" collapsed="false">
      <c r="A9" s="0" t="s">
        <v>110</v>
      </c>
      <c r="C9" s="4" t="n">
        <f aca="false">Assumptions!C15</f>
        <v>0.4</v>
      </c>
      <c r="D9" s="4" t="n">
        <f aca="false">Assumptions!D15</f>
        <v>0.4</v>
      </c>
      <c r="E9" s="4" t="n">
        <f aca="false">Assumptions!E15</f>
        <v>0.4</v>
      </c>
      <c r="F9" s="4" t="n">
        <f aca="false">Assumptions!F15</f>
        <v>0.4</v>
      </c>
      <c r="G9" s="4" t="n">
        <f aca="false">Assumptions!G15</f>
        <v>0.4</v>
      </c>
      <c r="H9" s="4" t="n">
        <f aca="false">Assumptions!H15</f>
        <v>0.4</v>
      </c>
      <c r="I9" s="4" t="n">
        <f aca="false">Assumptions!I15</f>
        <v>0.4</v>
      </c>
      <c r="J9" s="4" t="n">
        <f aca="false">Assumptions!J15</f>
        <v>0.4</v>
      </c>
      <c r="K9" s="4" t="n">
        <f aca="false">Assumptions!K15</f>
        <v>0.4</v>
      </c>
      <c r="L9" s="4" t="n">
        <f aca="false">Assumptions!L15</f>
        <v>0.4</v>
      </c>
    </row>
    <row r="10" customFormat="false" ht="15" hidden="false" customHeight="false" outlineLevel="0" collapsed="false">
      <c r="A10" s="0" t="s">
        <v>125</v>
      </c>
      <c r="C10" s="0" t="n">
        <f aca="false">-C6*C9/100</f>
        <v>-93.324</v>
      </c>
      <c r="D10" s="0" t="n">
        <f aca="false">-D6*D9/100</f>
        <v>-93.324</v>
      </c>
      <c r="E10" s="0" t="n">
        <f aca="false">-E6*E9/100</f>
        <v>-94.25724</v>
      </c>
      <c r="F10" s="0" t="n">
        <f aca="false">-F6*F9/100</f>
        <v>-95.6710986</v>
      </c>
      <c r="G10" s="0" t="n">
        <f aca="false">-G6*G9/100</f>
        <v>-97.106165079</v>
      </c>
      <c r="H10" s="0" t="n">
        <f aca="false">-H6*H9/100</f>
        <v>-98.562757555185</v>
      </c>
      <c r="I10" s="0" t="n">
        <f aca="false">-I6*I9/100</f>
        <v>-100.041198918513</v>
      </c>
      <c r="J10" s="0" t="n">
        <f aca="false">-J6*J9/100</f>
        <v>-101.54181690229</v>
      </c>
      <c r="K10" s="0" t="n">
        <f aca="false">-K6*K9/100</f>
        <v>-103.064944155825</v>
      </c>
      <c r="L10" s="0" t="n">
        <f aca="false">-L6*L9/100</f>
        <v>-104.610918318162</v>
      </c>
    </row>
    <row r="11" customFormat="false" ht="15" hidden="false" customHeight="false" outlineLevel="0" collapsed="false">
      <c r="A11" s="0" t="s">
        <v>126</v>
      </c>
      <c r="C11" s="0" t="n">
        <f aca="false">C8+C10+C24</f>
        <v>8749.125</v>
      </c>
      <c r="D11" s="0" t="n">
        <f aca="false">D8+D10+D24</f>
        <v>7465.92</v>
      </c>
      <c r="E11" s="0" t="n">
        <f aca="false">E8+E10+E24</f>
        <v>8247.5085</v>
      </c>
      <c r="F11" s="0" t="n">
        <f aca="false">F8+F10+F24</f>
        <v>9208.34324025</v>
      </c>
      <c r="G11" s="0" t="n">
        <f aca="false">G8+G10+G24</f>
        <v>9831.99921424875</v>
      </c>
      <c r="H11" s="0" t="n">
        <f aca="false">H8+H10+H24</f>
        <v>10349.0895432944</v>
      </c>
      <c r="I11" s="0" t="n">
        <f aca="false">I8+I10+I24</f>
        <v>10629.377385092</v>
      </c>
      <c r="J11" s="0" t="n">
        <f aca="false">J8+J10+J24</f>
        <v>10788.8180458684</v>
      </c>
      <c r="K11" s="0" t="n">
        <f aca="false">K8+K10+K24</f>
        <v>10950.6503165564</v>
      </c>
      <c r="L11" s="0" t="n">
        <f aca="false">L8+L10+L24</f>
        <v>11114.9100713047</v>
      </c>
    </row>
    <row r="12" customFormat="false" ht="15" hidden="false" customHeight="false" outlineLevel="0" collapsed="false">
      <c r="A12" s="0" t="s">
        <v>127</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128</v>
      </c>
      <c r="C13" s="0" t="n">
        <f aca="false">C11+C12</f>
        <v>8749.125</v>
      </c>
      <c r="D13" s="0" t="n">
        <f aca="false">D11+D12</f>
        <v>7465.92</v>
      </c>
      <c r="E13" s="0" t="n">
        <f aca="false">E11+E12</f>
        <v>8247.5085</v>
      </c>
      <c r="F13" s="0" t="n">
        <f aca="false">F11+F12</f>
        <v>9208.34324025</v>
      </c>
      <c r="G13" s="0" t="n">
        <f aca="false">G11+G12</f>
        <v>9831.99921424875</v>
      </c>
      <c r="H13" s="0" t="n">
        <f aca="false">H11+H12</f>
        <v>10349.0895432944</v>
      </c>
      <c r="I13" s="0" t="n">
        <f aca="false">I11+I12</f>
        <v>10629.377385092</v>
      </c>
      <c r="J13" s="0" t="n">
        <f aca="false">J11+J12</f>
        <v>10788.8180458684</v>
      </c>
      <c r="K13" s="0" t="n">
        <f aca="false">K11+K12</f>
        <v>10950.6503165564</v>
      </c>
      <c r="L13" s="0" t="n">
        <f aca="false">L11+L12</f>
        <v>11114.9100713047</v>
      </c>
    </row>
    <row r="14" customFormat="false" ht="15" hidden="false" customHeight="false" outlineLevel="0" collapsed="false">
      <c r="A14" s="0" t="s">
        <v>114</v>
      </c>
      <c r="C14" s="4" t="n">
        <f aca="false">Assumptions!C19</f>
        <v>31</v>
      </c>
      <c r="D14" s="4" t="n">
        <f aca="false">Assumptions!D19</f>
        <v>31</v>
      </c>
      <c r="E14" s="4" t="n">
        <f aca="false">Assumptions!E19</f>
        <v>31</v>
      </c>
      <c r="F14" s="4" t="n">
        <f aca="false">Assumptions!F19</f>
        <v>31</v>
      </c>
      <c r="G14" s="4" t="n">
        <f aca="false">Assumptions!G19</f>
        <v>31</v>
      </c>
      <c r="H14" s="4" t="n">
        <f aca="false">Assumptions!H19</f>
        <v>31</v>
      </c>
      <c r="I14" s="4" t="n">
        <f aca="false">Assumptions!I19</f>
        <v>31</v>
      </c>
      <c r="J14" s="4" t="n">
        <f aca="false">Assumptions!J19</f>
        <v>31</v>
      </c>
      <c r="K14" s="4" t="n">
        <f aca="false">Assumptions!K19</f>
        <v>31</v>
      </c>
      <c r="L14" s="4" t="n">
        <f aca="false">Assumptions!L19</f>
        <v>31</v>
      </c>
    </row>
    <row r="15" customFormat="false" ht="15" hidden="false" customHeight="false" outlineLevel="0" collapsed="false">
      <c r="A15" s="0" t="s">
        <v>129</v>
      </c>
      <c r="C15" s="0" t="n">
        <f aca="false">C13-MAX(0,C13)*C14/100</f>
        <v>6036.89625</v>
      </c>
      <c r="D15" s="0" t="n">
        <f aca="false">D13-MAX(0,D13)*D14/100</f>
        <v>5151.4848</v>
      </c>
      <c r="E15" s="0" t="n">
        <f aca="false">E13-MAX(0,E13)*E14/100</f>
        <v>5690.780865</v>
      </c>
      <c r="F15" s="0" t="n">
        <f aca="false">F13-MAX(0,F13)*F14/100</f>
        <v>6353.7568357725</v>
      </c>
      <c r="G15" s="0" t="n">
        <f aca="false">G13-MAX(0,G13)*G14/100</f>
        <v>6784.07945783164</v>
      </c>
      <c r="H15" s="0" t="n">
        <f aca="false">H13-MAX(0,H13)*H14/100</f>
        <v>7140.87178487315</v>
      </c>
      <c r="I15" s="0" t="n">
        <f aca="false">I13-MAX(0,I13)*I14/100</f>
        <v>7334.27039571346</v>
      </c>
      <c r="J15" s="0" t="n">
        <f aca="false">J13-MAX(0,J13)*J14/100</f>
        <v>7444.28445164917</v>
      </c>
      <c r="K15" s="0" t="n">
        <f aca="false">K13-MAX(0,K13)*K14/100</f>
        <v>7555.9487184239</v>
      </c>
      <c r="L15" s="0" t="n">
        <f aca="false">L13-MAX(0,L13)*L14/100</f>
        <v>7669.28794920026</v>
      </c>
    </row>
    <row r="16" customFormat="false" ht="15" hidden="false" customHeight="false" outlineLevel="0" collapsed="false">
      <c r="A16" s="0" t="s">
        <v>130</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131</v>
      </c>
      <c r="C17" s="4" t="n">
        <f aca="false">-C6*Assumptions!C18/100</f>
        <v>-769.923</v>
      </c>
      <c r="D17" s="4" t="n">
        <f aca="false">-D6*Assumptions!D18/100</f>
        <v>-0</v>
      </c>
      <c r="E17" s="4" t="n">
        <f aca="false">-E6*Assumptions!E18/100</f>
        <v>-824.75085</v>
      </c>
      <c r="F17" s="4" t="n">
        <f aca="false">-F6*Assumptions!F18/100</f>
        <v>-1195.8887325</v>
      </c>
      <c r="G17" s="4" t="n">
        <f aca="false">-G6*Assumptions!G18/100</f>
        <v>-1213.8270634875</v>
      </c>
      <c r="H17" s="4" t="n">
        <f aca="false">-H6*Assumptions!H18/100</f>
        <v>-1207.39378005102</v>
      </c>
      <c r="I17" s="4" t="n">
        <f aca="false">-I6*Assumptions!I18/100</f>
        <v>-1225.50468675178</v>
      </c>
      <c r="J17" s="4" t="n">
        <f aca="false">-J6*Assumptions!J18/100</f>
        <v>-1243.88725705306</v>
      </c>
      <c r="K17" s="4" t="n">
        <f aca="false">-K6*Assumptions!K18/100</f>
        <v>-1262.54556590885</v>
      </c>
      <c r="L17" s="4" t="n">
        <f aca="false">-L6*Assumptions!L18/100</f>
        <v>-1281.48374939749</v>
      </c>
    </row>
    <row r="18" customFormat="false" ht="15" hidden="false" customHeight="false" outlineLevel="0" collapsed="false">
      <c r="A18" s="0" t="s">
        <v>132</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133</v>
      </c>
      <c r="C19" s="0" t="n">
        <f aca="false">C15+C16+C17+C18</f>
        <v>5266.97325</v>
      </c>
      <c r="D19" s="0" t="n">
        <f aca="false">D15+D16+D17+D18</f>
        <v>5151.4848</v>
      </c>
      <c r="E19" s="0" t="n">
        <f aca="false">E15+E16+E17+E18</f>
        <v>4866.030015</v>
      </c>
      <c r="F19" s="0" t="n">
        <f aca="false">F15+F16+F17+F18</f>
        <v>5157.8681032725</v>
      </c>
      <c r="G19" s="0" t="n">
        <f aca="false">G15+G16+G17+G18</f>
        <v>5570.25239434414</v>
      </c>
      <c r="H19" s="0" t="n">
        <f aca="false">H15+H16+H17+H18</f>
        <v>5933.47800482214</v>
      </c>
      <c r="I19" s="0" t="n">
        <f aca="false">I15+I16+I17+I18</f>
        <v>6108.76570896168</v>
      </c>
      <c r="J19" s="0" t="n">
        <f aca="false">J15+J16+J17+J18</f>
        <v>6200.39719459611</v>
      </c>
      <c r="K19" s="0" t="n">
        <f aca="false">K15+K16+K17+K18</f>
        <v>6293.40315251505</v>
      </c>
      <c r="L19" s="0" t="n">
        <f aca="false">L15+L16+L17+L18</f>
        <v>6387.80419980277</v>
      </c>
    </row>
    <row r="20" customFormat="false" ht="15" hidden="false" customHeight="false" outlineLevel="0" collapsed="false">
      <c r="A20" s="0" t="s">
        <v>134</v>
      </c>
      <c r="C20" s="0" t="n">
        <f aca="false">1/(1+$B$27/100)^C4</f>
        <v>0.911577028258888</v>
      </c>
      <c r="D20" s="0" t="n">
        <f aca="false">1/(1+$B$27/100)^D4</f>
        <v>0.830972678449305</v>
      </c>
      <c r="E20" s="0" t="n">
        <f aca="false">1/(1+$B$27/100)^E4</f>
        <v>0.757495604785146</v>
      </c>
      <c r="F20" s="0" t="n">
        <f aca="false">1/(1+$B$27/100)^F4</f>
        <v>0.690515592329213</v>
      </c>
      <c r="G20" s="0" t="n">
        <f aca="false">1/(1+$B$27/100)^G4</f>
        <v>0.629458151621889</v>
      </c>
      <c r="H20" s="0" t="n">
        <f aca="false">1/(1+$B$27/100)^H4</f>
        <v>0.573799591268814</v>
      </c>
      <c r="I20" s="0" t="n">
        <f aca="false">1/(1+$B$27/100)^I4</f>
        <v>0.52306252622499</v>
      </c>
      <c r="J20" s="0" t="n">
        <f aca="false">1/(1+$B$27/100)^J4</f>
        <v>0.476811783249763</v>
      </c>
      <c r="K20" s="0" t="n">
        <f aca="false">1/(1+$B$27/100)^K4</f>
        <v>0.43465066841364</v>
      </c>
      <c r="L20" s="0" t="n">
        <f aca="false">1/(1+$B$27/100)^L4</f>
        <v>0.396217564643245</v>
      </c>
    </row>
    <row r="21" customFormat="false" ht="15" hidden="false" customHeight="false" outlineLevel="0" collapsed="false">
      <c r="A21" s="0" t="s">
        <v>135</v>
      </c>
      <c r="C21" s="0" t="n">
        <f aca="false">C19*C20</f>
        <v>4801.25182315406</v>
      </c>
      <c r="D21" s="0" t="n">
        <f aca="false">D19*D20</f>
        <v>4280.74312224688</v>
      </c>
      <c r="E21" s="0" t="n">
        <f aca="false">E19*E20</f>
        <v>3685.9963491151</v>
      </c>
      <c r="F21" s="0" t="n">
        <f aca="false">F19*F20</f>
        <v>3561.58834848716</v>
      </c>
      <c r="G21" s="0" t="n">
        <f aca="false">G19*G20</f>
        <v>3506.24077621126</v>
      </c>
      <c r="H21" s="0" t="n">
        <f aca="false">H19*H20</f>
        <v>3404.62725396944</v>
      </c>
      <c r="I21" s="0" t="n">
        <f aca="false">I19*I20</f>
        <v>3195.26642384609</v>
      </c>
      <c r="J21" s="0" t="n">
        <f aca="false">J19*J20</f>
        <v>2956.4224432122</v>
      </c>
      <c r="K21" s="0" t="n">
        <f aca="false">K19*K20</f>
        <v>2735.43188683718</v>
      </c>
      <c r="L21" s="0" t="n">
        <f aca="false">L19*L20</f>
        <v>2530.96022346375</v>
      </c>
    </row>
    <row r="23" customFormat="false" ht="15" hidden="false" customHeight="false" outlineLevel="0" collapsed="false">
      <c r="A23" s="0" t="s">
        <v>111</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137</v>
      </c>
    </row>
    <row r="27" customFormat="false" ht="15" hidden="false" customHeight="false" outlineLevel="0" collapsed="false">
      <c r="A27" s="0" t="s">
        <v>115</v>
      </c>
      <c r="B27" s="4" t="n">
        <f aca="false">Assumptions!$B$20</f>
        <v>9.7</v>
      </c>
    </row>
    <row r="28" customFormat="false" ht="15" hidden="false" customHeight="false" outlineLevel="0" collapsed="false">
      <c r="A28" s="0" t="s">
        <v>116</v>
      </c>
      <c r="B28" s="4" t="n">
        <f aca="false">Assumptions!$B$21</f>
        <v>2</v>
      </c>
    </row>
    <row r="29" customFormat="false" ht="15" hidden="false" customHeight="false" outlineLevel="0" collapsed="false">
      <c r="A29" s="0" t="s">
        <v>117</v>
      </c>
      <c r="B29" s="4" t="n">
        <f aca="false">Assumptions!$B$22</f>
        <v>15</v>
      </c>
    </row>
    <row r="30" customFormat="false" ht="15" hidden="false" customHeight="false" outlineLevel="0" collapsed="false">
      <c r="A30" s="0" t="s">
        <v>138</v>
      </c>
      <c r="B30" s="0" t="n">
        <f aca="false">SUM(C21:L21)</f>
        <v>34658.5286505431</v>
      </c>
    </row>
    <row r="31" customFormat="false" ht="15" hidden="false" customHeight="false" outlineLevel="0" collapsed="false">
      <c r="A31" s="0" t="s">
        <v>139</v>
      </c>
      <c r="B31" s="0" t="n">
        <f aca="false">L19</f>
        <v>6387.80419980277</v>
      </c>
    </row>
    <row r="32" customFormat="false" ht="15" hidden="false" customHeight="false" outlineLevel="0" collapsed="false">
      <c r="A32" s="0" t="s">
        <v>140</v>
      </c>
      <c r="B32" s="0" t="n">
        <f aca="false">IF(B27&gt;B28,B31*(1+B28/100)/((B27-B28)/100),B31*B29)</f>
        <v>84617.6660233614</v>
      </c>
    </row>
    <row r="33" customFormat="false" ht="15" hidden="false" customHeight="false" outlineLevel="0" collapsed="false">
      <c r="A33" s="0" t="s">
        <v>141</v>
      </c>
      <c r="B33" s="0" t="n">
        <f aca="false">B31*B29</f>
        <v>95817.0629970416</v>
      </c>
    </row>
    <row r="34" customFormat="false" ht="15" hidden="false" customHeight="false" outlineLevel="0" collapsed="false">
      <c r="A34" s="0" t="s">
        <v>142</v>
      </c>
      <c r="B34" s="0" t="n">
        <f aca="false">MAX(0,MIN(B32,B33))</f>
        <v>84617.6660233614</v>
      </c>
    </row>
    <row r="35" customFormat="false" ht="15" hidden="false" customHeight="false" outlineLevel="0" collapsed="false">
      <c r="A35" s="0" t="s">
        <v>143</v>
      </c>
      <c r="B35" s="0" t="n">
        <f aca="false">B34/(1+B27/100)^L4</f>
        <v>33527.0055575718</v>
      </c>
    </row>
    <row r="36" customFormat="false" ht="15" hidden="false" customHeight="false" outlineLevel="0" collapsed="false">
      <c r="A36" s="0" t="s">
        <v>144</v>
      </c>
      <c r="B36" s="0" t="n">
        <f aca="false">B30+B35</f>
        <v>68185.5342081149</v>
      </c>
    </row>
    <row r="37" customFormat="false" ht="15" hidden="false" customHeight="false" outlineLevel="0" collapsed="false">
      <c r="A37" s="0" t="s">
        <v>145</v>
      </c>
      <c r="B37" s="0" t="n">
        <f aca="false">B36+Assumptions!$B$5-Assumptions!$B$4</f>
        <v>68185.5342081149</v>
      </c>
    </row>
    <row r="38" customFormat="false" ht="15" hidden="false" customHeight="false" outlineLevel="0" collapsed="false">
      <c r="A38" s="0" t="s">
        <v>146</v>
      </c>
      <c r="B38" s="0" t="n">
        <f aca="false">B37/Assumptions!$B$3*Assumptions!$B$10</f>
        <v>19.9372907041272</v>
      </c>
    </row>
    <row r="39" customFormat="false" ht="15" hidden="false" customHeight="false" outlineLevel="0" collapsed="false">
      <c r="A39" s="0" t="s">
        <v>147</v>
      </c>
      <c r="B39" s="4" t="n">
        <f aca="false">B38/Assumptions!$B$2-1</f>
        <v>-0.420090439088797</v>
      </c>
    </row>
    <row r="41" customFormat="false" ht="15" hidden="false" customHeight="false" outlineLevel="0" collapsed="false">
      <c r="A41" s="0" t="s">
        <v>148</v>
      </c>
      <c r="B41" s="0" t="n">
        <f aca="false">SUMPRODUCT(-C10:L10/(1+$B$27/100)^C4:L4)</f>
        <v>604.753143530745</v>
      </c>
    </row>
    <row r="42" customFormat="false" ht="15" hidden="false" customHeight="false" outlineLevel="0" collapsed="false">
      <c r="A42" s="0" t="s">
        <v>149</v>
      </c>
      <c r="B42" s="0" t="n">
        <f aca="false">IF(B27&gt;B28,-L10*(1+B28/100)/((B27-B28)/100),-L10*20)/(1+B27/100)^L4</f>
        <v>549.060479960234</v>
      </c>
    </row>
    <row r="43" customFormat="false" ht="15" hidden="false" customHeight="false" outlineLevel="0" collapsed="false">
      <c r="A43" s="0" t="s">
        <v>150</v>
      </c>
      <c r="B43" s="0" t="n">
        <f aca="false">(B37+B41+B42)/Assumptions!$B$3*Assumptions!$B$10</f>
        <v>20.2746631086567</v>
      </c>
    </row>
    <row r="45" customFormat="false" ht="15" hidden="false" customHeight="false" outlineLevel="0" collapsed="false">
      <c r="A45" s="0" t="s">
        <v>90</v>
      </c>
      <c r="B45" s="4" t="n">
        <f aca="false">Assumptions!$B$6</f>
        <v>15</v>
      </c>
    </row>
    <row r="46" customFormat="false" ht="15" hidden="false" customHeight="false" outlineLevel="0" collapsed="false">
      <c r="A46" s="0" t="s">
        <v>151</v>
      </c>
      <c r="B46" s="0" t="n">
        <f aca="false">MAX(0,MIN(IF(B45&gt;B28,B31*(1+B28/100)/((B45-B28)/100),B31*B29),B31*B29))</f>
        <v>50119.6944907602</v>
      </c>
    </row>
    <row r="47" customFormat="false" ht="15" hidden="false" customHeight="false" outlineLevel="0" collapsed="false">
      <c r="A47" s="0" t="s">
        <v>152</v>
      </c>
      <c r="B47" s="0" t="n">
        <f aca="false">(SUMPRODUCT(C19:L19/(1+B45/100)^C4:L4)+B46/(1+B45/100)^L4+Assumptions!$B$5-Assumptions!$B$4)/Assumptions!$B$3*Assumptions!$B$10</f>
        <v>11.7071832272695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123</v>
      </c>
      <c r="B3" s="0" t="s">
        <v>93</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Assumptions!C27</f>
        <v>3.2</v>
      </c>
      <c r="D5" s="4" t="n">
        <f aca="false">Assumptions!D27</f>
        <v>3.5</v>
      </c>
      <c r="E5" s="4" t="n">
        <f aca="false">Assumptions!E27</f>
        <v>3.5</v>
      </c>
      <c r="F5" s="4" t="n">
        <f aca="false">Assumptions!F27</f>
        <v>3.2</v>
      </c>
      <c r="G5" s="4" t="n">
        <f aca="false">Assumptions!G27</f>
        <v>3</v>
      </c>
      <c r="H5" s="4" t="n">
        <f aca="false">Assumptions!H27</f>
        <v>2.8</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37</v>
      </c>
      <c r="B6" s="3" t="n">
        <v>23100</v>
      </c>
      <c r="C6" s="0" t="n">
        <f aca="false">B6*(1+C5/100)</f>
        <v>23839.2</v>
      </c>
      <c r="D6" s="0" t="n">
        <f aca="false">C6*(1+D5/100)</f>
        <v>24673.572</v>
      </c>
      <c r="E6" s="0" t="n">
        <f aca="false">D6*(1+E5/100)</f>
        <v>25537.14702</v>
      </c>
      <c r="F6" s="0" t="n">
        <f aca="false">E6*(1+F5/100)</f>
        <v>26354.33572464</v>
      </c>
      <c r="G6" s="0" t="n">
        <f aca="false">F6*(1+G5/100)</f>
        <v>27144.9657963792</v>
      </c>
      <c r="H6" s="0" t="n">
        <f aca="false">G6*(1+H5/100)</f>
        <v>27905.0248386778</v>
      </c>
      <c r="I6" s="0" t="n">
        <f aca="false">H6*(1+I5/100)</f>
        <v>28602.6504596448</v>
      </c>
      <c r="J6" s="0" t="n">
        <f aca="false">I6*(1+J5/100)</f>
        <v>29317.7167211359</v>
      </c>
      <c r="K6" s="0" t="n">
        <f aca="false">J6*(1+K5/100)</f>
        <v>30050.6596391643</v>
      </c>
      <c r="L6" s="0" t="n">
        <f aca="false">K6*(1+L5/100)</f>
        <v>30801.9261301434</v>
      </c>
    </row>
    <row r="7" customFormat="false" ht="15" hidden="false" customHeight="false" outlineLevel="0" collapsed="false">
      <c r="A7" s="0" t="s">
        <v>109</v>
      </c>
      <c r="C7" s="4" t="n">
        <f aca="false">Assumptions!C28</f>
        <v>45.4</v>
      </c>
      <c r="D7" s="4" t="n">
        <f aca="false">Assumptions!D28</f>
        <v>44.9</v>
      </c>
      <c r="E7" s="4" t="n">
        <f aca="false">Assumptions!E28</f>
        <v>44.9</v>
      </c>
      <c r="F7" s="4" t="n">
        <f aca="false">Assumptions!F28</f>
        <v>45.4</v>
      </c>
      <c r="G7" s="4" t="n">
        <f aca="false">Assumptions!G28</f>
        <v>45.9</v>
      </c>
      <c r="H7" s="4" t="n">
        <f aca="false">Assumptions!H28</f>
        <v>46.4</v>
      </c>
      <c r="I7" s="4" t="n">
        <f aca="false">Assumptions!I28</f>
        <v>46.9</v>
      </c>
      <c r="J7" s="4" t="n">
        <f aca="false">Assumptions!J28</f>
        <v>47.4</v>
      </c>
      <c r="K7" s="4" t="n">
        <f aca="false">Assumptions!K28</f>
        <v>47.4</v>
      </c>
      <c r="L7" s="4" t="n">
        <f aca="false">Assumptions!L28</f>
        <v>47.4</v>
      </c>
    </row>
    <row r="8" customFormat="false" ht="15" hidden="false" customHeight="false" outlineLevel="0" collapsed="false">
      <c r="A8" s="0" t="s">
        <v>43</v>
      </c>
      <c r="C8" s="0" t="n">
        <f aca="false">C6*C7/100</f>
        <v>10822.9968</v>
      </c>
      <c r="D8" s="0" t="n">
        <f aca="false">D6*D7/100</f>
        <v>11078.433828</v>
      </c>
      <c r="E8" s="0" t="n">
        <f aca="false">E6*E7/100</f>
        <v>11466.17901198</v>
      </c>
      <c r="F8" s="0" t="n">
        <f aca="false">F6*F7/100</f>
        <v>11964.8684189866</v>
      </c>
      <c r="G8" s="0" t="n">
        <f aca="false">G6*G7/100</f>
        <v>12459.5393005381</v>
      </c>
      <c r="H8" s="0" t="n">
        <f aca="false">H6*H7/100</f>
        <v>12947.9315251465</v>
      </c>
      <c r="I8" s="0" t="n">
        <f aca="false">I6*I7/100</f>
        <v>13414.6430655734</v>
      </c>
      <c r="J8" s="0" t="n">
        <f aca="false">J6*J7/100</f>
        <v>13896.5977258184</v>
      </c>
      <c r="K8" s="0" t="n">
        <f aca="false">K6*K7/100</f>
        <v>14244.0126689639</v>
      </c>
      <c r="L8" s="0" t="n">
        <f aca="false">L6*L7/100</f>
        <v>14600.112985688</v>
      </c>
    </row>
    <row r="9" customFormat="false" ht="15" hidden="false" customHeight="false" outlineLevel="0" collapsed="false">
      <c r="A9" s="0" t="s">
        <v>110</v>
      </c>
      <c r="C9" s="4" t="n">
        <f aca="false">Assumptions!C29</f>
        <v>0.4</v>
      </c>
      <c r="D9" s="4" t="n">
        <f aca="false">Assumptions!D29</f>
        <v>0.4</v>
      </c>
      <c r="E9" s="4" t="n">
        <f aca="false">Assumptions!E29</f>
        <v>0.4</v>
      </c>
      <c r="F9" s="4" t="n">
        <f aca="false">Assumptions!F29</f>
        <v>0.4</v>
      </c>
      <c r="G9" s="4" t="n">
        <f aca="false">Assumptions!G29</f>
        <v>0.4</v>
      </c>
      <c r="H9" s="4" t="n">
        <f aca="false">Assumptions!H29</f>
        <v>0.4</v>
      </c>
      <c r="I9" s="4" t="n">
        <f aca="false">Assumptions!I29</f>
        <v>0.4</v>
      </c>
      <c r="J9" s="4" t="n">
        <f aca="false">Assumptions!J29</f>
        <v>0.4</v>
      </c>
      <c r="K9" s="4" t="n">
        <f aca="false">Assumptions!K29</f>
        <v>0.4</v>
      </c>
      <c r="L9" s="4" t="n">
        <f aca="false">Assumptions!L29</f>
        <v>0.4</v>
      </c>
    </row>
    <row r="10" customFormat="false" ht="15" hidden="false" customHeight="false" outlineLevel="0" collapsed="false">
      <c r="A10" s="0" t="s">
        <v>125</v>
      </c>
      <c r="C10" s="0" t="n">
        <f aca="false">-C6*C9/100</f>
        <v>-95.3568</v>
      </c>
      <c r="D10" s="0" t="n">
        <f aca="false">-D6*D9/100</f>
        <v>-98.694288</v>
      </c>
      <c r="E10" s="0" t="n">
        <f aca="false">-E6*E9/100</f>
        <v>-102.14858808</v>
      </c>
      <c r="F10" s="0" t="n">
        <f aca="false">-F6*F9/100</f>
        <v>-105.41734289856</v>
      </c>
      <c r="G10" s="0" t="n">
        <f aca="false">-G6*G9/100</f>
        <v>-108.579863185517</v>
      </c>
      <c r="H10" s="0" t="n">
        <f aca="false">-H6*H9/100</f>
        <v>-111.620099354711</v>
      </c>
      <c r="I10" s="0" t="n">
        <f aca="false">-I6*I9/100</f>
        <v>-114.410601838579</v>
      </c>
      <c r="J10" s="0" t="n">
        <f aca="false">-J6*J9/100</f>
        <v>-117.270866884544</v>
      </c>
      <c r="K10" s="0" t="n">
        <f aca="false">-K6*K9/100</f>
        <v>-120.202638556657</v>
      </c>
      <c r="L10" s="0" t="n">
        <f aca="false">-L6*L9/100</f>
        <v>-123.207704520574</v>
      </c>
    </row>
    <row r="11" customFormat="false" ht="15" hidden="false" customHeight="false" outlineLevel="0" collapsed="false">
      <c r="A11" s="0" t="s">
        <v>126</v>
      </c>
      <c r="C11" s="0" t="n">
        <f aca="false">C8+C10+C24</f>
        <v>10727.64</v>
      </c>
      <c r="D11" s="0" t="n">
        <f aca="false">D8+D10+D24</f>
        <v>10979.73954</v>
      </c>
      <c r="E11" s="0" t="n">
        <f aca="false">E8+E10+E24</f>
        <v>11364.0304239</v>
      </c>
      <c r="F11" s="0" t="n">
        <f aca="false">F8+F10+F24</f>
        <v>11859.451076088</v>
      </c>
      <c r="G11" s="0" t="n">
        <f aca="false">G8+G10+G24</f>
        <v>12350.9594373525</v>
      </c>
      <c r="H11" s="0" t="n">
        <f aca="false">H8+H10+H24</f>
        <v>12836.3114257918</v>
      </c>
      <c r="I11" s="0" t="n">
        <f aca="false">I8+I10+I24</f>
        <v>13300.2324637348</v>
      </c>
      <c r="J11" s="0" t="n">
        <f aca="false">J8+J10+J24</f>
        <v>13779.3268589339</v>
      </c>
      <c r="K11" s="0" t="n">
        <f aca="false">K8+K10+K24</f>
        <v>14123.8100304072</v>
      </c>
      <c r="L11" s="0" t="n">
        <f aca="false">L8+L10+L24</f>
        <v>14476.9052811674</v>
      </c>
    </row>
    <row r="12" customFormat="false" ht="15" hidden="false" customHeight="false" outlineLevel="0" collapsed="false">
      <c r="A12" s="0" t="s">
        <v>127</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128</v>
      </c>
      <c r="C13" s="0" t="n">
        <f aca="false">C11+C12</f>
        <v>10727.64</v>
      </c>
      <c r="D13" s="0" t="n">
        <f aca="false">D11+D12</f>
        <v>10979.73954</v>
      </c>
      <c r="E13" s="0" t="n">
        <f aca="false">E11+E12</f>
        <v>11364.0304239</v>
      </c>
      <c r="F13" s="0" t="n">
        <f aca="false">F11+F12</f>
        <v>11859.451076088</v>
      </c>
      <c r="G13" s="0" t="n">
        <f aca="false">G11+G12</f>
        <v>12350.9594373525</v>
      </c>
      <c r="H13" s="0" t="n">
        <f aca="false">H11+H12</f>
        <v>12836.3114257918</v>
      </c>
      <c r="I13" s="0" t="n">
        <f aca="false">I11+I12</f>
        <v>13300.2324637348</v>
      </c>
      <c r="J13" s="0" t="n">
        <f aca="false">J11+J12</f>
        <v>13779.3268589339</v>
      </c>
      <c r="K13" s="0" t="n">
        <f aca="false">K11+K12</f>
        <v>14123.8100304072</v>
      </c>
      <c r="L13" s="0" t="n">
        <f aca="false">L11+L12</f>
        <v>14476.9052811674</v>
      </c>
    </row>
    <row r="14" customFormat="false" ht="15" hidden="false" customHeight="false" outlineLevel="0" collapsed="false">
      <c r="A14" s="0" t="s">
        <v>114</v>
      </c>
      <c r="C14" s="4" t="n">
        <f aca="false">Assumptions!C33</f>
        <v>31</v>
      </c>
      <c r="D14" s="4" t="n">
        <f aca="false">Assumptions!D33</f>
        <v>31</v>
      </c>
      <c r="E14" s="4" t="n">
        <f aca="false">Assumptions!E33</f>
        <v>31</v>
      </c>
      <c r="F14" s="4" t="n">
        <f aca="false">Assumptions!F33</f>
        <v>31</v>
      </c>
      <c r="G14" s="4" t="n">
        <f aca="false">Assumptions!G33</f>
        <v>31</v>
      </c>
      <c r="H14" s="4" t="n">
        <f aca="false">Assumptions!H33</f>
        <v>31</v>
      </c>
      <c r="I14" s="4" t="n">
        <f aca="false">Assumptions!I33</f>
        <v>31</v>
      </c>
      <c r="J14" s="4" t="n">
        <f aca="false">Assumptions!J33</f>
        <v>31</v>
      </c>
      <c r="K14" s="4" t="n">
        <f aca="false">Assumptions!K33</f>
        <v>31</v>
      </c>
      <c r="L14" s="4" t="n">
        <f aca="false">Assumptions!L33</f>
        <v>31</v>
      </c>
    </row>
    <row r="15" customFormat="false" ht="15" hidden="false" customHeight="false" outlineLevel="0" collapsed="false">
      <c r="A15" s="0" t="s">
        <v>129</v>
      </c>
      <c r="C15" s="0" t="n">
        <f aca="false">C13-MAX(0,C13)*C14/100</f>
        <v>7402.0716</v>
      </c>
      <c r="D15" s="0" t="n">
        <f aca="false">D13-MAX(0,D13)*D14/100</f>
        <v>7576.0202826</v>
      </c>
      <c r="E15" s="0" t="n">
        <f aca="false">E13-MAX(0,E13)*E14/100</f>
        <v>7841.180992491</v>
      </c>
      <c r="F15" s="0" t="n">
        <f aca="false">F13-MAX(0,F13)*F14/100</f>
        <v>8183.02124250072</v>
      </c>
      <c r="G15" s="0" t="n">
        <f aca="false">G13-MAX(0,G13)*G14/100</f>
        <v>8522.16201177325</v>
      </c>
      <c r="H15" s="0" t="n">
        <f aca="false">H13-MAX(0,H13)*H14/100</f>
        <v>8857.05488379634</v>
      </c>
      <c r="I15" s="0" t="n">
        <f aca="false">I13-MAX(0,I13)*I14/100</f>
        <v>9177.16039997702</v>
      </c>
      <c r="J15" s="0" t="n">
        <f aca="false">J13-MAX(0,J13)*J14/100</f>
        <v>9507.73553266436</v>
      </c>
      <c r="K15" s="0" t="n">
        <f aca="false">K13-MAX(0,K13)*K14/100</f>
        <v>9745.42892098097</v>
      </c>
      <c r="L15" s="0" t="n">
        <f aca="false">L13-MAX(0,L13)*L14/100</f>
        <v>9989.0646440055</v>
      </c>
    </row>
    <row r="16" customFormat="false" ht="15" hidden="false" customHeight="false" outlineLevel="0" collapsed="false">
      <c r="A16" s="0" t="s">
        <v>130</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131</v>
      </c>
      <c r="C17" s="4" t="n">
        <f aca="false">-C6*Assumptions!C32/100</f>
        <v>-2217.0456</v>
      </c>
      <c r="D17" s="4" t="n">
        <f aca="false">-D6*Assumptions!D32/100</f>
        <v>-2516.704344</v>
      </c>
      <c r="E17" s="4" t="n">
        <f aca="false">-E6*Assumptions!E32/100</f>
        <v>-2604.78899604</v>
      </c>
      <c r="F17" s="4" t="n">
        <f aca="false">-F6*Assumptions!F32/100</f>
        <v>-2450.95322239152</v>
      </c>
      <c r="G17" s="4" t="n">
        <f aca="false">-G6*Assumptions!G32/100</f>
        <v>-2334.46705848861</v>
      </c>
      <c r="H17" s="4" t="n">
        <f aca="false">-H6*Assumptions!H32/100</f>
        <v>-2232.40198709423</v>
      </c>
      <c r="I17" s="4" t="n">
        <f aca="false">-I6*Assumptions!I32/100</f>
        <v>-2030.78818263478</v>
      </c>
      <c r="J17" s="4" t="n">
        <f aca="false">-J6*Assumptions!J32/100</f>
        <v>-2081.55788720065</v>
      </c>
      <c r="K17" s="4" t="n">
        <f aca="false">-K6*Assumptions!K32/100</f>
        <v>-2133.59683438066</v>
      </c>
      <c r="L17" s="4" t="n">
        <f aca="false">-L6*Assumptions!L32/100</f>
        <v>-2186.93675524018</v>
      </c>
    </row>
    <row r="18" customFormat="false" ht="15" hidden="false" customHeight="false" outlineLevel="0" collapsed="false">
      <c r="A18" s="0" t="s">
        <v>132</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133</v>
      </c>
      <c r="C19" s="0" t="n">
        <f aca="false">C15+C16+C17+C18</f>
        <v>5185.026</v>
      </c>
      <c r="D19" s="0" t="n">
        <f aca="false">D15+D16+D17+D18</f>
        <v>5059.3159386</v>
      </c>
      <c r="E19" s="0" t="n">
        <f aca="false">E15+E16+E17+E18</f>
        <v>5236.391996451</v>
      </c>
      <c r="F19" s="0" t="n">
        <f aca="false">F15+F16+F17+F18</f>
        <v>5732.0680201092</v>
      </c>
      <c r="G19" s="0" t="n">
        <f aca="false">G15+G16+G17+G18</f>
        <v>6187.69495328464</v>
      </c>
      <c r="H19" s="0" t="n">
        <f aca="false">H15+H16+H17+H18</f>
        <v>6624.65289670211</v>
      </c>
      <c r="I19" s="0" t="n">
        <f aca="false">I15+I16+I17+I18</f>
        <v>7146.37221734224</v>
      </c>
      <c r="J19" s="0" t="n">
        <f aca="false">J15+J16+J17+J18</f>
        <v>7426.17764546372</v>
      </c>
      <c r="K19" s="0" t="n">
        <f aca="false">K15+K16+K17+K18</f>
        <v>7611.83208660031</v>
      </c>
      <c r="L19" s="0" t="n">
        <f aca="false">L15+L16+L17+L18</f>
        <v>7802.12788876532</v>
      </c>
    </row>
    <row r="20" customFormat="false" ht="15" hidden="false" customHeight="false" outlineLevel="0" collapsed="false">
      <c r="A20" s="0" t="s">
        <v>134</v>
      </c>
      <c r="C20" s="0" t="n">
        <f aca="false">1/(1+$B$27/100)^C4</f>
        <v>0.911577028258888</v>
      </c>
      <c r="D20" s="0" t="n">
        <f aca="false">1/(1+$B$27/100)^D4</f>
        <v>0.830972678449305</v>
      </c>
      <c r="E20" s="0" t="n">
        <f aca="false">1/(1+$B$27/100)^E4</f>
        <v>0.757495604785146</v>
      </c>
      <c r="F20" s="0" t="n">
        <f aca="false">1/(1+$B$27/100)^F4</f>
        <v>0.690515592329213</v>
      </c>
      <c r="G20" s="0" t="n">
        <f aca="false">1/(1+$B$27/100)^G4</f>
        <v>0.629458151621889</v>
      </c>
      <c r="H20" s="0" t="n">
        <f aca="false">1/(1+$B$27/100)^H4</f>
        <v>0.573799591268814</v>
      </c>
      <c r="I20" s="0" t="n">
        <f aca="false">1/(1+$B$27/100)^I4</f>
        <v>0.52306252622499</v>
      </c>
      <c r="J20" s="0" t="n">
        <f aca="false">1/(1+$B$27/100)^J4</f>
        <v>0.476811783249763</v>
      </c>
      <c r="K20" s="0" t="n">
        <f aca="false">1/(1+$B$27/100)^K4</f>
        <v>0.43465066841364</v>
      </c>
      <c r="L20" s="0" t="n">
        <f aca="false">1/(1+$B$27/100)^L4</f>
        <v>0.396217564643245</v>
      </c>
    </row>
    <row r="21" customFormat="false" ht="15" hidden="false" customHeight="false" outlineLevel="0" collapsed="false">
      <c r="A21" s="0" t="s">
        <v>135</v>
      </c>
      <c r="C21" s="0" t="n">
        <f aca="false">C19*C20</f>
        <v>4726.55059252507</v>
      </c>
      <c r="D21" s="0" t="n">
        <f aca="false">D19*D20</f>
        <v>4204.1533166197</v>
      </c>
      <c r="E21" s="0" t="n">
        <f aca="false">E19*E20</f>
        <v>3966.54392224375</v>
      </c>
      <c r="F21" s="0" t="n">
        <f aca="false">F19*F20</f>
        <v>3958.08234417704</v>
      </c>
      <c r="G21" s="0" t="n">
        <f aca="false">G19*G20</f>
        <v>3894.89502809464</v>
      </c>
      <c r="H21" s="0" t="n">
        <f aca="false">H19*H20</f>
        <v>3801.22312442544</v>
      </c>
      <c r="I21" s="0" t="n">
        <f aca="false">I19*I20</f>
        <v>3737.99950534712</v>
      </c>
      <c r="J21" s="0" t="n">
        <f aca="false">J19*J20</f>
        <v>3540.88900586308</v>
      </c>
      <c r="K21" s="0" t="n">
        <f aca="false">K19*K20</f>
        <v>3308.48790429322</v>
      </c>
      <c r="L21" s="0" t="n">
        <f aca="false">L19*L20</f>
        <v>3091.34011112174</v>
      </c>
    </row>
    <row r="23" customFormat="false" ht="15" hidden="false" customHeight="false" outlineLevel="0" collapsed="false">
      <c r="A23" s="0" t="s">
        <v>111</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137</v>
      </c>
    </row>
    <row r="27" customFormat="false" ht="15" hidden="false" customHeight="false" outlineLevel="0" collapsed="false">
      <c r="A27" s="0" t="s">
        <v>115</v>
      </c>
      <c r="B27" s="4" t="n">
        <f aca="false">Assumptions!$B$34</f>
        <v>9.7</v>
      </c>
    </row>
    <row r="28" customFormat="false" ht="15" hidden="false" customHeight="false" outlineLevel="0" collapsed="false">
      <c r="A28" s="0" t="s">
        <v>116</v>
      </c>
      <c r="B28" s="4" t="n">
        <f aca="false">Assumptions!$B$35</f>
        <v>2.5</v>
      </c>
    </row>
    <row r="29" customFormat="false" ht="15" hidden="false" customHeight="false" outlineLevel="0" collapsed="false">
      <c r="A29" s="0" t="s">
        <v>117</v>
      </c>
      <c r="B29" s="4" t="n">
        <f aca="false">Assumptions!$B$36</f>
        <v>15</v>
      </c>
    </row>
    <row r="30" customFormat="false" ht="15" hidden="false" customHeight="false" outlineLevel="0" collapsed="false">
      <c r="A30" s="0" t="s">
        <v>138</v>
      </c>
      <c r="B30" s="0" t="n">
        <f aca="false">SUM(C21:L21)</f>
        <v>38230.1648547108</v>
      </c>
    </row>
    <row r="31" customFormat="false" ht="15" hidden="false" customHeight="false" outlineLevel="0" collapsed="false">
      <c r="A31" s="0" t="s">
        <v>139</v>
      </c>
      <c r="B31" s="0" t="n">
        <f aca="false">L19</f>
        <v>7802.12788876532</v>
      </c>
    </row>
    <row r="32" customFormat="false" ht="15" hidden="false" customHeight="false" outlineLevel="0" collapsed="false">
      <c r="A32" s="0" t="s">
        <v>140</v>
      </c>
      <c r="B32" s="0" t="n">
        <f aca="false">IF(B27&gt;B28,B31*(1+B28/100)/((B27-B28)/100),B31*B29)</f>
        <v>111071.959527562</v>
      </c>
    </row>
    <row r="33" customFormat="false" ht="15" hidden="false" customHeight="false" outlineLevel="0" collapsed="false">
      <c r="A33" s="0" t="s">
        <v>141</v>
      </c>
      <c r="B33" s="0" t="n">
        <f aca="false">B31*B29</f>
        <v>117031.91833148</v>
      </c>
    </row>
    <row r="34" customFormat="false" ht="15" hidden="false" customHeight="false" outlineLevel="0" collapsed="false">
      <c r="A34" s="0" t="s">
        <v>142</v>
      </c>
      <c r="B34" s="0" t="n">
        <f aca="false">MAX(0,MIN(B32,B33))</f>
        <v>111071.959527562</v>
      </c>
    </row>
    <row r="35" customFormat="false" ht="15" hidden="false" customHeight="false" outlineLevel="0" collapsed="false">
      <c r="A35" s="0" t="s">
        <v>143</v>
      </c>
      <c r="B35" s="0" t="n">
        <f aca="false">B34/(1+B27/100)^L4</f>
        <v>44008.6613041636</v>
      </c>
    </row>
    <row r="36" customFormat="false" ht="15" hidden="false" customHeight="false" outlineLevel="0" collapsed="false">
      <c r="A36" s="0" t="s">
        <v>144</v>
      </c>
      <c r="B36" s="0" t="n">
        <f aca="false">B30+B35</f>
        <v>82238.8261588744</v>
      </c>
    </row>
    <row r="37" customFormat="false" ht="15" hidden="false" customHeight="false" outlineLevel="0" collapsed="false">
      <c r="A37" s="0" t="s">
        <v>145</v>
      </c>
      <c r="B37" s="0" t="n">
        <f aca="false">B36+Assumptions!$B$5-Assumptions!$B$4</f>
        <v>82238.8261588744</v>
      </c>
    </row>
    <row r="38" customFormat="false" ht="15" hidden="false" customHeight="false" outlineLevel="0" collapsed="false">
      <c r="A38" s="0" t="s">
        <v>146</v>
      </c>
      <c r="B38" s="0" t="n">
        <f aca="false">B37/Assumptions!$B$3*Assumptions!$B$10</f>
        <v>24.0464403973317</v>
      </c>
    </row>
    <row r="39" customFormat="false" ht="15" hidden="false" customHeight="false" outlineLevel="0" collapsed="false">
      <c r="A39" s="0" t="s">
        <v>147</v>
      </c>
      <c r="B39" s="4" t="n">
        <f aca="false">B38/Assumptions!$B$2-1</f>
        <v>-0.300568923870515</v>
      </c>
    </row>
    <row r="41" customFormat="false" ht="15" hidden="false" customHeight="false" outlineLevel="0" collapsed="false">
      <c r="A41" s="0" t="s">
        <v>148</v>
      </c>
      <c r="B41" s="0" t="n">
        <f aca="false">SUMPRODUCT(-C10:L10/(1+$B$27/100)^C4:L4)</f>
        <v>668.324041476728</v>
      </c>
    </row>
    <row r="42" customFormat="false" ht="15" hidden="false" customHeight="false" outlineLevel="0" collapsed="false">
      <c r="A42" s="0" t="s">
        <v>149</v>
      </c>
      <c r="B42" s="0" t="n">
        <f aca="false">IF(B27&gt;B28,-L10*(1+B28/100)/((B27-B28)/100),-L10*20)/(1+B27/100)^L4</f>
        <v>694.965042308151</v>
      </c>
    </row>
    <row r="43" customFormat="false" ht="15" hidden="false" customHeight="false" outlineLevel="0" collapsed="false">
      <c r="A43" s="0" t="s">
        <v>150</v>
      </c>
      <c r="B43" s="0" t="n">
        <f aca="false">(B37+B41+B42)/Assumptions!$B$3*Assumptions!$B$10</f>
        <v>24.4450629364501</v>
      </c>
    </row>
    <row r="45" customFormat="false" ht="15" hidden="false" customHeight="false" outlineLevel="0" collapsed="false">
      <c r="A45" s="0" t="s">
        <v>90</v>
      </c>
      <c r="B45" s="4" t="n">
        <f aca="false">Assumptions!$B$6</f>
        <v>15</v>
      </c>
    </row>
    <row r="46" customFormat="false" ht="15" hidden="false" customHeight="false" outlineLevel="0" collapsed="false">
      <c r="A46" s="0" t="s">
        <v>151</v>
      </c>
      <c r="B46" s="0" t="n">
        <f aca="false">MAX(0,MIN(IF(B45&gt;B28,B31*(1+B28/100)/((B45-B28)/100),B31*B29),B31*B29))</f>
        <v>63977.4486878756</v>
      </c>
    </row>
    <row r="47" customFormat="false" ht="15" hidden="false" customHeight="false" outlineLevel="0" collapsed="false">
      <c r="A47" s="0" t="s">
        <v>152</v>
      </c>
      <c r="B47" s="0" t="n">
        <f aca="false">(SUMPRODUCT(C19:L19/(1+B45/100)^C4:L4)+B46/(1+B45/100)^L4+Assumptions!$B$5-Assumptions!$B$4)/Assumptions!$B$3*Assumptions!$B$10</f>
        <v>13.4549167807245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154</v>
      </c>
    </row>
    <row r="3" customFormat="false" ht="15" hidden="false" customHeight="false" outlineLevel="0" collapsed="false">
      <c r="A3" s="0" t="s">
        <v>123</v>
      </c>
      <c r="B3" s="0" t="s">
        <v>93</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Assumptions!C41</f>
        <v>4.5</v>
      </c>
      <c r="D5" s="4" t="n">
        <f aca="false">Assumptions!D41</f>
        <v>5</v>
      </c>
      <c r="E5" s="4" t="n">
        <f aca="false">Assumptions!E41</f>
        <v>5</v>
      </c>
      <c r="F5" s="4" t="n">
        <f aca="false">Assumptions!F41</f>
        <v>4.5</v>
      </c>
      <c r="G5" s="4" t="n">
        <f aca="false">Assumptions!G41</f>
        <v>4</v>
      </c>
      <c r="H5" s="4" t="n">
        <f aca="false">Assumptions!H41</f>
        <v>3.5</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37</v>
      </c>
      <c r="B6" s="3" t="n">
        <v>23100</v>
      </c>
      <c r="C6" s="0" t="n">
        <f aca="false">B6*(1+C5/100)</f>
        <v>24139.5</v>
      </c>
      <c r="D6" s="0" t="n">
        <f aca="false">C6*(1+D5/100)</f>
        <v>25346.475</v>
      </c>
      <c r="E6" s="0" t="n">
        <f aca="false">D6*(1+E5/100)</f>
        <v>26613.79875</v>
      </c>
      <c r="F6" s="0" t="n">
        <f aca="false">E6*(1+F5/100)</f>
        <v>27811.41969375</v>
      </c>
      <c r="G6" s="0" t="n">
        <f aca="false">F6*(1+G5/100)</f>
        <v>28923.8764815</v>
      </c>
      <c r="H6" s="0" t="n">
        <f aca="false">G6*(1+H5/100)</f>
        <v>29936.2121583525</v>
      </c>
      <c r="I6" s="0" t="n">
        <f aca="false">H6*(1+I5/100)</f>
        <v>30983.9795838948</v>
      </c>
      <c r="J6" s="0" t="n">
        <f aca="false">I6*(1+J5/100)</f>
        <v>31913.4989714117</v>
      </c>
      <c r="K6" s="0" t="n">
        <f aca="false">J6*(1+K5/100)</f>
        <v>32870.903940554</v>
      </c>
      <c r="L6" s="0" t="n">
        <f aca="false">K6*(1+L5/100)</f>
        <v>33857.0310587707</v>
      </c>
    </row>
    <row r="7" customFormat="false" ht="15" hidden="false" customHeight="false" outlineLevel="0" collapsed="false">
      <c r="A7" s="0" t="s">
        <v>109</v>
      </c>
      <c r="C7" s="4" t="n">
        <f aca="false">Assumptions!C42</f>
        <v>46.9</v>
      </c>
      <c r="D7" s="4" t="n">
        <f aca="false">Assumptions!D42</f>
        <v>47.9</v>
      </c>
      <c r="E7" s="4" t="n">
        <f aca="false">Assumptions!E42</f>
        <v>49.4</v>
      </c>
      <c r="F7" s="4" t="n">
        <f aca="false">Assumptions!F42</f>
        <v>50.9</v>
      </c>
      <c r="G7" s="4" t="n">
        <f aca="false">Assumptions!G42</f>
        <v>51.9</v>
      </c>
      <c r="H7" s="4" t="n">
        <f aca="false">Assumptions!H42</f>
        <v>52.4</v>
      </c>
      <c r="I7" s="4" t="n">
        <f aca="false">Assumptions!I42</f>
        <v>52.9</v>
      </c>
      <c r="J7" s="4" t="n">
        <f aca="false">Assumptions!J42</f>
        <v>53.4</v>
      </c>
      <c r="K7" s="4" t="n">
        <f aca="false">Assumptions!K42</f>
        <v>53.4</v>
      </c>
      <c r="L7" s="4" t="n">
        <f aca="false">Assumptions!L42</f>
        <v>53.4</v>
      </c>
    </row>
    <row r="8" customFormat="false" ht="15" hidden="false" customHeight="false" outlineLevel="0" collapsed="false">
      <c r="A8" s="0" t="s">
        <v>43</v>
      </c>
      <c r="C8" s="0" t="n">
        <f aca="false">C6*C7/100</f>
        <v>11321.4255</v>
      </c>
      <c r="D8" s="0" t="n">
        <f aca="false">D6*D7/100</f>
        <v>12140.961525</v>
      </c>
      <c r="E8" s="0" t="n">
        <f aca="false">E6*E7/100</f>
        <v>13147.2165825</v>
      </c>
      <c r="F8" s="0" t="n">
        <f aca="false">F6*F7/100</f>
        <v>14156.0126241188</v>
      </c>
      <c r="G8" s="0" t="n">
        <f aca="false">G6*G7/100</f>
        <v>15011.4918938985</v>
      </c>
      <c r="H8" s="0" t="n">
        <f aca="false">H6*H7/100</f>
        <v>15686.5751709767</v>
      </c>
      <c r="I8" s="0" t="n">
        <f aca="false">I6*I7/100</f>
        <v>16390.5251998804</v>
      </c>
      <c r="J8" s="0" t="n">
        <f aca="false">J6*J7/100</f>
        <v>17041.8084507338</v>
      </c>
      <c r="K8" s="0" t="n">
        <f aca="false">K6*K7/100</f>
        <v>17553.0627042558</v>
      </c>
      <c r="L8" s="0" t="n">
        <f aca="false">L6*L7/100</f>
        <v>18079.6545853835</v>
      </c>
    </row>
    <row r="9" customFormat="false" ht="15" hidden="false" customHeight="false" outlineLevel="0" collapsed="false">
      <c r="A9" s="0" t="s">
        <v>110</v>
      </c>
      <c r="C9" s="4" t="n">
        <f aca="false">Assumptions!C43</f>
        <v>0.4</v>
      </c>
      <c r="D9" s="4" t="n">
        <f aca="false">Assumptions!D43</f>
        <v>0.4</v>
      </c>
      <c r="E9" s="4" t="n">
        <f aca="false">Assumptions!E43</f>
        <v>0.4</v>
      </c>
      <c r="F9" s="4" t="n">
        <f aca="false">Assumptions!F43</f>
        <v>0.4</v>
      </c>
      <c r="G9" s="4" t="n">
        <f aca="false">Assumptions!G43</f>
        <v>0.4</v>
      </c>
      <c r="H9" s="4" t="n">
        <f aca="false">Assumptions!H43</f>
        <v>0.4</v>
      </c>
      <c r="I9" s="4" t="n">
        <f aca="false">Assumptions!I43</f>
        <v>0.4</v>
      </c>
      <c r="J9" s="4" t="n">
        <f aca="false">Assumptions!J43</f>
        <v>0.4</v>
      </c>
      <c r="K9" s="4" t="n">
        <f aca="false">Assumptions!K43</f>
        <v>0.4</v>
      </c>
      <c r="L9" s="4" t="n">
        <f aca="false">Assumptions!L43</f>
        <v>0.4</v>
      </c>
    </row>
    <row r="10" customFormat="false" ht="15" hidden="false" customHeight="false" outlineLevel="0" collapsed="false">
      <c r="A10" s="0" t="s">
        <v>125</v>
      </c>
      <c r="C10" s="0" t="n">
        <f aca="false">-C6*C9/100</f>
        <v>-96.558</v>
      </c>
      <c r="D10" s="0" t="n">
        <f aca="false">-D6*D9/100</f>
        <v>-101.3859</v>
      </c>
      <c r="E10" s="0" t="n">
        <f aca="false">-E6*E9/100</f>
        <v>-106.455195</v>
      </c>
      <c r="F10" s="0" t="n">
        <f aca="false">-F6*F9/100</f>
        <v>-111.245678775</v>
      </c>
      <c r="G10" s="0" t="n">
        <f aca="false">-G6*G9/100</f>
        <v>-115.695505926</v>
      </c>
      <c r="H10" s="0" t="n">
        <f aca="false">-H6*H9/100</f>
        <v>-119.74484863341</v>
      </c>
      <c r="I10" s="0" t="n">
        <f aca="false">-I6*I9/100</f>
        <v>-123.935918335579</v>
      </c>
      <c r="J10" s="0" t="n">
        <f aca="false">-J6*J9/100</f>
        <v>-127.653995885647</v>
      </c>
      <c r="K10" s="0" t="n">
        <f aca="false">-K6*K9/100</f>
        <v>-131.483615762216</v>
      </c>
      <c r="L10" s="0" t="n">
        <f aca="false">-L6*L9/100</f>
        <v>-135.428124235083</v>
      </c>
    </row>
    <row r="11" customFormat="false" ht="15" hidden="false" customHeight="false" outlineLevel="0" collapsed="false">
      <c r="A11" s="0" t="s">
        <v>126</v>
      </c>
      <c r="C11" s="0" t="n">
        <f aca="false">C8+C10+C24</f>
        <v>11224.8675</v>
      </c>
      <c r="D11" s="0" t="n">
        <f aca="false">D8+D10+D24</f>
        <v>12039.575625</v>
      </c>
      <c r="E11" s="0" t="n">
        <f aca="false">E8+E10+E24</f>
        <v>13040.7613875</v>
      </c>
      <c r="F11" s="0" t="n">
        <f aca="false">F8+F10+F24</f>
        <v>14044.7669453438</v>
      </c>
      <c r="G11" s="0" t="n">
        <f aca="false">G8+G10+G24</f>
        <v>14895.7963879725</v>
      </c>
      <c r="H11" s="0" t="n">
        <f aca="false">H8+H10+H24</f>
        <v>15566.8303223433</v>
      </c>
      <c r="I11" s="0" t="n">
        <f aca="false">I8+I10+I24</f>
        <v>16266.5892815448</v>
      </c>
      <c r="J11" s="0" t="n">
        <f aca="false">J8+J10+J24</f>
        <v>16914.1544548482</v>
      </c>
      <c r="K11" s="0" t="n">
        <f aca="false">K8+K10+K24</f>
        <v>17421.5790884936</v>
      </c>
      <c r="L11" s="0" t="n">
        <f aca="false">L8+L10+L24</f>
        <v>17944.2264611484</v>
      </c>
    </row>
    <row r="12" customFormat="false" ht="15" hidden="false" customHeight="false" outlineLevel="0" collapsed="false">
      <c r="A12" s="0" t="s">
        <v>127</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128</v>
      </c>
      <c r="C13" s="0" t="n">
        <f aca="false">C11+C12</f>
        <v>11224.8675</v>
      </c>
      <c r="D13" s="0" t="n">
        <f aca="false">D11+D12</f>
        <v>12039.575625</v>
      </c>
      <c r="E13" s="0" t="n">
        <f aca="false">E11+E12</f>
        <v>13040.7613875</v>
      </c>
      <c r="F13" s="0" t="n">
        <f aca="false">F11+F12</f>
        <v>14044.7669453438</v>
      </c>
      <c r="G13" s="0" t="n">
        <f aca="false">G11+G12</f>
        <v>14895.7963879725</v>
      </c>
      <c r="H13" s="0" t="n">
        <f aca="false">H11+H12</f>
        <v>15566.8303223433</v>
      </c>
      <c r="I13" s="0" t="n">
        <f aca="false">I11+I12</f>
        <v>16266.5892815448</v>
      </c>
      <c r="J13" s="0" t="n">
        <f aca="false">J11+J12</f>
        <v>16914.1544548482</v>
      </c>
      <c r="K13" s="0" t="n">
        <f aca="false">K11+K12</f>
        <v>17421.5790884936</v>
      </c>
      <c r="L13" s="0" t="n">
        <f aca="false">L11+L12</f>
        <v>17944.2264611484</v>
      </c>
    </row>
    <row r="14" customFormat="false" ht="15" hidden="false" customHeight="false" outlineLevel="0" collapsed="false">
      <c r="A14" s="0" t="s">
        <v>114</v>
      </c>
      <c r="C14" s="4" t="n">
        <f aca="false">Assumptions!C47</f>
        <v>31</v>
      </c>
      <c r="D14" s="4" t="n">
        <f aca="false">Assumptions!D47</f>
        <v>31</v>
      </c>
      <c r="E14" s="4" t="n">
        <f aca="false">Assumptions!E47</f>
        <v>31</v>
      </c>
      <c r="F14" s="4" t="n">
        <f aca="false">Assumptions!F47</f>
        <v>31</v>
      </c>
      <c r="G14" s="4" t="n">
        <f aca="false">Assumptions!G47</f>
        <v>31</v>
      </c>
      <c r="H14" s="4" t="n">
        <f aca="false">Assumptions!H47</f>
        <v>31</v>
      </c>
      <c r="I14" s="4" t="n">
        <f aca="false">Assumptions!I47</f>
        <v>31</v>
      </c>
      <c r="J14" s="4" t="n">
        <f aca="false">Assumptions!J47</f>
        <v>31</v>
      </c>
      <c r="K14" s="4" t="n">
        <f aca="false">Assumptions!K47</f>
        <v>31</v>
      </c>
      <c r="L14" s="4" t="n">
        <f aca="false">Assumptions!L47</f>
        <v>31</v>
      </c>
    </row>
    <row r="15" customFormat="false" ht="15" hidden="false" customHeight="false" outlineLevel="0" collapsed="false">
      <c r="A15" s="0" t="s">
        <v>129</v>
      </c>
      <c r="C15" s="0" t="n">
        <f aca="false">C13-MAX(0,C13)*C14/100</f>
        <v>7745.158575</v>
      </c>
      <c r="D15" s="0" t="n">
        <f aca="false">D13-MAX(0,D13)*D14/100</f>
        <v>8307.30718125</v>
      </c>
      <c r="E15" s="0" t="n">
        <f aca="false">E13-MAX(0,E13)*E14/100</f>
        <v>8998.125357375</v>
      </c>
      <c r="F15" s="0" t="n">
        <f aca="false">F13-MAX(0,F13)*F14/100</f>
        <v>9690.88919228719</v>
      </c>
      <c r="G15" s="0" t="n">
        <f aca="false">G13-MAX(0,G13)*G14/100</f>
        <v>10278.099507701</v>
      </c>
      <c r="H15" s="0" t="n">
        <f aca="false">H13-MAX(0,H13)*H14/100</f>
        <v>10741.1129224169</v>
      </c>
      <c r="I15" s="0" t="n">
        <f aca="false">I13-MAX(0,I13)*I14/100</f>
        <v>11223.9466042659</v>
      </c>
      <c r="J15" s="0" t="n">
        <f aca="false">J13-MAX(0,J13)*J14/100</f>
        <v>11670.7665738452</v>
      </c>
      <c r="K15" s="0" t="n">
        <f aca="false">K13-MAX(0,K13)*K14/100</f>
        <v>12020.8895710606</v>
      </c>
      <c r="L15" s="0" t="n">
        <f aca="false">L13-MAX(0,L13)*L14/100</f>
        <v>12381.5162581924</v>
      </c>
    </row>
    <row r="16" customFormat="false" ht="15" hidden="false" customHeight="false" outlineLevel="0" collapsed="false">
      <c r="A16" s="0" t="s">
        <v>130</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131</v>
      </c>
      <c r="C17" s="4" t="n">
        <f aca="false">-C6*Assumptions!C46/100</f>
        <v>-3065.7165</v>
      </c>
      <c r="D17" s="4" t="n">
        <f aca="false">-D6*Assumptions!D46/100</f>
        <v>-3497.81355</v>
      </c>
      <c r="E17" s="4" t="n">
        <f aca="false">-E6*Assumptions!E46/100</f>
        <v>-3619.47663</v>
      </c>
      <c r="F17" s="4" t="n">
        <f aca="false">-F6*Assumptions!F46/100</f>
        <v>-3392.9932026375</v>
      </c>
      <c r="G17" s="4" t="n">
        <f aca="false">-G6*Assumptions!G46/100</f>
        <v>-3065.930907039</v>
      </c>
      <c r="H17" s="4" t="n">
        <f aca="false">-H6*Assumptions!H46/100</f>
        <v>-2694.25909425173</v>
      </c>
      <c r="I17" s="4" t="n">
        <f aca="false">-I6*Assumptions!I46/100</f>
        <v>-2819.54214213443</v>
      </c>
      <c r="J17" s="4" t="n">
        <f aca="false">-J6*Assumptions!J46/100</f>
        <v>-2521.16641874152</v>
      </c>
      <c r="K17" s="4" t="n">
        <f aca="false">-K6*Assumptions!K46/100</f>
        <v>-2596.80141130377</v>
      </c>
      <c r="L17" s="4" t="n">
        <f aca="false">-L6*Assumptions!L46/100</f>
        <v>-2674.70545364288</v>
      </c>
    </row>
    <row r="18" customFormat="false" ht="15" hidden="false" customHeight="false" outlineLevel="0" collapsed="false">
      <c r="A18" s="0" t="s">
        <v>132</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133</v>
      </c>
      <c r="C19" s="0" t="n">
        <f aca="false">C15+C16+C17+C18</f>
        <v>4679.442075</v>
      </c>
      <c r="D19" s="0" t="n">
        <f aca="false">D15+D16+D17+D18</f>
        <v>4809.49363125</v>
      </c>
      <c r="E19" s="0" t="n">
        <f aca="false">E15+E16+E17+E18</f>
        <v>5378.648727375</v>
      </c>
      <c r="F19" s="0" t="n">
        <f aca="false">F15+F16+F17+F18</f>
        <v>6297.89598964969</v>
      </c>
      <c r="G19" s="0" t="n">
        <f aca="false">G15+G16+G17+G18</f>
        <v>7212.16860066203</v>
      </c>
      <c r="H19" s="0" t="n">
        <f aca="false">H15+H16+H17+H18</f>
        <v>8046.85382816515</v>
      </c>
      <c r="I19" s="0" t="n">
        <f aca="false">I15+I16+I17+I18</f>
        <v>8404.40446213147</v>
      </c>
      <c r="J19" s="0" t="n">
        <f aca="false">J15+J16+J17+J18</f>
        <v>9149.60015510372</v>
      </c>
      <c r="K19" s="0" t="n">
        <f aca="false">K15+K16+K17+K18</f>
        <v>9424.08815975684</v>
      </c>
      <c r="L19" s="0" t="n">
        <f aca="false">L15+L16+L17+L18</f>
        <v>9706.81080454955</v>
      </c>
    </row>
    <row r="20" customFormat="false" ht="15" hidden="false" customHeight="false" outlineLevel="0" collapsed="false">
      <c r="A20" s="0" t="s">
        <v>134</v>
      </c>
      <c r="C20" s="0" t="n">
        <f aca="false">1/(1+$B$27/100)^C4</f>
        <v>0.911577028258888</v>
      </c>
      <c r="D20" s="0" t="n">
        <f aca="false">1/(1+$B$27/100)^D4</f>
        <v>0.830972678449305</v>
      </c>
      <c r="E20" s="0" t="n">
        <f aca="false">1/(1+$B$27/100)^E4</f>
        <v>0.757495604785146</v>
      </c>
      <c r="F20" s="0" t="n">
        <f aca="false">1/(1+$B$27/100)^F4</f>
        <v>0.690515592329213</v>
      </c>
      <c r="G20" s="0" t="n">
        <f aca="false">1/(1+$B$27/100)^G4</f>
        <v>0.629458151621889</v>
      </c>
      <c r="H20" s="0" t="n">
        <f aca="false">1/(1+$B$27/100)^H4</f>
        <v>0.573799591268814</v>
      </c>
      <c r="I20" s="0" t="n">
        <f aca="false">1/(1+$B$27/100)^I4</f>
        <v>0.52306252622499</v>
      </c>
      <c r="J20" s="0" t="n">
        <f aca="false">1/(1+$B$27/100)^J4</f>
        <v>0.476811783249763</v>
      </c>
      <c r="K20" s="0" t="n">
        <f aca="false">1/(1+$B$27/100)^K4</f>
        <v>0.43465066841364</v>
      </c>
      <c r="L20" s="0" t="n">
        <f aca="false">1/(1+$B$27/100)^L4</f>
        <v>0.396217564643245</v>
      </c>
    </row>
    <row r="21" customFormat="false" ht="15" hidden="false" customHeight="false" outlineLevel="0" collapsed="false">
      <c r="A21" s="0" t="s">
        <v>135</v>
      </c>
      <c r="C21" s="0" t="n">
        <f aca="false">C19*C20</f>
        <v>4265.6719006381</v>
      </c>
      <c r="D21" s="0" t="n">
        <f aca="false">D19*D20</f>
        <v>3996.55780474469</v>
      </c>
      <c r="E21" s="0" t="n">
        <f aca="false">E19*E20</f>
        <v>4074.30277066978</v>
      </c>
      <c r="F21" s="0" t="n">
        <f aca="false">F19*F20</f>
        <v>4348.79537972073</v>
      </c>
      <c r="G21" s="0" t="n">
        <f aca="false">G19*G20</f>
        <v>4539.75831655815</v>
      </c>
      <c r="H21" s="0" t="n">
        <f aca="false">H19*H20</f>
        <v>4617.28143760106</v>
      </c>
      <c r="I21" s="0" t="n">
        <f aca="false">I19*I20</f>
        <v>4396.02902937907</v>
      </c>
      <c r="J21" s="0" t="n">
        <f aca="false">J19*J20</f>
        <v>4362.63716597732</v>
      </c>
      <c r="K21" s="0" t="n">
        <f aca="false">K19*K20</f>
        <v>4096.18621782738</v>
      </c>
      <c r="L21" s="0" t="n">
        <f aca="false">L19*L20</f>
        <v>3846.00893743136</v>
      </c>
    </row>
    <row r="23" customFormat="false" ht="15" hidden="false" customHeight="false" outlineLevel="0" collapsed="false">
      <c r="A23" s="0" t="s">
        <v>111</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137</v>
      </c>
    </row>
    <row r="27" customFormat="false" ht="15" hidden="false" customHeight="false" outlineLevel="0" collapsed="false">
      <c r="A27" s="0" t="s">
        <v>115</v>
      </c>
      <c r="B27" s="4" t="n">
        <f aca="false">Assumptions!$B$48</f>
        <v>9.7</v>
      </c>
    </row>
    <row r="28" customFormat="false" ht="15" hidden="false" customHeight="false" outlineLevel="0" collapsed="false">
      <c r="A28" s="0" t="s">
        <v>116</v>
      </c>
      <c r="B28" s="4" t="n">
        <f aca="false">Assumptions!$B$49</f>
        <v>3</v>
      </c>
    </row>
    <row r="29" customFormat="false" ht="15" hidden="false" customHeight="false" outlineLevel="0" collapsed="false">
      <c r="A29" s="0" t="s">
        <v>117</v>
      </c>
      <c r="B29" s="4" t="n">
        <f aca="false">Assumptions!$B$50</f>
        <v>15</v>
      </c>
    </row>
    <row r="30" customFormat="false" ht="15" hidden="false" customHeight="false" outlineLevel="0" collapsed="false">
      <c r="A30" s="0" t="s">
        <v>138</v>
      </c>
      <c r="B30" s="0" t="n">
        <f aca="false">SUM(C21:L21)</f>
        <v>42543.2289605476</v>
      </c>
    </row>
    <row r="31" customFormat="false" ht="15" hidden="false" customHeight="false" outlineLevel="0" collapsed="false">
      <c r="A31" s="0" t="s">
        <v>139</v>
      </c>
      <c r="B31" s="0" t="n">
        <f aca="false">L19</f>
        <v>9706.81080454955</v>
      </c>
    </row>
    <row r="32" customFormat="false" ht="15" hidden="false" customHeight="false" outlineLevel="0" collapsed="false">
      <c r="A32" s="0" t="s">
        <v>140</v>
      </c>
      <c r="B32" s="0" t="n">
        <f aca="false">IF(B27&gt;B28,B31*(1+B28/100)/((B27-B28)/100),B31*B29)</f>
        <v>149224.106398299</v>
      </c>
    </row>
    <row r="33" customFormat="false" ht="15" hidden="false" customHeight="false" outlineLevel="0" collapsed="false">
      <c r="A33" s="0" t="s">
        <v>141</v>
      </c>
      <c r="B33" s="0" t="n">
        <f aca="false">B31*B29</f>
        <v>145602.162068243</v>
      </c>
    </row>
    <row r="34" customFormat="false" ht="15" hidden="false" customHeight="false" outlineLevel="0" collapsed="false">
      <c r="A34" s="0" t="s">
        <v>142</v>
      </c>
      <c r="B34" s="0" t="n">
        <f aca="false">MAX(0,MIN(B32,B33))</f>
        <v>145602.162068243</v>
      </c>
    </row>
    <row r="35" customFormat="false" ht="15" hidden="false" customHeight="false" outlineLevel="0" collapsed="false">
      <c r="A35" s="0" t="s">
        <v>143</v>
      </c>
      <c r="B35" s="0" t="n">
        <f aca="false">B34/(1+B27/100)^L4</f>
        <v>57690.1340614704</v>
      </c>
    </row>
    <row r="36" customFormat="false" ht="15" hidden="false" customHeight="false" outlineLevel="0" collapsed="false">
      <c r="A36" s="0" t="s">
        <v>144</v>
      </c>
      <c r="B36" s="0" t="n">
        <f aca="false">B30+B35</f>
        <v>100233.363022018</v>
      </c>
    </row>
    <row r="37" customFormat="false" ht="15" hidden="false" customHeight="false" outlineLevel="0" collapsed="false">
      <c r="A37" s="0" t="s">
        <v>145</v>
      </c>
      <c r="B37" s="0" t="n">
        <f aca="false">B36+Assumptions!$B$5-Assumptions!$B$4</f>
        <v>100233.363022018</v>
      </c>
    </row>
    <row r="38" customFormat="false" ht="15" hidden="false" customHeight="false" outlineLevel="0" collapsed="false">
      <c r="A38" s="0" t="s">
        <v>146</v>
      </c>
      <c r="B38" s="0" t="n">
        <f aca="false">B37/Assumptions!$B$3*Assumptions!$B$10</f>
        <v>29.308000883631</v>
      </c>
    </row>
    <row r="39" customFormat="false" ht="15" hidden="false" customHeight="false" outlineLevel="0" collapsed="false">
      <c r="A39" s="0" t="s">
        <v>147</v>
      </c>
      <c r="B39" s="4" t="n">
        <f aca="false">B38/Assumptions!$B$2-1</f>
        <v>-0.147527606642495</v>
      </c>
    </row>
    <row r="41" customFormat="false" ht="15" hidden="false" customHeight="false" outlineLevel="0" collapsed="false">
      <c r="A41" s="0" t="s">
        <v>148</v>
      </c>
      <c r="B41" s="0" t="n">
        <f aca="false">SUMPRODUCT(-C10:L10/(1+$B$27/100)^C4:L4)</f>
        <v>707.761817177513</v>
      </c>
    </row>
    <row r="42" customFormat="false" ht="15" hidden="false" customHeight="false" outlineLevel="0" collapsed="false">
      <c r="A42" s="0" t="s">
        <v>149</v>
      </c>
      <c r="B42" s="0" t="n">
        <f aca="false">IF(B27&gt;B28,-L10*(1+B28/100)/((B27-B28)/100),-L10*20)/(1+B27/100)^L4</f>
        <v>824.907039040092</v>
      </c>
    </row>
    <row r="43" customFormat="false" ht="15" hidden="false" customHeight="false" outlineLevel="0" collapsed="false">
      <c r="A43" s="0" t="s">
        <v>150</v>
      </c>
      <c r="B43" s="0" t="n">
        <f aca="false">(B37+B41+B42)/Assumptions!$B$3*Assumptions!$B$10</f>
        <v>29.7561496719987</v>
      </c>
    </row>
    <row r="45" customFormat="false" ht="15" hidden="false" customHeight="false" outlineLevel="0" collapsed="false">
      <c r="A45" s="0" t="s">
        <v>90</v>
      </c>
      <c r="B45" s="4" t="n">
        <f aca="false">Assumptions!$B$6</f>
        <v>15</v>
      </c>
    </row>
    <row r="46" customFormat="false" ht="15" hidden="false" customHeight="false" outlineLevel="0" collapsed="false">
      <c r="A46" s="0" t="s">
        <v>151</v>
      </c>
      <c r="B46" s="0" t="n">
        <f aca="false">MAX(0,MIN(IF(B45&gt;B28,B31*(1+B28/100)/((B45-B28)/100),B31*B29),B31*B29))</f>
        <v>83316.7927390503</v>
      </c>
    </row>
    <row r="47" customFormat="false" ht="15" hidden="false" customHeight="false" outlineLevel="0" collapsed="false">
      <c r="A47" s="0" t="s">
        <v>152</v>
      </c>
      <c r="B47" s="0" t="n">
        <f aca="false">(SUMPRODUCT(C19:L19/(1+B45/100)^C4:L4)+B46/(1+B45/100)^L4+Assumptions!$B$5-Assumptions!$B$4)/Assumptions!$B$3*Assumptions!$B$10</f>
        <v>15.7108808592251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155</v>
      </c>
    </row>
    <row r="3" customFormat="false" ht="15" hidden="false" customHeight="false" outlineLevel="0" collapsed="false">
      <c r="A3" s="2" t="s">
        <v>156</v>
      </c>
      <c r="B3" s="2" t="s">
        <v>157</v>
      </c>
      <c r="C3" s="2" t="s">
        <v>147</v>
      </c>
      <c r="D3" s="2" t="s">
        <v>158</v>
      </c>
      <c r="E3" s="2" t="s">
        <v>150</v>
      </c>
      <c r="F3" s="2" t="s">
        <v>159</v>
      </c>
    </row>
    <row r="4" customFormat="false" ht="15" hidden="false" customHeight="false" outlineLevel="0" collapsed="false">
      <c r="A4" s="0" t="s">
        <v>160</v>
      </c>
      <c r="B4" s="4" t="n">
        <f aca="false">DCF_Bear!$B$38</f>
        <v>19.9372907041272</v>
      </c>
      <c r="C4" s="0" t="n">
        <f aca="false">B4/Assumptions!$B$2-1</f>
        <v>-0.420090439088797</v>
      </c>
      <c r="D4" s="4" t="n">
        <f aca="false">Assumptions!$B$24</f>
        <v>0.25</v>
      </c>
      <c r="E4" s="4" t="n">
        <f aca="false">DCF_Bear!$B$43</f>
        <v>20.2746631086567</v>
      </c>
      <c r="F4" s="4" t="n">
        <f aca="false">DCF_Bear!$B$47</f>
        <v>11.7071832272695</v>
      </c>
    </row>
    <row r="5" customFormat="false" ht="15" hidden="false" customHeight="false" outlineLevel="0" collapsed="false">
      <c r="A5" s="0" t="s">
        <v>161</v>
      </c>
      <c r="B5" s="4" t="n">
        <f aca="false">DCF_Base!$B$38</f>
        <v>24.0464403973317</v>
      </c>
      <c r="C5" s="0" t="n">
        <f aca="false">B5/Assumptions!$B$2-1</f>
        <v>-0.300568923870515</v>
      </c>
      <c r="D5" s="4" t="n">
        <f aca="false">Assumptions!$B$38</f>
        <v>0.5</v>
      </c>
      <c r="E5" s="4" t="n">
        <f aca="false">DCF_Base!$B$43</f>
        <v>24.4450629364501</v>
      </c>
      <c r="F5" s="4" t="n">
        <f aca="false">DCF_Base!$B$47</f>
        <v>13.4549167807245</v>
      </c>
    </row>
    <row r="6" customFormat="false" ht="15" hidden="false" customHeight="false" outlineLevel="0" collapsed="false">
      <c r="A6" s="0" t="s">
        <v>162</v>
      </c>
      <c r="B6" s="4" t="n">
        <f aca="false">DCF_Bull!$B$38</f>
        <v>29.308000883631</v>
      </c>
      <c r="C6" s="0" t="n">
        <f aca="false">B6/Assumptions!$B$2-1</f>
        <v>-0.147527606642495</v>
      </c>
      <c r="D6" s="4" t="n">
        <f aca="false">Assumptions!$B$52</f>
        <v>0.25</v>
      </c>
      <c r="E6" s="4" t="n">
        <f aca="false">DCF_Bull!$B$43</f>
        <v>29.7561496719987</v>
      </c>
      <c r="F6" s="4" t="n">
        <f aca="false">DCF_Bull!$B$47</f>
        <v>15.7108808592251</v>
      </c>
    </row>
    <row r="8" customFormat="false" ht="15" hidden="false" customHeight="false" outlineLevel="0" collapsed="false">
      <c r="A8" s="0" t="s">
        <v>163</v>
      </c>
      <c r="B8" s="0" t="n">
        <f aca="false">SUMPRODUCT(B4:B6,D4:D6)</f>
        <v>24.3345430956054</v>
      </c>
    </row>
    <row r="9" customFormat="false" ht="15" hidden="false" customHeight="false" outlineLevel="0" collapsed="false">
      <c r="A9" s="0" t="s">
        <v>164</v>
      </c>
      <c r="B9" s="0" t="n">
        <f aca="false">SUMPRODUCT(E4:E6,D4:D6)</f>
        <v>24.7302346633889</v>
      </c>
    </row>
    <row r="10" customFormat="false" ht="15" hidden="false" customHeight="false" outlineLevel="0" collapsed="false">
      <c r="A10" s="0" t="s">
        <v>165</v>
      </c>
      <c r="B10" s="0" t="n">
        <f aca="false">1-Assumptions!$B$2/B8</f>
        <v>-0.412806472878002</v>
      </c>
    </row>
    <row r="11" customFormat="false" ht="15" hidden="false" customHeight="false" outlineLevel="0" collapsed="false">
      <c r="A11" s="0" t="s">
        <v>166</v>
      </c>
      <c r="B11" s="0" t="n">
        <f aca="false">IF(ABS(B9-B8)&gt;0.01*ABS(B8),(Assumptions!$B$2-B8)/(B9-B8)*100,"n/a")</f>
        <v>2538.70886374078</v>
      </c>
    </row>
    <row r="12" customFormat="false" ht="15" hidden="false" customHeight="false" outlineLevel="0" collapsed="false">
      <c r="A12" s="0" t="s">
        <v>167</v>
      </c>
      <c r="B12" s="0" t="n">
        <f aca="false">SUMPRODUCT(F4:F6,D4:D6)</f>
        <v>13.5819744119859</v>
      </c>
    </row>
    <row r="14" customFormat="false" ht="15" hidden="false" customHeight="false" outlineLevel="0" collapsed="false">
      <c r="A14" s="2" t="s">
        <v>168</v>
      </c>
      <c r="C14" s="0" t="s">
        <v>169</v>
      </c>
    </row>
    <row r="15" customFormat="false" ht="15" hidden="false" customHeight="false" outlineLevel="0" collapsed="false">
      <c r="A15" s="0" t="s">
        <v>170</v>
      </c>
      <c r="B15" s="0" t="n">
        <f aca="false">(SUMPRODUCT(DCF_Base!$C$19:$L$19/(1+$C$15/100)^DCF_Base!$C$4:$L$4)+MAX(0,MIN(IF($C$15&gt;DCF_Base!$B$28,DCF_Base!$L$19*(1+DCF_Base!$B$28/100)/(($C$15-DCF_Base!$B$28)/100),DCF_Base!$L$19*DCF_Base!$B$29),DCF_Base!$L$19*DCF_Base!$B$29))/(1+$C$15/100)^DCF_Base!$L$4+Assumptions!$B$5-Assumptions!$B$4)/Assumptions!$B$3*Assumptions!$B$10</f>
        <v>26.0126536056407</v>
      </c>
      <c r="C15" s="3" t="n">
        <v>9</v>
      </c>
    </row>
    <row r="16" customFormat="false" ht="15" hidden="false" customHeight="false" outlineLevel="0" collapsed="false">
      <c r="A16" s="0" t="s">
        <v>171</v>
      </c>
      <c r="B16" s="0" t="n">
        <f aca="false">(SUMPRODUCT(DCF_Base!$C$19:$L$19/(1+$C$16/100)^DCF_Base!$C$4:$L$4)+MAX(0,MIN(IF($C$16&gt;DCF_Base!$B$28,DCF_Base!$L$19*(1+DCF_Base!$B$28/100)/(($C$16-DCF_Base!$B$28)/100),DCF_Base!$L$19*DCF_Base!$B$29),DCF_Base!$L$19*DCF_Base!$B$29))/(1+$C$16/100)^DCF_Base!$L$4+Assumptions!$B$5-Assumptions!$B$4)/Assumptions!$B$3*Assumptions!$B$10</f>
        <v>24.0464403973317</v>
      </c>
      <c r="C16" s="3" t="n">
        <v>9.7</v>
      </c>
    </row>
    <row r="17" customFormat="false" ht="15" hidden="false" customHeight="false" outlineLevel="0" collapsed="false">
      <c r="A17" s="0" t="s">
        <v>172</v>
      </c>
      <c r="B17" s="0" t="n">
        <f aca="false">(SUMPRODUCT(DCF_Base!$C$19:$L$19/(1+$C$17/100)^DCF_Base!$C$4:$L$4)+MAX(0,MIN(IF($C$17&gt;DCF_Base!$B$28,DCF_Base!$L$19*(1+DCF_Base!$B$28/100)/(($C$17-DCF_Base!$B$28)/100),DCF_Base!$L$19*DCF_Base!$B$29),DCF_Base!$L$19*DCF_Base!$B$29))/(1+$C$17/100)^DCF_Base!$L$4+Assumptions!$B$5-Assumptions!$B$4)/Assumptions!$B$3*Assumptions!$B$10</f>
        <v>23.0419932840943</v>
      </c>
      <c r="C17" s="3" t="n">
        <v>10</v>
      </c>
    </row>
    <row r="18" customFormat="false" ht="15" hidden="false" customHeight="false" outlineLevel="0" collapsed="false">
      <c r="A18" s="0" t="s">
        <v>173</v>
      </c>
      <c r="B18" s="0" t="n">
        <f aca="false">(SUMPRODUCT(DCF_Base!$C$19:$L$19/(1+$C$18/100)^DCF_Base!$C$4:$L$4)+MAX(0,MIN(IF($C$18&gt;DCF_Base!$B$28,DCF_Base!$L$19*(1+DCF_Base!$B$28/100)/(($C$18-DCF_Base!$B$28)/100),DCF_Base!$L$19*DCF_Base!$B$29),DCF_Base!$L$19*DCF_Base!$B$29))/(1+$C$18/100)^DCF_Base!$L$4+Assumptions!$B$5-Assumptions!$B$4)/Assumptions!$B$3*Assumptions!$B$10</f>
        <v>20.2102667940029</v>
      </c>
      <c r="C18" s="3" t="n">
        <v>11</v>
      </c>
    </row>
    <row r="19" customFormat="false" ht="15" hidden="false" customHeight="false" outlineLevel="0" collapsed="false">
      <c r="A19" s="0" t="s">
        <v>174</v>
      </c>
      <c r="B19" s="0" t="n">
        <f aca="false">(SUMPRODUCT(DCF_Base!$C$19:$L$19/(1+$C$19/100)^DCF_Base!$C$4:$L$4)+MAX(0,MIN(IF($C$19&gt;DCF_Base!$B$28,DCF_Base!$L$19*(1+DCF_Base!$B$28/100)/(($C$19-DCF_Base!$B$28)/100),DCF_Base!$L$19*DCF_Base!$B$29),DCF_Base!$L$19*DCF_Base!$B$29))/(1+$C$19/100)^DCF_Base!$L$4+Assumptions!$B$5-Assumptions!$B$4)/Assumptions!$B$3*Assumptions!$B$10</f>
        <v>17.9804040107735</v>
      </c>
      <c r="C19" s="3" t="n">
        <v>12</v>
      </c>
    </row>
    <row r="20" customFormat="false" ht="15" hidden="false" customHeight="false" outlineLevel="0" collapsed="false">
      <c r="A20" s="0" t="s">
        <v>175</v>
      </c>
      <c r="B20" s="0" t="n">
        <f aca="false">(SUMPRODUCT(DCF_Base!$C$19:$L$19/(1+$C$20/100)^DCF_Base!$C$4:$L$4)+MAX(0,MIN(IF($C$20&gt;DCF_Base!$B$28,DCF_Base!$L$19*(1+DCF_Base!$B$28/100)/(($C$20-DCF_Base!$B$28)/100),DCF_Base!$L$19*DCF_Base!$B$29),DCF_Base!$L$19*DCF_Base!$B$29))/(1+$C$20/100)^DCF_Base!$L$4+Assumptions!$B$5-Assumptions!$B$4)/Assumptions!$B$3*Assumptions!$B$10</f>
        <v>13.4549167807245</v>
      </c>
      <c r="C20" s="3" t="n">
        <v>15</v>
      </c>
    </row>
    <row r="22" customFormat="false" ht="15" hidden="false" customHeight="false" outlineLevel="0" collapsed="false">
      <c r="A22" s="2" t="s">
        <v>176</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7.7</v>
      </c>
      <c r="B24" s="0" t="n">
        <f aca="false">(SUMPRODUCT(DCF_Base!$C$19:$L$19/(1+$A$24/100)^DCF_Base!$C$4:$L$4)+MAX(0,MIN(IF($A$24&gt;$B$23,DCF_Base!$L$19*(1+$B$23/100)/(($A$24-$B$23)/100),DCF_Base!$L$19*DCF_Base!$B$29),DCF_Base!$L$19*DCF_Base!$B$29))/(1+$A$24/100)^DCF_Base!$L$4+Assumptions!$B$5-Assumptions!$B$4)/Assumptions!$B$3*Assumptions!$B$10</f>
        <v>28.6126111078693</v>
      </c>
      <c r="C24" s="0" t="n">
        <f aca="false">(SUMPRODUCT(DCF_Base!$C$19:$L$19/(1+$A$24/100)^DCF_Base!$C$4:$L$4)+MAX(0,MIN(IF($A$24&gt;$C$23,DCF_Base!$L$19*(1+$C$23/100)/(($A$24-$C$23)/100),DCF_Base!$L$19*DCF_Base!$B$29),DCF_Base!$L$19*DCF_Base!$B$29))/(1+$A$24/100)^DCF_Base!$L$4+Assumptions!$B$5-Assumptions!$B$4)/Assumptions!$B$3*Assumptions!$B$10</f>
        <v>28.6126111078693</v>
      </c>
      <c r="D24" s="0" t="n">
        <f aca="false">(SUMPRODUCT(DCF_Base!$C$19:$L$19/(1+$A$24/100)^DCF_Base!$C$4:$L$4)+MAX(0,MIN(IF($A$24&gt;$D$23,DCF_Base!$L$19*(1+$D$23/100)/(($A$24-$D$23)/100),DCF_Base!$L$19*DCF_Base!$B$29),DCF_Base!$L$19*DCF_Base!$B$29))/(1+$A$24/100)^DCF_Base!$L$4+Assumptions!$B$5-Assumptions!$B$4)/Assumptions!$B$3*Assumptions!$B$10</f>
        <v>28.6126111078693</v>
      </c>
      <c r="E24" s="0" t="n">
        <f aca="false">(SUMPRODUCT(DCF_Base!$C$19:$L$19/(1+$A$24/100)^DCF_Base!$C$4:$L$4)+MAX(0,MIN(IF($A$24&gt;$E$23,DCF_Base!$L$19*(1+$E$23/100)/(($A$24-$E$23)/100),DCF_Base!$L$19*DCF_Base!$B$29),DCF_Base!$L$19*DCF_Base!$B$29))/(1+$A$24/100)^DCF_Base!$L$4+Assumptions!$B$5-Assumptions!$B$4)/Assumptions!$B$3*Assumptions!$B$10</f>
        <v>28.6126111078693</v>
      </c>
      <c r="F24" s="0" t="n">
        <f aca="false">(SUMPRODUCT(DCF_Base!$C$19:$L$19/(1+$A$24/100)^DCF_Base!$C$4:$L$4)+MAX(0,MIN(IF($A$24&gt;$F$23,DCF_Base!$L$19*(1+$F$23/100)/(($A$24-$F$23)/100),DCF_Base!$L$19*DCF_Base!$B$29),DCF_Base!$L$19*DCF_Base!$B$29))/(1+$A$24/100)^DCF_Base!$L$4+Assumptions!$B$5-Assumptions!$B$4)/Assumptions!$B$3*Assumptions!$B$10</f>
        <v>28.6126111078693</v>
      </c>
    </row>
    <row r="25" customFormat="false" ht="15" hidden="false" customHeight="false" outlineLevel="0" collapsed="false">
      <c r="A25" s="3" t="n">
        <v>8.7</v>
      </c>
      <c r="B25" s="0" t="n">
        <f aca="false">(SUMPRODUCT(DCF_Base!$C$19:$L$19/(1+$A$25/100)^DCF_Base!$C$4:$L$4)+MAX(0,MIN(IF($A$25&gt;$B$23,DCF_Base!$L$19*(1+$B$23/100)/(($A$25-$B$23)/100),DCF_Base!$L$19*DCF_Base!$B$29),DCF_Base!$L$19*DCF_Base!$B$29))/(1+$A$25/100)^DCF_Base!$L$4+Assumptions!$B$5-Assumptions!$B$4)/Assumptions!$B$3*Assumptions!$B$10</f>
        <v>25.6908059799367</v>
      </c>
      <c r="C25" s="0" t="n">
        <f aca="false">(SUMPRODUCT(DCF_Base!$C$19:$L$19/(1+$A$25/100)^DCF_Base!$C$4:$L$4)+MAX(0,MIN(IF($A$25&gt;$C$23,DCF_Base!$L$19*(1+$C$23/100)/(($A$25-$C$23)/100),DCF_Base!$L$19*DCF_Base!$B$29),DCF_Base!$L$19*DCF_Base!$B$29))/(1+$A$25/100)^DCF_Base!$L$4+Assumptions!$B$5-Assumptions!$B$4)/Assumptions!$B$3*Assumptions!$B$10</f>
        <v>26.5850836323628</v>
      </c>
      <c r="D25" s="0" t="n">
        <f aca="false">(SUMPRODUCT(DCF_Base!$C$19:$L$19/(1+$A$25/100)^DCF_Base!$C$4:$L$4)+MAX(0,MIN(IF($A$25&gt;$D$23,DCF_Base!$L$19*(1+$D$23/100)/(($A$25-$D$23)/100),DCF_Base!$L$19*DCF_Base!$B$29),DCF_Base!$L$19*DCF_Base!$B$29))/(1+$A$25/100)^DCF_Base!$L$4+Assumptions!$B$5-Assumptions!$B$4)/Assumptions!$B$3*Assumptions!$B$10</f>
        <v>26.5850836323628</v>
      </c>
      <c r="E25" s="0" t="n">
        <f aca="false">(SUMPRODUCT(DCF_Base!$C$19:$L$19/(1+$A$25/100)^DCF_Base!$C$4:$L$4)+MAX(0,MIN(IF($A$25&gt;$E$23,DCF_Base!$L$19*(1+$E$23/100)/(($A$25-$E$23)/100),DCF_Base!$L$19*DCF_Base!$B$29),DCF_Base!$L$19*DCF_Base!$B$29))/(1+$A$25/100)^DCF_Base!$L$4+Assumptions!$B$5-Assumptions!$B$4)/Assumptions!$B$3*Assumptions!$B$10</f>
        <v>26.5850836323628</v>
      </c>
      <c r="F25" s="0" t="n">
        <f aca="false">(SUMPRODUCT(DCF_Base!$C$19:$L$19/(1+$A$25/100)^DCF_Base!$C$4:$L$4)+MAX(0,MIN(IF($A$25&gt;$F$23,DCF_Base!$L$19*(1+$F$23/100)/(($A$25-$F$23)/100),DCF_Base!$L$19*DCF_Base!$B$29),DCF_Base!$L$19*DCF_Base!$B$29))/(1+$A$25/100)^DCF_Base!$L$4+Assumptions!$B$5-Assumptions!$B$4)/Assumptions!$B$3*Assumptions!$B$10</f>
        <v>26.5850836323628</v>
      </c>
    </row>
    <row r="26" customFormat="false" ht="15" hidden="false" customHeight="false" outlineLevel="0" collapsed="false">
      <c r="A26" s="3" t="n">
        <v>9.7</v>
      </c>
      <c r="B26" s="0" t="n">
        <f aca="false">(SUMPRODUCT(DCF_Base!$C$19:$L$19/(1+$A$26/100)^DCF_Base!$C$4:$L$4)+MAX(0,MIN(IF($A$26&gt;$B$23,DCF_Base!$L$19*(1+$B$23/100)/(($A$26-$B$23)/100),DCF_Base!$L$19*DCF_Base!$B$29),DCF_Base!$L$19*DCF_Base!$B$29))/(1+$A$26/100)^DCF_Base!$L$4+Assumptions!$B$5-Assumptions!$B$4)/Assumptions!$B$3*Assumptions!$B$10</f>
        <v>22.3669367097235</v>
      </c>
      <c r="C26" s="0" t="n">
        <f aca="false">(SUMPRODUCT(DCF_Base!$C$19:$L$19/(1+$A$26/100)^DCF_Base!$C$4:$L$4)+MAX(0,MIN(IF($A$26&gt;$C$23,DCF_Base!$L$19*(1+$C$23/100)/(($A$26-$C$23)/100),DCF_Base!$L$19*DCF_Base!$B$29),DCF_Base!$L$19*DCF_Base!$B$29))/(1+$A$26/100)^DCF_Base!$L$4+Assumptions!$B$5-Assumptions!$B$4)/Assumptions!$B$3*Assumptions!$B$10</f>
        <v>23.1521592130208</v>
      </c>
      <c r="D26" s="0" t="n">
        <f aca="false">(SUMPRODUCT(DCF_Base!$C$19:$L$19/(1+$A$26/100)^DCF_Base!$C$4:$L$4)+MAX(0,MIN(IF($A$26&gt;$D$23,DCF_Base!$L$19*(1+$D$23/100)/(($A$26-$D$23)/100),DCF_Base!$L$19*DCF_Base!$B$29),DCF_Base!$L$19*DCF_Base!$B$29))/(1+$A$26/100)^DCF_Base!$L$4+Assumptions!$B$5-Assumptions!$B$4)/Assumptions!$B$3*Assumptions!$B$10</f>
        <v>24.0464403973317</v>
      </c>
      <c r="E26" s="0" t="n">
        <f aca="false">(SUMPRODUCT(DCF_Base!$C$19:$L$19/(1+$A$26/100)^DCF_Base!$C$4:$L$4)+MAX(0,MIN(IF($A$26&gt;$E$23,DCF_Base!$L$19*(1+$E$23/100)/(($A$26-$E$23)/100),DCF_Base!$L$19*DCF_Base!$B$29),DCF_Base!$L$19*DCF_Base!$B$29))/(1+$A$26/100)^DCF_Base!$L$4+Assumptions!$B$5-Assumptions!$B$4)/Assumptions!$B$3*Assumptions!$B$10</f>
        <v>24.7369200355371</v>
      </c>
      <c r="F26" s="0" t="n">
        <f aca="false">(SUMPRODUCT(DCF_Base!$C$19:$L$19/(1+$A$26/100)^DCF_Base!$C$4:$L$4)+MAX(0,MIN(IF($A$26&gt;$F$23,DCF_Base!$L$19*(1+$F$23/100)/(($A$26-$F$23)/100),DCF_Base!$L$19*DCF_Base!$B$29),DCF_Base!$L$19*DCF_Base!$B$29))/(1+$A$26/100)^DCF_Base!$L$4+Assumptions!$B$5-Assumptions!$B$4)/Assumptions!$B$3*Assumptions!$B$10</f>
        <v>24.7369200355371</v>
      </c>
    </row>
    <row r="27" customFormat="false" ht="15" hidden="false" customHeight="false" outlineLevel="0" collapsed="false">
      <c r="A27" s="3" t="n">
        <v>10.7</v>
      </c>
      <c r="B27" s="0" t="n">
        <f aca="false">(SUMPRODUCT(DCF_Base!$C$19:$L$19/(1+$A$27/100)^DCF_Base!$C$4:$L$4)+MAX(0,MIN(IF($A$27&gt;$B$23,DCF_Base!$L$19*(1+$B$23/100)/(($A$27-$B$23)/100),DCF_Base!$L$19*DCF_Base!$B$29),DCF_Base!$L$19*DCF_Base!$B$29))/(1+$A$27/100)^DCF_Base!$L$4+Assumptions!$B$5-Assumptions!$B$4)/Assumptions!$B$3*Assumptions!$B$10</f>
        <v>19.77523677803</v>
      </c>
      <c r="C27" s="0" t="n">
        <f aca="false">(SUMPRODUCT(DCF_Base!$C$19:$L$19/(1+$A$27/100)^DCF_Base!$C$4:$L$4)+MAX(0,MIN(IF($A$27&gt;$C$23,DCF_Base!$L$19*(1+$C$23/100)/(($A$27-$C$23)/100),DCF_Base!$L$19*DCF_Base!$B$29),DCF_Base!$L$19*DCF_Base!$B$29))/(1+$A$27/100)^DCF_Base!$L$4+Assumptions!$B$5-Assumptions!$B$4)/Assumptions!$B$3*Assumptions!$B$10</f>
        <v>20.3460858445209</v>
      </c>
      <c r="D27" s="0" t="n">
        <f aca="false">(SUMPRODUCT(DCF_Base!$C$19:$L$19/(1+$A$27/100)^DCF_Base!$C$4:$L$4)+MAX(0,MIN(IF($A$27&gt;$D$23,DCF_Base!$L$19*(1+$D$23/100)/(($A$27-$D$23)/100),DCF_Base!$L$19*DCF_Base!$B$29),DCF_Base!$L$19*DCF_Base!$B$29))/(1+$A$27/100)^DCF_Base!$L$4+Assumptions!$B$5-Assumptions!$B$4)/Assumptions!$B$3*Assumptions!$B$10</f>
        <v>20.9865506508278</v>
      </c>
      <c r="E27" s="0" t="n">
        <f aca="false">(SUMPRODUCT(DCF_Base!$C$19:$L$19/(1+$A$27/100)^DCF_Base!$C$4:$L$4)+MAX(0,MIN(IF($A$27&gt;$E$23,DCF_Base!$L$19*(1+$E$23/100)/(($A$27-$E$23)/100),DCF_Base!$L$19*DCF_Base!$B$29),DCF_Base!$L$19*DCF_Base!$B$29))/(1+$A$27/100)^DCF_Base!$L$4+Assumptions!$B$5-Assumptions!$B$4)/Assumptions!$B$3*Assumptions!$B$10</f>
        <v>21.710192704707</v>
      </c>
      <c r="F27" s="0" t="n">
        <f aca="false">(SUMPRODUCT(DCF_Base!$C$19:$L$19/(1+$A$27/100)^DCF_Base!$C$4:$L$4)+MAX(0,MIN(IF($A$27&gt;$F$23,DCF_Base!$L$19*(1+$F$23/100)/(($A$27-$F$23)/100),DCF_Base!$L$19*DCF_Base!$B$29),DCF_Base!$L$19*DCF_Base!$B$29))/(1+$A$27/100)^DCF_Base!$L$4+Assumptions!$B$5-Assumptions!$B$4)/Assumptions!$B$3*Assumptions!$B$10</f>
        <v>22.5343405994028</v>
      </c>
    </row>
    <row r="28" customFormat="false" ht="15" hidden="false" customHeight="false" outlineLevel="0" collapsed="false">
      <c r="A28" s="3" t="n">
        <v>11.7</v>
      </c>
      <c r="B28" s="0" t="n">
        <f aca="false">(SUMPRODUCT(DCF_Base!$C$19:$L$19/(1+$A$28/100)^DCF_Base!$C$4:$L$4)+MAX(0,MIN(IF($A$28&gt;$B$23,DCF_Base!$L$19*(1+$B$23/100)/(($A$28-$B$23)/100),DCF_Base!$L$19*DCF_Base!$B$29),DCF_Base!$L$19*DCF_Base!$B$29))/(1+$A$28/100)^DCF_Base!$L$4+Assumptions!$B$5-Assumptions!$B$4)/Assumptions!$B$3*Assumptions!$B$10</f>
        <v>17.6997758904983</v>
      </c>
      <c r="C28" s="0" t="n">
        <f aca="false">(SUMPRODUCT(DCF_Base!$C$19:$L$19/(1+$A$28/100)^DCF_Base!$C$4:$L$4)+MAX(0,MIN(IF($A$28&gt;$C$23,DCF_Base!$L$19*(1+$C$23/100)/(($A$28-$C$23)/100),DCF_Base!$L$19*DCF_Base!$B$29),DCF_Base!$L$19*DCF_Base!$B$29))/(1+$A$28/100)^DCF_Base!$L$4+Assumptions!$B$5-Assumptions!$B$4)/Assumptions!$B$3*Assumptions!$B$10</f>
        <v>18.1256747714757</v>
      </c>
      <c r="D28" s="0" t="n">
        <f aca="false">(SUMPRODUCT(DCF_Base!$C$19:$L$19/(1+$A$28/100)^DCF_Base!$C$4:$L$4)+MAX(0,MIN(IF($A$28&gt;$D$23,DCF_Base!$L$19*(1+$D$23/100)/(($A$28-$D$23)/100),DCF_Base!$L$19*DCF_Base!$B$29),DCF_Base!$L$19*DCF_Base!$B$29))/(1+$A$28/100)^DCF_Base!$L$4+Assumptions!$B$5-Assumptions!$B$4)/Assumptions!$B$3*Assumptions!$B$10</f>
        <v>18.597867009081</v>
      </c>
      <c r="E28" s="0" t="n">
        <f aca="false">(SUMPRODUCT(DCF_Base!$C$19:$L$19/(1+$A$28/100)^DCF_Base!$C$4:$L$4)+MAX(0,MIN(IF($A$28&gt;$E$23,DCF_Base!$L$19*(1+$E$23/100)/(($A$28-$E$23)/100),DCF_Base!$L$19*DCF_Base!$B$29),DCF_Base!$L$19*DCF_Base!$B$29))/(1+$A$28/100)^DCF_Base!$L$4+Assumptions!$B$5-Assumptions!$B$4)/Assumptions!$B$3*Assumptions!$B$10</f>
        <v>19.1243342165261</v>
      </c>
      <c r="F28" s="0" t="n">
        <f aca="false">(SUMPRODUCT(DCF_Base!$C$19:$L$19/(1+$A$28/100)^DCF_Base!$C$4:$L$4)+MAX(0,MIN(IF($A$28&gt;$F$23,DCF_Base!$L$19*(1+$F$23/100)/(($A$28-$F$23)/100),DCF_Base!$L$19*DCF_Base!$B$29),DCF_Base!$L$19*DCF_Base!$B$29))/(1+$A$28/100)^DCF_Base!$L$4+Assumptions!$B$5-Assumptions!$B$4)/Assumptions!$B$3*Assumptions!$B$10</f>
        <v>19.7150047419522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2026-09-25T06:04:35Z</dcterms:created>
  <dc:creator>openpyxl</dc:creator>
  <dc:description/>
  <dc:language>en-NZ</dc:language>
  <cp:lastModifiedBy/>
  <dcterms:modified xsi:type="dcterms:W3CDTF">2026-09-25T06:04:35Z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