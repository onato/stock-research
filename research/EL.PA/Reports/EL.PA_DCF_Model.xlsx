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<sst xmlns="http://schemas.openxmlformats.org/spreadsheetml/2006/main" count="365" uniqueCount="174">
  <si>
    <t xml:space="preserve">Ticker</t>
  </si>
  <si>
    <t xml:space="preserve">EL.PA</t>
  </si>
  <si>
    <t xml:space="preserve">Company</t>
  </si>
  <si>
    <t xml:space="preserve">EssilorLuxottica SA</t>
  </si>
  <si>
    <t xml:space="preserve">Valuation date</t>
  </si>
  <si>
    <t xml:space="preserve">2026-10-26</t>
  </si>
  <si>
    <t xml:space="preserve">Current price</t>
  </si>
  <si>
    <t xml:space="preserve">Price as of</t>
  </si>
  <si>
    <t xml:space="preserve">2026-10-23T15:35:16Z regular close (Euronext Paris); three sessions after the Q3 2026 print (+11% on the day), not an after-hours quote</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</si>
  <si>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</si>
  <si>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</si>
  <si>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</si>
  <si>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</si>
  <si>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</si>
  <si>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</si>
  <si>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</si>
  <si>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</si>
  <si>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</si>
  <si>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</si>
  <si>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</si>
  <si>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</si>
  <si>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2026-10-25T12:47:20Z</t>
  </si>
  <si>
    <t xml:space="preserve">Drivers file</t>
  </si>
  <si>
    <t xml:space="preserve">EL.PA_Drivers.json</t>
  </si>
  <si>
    <t xml:space="preserve">Convention</t>
  </si>
  <si>
    <t xml:space="preserve">Percents stored as percents; formulas divide by 100. Blue = input, green = link, black = formula.</t>
  </si>
  <si>
    <t xml:space="preserve">Methodology</t>
  </si>
  <si>
    <t xml:space="preserve">summary: Value the recurring vision-care cash flows on a strict owner basis: SBC expensed, the full lease cash cost charged inside EBITDA (lease liabilities therefore excluded from net debt), minorities deducted at an earnings multiple, cash tax on an EBIT that excludes non-deductible PPA amortisation, and working capital charged against growth. Discount in EUR at a single 7.5% WACC; let the three scenarios and their weights carry the tariff, wearables and regulatory risk rather than the discount rate. Terminal value is the lower of Gordon and 20x FCF (16x bear). The market at ~36x trailing EPS has been paying for the AI-glasses option; the base case prices the utility and lets the bull scenario carry the option.
key_risks_to_valuation: Meta concentration: the fastest-growing product line depends on one partner's hardware roadmap, AI strategy and willingness to keep EL as exclusive frame/lens/retail partner; Meta's ~3% stake in EL adds governance ambiguity; Wearables deceleration already visible (near-100% to +20% YoY in Q3 2026); European privacy regulators (EDPB, Norway, Italy, Austria) and Australian workplace bans could cap adoption; US tariffs and USD weakness: ~65% of adjusted operating profit is USD-linked; FY2025 adjusted operating margin fell 100bp on tariffs and wearables mix, and the base case assumes most of that reverses; Antitrust/competition enforcement on a near-dominant integrated position (French fines EUR206M upheld, FTC and EU-country investigations open) could force commercial changes in lens distribution or retail; M&amp;A-led med-tech build-out (Heidelberg, Optegra, Signifeye, Top Charoen, Supreme) carries integration and returns risk and is funded with debt while EUR1.7bn dividends and ~EUR1bn buybacks continue; ND/EBITDA rose to 2.0x at June 2026; Lease treatment: valuation assumes the 3.85%-of-revenue lease cost is permanent operating cost; if store-led DTC grows faster than revenue the bear's 4% is closer to the truth; NCI valued at 20x earnings (EUR2.8bn) rather than book (EUR0.7bn): roughly EUR4.5/share of judgment</t>
  </si>
  <si>
    <t xml:space="preserve">Data sources</t>
  </si>
  <si>
    <t xml:space="preserve">price: Yahoo Finance chart API at inputs.price_as_of (regular close, Euronext Paris); 52-week range 138.3-323.8
financials: EL.PA_Metrics.csv / core_metrics (FY2018-FY2025 annual, H1 2019-H1 2026 interim, EUR millions, from the Universal Registration Documents and Interim Financial Reports); H1 2026 Interim Financial Report for the 2026-06-30 net debt (note 15.3), share count (note 14) and diluted share data (note 8); FY2025 URD for lease principal (970), lease interest (126), ROU depreciation (993), PPA amortisation (830) and the adjusted P&amp;L reconciliation; Q3 2026 revenue (EUR7.49bn, +7.2% cFX) from the 2026-10-20 release as summarised in EL.PA_Analysis.json
qualitative: EL.PA_Analysis.json (bull/bear cases, growth drivers, guidance, recent developments) and the Outlook section of the H1 2026 Interim Financial Report (p.23: 2026-2030 'solid growth' in revenue with 'broadly aligned' adjusted operating profit growth, at constant FX)</t>
  </si>
  <si>
    <t xml:space="preserve">Scenario narrative: bear</t>
  </si>
  <si>
    <t xml:space="preserve">The axes are (1) wearables decelerating to zero under privacy regulation and Meta concentration risk, (2) tariffs and EUR strength as permanent margin and translation headwinds (65% of adjusted operating profit is USD-linked), (3) antitrust enforcement on a near-dominant position, and (4) a consumer slowdown hitting the discretionary sun/fashion-frame half of the business. None threatens solvency (ND/EBITDA 2.0x incl. leases, 75% fixed-rate debt), so the bear is a de-rating to a 3%-growth 23%-EBITDA-margin business, not distress.</t>
  </si>
  <si>
    <t xml:space="preserve">Scenario narrative: base</t>
  </si>
  <si>
    <t xml:space="preserve">EssilorLuxottica is a vertically integrated vision-care utility with a consumer-electronics option attached. The base case pays for the utility -- recurring prescription demand, 18,000 stores, licensed-brand frames -- growing mid-single digits in EUR, with wearables and med-tech adding a point or two of growth that fades over the decade. Margin recovers to the pre-tariff 2022-24 level and stops; management's five-year outlook ('adjusted operating profit growth broadly aligned with revenue') promises nothing more. No net-cash, so no interest-income strip; leases are an operating cost and lease liabilities are not debt.</t>
  </si>
  <si>
    <t xml:space="preserve">Scenario narrative: bull</t>
  </si>
  <si>
    <t xml:space="preserve">The axes are (1) AI glasses becoming a mass category rather than a fad -- unit growth re-accelerating off the $299 tier and the prescription-first Optics line, (2) myopia management (Stellest, +22-24% growth) scaling in the US post-FDA, (3) med-tech/clinic roll-up creating a third leg, and (4) operating leverage restoring the 19-20% adjusted operating margin ambition. All four are independent; the bull case needs most of them.</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</si>
  <si>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</si>
  <si>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</si>
  <si>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</si>
  <si>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</si>
  <si>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</si>
  <si>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</si>
  <si>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</si>
  <si>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</si>
  <si>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</si>
  <si>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</si>
  <si>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</si>
  <si>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</si>
  <si>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</si>
  <si>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</si>
  <si>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</si>
  <si>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</si>
  <si>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</si>
  <si>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</si>
  <si>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</si>
  <si>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</si>
  <si>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</si>
  <si>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</si>
  <si>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</si>
  <si>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</si>
  <si>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</si>
  <si>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</si>
  <si>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</si>
  <si>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</si>
  <si>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AdjustedEBITMargin</t>
  </si>
  <si>
    <t xml:space="preserve">BasicEPS</t>
  </si>
  <si>
    <t xml:space="preserve">DilutedEPS</t>
  </si>
  <si>
    <t xml:space="preserve">LeasePrincipalPaid</t>
  </si>
  <si>
    <t xml:space="preserve">NetIncomeInclNCI</t>
  </si>
  <si>
    <t xml:space="preserve">SegmentRevenueAPAC</t>
  </si>
  <si>
    <t xml:space="preserve">SegmentRevenueEMEA</t>
  </si>
  <si>
    <t xml:space="preserve">SegmentRevenueLatinAmerica</t>
  </si>
  <si>
    <t xml:space="preserve">SegmentRevenueNorthAmerica</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</si>
  <si>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</si>
  <si>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</si>
  <si>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</si>
  <si>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</si>
  <si>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</si>
  <si>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</si>
  <si>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</si>
  <si>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</si>
  <si>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</si>
  <si>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</si>
  <si>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</si>
  <si>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</si>
  <si>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</si>
  <si>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</si>
  <si>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</si>
  <si>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</si>
  <si>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</si>
  <si>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</si>
  <si>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</si>
  <si>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</si>
  <si>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</si>
  <si>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</si>
  <si>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</si>
  <si>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</si>
  <si>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</si>
  <si>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</si>
  <si>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</si>
  <si>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</si>
  <si>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</si>
  <si>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</si>
  <si>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</si>
  <si>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</si>
  <si>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</si>
  <si>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</si>
  <si>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</si>
  <si>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</si>
  <si>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</si>
  <si>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</si>
  <si>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</si>
  <si>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</si>
  <si>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</si>
  <si>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</si>
  <si>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</si>
  <si>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</si>
  <si>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</si>
  <si>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</si>
  <si>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EL.PA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</si>
  <si>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</si>
  <si>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</si>
  <si>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</si>
  <si>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</si>
  <si>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</si>
  <si>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</si>
  <si>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</si>
  <si>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</si>
  <si>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</si>
  <si>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</si>
  <si>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</si>
  <si>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</si>
  <si>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</si>
  <si>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</si>
  <si>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</si>
  <si>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</si>
  <si>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</si>
  <si>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</si>
  <si>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</si>
  <si>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</si>
  <si>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</si>
  <si>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</si>
  <si>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</si>
  <si>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</si>
  <si>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</si>
  <si>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</si>
  <si>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</si>
  <si>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</si>
  <si>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</si>
  <si>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</si>
  <si>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EL.PA owner-FCF component DCF: base case (millions, EUR)</t>
  </si>
  <si>
    <t xml:space="preserve">EL.PA owner-FCF component DCF: bull case (millions, EUR)</t>
  </si>
  <si>
    <t xml:space="preserve">EL.PA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</si>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</sst>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181.2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c r="AL1" s="2" t="s">
        <v>72</v>
      </c>
      <c r="AM1" s="2" t="s">
        <v>73</v>
      </c>
    </row>
    <row r="2" customFormat="false" ht="15" hidden="false" customHeight="false" outlineLevel="0" collapsed="false">
      <c r="A2" s="0" t="s">
        <v>74</v>
      </c>
      <c r="B2" s="0" t="n">
        <v>10833</v>
      </c>
      <c r="C2" s="0" t="n">
        <v>3961</v>
      </c>
      <c r="D2" s="0" t="n">
        <v>6872</v>
      </c>
      <c r="E2" s="0" t="n">
        <v>63.4</v>
      </c>
      <c r="F2" s="0" t="n">
        <v>1399</v>
      </c>
      <c r="G2" s="0" t="n">
        <v>12.9</v>
      </c>
      <c r="H2" s="0" t="n">
        <v>2618</v>
      </c>
      <c r="I2" s="0" t="n">
        <v>1083</v>
      </c>
      <c r="J2" s="0" t="n">
        <v>10</v>
      </c>
      <c r="K2" s="0" t="n">
        <v>4.07</v>
      </c>
      <c r="L2" s="0" t="n">
        <v>2359</v>
      </c>
      <c r="M2" s="0" t="n">
        <v>710</v>
      </c>
      <c r="N2" s="0" t="n">
        <v>1649</v>
      </c>
      <c r="O2" s="0" t="n">
        <v>32899</v>
      </c>
      <c r="P2" s="0" t="n">
        <v>48398</v>
      </c>
      <c r="Q2" s="0" t="n">
        <v>14995</v>
      </c>
      <c r="R2" s="0" t="n">
        <v>3740</v>
      </c>
      <c r="S2" s="0" t="n">
        <v>1829</v>
      </c>
      <c r="T2" s="0" t="n">
        <v>266.2</v>
      </c>
      <c r="U2" s="0" t="n">
        <v>76</v>
      </c>
      <c r="AA2" s="0" t="s">
        <v>17</v>
      </c>
      <c r="AB2" s="0" t="s">
        <v>14</v>
      </c>
      <c r="AE2" s="0" t="n">
        <v>4.16</v>
      </c>
      <c r="AF2" s="0" t="n">
        <v>4.07</v>
      </c>
      <c r="AG2" s="0" t="n">
        <v>455</v>
      </c>
      <c r="AH2" s="0" t="n">
        <v>1150</v>
      </c>
      <c r="AM2" s="0" t="n">
        <v>33403</v>
      </c>
    </row>
    <row r="3" customFormat="false" ht="15" hidden="false" customHeight="false" outlineLevel="0" collapsed="false">
      <c r="A3" s="0" t="s">
        <v>75</v>
      </c>
      <c r="B3" s="0" t="n">
        <v>17390</v>
      </c>
      <c r="C3" s="0" t="n">
        <v>6573</v>
      </c>
      <c r="D3" s="0" t="n">
        <v>10817</v>
      </c>
      <c r="E3" s="0" t="n">
        <v>62.2</v>
      </c>
      <c r="F3" s="0" t="n">
        <v>1678</v>
      </c>
      <c r="G3" s="0" t="n">
        <v>9.6</v>
      </c>
      <c r="H3" s="0" t="n">
        <v>3799</v>
      </c>
      <c r="I3" s="0" t="n">
        <v>1077</v>
      </c>
      <c r="J3" s="0" t="n">
        <v>6.2</v>
      </c>
      <c r="K3" s="0" t="n">
        <v>2.44</v>
      </c>
      <c r="L3" s="0" t="n">
        <v>3299</v>
      </c>
      <c r="M3" s="0" t="n">
        <v>903</v>
      </c>
      <c r="N3" s="0" t="n">
        <v>2396</v>
      </c>
      <c r="O3" s="0" t="n">
        <v>34796</v>
      </c>
      <c r="P3" s="0" t="n">
        <v>52583</v>
      </c>
      <c r="Q3" s="0" t="n">
        <v>17251</v>
      </c>
      <c r="R3" s="0" t="n">
        <v>7267</v>
      </c>
      <c r="S3" s="0" t="n">
        <v>4836</v>
      </c>
      <c r="T3" s="0" t="n">
        <v>441.1</v>
      </c>
      <c r="U3" s="0" t="n">
        <v>154</v>
      </c>
      <c r="AA3" s="0" t="s">
        <v>17</v>
      </c>
      <c r="AB3" s="0" t="s">
        <v>14</v>
      </c>
      <c r="AC3" s="0" t="n">
        <v>2812</v>
      </c>
      <c r="AD3" s="0" t="n">
        <v>16.2</v>
      </c>
      <c r="AE3" s="0" t="n">
        <v>2.48</v>
      </c>
      <c r="AF3" s="0" t="n">
        <v>2.44</v>
      </c>
      <c r="AG3" s="0" t="n">
        <v>571</v>
      </c>
      <c r="AH3" s="0" t="n">
        <v>1185</v>
      </c>
      <c r="AL3" s="0" t="n">
        <v>9154</v>
      </c>
      <c r="AM3" s="0" t="n">
        <v>35332</v>
      </c>
    </row>
    <row r="4" customFormat="false" ht="15" hidden="false" customHeight="false" outlineLevel="0" collapsed="false">
      <c r="A4" s="0" t="s">
        <v>76</v>
      </c>
      <c r="B4" s="0" t="n">
        <v>14429</v>
      </c>
      <c r="C4" s="0" t="n">
        <v>6242</v>
      </c>
      <c r="D4" s="0" t="n">
        <v>8187</v>
      </c>
      <c r="E4" s="0" t="n">
        <v>56.7</v>
      </c>
      <c r="F4" s="0" t="n">
        <v>452</v>
      </c>
      <c r="G4" s="0" t="n">
        <v>3.1</v>
      </c>
      <c r="H4" s="0" t="n">
        <v>2607</v>
      </c>
      <c r="I4" s="0" t="n">
        <v>85</v>
      </c>
      <c r="J4" s="0" t="n">
        <v>0.6</v>
      </c>
      <c r="K4" s="0" t="n">
        <v>0.19</v>
      </c>
      <c r="L4" s="0" t="n">
        <v>2953</v>
      </c>
      <c r="M4" s="0" t="n">
        <v>650</v>
      </c>
      <c r="N4" s="0" t="n">
        <v>2303</v>
      </c>
      <c r="O4" s="0" t="n">
        <v>32268</v>
      </c>
      <c r="P4" s="0" t="n">
        <v>52318</v>
      </c>
      <c r="Q4" s="0" t="n">
        <v>19520</v>
      </c>
      <c r="R4" s="0" t="n">
        <v>9957</v>
      </c>
      <c r="S4" s="0" t="n">
        <v>8683</v>
      </c>
      <c r="T4" s="0" t="n">
        <v>439</v>
      </c>
      <c r="U4" s="0" t="n">
        <v>156</v>
      </c>
      <c r="AA4" s="0" t="s">
        <v>17</v>
      </c>
      <c r="AB4" s="0" t="s">
        <v>14</v>
      </c>
      <c r="AC4" s="0" t="n">
        <v>1374</v>
      </c>
      <c r="AD4" s="0" t="n">
        <v>9.5</v>
      </c>
      <c r="AE4" s="0" t="n">
        <v>0.19</v>
      </c>
      <c r="AF4" s="0" t="n">
        <v>0.19</v>
      </c>
      <c r="AG4" s="0" t="n">
        <v>461</v>
      </c>
      <c r="AH4" s="0" t="n">
        <v>149</v>
      </c>
      <c r="AL4" s="0" t="n">
        <v>7901</v>
      </c>
      <c r="AM4" s="0" t="n">
        <v>32798</v>
      </c>
    </row>
    <row r="5" customFormat="false" ht="15" hidden="false" customHeight="false" outlineLevel="0" collapsed="false">
      <c r="A5" s="0" t="s">
        <v>77</v>
      </c>
      <c r="B5" s="0" t="n">
        <v>19820</v>
      </c>
      <c r="C5" s="0" t="n">
        <v>7589</v>
      </c>
      <c r="D5" s="0" t="n">
        <v>12231</v>
      </c>
      <c r="E5" s="0" t="n">
        <v>61.7</v>
      </c>
      <c r="F5" s="0" t="n">
        <v>2326</v>
      </c>
      <c r="G5" s="0" t="n">
        <v>11.7</v>
      </c>
      <c r="H5" s="0" t="n">
        <v>4787</v>
      </c>
      <c r="I5" s="0" t="n">
        <v>1463</v>
      </c>
      <c r="J5" s="0" t="n">
        <v>7.4</v>
      </c>
      <c r="K5" s="0" t="n">
        <v>3.28</v>
      </c>
      <c r="L5" s="0" t="n">
        <v>4545</v>
      </c>
      <c r="M5" s="0" t="n">
        <v>1030</v>
      </c>
      <c r="N5" s="0" t="n">
        <v>3515</v>
      </c>
      <c r="O5" s="0" t="n">
        <v>35186</v>
      </c>
      <c r="P5" s="0" t="n">
        <v>59428</v>
      </c>
      <c r="Q5" s="0" t="n">
        <v>23431</v>
      </c>
      <c r="R5" s="0" t="n">
        <v>9949</v>
      </c>
      <c r="S5" s="0" t="n">
        <v>3293</v>
      </c>
      <c r="T5" s="0" t="n">
        <v>445.5</v>
      </c>
      <c r="U5" s="0" t="n">
        <v>160</v>
      </c>
      <c r="AA5" s="0" t="s">
        <v>17</v>
      </c>
      <c r="AB5" s="0" t="s">
        <v>14</v>
      </c>
      <c r="AC5" s="0" t="n">
        <v>3279</v>
      </c>
      <c r="AD5" s="0" t="n">
        <v>16.5</v>
      </c>
      <c r="AE5" s="0" t="n">
        <v>3.33</v>
      </c>
      <c r="AF5" s="0" t="n">
        <v>3.28</v>
      </c>
      <c r="AG5" s="0" t="n">
        <v>722</v>
      </c>
      <c r="AH5" s="0" t="n">
        <v>1613</v>
      </c>
      <c r="AM5" s="0" t="n">
        <v>35997</v>
      </c>
    </row>
    <row r="6" customFormat="false" ht="15" hidden="false" customHeight="false" outlineLevel="0" collapsed="false">
      <c r="A6" s="0" t="s">
        <v>78</v>
      </c>
      <c r="B6" s="0" t="n">
        <v>24494</v>
      </c>
      <c r="C6" s="0" t="n">
        <v>8910</v>
      </c>
      <c r="D6" s="0" t="n">
        <v>15583</v>
      </c>
      <c r="E6" s="0" t="n">
        <v>63.6</v>
      </c>
      <c r="F6" s="0" t="n">
        <v>3157</v>
      </c>
      <c r="G6" s="0" t="n">
        <v>12.9</v>
      </c>
      <c r="H6" s="0" t="n">
        <v>6127</v>
      </c>
      <c r="I6" s="0" t="n">
        <v>2152</v>
      </c>
      <c r="J6" s="0" t="n">
        <v>8.8</v>
      </c>
      <c r="K6" s="0" t="n">
        <v>4.83</v>
      </c>
      <c r="L6" s="0" t="n">
        <v>4783</v>
      </c>
      <c r="M6" s="0" t="n">
        <v>1572</v>
      </c>
      <c r="N6" s="0" t="n">
        <v>3211</v>
      </c>
      <c r="O6" s="0" t="n">
        <v>37455</v>
      </c>
      <c r="P6" s="0" t="n">
        <v>60561</v>
      </c>
      <c r="Q6" s="0" t="n">
        <v>22414</v>
      </c>
      <c r="R6" s="0" t="n">
        <v>9022</v>
      </c>
      <c r="S6" s="0" t="n">
        <v>1960</v>
      </c>
      <c r="T6" s="0" t="n">
        <v>445.7</v>
      </c>
      <c r="U6" s="0" t="n">
        <v>191</v>
      </c>
      <c r="AA6" s="0" t="s">
        <v>17</v>
      </c>
      <c r="AB6" s="0" t="s">
        <v>14</v>
      </c>
      <c r="AC6" s="0" t="n">
        <v>4115</v>
      </c>
      <c r="AD6" s="0" t="n">
        <v>16.8</v>
      </c>
      <c r="AE6" s="0" t="n">
        <v>4.87</v>
      </c>
      <c r="AF6" s="0" t="n">
        <v>4.83</v>
      </c>
      <c r="AG6" s="0" t="n">
        <v>955</v>
      </c>
      <c r="AH6" s="0" t="n">
        <v>2281</v>
      </c>
      <c r="AI6" s="0" t="n">
        <v>2842</v>
      </c>
      <c r="AJ6" s="0" t="n">
        <v>8749</v>
      </c>
      <c r="AK6" s="0" t="n">
        <v>1411</v>
      </c>
      <c r="AL6" s="0" t="n">
        <v>11492</v>
      </c>
      <c r="AM6" s="0" t="n">
        <v>38147</v>
      </c>
    </row>
    <row r="7" customFormat="false" ht="15" hidden="false" customHeight="false" outlineLevel="0" collapsed="false">
      <c r="A7" s="0" t="s">
        <v>79</v>
      </c>
      <c r="B7" s="0" t="n">
        <v>25395</v>
      </c>
      <c r="C7" s="0" t="n">
        <v>9347</v>
      </c>
      <c r="D7" s="0" t="n">
        <v>16048</v>
      </c>
      <c r="E7" s="0" t="n">
        <v>63.2</v>
      </c>
      <c r="F7" s="0" t="n">
        <v>3176</v>
      </c>
      <c r="G7" s="0" t="n">
        <v>12.5</v>
      </c>
      <c r="H7" s="0" t="n">
        <v>6148</v>
      </c>
      <c r="I7" s="0" t="n">
        <v>2289</v>
      </c>
      <c r="J7" s="0" t="n">
        <v>9</v>
      </c>
      <c r="K7" s="0" t="n">
        <v>5.08</v>
      </c>
      <c r="L7" s="0" t="n">
        <v>4861</v>
      </c>
      <c r="M7" s="0" t="n">
        <v>1531</v>
      </c>
      <c r="N7" s="0" t="n">
        <v>3330</v>
      </c>
      <c r="O7" s="0" t="n">
        <v>38239</v>
      </c>
      <c r="P7" s="0" t="n">
        <v>60523</v>
      </c>
      <c r="Q7" s="0" t="n">
        <v>21632</v>
      </c>
      <c r="R7" s="0" t="n">
        <v>8417</v>
      </c>
      <c r="S7" s="0" t="n">
        <v>2558</v>
      </c>
      <c r="T7" s="0" t="n">
        <v>450.8</v>
      </c>
      <c r="U7" s="0" t="n">
        <v>195</v>
      </c>
      <c r="AA7" s="0" t="s">
        <v>17</v>
      </c>
      <c r="AB7" s="0" t="s">
        <v>14</v>
      </c>
      <c r="AC7" s="0" t="n">
        <v>4178</v>
      </c>
      <c r="AD7" s="0" t="n">
        <v>16.5</v>
      </c>
      <c r="AE7" s="0" t="n">
        <v>5.11</v>
      </c>
      <c r="AF7" s="0" t="n">
        <v>5.08</v>
      </c>
      <c r="AG7" s="0" t="n">
        <v>936</v>
      </c>
      <c r="AH7" s="0" t="n">
        <v>2426</v>
      </c>
      <c r="AI7" s="0" t="n">
        <v>3036</v>
      </c>
      <c r="AJ7" s="0" t="n">
        <v>9184</v>
      </c>
      <c r="AK7" s="0" t="n">
        <v>1538</v>
      </c>
      <c r="AL7" s="0" t="n">
        <v>11637</v>
      </c>
      <c r="AM7" s="0" t="n">
        <v>38891</v>
      </c>
    </row>
    <row r="8" customFormat="false" ht="15" hidden="false" customHeight="false" outlineLevel="0" collapsed="false">
      <c r="A8" s="0" t="s">
        <v>80</v>
      </c>
      <c r="B8" s="0" t="n">
        <v>26508</v>
      </c>
      <c r="C8" s="0" t="n">
        <v>9702</v>
      </c>
      <c r="D8" s="0" t="n">
        <v>16805</v>
      </c>
      <c r="E8" s="0" t="n">
        <v>63.4</v>
      </c>
      <c r="F8" s="0" t="n">
        <v>3448</v>
      </c>
      <c r="G8" s="0" t="n">
        <v>13</v>
      </c>
      <c r="H8" s="0" t="n">
        <v>6546</v>
      </c>
      <c r="I8" s="0" t="n">
        <v>2359</v>
      </c>
      <c r="J8" s="0" t="n">
        <v>8.9</v>
      </c>
      <c r="K8" s="0" t="n">
        <v>5.13</v>
      </c>
      <c r="L8" s="0" t="n">
        <v>4874</v>
      </c>
      <c r="M8" s="0" t="n">
        <v>1522</v>
      </c>
      <c r="N8" s="0" t="n">
        <v>3352</v>
      </c>
      <c r="O8" s="0" t="n">
        <v>40376</v>
      </c>
      <c r="P8" s="0" t="n">
        <v>64264</v>
      </c>
      <c r="Q8" s="0" t="n">
        <v>23263</v>
      </c>
      <c r="R8" s="0" t="n">
        <v>9569</v>
      </c>
      <c r="S8" s="0" t="n">
        <v>2251</v>
      </c>
      <c r="T8" s="0" t="n">
        <v>460</v>
      </c>
      <c r="U8" s="0" t="n">
        <v>162</v>
      </c>
      <c r="AA8" s="0" t="s">
        <v>17</v>
      </c>
      <c r="AB8" s="0" t="s">
        <v>14</v>
      </c>
      <c r="AC8" s="0" t="n">
        <v>4414</v>
      </c>
      <c r="AD8" s="0" t="n">
        <v>16.7</v>
      </c>
      <c r="AE8" s="0" t="n">
        <v>5.2</v>
      </c>
      <c r="AF8" s="0" t="n">
        <v>5.13</v>
      </c>
      <c r="AG8" s="0" t="n">
        <v>940</v>
      </c>
      <c r="AH8" s="0" t="n">
        <v>2491</v>
      </c>
      <c r="AI8" s="0" t="n">
        <v>3247</v>
      </c>
      <c r="AJ8" s="0" t="n">
        <v>9759</v>
      </c>
      <c r="AK8" s="0" t="n">
        <v>1523</v>
      </c>
      <c r="AL8" s="0" t="n">
        <v>11979</v>
      </c>
      <c r="AM8" s="0" t="n">
        <v>41001</v>
      </c>
    </row>
    <row r="9" customFormat="false" ht="15" hidden="false" customHeight="false" outlineLevel="0" collapsed="false">
      <c r="A9" s="0" t="s">
        <v>81</v>
      </c>
      <c r="B9" s="0" t="n">
        <v>28491</v>
      </c>
      <c r="C9" s="0" t="n">
        <v>11237</v>
      </c>
      <c r="D9" s="0" t="n">
        <v>17254</v>
      </c>
      <c r="E9" s="0" t="n">
        <v>60.6</v>
      </c>
      <c r="F9" s="0" t="n">
        <v>3379</v>
      </c>
      <c r="G9" s="0" t="n">
        <v>11.9</v>
      </c>
      <c r="H9" s="0" t="n">
        <v>6492</v>
      </c>
      <c r="I9" s="0" t="n">
        <v>2315</v>
      </c>
      <c r="J9" s="0" t="n">
        <v>8.1</v>
      </c>
      <c r="K9" s="0" t="n">
        <v>4.98</v>
      </c>
      <c r="L9" s="0" t="n">
        <v>5291</v>
      </c>
      <c r="M9" s="0" t="n">
        <v>1525</v>
      </c>
      <c r="N9" s="0" t="n">
        <v>3766</v>
      </c>
      <c r="O9" s="0" t="n">
        <v>38889</v>
      </c>
      <c r="P9" s="0" t="n">
        <v>63895</v>
      </c>
      <c r="Q9" s="0" t="n">
        <v>24402</v>
      </c>
      <c r="R9" s="0" t="n">
        <v>10839</v>
      </c>
      <c r="S9" s="0" t="n">
        <v>3544</v>
      </c>
      <c r="T9" s="0" t="n">
        <v>464.7</v>
      </c>
      <c r="U9" s="0" t="n">
        <v>280</v>
      </c>
      <c r="AA9" s="0" t="s">
        <v>17</v>
      </c>
      <c r="AB9" s="0" t="s">
        <v>14</v>
      </c>
      <c r="AC9" s="0" t="n">
        <v>4459</v>
      </c>
      <c r="AD9" s="0" t="n">
        <v>15.7</v>
      </c>
      <c r="AE9" s="0" t="n">
        <v>5.04</v>
      </c>
      <c r="AF9" s="0" t="n">
        <v>4.98</v>
      </c>
      <c r="AG9" s="0" t="n">
        <v>970</v>
      </c>
      <c r="AH9" s="0" t="n">
        <v>2443</v>
      </c>
      <c r="AI9" s="0" t="n">
        <v>3410</v>
      </c>
      <c r="AJ9" s="0" t="n">
        <v>10779</v>
      </c>
      <c r="AK9" s="0" t="n">
        <v>1515</v>
      </c>
      <c r="AL9" s="0" t="n">
        <v>12787</v>
      </c>
      <c r="AM9" s="0" t="n">
        <v>39493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181.2</v>
      </c>
    </row>
    <row r="3" customFormat="false" ht="15" hidden="false" customHeight="false" outlineLevel="0" collapsed="false">
      <c r="A3" s="0" t="s">
        <v>85</v>
      </c>
      <c r="B3" s="3" t="n">
        <v>462.8</v>
      </c>
    </row>
    <row r="4" customFormat="false" ht="15" hidden="false" customHeight="false" outlineLevel="0" collapsed="false">
      <c r="A4" s="0" t="s">
        <v>86</v>
      </c>
      <c r="B4" s="3" t="n">
        <v>9478</v>
      </c>
    </row>
    <row r="5" customFormat="false" ht="15" hidden="false" customHeight="false" outlineLevel="0" collapsed="false">
      <c r="A5" s="0" t="s">
        <v>87</v>
      </c>
      <c r="B5" s="3" t="n">
        <v>-2800</v>
      </c>
    </row>
    <row r="6" customFormat="false" ht="15" hidden="false" customHeight="false" outlineLevel="0" collapsed="false">
      <c r="A6" s="0" t="s">
        <v>88</v>
      </c>
      <c r="B6" s="3" t="n">
        <v>15</v>
      </c>
    </row>
    <row r="7" customFormat="false" ht="15" hidden="false" customHeight="false" outlineLevel="0" collapsed="false">
      <c r="A7" s="0" t="s">
        <v>89</v>
      </c>
      <c r="B7" s="3" t="n">
        <v>28491</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6</v>
      </c>
      <c r="D13" s="3" t="n">
        <v>3.5</v>
      </c>
      <c r="E13" s="3" t="n">
        <v>3</v>
      </c>
      <c r="F13" s="3" t="n">
        <v>3</v>
      </c>
      <c r="G13" s="3" t="n">
        <v>2.5</v>
      </c>
      <c r="H13" s="3" t="n">
        <v>2.5</v>
      </c>
      <c r="I13" s="3" t="n">
        <v>2.5</v>
      </c>
      <c r="J13" s="3" t="n">
        <v>2.5</v>
      </c>
      <c r="K13" s="3" t="n">
        <v>2.5</v>
      </c>
      <c r="L13" s="3" t="n">
        <v>2.5</v>
      </c>
    </row>
    <row r="14" customFormat="false" ht="15" hidden="false" customHeight="false" outlineLevel="0" collapsed="false">
      <c r="A14" s="0" t="s">
        <v>106</v>
      </c>
      <c r="C14" s="3" t="n">
        <v>24</v>
      </c>
      <c r="D14" s="3" t="n">
        <v>23.6</v>
      </c>
      <c r="E14" s="3" t="n">
        <v>23.3</v>
      </c>
      <c r="F14" s="3" t="n">
        <v>23</v>
      </c>
      <c r="G14" s="3" t="n">
        <v>23</v>
      </c>
      <c r="H14" s="3" t="n">
        <v>23</v>
      </c>
      <c r="I14" s="3" t="n">
        <v>23</v>
      </c>
      <c r="J14" s="3" t="n">
        <v>23</v>
      </c>
      <c r="K14" s="3" t="n">
        <v>23</v>
      </c>
      <c r="L14" s="3" t="n">
        <v>23</v>
      </c>
    </row>
    <row r="15" customFormat="false" ht="15" hidden="false" customHeight="false" outlineLevel="0" collapsed="false">
      <c r="A15" s="0" t="s">
        <v>107</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108</v>
      </c>
      <c r="C16" s="3" t="n">
        <v>3.85</v>
      </c>
      <c r="D16" s="3" t="n">
        <v>3.9</v>
      </c>
      <c r="E16" s="3" t="n">
        <v>3.95</v>
      </c>
      <c r="F16" s="3" t="n">
        <v>4</v>
      </c>
      <c r="G16" s="3" t="n">
        <v>4</v>
      </c>
      <c r="H16" s="3" t="n">
        <v>4</v>
      </c>
      <c r="I16" s="3" t="n">
        <v>4</v>
      </c>
      <c r="J16" s="3" t="n">
        <v>4</v>
      </c>
      <c r="K16" s="3" t="n">
        <v>4</v>
      </c>
      <c r="L16" s="3" t="n">
        <v>4</v>
      </c>
    </row>
    <row r="17" customFormat="false" ht="15" hidden="false" customHeight="false" outlineLevel="0" collapsed="false">
      <c r="A17" s="0" t="s">
        <v>109</v>
      </c>
      <c r="C17" s="3" t="n">
        <v>4.5</v>
      </c>
      <c r="D17" s="3" t="n">
        <v>4.5</v>
      </c>
      <c r="E17" s="3" t="n">
        <v>4.5</v>
      </c>
      <c r="F17" s="3" t="n">
        <v>4.5</v>
      </c>
      <c r="G17" s="3" t="n">
        <v>4.5</v>
      </c>
      <c r="H17" s="3" t="n">
        <v>4.5</v>
      </c>
      <c r="I17" s="3" t="n">
        <v>4.5</v>
      </c>
      <c r="J17" s="3" t="n">
        <v>4.5</v>
      </c>
      <c r="K17" s="3" t="n">
        <v>4.5</v>
      </c>
      <c r="L17" s="3" t="n">
        <v>4.5</v>
      </c>
    </row>
    <row r="18" customFormat="false" ht="15" hidden="false" customHeight="false" outlineLevel="0" collapsed="false">
      <c r="A18" s="0" t="s">
        <v>110</v>
      </c>
      <c r="C18" s="3" t="n">
        <v>5.4</v>
      </c>
      <c r="D18" s="3" t="n">
        <v>5.4</v>
      </c>
      <c r="E18" s="3" t="n">
        <v>5.4</v>
      </c>
      <c r="F18" s="3" t="n">
        <v>5.4</v>
      </c>
      <c r="G18" s="3" t="n">
        <v>5.4</v>
      </c>
      <c r="H18" s="3" t="n">
        <v>5.4</v>
      </c>
      <c r="I18" s="3" t="n">
        <v>5.4</v>
      </c>
      <c r="J18" s="3" t="n">
        <v>5.4</v>
      </c>
      <c r="K18" s="3" t="n">
        <v>5.4</v>
      </c>
      <c r="L18" s="3" t="n">
        <v>5.4</v>
      </c>
    </row>
    <row r="19" customFormat="false" ht="15" hidden="false" customHeight="false" outlineLevel="0" collapsed="false">
      <c r="A19" s="0" t="s">
        <v>111</v>
      </c>
      <c r="C19" s="3" t="n">
        <v>21</v>
      </c>
      <c r="D19" s="3" t="n">
        <v>22</v>
      </c>
      <c r="E19" s="3" t="n">
        <v>23</v>
      </c>
      <c r="F19" s="3" t="n">
        <v>23</v>
      </c>
      <c r="G19" s="3" t="n">
        <v>23</v>
      </c>
      <c r="H19" s="3" t="n">
        <v>23</v>
      </c>
      <c r="I19" s="3" t="n">
        <v>23</v>
      </c>
      <c r="J19" s="3" t="n">
        <v>23</v>
      </c>
      <c r="K19" s="3" t="n">
        <v>23</v>
      </c>
      <c r="L19" s="3" t="n">
        <v>23</v>
      </c>
    </row>
    <row r="20" customFormat="false" ht="15" hidden="false" customHeight="false" outlineLevel="0" collapsed="false">
      <c r="A20" s="0" t="s">
        <v>112</v>
      </c>
      <c r="B20" s="3" t="n">
        <v>7.5</v>
      </c>
    </row>
    <row r="21" customFormat="false" ht="15" hidden="false" customHeight="false" outlineLevel="0" collapsed="false">
      <c r="A21" s="0" t="s">
        <v>113</v>
      </c>
      <c r="B21" s="3" t="n">
        <v>2.5</v>
      </c>
    </row>
    <row r="22" customFormat="false" ht="15" hidden="false" customHeight="false" outlineLevel="0" collapsed="false">
      <c r="A22" s="0" t="s">
        <v>114</v>
      </c>
      <c r="B22" s="3" t="n">
        <v>16</v>
      </c>
    </row>
    <row r="23" customFormat="false" ht="15" hidden="false" customHeight="false" outlineLevel="0" collapsed="false">
      <c r="A23" s="0" t="s">
        <v>115</v>
      </c>
      <c r="B23" s="3" t="n">
        <v>-20</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6.5</v>
      </c>
      <c r="D27" s="3" t="n">
        <v>6.5</v>
      </c>
      <c r="E27" s="3" t="n">
        <v>6</v>
      </c>
      <c r="F27" s="3" t="n">
        <v>6</v>
      </c>
      <c r="G27" s="3" t="n">
        <v>5.5</v>
      </c>
      <c r="H27" s="3" t="n">
        <v>5</v>
      </c>
      <c r="I27" s="3" t="n">
        <v>4.5</v>
      </c>
      <c r="J27" s="3" t="n">
        <v>4</v>
      </c>
      <c r="K27" s="3" t="n">
        <v>3.5</v>
      </c>
      <c r="L27" s="3" t="n">
        <v>3</v>
      </c>
    </row>
    <row r="28" customFormat="false" ht="15" hidden="false" customHeight="false" outlineLevel="0" collapsed="false">
      <c r="A28" s="0" t="s">
        <v>106</v>
      </c>
      <c r="C28" s="3" t="n">
        <v>24.4</v>
      </c>
      <c r="D28" s="3" t="n">
        <v>24.8</v>
      </c>
      <c r="E28" s="3" t="n">
        <v>25.1</v>
      </c>
      <c r="F28" s="3" t="n">
        <v>25.4</v>
      </c>
      <c r="G28" s="3" t="n">
        <v>25.6</v>
      </c>
      <c r="H28" s="3" t="n">
        <v>25.8</v>
      </c>
      <c r="I28" s="3" t="n">
        <v>25.8</v>
      </c>
      <c r="J28" s="3" t="n">
        <v>25.8</v>
      </c>
      <c r="K28" s="3" t="n">
        <v>25.8</v>
      </c>
      <c r="L28" s="3" t="n">
        <v>25.8</v>
      </c>
    </row>
    <row r="29" customFormat="false" ht="15" hidden="false" customHeight="false" outlineLevel="0" collapsed="false">
      <c r="A29" s="0" t="s">
        <v>107</v>
      </c>
      <c r="C29" s="3" t="n">
        <v>0.9</v>
      </c>
      <c r="D29" s="3" t="n">
        <v>0.9</v>
      </c>
      <c r="E29" s="3" t="n">
        <v>0.9</v>
      </c>
      <c r="F29" s="3" t="n">
        <v>0.85</v>
      </c>
      <c r="G29" s="3" t="n">
        <v>0.85</v>
      </c>
      <c r="H29" s="3" t="n">
        <v>0.8</v>
      </c>
      <c r="I29" s="3" t="n">
        <v>0.8</v>
      </c>
      <c r="J29" s="3" t="n">
        <v>0.8</v>
      </c>
      <c r="K29" s="3" t="n">
        <v>0.8</v>
      </c>
      <c r="L29" s="3" t="n">
        <v>0.8</v>
      </c>
    </row>
    <row r="30" customFormat="false" ht="15" hidden="false" customHeight="false" outlineLevel="0" collapsed="false">
      <c r="A30" s="0" t="s">
        <v>108</v>
      </c>
      <c r="C30" s="3" t="n">
        <v>3.85</v>
      </c>
      <c r="D30" s="3" t="n">
        <v>3.85</v>
      </c>
      <c r="E30" s="3" t="n">
        <v>3.85</v>
      </c>
      <c r="F30" s="3" t="n">
        <v>3.85</v>
      </c>
      <c r="G30" s="3" t="n">
        <v>3.85</v>
      </c>
      <c r="H30" s="3" t="n">
        <v>3.85</v>
      </c>
      <c r="I30" s="3" t="n">
        <v>3.85</v>
      </c>
      <c r="J30" s="3" t="n">
        <v>3.85</v>
      </c>
      <c r="K30" s="3" t="n">
        <v>3.85</v>
      </c>
      <c r="L30" s="3" t="n">
        <v>3.85</v>
      </c>
    </row>
    <row r="31" customFormat="false" ht="15" hidden="false" customHeight="false" outlineLevel="0" collapsed="false">
      <c r="A31" s="0" t="s">
        <v>109</v>
      </c>
      <c r="C31" s="3" t="n">
        <v>4.5</v>
      </c>
      <c r="D31" s="3" t="n">
        <v>4.5</v>
      </c>
      <c r="E31" s="3" t="n">
        <v>4.5</v>
      </c>
      <c r="F31" s="3" t="n">
        <v>4.5</v>
      </c>
      <c r="G31" s="3" t="n">
        <v>4.5</v>
      </c>
      <c r="H31" s="3" t="n">
        <v>4.5</v>
      </c>
      <c r="I31" s="3" t="n">
        <v>4.5</v>
      </c>
      <c r="J31" s="3" t="n">
        <v>4.5</v>
      </c>
      <c r="K31" s="3" t="n">
        <v>4.5</v>
      </c>
      <c r="L31" s="3" t="n">
        <v>4.5</v>
      </c>
    </row>
    <row r="32" customFormat="false" ht="15" hidden="false" customHeight="false" outlineLevel="0" collapsed="false">
      <c r="A32" s="0" t="s">
        <v>110</v>
      </c>
      <c r="C32" s="3" t="n">
        <v>5.2</v>
      </c>
      <c r="D32" s="3" t="n">
        <v>5.2</v>
      </c>
      <c r="E32" s="3" t="n">
        <v>5.1</v>
      </c>
      <c r="F32" s="3" t="n">
        <v>5.1</v>
      </c>
      <c r="G32" s="3" t="n">
        <v>5</v>
      </c>
      <c r="H32" s="3" t="n">
        <v>5</v>
      </c>
      <c r="I32" s="3" t="n">
        <v>5</v>
      </c>
      <c r="J32" s="3" t="n">
        <v>5</v>
      </c>
      <c r="K32" s="3" t="n">
        <v>5</v>
      </c>
      <c r="L32" s="3" t="n">
        <v>5</v>
      </c>
    </row>
    <row r="33" customFormat="false" ht="15" hidden="false" customHeight="false" outlineLevel="0" collapsed="false">
      <c r="A33" s="0" t="s">
        <v>111</v>
      </c>
      <c r="C33" s="3" t="n">
        <v>21</v>
      </c>
      <c r="D33" s="3" t="n">
        <v>21.5</v>
      </c>
      <c r="E33" s="3" t="n">
        <v>22</v>
      </c>
      <c r="F33" s="3" t="n">
        <v>22</v>
      </c>
      <c r="G33" s="3" t="n">
        <v>22</v>
      </c>
      <c r="H33" s="3" t="n">
        <v>22</v>
      </c>
      <c r="I33" s="3" t="n">
        <v>22</v>
      </c>
      <c r="J33" s="3" t="n">
        <v>22</v>
      </c>
      <c r="K33" s="3" t="n">
        <v>22</v>
      </c>
      <c r="L33" s="3" t="n">
        <v>22</v>
      </c>
    </row>
    <row r="34" customFormat="false" ht="15" hidden="false" customHeight="false" outlineLevel="0" collapsed="false">
      <c r="A34" s="0" t="s">
        <v>112</v>
      </c>
      <c r="B34" s="3" t="n">
        <v>7.5</v>
      </c>
    </row>
    <row r="35" customFormat="false" ht="15" hidden="false" customHeight="false" outlineLevel="0" collapsed="false">
      <c r="A35" s="0" t="s">
        <v>113</v>
      </c>
      <c r="B35" s="3" t="n">
        <v>2.5</v>
      </c>
    </row>
    <row r="36" customFormat="false" ht="15" hidden="false" customHeight="false" outlineLevel="0" collapsed="false">
      <c r="A36" s="0" t="s">
        <v>114</v>
      </c>
      <c r="B36" s="3" t="n">
        <v>20</v>
      </c>
    </row>
    <row r="37" customFormat="false" ht="15" hidden="false" customHeight="false" outlineLevel="0" collapsed="false">
      <c r="A37" s="0" t="s">
        <v>115</v>
      </c>
      <c r="B37" s="3" t="n">
        <v>-15</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6.5</v>
      </c>
      <c r="D41" s="3" t="n">
        <v>9</v>
      </c>
      <c r="E41" s="3" t="n">
        <v>8.5</v>
      </c>
      <c r="F41" s="3" t="n">
        <v>8</v>
      </c>
      <c r="G41" s="3" t="n">
        <v>7.5</v>
      </c>
      <c r="H41" s="3" t="n">
        <v>6.5</v>
      </c>
      <c r="I41" s="3" t="n">
        <v>5.5</v>
      </c>
      <c r="J41" s="3" t="n">
        <v>4.5</v>
      </c>
      <c r="K41" s="3" t="n">
        <v>4</v>
      </c>
      <c r="L41" s="3" t="n">
        <v>3.5</v>
      </c>
    </row>
    <row r="42" customFormat="false" ht="15" hidden="false" customHeight="false" outlineLevel="0" collapsed="false">
      <c r="A42" s="0" t="s">
        <v>106</v>
      </c>
      <c r="C42" s="3" t="n">
        <v>24.6</v>
      </c>
      <c r="D42" s="3" t="n">
        <v>25.4</v>
      </c>
      <c r="E42" s="3" t="n">
        <v>26.1</v>
      </c>
      <c r="F42" s="3" t="n">
        <v>26.7</v>
      </c>
      <c r="G42" s="3" t="n">
        <v>27.2</v>
      </c>
      <c r="H42" s="3" t="n">
        <v>27.6</v>
      </c>
      <c r="I42" s="3" t="n">
        <v>27.9</v>
      </c>
      <c r="J42" s="3" t="n">
        <v>28</v>
      </c>
      <c r="K42" s="3" t="n">
        <v>28</v>
      </c>
      <c r="L42" s="3" t="n">
        <v>28</v>
      </c>
    </row>
    <row r="43" customFormat="false" ht="15" hidden="false" customHeight="false" outlineLevel="0" collapsed="false">
      <c r="A43" s="0" t="s">
        <v>107</v>
      </c>
      <c r="C43" s="3" t="n">
        <v>0.9</v>
      </c>
      <c r="D43" s="3" t="n">
        <v>0.9</v>
      </c>
      <c r="E43" s="3" t="n">
        <v>0.9</v>
      </c>
      <c r="F43" s="3" t="n">
        <v>0.85</v>
      </c>
      <c r="G43" s="3" t="n">
        <v>0.85</v>
      </c>
      <c r="H43" s="3" t="n">
        <v>0.8</v>
      </c>
      <c r="I43" s="3" t="n">
        <v>0.8</v>
      </c>
      <c r="J43" s="3" t="n">
        <v>0.8</v>
      </c>
      <c r="K43" s="3" t="n">
        <v>0.8</v>
      </c>
      <c r="L43" s="3" t="n">
        <v>0.8</v>
      </c>
    </row>
    <row r="44" customFormat="false" ht="15" hidden="false" customHeight="false" outlineLevel="0" collapsed="false">
      <c r="A44" s="0" t="s">
        <v>108</v>
      </c>
      <c r="C44" s="3" t="n">
        <v>3.85</v>
      </c>
      <c r="D44" s="3" t="n">
        <v>3.8</v>
      </c>
      <c r="E44" s="3" t="n">
        <v>3.75</v>
      </c>
      <c r="F44" s="3" t="n">
        <v>3.7</v>
      </c>
      <c r="G44" s="3" t="n">
        <v>3.7</v>
      </c>
      <c r="H44" s="3" t="n">
        <v>3.7</v>
      </c>
      <c r="I44" s="3" t="n">
        <v>3.7</v>
      </c>
      <c r="J44" s="3" t="n">
        <v>3.7</v>
      </c>
      <c r="K44" s="3" t="n">
        <v>3.7</v>
      </c>
      <c r="L44" s="3" t="n">
        <v>3.7</v>
      </c>
    </row>
    <row r="45" customFormat="false" ht="15" hidden="false" customHeight="false" outlineLevel="0" collapsed="false">
      <c r="A45" s="0" t="s">
        <v>109</v>
      </c>
      <c r="C45" s="3" t="n">
        <v>4.5</v>
      </c>
      <c r="D45" s="3" t="n">
        <v>4.5</v>
      </c>
      <c r="E45" s="3" t="n">
        <v>4.5</v>
      </c>
      <c r="F45" s="3" t="n">
        <v>4.5</v>
      </c>
      <c r="G45" s="3" t="n">
        <v>4.5</v>
      </c>
      <c r="H45" s="3" t="n">
        <v>4.5</v>
      </c>
      <c r="I45" s="3" t="n">
        <v>4.5</v>
      </c>
      <c r="J45" s="3" t="n">
        <v>4.5</v>
      </c>
      <c r="K45" s="3" t="n">
        <v>4.5</v>
      </c>
      <c r="L45" s="3" t="n">
        <v>4.5</v>
      </c>
    </row>
    <row r="46" customFormat="false" ht="15" hidden="false" customHeight="false" outlineLevel="0" collapsed="false">
      <c r="A46" s="0" t="s">
        <v>110</v>
      </c>
      <c r="C46" s="3" t="n">
        <v>5.2</v>
      </c>
      <c r="D46" s="3" t="n">
        <v>5.2</v>
      </c>
      <c r="E46" s="3" t="n">
        <v>5.1</v>
      </c>
      <c r="F46" s="3" t="n">
        <v>5</v>
      </c>
      <c r="G46" s="3" t="n">
        <v>5</v>
      </c>
      <c r="H46" s="3" t="n">
        <v>5</v>
      </c>
      <c r="I46" s="3" t="n">
        <v>5</v>
      </c>
      <c r="J46" s="3" t="n">
        <v>5</v>
      </c>
      <c r="K46" s="3" t="n">
        <v>5</v>
      </c>
      <c r="L46" s="3" t="n">
        <v>5</v>
      </c>
    </row>
    <row r="47" customFormat="false" ht="15" hidden="false" customHeight="false" outlineLevel="0" collapsed="false">
      <c r="A47" s="0" t="s">
        <v>111</v>
      </c>
      <c r="C47" s="3" t="n">
        <v>21</v>
      </c>
      <c r="D47" s="3" t="n">
        <v>21.5</v>
      </c>
      <c r="E47" s="3" t="n">
        <v>22</v>
      </c>
      <c r="F47" s="3" t="n">
        <v>22</v>
      </c>
      <c r="G47" s="3" t="n">
        <v>22</v>
      </c>
      <c r="H47" s="3" t="n">
        <v>22</v>
      </c>
      <c r="I47" s="3" t="n">
        <v>22</v>
      </c>
      <c r="J47" s="3" t="n">
        <v>22</v>
      </c>
      <c r="K47" s="3" t="n">
        <v>22</v>
      </c>
      <c r="L47" s="3" t="n">
        <v>22</v>
      </c>
    </row>
    <row r="48" customFormat="false" ht="15" hidden="false" customHeight="false" outlineLevel="0" collapsed="false">
      <c r="A48" s="0" t="s">
        <v>112</v>
      </c>
      <c r="B48" s="3" t="n">
        <v>7.5</v>
      </c>
    </row>
    <row r="49" customFormat="false" ht="15" hidden="false" customHeight="false" outlineLevel="0" collapsed="false">
      <c r="A49" s="0" t="s">
        <v>113</v>
      </c>
      <c r="B49" s="3" t="n">
        <v>2.5</v>
      </c>
    </row>
    <row r="50" customFormat="false" ht="15" hidden="false" customHeight="false" outlineLevel="0" collapsed="false">
      <c r="A50" s="0" t="s">
        <v>114</v>
      </c>
      <c r="B50" s="3" t="n">
        <v>20</v>
      </c>
    </row>
    <row r="51" customFormat="false" ht="15" hidden="false" customHeight="false" outlineLevel="0" collapsed="false">
      <c r="A51" s="0" t="s">
        <v>115</v>
      </c>
      <c r="B51" s="3" t="n">
        <v>-12</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6</v>
      </c>
      <c r="D5" s="4" t="n">
        <f aca="false">Assumptions!D13</f>
        <v>3.5</v>
      </c>
      <c r="E5" s="4" t="n">
        <f aca="false">Assumptions!E13</f>
        <v>3</v>
      </c>
      <c r="F5" s="4" t="n">
        <f aca="false">Assumptions!F13</f>
        <v>3</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28491</v>
      </c>
      <c r="C6" s="0" t="n">
        <f aca="false">B6*(1+C5/100)</f>
        <v>30200.46</v>
      </c>
      <c r="D6" s="0" t="n">
        <f aca="false">C6*(1+D5/100)</f>
        <v>31257.4761</v>
      </c>
      <c r="E6" s="0" t="n">
        <f aca="false">D6*(1+E5/100)</f>
        <v>32195.200383</v>
      </c>
      <c r="F6" s="0" t="n">
        <f aca="false">E6*(1+F5/100)</f>
        <v>33161.05639449</v>
      </c>
      <c r="G6" s="0" t="n">
        <f aca="false">F6*(1+G5/100)</f>
        <v>33990.0828043523</v>
      </c>
      <c r="H6" s="0" t="n">
        <f aca="false">G6*(1+H5/100)</f>
        <v>34839.8348744611</v>
      </c>
      <c r="I6" s="0" t="n">
        <f aca="false">H6*(1+I5/100)</f>
        <v>35710.8307463226</v>
      </c>
      <c r="J6" s="0" t="n">
        <f aca="false">I6*(1+J5/100)</f>
        <v>36603.6015149806</v>
      </c>
      <c r="K6" s="0" t="n">
        <f aca="false">J6*(1+K5/100)</f>
        <v>37518.6915528552</v>
      </c>
      <c r="L6" s="0" t="n">
        <f aca="false">K6*(1+L5/100)</f>
        <v>38456.6588416765</v>
      </c>
    </row>
    <row r="7" customFormat="false" ht="15" hidden="false" customHeight="false" outlineLevel="0" collapsed="false">
      <c r="A7" s="0" t="s">
        <v>106</v>
      </c>
      <c r="C7" s="4" t="n">
        <f aca="false">Assumptions!C14</f>
        <v>24</v>
      </c>
      <c r="D7" s="4" t="n">
        <f aca="false">Assumptions!D14</f>
        <v>23.6</v>
      </c>
      <c r="E7" s="4" t="n">
        <f aca="false">Assumptions!E14</f>
        <v>23.3</v>
      </c>
      <c r="F7" s="4" t="n">
        <f aca="false">Assumptions!F14</f>
        <v>23</v>
      </c>
      <c r="G7" s="4" t="n">
        <f aca="false">Assumptions!G14</f>
        <v>23</v>
      </c>
      <c r="H7" s="4" t="n">
        <f aca="false">Assumptions!H14</f>
        <v>23</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43</v>
      </c>
      <c r="C8" s="0" t="n">
        <f aca="false">C6*C7/100</f>
        <v>7248.1104</v>
      </c>
      <c r="D8" s="0" t="n">
        <f aca="false">D6*D7/100</f>
        <v>7376.7643596</v>
      </c>
      <c r="E8" s="0" t="n">
        <f aca="false">E6*E7/100</f>
        <v>7501.481689239</v>
      </c>
      <c r="F8" s="0" t="n">
        <f aca="false">F6*F7/100</f>
        <v>7627.0429707327</v>
      </c>
      <c r="G8" s="0" t="n">
        <f aca="false">G6*G7/100</f>
        <v>7817.71904500102</v>
      </c>
      <c r="H8" s="0" t="n">
        <f aca="false">H6*H7/100</f>
        <v>8013.16202112604</v>
      </c>
      <c r="I8" s="0" t="n">
        <f aca="false">I6*I7/100</f>
        <v>8213.49107165419</v>
      </c>
      <c r="J8" s="0" t="n">
        <f aca="false">J6*J7/100</f>
        <v>8418.82834844555</v>
      </c>
      <c r="K8" s="0" t="n">
        <f aca="false">K6*K7/100</f>
        <v>8629.29905715668</v>
      </c>
      <c r="L8" s="0" t="n">
        <f aca="false">L6*L7/100</f>
        <v>8845.0315335856</v>
      </c>
    </row>
    <row r="9" customFormat="false" ht="15" hidden="false" customHeight="false" outlineLevel="0" collapsed="false">
      <c r="A9" s="0" t="s">
        <v>107</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122</v>
      </c>
      <c r="C10" s="0" t="n">
        <f aca="false">-C6*C9/100</f>
        <v>-271.80414</v>
      </c>
      <c r="D10" s="0" t="n">
        <f aca="false">-D6*D9/100</f>
        <v>-281.3172849</v>
      </c>
      <c r="E10" s="0" t="n">
        <f aca="false">-E6*E9/100</f>
        <v>-289.756803447</v>
      </c>
      <c r="F10" s="0" t="n">
        <f aca="false">-F6*F9/100</f>
        <v>-298.44950755041</v>
      </c>
      <c r="G10" s="0" t="n">
        <f aca="false">-G6*G9/100</f>
        <v>-305.91074523917</v>
      </c>
      <c r="H10" s="0" t="n">
        <f aca="false">-H6*H9/100</f>
        <v>-313.558513870149</v>
      </c>
      <c r="I10" s="0" t="n">
        <f aca="false">-I6*I9/100</f>
        <v>-321.397476716903</v>
      </c>
      <c r="J10" s="0" t="n">
        <f aca="false">-J6*J9/100</f>
        <v>-329.432413634826</v>
      </c>
      <c r="K10" s="0" t="n">
        <f aca="false">-K6*K9/100</f>
        <v>-337.668223975696</v>
      </c>
      <c r="L10" s="0" t="n">
        <f aca="false">-L6*L9/100</f>
        <v>-346.109929575089</v>
      </c>
    </row>
    <row r="11" customFormat="false" ht="15" hidden="false" customHeight="false" outlineLevel="0" collapsed="false">
      <c r="A11" s="0" t="s">
        <v>123</v>
      </c>
      <c r="C11" s="0" t="n">
        <f aca="false">C8+C10+C24</f>
        <v>5813.58855</v>
      </c>
      <c r="D11" s="0" t="n">
        <f aca="false">D8+D10+D24</f>
        <v>5876.4055068</v>
      </c>
      <c r="E11" s="0" t="n">
        <f aca="false">E8+E10+E24</f>
        <v>5940.0144706635</v>
      </c>
      <c r="F11" s="0" t="n">
        <f aca="false">F8+F10+F24</f>
        <v>6002.15120740269</v>
      </c>
      <c r="G11" s="0" t="n">
        <f aca="false">G8+G10+G24</f>
        <v>6152.20498758776</v>
      </c>
      <c r="H11" s="0" t="n">
        <f aca="false">H8+H10+H24</f>
        <v>6306.01011227745</v>
      </c>
      <c r="I11" s="0" t="n">
        <f aca="false">I8+I10+I24</f>
        <v>6463.66036508438</v>
      </c>
      <c r="J11" s="0" t="n">
        <f aca="false">J8+J10+J24</f>
        <v>6625.25187421149</v>
      </c>
      <c r="K11" s="0" t="n">
        <f aca="false">K8+K10+K24</f>
        <v>6790.88317106678</v>
      </c>
      <c r="L11" s="0" t="n">
        <f aca="false">L8+L10+L24</f>
        <v>6960.65525034345</v>
      </c>
    </row>
    <row r="12" customFormat="false" ht="15" hidden="false" customHeight="false" outlineLevel="0" collapsed="false">
      <c r="A12" s="0" t="s">
        <v>124</v>
      </c>
      <c r="C12" s="4" t="n">
        <f aca="false">-C6*Assumptions!C17/100</f>
        <v>-1359.0207</v>
      </c>
      <c r="D12" s="4" t="n">
        <f aca="false">-D6*Assumptions!D17/100</f>
        <v>-1406.5864245</v>
      </c>
      <c r="E12" s="4" t="n">
        <f aca="false">-E6*Assumptions!E17/100</f>
        <v>-1448.784017235</v>
      </c>
      <c r="F12" s="4" t="n">
        <f aca="false">-F6*Assumptions!F17/100</f>
        <v>-1492.24753775205</v>
      </c>
      <c r="G12" s="4" t="n">
        <f aca="false">-G6*Assumptions!G17/100</f>
        <v>-1529.55372619585</v>
      </c>
      <c r="H12" s="4" t="n">
        <f aca="false">-H6*Assumptions!H17/100</f>
        <v>-1567.79256935075</v>
      </c>
      <c r="I12" s="4" t="n">
        <f aca="false">-I6*Assumptions!I17/100</f>
        <v>-1606.98738358452</v>
      </c>
      <c r="J12" s="4" t="n">
        <f aca="false">-J6*Assumptions!J17/100</f>
        <v>-1647.16206817413</v>
      </c>
      <c r="K12" s="4" t="n">
        <f aca="false">-K6*Assumptions!K17/100</f>
        <v>-1688.34111987848</v>
      </c>
      <c r="L12" s="4" t="n">
        <f aca="false">-L6*Assumptions!L17/100</f>
        <v>-1730.54964787544</v>
      </c>
    </row>
    <row r="13" customFormat="false" ht="15" hidden="false" customHeight="false" outlineLevel="0" collapsed="false">
      <c r="A13" s="0" t="s">
        <v>125</v>
      </c>
      <c r="C13" s="0" t="n">
        <f aca="false">C11+C12</f>
        <v>4454.56785</v>
      </c>
      <c r="D13" s="0" t="n">
        <f aca="false">D11+D12</f>
        <v>4469.8190823</v>
      </c>
      <c r="E13" s="0" t="n">
        <f aca="false">E11+E12</f>
        <v>4491.2304534285</v>
      </c>
      <c r="F13" s="0" t="n">
        <f aca="false">F11+F12</f>
        <v>4509.90366965064</v>
      </c>
      <c r="G13" s="0" t="n">
        <f aca="false">G11+G12</f>
        <v>4622.65126139191</v>
      </c>
      <c r="H13" s="0" t="n">
        <f aca="false">H11+H12</f>
        <v>4738.2175429267</v>
      </c>
      <c r="I13" s="0" t="n">
        <f aca="false">I11+I12</f>
        <v>4856.67298149987</v>
      </c>
      <c r="J13" s="0" t="n">
        <f aca="false">J11+J12</f>
        <v>4978.08980603737</v>
      </c>
      <c r="K13" s="0" t="n">
        <f aca="false">K11+K12</f>
        <v>5102.5420511883</v>
      </c>
      <c r="L13" s="0" t="n">
        <f aca="false">L11+L12</f>
        <v>5230.10560246801</v>
      </c>
    </row>
    <row r="14" customFormat="false" ht="15" hidden="false" customHeight="false" outlineLevel="0" collapsed="false">
      <c r="A14" s="0" t="s">
        <v>111</v>
      </c>
      <c r="C14" s="4" t="n">
        <f aca="false">Assumptions!C19</f>
        <v>21</v>
      </c>
      <c r="D14" s="4" t="n">
        <f aca="false">Assumptions!D19</f>
        <v>22</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126</v>
      </c>
      <c r="C15" s="0" t="n">
        <f aca="false">C13-MAX(0,C13)*C14/100</f>
        <v>3519.1086015</v>
      </c>
      <c r="D15" s="0" t="n">
        <f aca="false">D13-MAX(0,D13)*D14/100</f>
        <v>3486.458884194</v>
      </c>
      <c r="E15" s="0" t="n">
        <f aca="false">E13-MAX(0,E13)*E14/100</f>
        <v>3458.24744913995</v>
      </c>
      <c r="F15" s="0" t="n">
        <f aca="false">F13-MAX(0,F13)*F14/100</f>
        <v>3472.62582563099</v>
      </c>
      <c r="G15" s="0" t="n">
        <f aca="false">G13-MAX(0,G13)*G14/100</f>
        <v>3559.44147127177</v>
      </c>
      <c r="H15" s="0" t="n">
        <f aca="false">H13-MAX(0,H13)*H14/100</f>
        <v>3648.42750805356</v>
      </c>
      <c r="I15" s="0" t="n">
        <f aca="false">I13-MAX(0,I13)*I14/100</f>
        <v>3739.6381957549</v>
      </c>
      <c r="J15" s="0" t="n">
        <f aca="false">J13-MAX(0,J13)*J14/100</f>
        <v>3833.12915064877</v>
      </c>
      <c r="K15" s="0" t="n">
        <f aca="false">K13-MAX(0,K13)*K14/100</f>
        <v>3928.95737941499</v>
      </c>
      <c r="L15" s="0" t="n">
        <f aca="false">L13-MAX(0,L13)*L14/100</f>
        <v>4027.18131390037</v>
      </c>
    </row>
    <row r="16" customFormat="false" ht="15" hidden="false" customHeight="false" outlineLevel="0" collapsed="false">
      <c r="A16" s="0" t="s">
        <v>127</v>
      </c>
      <c r="C16" s="0" t="n">
        <f aca="false">-C12</f>
        <v>1359.0207</v>
      </c>
      <c r="D16" s="0" t="n">
        <f aca="false">-D12</f>
        <v>1406.5864245</v>
      </c>
      <c r="E16" s="0" t="n">
        <f aca="false">-E12</f>
        <v>1448.784017235</v>
      </c>
      <c r="F16" s="0" t="n">
        <f aca="false">-F12</f>
        <v>1492.24753775205</v>
      </c>
      <c r="G16" s="0" t="n">
        <f aca="false">-G12</f>
        <v>1529.55372619585</v>
      </c>
      <c r="H16" s="0" t="n">
        <f aca="false">-H12</f>
        <v>1567.79256935075</v>
      </c>
      <c r="I16" s="0" t="n">
        <f aca="false">-I12</f>
        <v>1606.98738358452</v>
      </c>
      <c r="J16" s="0" t="n">
        <f aca="false">-J12</f>
        <v>1647.16206817413</v>
      </c>
      <c r="K16" s="0" t="n">
        <f aca="false">-K12</f>
        <v>1688.34111987848</v>
      </c>
      <c r="L16" s="0" t="n">
        <f aca="false">-L12</f>
        <v>1730.54964787544</v>
      </c>
    </row>
    <row r="17" customFormat="false" ht="15" hidden="false" customHeight="false" outlineLevel="0" collapsed="false">
      <c r="A17" s="0" t="s">
        <v>128</v>
      </c>
      <c r="C17" s="4" t="n">
        <f aca="false">-C6*Assumptions!C18/100</f>
        <v>-1630.82484</v>
      </c>
      <c r="D17" s="4" t="n">
        <f aca="false">-D6*Assumptions!D18/100</f>
        <v>-1687.9037094</v>
      </c>
      <c r="E17" s="4" t="n">
        <f aca="false">-E6*Assumptions!E18/100</f>
        <v>-1738.540820682</v>
      </c>
      <c r="F17" s="4" t="n">
        <f aca="false">-F6*Assumptions!F18/100</f>
        <v>-1790.69704530246</v>
      </c>
      <c r="G17" s="4" t="n">
        <f aca="false">-G6*Assumptions!G18/100</f>
        <v>-1835.46447143502</v>
      </c>
      <c r="H17" s="4" t="n">
        <f aca="false">-H6*Assumptions!H18/100</f>
        <v>-1881.3510832209</v>
      </c>
      <c r="I17" s="4" t="n">
        <f aca="false">-I6*Assumptions!I18/100</f>
        <v>-1928.38486030142</v>
      </c>
      <c r="J17" s="4" t="n">
        <f aca="false">-J6*Assumptions!J18/100</f>
        <v>-1976.59448180895</v>
      </c>
      <c r="K17" s="4" t="n">
        <f aca="false">-K6*Assumptions!K18/100</f>
        <v>-2026.00934385418</v>
      </c>
      <c r="L17" s="4" t="n">
        <f aca="false">-L6*Assumptions!L18/100</f>
        <v>-2076.65957745053</v>
      </c>
    </row>
    <row r="18" customFormat="false" ht="15" hidden="false" customHeight="false" outlineLevel="0" collapsed="false">
      <c r="A18" s="0" t="s">
        <v>129</v>
      </c>
      <c r="C18" s="4" t="n">
        <f aca="false">(C6-B6)*Assumptions!$B$23/100</f>
        <v>-341.892000000001</v>
      </c>
      <c r="D18" s="4" t="n">
        <f aca="false">(D6-C6)*Assumptions!$B$23/100</f>
        <v>-211.403219999999</v>
      </c>
      <c r="E18" s="4" t="n">
        <f aca="false">(E6-D6)*Assumptions!$B$23/100</f>
        <v>-187.5448566</v>
      </c>
      <c r="F18" s="4" t="n">
        <f aca="false">(F6-E6)*Assumptions!$B$23/100</f>
        <v>-193.171202298</v>
      </c>
      <c r="G18" s="4" t="n">
        <f aca="false">(G6-F6)*Assumptions!$B$23/100</f>
        <v>-165.80528197245</v>
      </c>
      <c r="H18" s="4" t="n">
        <f aca="false">(H6-G6)*Assumptions!$B$23/100</f>
        <v>-169.95041402176</v>
      </c>
      <c r="I18" s="4" t="n">
        <f aca="false">(I6-H6)*Assumptions!$B$23/100</f>
        <v>-174.199174372305</v>
      </c>
      <c r="J18" s="4" t="n">
        <f aca="false">(J6-I6)*Assumptions!$B$23/100</f>
        <v>-178.554153731612</v>
      </c>
      <c r="K18" s="4" t="n">
        <f aca="false">(K6-J6)*Assumptions!$B$23/100</f>
        <v>-183.018007574903</v>
      </c>
      <c r="L18" s="4" t="n">
        <f aca="false">(L6-K6)*Assumptions!$B$23/100</f>
        <v>-187.593457764275</v>
      </c>
    </row>
    <row r="19" customFormat="false" ht="15" hidden="false" customHeight="false" outlineLevel="0" collapsed="false">
      <c r="A19" s="0" t="s">
        <v>130</v>
      </c>
      <c r="C19" s="0" t="n">
        <f aca="false">C15+C16+C17+C18</f>
        <v>2905.4124615</v>
      </c>
      <c r="D19" s="0" t="n">
        <f aca="false">D15+D16+D17+D18</f>
        <v>2993.738379294</v>
      </c>
      <c r="E19" s="0" t="n">
        <f aca="false">E15+E16+E17+E18</f>
        <v>2980.94578909295</v>
      </c>
      <c r="F19" s="0" t="n">
        <f aca="false">F15+F16+F17+F18</f>
        <v>2981.00511578258</v>
      </c>
      <c r="G19" s="0" t="n">
        <f aca="false">G15+G16+G17+G18</f>
        <v>3087.72544406015</v>
      </c>
      <c r="H19" s="0" t="n">
        <f aca="false">H15+H16+H17+H18</f>
        <v>3164.91858016165</v>
      </c>
      <c r="I19" s="0" t="n">
        <f aca="false">I15+I16+I17+I18</f>
        <v>3244.04154466569</v>
      </c>
      <c r="J19" s="0" t="n">
        <f aca="false">J15+J16+J17+J18</f>
        <v>3325.14258328233</v>
      </c>
      <c r="K19" s="0" t="n">
        <f aca="false">K15+K16+K17+K18</f>
        <v>3408.27114786439</v>
      </c>
      <c r="L19" s="0" t="n">
        <f aca="false">L15+L16+L17+L18</f>
        <v>3493.477926561</v>
      </c>
    </row>
    <row r="20" customFormat="false" ht="15" hidden="false" customHeight="false" outlineLevel="0" collapsed="false">
      <c r="A20" s="0" t="s">
        <v>131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132</v>
      </c>
      <c r="C21" s="0" t="n">
        <f aca="false">C19*C20</f>
        <v>2702.70926651163</v>
      </c>
      <c r="D21" s="0" t="n">
        <f aca="false">D19*D20</f>
        <v>2590.5794520662</v>
      </c>
      <c r="E21" s="0" t="n">
        <f aca="false">E19*E20</f>
        <v>2399.54382006551</v>
      </c>
      <c r="F21" s="0" t="n">
        <f aca="false">F19*F20</f>
        <v>2232.17820996408</v>
      </c>
      <c r="G21" s="0" t="n">
        <f aca="false">G19*G20</f>
        <v>2150.78181238719</v>
      </c>
      <c r="H21" s="0" t="n">
        <f aca="false">H19*H20</f>
        <v>2050.74544902035</v>
      </c>
      <c r="I21" s="0" t="n">
        <f aca="false">I19*I20</f>
        <v>1955.36193976358</v>
      </c>
      <c r="J21" s="0" t="n">
        <f aca="false">J19*J20</f>
        <v>1864.41487279784</v>
      </c>
      <c r="K21" s="0" t="n">
        <f aca="false">K19*K20</f>
        <v>1777.69790197003</v>
      </c>
      <c r="L21" s="0" t="n">
        <f aca="false">L19*L20</f>
        <v>1695.01427862259</v>
      </c>
    </row>
    <row r="23" customFormat="false" ht="15" hidden="false" customHeight="false" outlineLevel="0" collapsed="false">
      <c r="A23" s="0" t="s">
        <v>108</v>
      </c>
      <c r="C23" s="4" t="n">
        <f aca="false">Assumptions!C16</f>
        <v>3.85</v>
      </c>
      <c r="D23" s="4" t="n">
        <f aca="false">Assumptions!D16</f>
        <v>3.9</v>
      </c>
      <c r="E23" s="4" t="n">
        <f aca="false">Assumptions!E16</f>
        <v>3.95</v>
      </c>
      <c r="F23" s="4" t="n">
        <f aca="false">Assumptions!F16</f>
        <v>4</v>
      </c>
      <c r="G23" s="4" t="n">
        <f aca="false">Assumptions!G16</f>
        <v>4</v>
      </c>
      <c r="H23" s="4" t="n">
        <f aca="false">Assumptions!H16</f>
        <v>4</v>
      </c>
      <c r="I23" s="4" t="n">
        <f aca="false">Assumptions!I16</f>
        <v>4</v>
      </c>
      <c r="J23" s="4" t="n">
        <f aca="false">Assumptions!J16</f>
        <v>4</v>
      </c>
      <c r="K23" s="4" t="n">
        <f aca="false">Assumptions!K16</f>
        <v>4</v>
      </c>
      <c r="L23" s="4" t="n">
        <f aca="false">Assumptions!L16</f>
        <v>4</v>
      </c>
    </row>
    <row r="24" customFormat="false" ht="15" hidden="false" customHeight="false" outlineLevel="0" collapsed="false">
      <c r="A24" s="0" t="s">
        <v>133</v>
      </c>
      <c r="C24" s="0" t="n">
        <f aca="false">-C6*C23/100</f>
        <v>-1162.71771</v>
      </c>
      <c r="D24" s="0" t="n">
        <f aca="false">-D6*D23/100</f>
        <v>-1219.0415679</v>
      </c>
      <c r="E24" s="0" t="n">
        <f aca="false">-E6*E23/100</f>
        <v>-1271.7104151285</v>
      </c>
      <c r="F24" s="0" t="n">
        <f aca="false">-F6*F23/100</f>
        <v>-1326.4422557796</v>
      </c>
      <c r="G24" s="0" t="n">
        <f aca="false">-G6*G23/100</f>
        <v>-1359.60331217409</v>
      </c>
      <c r="H24" s="0" t="n">
        <f aca="false">-H6*H23/100</f>
        <v>-1393.59339497844</v>
      </c>
      <c r="I24" s="0" t="n">
        <f aca="false">-I6*I23/100</f>
        <v>-1428.4332298529</v>
      </c>
      <c r="J24" s="0" t="n">
        <f aca="false">-J6*J23/100</f>
        <v>-1464.14406059923</v>
      </c>
      <c r="K24" s="0" t="n">
        <f aca="false">-K6*K23/100</f>
        <v>-1500.74766211421</v>
      </c>
      <c r="L24" s="0" t="n">
        <f aca="false">-L6*L23/100</f>
        <v>-1538.26635366706</v>
      </c>
    </row>
    <row r="26" customFormat="false" ht="15" hidden="false" customHeight="false" outlineLevel="0" collapsed="false">
      <c r="A26" s="2" t="s">
        <v>134</v>
      </c>
    </row>
    <row r="27" customFormat="false" ht="15" hidden="false" customHeight="false" outlineLevel="0" collapsed="false">
      <c r="A27" s="0" t="s">
        <v>112</v>
      </c>
      <c r="B27" s="4" t="n">
        <f aca="false">Assumptions!$B$20</f>
        <v>7.5</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16</v>
      </c>
    </row>
    <row r="30" customFormat="false" ht="15" hidden="false" customHeight="false" outlineLevel="0" collapsed="false">
      <c r="A30" s="0" t="s">
        <v>135</v>
      </c>
      <c r="B30" s="0" t="n">
        <f aca="false">SUM(C21:L21)</f>
        <v>21419.027003169</v>
      </c>
    </row>
    <row r="31" customFormat="false" ht="15" hidden="false" customHeight="false" outlineLevel="0" collapsed="false">
      <c r="A31" s="0" t="s">
        <v>136</v>
      </c>
      <c r="B31" s="0" t="n">
        <f aca="false">L19</f>
        <v>3493.477926561</v>
      </c>
    </row>
    <row r="32" customFormat="false" ht="15" hidden="false" customHeight="false" outlineLevel="0" collapsed="false">
      <c r="A32" s="0" t="s">
        <v>137</v>
      </c>
      <c r="B32" s="0" t="n">
        <f aca="false">IF(B27&gt;B28,B31*(1+B28/100)/((B27-B28)/100),B31*B29)</f>
        <v>71616.2974945005</v>
      </c>
    </row>
    <row r="33" customFormat="false" ht="15" hidden="false" customHeight="false" outlineLevel="0" collapsed="false">
      <c r="A33" s="0" t="s">
        <v>138</v>
      </c>
      <c r="B33" s="0" t="n">
        <f aca="false">B31*B29</f>
        <v>55895.646824976</v>
      </c>
    </row>
    <row r="34" customFormat="false" ht="15" hidden="false" customHeight="false" outlineLevel="0" collapsed="false">
      <c r="A34" s="0" t="s">
        <v>139</v>
      </c>
      <c r="B34" s="0" t="n">
        <f aca="false">MAX(0,MIN(B32,B33))</f>
        <v>55895.646824976</v>
      </c>
    </row>
    <row r="35" customFormat="false" ht="15" hidden="false" customHeight="false" outlineLevel="0" collapsed="false">
      <c r="A35" s="0" t="s">
        <v>140</v>
      </c>
      <c r="B35" s="0" t="n">
        <f aca="false">B34/(1+B27/100)^L4</f>
        <v>27120.2284579614</v>
      </c>
    </row>
    <row r="36" customFormat="false" ht="15" hidden="false" customHeight="false" outlineLevel="0" collapsed="false">
      <c r="A36" s="0" t="s">
        <v>141</v>
      </c>
      <c r="B36" s="0" t="n">
        <f aca="false">B30+B35</f>
        <v>48539.2554611304</v>
      </c>
    </row>
    <row r="37" customFormat="false" ht="15" hidden="false" customHeight="false" outlineLevel="0" collapsed="false">
      <c r="A37" s="0" t="s">
        <v>142</v>
      </c>
      <c r="B37" s="0" t="n">
        <f aca="false">B36+Assumptions!$B$5-Assumptions!$B$4</f>
        <v>36261.2554611304</v>
      </c>
    </row>
    <row r="38" customFormat="false" ht="15" hidden="false" customHeight="false" outlineLevel="0" collapsed="false">
      <c r="A38" s="0" t="s">
        <v>143</v>
      </c>
      <c r="B38" s="0" t="n">
        <f aca="false">B37/Assumptions!$B$3*Assumptions!$B$10</f>
        <v>78.3518916619066</v>
      </c>
    </row>
    <row r="39" customFormat="false" ht="15" hidden="false" customHeight="false" outlineLevel="0" collapsed="false">
      <c r="A39" s="0" t="s">
        <v>144</v>
      </c>
      <c r="B39" s="4" t="n">
        <f aca="false">B38/Assumptions!$B$2-1</f>
        <v>-0.567594416876895</v>
      </c>
    </row>
    <row r="41" customFormat="false" ht="15" hidden="false" customHeight="false" outlineLevel="0" collapsed="false">
      <c r="A41" s="0" t="s">
        <v>145</v>
      </c>
      <c r="B41" s="0" t="n">
        <f aca="false">SUMPRODUCT(-C10:L10/(1+$B$27/100)^C4:L4)</f>
        <v>2091.74464907487</v>
      </c>
    </row>
    <row r="42" customFormat="false" ht="15" hidden="false" customHeight="false" outlineLevel="0" collapsed="false">
      <c r="A42" s="0" t="s">
        <v>146</v>
      </c>
      <c r="B42" s="0" t="n">
        <f aca="false">IF(B27&gt;B28,-L10*(1+B28/100)/((B27-B28)/100),-L10*20)/(1+B27/100)^L4</f>
        <v>3442.57394527095</v>
      </c>
    </row>
    <row r="43" customFormat="false" ht="15" hidden="false" customHeight="false" outlineLevel="0" collapsed="false">
      <c r="A43" s="0" t="s">
        <v>147</v>
      </c>
      <c r="B43" s="0" t="n">
        <f aca="false">(B37+B41+B42)/Assumptions!$B$3*Assumptions!$B$10</f>
        <v>90.3102291604931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28646.5189978002</v>
      </c>
    </row>
    <row r="47" customFormat="false" ht="15" hidden="false" customHeight="false" outlineLevel="0" collapsed="false">
      <c r="A47" s="0" t="s">
        <v>149</v>
      </c>
      <c r="B47" s="0" t="n">
        <f aca="false">(SUMPRODUCT(C19:L19/(1+B45/100)^C4:L4)+B46/(1+B45/100)^L4+Assumptions!$B$5-Assumptions!$B$4)/Assumptions!$B$3*Assumptions!$B$10</f>
        <v>22.2556134038058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6.5</v>
      </c>
      <c r="D5" s="4" t="n">
        <f aca="false">Assumptions!D27</f>
        <v>6.5</v>
      </c>
      <c r="E5" s="4" t="n">
        <f aca="false">Assumptions!E27</f>
        <v>6</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37</v>
      </c>
      <c r="B6" s="3" t="n">
        <v>28491</v>
      </c>
      <c r="C6" s="0" t="n">
        <f aca="false">B6*(1+C5/100)</f>
        <v>30342.915</v>
      </c>
      <c r="D6" s="0" t="n">
        <f aca="false">C6*(1+D5/100)</f>
        <v>32315.204475</v>
      </c>
      <c r="E6" s="0" t="n">
        <f aca="false">D6*(1+E5/100)</f>
        <v>34254.1167435</v>
      </c>
      <c r="F6" s="0" t="n">
        <f aca="false">E6*(1+F5/100)</f>
        <v>36309.36374811</v>
      </c>
      <c r="G6" s="0" t="n">
        <f aca="false">F6*(1+G5/100)</f>
        <v>38306.378754256</v>
      </c>
      <c r="H6" s="0" t="n">
        <f aca="false">G6*(1+H5/100)</f>
        <v>40221.6976919688</v>
      </c>
      <c r="I6" s="0" t="n">
        <f aca="false">H6*(1+I5/100)</f>
        <v>42031.6740881074</v>
      </c>
      <c r="J6" s="0" t="n">
        <f aca="false">I6*(1+J5/100)</f>
        <v>43712.9410516317</v>
      </c>
      <c r="K6" s="0" t="n">
        <f aca="false">J6*(1+K5/100)</f>
        <v>45242.8939884388</v>
      </c>
      <c r="L6" s="0" t="n">
        <f aca="false">K6*(1+L5/100)</f>
        <v>46600.180808092</v>
      </c>
    </row>
    <row r="7" customFormat="false" ht="15" hidden="false" customHeight="false" outlineLevel="0" collapsed="false">
      <c r="A7" s="0" t="s">
        <v>106</v>
      </c>
      <c r="C7" s="4" t="n">
        <f aca="false">Assumptions!C28</f>
        <v>24.4</v>
      </c>
      <c r="D7" s="4" t="n">
        <f aca="false">Assumptions!D28</f>
        <v>24.8</v>
      </c>
      <c r="E7" s="4" t="n">
        <f aca="false">Assumptions!E28</f>
        <v>25.1</v>
      </c>
      <c r="F7" s="4" t="n">
        <f aca="false">Assumptions!F28</f>
        <v>25.4</v>
      </c>
      <c r="G7" s="4" t="n">
        <f aca="false">Assumptions!G28</f>
        <v>25.6</v>
      </c>
      <c r="H7" s="4" t="n">
        <f aca="false">Assumptions!H28</f>
        <v>25.8</v>
      </c>
      <c r="I7" s="4" t="n">
        <f aca="false">Assumptions!I28</f>
        <v>25.8</v>
      </c>
      <c r="J7" s="4" t="n">
        <f aca="false">Assumptions!J28</f>
        <v>25.8</v>
      </c>
      <c r="K7" s="4" t="n">
        <f aca="false">Assumptions!K28</f>
        <v>25.8</v>
      </c>
      <c r="L7" s="4" t="n">
        <f aca="false">Assumptions!L28</f>
        <v>25.8</v>
      </c>
    </row>
    <row r="8" customFormat="false" ht="15" hidden="false" customHeight="false" outlineLevel="0" collapsed="false">
      <c r="A8" s="0" t="s">
        <v>43</v>
      </c>
      <c r="C8" s="0" t="n">
        <f aca="false">C6*C7/100</f>
        <v>7403.67126</v>
      </c>
      <c r="D8" s="0" t="n">
        <f aca="false">D6*D7/100</f>
        <v>8014.1707098</v>
      </c>
      <c r="E8" s="0" t="n">
        <f aca="false">E6*E7/100</f>
        <v>8597.7833026185</v>
      </c>
      <c r="F8" s="0" t="n">
        <f aca="false">F6*F7/100</f>
        <v>9222.57839201994</v>
      </c>
      <c r="G8" s="0" t="n">
        <f aca="false">G6*G7/100</f>
        <v>9806.43296108955</v>
      </c>
      <c r="H8" s="0" t="n">
        <f aca="false">H6*H7/100</f>
        <v>10377.198004528</v>
      </c>
      <c r="I8" s="0" t="n">
        <f aca="false">I6*I7/100</f>
        <v>10844.1719147317</v>
      </c>
      <c r="J8" s="0" t="n">
        <f aca="false">J6*J7/100</f>
        <v>11277.938791321</v>
      </c>
      <c r="K8" s="0" t="n">
        <f aca="false">K6*K7/100</f>
        <v>11672.6666490172</v>
      </c>
      <c r="L8" s="0" t="n">
        <f aca="false">L6*L7/100</f>
        <v>12022.8466484877</v>
      </c>
    </row>
    <row r="9" customFormat="false" ht="15" hidden="false" customHeight="false" outlineLevel="0" collapsed="false">
      <c r="A9" s="0" t="s">
        <v>107</v>
      </c>
      <c r="C9" s="4" t="n">
        <f aca="false">Assumptions!C29</f>
        <v>0.9</v>
      </c>
      <c r="D9" s="4" t="n">
        <f aca="false">Assumptions!D29</f>
        <v>0.9</v>
      </c>
      <c r="E9" s="4" t="n">
        <f aca="false">Assumptions!E29</f>
        <v>0.9</v>
      </c>
      <c r="F9" s="4" t="n">
        <f aca="false">Assumptions!F29</f>
        <v>0.85</v>
      </c>
      <c r="G9" s="4" t="n">
        <f aca="false">Assumptions!G29</f>
        <v>0.85</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122</v>
      </c>
      <c r="C10" s="0" t="n">
        <f aca="false">-C6*C9/100</f>
        <v>-273.086235</v>
      </c>
      <c r="D10" s="0" t="n">
        <f aca="false">-D6*D9/100</f>
        <v>-290.836840275</v>
      </c>
      <c r="E10" s="0" t="n">
        <f aca="false">-E6*E9/100</f>
        <v>-308.2870506915</v>
      </c>
      <c r="F10" s="0" t="n">
        <f aca="false">-F6*F9/100</f>
        <v>-308.629591858935</v>
      </c>
      <c r="G10" s="0" t="n">
        <f aca="false">-G6*G9/100</f>
        <v>-325.604219411176</v>
      </c>
      <c r="H10" s="0" t="n">
        <f aca="false">-H6*H9/100</f>
        <v>-321.773581535751</v>
      </c>
      <c r="I10" s="0" t="n">
        <f aca="false">-I6*I9/100</f>
        <v>-336.25339270486</v>
      </c>
      <c r="J10" s="0" t="n">
        <f aca="false">-J6*J9/100</f>
        <v>-349.703528413054</v>
      </c>
      <c r="K10" s="0" t="n">
        <f aca="false">-K6*K9/100</f>
        <v>-361.943151907511</v>
      </c>
      <c r="L10" s="0" t="n">
        <f aca="false">-L6*L9/100</f>
        <v>-372.801446464736</v>
      </c>
    </row>
    <row r="11" customFormat="false" ht="15" hidden="false" customHeight="false" outlineLevel="0" collapsed="false">
      <c r="A11" s="0" t="s">
        <v>123</v>
      </c>
      <c r="C11" s="0" t="n">
        <f aca="false">C8+C10+C24</f>
        <v>5962.3827975</v>
      </c>
      <c r="D11" s="0" t="n">
        <f aca="false">D8+D10+D24</f>
        <v>6479.1984972375</v>
      </c>
      <c r="E11" s="0" t="n">
        <f aca="false">E8+E10+E24</f>
        <v>6970.71275730225</v>
      </c>
      <c r="F11" s="0" t="n">
        <f aca="false">F8+F10+F24</f>
        <v>7516.03829585877</v>
      </c>
      <c r="G11" s="0" t="n">
        <f aca="false">G8+G10+G24</f>
        <v>8006.03315963951</v>
      </c>
      <c r="H11" s="0" t="n">
        <f aca="false">H8+H10+H24</f>
        <v>8506.88906185141</v>
      </c>
      <c r="I11" s="0" t="n">
        <f aca="false">I8+I10+I24</f>
        <v>8889.69906963472</v>
      </c>
      <c r="J11" s="0" t="n">
        <f aca="false">J8+J10+J24</f>
        <v>9245.28703242011</v>
      </c>
      <c r="K11" s="0" t="n">
        <f aca="false">K8+K10+K24</f>
        <v>9568.87207855482</v>
      </c>
      <c r="L11" s="0" t="n">
        <f aca="false">L8+L10+L24</f>
        <v>9855.93824091146</v>
      </c>
    </row>
    <row r="12" customFormat="false" ht="15" hidden="false" customHeight="false" outlineLevel="0" collapsed="false">
      <c r="A12" s="0" t="s">
        <v>124</v>
      </c>
      <c r="C12" s="4" t="n">
        <f aca="false">-C6*Assumptions!C31/100</f>
        <v>-1365.431175</v>
      </c>
      <c r="D12" s="4" t="n">
        <f aca="false">-D6*Assumptions!D31/100</f>
        <v>-1454.184201375</v>
      </c>
      <c r="E12" s="4" t="n">
        <f aca="false">-E6*Assumptions!E31/100</f>
        <v>-1541.4352534575</v>
      </c>
      <c r="F12" s="4" t="n">
        <f aca="false">-F6*Assumptions!F31/100</f>
        <v>-1633.92136866495</v>
      </c>
      <c r="G12" s="4" t="n">
        <f aca="false">-G6*Assumptions!G31/100</f>
        <v>-1723.78704394152</v>
      </c>
      <c r="H12" s="4" t="n">
        <f aca="false">-H6*Assumptions!H31/100</f>
        <v>-1809.9763961386</v>
      </c>
      <c r="I12" s="4" t="n">
        <f aca="false">-I6*Assumptions!I31/100</f>
        <v>-1891.42533396483</v>
      </c>
      <c r="J12" s="4" t="n">
        <f aca="false">-J6*Assumptions!J31/100</f>
        <v>-1967.08234732343</v>
      </c>
      <c r="K12" s="4" t="n">
        <f aca="false">-K6*Assumptions!K31/100</f>
        <v>-2035.93022947975</v>
      </c>
      <c r="L12" s="4" t="n">
        <f aca="false">-L6*Assumptions!L31/100</f>
        <v>-2097.00813636414</v>
      </c>
    </row>
    <row r="13" customFormat="false" ht="15" hidden="false" customHeight="false" outlineLevel="0" collapsed="false">
      <c r="A13" s="0" t="s">
        <v>125</v>
      </c>
      <c r="C13" s="0" t="n">
        <f aca="false">C11+C12</f>
        <v>4596.9516225</v>
      </c>
      <c r="D13" s="0" t="n">
        <f aca="false">D11+D12</f>
        <v>5025.0142958625</v>
      </c>
      <c r="E13" s="0" t="n">
        <f aca="false">E11+E12</f>
        <v>5429.27750384475</v>
      </c>
      <c r="F13" s="0" t="n">
        <f aca="false">F11+F12</f>
        <v>5882.11692719382</v>
      </c>
      <c r="G13" s="0" t="n">
        <f aca="false">G11+G12</f>
        <v>6282.24611569799</v>
      </c>
      <c r="H13" s="0" t="n">
        <f aca="false">H11+H12</f>
        <v>6696.91266571281</v>
      </c>
      <c r="I13" s="0" t="n">
        <f aca="false">I11+I12</f>
        <v>6998.27373566989</v>
      </c>
      <c r="J13" s="0" t="n">
        <f aca="false">J11+J12</f>
        <v>7278.20468509668</v>
      </c>
      <c r="K13" s="0" t="n">
        <f aca="false">K11+K12</f>
        <v>7532.94184907507</v>
      </c>
      <c r="L13" s="0" t="n">
        <f aca="false">L11+L12</f>
        <v>7758.93010454732</v>
      </c>
    </row>
    <row r="14" customFormat="false" ht="15" hidden="false" customHeight="false" outlineLevel="0" collapsed="false">
      <c r="A14" s="0" t="s">
        <v>111</v>
      </c>
      <c r="C14" s="4" t="n">
        <f aca="false">Assumptions!C33</f>
        <v>21</v>
      </c>
      <c r="D14" s="4" t="n">
        <f aca="false">Assumptions!D33</f>
        <v>21.5</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126</v>
      </c>
      <c r="C15" s="0" t="n">
        <f aca="false">C13-MAX(0,C13)*C14/100</f>
        <v>3631.591781775</v>
      </c>
      <c r="D15" s="0" t="n">
        <f aca="false">D13-MAX(0,D13)*D14/100</f>
        <v>3944.63622225206</v>
      </c>
      <c r="E15" s="0" t="n">
        <f aca="false">E13-MAX(0,E13)*E14/100</f>
        <v>4234.83645299891</v>
      </c>
      <c r="F15" s="0" t="n">
        <f aca="false">F13-MAX(0,F13)*F14/100</f>
        <v>4588.05120321118</v>
      </c>
      <c r="G15" s="0" t="n">
        <f aca="false">G13-MAX(0,G13)*G14/100</f>
        <v>4900.15197024443</v>
      </c>
      <c r="H15" s="0" t="n">
        <f aca="false">H13-MAX(0,H13)*H14/100</f>
        <v>5223.59187925599</v>
      </c>
      <c r="I15" s="0" t="n">
        <f aca="false">I13-MAX(0,I13)*I14/100</f>
        <v>5458.65351382251</v>
      </c>
      <c r="J15" s="0" t="n">
        <f aca="false">J13-MAX(0,J13)*J14/100</f>
        <v>5676.99965437541</v>
      </c>
      <c r="K15" s="0" t="n">
        <f aca="false">K13-MAX(0,K13)*K14/100</f>
        <v>5875.69464227855</v>
      </c>
      <c r="L15" s="0" t="n">
        <f aca="false">L13-MAX(0,L13)*L14/100</f>
        <v>6051.96548154691</v>
      </c>
    </row>
    <row r="16" customFormat="false" ht="15" hidden="false" customHeight="false" outlineLevel="0" collapsed="false">
      <c r="A16" s="0" t="s">
        <v>127</v>
      </c>
      <c r="C16" s="0" t="n">
        <f aca="false">-C12</f>
        <v>1365.431175</v>
      </c>
      <c r="D16" s="0" t="n">
        <f aca="false">-D12</f>
        <v>1454.184201375</v>
      </c>
      <c r="E16" s="0" t="n">
        <f aca="false">-E12</f>
        <v>1541.4352534575</v>
      </c>
      <c r="F16" s="0" t="n">
        <f aca="false">-F12</f>
        <v>1633.92136866495</v>
      </c>
      <c r="G16" s="0" t="n">
        <f aca="false">-G12</f>
        <v>1723.78704394152</v>
      </c>
      <c r="H16" s="0" t="n">
        <f aca="false">-H12</f>
        <v>1809.9763961386</v>
      </c>
      <c r="I16" s="0" t="n">
        <f aca="false">-I12</f>
        <v>1891.42533396483</v>
      </c>
      <c r="J16" s="0" t="n">
        <f aca="false">-J12</f>
        <v>1967.08234732343</v>
      </c>
      <c r="K16" s="0" t="n">
        <f aca="false">-K12</f>
        <v>2035.93022947975</v>
      </c>
      <c r="L16" s="0" t="n">
        <f aca="false">-L12</f>
        <v>2097.00813636414</v>
      </c>
    </row>
    <row r="17" customFormat="false" ht="15" hidden="false" customHeight="false" outlineLevel="0" collapsed="false">
      <c r="A17" s="0" t="s">
        <v>128</v>
      </c>
      <c r="C17" s="4" t="n">
        <f aca="false">-C6*Assumptions!C32/100</f>
        <v>-1577.83158</v>
      </c>
      <c r="D17" s="4" t="n">
        <f aca="false">-D6*Assumptions!D32/100</f>
        <v>-1680.3906327</v>
      </c>
      <c r="E17" s="4" t="n">
        <f aca="false">-E6*Assumptions!E32/100</f>
        <v>-1746.9599539185</v>
      </c>
      <c r="F17" s="4" t="n">
        <f aca="false">-F6*Assumptions!F32/100</f>
        <v>-1851.77755115361</v>
      </c>
      <c r="G17" s="4" t="n">
        <f aca="false">-G6*Assumptions!G32/100</f>
        <v>-1915.3189377128</v>
      </c>
      <c r="H17" s="4" t="n">
        <f aca="false">-H6*Assumptions!H32/100</f>
        <v>-2011.08488459844</v>
      </c>
      <c r="I17" s="4" t="n">
        <f aca="false">-I6*Assumptions!I32/100</f>
        <v>-2101.58370440537</v>
      </c>
      <c r="J17" s="4" t="n">
        <f aca="false">-J6*Assumptions!J32/100</f>
        <v>-2185.64705258159</v>
      </c>
      <c r="K17" s="4" t="n">
        <f aca="false">-K6*Assumptions!K32/100</f>
        <v>-2262.14469942194</v>
      </c>
      <c r="L17" s="4" t="n">
        <f aca="false">-L6*Assumptions!L32/100</f>
        <v>-2330.0090404046</v>
      </c>
    </row>
    <row r="18" customFormat="false" ht="15" hidden="false" customHeight="false" outlineLevel="0" collapsed="false">
      <c r="A18" s="0" t="s">
        <v>129</v>
      </c>
      <c r="C18" s="4" t="n">
        <f aca="false">(C6-B6)*Assumptions!$B$37/100</f>
        <v>-277.78725</v>
      </c>
      <c r="D18" s="4" t="n">
        <f aca="false">(D6-C6)*Assumptions!$B$37/100</f>
        <v>-295.84342125</v>
      </c>
      <c r="E18" s="4" t="n">
        <f aca="false">(E6-D6)*Assumptions!$B$37/100</f>
        <v>-290.836840275</v>
      </c>
      <c r="F18" s="4" t="n">
        <f aca="false">(F6-E6)*Assumptions!$B$37/100</f>
        <v>-308.2870506915</v>
      </c>
      <c r="G18" s="4" t="n">
        <f aca="false">(G6-F6)*Assumptions!$B$37/100</f>
        <v>-299.552250921907</v>
      </c>
      <c r="H18" s="4" t="n">
        <f aca="false">(H6-G6)*Assumptions!$B$37/100</f>
        <v>-287.29784065692</v>
      </c>
      <c r="I18" s="4" t="n">
        <f aca="false">(I6-H6)*Assumptions!$B$37/100</f>
        <v>-271.49645942079</v>
      </c>
      <c r="J18" s="4" t="n">
        <f aca="false">(J6-I6)*Assumptions!$B$37/100</f>
        <v>-252.190044528645</v>
      </c>
      <c r="K18" s="4" t="n">
        <f aca="false">(K6-J6)*Assumptions!$B$37/100</f>
        <v>-229.492940521066</v>
      </c>
      <c r="L18" s="4" t="n">
        <f aca="false">(L6-K6)*Assumptions!$B$37/100</f>
        <v>-203.593022947975</v>
      </c>
    </row>
    <row r="19" customFormat="false" ht="15" hidden="false" customHeight="false" outlineLevel="0" collapsed="false">
      <c r="A19" s="0" t="s">
        <v>130</v>
      </c>
      <c r="C19" s="0" t="n">
        <f aca="false">C15+C16+C17+C18</f>
        <v>3141.404126775</v>
      </c>
      <c r="D19" s="0" t="n">
        <f aca="false">D15+D16+D17+D18</f>
        <v>3422.58636967706</v>
      </c>
      <c r="E19" s="0" t="n">
        <f aca="false">E15+E16+E17+E18</f>
        <v>3738.47491226291</v>
      </c>
      <c r="F19" s="0" t="n">
        <f aca="false">F15+F16+F17+F18</f>
        <v>4061.90797003102</v>
      </c>
      <c r="G19" s="0" t="n">
        <f aca="false">G15+G16+G17+G18</f>
        <v>4409.06782555125</v>
      </c>
      <c r="H19" s="0" t="n">
        <f aca="false">H15+H16+H17+H18</f>
        <v>4735.18555013923</v>
      </c>
      <c r="I19" s="0" t="n">
        <f aca="false">I15+I16+I17+I18</f>
        <v>4976.99868396119</v>
      </c>
      <c r="J19" s="0" t="n">
        <f aca="false">J15+J16+J17+J18</f>
        <v>5206.24490458861</v>
      </c>
      <c r="K19" s="0" t="n">
        <f aca="false">K15+K16+K17+K18</f>
        <v>5419.98723181529</v>
      </c>
      <c r="L19" s="0" t="n">
        <f aca="false">L15+L16+L17+L18</f>
        <v>5615.37155455848</v>
      </c>
    </row>
    <row r="20" customFormat="false" ht="15" hidden="false" customHeight="false" outlineLevel="0" collapsed="false">
      <c r="A20" s="0" t="s">
        <v>131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132</v>
      </c>
      <c r="C21" s="0" t="n">
        <f aca="false">C19*C20</f>
        <v>2922.236397</v>
      </c>
      <c r="D21" s="0" t="n">
        <f aca="false">D19*D20</f>
        <v>2961.67560383088</v>
      </c>
      <c r="E21" s="0" t="n">
        <f aca="false">E19*E20</f>
        <v>3009.32489447251</v>
      </c>
      <c r="F21" s="0" t="n">
        <f aca="false">F19*F20</f>
        <v>3041.55883986211</v>
      </c>
      <c r="G21" s="0" t="n">
        <f aca="false">G19*G20</f>
        <v>3071.17425450488</v>
      </c>
      <c r="H21" s="0" t="n">
        <f aca="false">H19*H20</f>
        <v>3068.2180192828</v>
      </c>
      <c r="I21" s="0" t="n">
        <f aca="false">I19*I20</f>
        <v>2999.91034851992</v>
      </c>
      <c r="J21" s="0" t="n">
        <f aca="false">J19*J20</f>
        <v>2919.15314559574</v>
      </c>
      <c r="K21" s="0" t="n">
        <f aca="false">K19*K20</f>
        <v>2826.97576357436</v>
      </c>
      <c r="L21" s="0" t="n">
        <f aca="false">L19*L20</f>
        <v>2724.54418342853</v>
      </c>
    </row>
    <row r="23" customFormat="false" ht="15" hidden="false" customHeight="false" outlineLevel="0" collapsed="false">
      <c r="A23" s="0" t="s">
        <v>108</v>
      </c>
      <c r="C23" s="4" t="n">
        <f aca="false">Assumptions!C30</f>
        <v>3.85</v>
      </c>
      <c r="D23" s="4" t="n">
        <f aca="false">Assumptions!D30</f>
        <v>3.85</v>
      </c>
      <c r="E23" s="4" t="n">
        <f aca="false">Assumptions!E30</f>
        <v>3.85</v>
      </c>
      <c r="F23" s="4" t="n">
        <f aca="false">Assumptions!F30</f>
        <v>3.85</v>
      </c>
      <c r="G23" s="4" t="n">
        <f aca="false">Assumptions!G30</f>
        <v>3.85</v>
      </c>
      <c r="H23" s="4" t="n">
        <f aca="false">Assumptions!H30</f>
        <v>3.85</v>
      </c>
      <c r="I23" s="4" t="n">
        <f aca="false">Assumptions!I30</f>
        <v>3.85</v>
      </c>
      <c r="J23" s="4" t="n">
        <f aca="false">Assumptions!J30</f>
        <v>3.85</v>
      </c>
      <c r="K23" s="4" t="n">
        <f aca="false">Assumptions!K30</f>
        <v>3.85</v>
      </c>
      <c r="L23" s="4" t="n">
        <f aca="false">Assumptions!L30</f>
        <v>3.85</v>
      </c>
    </row>
    <row r="24" customFormat="false" ht="15" hidden="false" customHeight="false" outlineLevel="0" collapsed="false">
      <c r="A24" s="0" t="s">
        <v>133</v>
      </c>
      <c r="C24" s="0" t="n">
        <f aca="false">-C6*C23/100</f>
        <v>-1168.2022275</v>
      </c>
      <c r="D24" s="0" t="n">
        <f aca="false">-D6*D23/100</f>
        <v>-1244.1353722875</v>
      </c>
      <c r="E24" s="0" t="n">
        <f aca="false">-E6*E23/100</f>
        <v>-1318.78349462475</v>
      </c>
      <c r="F24" s="0" t="n">
        <f aca="false">-F6*F23/100</f>
        <v>-1397.91050430223</v>
      </c>
      <c r="G24" s="0" t="n">
        <f aca="false">-G6*G23/100</f>
        <v>-1474.79558203886</v>
      </c>
      <c r="H24" s="0" t="n">
        <f aca="false">-H6*H23/100</f>
        <v>-1548.5353611408</v>
      </c>
      <c r="I24" s="0" t="n">
        <f aca="false">-I6*I23/100</f>
        <v>-1618.21945239214</v>
      </c>
      <c r="J24" s="0" t="n">
        <f aca="false">-J6*J23/100</f>
        <v>-1682.94823048782</v>
      </c>
      <c r="K24" s="0" t="n">
        <f aca="false">-K6*K23/100</f>
        <v>-1741.8514185549</v>
      </c>
      <c r="L24" s="0" t="n">
        <f aca="false">-L6*L23/100</f>
        <v>-1794.10696111154</v>
      </c>
    </row>
    <row r="26" customFormat="false" ht="15" hidden="false" customHeight="false" outlineLevel="0" collapsed="false">
      <c r="A26" s="2" t="s">
        <v>134</v>
      </c>
    </row>
    <row r="27" customFormat="false" ht="15" hidden="false" customHeight="false" outlineLevel="0" collapsed="false">
      <c r="A27" s="0" t="s">
        <v>112</v>
      </c>
      <c r="B27" s="4" t="n">
        <f aca="false">Assumptions!$B$34</f>
        <v>7.5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20</v>
      </c>
    </row>
    <row r="30" customFormat="false" ht="15" hidden="false" customHeight="false" outlineLevel="0" collapsed="false">
      <c r="A30" s="0" t="s">
        <v>135</v>
      </c>
      <c r="B30" s="0" t="n">
        <f aca="false">SUM(C21:L21)</f>
        <v>29544.7714500717</v>
      </c>
    </row>
    <row r="31" customFormat="false" ht="15" hidden="false" customHeight="false" outlineLevel="0" collapsed="false">
      <c r="A31" s="0" t="s">
        <v>136</v>
      </c>
      <c r="B31" s="0" t="n">
        <f aca="false">L19</f>
        <v>5615.37155455848</v>
      </c>
    </row>
    <row r="32" customFormat="false" ht="15" hidden="false" customHeight="false" outlineLevel="0" collapsed="false">
      <c r="A32" s="0" t="s">
        <v>137</v>
      </c>
      <c r="B32" s="0" t="n">
        <f aca="false">IF(B27&gt;B28,B31*(1+B28/100)/((B27-B28)/100),B31*B29)</f>
        <v>115115.116868449</v>
      </c>
    </row>
    <row r="33" customFormat="false" ht="15" hidden="false" customHeight="false" outlineLevel="0" collapsed="false">
      <c r="A33" s="0" t="s">
        <v>138</v>
      </c>
      <c r="B33" s="0" t="n">
        <f aca="false">B31*B29</f>
        <v>112307.431091169</v>
      </c>
    </row>
    <row r="34" customFormat="false" ht="15" hidden="false" customHeight="false" outlineLevel="0" collapsed="false">
      <c r="A34" s="0" t="s">
        <v>139</v>
      </c>
      <c r="B34" s="0" t="n">
        <f aca="false">MAX(0,MIN(B32,B33))</f>
        <v>112307.431091169</v>
      </c>
    </row>
    <row r="35" customFormat="false" ht="15" hidden="false" customHeight="false" outlineLevel="0" collapsed="false">
      <c r="A35" s="0" t="s">
        <v>140</v>
      </c>
      <c r="B35" s="0" t="n">
        <f aca="false">B34/(1+B27/100)^L4</f>
        <v>54490.8836685706</v>
      </c>
    </row>
    <row r="36" customFormat="false" ht="15" hidden="false" customHeight="false" outlineLevel="0" collapsed="false">
      <c r="A36" s="0" t="s">
        <v>141</v>
      </c>
      <c r="B36" s="0" t="n">
        <f aca="false">B30+B35</f>
        <v>84035.6551186423</v>
      </c>
    </row>
    <row r="37" customFormat="false" ht="15" hidden="false" customHeight="false" outlineLevel="0" collapsed="false">
      <c r="A37" s="0" t="s">
        <v>142</v>
      </c>
      <c r="B37" s="0" t="n">
        <f aca="false">B36+Assumptions!$B$5-Assumptions!$B$4</f>
        <v>71757.6551186423</v>
      </c>
    </row>
    <row r="38" customFormat="false" ht="15" hidden="false" customHeight="false" outlineLevel="0" collapsed="false">
      <c r="A38" s="0" t="s">
        <v>143</v>
      </c>
      <c r="B38" s="0" t="n">
        <f aca="false">B37/Assumptions!$B$3*Assumptions!$B$10</f>
        <v>155.05111304806</v>
      </c>
    </row>
    <row r="39" customFormat="false" ht="15" hidden="false" customHeight="false" outlineLevel="0" collapsed="false">
      <c r="A39" s="0" t="s">
        <v>144</v>
      </c>
      <c r="B39" s="4" t="n">
        <f aca="false">B38/Assumptions!$B$2-1</f>
        <v>-0.144309530639844</v>
      </c>
    </row>
    <row r="41" customFormat="false" ht="15" hidden="false" customHeight="false" outlineLevel="0" collapsed="false">
      <c r="A41" s="0" t="s">
        <v>145</v>
      </c>
      <c r="B41" s="0" t="n">
        <f aca="false">SUMPRODUCT(-C10:L10/(1+$B$27/100)^C4:L4)</f>
        <v>2188.68705400546</v>
      </c>
    </row>
    <row r="42" customFormat="false" ht="15" hidden="false" customHeight="false" outlineLevel="0" collapsed="false">
      <c r="A42" s="0" t="s">
        <v>146</v>
      </c>
      <c r="B42" s="0" t="n">
        <f aca="false">IF(B27&gt;B28,-L10*(1+B28/100)/((B27-B28)/100),-L10*20)/(1+B27/100)^L4</f>
        <v>3708.06046487721</v>
      </c>
    </row>
    <row r="43" customFormat="false" ht="15" hidden="false" customHeight="false" outlineLevel="0" collapsed="false">
      <c r="A43" s="0" t="s">
        <v>147</v>
      </c>
      <c r="B43" s="0" t="n">
        <f aca="false">(B37+B41+B42)/Assumptions!$B$3*Assumptions!$B$10</f>
        <v>167.792572682638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46046.0467473795</v>
      </c>
    </row>
    <row r="47" customFormat="false" ht="15" hidden="false" customHeight="false" outlineLevel="0" collapsed="false">
      <c r="A47" s="0" t="s">
        <v>149</v>
      </c>
      <c r="B47" s="0" t="n">
        <f aca="false">(SUMPRODUCT(C19:L19/(1+B45/100)^C4:L4)+B46/(1+B45/100)^L4+Assumptions!$B$5-Assumptions!$B$4)/Assumptions!$B$3*Assumptions!$B$10</f>
        <v>43.0962772262853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6.5</v>
      </c>
      <c r="D5" s="4" t="n">
        <f aca="false">Assumptions!D41</f>
        <v>9</v>
      </c>
      <c r="E5" s="4" t="n">
        <f aca="false">Assumptions!E41</f>
        <v>8.5</v>
      </c>
      <c r="F5" s="4" t="n">
        <f aca="false">Assumptions!F41</f>
        <v>8</v>
      </c>
      <c r="G5" s="4" t="n">
        <f aca="false">Assumptions!G41</f>
        <v>7.5</v>
      </c>
      <c r="H5" s="4" t="n">
        <f aca="false">Assumptions!H41</f>
        <v>6.5</v>
      </c>
      <c r="I5" s="4" t="n">
        <f aca="false">Assumptions!I41</f>
        <v>5.5</v>
      </c>
      <c r="J5" s="4" t="n">
        <f aca="false">Assumptions!J41</f>
        <v>4.5</v>
      </c>
      <c r="K5" s="4" t="n">
        <f aca="false">Assumptions!K41</f>
        <v>4</v>
      </c>
      <c r="L5" s="4" t="n">
        <f aca="false">Assumptions!L41</f>
        <v>3.5</v>
      </c>
    </row>
    <row r="6" customFormat="false" ht="15" hidden="false" customHeight="false" outlineLevel="0" collapsed="false">
      <c r="A6" s="0" t="s">
        <v>37</v>
      </c>
      <c r="B6" s="3" t="n">
        <v>28491</v>
      </c>
      <c r="C6" s="0" t="n">
        <f aca="false">B6*(1+C5/100)</f>
        <v>30342.915</v>
      </c>
      <c r="D6" s="0" t="n">
        <f aca="false">C6*(1+D5/100)</f>
        <v>33073.77735</v>
      </c>
      <c r="E6" s="0" t="n">
        <f aca="false">D6*(1+E5/100)</f>
        <v>35885.04842475</v>
      </c>
      <c r="F6" s="0" t="n">
        <f aca="false">E6*(1+F5/100)</f>
        <v>38755.85229873</v>
      </c>
      <c r="G6" s="0" t="n">
        <f aca="false">F6*(1+G5/100)</f>
        <v>41662.5412211347</v>
      </c>
      <c r="H6" s="0" t="n">
        <f aca="false">G6*(1+H5/100)</f>
        <v>44370.6064005085</v>
      </c>
      <c r="I6" s="0" t="n">
        <f aca="false">H6*(1+I5/100)</f>
        <v>46810.9897525365</v>
      </c>
      <c r="J6" s="0" t="n">
        <f aca="false">I6*(1+J5/100)</f>
        <v>48917.4842914006</v>
      </c>
      <c r="K6" s="0" t="n">
        <f aca="false">J6*(1+K5/100)</f>
        <v>50874.1836630566</v>
      </c>
      <c r="L6" s="0" t="n">
        <f aca="false">K6*(1+L5/100)</f>
        <v>52654.7800912636</v>
      </c>
    </row>
    <row r="7" customFormat="false" ht="15" hidden="false" customHeight="false" outlineLevel="0" collapsed="false">
      <c r="A7" s="0" t="s">
        <v>106</v>
      </c>
      <c r="C7" s="4" t="n">
        <f aca="false">Assumptions!C42</f>
        <v>24.6</v>
      </c>
      <c r="D7" s="4" t="n">
        <f aca="false">Assumptions!D42</f>
        <v>25.4</v>
      </c>
      <c r="E7" s="4" t="n">
        <f aca="false">Assumptions!E42</f>
        <v>26.1</v>
      </c>
      <c r="F7" s="4" t="n">
        <f aca="false">Assumptions!F42</f>
        <v>26.7</v>
      </c>
      <c r="G7" s="4" t="n">
        <f aca="false">Assumptions!G42</f>
        <v>27.2</v>
      </c>
      <c r="H7" s="4" t="n">
        <f aca="false">Assumptions!H42</f>
        <v>27.6</v>
      </c>
      <c r="I7" s="4" t="n">
        <f aca="false">Assumptions!I42</f>
        <v>27.9</v>
      </c>
      <c r="J7" s="4" t="n">
        <f aca="false">Assumptions!J42</f>
        <v>28</v>
      </c>
      <c r="K7" s="4" t="n">
        <f aca="false">Assumptions!K42</f>
        <v>28</v>
      </c>
      <c r="L7" s="4" t="n">
        <f aca="false">Assumptions!L42</f>
        <v>28</v>
      </c>
    </row>
    <row r="8" customFormat="false" ht="15" hidden="false" customHeight="false" outlineLevel="0" collapsed="false">
      <c r="A8" s="0" t="s">
        <v>43</v>
      </c>
      <c r="C8" s="0" t="n">
        <f aca="false">C6*C7/100</f>
        <v>7464.35709</v>
      </c>
      <c r="D8" s="0" t="n">
        <f aca="false">D6*D7/100</f>
        <v>8400.7394469</v>
      </c>
      <c r="E8" s="0" t="n">
        <f aca="false">E6*E7/100</f>
        <v>9365.99763885975</v>
      </c>
      <c r="F8" s="0" t="n">
        <f aca="false">F6*F7/100</f>
        <v>10347.8125637609</v>
      </c>
      <c r="G8" s="0" t="n">
        <f aca="false">G6*G7/100</f>
        <v>11332.2112121487</v>
      </c>
      <c r="H8" s="0" t="n">
        <f aca="false">H6*H7/100</f>
        <v>12246.2873665403</v>
      </c>
      <c r="I8" s="0" t="n">
        <f aca="false">I6*I7/100</f>
        <v>13060.2661409577</v>
      </c>
      <c r="J8" s="0" t="n">
        <f aca="false">J6*J7/100</f>
        <v>13696.8956015922</v>
      </c>
      <c r="K8" s="0" t="n">
        <f aca="false">K6*K7/100</f>
        <v>14244.7714256559</v>
      </c>
      <c r="L8" s="0" t="n">
        <f aca="false">L6*L7/100</f>
        <v>14743.3384255538</v>
      </c>
    </row>
    <row r="9" customFormat="false" ht="15" hidden="false" customHeight="false" outlineLevel="0" collapsed="false">
      <c r="A9" s="0" t="s">
        <v>107</v>
      </c>
      <c r="C9" s="4" t="n">
        <f aca="false">Assumptions!C43</f>
        <v>0.9</v>
      </c>
      <c r="D9" s="4" t="n">
        <f aca="false">Assumptions!D43</f>
        <v>0.9</v>
      </c>
      <c r="E9" s="4" t="n">
        <f aca="false">Assumptions!E43</f>
        <v>0.9</v>
      </c>
      <c r="F9" s="4" t="n">
        <f aca="false">Assumptions!F43</f>
        <v>0.85</v>
      </c>
      <c r="G9" s="4" t="n">
        <f aca="false">Assumptions!G43</f>
        <v>0.85</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122</v>
      </c>
      <c r="C10" s="0" t="n">
        <f aca="false">-C6*C9/100</f>
        <v>-273.086235</v>
      </c>
      <c r="D10" s="0" t="n">
        <f aca="false">-D6*D9/100</f>
        <v>-297.66399615</v>
      </c>
      <c r="E10" s="0" t="n">
        <f aca="false">-E6*E9/100</f>
        <v>-322.96543582275</v>
      </c>
      <c r="F10" s="0" t="n">
        <f aca="false">-F6*F9/100</f>
        <v>-329.424744539205</v>
      </c>
      <c r="G10" s="0" t="n">
        <f aca="false">-G6*G9/100</f>
        <v>-354.131600379645</v>
      </c>
      <c r="H10" s="0" t="n">
        <f aca="false">-H6*H9/100</f>
        <v>-354.964851204068</v>
      </c>
      <c r="I10" s="0" t="n">
        <f aca="false">-I6*I9/100</f>
        <v>-374.487918020292</v>
      </c>
      <c r="J10" s="0" t="n">
        <f aca="false">-J6*J9/100</f>
        <v>-391.339874331205</v>
      </c>
      <c r="K10" s="0" t="n">
        <f aca="false">-K6*K9/100</f>
        <v>-406.993469304453</v>
      </c>
      <c r="L10" s="0" t="n">
        <f aca="false">-L6*L9/100</f>
        <v>-421.238240730109</v>
      </c>
    </row>
    <row r="11" customFormat="false" ht="15" hidden="false" customHeight="false" outlineLevel="0" collapsed="false">
      <c r="A11" s="0" t="s">
        <v>123</v>
      </c>
      <c r="C11" s="0" t="n">
        <f aca="false">C8+C10+C24</f>
        <v>6023.0686275</v>
      </c>
      <c r="D11" s="0" t="n">
        <f aca="false">D8+D10+D24</f>
        <v>6846.27191145</v>
      </c>
      <c r="E11" s="0" t="n">
        <f aca="false">E8+E10+E24</f>
        <v>7697.34288710887</v>
      </c>
      <c r="F11" s="0" t="n">
        <f aca="false">F8+F10+F24</f>
        <v>8584.42128416869</v>
      </c>
      <c r="G11" s="0" t="n">
        <f aca="false">G8+G10+G24</f>
        <v>9436.56558658702</v>
      </c>
      <c r="H11" s="0" t="n">
        <f aca="false">H8+H10+H24</f>
        <v>10249.6100785175</v>
      </c>
      <c r="I11" s="0" t="n">
        <f aca="false">I8+I10+I24</f>
        <v>10953.7716020935</v>
      </c>
      <c r="J11" s="0" t="n">
        <f aca="false">J8+J10+J24</f>
        <v>11495.6088084791</v>
      </c>
      <c r="K11" s="0" t="n">
        <f aca="false">K8+K10+K24</f>
        <v>11955.4331608183</v>
      </c>
      <c r="L11" s="0" t="n">
        <f aca="false">L8+L10+L24</f>
        <v>12373.8733214469</v>
      </c>
    </row>
    <row r="12" customFormat="false" ht="15" hidden="false" customHeight="false" outlineLevel="0" collapsed="false">
      <c r="A12" s="0" t="s">
        <v>124</v>
      </c>
      <c r="C12" s="4" t="n">
        <f aca="false">-C6*Assumptions!C45/100</f>
        <v>-1365.431175</v>
      </c>
      <c r="D12" s="4" t="n">
        <f aca="false">-D6*Assumptions!D45/100</f>
        <v>-1488.31998075</v>
      </c>
      <c r="E12" s="4" t="n">
        <f aca="false">-E6*Assumptions!E45/100</f>
        <v>-1614.82717911375</v>
      </c>
      <c r="F12" s="4" t="n">
        <f aca="false">-F6*Assumptions!F45/100</f>
        <v>-1744.01335344285</v>
      </c>
      <c r="G12" s="4" t="n">
        <f aca="false">-G6*Assumptions!G45/100</f>
        <v>-1874.81435495106</v>
      </c>
      <c r="H12" s="4" t="n">
        <f aca="false">-H6*Assumptions!H45/100</f>
        <v>-1996.67728802288</v>
      </c>
      <c r="I12" s="4" t="n">
        <f aca="false">-I6*Assumptions!I45/100</f>
        <v>-2106.49453886414</v>
      </c>
      <c r="J12" s="4" t="n">
        <f aca="false">-J6*Assumptions!J45/100</f>
        <v>-2201.28679311303</v>
      </c>
      <c r="K12" s="4" t="n">
        <f aca="false">-K6*Assumptions!K45/100</f>
        <v>-2289.33826483755</v>
      </c>
      <c r="L12" s="4" t="n">
        <f aca="false">-L6*Assumptions!L45/100</f>
        <v>-2369.46510410686</v>
      </c>
    </row>
    <row r="13" customFormat="false" ht="15" hidden="false" customHeight="false" outlineLevel="0" collapsed="false">
      <c r="A13" s="0" t="s">
        <v>125</v>
      </c>
      <c r="C13" s="0" t="n">
        <f aca="false">C11+C12</f>
        <v>4657.6374525</v>
      </c>
      <c r="D13" s="0" t="n">
        <f aca="false">D11+D12</f>
        <v>5357.9519307</v>
      </c>
      <c r="E13" s="0" t="n">
        <f aca="false">E11+E12</f>
        <v>6082.51570799513</v>
      </c>
      <c r="F13" s="0" t="n">
        <f aca="false">F11+F12</f>
        <v>6840.40793072584</v>
      </c>
      <c r="G13" s="0" t="n">
        <f aca="false">G11+G12</f>
        <v>7561.75123163595</v>
      </c>
      <c r="H13" s="0" t="n">
        <f aca="false">H11+H12</f>
        <v>8252.93279049458</v>
      </c>
      <c r="I13" s="0" t="n">
        <f aca="false">I11+I12</f>
        <v>8847.27706322939</v>
      </c>
      <c r="J13" s="0" t="n">
        <f aca="false">J11+J12</f>
        <v>9294.32201536611</v>
      </c>
      <c r="K13" s="0" t="n">
        <f aca="false">K11+K12</f>
        <v>9666.09489598076</v>
      </c>
      <c r="L13" s="0" t="n">
        <f aca="false">L11+L12</f>
        <v>10004.4082173401</v>
      </c>
    </row>
    <row r="14" customFormat="false" ht="15" hidden="false" customHeight="false" outlineLevel="0" collapsed="false">
      <c r="A14" s="0" t="s">
        <v>111</v>
      </c>
      <c r="C14" s="4" t="n">
        <f aca="false">Assumptions!C47</f>
        <v>21</v>
      </c>
      <c r="D14" s="4" t="n">
        <f aca="false">Assumptions!D47</f>
        <v>21.5</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126</v>
      </c>
      <c r="C15" s="0" t="n">
        <f aca="false">C13-MAX(0,C13)*C14/100</f>
        <v>3679.533587475</v>
      </c>
      <c r="D15" s="0" t="n">
        <f aca="false">D13-MAX(0,D13)*D14/100</f>
        <v>4205.9922655995</v>
      </c>
      <c r="E15" s="0" t="n">
        <f aca="false">E13-MAX(0,E13)*E14/100</f>
        <v>4744.3622522362</v>
      </c>
      <c r="F15" s="0" t="n">
        <f aca="false">F13-MAX(0,F13)*F14/100</f>
        <v>5335.51818596616</v>
      </c>
      <c r="G15" s="0" t="n">
        <f aca="false">G13-MAX(0,G13)*G14/100</f>
        <v>5898.16596067604</v>
      </c>
      <c r="H15" s="0" t="n">
        <f aca="false">H13-MAX(0,H13)*H14/100</f>
        <v>6437.28757658577</v>
      </c>
      <c r="I15" s="0" t="n">
        <f aca="false">I13-MAX(0,I13)*I14/100</f>
        <v>6900.87610931892</v>
      </c>
      <c r="J15" s="0" t="n">
        <f aca="false">J13-MAX(0,J13)*J14/100</f>
        <v>7249.57117198557</v>
      </c>
      <c r="K15" s="0" t="n">
        <f aca="false">K13-MAX(0,K13)*K14/100</f>
        <v>7539.55401886499</v>
      </c>
      <c r="L15" s="0" t="n">
        <f aca="false">L13-MAX(0,L13)*L14/100</f>
        <v>7803.43840952527</v>
      </c>
    </row>
    <row r="16" customFormat="false" ht="15" hidden="false" customHeight="false" outlineLevel="0" collapsed="false">
      <c r="A16" s="0" t="s">
        <v>127</v>
      </c>
      <c r="C16" s="0" t="n">
        <f aca="false">-C12</f>
        <v>1365.431175</v>
      </c>
      <c r="D16" s="0" t="n">
        <f aca="false">-D12</f>
        <v>1488.31998075</v>
      </c>
      <c r="E16" s="0" t="n">
        <f aca="false">-E12</f>
        <v>1614.82717911375</v>
      </c>
      <c r="F16" s="0" t="n">
        <f aca="false">-F12</f>
        <v>1744.01335344285</v>
      </c>
      <c r="G16" s="0" t="n">
        <f aca="false">-G12</f>
        <v>1874.81435495106</v>
      </c>
      <c r="H16" s="0" t="n">
        <f aca="false">-H12</f>
        <v>1996.67728802288</v>
      </c>
      <c r="I16" s="0" t="n">
        <f aca="false">-I12</f>
        <v>2106.49453886414</v>
      </c>
      <c r="J16" s="0" t="n">
        <f aca="false">-J12</f>
        <v>2201.28679311303</v>
      </c>
      <c r="K16" s="0" t="n">
        <f aca="false">-K12</f>
        <v>2289.33826483755</v>
      </c>
      <c r="L16" s="0" t="n">
        <f aca="false">-L12</f>
        <v>2369.46510410686</v>
      </c>
    </row>
    <row r="17" customFormat="false" ht="15" hidden="false" customHeight="false" outlineLevel="0" collapsed="false">
      <c r="A17" s="0" t="s">
        <v>128</v>
      </c>
      <c r="C17" s="4" t="n">
        <f aca="false">-C6*Assumptions!C46/100</f>
        <v>-1577.83158</v>
      </c>
      <c r="D17" s="4" t="n">
        <f aca="false">-D6*Assumptions!D46/100</f>
        <v>-1719.8364222</v>
      </c>
      <c r="E17" s="4" t="n">
        <f aca="false">-E6*Assumptions!E46/100</f>
        <v>-1830.13746966225</v>
      </c>
      <c r="F17" s="4" t="n">
        <f aca="false">-F6*Assumptions!F46/100</f>
        <v>-1937.7926149365</v>
      </c>
      <c r="G17" s="4" t="n">
        <f aca="false">-G6*Assumptions!G46/100</f>
        <v>-2083.12706105674</v>
      </c>
      <c r="H17" s="4" t="n">
        <f aca="false">-H6*Assumptions!H46/100</f>
        <v>-2218.53032002542</v>
      </c>
      <c r="I17" s="4" t="n">
        <f aca="false">-I6*Assumptions!I46/100</f>
        <v>-2340.54948762682</v>
      </c>
      <c r="J17" s="4" t="n">
        <f aca="false">-J6*Assumptions!J46/100</f>
        <v>-2445.87421457003</v>
      </c>
      <c r="K17" s="4" t="n">
        <f aca="false">-K6*Assumptions!K46/100</f>
        <v>-2543.70918315283</v>
      </c>
      <c r="L17" s="4" t="n">
        <f aca="false">-L6*Assumptions!L46/100</f>
        <v>-2632.73900456318</v>
      </c>
    </row>
    <row r="18" customFormat="false" ht="15" hidden="false" customHeight="false" outlineLevel="0" collapsed="false">
      <c r="A18" s="0" t="s">
        <v>129</v>
      </c>
      <c r="C18" s="4" t="n">
        <f aca="false">(C6-B6)*Assumptions!$B$51/100</f>
        <v>-222.2298</v>
      </c>
      <c r="D18" s="4" t="n">
        <f aca="false">(D6-C6)*Assumptions!$B$51/100</f>
        <v>-327.703482</v>
      </c>
      <c r="E18" s="4" t="n">
        <f aca="false">(E6-D6)*Assumptions!$B$51/100</f>
        <v>-337.352528969999</v>
      </c>
      <c r="F18" s="4" t="n">
        <f aca="false">(F6-E6)*Assumptions!$B$51/100</f>
        <v>-344.4964648776</v>
      </c>
      <c r="G18" s="4" t="n">
        <f aca="false">(G6-F6)*Assumptions!$B$51/100</f>
        <v>-348.80267068857</v>
      </c>
      <c r="H18" s="4" t="n">
        <f aca="false">(H6-G6)*Assumptions!$B$51/100</f>
        <v>-324.967821524851</v>
      </c>
      <c r="I18" s="4" t="n">
        <f aca="false">(I6-H6)*Assumptions!$B$51/100</f>
        <v>-292.846002243356</v>
      </c>
      <c r="J18" s="4" t="n">
        <f aca="false">(J6-I6)*Assumptions!$B$51/100</f>
        <v>-252.779344663696</v>
      </c>
      <c r="K18" s="4" t="n">
        <f aca="false">(K6-J6)*Assumptions!$B$51/100</f>
        <v>-234.803924598723</v>
      </c>
      <c r="L18" s="4" t="n">
        <f aca="false">(L6-K6)*Assumptions!$B$51/100</f>
        <v>-213.671571384837</v>
      </c>
    </row>
    <row r="19" customFormat="false" ht="15" hidden="false" customHeight="false" outlineLevel="0" collapsed="false">
      <c r="A19" s="0" t="s">
        <v>130</v>
      </c>
      <c r="C19" s="0" t="n">
        <f aca="false">C15+C16+C17+C18</f>
        <v>3244.903382475</v>
      </c>
      <c r="D19" s="0" t="n">
        <f aca="false">D15+D16+D17+D18</f>
        <v>3646.7723421495</v>
      </c>
      <c r="E19" s="0" t="n">
        <f aca="false">E15+E16+E17+E18</f>
        <v>4191.6994327177</v>
      </c>
      <c r="F19" s="0" t="n">
        <f aca="false">F15+F16+F17+F18</f>
        <v>4797.24245959491</v>
      </c>
      <c r="G19" s="0" t="n">
        <f aca="false">G15+G16+G17+G18</f>
        <v>5341.0505838818</v>
      </c>
      <c r="H19" s="0" t="n">
        <f aca="false">H15+H16+H17+H18</f>
        <v>5890.46672305838</v>
      </c>
      <c r="I19" s="0" t="n">
        <f aca="false">I15+I16+I17+I18</f>
        <v>6373.97515831289</v>
      </c>
      <c r="J19" s="0" t="n">
        <f aca="false">J15+J16+J17+J18</f>
        <v>6752.20440586487</v>
      </c>
      <c r="K19" s="0" t="n">
        <f aca="false">K15+K16+K17+K18</f>
        <v>7050.37917595098</v>
      </c>
      <c r="L19" s="0" t="n">
        <f aca="false">L15+L16+L17+L18</f>
        <v>7326.49293768411</v>
      </c>
    </row>
    <row r="20" customFormat="false" ht="15" hidden="false" customHeight="false" outlineLevel="0" collapsed="false">
      <c r="A20" s="0" t="s">
        <v>131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132</v>
      </c>
      <c r="C21" s="0" t="n">
        <f aca="false">C19*C20</f>
        <v>3018.51477439535</v>
      </c>
      <c r="D21" s="0" t="n">
        <f aca="false">D19*D20</f>
        <v>3155.67103701417</v>
      </c>
      <c r="E21" s="0" t="n">
        <f aca="false">E19*E20</f>
        <v>3374.15276257352</v>
      </c>
      <c r="F21" s="0" t="n">
        <f aca="false">F19*F20</f>
        <v>3592.17769521039</v>
      </c>
      <c r="G21" s="0" t="n">
        <f aca="false">G19*G20</f>
        <v>3720.3548900215</v>
      </c>
      <c r="H21" s="0" t="n">
        <f aca="false">H19*H20</f>
        <v>3816.79576234178</v>
      </c>
      <c r="I21" s="0" t="n">
        <f aca="false">I19*I20</f>
        <v>3841.94476487445</v>
      </c>
      <c r="J21" s="0" t="n">
        <f aca="false">J19*J20</f>
        <v>3785.97609069705</v>
      </c>
      <c r="K21" s="0" t="n">
        <f aca="false">K19*K20</f>
        <v>3677.36125602409</v>
      </c>
      <c r="L21" s="0" t="n">
        <f aca="false">L19*L20</f>
        <v>3554.76988910789</v>
      </c>
    </row>
    <row r="23" customFormat="false" ht="15" hidden="false" customHeight="false" outlineLevel="0" collapsed="false">
      <c r="A23" s="0" t="s">
        <v>108</v>
      </c>
      <c r="C23" s="4" t="n">
        <f aca="false">Assumptions!C44</f>
        <v>3.85</v>
      </c>
      <c r="D23" s="4" t="n">
        <f aca="false">Assumptions!D44</f>
        <v>3.8</v>
      </c>
      <c r="E23" s="4" t="n">
        <f aca="false">Assumptions!E44</f>
        <v>3.75</v>
      </c>
      <c r="F23" s="4" t="n">
        <f aca="false">Assumptions!F44</f>
        <v>3.7</v>
      </c>
      <c r="G23" s="4" t="n">
        <f aca="false">Assumptions!G44</f>
        <v>3.7</v>
      </c>
      <c r="H23" s="4" t="n">
        <f aca="false">Assumptions!H44</f>
        <v>3.7</v>
      </c>
      <c r="I23" s="4" t="n">
        <f aca="false">Assumptions!I44</f>
        <v>3.7</v>
      </c>
      <c r="J23" s="4" t="n">
        <f aca="false">Assumptions!J44</f>
        <v>3.7</v>
      </c>
      <c r="K23" s="4" t="n">
        <f aca="false">Assumptions!K44</f>
        <v>3.7</v>
      </c>
      <c r="L23" s="4" t="n">
        <f aca="false">Assumptions!L44</f>
        <v>3.7</v>
      </c>
    </row>
    <row r="24" customFormat="false" ht="15" hidden="false" customHeight="false" outlineLevel="0" collapsed="false">
      <c r="A24" s="0" t="s">
        <v>133</v>
      </c>
      <c r="C24" s="0" t="n">
        <f aca="false">-C6*C23/100</f>
        <v>-1168.2022275</v>
      </c>
      <c r="D24" s="0" t="n">
        <f aca="false">-D6*D23/100</f>
        <v>-1256.8035393</v>
      </c>
      <c r="E24" s="0" t="n">
        <f aca="false">-E6*E23/100</f>
        <v>-1345.68931592812</v>
      </c>
      <c r="F24" s="0" t="n">
        <f aca="false">-F6*F23/100</f>
        <v>-1433.96653505301</v>
      </c>
      <c r="G24" s="0" t="n">
        <f aca="false">-G6*G23/100</f>
        <v>-1541.51402518199</v>
      </c>
      <c r="H24" s="0" t="n">
        <f aca="false">-H6*H23/100</f>
        <v>-1641.71243681881</v>
      </c>
      <c r="I24" s="0" t="n">
        <f aca="false">-I6*I23/100</f>
        <v>-1732.00662084385</v>
      </c>
      <c r="J24" s="0" t="n">
        <f aca="false">-J6*J23/100</f>
        <v>-1809.94691878182</v>
      </c>
      <c r="K24" s="0" t="n">
        <f aca="false">-K6*K23/100</f>
        <v>-1882.3447955331</v>
      </c>
      <c r="L24" s="0" t="n">
        <f aca="false">-L6*L23/100</f>
        <v>-1948.22686337675</v>
      </c>
    </row>
    <row r="26" customFormat="false" ht="15" hidden="false" customHeight="false" outlineLevel="0" collapsed="false">
      <c r="A26" s="2" t="s">
        <v>134</v>
      </c>
    </row>
    <row r="27" customFormat="false" ht="15" hidden="false" customHeight="false" outlineLevel="0" collapsed="false">
      <c r="A27" s="0" t="s">
        <v>112</v>
      </c>
      <c r="B27" s="4" t="n">
        <f aca="false">Assumptions!$B$48</f>
        <v>7.5</v>
      </c>
    </row>
    <row r="28" customFormat="false" ht="15" hidden="false" customHeight="false" outlineLevel="0" collapsed="false">
      <c r="A28" s="0" t="s">
        <v>113</v>
      </c>
      <c r="B28" s="4" t="n">
        <f aca="false">Assumptions!$B$49</f>
        <v>2.5</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35537.7189222602</v>
      </c>
    </row>
    <row r="31" customFormat="false" ht="15" hidden="false" customHeight="false" outlineLevel="0" collapsed="false">
      <c r="A31" s="0" t="s">
        <v>136</v>
      </c>
      <c r="B31" s="0" t="n">
        <f aca="false">L19</f>
        <v>7326.49293768411</v>
      </c>
    </row>
    <row r="32" customFormat="false" ht="15" hidden="false" customHeight="false" outlineLevel="0" collapsed="false">
      <c r="A32" s="0" t="s">
        <v>137</v>
      </c>
      <c r="B32" s="0" t="n">
        <f aca="false">IF(B27&gt;B28,B31*(1+B28/100)/((B27-B28)/100),B31*B29)</f>
        <v>150193.105222524</v>
      </c>
    </row>
    <row r="33" customFormat="false" ht="15" hidden="false" customHeight="false" outlineLevel="0" collapsed="false">
      <c r="A33" s="0" t="s">
        <v>138</v>
      </c>
      <c r="B33" s="0" t="n">
        <f aca="false">B31*B29</f>
        <v>146529.858753682</v>
      </c>
    </row>
    <row r="34" customFormat="false" ht="15" hidden="false" customHeight="false" outlineLevel="0" collapsed="false">
      <c r="A34" s="0" t="s">
        <v>139</v>
      </c>
      <c r="B34" s="0" t="n">
        <f aca="false">MAX(0,MIN(B32,B33))</f>
        <v>146529.858753682</v>
      </c>
    </row>
    <row r="35" customFormat="false" ht="15" hidden="false" customHeight="false" outlineLevel="0" collapsed="false">
      <c r="A35" s="0" t="s">
        <v>140</v>
      </c>
      <c r="B35" s="0" t="n">
        <f aca="false">B34/(1+B27/100)^L4</f>
        <v>71095.3977821578</v>
      </c>
    </row>
    <row r="36" customFormat="false" ht="15" hidden="false" customHeight="false" outlineLevel="0" collapsed="false">
      <c r="A36" s="0" t="s">
        <v>141</v>
      </c>
      <c r="B36" s="0" t="n">
        <f aca="false">B30+B35</f>
        <v>106633.116704418</v>
      </c>
    </row>
    <row r="37" customFormat="false" ht="15" hidden="false" customHeight="false" outlineLevel="0" collapsed="false">
      <c r="A37" s="0" t="s">
        <v>142</v>
      </c>
      <c r="B37" s="0" t="n">
        <f aca="false">B36+Assumptions!$B$5-Assumptions!$B$4</f>
        <v>94355.116704418</v>
      </c>
    </row>
    <row r="38" customFormat="false" ht="15" hidden="false" customHeight="false" outlineLevel="0" collapsed="false">
      <c r="A38" s="0" t="s">
        <v>143</v>
      </c>
      <c r="B38" s="0" t="n">
        <f aca="false">B37/Assumptions!$B$3*Assumptions!$B$10</f>
        <v>203.878817425277</v>
      </c>
    </row>
    <row r="39" customFormat="false" ht="15" hidden="false" customHeight="false" outlineLevel="0" collapsed="false">
      <c r="A39" s="0" t="s">
        <v>144</v>
      </c>
      <c r="B39" s="4" t="n">
        <f aca="false">B38/Assumptions!$B$2-1</f>
        <v>0.125159036563336</v>
      </c>
    </row>
    <row r="41" customFormat="false" ht="15" hidden="false" customHeight="false" outlineLevel="0" collapsed="false">
      <c r="A41" s="0" t="s">
        <v>145</v>
      </c>
      <c r="B41" s="0" t="n">
        <f aca="false">SUMPRODUCT(-C10:L10/(1+$B$27/100)^C4:L4)</f>
        <v>2356.74979534952</v>
      </c>
    </row>
    <row r="42" customFormat="false" ht="15" hidden="false" customHeight="false" outlineLevel="0" collapsed="false">
      <c r="A42" s="0" t="s">
        <v>146</v>
      </c>
      <c r="B42" s="0" t="n">
        <f aca="false">IF(B27&gt;B28,-L10*(1+B28/100)/((B27-B28)/100),-L10*20)/(1+B27/100)^L4</f>
        <v>4189.83585379811</v>
      </c>
    </row>
    <row r="43" customFormat="false" ht="15" hidden="false" customHeight="false" outlineLevel="0" collapsed="false">
      <c r="A43" s="0" t="s">
        <v>147</v>
      </c>
      <c r="B43" s="0" t="n">
        <f aca="false">(B37+B41+B42)/Assumptions!$B$3*Assumptions!$B$10</f>
        <v>218.024421680133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60077.2420890097</v>
      </c>
    </row>
    <row r="47" customFormat="false" ht="15" hidden="false" customHeight="false" outlineLevel="0" collapsed="false">
      <c r="A47" s="0" t="s">
        <v>149</v>
      </c>
      <c r="B47" s="0" t="n">
        <f aca="false">(SUMPRODUCT(C19:L19/(1+B45/100)^C4:L4)+B46/(1+B45/100)^L4+Assumptions!$B$5-Assumptions!$B$4)/Assumptions!$B$3*Assumptions!$B$10</f>
        <v>58.9260952412029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78.3518916619066</v>
      </c>
      <c r="C4" s="0" t="n">
        <f aca="false">B4/Assumptions!$B$2-1</f>
        <v>-0.567594416876895</v>
      </c>
      <c r="D4" s="4" t="n">
        <f aca="false">Assumptions!$B$24</f>
        <v>0.2</v>
      </c>
      <c r="E4" s="4" t="n">
        <f aca="false">DCF_Bear!$B$43</f>
        <v>90.3102291604931</v>
      </c>
      <c r="F4" s="4" t="n">
        <f aca="false">DCF_Bear!$B$47</f>
        <v>22.2556134038058</v>
      </c>
    </row>
    <row r="5" customFormat="false" ht="15" hidden="false" customHeight="false" outlineLevel="0" collapsed="false">
      <c r="A5" s="0" t="s">
        <v>158</v>
      </c>
      <c r="B5" s="4" t="n">
        <f aca="false">DCF_Base!$B$38</f>
        <v>155.05111304806</v>
      </c>
      <c r="C5" s="0" t="n">
        <f aca="false">B5/Assumptions!$B$2-1</f>
        <v>-0.144309530639844</v>
      </c>
      <c r="D5" s="4" t="n">
        <f aca="false">Assumptions!$B$38</f>
        <v>0.5</v>
      </c>
      <c r="E5" s="4" t="n">
        <f aca="false">DCF_Base!$B$43</f>
        <v>167.792572682638</v>
      </c>
      <c r="F5" s="4" t="n">
        <f aca="false">DCF_Base!$B$47</f>
        <v>43.0962772262853</v>
      </c>
    </row>
    <row r="6" customFormat="false" ht="15" hidden="false" customHeight="false" outlineLevel="0" collapsed="false">
      <c r="A6" s="0" t="s">
        <v>159</v>
      </c>
      <c r="B6" s="4" t="n">
        <f aca="false">DCF_Bull!$B$38</f>
        <v>203.878817425277</v>
      </c>
      <c r="C6" s="0" t="n">
        <f aca="false">B6/Assumptions!$B$2-1</f>
        <v>0.125159036563336</v>
      </c>
      <c r="D6" s="4" t="n">
        <f aca="false">Assumptions!$B$52</f>
        <v>0.3</v>
      </c>
      <c r="E6" s="4" t="n">
        <f aca="false">DCF_Bull!$B$43</f>
        <v>218.024421680133</v>
      </c>
      <c r="F6" s="4" t="n">
        <f aca="false">DCF_Bull!$B$47</f>
        <v>58.9260952412029</v>
      </c>
    </row>
    <row r="8" customFormat="false" ht="15" hidden="false" customHeight="false" outlineLevel="0" collapsed="false">
      <c r="A8" s="0" t="s">
        <v>160</v>
      </c>
      <c r="B8" s="0" t="n">
        <f aca="false">SUMPRODUCT(B4:B6,D4:D6)</f>
        <v>154.359580083994</v>
      </c>
    </row>
    <row r="9" customFormat="false" ht="15" hidden="false" customHeight="false" outlineLevel="0" collapsed="false">
      <c r="A9" s="0" t="s">
        <v>161</v>
      </c>
      <c r="B9" s="0" t="n">
        <f aca="false">SUMPRODUCT(E4:E6,D4:D6)</f>
        <v>167.365658677458</v>
      </c>
    </row>
    <row r="10" customFormat="false" ht="15" hidden="false" customHeight="false" outlineLevel="0" collapsed="false">
      <c r="A10" s="0" t="s">
        <v>162</v>
      </c>
      <c r="B10" s="0" t="n">
        <f aca="false">1-Assumptions!$B$2/B8</f>
        <v>-0.173882436719512</v>
      </c>
    </row>
    <row r="11" customFormat="false" ht="15" hidden="false" customHeight="false" outlineLevel="0" collapsed="false">
      <c r="A11" s="0" t="s">
        <v>163</v>
      </c>
      <c r="B11" s="0" t="n">
        <f aca="false">IF(ABS(B9-B8)&gt;0.01*ABS(B8),(Assumptions!$B$2-B8)/(B9-B8)*100,"n/a")</f>
        <v>206.368274058373</v>
      </c>
    </row>
    <row r="12" customFormat="false" ht="15" hidden="false" customHeight="false" outlineLevel="0" collapsed="false">
      <c r="A12" s="0" t="s">
        <v>164</v>
      </c>
      <c r="B12" s="0" t="n">
        <f aca="false">SUMPRODUCT(F4:F6,D4:D6)</f>
        <v>43.6770898662647</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155.05111304806</v>
      </c>
      <c r="C15" s="3" t="n">
        <v>7.5</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113.53839217563</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93.8511381335362</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78.8424051460835</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67.0320082132932</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43.0962772262853</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186.348006287842</v>
      </c>
      <c r="C24" s="0" t="n">
        <f aca="false">(SUMPRODUCT(DCF_Base!$C$19:$L$19/(1+$A$24/100)^DCF_Base!$C$4:$L$4)+MAX(0,MIN(IF($A$24&gt;$C$23,DCF_Base!$L$19*(1+$C$23/100)/(($A$24-$C$23)/100),DCF_Base!$L$19*DCF_Base!$B$29),DCF_Base!$L$19*DCF_Base!$B$29))/(1+$A$24/100)^DCF_Base!$L$4+Assumptions!$B$5-Assumptions!$B$4)/Assumptions!$B$3*Assumptions!$B$10</f>
        <v>186.348006287842</v>
      </c>
      <c r="D24" s="0" t="n">
        <f aca="false">(SUMPRODUCT(DCF_Base!$C$19:$L$19/(1+$A$24/100)^DCF_Base!$C$4:$L$4)+MAX(0,MIN(IF($A$24&gt;$D$23,DCF_Base!$L$19*(1+$D$23/100)/(($A$24-$D$23)/100),DCF_Base!$L$19*DCF_Base!$B$29),DCF_Base!$L$19*DCF_Base!$B$29))/(1+$A$24/100)^DCF_Base!$L$4+Assumptions!$B$5-Assumptions!$B$4)/Assumptions!$B$3*Assumptions!$B$10</f>
        <v>186.348006287842</v>
      </c>
      <c r="E24" s="0" t="n">
        <f aca="false">(SUMPRODUCT(DCF_Base!$C$19:$L$19/(1+$A$24/100)^DCF_Base!$C$4:$L$4)+MAX(0,MIN(IF($A$24&gt;$E$23,DCF_Base!$L$19*(1+$E$23/100)/(($A$24-$E$23)/100),DCF_Base!$L$19*DCF_Base!$B$29),DCF_Base!$L$19*DCF_Base!$B$29))/(1+$A$24/100)^DCF_Base!$L$4+Assumptions!$B$5-Assumptions!$B$4)/Assumptions!$B$3*Assumptions!$B$10</f>
        <v>186.348006287842</v>
      </c>
      <c r="F24" s="0" t="n">
        <f aca="false">(SUMPRODUCT(DCF_Base!$C$19:$L$19/(1+$A$24/100)^DCF_Base!$C$4:$L$4)+MAX(0,MIN(IF($A$24&gt;$F$23,DCF_Base!$L$19*(1+$F$23/100)/(($A$24-$F$23)/100),DCF_Base!$L$19*DCF_Base!$B$29),DCF_Base!$L$19*DCF_Base!$B$29))/(1+$A$24/100)^DCF_Base!$L$4+Assumptions!$B$5-Assumptions!$B$4)/Assumptions!$B$3*Assumptions!$B$10</f>
        <v>186.348006287842</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169.941478082074</v>
      </c>
      <c r="C25" s="0" t="n">
        <f aca="false">(SUMPRODUCT(DCF_Base!$C$19:$L$19/(1+$A$25/100)^DCF_Base!$C$4:$L$4)+MAX(0,MIN(IF($A$25&gt;$C$23,DCF_Base!$L$19*(1+$C$23/100)/(($A$25-$C$23)/100),DCF_Base!$L$19*DCF_Base!$B$29),DCF_Base!$L$19*DCF_Base!$B$29))/(1+$A$25/100)^DCF_Base!$L$4+Assumptions!$B$5-Assumptions!$B$4)/Assumptions!$B$3*Assumptions!$B$10</f>
        <v>169.941478082074</v>
      </c>
      <c r="D25" s="0" t="n">
        <f aca="false">(SUMPRODUCT(DCF_Base!$C$19:$L$19/(1+$A$25/100)^DCF_Base!$C$4:$L$4)+MAX(0,MIN(IF($A$25&gt;$D$23,DCF_Base!$L$19*(1+$D$23/100)/(($A$25-$D$23)/100),DCF_Base!$L$19*DCF_Base!$B$29),DCF_Base!$L$19*DCF_Base!$B$29))/(1+$A$25/100)^DCF_Base!$L$4+Assumptions!$B$5-Assumptions!$B$4)/Assumptions!$B$3*Assumptions!$B$10</f>
        <v>169.941478082074</v>
      </c>
      <c r="E25" s="0" t="n">
        <f aca="false">(SUMPRODUCT(DCF_Base!$C$19:$L$19/(1+$A$25/100)^DCF_Base!$C$4:$L$4)+MAX(0,MIN(IF($A$25&gt;$E$23,DCF_Base!$L$19*(1+$E$23/100)/(($A$25-$E$23)/100),DCF_Base!$L$19*DCF_Base!$B$29),DCF_Base!$L$19*DCF_Base!$B$29))/(1+$A$25/100)^DCF_Base!$L$4+Assumptions!$B$5-Assumptions!$B$4)/Assumptions!$B$3*Assumptions!$B$10</f>
        <v>169.941478082074</v>
      </c>
      <c r="F25" s="0" t="n">
        <f aca="false">(SUMPRODUCT(DCF_Base!$C$19:$L$19/(1+$A$25/100)^DCF_Base!$C$4:$L$4)+MAX(0,MIN(IF($A$25&gt;$F$23,DCF_Base!$L$19*(1+$F$23/100)/(($A$25-$F$23)/100),DCF_Base!$L$19*DCF_Base!$B$29),DCF_Base!$L$19*DCF_Base!$B$29))/(1+$A$25/100)^DCF_Base!$L$4+Assumptions!$B$5-Assumptions!$B$4)/Assumptions!$B$3*Assumptions!$B$10</f>
        <v>169.941478082074</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136.899259333919</v>
      </c>
      <c r="C26" s="0" t="n">
        <f aca="false">(SUMPRODUCT(DCF_Base!$C$19:$L$19/(1+$A$26/100)^DCF_Base!$C$4:$L$4)+MAX(0,MIN(IF($A$26&gt;$C$23,DCF_Base!$L$19*(1+$C$23/100)/(($A$26-$C$23)/100),DCF_Base!$L$19*DCF_Base!$B$29),DCF_Base!$L$19*DCF_Base!$B$29))/(1+$A$26/100)^DCF_Base!$L$4+Assumptions!$B$5-Assumptions!$B$4)/Assumptions!$B$3*Assumptions!$B$10</f>
        <v>146.4880764065</v>
      </c>
      <c r="D26" s="0" t="n">
        <f aca="false">(SUMPRODUCT(DCF_Base!$C$19:$L$19/(1+$A$26/100)^DCF_Base!$C$4:$L$4)+MAX(0,MIN(IF($A$26&gt;$D$23,DCF_Base!$L$19*(1+$D$23/100)/(($A$26-$D$23)/100),DCF_Base!$L$19*DCF_Base!$B$29),DCF_Base!$L$19*DCF_Base!$B$29))/(1+$A$26/100)^DCF_Base!$L$4+Assumptions!$B$5-Assumptions!$B$4)/Assumptions!$B$3*Assumptions!$B$10</f>
        <v>155.05111304806</v>
      </c>
      <c r="E26" s="0" t="n">
        <f aca="false">(SUMPRODUCT(DCF_Base!$C$19:$L$19/(1+$A$26/100)^DCF_Base!$C$4:$L$4)+MAX(0,MIN(IF($A$26&gt;$E$23,DCF_Base!$L$19*(1+$E$23/100)/(($A$26-$E$23)/100),DCF_Base!$L$19*DCF_Base!$B$29),DCF_Base!$L$19*DCF_Base!$B$29))/(1+$A$26/100)^DCF_Base!$L$4+Assumptions!$B$5-Assumptions!$B$4)/Assumptions!$B$3*Assumptions!$B$10</f>
        <v>155.05111304806</v>
      </c>
      <c r="F26" s="0" t="n">
        <f aca="false">(SUMPRODUCT(DCF_Base!$C$19:$L$19/(1+$A$26/100)^DCF_Base!$C$4:$L$4)+MAX(0,MIN(IF($A$26&gt;$F$23,DCF_Base!$L$19*(1+$F$23/100)/(($A$26-$F$23)/100),DCF_Base!$L$19*DCF_Base!$B$29),DCF_Base!$L$19*DCF_Base!$B$29))/(1+$A$26/100)^DCF_Base!$L$4+Assumptions!$B$5-Assumptions!$B$4)/Assumptions!$B$3*Assumptions!$B$10</f>
        <v>155.05111304806</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112.00560023501</v>
      </c>
      <c r="C27" s="0" t="n">
        <f aca="false">(SUMPRODUCT(DCF_Base!$C$19:$L$19/(1+$A$27/100)^DCF_Base!$C$4:$L$4)+MAX(0,MIN(IF($A$27&gt;$C$23,DCF_Base!$L$19*(1+$C$23/100)/(($A$27-$C$23)/100),DCF_Base!$L$19*DCF_Base!$B$29),DCF_Base!$L$19*DCF_Base!$B$29))/(1+$A$27/100)^DCF_Base!$L$4+Assumptions!$B$5-Assumptions!$B$4)/Assumptions!$B$3*Assumptions!$B$10</f>
        <v>118.404069842784</v>
      </c>
      <c r="D27" s="0" t="n">
        <f aca="false">(SUMPRODUCT(DCF_Base!$C$19:$L$19/(1+$A$27/100)^DCF_Base!$C$4:$L$4)+MAX(0,MIN(IF($A$27&gt;$D$23,DCF_Base!$L$19*(1+$D$23/100)/(($A$27-$D$23)/100),DCF_Base!$L$19*DCF_Base!$B$29),DCF_Base!$L$19*DCF_Base!$B$29))/(1+$A$27/100)^DCF_Base!$L$4+Assumptions!$B$5-Assumptions!$B$4)/Assumptions!$B$3*Assumptions!$B$10</f>
        <v>125.868951051854</v>
      </c>
      <c r="E27" s="0" t="n">
        <f aca="false">(SUMPRODUCT(DCF_Base!$C$19:$L$19/(1+$A$27/100)^DCF_Base!$C$4:$L$4)+MAX(0,MIN(IF($A$27&gt;$E$23,DCF_Base!$L$19*(1+$E$23/100)/(($A$27-$E$23)/100),DCF_Base!$L$19*DCF_Base!$B$29),DCF_Base!$L$19*DCF_Base!$B$29))/(1+$A$27/100)^DCF_Base!$L$4+Assumptions!$B$5-Assumptions!$B$4)/Assumptions!$B$3*Assumptions!$B$10</f>
        <v>134.691083389845</v>
      </c>
      <c r="F27" s="0" t="n">
        <f aca="false">(SUMPRODUCT(DCF_Base!$C$19:$L$19/(1+$A$27/100)^DCF_Base!$C$4:$L$4)+MAX(0,MIN(IF($A$27&gt;$F$23,DCF_Base!$L$19*(1+$F$23/100)/(($A$27-$F$23)/100),DCF_Base!$L$19*DCF_Base!$B$29),DCF_Base!$L$19*DCF_Base!$B$29))/(1+$A$27/100)^DCF_Base!$L$4+Assumptions!$B$5-Assumptions!$B$4)/Assumptions!$B$3*Assumptions!$B$10</f>
        <v>141.521121328935</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93.4109015138444</v>
      </c>
      <c r="C28" s="0" t="n">
        <f aca="false">(SUMPRODUCT(DCF_Base!$C$19:$L$19/(1+$A$28/100)^DCF_Base!$C$4:$L$4)+MAX(0,MIN(IF($A$28&gt;$C$23,DCF_Base!$L$19*(1+$C$23/100)/(($A$28-$C$23)/100),DCF_Base!$L$19*DCF_Base!$B$29),DCF_Base!$L$19*DCF_Base!$B$29))/(1+$A$28/100)^DCF_Base!$L$4+Assumptions!$B$5-Assumptions!$B$4)/Assumptions!$B$3*Assumptions!$B$10</f>
        <v>97.8785277099241</v>
      </c>
      <c r="D28" s="0" t="n">
        <f aca="false">(SUMPRODUCT(DCF_Base!$C$19:$L$19/(1+$A$28/100)^DCF_Base!$C$4:$L$4)+MAX(0,MIN(IF($A$28&gt;$D$23,DCF_Base!$L$19*(1+$D$23/100)/(($A$28-$D$23)/100),DCF_Base!$L$19*DCF_Base!$B$29),DCF_Base!$L$19*DCF_Base!$B$29))/(1+$A$28/100)^DCF_Base!$L$4+Assumptions!$B$5-Assumptions!$B$4)/Assumptions!$B$3*Assumptions!$B$10</f>
        <v>102.98438621973</v>
      </c>
      <c r="E28" s="0" t="n">
        <f aca="false">(SUMPRODUCT(DCF_Base!$C$19:$L$19/(1+$A$28/100)^DCF_Base!$C$4:$L$4)+MAX(0,MIN(IF($A$28&gt;$E$23,DCF_Base!$L$19*(1+$E$23/100)/(($A$28-$E$23)/100),DCF_Base!$L$19*DCF_Base!$B$29),DCF_Base!$L$19*DCF_Base!$B$29))/(1+$A$28/100)^DCF_Base!$L$4+Assumptions!$B$5-Assumptions!$B$4)/Assumptions!$B$3*Assumptions!$B$10</f>
        <v>108.875761423351</v>
      </c>
      <c r="F28" s="0" t="n">
        <f aca="false">(SUMPRODUCT(DCF_Base!$C$19:$L$19/(1+$A$28/100)^DCF_Base!$C$4:$L$4)+MAX(0,MIN(IF($A$28&gt;$F$23,DCF_Base!$L$19*(1+$F$23/100)/(($A$28-$F$23)/100),DCF_Base!$L$19*DCF_Base!$B$29),DCF_Base!$L$19*DCF_Base!$B$29))/(1+$A$28/100)^DCF_Base!$L$4+Assumptions!$B$5-Assumptions!$B$4)/Assumptions!$B$3*Assumptions!$B$10</f>
        <v>115.749032494243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2026-10-25T12:47:20Z</dcterms:created>
  <dc:creator>openpyxl</dc:creator>
  <dc:description/>
  <dc:language>en-NZ</dc:language>
  <cp:lastModifiedBy/>
  <dcterms:modified xsi:type="dcterms:W3CDTF">2026-10-25T12:47:20Z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