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<sst xmlns="http://schemas.openxmlformats.org/spreadsheetml/2006/main" count="387" uniqueCount="174">
  <si>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</si>
  <si>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STZ</t>
  </si>
  <si>
    <t xml:space="preserve">Company</t>
  </si>
  <si>
    <t xml:space="preserve">Constellation Brands,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</si>
  <si>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</si>
  <si>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</si>
  <si>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</si>
  <si>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</si>
  <si>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2026-10-01T20:03:40Z regular close (Yahoo chart API)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</si>
  <si>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</si>
  <si>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</si>
  <si>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</si>
  <si>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</si>
  <si>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</si>
  <si>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</si>
  <si>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</si>
  <si>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</si>
  <si>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</si>
  <si>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</si>
  <si>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</si>
  <si>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</si>
  <si>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2026-10-02T09:16:04Z</t>
  </si>
  <si>
    <t xml:space="preserve">Drivers file</t>
  </si>
  <si>
    <t xml:space="preserve">STZ_Drivers.json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</si>
  <si>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</si>
  <si>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</si>
  <si>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</si>
  <si>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Mature staples-like cash generator priced as if the flagship decline is permanent. Owner FCF on a fully expensed SBC basis (SBC is small, ~0.85% of sales), unlevered flows at a 7.5% USD WACC, NCI deducted once, terminal capped at 13-17x to stop Gordon from paying a perpetuity multiple a buyer need not grant. The swing factors are beer volume and the capex fade, not accounting.
key_risks_to_valuation: Modelo Especial / Corona Extra depletion declines prove structural (base assumes they flatten by FY28); US trade policy on Mexican imports: malt-beverage tariff carve-out reversed, or aluminum tariffs raised further; Capex fails to fade to ~5.5% of sales (another capacity round) - each 1pp of sales is ~$90M/yr of FCF; Cash tax rises faster than the 17%-&gt;20% ramp as the DTA shelter runs off; Leverage ~3.0x net debt/EBITDA: equity is ~65% of EV so every 10% move in EV is ~15% per share; Q2 FY27 results (2026-10-06) may reset FY27 guidance; this build is anchored to the July 2026 guide</t>
  </si>
  <si>
    <t xml:space="preserve">Data sources</t>
  </si>
  <si>
    <t xml:space="preserve">price: Yahoo Finance chart API at inputs.price_as_of; 52-week range 111.54-168.60
financials: STZ 10-K FY2021-FY2026 and 10-Q Q1 FY2024-Q1 FY2027 (SEC EDGAR); balance sheet and share count from Q1 FY2027 10-Q (2026-05-31 balance sheet, 2026-06-26 cover count); STZ_Metrics.csv for history
qualitative: STZ_Analysis.json (2026-10-02): FY2027 guidance as of the Q1 FY2027 release - organic net sales (1)% to +1%, operating margin 32-33%, OCF $2.4-2.5B, FCF $1.6-1.7B, beer capex ~$800M, ~3.0x leverage</t>
  </si>
  <si>
    <t xml:space="preserve">Scenario narrative: bear</t>
  </si>
  <si>
    <t xml:space="preserve">The flagship decline is structural rather than cyclical: Modelo Especial and Corona Extra keep losing volume to moderation, spirits/RTDs and cannabis while the core demographic stays under pressure, and smaller brands are too small to offset. Revenue falls two years running, fixed-cost deleverage and 50% aluminum tariffs hold adj. EBITDA at ~35%, leverage pins near 3.0x, and trade policy towards Mexico remains a recurring tail.</t>
  </si>
  <si>
    <t xml:space="preserve">Scenario narrative: base</t>
  </si>
  <si>
    <t xml:space="preserve">Beer depletions stop falling in FY28 as Pacifico, Victoria and Modelo Chelada keep taking share and flagship Modelo Especial/Corona Extra flatten; enterprise revenue dips ~1.5% in FY27 (flat organic plus the Wine Divestitures lap) then recovers to 2-3%. Comparable operating margin settles in the guided 32-33% band (adj. EBITDA ~38%) as 2025 restructuring savings land, and capex falls from ~9% of sales to ~5.5% once the Mexican brewery build completes, lifting owner FCF from ~$1.9B to ~$2.4B by FY31.</t>
  </si>
  <si>
    <t xml:space="preserve">Scenario narrative: bull</t>
  </si>
  <si>
    <t xml:space="preserve">The Hispanic-consumer soft patch proves cyclical (immigration-enforcement fear and value-seeking ease), the April 2026 malt-beverage tariff carve-out holds, and the new CEO sharpens price-pack architecture and W&amp;S premiumisation. Beer returns to 4-5% growth, margins reach ~39.5% adj. EBITDA, and the $4.0B buyback compounds per-share value from a ~10x earnings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</si>
  <si>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</si>
  <si>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</si>
  <si>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</si>
  <si>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</si>
  <si>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</si>
  <si>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</si>
  <si>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</si>
  <si>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</si>
  <si>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</si>
  <si>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</si>
  <si>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</si>
  <si>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</si>
  <si>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</si>
  <si>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</si>
  <si>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</si>
  <si>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</si>
  <si>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</si>
  <si>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</si>
  <si>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</si>
  <si>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</si>
  <si>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</si>
  <si>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</si>
  <si>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</si>
  <si>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</si>
  <si>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</si>
  <si>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</si>
  <si>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</si>
  <si>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</si>
  <si>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</si>
  <si>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</si>
  <si>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</si>
  <si>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</si>
  <si>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</si>
  <si>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</si>
  <si>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</si>
  <si>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</si>
  <si>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</si>
  <si>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</si>
  <si>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</si>
  <si>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</si>
  <si>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</si>
  <si>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</si>
  <si>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</si>
  <si>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</si>
  <si>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</si>
  <si>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</si>
  <si>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</si>
  <si>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</si>
  <si>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</si>
  <si>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</si>
  <si>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</si>
  <si>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</si>
  <si>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</si>
  <si>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</si>
  <si>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</si>
  <si>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</si>
  <si>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</si>
  <si>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</si>
  <si>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</si>
  <si>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</si>
  <si>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</si>
  <si>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</si>
  <si>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</si>
  <si>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</si>
  <si>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</si>
  <si>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</si>
  <si>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</si>
  <si>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</si>
  <si>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</si>
  <si>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</si>
  <si>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</si>
  <si>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</si>
  <si>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</si>
  <si>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</si>
  <si>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</si>
  <si>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</si>
  <si>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</si>
  <si>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</si>
  <si>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</si>
  <si>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</si>
  <si>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</si>
  <si>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</si>
  <si>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</si>
  <si>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STZ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</si>
  <si>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</si>
  <si>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</si>
  <si>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</si>
  <si>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</si>
  <si>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</si>
  <si>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</si>
  <si>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</si>
  <si>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</si>
  <si>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</si>
  <si>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</si>
  <si>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</si>
  <si>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</si>
  <si>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</si>
  <si>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</si>
  <si>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</si>
  <si>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</si>
  <si>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</si>
  <si>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</si>
  <si>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</si>
  <si>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</si>
  <si>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</si>
  <si>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</si>
  <si>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</si>
  <si>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</si>
  <si>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</si>
  <si>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</si>
  <si>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</si>
  <si>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</si>
  <si>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</si>
  <si>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</si>
  <si>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STZ owner-FCF component DCF: base case (millions, USD)</t>
  </si>
  <si>
    <t xml:space="preserve">STZ owner-FCF component DCF: bull case (millions, USD)</t>
  </si>
  <si>
    <t xml:space="preserve">STZ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</si>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</sst>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112.99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2765.9</v>
      </c>
      <c r="S2" s="0" t="n">
        <v>20.5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1230</v>
      </c>
      <c r="F3" s="0" t="n">
        <v>29.6</v>
      </c>
      <c r="I3" s="0" t="n">
        <v>-301.4</v>
      </c>
      <c r="L3" s="0" t="n">
        <v>506.9</v>
      </c>
      <c r="M3" s="0" t="n">
        <v>128.6</v>
      </c>
      <c r="N3" s="0" t="n">
        <v>378.3</v>
      </c>
      <c r="O3" s="0" t="n">
        <v>1908.3</v>
      </c>
      <c r="S3" s="0" t="n">
        <v>13.1</v>
      </c>
      <c r="U3" s="0" t="n">
        <v>46.1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1144.8</v>
      </c>
      <c r="F4" s="0" t="n">
        <v>311.5</v>
      </c>
      <c r="H4" s="0" t="n">
        <v>467.4</v>
      </c>
      <c r="I4" s="0" t="n">
        <v>99.3</v>
      </c>
      <c r="L4" s="0" t="n">
        <v>402.6</v>
      </c>
      <c r="M4" s="0" t="n">
        <v>107.7</v>
      </c>
      <c r="N4" s="0" t="n">
        <v>294.9</v>
      </c>
      <c r="O4" s="0" t="n">
        <v>2576.3</v>
      </c>
      <c r="P4" s="0" t="n">
        <v>8094.3</v>
      </c>
      <c r="R4" s="0" t="n">
        <v>3464.3</v>
      </c>
      <c r="S4" s="0" t="n">
        <v>43.5</v>
      </c>
      <c r="U4" s="0" t="n">
        <v>56.3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1190.1</v>
      </c>
      <c r="F5" s="0" t="n">
        <v>502.5</v>
      </c>
      <c r="H5" s="0" t="n">
        <v>627.2</v>
      </c>
      <c r="I5" s="0" t="n">
        <v>559.5</v>
      </c>
      <c r="L5" s="0" t="n">
        <v>619.7</v>
      </c>
      <c r="M5" s="0" t="n">
        <v>89.1</v>
      </c>
      <c r="N5" s="0" t="n">
        <v>530.6</v>
      </c>
      <c r="O5" s="0" t="n">
        <v>2551.9</v>
      </c>
      <c r="P5" s="0" t="n">
        <v>7167.6</v>
      </c>
      <c r="R5" s="0" t="n">
        <v>3168.5</v>
      </c>
      <c r="S5" s="0" t="n">
        <v>9.2</v>
      </c>
      <c r="U5" s="0" t="n">
        <v>48.2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1062.1</v>
      </c>
      <c r="F6" s="0" t="n">
        <v>486.5</v>
      </c>
      <c r="H6" s="0" t="n">
        <v>590.3</v>
      </c>
      <c r="I6" s="0" t="n">
        <v>445</v>
      </c>
      <c r="L6" s="0" t="n">
        <v>784.1</v>
      </c>
      <c r="M6" s="0" t="n">
        <v>68.4</v>
      </c>
      <c r="N6" s="0" t="n">
        <v>715.7</v>
      </c>
      <c r="O6" s="0" t="n">
        <v>2676</v>
      </c>
      <c r="P6" s="0" t="n">
        <v>7109.9</v>
      </c>
      <c r="R6" s="0" t="n">
        <v>3081.8</v>
      </c>
      <c r="S6" s="0" t="n">
        <v>85.8</v>
      </c>
      <c r="U6" s="0" t="n">
        <v>47.6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1108.3</v>
      </c>
      <c r="F7" s="0" t="n">
        <v>522.9</v>
      </c>
      <c r="H7" s="0" t="n">
        <v>638.3</v>
      </c>
      <c r="I7" s="0" t="n">
        <v>387.8</v>
      </c>
      <c r="L7" s="0" t="n">
        <v>556.3</v>
      </c>
      <c r="M7" s="0" t="n">
        <v>62.1</v>
      </c>
      <c r="N7" s="0" t="n">
        <v>494.2</v>
      </c>
      <c r="O7" s="0" t="n">
        <v>2860.3</v>
      </c>
      <c r="P7" s="0" t="n">
        <v>7638.1</v>
      </c>
      <c r="R7" s="0" t="n">
        <v>3333</v>
      </c>
      <c r="S7" s="0" t="n">
        <v>331.5</v>
      </c>
      <c r="U7" s="0" t="n">
        <v>40.8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1991.7</v>
      </c>
      <c r="F8" s="0" t="n">
        <v>2437.7</v>
      </c>
      <c r="H8" s="0" t="n">
        <v>2593</v>
      </c>
      <c r="I8" s="0" t="n">
        <v>1943.1</v>
      </c>
      <c r="L8" s="0" t="n">
        <v>826.2</v>
      </c>
      <c r="M8" s="0" t="n">
        <v>223.5</v>
      </c>
      <c r="N8" s="0" t="n">
        <v>602.7</v>
      </c>
      <c r="O8" s="0" t="n">
        <v>4981.3</v>
      </c>
      <c r="P8" s="0" t="n">
        <v>14302.1</v>
      </c>
      <c r="Q8" s="0" t="n">
        <v>9320.8</v>
      </c>
      <c r="R8" s="0" t="n">
        <v>7553.3</v>
      </c>
      <c r="S8" s="0" t="n">
        <v>63.9</v>
      </c>
      <c r="U8" s="0" t="n">
        <v>49.9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2578.6</v>
      </c>
      <c r="F9" s="0" t="n">
        <v>1500.2</v>
      </c>
      <c r="H9" s="0" t="n">
        <v>1702.2</v>
      </c>
      <c r="I9" s="0" t="n">
        <v>839.3</v>
      </c>
      <c r="L9" s="0" t="n">
        <v>1081</v>
      </c>
      <c r="M9" s="0" t="n">
        <v>719.4</v>
      </c>
      <c r="N9" s="0" t="n">
        <v>361.6</v>
      </c>
      <c r="O9" s="0" t="n">
        <v>5881.3</v>
      </c>
      <c r="P9" s="0" t="n">
        <v>15093</v>
      </c>
      <c r="Q9" s="0" t="n">
        <v>9211.7</v>
      </c>
      <c r="R9" s="0" t="n">
        <v>7402.2</v>
      </c>
      <c r="S9" s="0" t="n">
        <v>110.1</v>
      </c>
      <c r="U9" s="0" t="n">
        <v>55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2942.3</v>
      </c>
      <c r="F10" s="0" t="n">
        <v>1765.1</v>
      </c>
      <c r="H10" s="0" t="n">
        <v>1986.1</v>
      </c>
      <c r="I10" s="0" t="n">
        <v>1054.9</v>
      </c>
      <c r="M10" s="0" t="n">
        <v>891.3</v>
      </c>
      <c r="O10" s="0" t="n">
        <v>6691.8</v>
      </c>
      <c r="P10" s="0" t="n">
        <v>16965</v>
      </c>
      <c r="Q10" s="0" t="n">
        <v>10273.2</v>
      </c>
      <c r="R10" s="0" t="n">
        <v>8529.6</v>
      </c>
      <c r="S10" s="0" t="n">
        <v>83.1</v>
      </c>
      <c r="U10" s="0" t="n">
        <v>54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7321.1</v>
      </c>
      <c r="C11" s="0" t="n">
        <v>3802.1</v>
      </c>
      <c r="D11" s="0" t="n">
        <v>3519</v>
      </c>
      <c r="E11" s="0" t="n">
        <v>48.0665473767603</v>
      </c>
      <c r="F11" s="0" t="n">
        <v>2389</v>
      </c>
      <c r="G11" s="0" t="n">
        <v>32.6317083498381</v>
      </c>
      <c r="H11" s="0" t="n">
        <v>2636.9</v>
      </c>
      <c r="I11" s="0" t="n">
        <v>1528.6</v>
      </c>
      <c r="J11" s="0" t="n">
        <v>20.8793760500471</v>
      </c>
      <c r="M11" s="0" t="n">
        <v>907.4</v>
      </c>
      <c r="O11" s="0" t="n">
        <v>6829.3</v>
      </c>
      <c r="P11" s="0" t="n">
        <v>18602.4</v>
      </c>
      <c r="Q11" s="0" t="n">
        <v>11717.6</v>
      </c>
      <c r="R11" s="0" t="n">
        <v>9542.5</v>
      </c>
      <c r="S11" s="0" t="n">
        <v>177.4</v>
      </c>
      <c r="U11" s="0" t="n">
        <v>56.1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7580.3</v>
      </c>
      <c r="C12" s="0" t="n">
        <v>3767.8</v>
      </c>
      <c r="D12" s="0" t="n">
        <v>3812.5</v>
      </c>
      <c r="E12" s="0" t="n">
        <v>50.2948432120101</v>
      </c>
      <c r="F12" s="0" t="n">
        <v>2279.8</v>
      </c>
      <c r="G12" s="0" t="n">
        <v>30.0753268340303</v>
      </c>
      <c r="H12" s="0" t="n">
        <v>2579.5</v>
      </c>
      <c r="I12" s="0" t="n">
        <v>2303.4</v>
      </c>
      <c r="J12" s="0" t="n">
        <v>30.3866601585689</v>
      </c>
      <c r="L12" s="0" t="n">
        <v>1931.4</v>
      </c>
      <c r="M12" s="0" t="n">
        <v>1057.6</v>
      </c>
      <c r="N12" s="0" t="n">
        <v>873.8</v>
      </c>
      <c r="O12" s="0" t="n">
        <v>7991.7</v>
      </c>
      <c r="P12" s="0" t="n">
        <v>20538.7</v>
      </c>
      <c r="Q12" s="0" t="n">
        <v>12547</v>
      </c>
      <c r="R12" s="0" t="n">
        <v>9462.2</v>
      </c>
      <c r="S12" s="0" t="n">
        <v>90.3</v>
      </c>
      <c r="U12" s="0" t="n">
        <v>60.9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8116</v>
      </c>
      <c r="C13" s="0" t="n">
        <v>4035.7</v>
      </c>
      <c r="D13" s="0" t="n">
        <v>4080.3</v>
      </c>
      <c r="E13" s="0" t="n">
        <v>50.2747658945293</v>
      </c>
      <c r="F13" s="0" t="n">
        <v>2412.2</v>
      </c>
      <c r="G13" s="0" t="n">
        <v>29.7215377033021</v>
      </c>
      <c r="H13" s="0" t="n">
        <v>2751.3</v>
      </c>
      <c r="I13" s="0" t="n">
        <v>3435.9</v>
      </c>
      <c r="J13" s="0" t="n">
        <v>42.3348940364712</v>
      </c>
      <c r="K13" s="0" t="n">
        <v>17.57</v>
      </c>
      <c r="L13" s="0" t="n">
        <v>2246.3</v>
      </c>
      <c r="M13" s="0" t="n">
        <v>886.3</v>
      </c>
      <c r="N13" s="0" t="n">
        <v>1360</v>
      </c>
      <c r="O13" s="0" t="n">
        <v>12837.2</v>
      </c>
      <c r="P13" s="0" t="n">
        <v>29231.5</v>
      </c>
      <c r="Q13" s="0" t="n">
        <v>16394.3</v>
      </c>
      <c r="R13" s="0" t="n">
        <v>13890.2</v>
      </c>
      <c r="S13" s="0" t="n">
        <v>93.6</v>
      </c>
      <c r="T13" s="0" t="n">
        <v>195.532</v>
      </c>
      <c r="U13" s="0" t="n">
        <v>64.1</v>
      </c>
      <c r="V13" s="0" t="n">
        <v>2.96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8343.5</v>
      </c>
      <c r="C14" s="0" t="n">
        <v>4191.6</v>
      </c>
      <c r="D14" s="0" t="n">
        <v>4151.9</v>
      </c>
      <c r="E14" s="0" t="n">
        <v>49.7620902498951</v>
      </c>
      <c r="F14" s="0" t="n">
        <v>2154.5</v>
      </c>
      <c r="G14" s="0" t="n">
        <v>25.8224965542039</v>
      </c>
      <c r="H14" s="0" t="n">
        <v>2486.7</v>
      </c>
      <c r="I14" s="0" t="n">
        <v>-11.8</v>
      </c>
      <c r="J14" s="0" t="n">
        <v>-0.141427458500629</v>
      </c>
      <c r="K14" s="0" t="n">
        <v>-0.07</v>
      </c>
      <c r="L14" s="0" t="n">
        <v>2551.1</v>
      </c>
      <c r="M14" s="0" t="n">
        <v>726.5</v>
      </c>
      <c r="N14" s="0" t="n">
        <v>1824.6</v>
      </c>
      <c r="O14" s="0" t="n">
        <v>12474.3</v>
      </c>
      <c r="P14" s="0" t="n">
        <v>27323.2</v>
      </c>
      <c r="Q14" s="0" t="n">
        <v>14848.9</v>
      </c>
      <c r="R14" s="0" t="n">
        <v>12680.6</v>
      </c>
      <c r="S14" s="0" t="n">
        <v>81.4</v>
      </c>
      <c r="T14" s="0" t="n">
        <v>168.329</v>
      </c>
      <c r="U14" s="0" t="n">
        <v>60.4</v>
      </c>
      <c r="V14" s="0" t="n">
        <v>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8614.9</v>
      </c>
      <c r="C15" s="0" t="n">
        <v>4148.9</v>
      </c>
      <c r="D15" s="0" t="n">
        <v>4466</v>
      </c>
      <c r="E15" s="0" t="n">
        <v>51.8404160234013</v>
      </c>
      <c r="F15" s="0" t="n">
        <v>2791.1</v>
      </c>
      <c r="G15" s="0" t="n">
        <v>32.3985188452565</v>
      </c>
      <c r="H15" s="0" t="n">
        <v>3090.2</v>
      </c>
      <c r="I15" s="0" t="n">
        <v>1998</v>
      </c>
      <c r="J15" s="0" t="n">
        <v>23.1923759997214</v>
      </c>
      <c r="K15" s="0" t="n">
        <v>10.23</v>
      </c>
      <c r="L15" s="0" t="n">
        <v>2806.5</v>
      </c>
      <c r="M15" s="0" t="n">
        <v>864.6</v>
      </c>
      <c r="N15" s="0" t="n">
        <v>1941.9</v>
      </c>
      <c r="O15" s="0" t="n">
        <v>13929.1</v>
      </c>
      <c r="P15" s="0" t="n">
        <v>27104.8</v>
      </c>
      <c r="Q15" s="0" t="n">
        <v>13175.7</v>
      </c>
      <c r="R15" s="0" t="n">
        <v>10471.5</v>
      </c>
      <c r="S15" s="0" t="n">
        <v>460.6</v>
      </c>
      <c r="T15" s="0" t="n">
        <v>195.308</v>
      </c>
      <c r="U15" s="0" t="n">
        <v>63</v>
      </c>
      <c r="V15" s="0" t="n">
        <v>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8820.7</v>
      </c>
      <c r="C16" s="0" t="n">
        <v>4113.4</v>
      </c>
      <c r="D16" s="0" t="n">
        <v>4707.3</v>
      </c>
      <c r="E16" s="0" t="n">
        <v>53.366512861791</v>
      </c>
      <c r="F16" s="0" t="n">
        <v>2331.7</v>
      </c>
      <c r="G16" s="0" t="n">
        <v>26.4344099674629</v>
      </c>
      <c r="H16" s="0" t="n">
        <v>2674.1</v>
      </c>
      <c r="I16" s="0" t="n">
        <v>-40.4</v>
      </c>
      <c r="J16" s="0" t="n">
        <v>-0.458013536340653</v>
      </c>
      <c r="K16" s="0" t="n">
        <v>-0.22</v>
      </c>
      <c r="L16" s="0" t="n">
        <v>2705.4</v>
      </c>
      <c r="M16" s="0" t="n">
        <v>1026.8</v>
      </c>
      <c r="N16" s="0" t="n">
        <v>1678.6</v>
      </c>
      <c r="O16" s="0" t="n">
        <v>12047.8</v>
      </c>
      <c r="P16" s="0" t="n">
        <v>25855.8</v>
      </c>
      <c r="Q16" s="0" t="n">
        <v>13808</v>
      </c>
      <c r="R16" s="0" t="n">
        <v>10698.8</v>
      </c>
      <c r="S16" s="0" t="n">
        <v>199.4</v>
      </c>
      <c r="T16" s="0" t="n">
        <v>167.431</v>
      </c>
      <c r="U16" s="0" t="n">
        <v>44.9</v>
      </c>
      <c r="V16" s="0" t="n">
        <v>3.04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9452.6</v>
      </c>
      <c r="C17" s="0" t="n">
        <v>4683.6</v>
      </c>
      <c r="D17" s="0" t="n">
        <v>4769</v>
      </c>
      <c r="E17" s="0" t="n">
        <v>50.4517275670186</v>
      </c>
      <c r="F17" s="0" t="n">
        <v>2842.9</v>
      </c>
      <c r="G17" s="0" t="n">
        <v>30.0753231915029</v>
      </c>
      <c r="H17" s="0" t="n">
        <v>3229.9</v>
      </c>
      <c r="I17" s="0" t="n">
        <v>-71</v>
      </c>
      <c r="J17" s="0" t="n">
        <v>-0.751116095042634</v>
      </c>
      <c r="K17" s="0" t="n">
        <v>-0.11</v>
      </c>
      <c r="L17" s="0" t="n">
        <v>2756.9</v>
      </c>
      <c r="M17" s="0" t="n">
        <v>1035.4</v>
      </c>
      <c r="N17" s="0" t="n">
        <v>1721.5</v>
      </c>
      <c r="O17" s="0" t="n">
        <v>8733.9</v>
      </c>
      <c r="P17" s="0" t="n">
        <v>24662.3</v>
      </c>
      <c r="Q17" s="0" t="n">
        <v>15928.4</v>
      </c>
      <c r="R17" s="0" t="n">
        <v>11305.5</v>
      </c>
      <c r="S17" s="0" t="n">
        <v>133.5</v>
      </c>
      <c r="T17" s="0" t="n">
        <v>169.337</v>
      </c>
      <c r="U17" s="0" t="n">
        <v>68.5</v>
      </c>
      <c r="V17" s="0" t="n">
        <v>3.2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9961.8</v>
      </c>
      <c r="C18" s="0" t="n">
        <v>4944.3</v>
      </c>
      <c r="D18" s="0" t="n">
        <v>5017.5</v>
      </c>
      <c r="E18" s="0" t="n">
        <v>50.3674034812986</v>
      </c>
      <c r="F18" s="0" t="n">
        <v>3169.7</v>
      </c>
      <c r="G18" s="0" t="n">
        <v>31.818546848963</v>
      </c>
      <c r="H18" s="0" t="n">
        <v>3598.9</v>
      </c>
      <c r="I18" s="0" t="n">
        <v>1727.4</v>
      </c>
      <c r="J18" s="0" t="n">
        <v>17.340239715714</v>
      </c>
      <c r="K18" s="0" t="n">
        <v>9.39</v>
      </c>
      <c r="L18" s="0" t="n">
        <v>2780</v>
      </c>
      <c r="M18" s="0" t="n">
        <v>1269.1</v>
      </c>
      <c r="N18" s="0" t="n">
        <v>1510.9</v>
      </c>
      <c r="O18" s="0" t="n">
        <v>10064.6</v>
      </c>
      <c r="P18" s="0" t="n">
        <v>25691.7</v>
      </c>
      <c r="Q18" s="0" t="n">
        <v>15627.1</v>
      </c>
      <c r="R18" s="0" t="n">
        <v>12594.7</v>
      </c>
      <c r="S18" s="0" t="n">
        <v>152.4</v>
      </c>
      <c r="T18" s="0" t="n">
        <v>183.959</v>
      </c>
      <c r="U18" s="0" t="n">
        <v>63.6</v>
      </c>
      <c r="V18" s="0" t="n">
        <v>3.56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10208.7</v>
      </c>
      <c r="C19" s="0" t="n">
        <v>4894.1</v>
      </c>
      <c r="D19" s="0" t="n">
        <v>5314.6</v>
      </c>
      <c r="E19" s="0" t="n">
        <v>52.0595178622156</v>
      </c>
      <c r="F19" s="0" t="n">
        <v>354.9</v>
      </c>
      <c r="G19" s="0" t="n">
        <v>3.47644656028681</v>
      </c>
      <c r="H19" s="0" t="n">
        <v>801.9</v>
      </c>
      <c r="I19" s="0" t="n">
        <v>-81.4</v>
      </c>
      <c r="J19" s="0" t="n">
        <v>-0.797359115264431</v>
      </c>
      <c r="K19" s="0" t="n">
        <v>-0.45</v>
      </c>
      <c r="L19" s="0" t="n">
        <v>3152.2</v>
      </c>
      <c r="M19" s="0" t="n">
        <v>1214.1</v>
      </c>
      <c r="N19" s="0" t="n">
        <v>1938.1</v>
      </c>
      <c r="O19" s="0" t="n">
        <v>7134.8</v>
      </c>
      <c r="P19" s="0" t="n">
        <v>21652.3</v>
      </c>
      <c r="Q19" s="0" t="n">
        <v>14517.5</v>
      </c>
      <c r="R19" s="0" t="n">
        <v>12093</v>
      </c>
      <c r="S19" s="0" t="n">
        <v>68.1</v>
      </c>
      <c r="T19" s="0" t="n">
        <v>181.476</v>
      </c>
      <c r="U19" s="0" t="n">
        <v>72.2</v>
      </c>
      <c r="V19" s="0" t="n">
        <v>4.04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9139</v>
      </c>
      <c r="C20" s="0" t="n">
        <v>4427.5</v>
      </c>
      <c r="D20" s="0" t="n">
        <v>4711.5</v>
      </c>
      <c r="E20" s="0" t="n">
        <v>51.5537805011489</v>
      </c>
      <c r="F20" s="0" t="n">
        <v>2721.4</v>
      </c>
      <c r="G20" s="0" t="n">
        <v>29.7778750410329</v>
      </c>
      <c r="H20" s="0" t="n">
        <v>3141.4</v>
      </c>
      <c r="I20" s="0" t="n">
        <v>1686.7</v>
      </c>
      <c r="J20" s="0" t="n">
        <v>18.4560674034358</v>
      </c>
      <c r="K20" s="0" t="n">
        <v>9.61</v>
      </c>
      <c r="L20" s="0" t="n">
        <v>2669</v>
      </c>
      <c r="M20" s="0" t="n">
        <v>875</v>
      </c>
      <c r="N20" s="0" t="n">
        <v>1794</v>
      </c>
      <c r="O20" s="0" t="n">
        <v>8386.9</v>
      </c>
      <c r="P20" s="0" t="n">
        <v>21900.5</v>
      </c>
      <c r="Q20" s="0" t="n">
        <v>13513.6</v>
      </c>
      <c r="R20" s="0" t="n">
        <v>10900.1</v>
      </c>
      <c r="S20" s="0" t="n">
        <v>102.4</v>
      </c>
      <c r="T20" s="0" t="n">
        <v>175.568</v>
      </c>
      <c r="U20" s="0" t="n">
        <v>69.2</v>
      </c>
      <c r="V20" s="0" t="n">
        <v>4.08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112.99</v>
      </c>
    </row>
    <row r="3" customFormat="false" ht="15" hidden="false" customHeight="false" outlineLevel="0" collapsed="false">
      <c r="A3" s="0" t="s">
        <v>85</v>
      </c>
      <c r="B3" s="3" t="n">
        <v>171</v>
      </c>
    </row>
    <row r="4" customFormat="false" ht="15" hidden="false" customHeight="false" outlineLevel="0" collapsed="false">
      <c r="A4" s="0" t="s">
        <v>86</v>
      </c>
      <c r="B4" s="3" t="n">
        <v>10537.2</v>
      </c>
    </row>
    <row r="5" customFormat="false" ht="15" hidden="false" customHeight="false" outlineLevel="0" collapsed="false">
      <c r="A5" s="0" t="s">
        <v>87</v>
      </c>
      <c r="B5" s="3" t="n">
        <v>-748.8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9139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-3</v>
      </c>
      <c r="D13" s="3" t="n">
        <v>-2</v>
      </c>
      <c r="E13" s="3" t="n">
        <v>0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106</v>
      </c>
      <c r="C14" s="3" t="n">
        <v>35.5</v>
      </c>
      <c r="D14" s="3" t="n">
        <v>35</v>
      </c>
      <c r="E14" s="3" t="n">
        <v>35</v>
      </c>
      <c r="F14" s="3" t="n">
        <v>35</v>
      </c>
      <c r="G14" s="3" t="n">
        <v>35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107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4.6</v>
      </c>
      <c r="D17" s="3" t="n">
        <v>4.8</v>
      </c>
      <c r="E17" s="3" t="n">
        <v>5</v>
      </c>
      <c r="F17" s="3" t="n">
        <v>5.1</v>
      </c>
      <c r="G17" s="3" t="n">
        <v>5.2</v>
      </c>
      <c r="H17" s="3" t="n">
        <v>5.2</v>
      </c>
      <c r="I17" s="3" t="n">
        <v>5.2</v>
      </c>
      <c r="J17" s="3" t="n">
        <v>5.2</v>
      </c>
      <c r="K17" s="3" t="n">
        <v>5.2</v>
      </c>
      <c r="L17" s="3" t="n">
        <v>5.2</v>
      </c>
    </row>
    <row r="18" customFormat="false" ht="15" hidden="false" customHeight="false" outlineLevel="0" collapsed="false">
      <c r="A18" s="0" t="s">
        <v>110</v>
      </c>
      <c r="C18" s="3" t="n">
        <v>9</v>
      </c>
      <c r="D18" s="3" t="n">
        <v>7</v>
      </c>
      <c r="E18" s="3" t="n">
        <v>6</v>
      </c>
      <c r="F18" s="3" t="n">
        <v>5.5</v>
      </c>
      <c r="G18" s="3" t="n">
        <v>5.2</v>
      </c>
      <c r="H18" s="3" t="n">
        <v>5.2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111</v>
      </c>
      <c r="C19" s="3" t="n">
        <v>17</v>
      </c>
      <c r="D19" s="3" t="n">
        <v>18</v>
      </c>
      <c r="E19" s="3" t="n">
        <v>19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112</v>
      </c>
      <c r="B20" s="3" t="n">
        <v>7.5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13</v>
      </c>
    </row>
    <row r="23" customFormat="false" ht="15" hidden="false" customHeight="false" outlineLevel="0" collapsed="false">
      <c r="A23" s="0" t="s">
        <v>115</v>
      </c>
      <c r="B23" s="3" t="n">
        <v>-13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-1.5</v>
      </c>
      <c r="D27" s="3" t="n">
        <v>1</v>
      </c>
      <c r="E27" s="3" t="n">
        <v>2</v>
      </c>
      <c r="F27" s="3" t="n">
        <v>2.5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36.5</v>
      </c>
      <c r="D28" s="3" t="n">
        <v>37.5</v>
      </c>
      <c r="E28" s="3" t="n">
        <v>37.8</v>
      </c>
      <c r="F28" s="3" t="n">
        <v>38</v>
      </c>
      <c r="G28" s="3" t="n">
        <v>38</v>
      </c>
      <c r="H28" s="3" t="n">
        <v>38</v>
      </c>
      <c r="I28" s="3" t="n">
        <v>38</v>
      </c>
      <c r="J28" s="3" t="n">
        <v>38</v>
      </c>
      <c r="K28" s="3" t="n">
        <v>38</v>
      </c>
      <c r="L28" s="3" t="n">
        <v>38</v>
      </c>
    </row>
    <row r="29" customFormat="false" ht="15" hidden="false" customHeight="false" outlineLevel="0" collapsed="false">
      <c r="A29" s="0" t="s">
        <v>107</v>
      </c>
      <c r="C29" s="3" t="n">
        <v>0.85</v>
      </c>
      <c r="D29" s="3" t="n">
        <v>0.85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4.6</v>
      </c>
      <c r="D31" s="3" t="n">
        <v>4.7</v>
      </c>
      <c r="E31" s="3" t="n">
        <v>4.8</v>
      </c>
      <c r="F31" s="3" t="n">
        <v>4.9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110</v>
      </c>
      <c r="C32" s="3" t="n">
        <v>9.2</v>
      </c>
      <c r="D32" s="3" t="n">
        <v>8</v>
      </c>
      <c r="E32" s="3" t="n">
        <v>7</v>
      </c>
      <c r="F32" s="3" t="n">
        <v>6.2</v>
      </c>
      <c r="G32" s="3" t="n">
        <v>5.8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111</v>
      </c>
      <c r="C33" s="3" t="n">
        <v>17</v>
      </c>
      <c r="D33" s="3" t="n">
        <v>18</v>
      </c>
      <c r="E33" s="3" t="n">
        <v>19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112</v>
      </c>
      <c r="B34" s="3" t="n">
        <v>7.5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-13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-1</v>
      </c>
      <c r="D41" s="3" t="n">
        <v>3</v>
      </c>
      <c r="E41" s="3" t="n">
        <v>4.5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36.8</v>
      </c>
      <c r="D42" s="3" t="n">
        <v>38</v>
      </c>
      <c r="E42" s="3" t="n">
        <v>38.5</v>
      </c>
      <c r="F42" s="3" t="n">
        <v>39</v>
      </c>
      <c r="G42" s="3" t="n">
        <v>39.5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107</v>
      </c>
      <c r="C43" s="3" t="n">
        <v>0.85</v>
      </c>
      <c r="D43" s="3" t="n">
        <v>0.85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4.6</v>
      </c>
      <c r="D45" s="3" t="n">
        <v>4.7</v>
      </c>
      <c r="E45" s="3" t="n">
        <v>4.8</v>
      </c>
      <c r="F45" s="3" t="n">
        <v>4.9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110</v>
      </c>
      <c r="C46" s="3" t="n">
        <v>9.2</v>
      </c>
      <c r="D46" s="3" t="n">
        <v>8.5</v>
      </c>
      <c r="E46" s="3" t="n">
        <v>7.5</v>
      </c>
      <c r="F46" s="3" t="n">
        <v>6.5</v>
      </c>
      <c r="G46" s="3" t="n">
        <v>6</v>
      </c>
      <c r="H46" s="3" t="n">
        <v>6</v>
      </c>
      <c r="I46" s="3" t="n">
        <v>5.8</v>
      </c>
      <c r="J46" s="3" t="n">
        <v>5.8</v>
      </c>
      <c r="K46" s="3" t="n">
        <v>5.8</v>
      </c>
      <c r="L46" s="3" t="n">
        <v>5.8</v>
      </c>
    </row>
    <row r="47" customFormat="false" ht="15" hidden="false" customHeight="false" outlineLevel="0" collapsed="false">
      <c r="A47" s="0" t="s">
        <v>111</v>
      </c>
      <c r="C47" s="3" t="n">
        <v>17</v>
      </c>
      <c r="D47" s="3" t="n">
        <v>18</v>
      </c>
      <c r="E47" s="3" t="n">
        <v>19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112</v>
      </c>
      <c r="B48" s="3" t="n">
        <v>7.5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-13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9139</v>
      </c>
      <c r="C6" s="0" t="n">
        <f aca="false">B6*(1+C5/100)</f>
        <v>8864.83</v>
      </c>
      <c r="D6" s="0" t="n">
        <f aca="false">C6*(1+D5/100)</f>
        <v>8687.5334</v>
      </c>
      <c r="E6" s="0" t="n">
        <f aca="false">D6*(1+E5/100)</f>
        <v>8687.5334</v>
      </c>
      <c r="F6" s="0" t="n">
        <f aca="false">E6*(1+F5/100)</f>
        <v>8774.408734</v>
      </c>
      <c r="G6" s="0" t="n">
        <f aca="false">F6*(1+G5/100)</f>
        <v>8906.02486501</v>
      </c>
      <c r="H6" s="0" t="n">
        <f aca="false">G6*(1+H5/100)</f>
        <v>9039.61523798515</v>
      </c>
      <c r="I6" s="0" t="n">
        <f aca="false">H6*(1+I5/100)</f>
        <v>9175.20946655493</v>
      </c>
      <c r="J6" s="0" t="n">
        <f aca="false">I6*(1+J5/100)</f>
        <v>9312.83760855325</v>
      </c>
      <c r="K6" s="0" t="n">
        <f aca="false">J6*(1+K5/100)</f>
        <v>9452.53017268155</v>
      </c>
      <c r="L6" s="0" t="n">
        <f aca="false">K6*(1+L5/100)</f>
        <v>9594.31812527177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35.5</v>
      </c>
      <c r="D7" s="4" t="n">
        <f aca="false">Assumptions!D14</f>
        <v>35</v>
      </c>
      <c r="E7" s="4" t="n">
        <f aca="false">Assumptions!E14</f>
        <v>35</v>
      </c>
      <c r="F7" s="4" t="n">
        <f aca="false">Assumptions!F14</f>
        <v>35</v>
      </c>
      <c r="G7" s="4" t="n">
        <f aca="false">Assumptions!G14</f>
        <v>35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3147.01465</v>
      </c>
      <c r="D8" s="0" t="n">
        <f aca="false">D6*D7/100</f>
        <v>3040.63669</v>
      </c>
      <c r="E8" s="0" t="n">
        <f aca="false">E6*E7/100</f>
        <v>3040.63669</v>
      </c>
      <c r="F8" s="0" t="n">
        <f aca="false">F6*F7/100</f>
        <v>3071.0430569</v>
      </c>
      <c r="G8" s="0" t="n">
        <f aca="false">G6*G7/100</f>
        <v>3117.1087027535</v>
      </c>
      <c r="H8" s="0" t="n">
        <f aca="false">H6*H7/100</f>
        <v>3163.8653332948</v>
      </c>
      <c r="I8" s="0" t="n">
        <f aca="false">I6*I7/100</f>
        <v>3211.32331329422</v>
      </c>
      <c r="J8" s="0" t="n">
        <f aca="false">J6*J7/100</f>
        <v>3259.49316299364</v>
      </c>
      <c r="K8" s="0" t="n">
        <f aca="false">K6*K7/100</f>
        <v>3308.38556043854</v>
      </c>
      <c r="L8" s="0" t="n">
        <f aca="false">L6*L7/100</f>
        <v>3358.01134384512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-75.351055</v>
      </c>
      <c r="D10" s="0" t="n">
        <f aca="false">-D6*D9/100</f>
        <v>-73.8440339</v>
      </c>
      <c r="E10" s="0" t="n">
        <f aca="false">-E6*E9/100</f>
        <v>-73.8440339</v>
      </c>
      <c r="F10" s="0" t="n">
        <f aca="false">-F6*F9/100</f>
        <v>-74.582474239</v>
      </c>
      <c r="G10" s="0" t="n">
        <f aca="false">-G6*G9/100</f>
        <v>-75.701211352585</v>
      </c>
      <c r="H10" s="0" t="n">
        <f aca="false">-H6*H9/100</f>
        <v>-76.8367295228738</v>
      </c>
      <c r="I10" s="0" t="n">
        <f aca="false">-I6*I9/100</f>
        <v>-77.9892804657169</v>
      </c>
      <c r="J10" s="0" t="n">
        <f aca="false">-J6*J9/100</f>
        <v>-79.1591196727026</v>
      </c>
      <c r="K10" s="0" t="n">
        <f aca="false">-K6*K9/100</f>
        <v>-80.3465064677932</v>
      </c>
      <c r="L10" s="0" t="n">
        <f aca="false">-L6*L9/100</f>
        <v>-81.55170406481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3071.663595</v>
      </c>
      <c r="D11" s="0" t="n">
        <f aca="false">D8+D10+D24</f>
        <v>2966.7926561</v>
      </c>
      <c r="E11" s="0" t="n">
        <f aca="false">E8+E10+E24</f>
        <v>2966.7926561</v>
      </c>
      <c r="F11" s="0" t="n">
        <f aca="false">F8+F10+F24</f>
        <v>2996.460582661</v>
      </c>
      <c r="G11" s="0" t="n">
        <f aca="false">G8+G10+G24</f>
        <v>3041.40749140092</v>
      </c>
      <c r="H11" s="0" t="n">
        <f aca="false">H8+H10+H24</f>
        <v>3087.02860377193</v>
      </c>
      <c r="I11" s="0" t="n">
        <f aca="false">I8+I10+I24</f>
        <v>3133.33403282851</v>
      </c>
      <c r="J11" s="0" t="n">
        <f aca="false">J8+J10+J24</f>
        <v>3180.33404332093</v>
      </c>
      <c r="K11" s="0" t="n">
        <f aca="false">K8+K10+K24</f>
        <v>3228.03905397075</v>
      </c>
      <c r="L11" s="0" t="n">
        <f aca="false">L8+L10+L24</f>
        <v>3276.45963978031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-407.78218</v>
      </c>
      <c r="D12" s="4" t="n">
        <f aca="false">-D6*Assumptions!D17/100</f>
        <v>-417.0016032</v>
      </c>
      <c r="E12" s="4" t="n">
        <f aca="false">-E6*Assumptions!E17/100</f>
        <v>-434.37667</v>
      </c>
      <c r="F12" s="4" t="n">
        <f aca="false">-F6*Assumptions!F17/100</f>
        <v>-447.494845434</v>
      </c>
      <c r="G12" s="4" t="n">
        <f aca="false">-G6*Assumptions!G17/100</f>
        <v>-463.11329298052</v>
      </c>
      <c r="H12" s="4" t="n">
        <f aca="false">-H6*Assumptions!H17/100</f>
        <v>-470.059992375228</v>
      </c>
      <c r="I12" s="4" t="n">
        <f aca="false">-I6*Assumptions!I17/100</f>
        <v>-477.110892260856</v>
      </c>
      <c r="J12" s="4" t="n">
        <f aca="false">-J6*Assumptions!J17/100</f>
        <v>-484.267555644769</v>
      </c>
      <c r="K12" s="4" t="n">
        <f aca="false">-K6*Assumptions!K17/100</f>
        <v>-491.53156897944</v>
      </c>
      <c r="L12" s="4" t="n">
        <f aca="false">-L6*Assumptions!L17/100</f>
        <v>-498.904542514132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2663.881415</v>
      </c>
      <c r="D13" s="0" t="n">
        <f aca="false">D11+D12</f>
        <v>2549.7910529</v>
      </c>
      <c r="E13" s="0" t="n">
        <f aca="false">E11+E12</f>
        <v>2532.4159861</v>
      </c>
      <c r="F13" s="0" t="n">
        <f aca="false">F11+F12</f>
        <v>2548.965737227</v>
      </c>
      <c r="G13" s="0" t="n">
        <f aca="false">G11+G12</f>
        <v>2578.2941984204</v>
      </c>
      <c r="H13" s="0" t="n">
        <f aca="false">H11+H12</f>
        <v>2616.9686113967</v>
      </c>
      <c r="I13" s="0" t="n">
        <f aca="false">I11+I12</f>
        <v>2656.22314056765</v>
      </c>
      <c r="J13" s="0" t="n">
        <f aca="false">J11+J12</f>
        <v>2696.06648767617</v>
      </c>
      <c r="K13" s="0" t="n">
        <f aca="false">K11+K12</f>
        <v>2736.50748499131</v>
      </c>
      <c r="L13" s="0" t="n">
        <f aca="false">L11+L12</f>
        <v>2777.55509726618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2211.02157445</v>
      </c>
      <c r="D15" s="0" t="n">
        <f aca="false">D13-MAX(0,D13)*D14/100</f>
        <v>2090.828663378</v>
      </c>
      <c r="E15" s="0" t="n">
        <f aca="false">E13-MAX(0,E13)*E14/100</f>
        <v>2051.256948741</v>
      </c>
      <c r="F15" s="0" t="n">
        <f aca="false">F13-MAX(0,F13)*F14/100</f>
        <v>2039.1725897816</v>
      </c>
      <c r="G15" s="0" t="n">
        <f aca="false">G13-MAX(0,G13)*G14/100</f>
        <v>2062.63535873632</v>
      </c>
      <c r="H15" s="0" t="n">
        <f aca="false">H13-MAX(0,H13)*H14/100</f>
        <v>2093.57488911736</v>
      </c>
      <c r="I15" s="0" t="n">
        <f aca="false">I13-MAX(0,I13)*I14/100</f>
        <v>2124.97851245412</v>
      </c>
      <c r="J15" s="0" t="n">
        <f aca="false">J13-MAX(0,J13)*J14/100</f>
        <v>2156.85319014093</v>
      </c>
      <c r="K15" s="0" t="n">
        <f aca="false">K13-MAX(0,K13)*K14/100</f>
        <v>2189.20598799305</v>
      </c>
      <c r="L15" s="0" t="n">
        <f aca="false">L13-MAX(0,L13)*L14/100</f>
        <v>2222.04407781294</v>
      </c>
    </row>
    <row r="16" customFormat="false" ht="15" hidden="false" customHeight="false" outlineLevel="0" collapsed="false">
      <c r="A16" s="0" t="s">
        <v>127</v>
      </c>
      <c r="C16" s="0" t="n">
        <f aca="false">-C12</f>
        <v>407.78218</v>
      </c>
      <c r="D16" s="0" t="n">
        <f aca="false">-D12</f>
        <v>417.0016032</v>
      </c>
      <c r="E16" s="0" t="n">
        <f aca="false">-E12</f>
        <v>434.37667</v>
      </c>
      <c r="F16" s="0" t="n">
        <f aca="false">-F12</f>
        <v>447.494845434</v>
      </c>
      <c r="G16" s="0" t="n">
        <f aca="false">-G12</f>
        <v>463.11329298052</v>
      </c>
      <c r="H16" s="0" t="n">
        <f aca="false">-H12</f>
        <v>470.059992375228</v>
      </c>
      <c r="I16" s="0" t="n">
        <f aca="false">-I12</f>
        <v>477.110892260856</v>
      </c>
      <c r="J16" s="0" t="n">
        <f aca="false">-J12</f>
        <v>484.267555644769</v>
      </c>
      <c r="K16" s="0" t="n">
        <f aca="false">-K12</f>
        <v>491.53156897944</v>
      </c>
      <c r="L16" s="0" t="n">
        <f aca="false">-L12</f>
        <v>498.904542514132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-797.8347</v>
      </c>
      <c r="D17" s="4" t="n">
        <f aca="false">-D6*Assumptions!D18/100</f>
        <v>-608.127338</v>
      </c>
      <c r="E17" s="4" t="n">
        <f aca="false">-E6*Assumptions!E18/100</f>
        <v>-521.252004</v>
      </c>
      <c r="F17" s="4" t="n">
        <f aca="false">-F6*Assumptions!F18/100</f>
        <v>-482.59248037</v>
      </c>
      <c r="G17" s="4" t="n">
        <f aca="false">-G6*Assumptions!G18/100</f>
        <v>-463.11329298052</v>
      </c>
      <c r="H17" s="4" t="n">
        <f aca="false">-H6*Assumptions!H18/100</f>
        <v>-470.059992375228</v>
      </c>
      <c r="I17" s="4" t="n">
        <f aca="false">-I6*Assumptions!I18/100</f>
        <v>-477.110892260856</v>
      </c>
      <c r="J17" s="4" t="n">
        <f aca="false">-J6*Assumptions!J18/100</f>
        <v>-484.267555644769</v>
      </c>
      <c r="K17" s="4" t="n">
        <f aca="false">-K6*Assumptions!K18/100</f>
        <v>-491.53156897944</v>
      </c>
      <c r="L17" s="4" t="n">
        <f aca="false">-L6*Assumptions!L18/100</f>
        <v>-498.904542514132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35.6421</v>
      </c>
      <c r="D18" s="4" t="n">
        <f aca="false">(D6-C6)*Assumptions!$B$23/100</f>
        <v>23.048558</v>
      </c>
      <c r="E18" s="4" t="n">
        <f aca="false">(E6-D6)*Assumptions!$B$23/100</f>
        <v>-0</v>
      </c>
      <c r="F18" s="4" t="n">
        <f aca="false">(F6-E6)*Assumptions!$B$23/100</f>
        <v>-11.29379342</v>
      </c>
      <c r="G18" s="4" t="n">
        <f aca="false">(G6-F6)*Assumptions!$B$23/100</f>
        <v>-17.1100970313</v>
      </c>
      <c r="H18" s="4" t="n">
        <f aca="false">(H6-G6)*Assumptions!$B$23/100</f>
        <v>-17.3667484867695</v>
      </c>
      <c r="I18" s="4" t="n">
        <f aca="false">(I6-H6)*Assumptions!$B$23/100</f>
        <v>-17.627249714071</v>
      </c>
      <c r="J18" s="4" t="n">
        <f aca="false">(J6-I6)*Assumptions!$B$23/100</f>
        <v>-17.8916584597819</v>
      </c>
      <c r="K18" s="4" t="n">
        <f aca="false">(K6-J6)*Assumptions!$B$23/100</f>
        <v>-18.1600333366787</v>
      </c>
      <c r="L18" s="4" t="n">
        <f aca="false">(L6-K6)*Assumptions!$B$23/100</f>
        <v>-18.4324338367289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1856.61115445</v>
      </c>
      <c r="D19" s="0" t="n">
        <f aca="false">D15+D16+D17+D18</f>
        <v>1922.751486578</v>
      </c>
      <c r="E19" s="0" t="n">
        <f aca="false">E15+E16+E17+E18</f>
        <v>1964.381614741</v>
      </c>
      <c r="F19" s="0" t="n">
        <f aca="false">F15+F16+F17+F18</f>
        <v>1992.7811614256</v>
      </c>
      <c r="G19" s="0" t="n">
        <f aca="false">G15+G16+G17+G18</f>
        <v>2045.52526170502</v>
      </c>
      <c r="H19" s="0" t="n">
        <f aca="false">H15+H16+H17+H18</f>
        <v>2076.20814063059</v>
      </c>
      <c r="I19" s="0" t="n">
        <f aca="false">I15+I16+I17+I18</f>
        <v>2107.35126274005</v>
      </c>
      <c r="J19" s="0" t="n">
        <f aca="false">J15+J16+J17+J18</f>
        <v>2138.96153168115</v>
      </c>
      <c r="K19" s="0" t="n">
        <f aca="false">K15+K16+K17+K18</f>
        <v>2171.04595465637</v>
      </c>
      <c r="L19" s="0" t="n">
        <f aca="false">L15+L16+L17+L18</f>
        <v>2203.61164397621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1727.08014367442</v>
      </c>
      <c r="D21" s="0" t="n">
        <f aca="false">D19*D20</f>
        <v>1663.81956653586</v>
      </c>
      <c r="E21" s="0" t="n">
        <f aca="false">E19*E20</f>
        <v>1581.24974333611</v>
      </c>
      <c r="F21" s="0" t="n">
        <f aca="false">F19*F20</f>
        <v>1492.19558940387</v>
      </c>
      <c r="G21" s="0" t="n">
        <f aca="false">G19*G20</f>
        <v>1424.82827873086</v>
      </c>
      <c r="H21" s="0" t="n">
        <f aca="false">H19*H20</f>
        <v>1345.30297945286</v>
      </c>
      <c r="I21" s="0" t="n">
        <f aca="false">I19*I20</f>
        <v>1270.21630152991</v>
      </c>
      <c r="J21" s="0" t="n">
        <f aca="false">J19*J20</f>
        <v>1199.32050795615</v>
      </c>
      <c r="K21" s="0" t="n">
        <f aca="false">K19*K20</f>
        <v>1132.38168890743</v>
      </c>
      <c r="L21" s="0" t="n">
        <f aca="false">L19*L20</f>
        <v>1069.17898999167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13905.5737895191</v>
      </c>
    </row>
    <row r="31" customFormat="false" ht="15" hidden="false" customHeight="false" outlineLevel="0" collapsed="false">
      <c r="A31" s="0" t="s">
        <v>136</v>
      </c>
      <c r="B31" s="0" t="n">
        <f aca="false">L19</f>
        <v>2203.61164397621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40866.9795791952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28646.9513716908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28646.9513716908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13899.3268698917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27804.9006594108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16518.9006594108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96.6017582421683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-0.145041523655471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524.669081138514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733.813808872388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103.96130730656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17289.8759758134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17.8655138380631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-1.5</v>
      </c>
      <c r="D5" s="4" t="n">
        <f aca="false">Assumptions!D27</f>
        <v>1</v>
      </c>
      <c r="E5" s="4" t="n">
        <f aca="false">Assumptions!E27</f>
        <v>2</v>
      </c>
      <c r="F5" s="4" t="n">
        <f aca="false">Assumptions!F27</f>
        <v>2.5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9139</v>
      </c>
      <c r="C6" s="0" t="n">
        <f aca="false">B6*(1+C5/100)</f>
        <v>9001.915</v>
      </c>
      <c r="D6" s="0" t="n">
        <f aca="false">C6*(1+D5/100)</f>
        <v>9091.93415</v>
      </c>
      <c r="E6" s="0" t="n">
        <f aca="false">D6*(1+E5/100)</f>
        <v>9273.772833</v>
      </c>
      <c r="F6" s="0" t="n">
        <f aca="false">E6*(1+F5/100)</f>
        <v>9505.617153825</v>
      </c>
      <c r="G6" s="0" t="n">
        <f aca="false">F6*(1+G5/100)</f>
        <v>9790.78566843975</v>
      </c>
      <c r="H6" s="0" t="n">
        <f aca="false">G6*(1+H5/100)</f>
        <v>10084.5092384929</v>
      </c>
      <c r="I6" s="0" t="n">
        <f aca="false">H6*(1+I5/100)</f>
        <v>10387.0445156477</v>
      </c>
      <c r="J6" s="0" t="n">
        <f aca="false">I6*(1+J5/100)</f>
        <v>10646.7206285389</v>
      </c>
      <c r="K6" s="0" t="n">
        <f aca="false">J6*(1+K5/100)</f>
        <v>10912.8886442524</v>
      </c>
      <c r="L6" s="0" t="n">
        <f aca="false">K6*(1+L5/100)</f>
        <v>11185.7108603587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36.5</v>
      </c>
      <c r="D7" s="4" t="n">
        <f aca="false">Assumptions!D28</f>
        <v>37.5</v>
      </c>
      <c r="E7" s="4" t="n">
        <f aca="false">Assumptions!E28</f>
        <v>37.8</v>
      </c>
      <c r="F7" s="4" t="n">
        <f aca="false">Assumptions!F28</f>
        <v>38</v>
      </c>
      <c r="G7" s="4" t="n">
        <f aca="false">Assumptions!G28</f>
        <v>38</v>
      </c>
      <c r="H7" s="4" t="n">
        <f aca="false">Assumptions!H28</f>
        <v>38</v>
      </c>
      <c r="I7" s="4" t="n">
        <f aca="false">Assumptions!I28</f>
        <v>38</v>
      </c>
      <c r="J7" s="4" t="n">
        <f aca="false">Assumptions!J28</f>
        <v>38</v>
      </c>
      <c r="K7" s="4" t="n">
        <f aca="false">Assumptions!K28</f>
        <v>38</v>
      </c>
      <c r="L7" s="4" t="n">
        <f aca="false">Assumptions!L28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3285.698975</v>
      </c>
      <c r="D8" s="0" t="n">
        <f aca="false">D6*D7/100</f>
        <v>3409.47530625</v>
      </c>
      <c r="E8" s="0" t="n">
        <f aca="false">E6*E7/100</f>
        <v>3505.486130874</v>
      </c>
      <c r="F8" s="0" t="n">
        <f aca="false">F6*F7/100</f>
        <v>3612.1345184535</v>
      </c>
      <c r="G8" s="0" t="n">
        <f aca="false">G6*G7/100</f>
        <v>3720.4985540071</v>
      </c>
      <c r="H8" s="0" t="n">
        <f aca="false">H6*H7/100</f>
        <v>3832.11351062732</v>
      </c>
      <c r="I8" s="0" t="n">
        <f aca="false">I6*I7/100</f>
        <v>3947.07691594614</v>
      </c>
      <c r="J8" s="0" t="n">
        <f aca="false">J6*J7/100</f>
        <v>4045.75383884479</v>
      </c>
      <c r="K8" s="0" t="n">
        <f aca="false">K6*K7/100</f>
        <v>4146.89768481591</v>
      </c>
      <c r="L8" s="0" t="n">
        <f aca="false">L6*L7/100</f>
        <v>4250.57012693631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-76.5162775</v>
      </c>
      <c r="D10" s="0" t="n">
        <f aca="false">-D6*D9/100</f>
        <v>-77.281440275</v>
      </c>
      <c r="E10" s="0" t="n">
        <f aca="false">-E6*E9/100</f>
        <v>-78.8270690805</v>
      </c>
      <c r="F10" s="0" t="n">
        <f aca="false">-F6*F9/100</f>
        <v>-80.7977458075125</v>
      </c>
      <c r="G10" s="0" t="n">
        <f aca="false">-G6*G9/100</f>
        <v>-83.2216781817379</v>
      </c>
      <c r="H10" s="0" t="n">
        <f aca="false">-H6*H9/100</f>
        <v>-85.71832852719</v>
      </c>
      <c r="I10" s="0" t="n">
        <f aca="false">-I6*I9/100</f>
        <v>-88.2898783830057</v>
      </c>
      <c r="J10" s="0" t="n">
        <f aca="false">-J6*J9/100</f>
        <v>-90.4971253425808</v>
      </c>
      <c r="K10" s="0" t="n">
        <f aca="false">-K6*K9/100</f>
        <v>-92.7595534761454</v>
      </c>
      <c r="L10" s="0" t="n">
        <f aca="false">-L6*L9/100</f>
        <v>-95.078542313049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3209.1826975</v>
      </c>
      <c r="D11" s="0" t="n">
        <f aca="false">D8+D10+D24</f>
        <v>3332.193865975</v>
      </c>
      <c r="E11" s="0" t="n">
        <f aca="false">E8+E10+E24</f>
        <v>3426.6590617935</v>
      </c>
      <c r="F11" s="0" t="n">
        <f aca="false">F8+F10+F24</f>
        <v>3531.33677264599</v>
      </c>
      <c r="G11" s="0" t="n">
        <f aca="false">G8+G10+G24</f>
        <v>3637.27687582537</v>
      </c>
      <c r="H11" s="0" t="n">
        <f aca="false">H8+H10+H24</f>
        <v>3746.39518210013</v>
      </c>
      <c r="I11" s="0" t="n">
        <f aca="false">I8+I10+I24</f>
        <v>3858.78703756313</v>
      </c>
      <c r="J11" s="0" t="n">
        <f aca="false">J8+J10+J24</f>
        <v>3955.25671350221</v>
      </c>
      <c r="K11" s="0" t="n">
        <f aca="false">K8+K10+K24</f>
        <v>4054.13813133976</v>
      </c>
      <c r="L11" s="0" t="n">
        <f aca="false">L8+L10+L24</f>
        <v>4155.49158462326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-414.08809</v>
      </c>
      <c r="D12" s="4" t="n">
        <f aca="false">-D6*Assumptions!D31/100</f>
        <v>-427.32090505</v>
      </c>
      <c r="E12" s="4" t="n">
        <f aca="false">-E6*Assumptions!E31/100</f>
        <v>-445.141095984</v>
      </c>
      <c r="F12" s="4" t="n">
        <f aca="false">-F6*Assumptions!F31/100</f>
        <v>-465.775240537425</v>
      </c>
      <c r="G12" s="4" t="n">
        <f aca="false">-G6*Assumptions!G31/100</f>
        <v>-489.539283421987</v>
      </c>
      <c r="H12" s="4" t="n">
        <f aca="false">-H6*Assumptions!H31/100</f>
        <v>-504.225461924647</v>
      </c>
      <c r="I12" s="4" t="n">
        <f aca="false">-I6*Assumptions!I31/100</f>
        <v>-519.352225782386</v>
      </c>
      <c r="J12" s="4" t="n">
        <f aca="false">-J6*Assumptions!J31/100</f>
        <v>-532.336031426946</v>
      </c>
      <c r="K12" s="4" t="n">
        <f aca="false">-K6*Assumptions!K31/100</f>
        <v>-545.64443221262</v>
      </c>
      <c r="L12" s="4" t="n">
        <f aca="false">-L6*Assumptions!L31/100</f>
        <v>-559.285543017935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2795.0946075</v>
      </c>
      <c r="D13" s="0" t="n">
        <f aca="false">D11+D12</f>
        <v>2904.872960925</v>
      </c>
      <c r="E13" s="0" t="n">
        <f aca="false">E11+E12</f>
        <v>2981.5179658095</v>
      </c>
      <c r="F13" s="0" t="n">
        <f aca="false">F11+F12</f>
        <v>3065.56153210856</v>
      </c>
      <c r="G13" s="0" t="n">
        <f aca="false">G11+G12</f>
        <v>3147.73759240338</v>
      </c>
      <c r="H13" s="0" t="n">
        <f aca="false">H11+H12</f>
        <v>3242.16972017548</v>
      </c>
      <c r="I13" s="0" t="n">
        <f aca="false">I11+I12</f>
        <v>3339.43481178075</v>
      </c>
      <c r="J13" s="0" t="n">
        <f aca="false">J11+J12</f>
        <v>3422.92068207526</v>
      </c>
      <c r="K13" s="0" t="n">
        <f aca="false">K11+K12</f>
        <v>3508.49369912715</v>
      </c>
      <c r="L13" s="0" t="n">
        <f aca="false">L11+L12</f>
        <v>3596.20604160532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2319.928524225</v>
      </c>
      <c r="D15" s="0" t="n">
        <f aca="false">D13-MAX(0,D13)*D14/100</f>
        <v>2381.9958279585</v>
      </c>
      <c r="E15" s="0" t="n">
        <f aca="false">E13-MAX(0,E13)*E14/100</f>
        <v>2415.02955230569</v>
      </c>
      <c r="F15" s="0" t="n">
        <f aca="false">F13-MAX(0,F13)*F14/100</f>
        <v>2452.44922568685</v>
      </c>
      <c r="G15" s="0" t="n">
        <f aca="false">G13-MAX(0,G13)*G14/100</f>
        <v>2518.1900739227</v>
      </c>
      <c r="H15" s="0" t="n">
        <f aca="false">H13-MAX(0,H13)*H14/100</f>
        <v>2593.73577614038</v>
      </c>
      <c r="I15" s="0" t="n">
        <f aca="false">I13-MAX(0,I13)*I14/100</f>
        <v>2671.5478494246</v>
      </c>
      <c r="J15" s="0" t="n">
        <f aca="false">J13-MAX(0,J13)*J14/100</f>
        <v>2738.33654566021</v>
      </c>
      <c r="K15" s="0" t="n">
        <f aca="false">K13-MAX(0,K13)*K14/100</f>
        <v>2806.79495930172</v>
      </c>
      <c r="L15" s="0" t="n">
        <f aca="false">L13-MAX(0,L13)*L14/100</f>
        <v>2876.96483328426</v>
      </c>
    </row>
    <row r="16" customFormat="false" ht="15" hidden="false" customHeight="false" outlineLevel="0" collapsed="false">
      <c r="A16" s="0" t="s">
        <v>127</v>
      </c>
      <c r="C16" s="0" t="n">
        <f aca="false">-C12</f>
        <v>414.08809</v>
      </c>
      <c r="D16" s="0" t="n">
        <f aca="false">-D12</f>
        <v>427.32090505</v>
      </c>
      <c r="E16" s="0" t="n">
        <f aca="false">-E12</f>
        <v>445.141095984</v>
      </c>
      <c r="F16" s="0" t="n">
        <f aca="false">-F12</f>
        <v>465.775240537425</v>
      </c>
      <c r="G16" s="0" t="n">
        <f aca="false">-G12</f>
        <v>489.539283421987</v>
      </c>
      <c r="H16" s="0" t="n">
        <f aca="false">-H12</f>
        <v>504.225461924647</v>
      </c>
      <c r="I16" s="0" t="n">
        <f aca="false">-I12</f>
        <v>519.352225782386</v>
      </c>
      <c r="J16" s="0" t="n">
        <f aca="false">-J12</f>
        <v>532.336031426946</v>
      </c>
      <c r="K16" s="0" t="n">
        <f aca="false">-K12</f>
        <v>545.64443221262</v>
      </c>
      <c r="L16" s="0" t="n">
        <f aca="false">-L12</f>
        <v>559.285543017935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-828.17618</v>
      </c>
      <c r="D17" s="4" t="n">
        <f aca="false">-D6*Assumptions!D32/100</f>
        <v>-727.354732</v>
      </c>
      <c r="E17" s="4" t="n">
        <f aca="false">-E6*Assumptions!E32/100</f>
        <v>-649.16409831</v>
      </c>
      <c r="F17" s="4" t="n">
        <f aca="false">-F6*Assumptions!F32/100</f>
        <v>-589.34826353715</v>
      </c>
      <c r="G17" s="4" t="n">
        <f aca="false">-G6*Assumptions!G32/100</f>
        <v>-567.865568769505</v>
      </c>
      <c r="H17" s="4" t="n">
        <f aca="false">-H6*Assumptions!H32/100</f>
        <v>-554.648008117112</v>
      </c>
      <c r="I17" s="4" t="n">
        <f aca="false">-I6*Assumptions!I32/100</f>
        <v>-571.287448360625</v>
      </c>
      <c r="J17" s="4" t="n">
        <f aca="false">-J6*Assumptions!J32/100</f>
        <v>-585.569634569641</v>
      </c>
      <c r="K17" s="4" t="n">
        <f aca="false">-K6*Assumptions!K32/100</f>
        <v>-600.208875433882</v>
      </c>
      <c r="L17" s="4" t="n">
        <f aca="false">-L6*Assumptions!L32/100</f>
        <v>-615.214097319729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17.8210500000001</v>
      </c>
      <c r="D18" s="4" t="n">
        <f aca="false">(D6-C6)*Assumptions!$B$37/100</f>
        <v>-11.7024895</v>
      </c>
      <c r="E18" s="4" t="n">
        <f aca="false">(E6-D6)*Assumptions!$B$37/100</f>
        <v>-23.63902879</v>
      </c>
      <c r="F18" s="4" t="n">
        <f aca="false">(F6-E6)*Assumptions!$B$37/100</f>
        <v>-30.1397617072499</v>
      </c>
      <c r="G18" s="4" t="n">
        <f aca="false">(G6-F6)*Assumptions!$B$37/100</f>
        <v>-37.0719068999175</v>
      </c>
      <c r="H18" s="4" t="n">
        <f aca="false">(H6-G6)*Assumptions!$B$37/100</f>
        <v>-38.1840641069151</v>
      </c>
      <c r="I18" s="4" t="n">
        <f aca="false">(I6-H6)*Assumptions!$B$37/100</f>
        <v>-39.3295860301224</v>
      </c>
      <c r="J18" s="4" t="n">
        <f aca="false">(J6-I6)*Assumptions!$B$37/100</f>
        <v>-33.7578946758551</v>
      </c>
      <c r="K18" s="4" t="n">
        <f aca="false">(K6-J6)*Assumptions!$B$37/100</f>
        <v>-34.6018420427514</v>
      </c>
      <c r="L18" s="4" t="n">
        <f aca="false">(L6-K6)*Assumptions!$B$37/100</f>
        <v>-35.4668880938202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1923.661484225</v>
      </c>
      <c r="D19" s="0" t="n">
        <f aca="false">D15+D16+D17+D18</f>
        <v>2070.2595115085</v>
      </c>
      <c r="E19" s="0" t="n">
        <f aca="false">E15+E16+E17+E18</f>
        <v>2187.36752118969</v>
      </c>
      <c r="F19" s="0" t="n">
        <f aca="false">F15+F16+F17+F18</f>
        <v>2298.73644097987</v>
      </c>
      <c r="G19" s="0" t="n">
        <f aca="false">G15+G16+G17+G18</f>
        <v>2402.79188167527</v>
      </c>
      <c r="H19" s="0" t="n">
        <f aca="false">H15+H16+H17+H18</f>
        <v>2505.129165841</v>
      </c>
      <c r="I19" s="0" t="n">
        <f aca="false">I15+I16+I17+I18</f>
        <v>2580.28304081624</v>
      </c>
      <c r="J19" s="0" t="n">
        <f aca="false">J15+J16+J17+J18</f>
        <v>2651.34504784166</v>
      </c>
      <c r="K19" s="0" t="n">
        <f aca="false">K15+K16+K17+K18</f>
        <v>2717.6286740377</v>
      </c>
      <c r="L19" s="0" t="n">
        <f aca="false">L15+L16+L17+L18</f>
        <v>2785.56939088865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1789.45254346512</v>
      </c>
      <c r="D21" s="0" t="n">
        <f aca="false">D19*D20</f>
        <v>1791.4630710728</v>
      </c>
      <c r="E21" s="0" t="n">
        <f aca="false">E19*E20</f>
        <v>1760.74460558367</v>
      </c>
      <c r="F21" s="0" t="n">
        <f aca="false">F19*F20</f>
        <v>1721.29506482199</v>
      </c>
      <c r="G21" s="0" t="n">
        <f aca="false">G19*G20</f>
        <v>1673.68542692169</v>
      </c>
      <c r="H21" s="0" t="n">
        <f aca="false">H19*H20</f>
        <v>1623.22729824986</v>
      </c>
      <c r="I21" s="0" t="n">
        <f aca="false">I19*I20</f>
        <v>1555.27824855568</v>
      </c>
      <c r="J21" s="0" t="n">
        <f aca="false">J19*J20</f>
        <v>1486.6150898213</v>
      </c>
      <c r="K21" s="0" t="n">
        <f aca="false">K19*K20</f>
        <v>1417.47020192263</v>
      </c>
      <c r="L21" s="0" t="n">
        <f aca="false">L19*L20</f>
        <v>1351.54135532158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16170.7729057363</v>
      </c>
    </row>
    <row r="31" customFormat="false" ht="15" hidden="false" customHeight="false" outlineLevel="0" collapsed="false">
      <c r="A31" s="0" t="s">
        <v>136</v>
      </c>
      <c r="B31" s="0" t="n">
        <f aca="false">L19</f>
        <v>2785.56939088865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57104.1725132172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41783.5408633297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41783.5408633297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20273.1203298237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36443.89323556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25157.89323556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147.122182664093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0.302081446712926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573.989595763114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945.696394561927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156.009235239094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22841.6690052869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34.656640600906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-1</v>
      </c>
      <c r="D5" s="4" t="n">
        <f aca="false">Assumptions!D41</f>
        <v>3</v>
      </c>
      <c r="E5" s="4" t="n">
        <f aca="false">Assumptions!E41</f>
        <v>4.5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9139</v>
      </c>
      <c r="C6" s="0" t="n">
        <f aca="false">B6*(1+C5/100)</f>
        <v>9047.61</v>
      </c>
      <c r="D6" s="0" t="n">
        <f aca="false">C6*(1+D5/100)</f>
        <v>9319.0383</v>
      </c>
      <c r="E6" s="0" t="n">
        <f aca="false">D6*(1+E5/100)</f>
        <v>9738.3950235</v>
      </c>
      <c r="F6" s="0" t="n">
        <f aca="false">E6*(1+F5/100)</f>
        <v>10225.314774675</v>
      </c>
      <c r="G6" s="0" t="n">
        <f aca="false">F6*(1+G5/100)</f>
        <v>10736.5805134088</v>
      </c>
      <c r="H6" s="0" t="n">
        <f aca="false">G6*(1+H5/100)</f>
        <v>11219.7266365121</v>
      </c>
      <c r="I6" s="0" t="n">
        <f aca="false">H6*(1+I5/100)</f>
        <v>11668.5157019726</v>
      </c>
      <c r="J6" s="0" t="n">
        <f aca="false">I6*(1+J5/100)</f>
        <v>12076.9137515417</v>
      </c>
      <c r="K6" s="0" t="n">
        <f aca="false">J6*(1+K5/100)</f>
        <v>12439.2211640879</v>
      </c>
      <c r="L6" s="0" t="n">
        <f aca="false">K6*(1+L5/100)</f>
        <v>12812.3977990106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36.8</v>
      </c>
      <c r="D7" s="4" t="n">
        <f aca="false">Assumptions!D42</f>
        <v>38</v>
      </c>
      <c r="E7" s="4" t="n">
        <f aca="false">Assumptions!E42</f>
        <v>38.5</v>
      </c>
      <c r="F7" s="4" t="n">
        <f aca="false">Assumptions!F42</f>
        <v>39</v>
      </c>
      <c r="G7" s="4" t="n">
        <f aca="false">Assumptions!G42</f>
        <v>39.5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3329.52048</v>
      </c>
      <c r="D8" s="0" t="n">
        <f aca="false">D6*D7/100</f>
        <v>3541.234554</v>
      </c>
      <c r="E8" s="0" t="n">
        <f aca="false">E6*E7/100</f>
        <v>3749.2820840475</v>
      </c>
      <c r="F8" s="0" t="n">
        <f aca="false">F6*F7/100</f>
        <v>3987.87276212325</v>
      </c>
      <c r="G8" s="0" t="n">
        <f aca="false">G6*G7/100</f>
        <v>4240.94930279646</v>
      </c>
      <c r="H8" s="0" t="n">
        <f aca="false">H6*H7/100</f>
        <v>4431.7920214223</v>
      </c>
      <c r="I8" s="0" t="n">
        <f aca="false">I6*I7/100</f>
        <v>4609.06370227919</v>
      </c>
      <c r="J8" s="0" t="n">
        <f aca="false">J6*J7/100</f>
        <v>4770.38093185896</v>
      </c>
      <c r="K8" s="0" t="n">
        <f aca="false">K6*K7/100</f>
        <v>4913.49235981473</v>
      </c>
      <c r="L8" s="0" t="n">
        <f aca="false">L6*L7/100</f>
        <v>5060.89713060917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-76.904685</v>
      </c>
      <c r="D10" s="0" t="n">
        <f aca="false">-D6*D9/100</f>
        <v>-79.21182555</v>
      </c>
      <c r="E10" s="0" t="n">
        <f aca="false">-E6*E9/100</f>
        <v>-82.77635769975</v>
      </c>
      <c r="F10" s="0" t="n">
        <f aca="false">-F6*F9/100</f>
        <v>-86.9151755847375</v>
      </c>
      <c r="G10" s="0" t="n">
        <f aca="false">-G6*G9/100</f>
        <v>-91.2609343639744</v>
      </c>
      <c r="H10" s="0" t="n">
        <f aca="false">-H6*H9/100</f>
        <v>-95.3676764103532</v>
      </c>
      <c r="I10" s="0" t="n">
        <f aca="false">-I6*I9/100</f>
        <v>-99.1823834667674</v>
      </c>
      <c r="J10" s="0" t="n">
        <f aca="false">-J6*J9/100</f>
        <v>-102.653766888104</v>
      </c>
      <c r="K10" s="0" t="n">
        <f aca="false">-K6*K9/100</f>
        <v>-105.733379894747</v>
      </c>
      <c r="L10" s="0" t="n">
        <f aca="false">-L6*L9/100</f>
        <v>-108.90538129159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3252.615795</v>
      </c>
      <c r="D11" s="0" t="n">
        <f aca="false">D8+D10+D24</f>
        <v>3462.02272845</v>
      </c>
      <c r="E11" s="0" t="n">
        <f aca="false">E8+E10+E24</f>
        <v>3666.50572634775</v>
      </c>
      <c r="F11" s="0" t="n">
        <f aca="false">F8+F10+F24</f>
        <v>3900.95758653851</v>
      </c>
      <c r="G11" s="0" t="n">
        <f aca="false">G8+G10+G24</f>
        <v>4149.68836843248</v>
      </c>
      <c r="H11" s="0" t="n">
        <f aca="false">H8+H10+H24</f>
        <v>4336.42434501194</v>
      </c>
      <c r="I11" s="0" t="n">
        <f aca="false">I8+I10+I24</f>
        <v>4509.88131881242</v>
      </c>
      <c r="J11" s="0" t="n">
        <f aca="false">J8+J10+J24</f>
        <v>4667.72716497086</v>
      </c>
      <c r="K11" s="0" t="n">
        <f aca="false">K8+K10+K24</f>
        <v>4807.75897991998</v>
      </c>
      <c r="L11" s="0" t="n">
        <f aca="false">L8+L10+L24</f>
        <v>4951.99174931758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-416.19006</v>
      </c>
      <c r="D12" s="4" t="n">
        <f aca="false">-D6*Assumptions!D45/100</f>
        <v>-437.9948001</v>
      </c>
      <c r="E12" s="4" t="n">
        <f aca="false">-E6*Assumptions!E45/100</f>
        <v>-467.442961128</v>
      </c>
      <c r="F12" s="4" t="n">
        <f aca="false">-F6*Assumptions!F45/100</f>
        <v>-501.040423959075</v>
      </c>
      <c r="G12" s="4" t="n">
        <f aca="false">-G6*Assumptions!G45/100</f>
        <v>-536.829025670438</v>
      </c>
      <c r="H12" s="4" t="n">
        <f aca="false">-H6*Assumptions!H45/100</f>
        <v>-560.986331825607</v>
      </c>
      <c r="I12" s="4" t="n">
        <f aca="false">-I6*Assumptions!I45/100</f>
        <v>-583.425785098632</v>
      </c>
      <c r="J12" s="4" t="n">
        <f aca="false">-J6*Assumptions!J45/100</f>
        <v>-603.845687577084</v>
      </c>
      <c r="K12" s="4" t="n">
        <f aca="false">-K6*Assumptions!K45/100</f>
        <v>-621.961058204396</v>
      </c>
      <c r="L12" s="4" t="n">
        <f aca="false">-L6*Assumptions!L45/100</f>
        <v>-640.619889950528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2836.425735</v>
      </c>
      <c r="D13" s="0" t="n">
        <f aca="false">D11+D12</f>
        <v>3024.02792835</v>
      </c>
      <c r="E13" s="0" t="n">
        <f aca="false">E11+E12</f>
        <v>3199.06276521975</v>
      </c>
      <c r="F13" s="0" t="n">
        <f aca="false">F11+F12</f>
        <v>3399.91716257944</v>
      </c>
      <c r="G13" s="0" t="n">
        <f aca="false">G11+G12</f>
        <v>3612.85934276204</v>
      </c>
      <c r="H13" s="0" t="n">
        <f aca="false">H11+H12</f>
        <v>3775.43801318634</v>
      </c>
      <c r="I13" s="0" t="n">
        <f aca="false">I11+I12</f>
        <v>3926.45553371379</v>
      </c>
      <c r="J13" s="0" t="n">
        <f aca="false">J11+J12</f>
        <v>4063.88147739377</v>
      </c>
      <c r="K13" s="0" t="n">
        <f aca="false">K11+K12</f>
        <v>4185.79792171559</v>
      </c>
      <c r="L13" s="0" t="n">
        <f aca="false">L11+L12</f>
        <v>4311.37185936705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2354.23336005</v>
      </c>
      <c r="D15" s="0" t="n">
        <f aca="false">D13-MAX(0,D13)*D14/100</f>
        <v>2479.702901247</v>
      </c>
      <c r="E15" s="0" t="n">
        <f aca="false">E13-MAX(0,E13)*E14/100</f>
        <v>2591.240839828</v>
      </c>
      <c r="F15" s="0" t="n">
        <f aca="false">F13-MAX(0,F13)*F14/100</f>
        <v>2719.93373006355</v>
      </c>
      <c r="G15" s="0" t="n">
        <f aca="false">G13-MAX(0,G13)*G14/100</f>
        <v>2890.28747420964</v>
      </c>
      <c r="H15" s="0" t="n">
        <f aca="false">H13-MAX(0,H13)*H14/100</f>
        <v>3020.35041054907</v>
      </c>
      <c r="I15" s="0" t="n">
        <f aca="false">I13-MAX(0,I13)*I14/100</f>
        <v>3141.16442697103</v>
      </c>
      <c r="J15" s="0" t="n">
        <f aca="false">J13-MAX(0,J13)*J14/100</f>
        <v>3251.10518191502</v>
      </c>
      <c r="K15" s="0" t="n">
        <f aca="false">K13-MAX(0,K13)*K14/100</f>
        <v>3348.63833737247</v>
      </c>
      <c r="L15" s="0" t="n">
        <f aca="false">L13-MAX(0,L13)*L14/100</f>
        <v>3449.09748749364</v>
      </c>
    </row>
    <row r="16" customFormat="false" ht="15" hidden="false" customHeight="false" outlineLevel="0" collapsed="false">
      <c r="A16" s="0" t="s">
        <v>127</v>
      </c>
      <c r="C16" s="0" t="n">
        <f aca="false">-C12</f>
        <v>416.19006</v>
      </c>
      <c r="D16" s="0" t="n">
        <f aca="false">-D12</f>
        <v>437.9948001</v>
      </c>
      <c r="E16" s="0" t="n">
        <f aca="false">-E12</f>
        <v>467.442961128</v>
      </c>
      <c r="F16" s="0" t="n">
        <f aca="false">-F12</f>
        <v>501.040423959075</v>
      </c>
      <c r="G16" s="0" t="n">
        <f aca="false">-G12</f>
        <v>536.829025670438</v>
      </c>
      <c r="H16" s="0" t="n">
        <f aca="false">-H12</f>
        <v>560.986331825607</v>
      </c>
      <c r="I16" s="0" t="n">
        <f aca="false">-I12</f>
        <v>583.425785098632</v>
      </c>
      <c r="J16" s="0" t="n">
        <f aca="false">-J12</f>
        <v>603.845687577084</v>
      </c>
      <c r="K16" s="0" t="n">
        <f aca="false">-K12</f>
        <v>621.961058204396</v>
      </c>
      <c r="L16" s="0" t="n">
        <f aca="false">-L12</f>
        <v>640.619889950528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-832.38012</v>
      </c>
      <c r="D17" s="4" t="n">
        <f aca="false">-D6*Assumptions!D46/100</f>
        <v>-792.1182555</v>
      </c>
      <c r="E17" s="4" t="n">
        <f aca="false">-E6*Assumptions!E46/100</f>
        <v>-730.3796267625</v>
      </c>
      <c r="F17" s="4" t="n">
        <f aca="false">-F6*Assumptions!F46/100</f>
        <v>-664.645460353875</v>
      </c>
      <c r="G17" s="4" t="n">
        <f aca="false">-G6*Assumptions!G46/100</f>
        <v>-644.194830804525</v>
      </c>
      <c r="H17" s="4" t="n">
        <f aca="false">-H6*Assumptions!H46/100</f>
        <v>-673.183598190729</v>
      </c>
      <c r="I17" s="4" t="n">
        <f aca="false">-I6*Assumptions!I46/100</f>
        <v>-676.773910714413</v>
      </c>
      <c r="J17" s="4" t="n">
        <f aca="false">-J6*Assumptions!J46/100</f>
        <v>-700.460997589417</v>
      </c>
      <c r="K17" s="4" t="n">
        <f aca="false">-K6*Assumptions!K46/100</f>
        <v>-721.4748275171</v>
      </c>
      <c r="L17" s="4" t="n">
        <f aca="false">-L6*Assumptions!L46/100</f>
        <v>-743.119072342613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11.8806999999999</v>
      </c>
      <c r="D18" s="4" t="n">
        <f aca="false">(D6-C6)*Assumptions!$B$51/100</f>
        <v>-35.2856789999999</v>
      </c>
      <c r="E18" s="4" t="n">
        <f aca="false">(E6-D6)*Assumptions!$B$51/100</f>
        <v>-54.5163740549999</v>
      </c>
      <c r="F18" s="4" t="n">
        <f aca="false">(F6-E6)*Assumptions!$B$51/100</f>
        <v>-63.2995676527501</v>
      </c>
      <c r="G18" s="4" t="n">
        <f aca="false">(G6-F6)*Assumptions!$B$51/100</f>
        <v>-66.4645460353877</v>
      </c>
      <c r="H18" s="4" t="n">
        <f aca="false">(H6-G6)*Assumptions!$B$51/100</f>
        <v>-62.8089960034412</v>
      </c>
      <c r="I18" s="4" t="n">
        <f aca="false">(I6-H6)*Assumptions!$B$51/100</f>
        <v>-58.3425785098631</v>
      </c>
      <c r="J18" s="4" t="n">
        <f aca="false">(J6-I6)*Assumptions!$B$51/100</f>
        <v>-53.0917464439754</v>
      </c>
      <c r="K18" s="4" t="n">
        <f aca="false">(K6-J6)*Assumptions!$B$51/100</f>
        <v>-47.0999636310125</v>
      </c>
      <c r="L18" s="4" t="n">
        <f aca="false">(L6-K6)*Assumptions!$B$51/100</f>
        <v>-48.512962539943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1949.92400005</v>
      </c>
      <c r="D19" s="0" t="n">
        <f aca="false">D15+D16+D17+D18</f>
        <v>2090.293766847</v>
      </c>
      <c r="E19" s="0" t="n">
        <f aca="false">E15+E16+E17+E18</f>
        <v>2273.7878001385</v>
      </c>
      <c r="F19" s="0" t="n">
        <f aca="false">F15+F16+F17+F18</f>
        <v>2493.029126016</v>
      </c>
      <c r="G19" s="0" t="n">
        <f aca="false">G15+G16+G17+G18</f>
        <v>2716.45712304016</v>
      </c>
      <c r="H19" s="0" t="n">
        <f aca="false">H15+H16+H17+H18</f>
        <v>2845.34414818051</v>
      </c>
      <c r="I19" s="0" t="n">
        <f aca="false">I15+I16+I17+I18</f>
        <v>2989.47372284539</v>
      </c>
      <c r="J19" s="0" t="n">
        <f aca="false">J15+J16+J17+J18</f>
        <v>3101.39812545871</v>
      </c>
      <c r="K19" s="0" t="n">
        <f aca="false">K15+K16+K17+K18</f>
        <v>3202.02460442875</v>
      </c>
      <c r="L19" s="0" t="n">
        <f aca="false">L15+L16+L17+L18</f>
        <v>3298.08534256161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1813.88279074419</v>
      </c>
      <c r="D21" s="0" t="n">
        <f aca="false">D19*D20</f>
        <v>1808.7993655788</v>
      </c>
      <c r="E21" s="0" t="n">
        <f aca="false">E19*E20</f>
        <v>1830.30952254347</v>
      </c>
      <c r="F21" s="0" t="n">
        <f aca="false">F19*F20</f>
        <v>1866.78153030871</v>
      </c>
      <c r="G21" s="0" t="n">
        <f aca="false">G19*G20</f>
        <v>1892.17165846259</v>
      </c>
      <c r="H21" s="0" t="n">
        <f aca="false">H19*H20</f>
        <v>1843.67351481118</v>
      </c>
      <c r="I21" s="0" t="n">
        <f aca="false">I19*I20</f>
        <v>1801.9199375505</v>
      </c>
      <c r="J21" s="0" t="n">
        <f aca="false">J19*J20</f>
        <v>1738.96085558674</v>
      </c>
      <c r="K21" s="0" t="n">
        <f aca="false">K19*K20</f>
        <v>1670.12311356628</v>
      </c>
      <c r="L21" s="0" t="n">
        <f aca="false">L19*L20</f>
        <v>1600.21098323095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17866.8332723834</v>
      </c>
    </row>
    <row r="31" customFormat="false" ht="15" hidden="false" customHeight="false" outlineLevel="0" collapsed="false">
      <c r="A31" s="0" t="s">
        <v>136</v>
      </c>
      <c r="B31" s="0" t="n">
        <f aca="false">L19</f>
        <v>3298.08534256161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75489.5089519659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56067.4508235475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56067.4508235475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27203.5867149262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45070.4199873096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33784.4199873096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197.569707528126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0.748559231154316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622.49070471815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1209.45414788658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208.282835321136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28308.5658569872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48.8414088842935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96.6017582421683</v>
      </c>
      <c r="C4" s="0" t="n">
        <f aca="false">B4/Assumptions!$B$2-1</f>
        <v>-0.145041523655471</v>
      </c>
      <c r="D4" s="4" t="n">
        <f aca="false">Assumptions!$B$24</f>
        <v>0.25</v>
      </c>
      <c r="E4" s="4" t="n">
        <f aca="false">DCF_Bear!$B$43</f>
        <v>103.96130730656</v>
      </c>
      <c r="F4" s="4" t="n">
        <f aca="false">DCF_Bear!$B$47</f>
        <v>17.8655138380631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147.122182664093</v>
      </c>
      <c r="C5" s="0" t="n">
        <f aca="false">B5/Assumptions!$B$2-1</f>
        <v>0.302081446712926</v>
      </c>
      <c r="D5" s="4" t="n">
        <f aca="false">Assumptions!$B$38</f>
        <v>0.5</v>
      </c>
      <c r="E5" s="4" t="n">
        <f aca="false">DCF_Base!$B$43</f>
        <v>156.009235239094</v>
      </c>
      <c r="F5" s="4" t="n">
        <f aca="false">DCF_Base!$B$47</f>
        <v>34.656640600906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197.569707528126</v>
      </c>
      <c r="C6" s="0" t="n">
        <f aca="false">B6/Assumptions!$B$2-1</f>
        <v>0.748559231154316</v>
      </c>
      <c r="D6" s="4" t="n">
        <f aca="false">Assumptions!$B$52</f>
        <v>0.25</v>
      </c>
      <c r="E6" s="4" t="n">
        <f aca="false">DCF_Bull!$B$43</f>
        <v>208.282835321136</v>
      </c>
      <c r="F6" s="4" t="n">
        <f aca="false">DCF_Bull!$B$47</f>
        <v>48.8414088842935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147.10395777462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156.065653276471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0.231903738626032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-380.664102764665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34.0050509810421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147.122182664093</v>
      </c>
      <c r="C15" s="3" t="n">
        <v>7.5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125.228660382565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103.84864778482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83.4681935821016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67.3924419784173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34.656640600906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181.538428059892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181.538428059892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181.538428059892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181.538428059892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181.538428059892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163.515942413051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163.515942413051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163.515942413051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163.515942413051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163.515942413051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147.122182664093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147.122182664093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147.122182664093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147.122182664093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147.122182664093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128.589357168641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132.19174522175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132.19174522175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132.19174522175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132.19174522175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103.377047031541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109.37508972292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116.229995655924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118.577566180926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118.577566180926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2026-10-02T09:16:04Z</dcterms:created>
  <dc:creator>openpyxl</dc:creator>
  <dc:description/>
  <dc:language>en-NZ</dc:language>
  <cp:lastModifiedBy/>
  <dcterms:modified xsi:type="dcterms:W3CDTF">2026-10-02T09:16:04Z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