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<sst xmlns="http://schemas.openxmlformats.org/spreadsheetml/2006/main" count="365" uniqueCount="168">
  <si>
    <t xml:space="preserve">Ticker</t>
  </si>
  <si>
    <t xml:space="preserve">WSP.TO</t>
  </si>
  <si>
    <t xml:space="preserve">Company</t>
  </si>
  <si>
    <t xml:space="preserve">WSP Global Inc.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</si>
  <si>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</si>
  <si>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</si>
  <si>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</si>
  <si>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</si>
  <si>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2026-10-09T20:00:00Z regular close (TSX, Friday; latest available on 2026-10-11)</t>
  </si>
  <si>
    <t xml:space="preserve">Balance sheet date</t>
  </si>
  <si>
    <t xml:space="preserve">2026-06-26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</si>
  <si>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</si>
  <si>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</si>
  <si>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</si>
  <si>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</si>
  <si>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</si>
  <si>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</si>
  <si>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</si>
  <si>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</si>
  <si>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</si>
  <si>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</si>
  <si>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2026-10-10T11:22:34Z</t>
  </si>
  <si>
    <t xml:space="preserve">Drivers file</t>
  </si>
  <si>
    <t xml:space="preserve">WSP.TO_Drivers.json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</si>
  <si>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</si>
  <si>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</si>
  <si>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</si>
  <si>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NET revenue for a Canadian engineering consultancy: leases charged as operating cost (treatment B, liabilities out of net debt), integration/restructuring/ERP costs charged as recurring despite being excluded from WSP's adjusted EBITDA, near-zero SBC (share units are cash-settled and already in EBITDA), TRC included via FY2026 guidance and the post-deal balance sheet, and no credit for future M&amp;A. CAD WACC 7.75% identical across scenarios; risk carried in the scenario flows and a bear-tilted 25/50/25 weighting.
key_risks_to_valuation: AI/automation deflating billable-hour fees in design and engineering services - the axis the market is currently pricing.; US infrastructure funding cycle after IIJA expiry; US is now the largest region after TRC.; Leverage 2.3x net debt/adjusted EBITDA (Q2-2026) and appetite for further large M&amp;A (rejected Arcadis approach at EUR 51.50/share); a large equity-funded deal at today's price would dilute the per-share value.; Integration execution on TRC and Ricardo; acquisition/integration costs ran C$181m in H1-2026 alone.; The model credits no future acquisitions, which understates value if WSP keeps buying accretively, as it historically has.; Terminal value is roughly 60% of enterprise value; the 18x cap binds in the base case.</t>
  </si>
  <si>
    <t xml:space="preserve">Data sources</t>
  </si>
  <si>
    <t xml:space="preserve">price: Yahoo Finance chart API at inputs.price_as_of; 52-week range 156.64-290.23.
financials: WSP Global FY2015-FY2025 annual reports and Q1-2015 to Q2-2026 interim MD&amp;A/financial statements (research/WSP.TO/Extracted/); Metrics.csv in CAD millions. Net debt, lease liabilities and diluted shares from the Q2-2026 interim statements (26-Jun-2026); FY2026 guidance from the Q2-2026 investor presentation.
qualitative: Q2-2026 MD&amp;A key events (TRC closing Feb-2026, Arcadis proposal and rejection July 2026), segment reviews, and the FY2025 annual report notes on share-based payments and leases. Analysis.json was not yet available.</t>
  </si>
  <si>
    <t xml:space="preserve">Scenario narrative: bear</t>
  </si>
  <si>
    <t xml:space="preserve">The market's current worry is right: generative design and automation compress the billable-hour model that underpins engineering consultancy fees, US infrastructure funding fades after the IIJA cycle, and Europe/APAC stay weak (APAC is already contracting organically). Organic growth runs ~1%, owner EBITDA margin falls ~1.5pp as utilisation drops and restructuring recurs, leverage stays above target, and the exit multiple de-rates to 13x. A renewed, larger Arcadis pursuit funded with equity at depressed prices is an additional, unmodelled downside.</t>
  </si>
  <si>
    <t xml:space="preserve">Scenario narrative: base</t>
  </si>
  <si>
    <t xml:space="preserve">WSP hits the midpoint of its FY2026 guide (net revenues C$16.6bn, adjusted EBITDA C$3.14bn), integrates TRC on plan and grows ~5% organically, consistent with the record C$20.1bn backlog and 5.7% organic backlog growth. Adjusted margin edges to ~19.5% while integration/reorganisation/ERP charges, which WSP excludes from adjusted EBITDA but which recur for a serial acquirer, settle near 0.9% of net revenue. Leverage returns inside the 1-2x target by FY2027 from internal cash flow. No future acquisitions are credited.</t>
  </si>
  <si>
    <t xml:space="preserve">Scenario narrative: bull</t>
  </si>
  <si>
    <t xml:space="preserve">The axes break WSP's way: TRC's US power and grid franchise keeps growing double-digit, data-centre, water and energy-transition programmes keep organic growth ~7% for five years, and AI tooling shows up as higher utilisation and margin rather than lower fees (adjusted margin ~20.5%). The market re-rates the stock back toward its historical 15-18x EBITDA range, reflected in a 20x terminal FCF cap.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</si>
  <si>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</si>
  <si>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</si>
  <si>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</si>
  <si>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</si>
  <si>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</si>
  <si>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</si>
  <si>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</si>
  <si>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</si>
  <si>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</si>
  <si>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</si>
  <si>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</si>
  <si>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</si>
  <si>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</si>
  <si>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</si>
  <si>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</si>
  <si>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</si>
  <si>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</si>
  <si>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</si>
  <si>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</si>
  <si>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</si>
  <si>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</si>
  <si>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</si>
  <si>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</si>
  <si>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</si>
  <si>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</si>
  <si>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</si>
  <si>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</si>
  <si>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</si>
  <si>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NetRevenue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</si>
  <si>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</si>
  <si>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</si>
  <si>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</si>
  <si>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</si>
  <si>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</si>
  <si>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</si>
  <si>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</si>
  <si>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</si>
  <si>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</si>
  <si>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</si>
  <si>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</si>
  <si>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</si>
  <si>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</si>
  <si>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</si>
  <si>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</si>
  <si>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</si>
  <si>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</si>
  <si>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</si>
  <si>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</si>
  <si>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</si>
  <si>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</si>
  <si>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</si>
  <si>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</si>
  <si>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</si>
  <si>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</si>
  <si>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</si>
  <si>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</si>
  <si>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</si>
  <si>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</si>
  <si>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</si>
  <si>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</si>
  <si>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</si>
  <si>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</si>
  <si>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</si>
  <si>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</si>
  <si>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</si>
  <si>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</si>
  <si>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</si>
  <si>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</si>
  <si>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</si>
  <si>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</si>
  <si>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</si>
  <si>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</si>
  <si>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</si>
  <si>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</si>
  <si>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</si>
  <si>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</si>
  <si>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</si>
  <si>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WSP.TO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</si>
  <si>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</si>
  <si>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</si>
  <si>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</si>
  <si>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</si>
  <si>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</si>
  <si>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</si>
  <si>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</si>
  <si>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</si>
  <si>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</si>
  <si>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</si>
  <si>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</si>
  <si>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</si>
  <si>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</si>
  <si>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</si>
  <si>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</si>
  <si>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</si>
  <si>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</si>
  <si>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</si>
  <si>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</si>
  <si>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</si>
  <si>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</si>
  <si>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</si>
  <si>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</si>
  <si>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</si>
  <si>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</si>
  <si>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</si>
  <si>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</si>
  <si>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</si>
  <si>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</si>
  <si>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</si>
  <si>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WSP.TO owner-FCF component DCF: base case (millions, CAD)</t>
  </si>
  <si>
    <t xml:space="preserve">WSP.TO owner-FCF component DCF: bull case (millions, CAD)</t>
  </si>
  <si>
    <t xml:space="preserve">WSP.TO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</si>
  <si>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</si>
  <si>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</si>
  <si>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</si>
  <si>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</si>
  <si>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</si>
  <si>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</si>
  <si>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</si>
  <si>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</si>
  <si>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</si>
  <si>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</si>
  <si>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</si>
  <si>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</si>
  <si>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</si>
  <si>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</si>
  <si>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7.75%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</si>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</sst>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163.63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6064</v>
      </c>
      <c r="F2" s="0" t="n">
        <v>293.6</v>
      </c>
      <c r="G2" s="0" t="n">
        <v>4.8</v>
      </c>
      <c r="H2" s="0" t="n">
        <v>441.5</v>
      </c>
      <c r="I2" s="0" t="n">
        <v>188.8</v>
      </c>
      <c r="J2" s="0" t="n">
        <v>3.1</v>
      </c>
      <c r="K2" s="0" t="n">
        <v>2.05</v>
      </c>
      <c r="L2" s="0" t="n">
        <v>203.8</v>
      </c>
      <c r="M2" s="0" t="n">
        <v>104.7</v>
      </c>
      <c r="N2" s="0" t="n">
        <v>99.1</v>
      </c>
      <c r="O2" s="0" t="n">
        <v>2916.4</v>
      </c>
      <c r="P2" s="0" t="n">
        <v>6167.1</v>
      </c>
      <c r="Q2" s="0" t="n">
        <v>3255.4</v>
      </c>
      <c r="R2" s="0" t="n">
        <v>989.4</v>
      </c>
      <c r="S2" s="0" t="n">
        <v>204.1</v>
      </c>
      <c r="T2" s="0" t="n">
        <v>92.32</v>
      </c>
      <c r="U2" s="0" t="n">
        <v>16</v>
      </c>
      <c r="AA2" s="0" t="s">
        <v>17</v>
      </c>
      <c r="AB2" s="0" t="s">
        <v>14</v>
      </c>
      <c r="AC2" s="0" t="n">
        <v>441.5</v>
      </c>
      <c r="AD2" s="0" t="n">
        <v>4486.8</v>
      </c>
    </row>
    <row r="3" customFormat="false" ht="15" hidden="false" customHeight="false" outlineLevel="0" collapsed="false">
      <c r="A3" s="0" t="s">
        <v>66</v>
      </c>
      <c r="B3" s="0" t="n">
        <v>6379.6</v>
      </c>
      <c r="F3" s="0" t="n">
        <v>303</v>
      </c>
      <c r="G3" s="0" t="n">
        <v>4.7</v>
      </c>
      <c r="H3" s="0" t="n">
        <v>499</v>
      </c>
      <c r="I3" s="0" t="n">
        <v>199.1</v>
      </c>
      <c r="J3" s="0" t="n">
        <v>3.1</v>
      </c>
      <c r="K3" s="0" t="n">
        <v>1.97</v>
      </c>
      <c r="L3" s="0" t="n">
        <v>386.8</v>
      </c>
      <c r="M3" s="0" t="n">
        <v>144.4</v>
      </c>
      <c r="N3" s="0" t="n">
        <v>242.4</v>
      </c>
      <c r="O3" s="0" t="n">
        <v>2859.6</v>
      </c>
      <c r="P3" s="0" t="n">
        <v>6128.7</v>
      </c>
      <c r="Q3" s="0" t="n">
        <v>3268.2</v>
      </c>
      <c r="R3" s="0" t="n">
        <v>1050.1</v>
      </c>
      <c r="S3" s="0" t="n">
        <v>230.8</v>
      </c>
      <c r="T3" s="0" t="n">
        <v>100.92</v>
      </c>
      <c r="U3" s="0" t="n">
        <v>13.3</v>
      </c>
      <c r="AA3" s="0" t="s">
        <v>17</v>
      </c>
      <c r="AB3" s="0" t="s">
        <v>14</v>
      </c>
      <c r="AC3" s="0" t="n">
        <v>499</v>
      </c>
      <c r="AD3" s="0" t="n">
        <v>4895.1</v>
      </c>
    </row>
    <row r="4" customFormat="false" ht="15" hidden="false" customHeight="false" outlineLevel="0" collapsed="false">
      <c r="A4" s="0" t="s">
        <v>67</v>
      </c>
      <c r="B4" s="0" t="n">
        <v>6942.2</v>
      </c>
      <c r="F4" s="0" t="n">
        <v>352.3</v>
      </c>
      <c r="G4" s="0" t="n">
        <v>5.1</v>
      </c>
      <c r="H4" s="0" t="n">
        <v>555.2</v>
      </c>
      <c r="I4" s="0" t="n">
        <v>213.3</v>
      </c>
      <c r="J4" s="0" t="n">
        <v>3.1</v>
      </c>
      <c r="K4" s="0" t="n">
        <v>2.08</v>
      </c>
      <c r="L4" s="0" t="n">
        <v>395.4</v>
      </c>
      <c r="M4" s="0" t="n">
        <v>104.1</v>
      </c>
      <c r="N4" s="0" t="n">
        <v>291.3</v>
      </c>
      <c r="O4" s="0" t="n">
        <v>2959</v>
      </c>
      <c r="P4" s="0" t="n">
        <v>6523.6</v>
      </c>
      <c r="Q4" s="0" t="n">
        <v>3564.6</v>
      </c>
      <c r="R4" s="0" t="n">
        <v>1158.7</v>
      </c>
      <c r="S4" s="0" t="n">
        <v>185.1</v>
      </c>
      <c r="T4" s="0" t="n">
        <v>102.58</v>
      </c>
      <c r="U4" s="0" t="n">
        <v>15.9</v>
      </c>
      <c r="AA4" s="0" t="s">
        <v>17</v>
      </c>
      <c r="AB4" s="0" t="s">
        <v>14</v>
      </c>
      <c r="AC4" s="0" t="n">
        <v>555.2</v>
      </c>
      <c r="AD4" s="0" t="n">
        <v>5356.6</v>
      </c>
    </row>
    <row r="5" customFormat="false" ht="15" hidden="false" customHeight="false" outlineLevel="0" collapsed="false">
      <c r="A5" s="0" t="s">
        <v>68</v>
      </c>
      <c r="B5" s="0" t="n">
        <v>7908.1</v>
      </c>
      <c r="F5" s="0" t="n">
        <v>398.1</v>
      </c>
      <c r="G5" s="0" t="n">
        <v>5</v>
      </c>
      <c r="H5" s="0" t="n">
        <v>660</v>
      </c>
      <c r="I5" s="0" t="n">
        <v>248.1</v>
      </c>
      <c r="J5" s="0" t="n">
        <v>3.1</v>
      </c>
      <c r="K5" s="0" t="n">
        <v>2.38</v>
      </c>
      <c r="L5" s="0" t="n">
        <v>669.7</v>
      </c>
      <c r="M5" s="0" t="n">
        <v>126.8</v>
      </c>
      <c r="N5" s="0" t="n">
        <v>542.9</v>
      </c>
      <c r="O5" s="0" t="n">
        <v>3259</v>
      </c>
      <c r="P5" s="0" t="n">
        <v>7766.6</v>
      </c>
      <c r="Q5" s="0" t="n">
        <v>4506.9</v>
      </c>
      <c r="R5" s="0" t="n">
        <v>1503.5</v>
      </c>
      <c r="S5" s="0" t="n">
        <v>254.7</v>
      </c>
      <c r="T5" s="0" t="n">
        <v>104.39</v>
      </c>
      <c r="U5" s="0" t="n">
        <v>29.9</v>
      </c>
      <c r="AA5" s="0" t="s">
        <v>17</v>
      </c>
      <c r="AB5" s="0" t="s">
        <v>14</v>
      </c>
      <c r="AC5" s="0" t="n">
        <v>660</v>
      </c>
      <c r="AD5" s="0" t="n">
        <v>6020.6</v>
      </c>
    </row>
    <row r="6" customFormat="false" ht="15" hidden="false" customHeight="false" outlineLevel="0" collapsed="false">
      <c r="A6" s="0" t="s">
        <v>69</v>
      </c>
      <c r="B6" s="0" t="n">
        <v>8916.1</v>
      </c>
      <c r="F6" s="0" t="n">
        <v>487.8</v>
      </c>
      <c r="G6" s="0" t="n">
        <v>5.5</v>
      </c>
      <c r="H6" s="0" t="n">
        <v>1036.8</v>
      </c>
      <c r="I6" s="0" t="n">
        <v>286.5</v>
      </c>
      <c r="J6" s="0" t="n">
        <v>3.2</v>
      </c>
      <c r="K6" s="0" t="n">
        <v>2.71</v>
      </c>
      <c r="L6" s="0" t="n">
        <v>814.3</v>
      </c>
      <c r="M6" s="0" t="n">
        <v>149</v>
      </c>
      <c r="N6" s="0" t="n">
        <v>665.3</v>
      </c>
      <c r="O6" s="0" t="n">
        <v>3332.7</v>
      </c>
      <c r="P6" s="0" t="n">
        <v>8676.1</v>
      </c>
      <c r="Q6" s="0" t="n">
        <v>5344.2</v>
      </c>
      <c r="R6" s="0" t="n">
        <v>1399.7</v>
      </c>
      <c r="S6" s="0" t="n">
        <v>255.6</v>
      </c>
      <c r="T6" s="0" t="n">
        <v>105.61</v>
      </c>
      <c r="U6" s="0" t="n">
        <v>42.3</v>
      </c>
      <c r="AA6" s="0" t="s">
        <v>17</v>
      </c>
      <c r="AB6" s="0" t="s">
        <v>14</v>
      </c>
      <c r="AC6" s="0" t="n">
        <v>1036.8</v>
      </c>
      <c r="AD6" s="0" t="n">
        <v>6886.3</v>
      </c>
    </row>
    <row r="7" customFormat="false" ht="15" hidden="false" customHeight="false" outlineLevel="0" collapsed="false">
      <c r="A7" s="0" t="s">
        <v>70</v>
      </c>
      <c r="B7" s="0" t="n">
        <v>8803.9</v>
      </c>
      <c r="F7" s="0" t="n">
        <v>459.4</v>
      </c>
      <c r="G7" s="0" t="n">
        <v>5.2</v>
      </c>
      <c r="H7" s="0" t="n">
        <v>1053.7</v>
      </c>
      <c r="I7" s="0" t="n">
        <v>276</v>
      </c>
      <c r="J7" s="0" t="n">
        <v>3.1</v>
      </c>
      <c r="K7" s="0" t="n">
        <v>2.5</v>
      </c>
      <c r="L7" s="0" t="n">
        <v>1125.1</v>
      </c>
      <c r="M7" s="0" t="n">
        <v>93.1</v>
      </c>
      <c r="N7" s="0" t="n">
        <v>1032</v>
      </c>
      <c r="O7" s="0" t="n">
        <v>4080</v>
      </c>
      <c r="P7" s="0" t="n">
        <v>8837.4</v>
      </c>
      <c r="Q7" s="0" t="n">
        <v>4756</v>
      </c>
      <c r="R7" s="0" t="n">
        <v>574.2</v>
      </c>
      <c r="S7" s="0" t="n">
        <v>437.1</v>
      </c>
      <c r="T7" s="0" t="n">
        <v>110.26</v>
      </c>
      <c r="U7" s="0" t="n">
        <v>66.6</v>
      </c>
      <c r="AA7" s="0" t="s">
        <v>17</v>
      </c>
      <c r="AB7" s="0" t="s">
        <v>14</v>
      </c>
      <c r="AC7" s="0" t="n">
        <v>1053.7</v>
      </c>
      <c r="AD7" s="0" t="n">
        <v>6859.1</v>
      </c>
    </row>
    <row r="8" customFormat="false" ht="15" hidden="false" customHeight="false" outlineLevel="0" collapsed="false">
      <c r="A8" s="0" t="s">
        <v>71</v>
      </c>
      <c r="B8" s="0" t="n">
        <v>10279.1</v>
      </c>
      <c r="F8" s="0" t="n">
        <v>724.6</v>
      </c>
      <c r="G8" s="0" t="n">
        <v>7</v>
      </c>
      <c r="H8" s="0" t="n">
        <v>1322.5</v>
      </c>
      <c r="I8" s="0" t="n">
        <v>473.6</v>
      </c>
      <c r="J8" s="0" t="n">
        <v>4.6</v>
      </c>
      <c r="K8" s="0" t="n">
        <v>4.05</v>
      </c>
      <c r="L8" s="0" t="n">
        <v>1060.1</v>
      </c>
      <c r="M8" s="0" t="n">
        <v>121.2</v>
      </c>
      <c r="N8" s="0" t="n">
        <v>938.9</v>
      </c>
      <c r="O8" s="0" t="n">
        <v>4664.7</v>
      </c>
      <c r="P8" s="0" t="n">
        <v>11250.4</v>
      </c>
      <c r="Q8" s="0" t="n">
        <v>6585.2</v>
      </c>
      <c r="R8" s="0" t="n">
        <v>1776.7</v>
      </c>
      <c r="S8" s="0" t="n">
        <v>927.4</v>
      </c>
      <c r="T8" s="0" t="n">
        <v>116.9</v>
      </c>
      <c r="U8" s="0" t="n">
        <v>100.6</v>
      </c>
      <c r="AA8" s="0" t="s">
        <v>17</v>
      </c>
      <c r="AB8" s="0" t="s">
        <v>14</v>
      </c>
      <c r="AC8" s="0" t="n">
        <v>1322.5</v>
      </c>
      <c r="AD8" s="0" t="n">
        <v>7869.6</v>
      </c>
    </row>
    <row r="9" customFormat="false" ht="15" hidden="false" customHeight="false" outlineLevel="0" collapsed="false">
      <c r="A9" s="0" t="s">
        <v>72</v>
      </c>
      <c r="B9" s="0" t="n">
        <v>11932.9</v>
      </c>
      <c r="F9" s="0" t="n">
        <v>749.1</v>
      </c>
      <c r="G9" s="0" t="n">
        <v>6.3</v>
      </c>
      <c r="H9" s="0" t="n">
        <v>1530.2</v>
      </c>
      <c r="I9" s="0" t="n">
        <v>431.8</v>
      </c>
      <c r="J9" s="0" t="n">
        <v>3.6</v>
      </c>
      <c r="K9" s="0" t="n">
        <v>3.58</v>
      </c>
      <c r="L9" s="0" t="n">
        <v>814.8</v>
      </c>
      <c r="M9" s="0" t="n">
        <v>166.5</v>
      </c>
      <c r="N9" s="0" t="n">
        <v>648.3</v>
      </c>
      <c r="O9" s="0" t="n">
        <v>6006.2</v>
      </c>
      <c r="P9" s="0" t="n">
        <v>14841.7</v>
      </c>
      <c r="Q9" s="0" t="n">
        <v>8832.6</v>
      </c>
      <c r="R9" s="0" t="n">
        <v>2954.5</v>
      </c>
      <c r="S9" s="0" t="n">
        <v>495.6</v>
      </c>
      <c r="T9" s="0" t="n">
        <v>120.71</v>
      </c>
      <c r="U9" s="0" t="n">
        <v>43.6</v>
      </c>
      <c r="AA9" s="0" t="s">
        <v>17</v>
      </c>
      <c r="AB9" s="0" t="s">
        <v>14</v>
      </c>
      <c r="AC9" s="0" t="n">
        <v>1530.2</v>
      </c>
      <c r="AD9" s="0" t="n">
        <v>8957.2</v>
      </c>
    </row>
    <row r="10" customFormat="false" ht="15" hidden="false" customHeight="false" outlineLevel="0" collapsed="false">
      <c r="A10" s="0" t="s">
        <v>73</v>
      </c>
      <c r="B10" s="0" t="n">
        <v>14437.2</v>
      </c>
      <c r="F10" s="0" t="n">
        <v>947.5</v>
      </c>
      <c r="G10" s="0" t="n">
        <v>6.6</v>
      </c>
      <c r="H10" s="0" t="n">
        <v>1921.3</v>
      </c>
      <c r="I10" s="0" t="n">
        <v>550</v>
      </c>
      <c r="J10" s="0" t="n">
        <v>3.8</v>
      </c>
      <c r="K10" s="0" t="n">
        <v>4.4</v>
      </c>
      <c r="L10" s="0" t="n">
        <v>986.3</v>
      </c>
      <c r="M10" s="0" t="n">
        <v>180</v>
      </c>
      <c r="N10" s="0" t="n">
        <v>806.3</v>
      </c>
      <c r="O10" s="0" t="n">
        <v>6330.4</v>
      </c>
      <c r="P10" s="0" t="n">
        <v>15583.1</v>
      </c>
      <c r="Q10" s="0" t="n">
        <v>9249.7</v>
      </c>
      <c r="R10" s="0" t="n">
        <v>3262.5</v>
      </c>
      <c r="S10" s="0" t="n">
        <v>378</v>
      </c>
      <c r="T10" s="0" t="n">
        <v>124.95</v>
      </c>
      <c r="U10" s="0" t="n">
        <v>65.2</v>
      </c>
      <c r="AA10" s="0" t="s">
        <v>17</v>
      </c>
      <c r="AB10" s="0" t="s">
        <v>14</v>
      </c>
      <c r="AC10" s="0" t="n">
        <v>1921.3</v>
      </c>
      <c r="AD10" s="0" t="n">
        <v>10897</v>
      </c>
    </row>
    <row r="11" customFormat="false" ht="15" hidden="false" customHeight="false" outlineLevel="0" collapsed="false">
      <c r="A11" s="0" t="s">
        <v>74</v>
      </c>
      <c r="B11" s="0" t="n">
        <v>16166.8</v>
      </c>
      <c r="F11" s="0" t="n">
        <v>1268.6</v>
      </c>
      <c r="G11" s="0" t="n">
        <v>7.8</v>
      </c>
      <c r="H11" s="0" t="n">
        <v>2185.7</v>
      </c>
      <c r="I11" s="0" t="n">
        <v>681.4</v>
      </c>
      <c r="J11" s="0" t="n">
        <v>4.2</v>
      </c>
      <c r="K11" s="0" t="n">
        <v>5.38</v>
      </c>
      <c r="L11" s="0" t="n">
        <v>1381.9</v>
      </c>
      <c r="M11" s="0" t="n">
        <v>163.8</v>
      </c>
      <c r="N11" s="0" t="n">
        <v>1218.1</v>
      </c>
      <c r="O11" s="0" t="n">
        <v>8272.5</v>
      </c>
      <c r="P11" s="0" t="n">
        <v>20199.2</v>
      </c>
      <c r="Q11" s="0" t="n">
        <v>11926.7</v>
      </c>
      <c r="R11" s="0" t="n">
        <v>4599.4</v>
      </c>
      <c r="S11" s="0" t="n">
        <v>623.5</v>
      </c>
      <c r="T11" s="0" t="n">
        <v>126.54</v>
      </c>
      <c r="U11" s="0" t="n">
        <v>100.8</v>
      </c>
      <c r="AA11" s="0" t="s">
        <v>17</v>
      </c>
      <c r="AB11" s="0" t="s">
        <v>14</v>
      </c>
      <c r="AC11" s="0" t="n">
        <v>2185.7</v>
      </c>
      <c r="AD11" s="0" t="n">
        <v>12172.2</v>
      </c>
    </row>
    <row r="12" customFormat="false" ht="15" hidden="false" customHeight="false" outlineLevel="0" collapsed="false">
      <c r="A12" s="0" t="s">
        <v>75</v>
      </c>
      <c r="B12" s="0" t="n">
        <v>18285</v>
      </c>
      <c r="F12" s="0" t="n">
        <v>1532.6</v>
      </c>
      <c r="G12" s="0" t="n">
        <v>8.4</v>
      </c>
      <c r="H12" s="0" t="n">
        <v>2561.2</v>
      </c>
      <c r="I12" s="0" t="n">
        <v>964.3</v>
      </c>
      <c r="J12" s="0" t="n">
        <v>5.3</v>
      </c>
      <c r="K12" s="0" t="n">
        <v>7.36</v>
      </c>
      <c r="L12" s="0" t="n">
        <v>2246</v>
      </c>
      <c r="M12" s="0" t="n">
        <v>152.9</v>
      </c>
      <c r="N12" s="0" t="n">
        <v>2093.1</v>
      </c>
      <c r="O12" s="0" t="n">
        <v>9842</v>
      </c>
      <c r="P12" s="0" t="n">
        <v>20840</v>
      </c>
      <c r="Q12" s="0" t="n">
        <v>10998.5</v>
      </c>
      <c r="R12" s="0" t="n">
        <v>3831.2</v>
      </c>
      <c r="S12" s="0" t="n">
        <v>1561.4</v>
      </c>
      <c r="T12" s="0" t="n">
        <v>130.99</v>
      </c>
      <c r="U12" s="0" t="n">
        <v>75.2</v>
      </c>
      <c r="AA12" s="0" t="s">
        <v>17</v>
      </c>
      <c r="AB12" s="0" t="s">
        <v>14</v>
      </c>
      <c r="AC12" s="0" t="n">
        <v>2561.2</v>
      </c>
      <c r="AD12" s="0" t="n">
        <v>13959.1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163.63</v>
      </c>
    </row>
    <row r="3" customFormat="false" ht="15" hidden="false" customHeight="false" outlineLevel="0" collapsed="false">
      <c r="A3" s="0" t="s">
        <v>79</v>
      </c>
      <c r="B3" s="3" t="n">
        <v>135.04</v>
      </c>
    </row>
    <row r="4" customFormat="false" ht="15" hidden="false" customHeight="false" outlineLevel="0" collapsed="false">
      <c r="A4" s="0" t="s">
        <v>80</v>
      </c>
      <c r="B4" s="3" t="n">
        <v>6892.9</v>
      </c>
    </row>
    <row r="5" customFormat="false" ht="15" hidden="false" customHeight="false" outlineLevel="0" collapsed="false">
      <c r="A5" s="0" t="s">
        <v>81</v>
      </c>
      <c r="B5" s="3" t="n">
        <v>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13959.1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16.5</v>
      </c>
      <c r="D13" s="3" t="n">
        <v>2.5</v>
      </c>
      <c r="E13" s="3" t="n">
        <v>1</v>
      </c>
      <c r="F13" s="3" t="n">
        <v>0.5</v>
      </c>
      <c r="G13" s="3" t="n">
        <v>1</v>
      </c>
      <c r="H13" s="3" t="n">
        <v>1.5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100</v>
      </c>
      <c r="C14" s="3" t="n">
        <v>16.3</v>
      </c>
      <c r="D14" s="3" t="n">
        <v>16.3</v>
      </c>
      <c r="E14" s="3" t="n">
        <v>15.8</v>
      </c>
      <c r="F14" s="3" t="n">
        <v>15.3</v>
      </c>
      <c r="G14" s="3" t="n">
        <v>15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101</v>
      </c>
      <c r="C15" s="3" t="n">
        <v>0.02</v>
      </c>
      <c r="D15" s="3" t="n">
        <v>0.02</v>
      </c>
      <c r="E15" s="3" t="n">
        <v>0.02</v>
      </c>
      <c r="F15" s="3" t="n">
        <v>0.02</v>
      </c>
      <c r="G15" s="3" t="n">
        <v>0.02</v>
      </c>
      <c r="H15" s="3" t="n">
        <v>0.02</v>
      </c>
      <c r="I15" s="3" t="n">
        <v>0.02</v>
      </c>
      <c r="J15" s="3" t="n">
        <v>0.02</v>
      </c>
      <c r="K15" s="3" t="n">
        <v>0.02</v>
      </c>
      <c r="L15" s="3" t="n">
        <v>0.02</v>
      </c>
    </row>
    <row r="16" customFormat="false" ht="15" hidden="false" customHeight="false" outlineLevel="0" collapsed="false">
      <c r="A16" s="0" t="s">
        <v>102</v>
      </c>
      <c r="C16" s="3" t="n">
        <v>2.65</v>
      </c>
      <c r="D16" s="3" t="n">
        <v>2.7</v>
      </c>
      <c r="E16" s="3" t="n">
        <v>2.75</v>
      </c>
      <c r="F16" s="3" t="n">
        <v>2.8</v>
      </c>
      <c r="G16" s="3" t="n">
        <v>2.8</v>
      </c>
      <c r="H16" s="3" t="n">
        <v>2.8</v>
      </c>
      <c r="I16" s="3" t="n">
        <v>2.8</v>
      </c>
      <c r="J16" s="3" t="n">
        <v>2.8</v>
      </c>
      <c r="K16" s="3" t="n">
        <v>2.8</v>
      </c>
      <c r="L16" s="3" t="n">
        <v>2.8</v>
      </c>
    </row>
    <row r="17" customFormat="false" ht="15" hidden="false" customHeight="false" outlineLevel="0" collapsed="false">
      <c r="A17" s="0" t="s">
        <v>103</v>
      </c>
      <c r="C17" s="3" t="n">
        <v>1.5</v>
      </c>
      <c r="D17" s="3" t="n">
        <v>1.5</v>
      </c>
      <c r="E17" s="3" t="n">
        <v>1.5</v>
      </c>
      <c r="F17" s="3" t="n">
        <v>1.5</v>
      </c>
      <c r="G17" s="3" t="n">
        <v>1.5</v>
      </c>
      <c r="H17" s="3" t="n">
        <v>1.5</v>
      </c>
      <c r="I17" s="3" t="n">
        <v>1.5</v>
      </c>
      <c r="J17" s="3" t="n">
        <v>1.5</v>
      </c>
      <c r="K17" s="3" t="n">
        <v>1.5</v>
      </c>
      <c r="L17" s="3" t="n">
        <v>1.5</v>
      </c>
    </row>
    <row r="18" customFormat="false" ht="15" hidden="false" customHeight="false" outlineLevel="0" collapsed="false">
      <c r="A18" s="0" t="s">
        <v>104</v>
      </c>
      <c r="C18" s="3" t="n">
        <v>1.15</v>
      </c>
      <c r="D18" s="3" t="n">
        <v>1.2</v>
      </c>
      <c r="E18" s="3" t="n">
        <v>1.2</v>
      </c>
      <c r="F18" s="3" t="n">
        <v>1.2</v>
      </c>
      <c r="G18" s="3" t="n">
        <v>1.2</v>
      </c>
      <c r="H18" s="3" t="n">
        <v>1.2</v>
      </c>
      <c r="I18" s="3" t="n">
        <v>1.2</v>
      </c>
      <c r="J18" s="3" t="n">
        <v>1.2</v>
      </c>
      <c r="K18" s="3" t="n">
        <v>1.2</v>
      </c>
      <c r="L18" s="3" t="n">
        <v>1.2</v>
      </c>
    </row>
    <row r="19" customFormat="false" ht="15" hidden="false" customHeight="false" outlineLevel="0" collapsed="false">
      <c r="A19" s="0" t="s">
        <v>105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106</v>
      </c>
      <c r="B20" s="3" t="n">
        <v>7.75</v>
      </c>
    </row>
    <row r="21" customFormat="false" ht="15" hidden="false" customHeight="false" outlineLevel="0" collapsed="false">
      <c r="A21" s="0" t="s">
        <v>107</v>
      </c>
      <c r="B21" s="3" t="n">
        <v>1.5</v>
      </c>
    </row>
    <row r="22" customFormat="false" ht="15" hidden="false" customHeight="false" outlineLevel="0" collapsed="false">
      <c r="A22" s="0" t="s">
        <v>108</v>
      </c>
      <c r="B22" s="3" t="n">
        <v>13</v>
      </c>
    </row>
    <row r="23" customFormat="false" ht="15" hidden="false" customHeight="false" outlineLevel="0" collapsed="false">
      <c r="A23" s="0" t="s">
        <v>109</v>
      </c>
      <c r="B23" s="3" t="n">
        <v>-5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18.9</v>
      </c>
      <c r="D27" s="3" t="n">
        <v>6.5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100</v>
      </c>
      <c r="C28" s="3" t="n">
        <v>16.8</v>
      </c>
      <c r="D28" s="3" t="n">
        <v>17.8</v>
      </c>
      <c r="E28" s="3" t="n">
        <v>18.4</v>
      </c>
      <c r="F28" s="3" t="n">
        <v>18.6</v>
      </c>
      <c r="G28" s="3" t="n">
        <v>18.6</v>
      </c>
      <c r="H28" s="3" t="n">
        <v>18.6</v>
      </c>
      <c r="I28" s="3" t="n">
        <v>18.6</v>
      </c>
      <c r="J28" s="3" t="n">
        <v>18.6</v>
      </c>
      <c r="K28" s="3" t="n">
        <v>18.6</v>
      </c>
      <c r="L28" s="3" t="n">
        <v>18.6</v>
      </c>
    </row>
    <row r="29" customFormat="false" ht="15" hidden="false" customHeight="false" outlineLevel="0" collapsed="false">
      <c r="A29" s="0" t="s">
        <v>101</v>
      </c>
      <c r="C29" s="3" t="n">
        <v>0.02</v>
      </c>
      <c r="D29" s="3" t="n">
        <v>0.02</v>
      </c>
      <c r="E29" s="3" t="n">
        <v>0.02</v>
      </c>
      <c r="F29" s="3" t="n">
        <v>0.02</v>
      </c>
      <c r="G29" s="3" t="n">
        <v>0.02</v>
      </c>
      <c r="H29" s="3" t="n">
        <v>0.02</v>
      </c>
      <c r="I29" s="3" t="n">
        <v>0.02</v>
      </c>
      <c r="J29" s="3" t="n">
        <v>0.02</v>
      </c>
      <c r="K29" s="3" t="n">
        <v>0.02</v>
      </c>
      <c r="L29" s="3" t="n">
        <v>0.02</v>
      </c>
    </row>
    <row r="30" customFormat="false" ht="15" hidden="false" customHeight="false" outlineLevel="0" collapsed="false">
      <c r="A30" s="0" t="s">
        <v>102</v>
      </c>
      <c r="C30" s="3" t="n">
        <v>2.65</v>
      </c>
      <c r="D30" s="3" t="n">
        <v>2.65</v>
      </c>
      <c r="E30" s="3" t="n">
        <v>2.65</v>
      </c>
      <c r="F30" s="3" t="n">
        <v>2.65</v>
      </c>
      <c r="G30" s="3" t="n">
        <v>2.65</v>
      </c>
      <c r="H30" s="3" t="n">
        <v>2.65</v>
      </c>
      <c r="I30" s="3" t="n">
        <v>2.65</v>
      </c>
      <c r="J30" s="3" t="n">
        <v>2.65</v>
      </c>
      <c r="K30" s="3" t="n">
        <v>2.65</v>
      </c>
      <c r="L30" s="3" t="n">
        <v>2.65</v>
      </c>
    </row>
    <row r="31" customFormat="false" ht="15" hidden="false" customHeight="false" outlineLevel="0" collapsed="false">
      <c r="A31" s="0" t="s">
        <v>103</v>
      </c>
      <c r="C31" s="3" t="n">
        <v>1.5</v>
      </c>
      <c r="D31" s="3" t="n">
        <v>1.5</v>
      </c>
      <c r="E31" s="3" t="n">
        <v>1.5</v>
      </c>
      <c r="F31" s="3" t="n">
        <v>1.5</v>
      </c>
      <c r="G31" s="3" t="n">
        <v>1.5</v>
      </c>
      <c r="H31" s="3" t="n">
        <v>1.5</v>
      </c>
      <c r="I31" s="3" t="n">
        <v>1.5</v>
      </c>
      <c r="J31" s="3" t="n">
        <v>1.5</v>
      </c>
      <c r="K31" s="3" t="n">
        <v>1.5</v>
      </c>
      <c r="L31" s="3" t="n">
        <v>1.5</v>
      </c>
    </row>
    <row r="32" customFormat="false" ht="15" hidden="false" customHeight="false" outlineLevel="0" collapsed="false">
      <c r="A32" s="0" t="s">
        <v>104</v>
      </c>
      <c r="C32" s="3" t="n">
        <v>1.15</v>
      </c>
      <c r="D32" s="3" t="n">
        <v>1.15</v>
      </c>
      <c r="E32" s="3" t="n">
        <v>1.15</v>
      </c>
      <c r="F32" s="3" t="n">
        <v>1.15</v>
      </c>
      <c r="G32" s="3" t="n">
        <v>1.15</v>
      </c>
      <c r="H32" s="3" t="n">
        <v>1.15</v>
      </c>
      <c r="I32" s="3" t="n">
        <v>1.15</v>
      </c>
      <c r="J32" s="3" t="n">
        <v>1.15</v>
      </c>
      <c r="K32" s="3" t="n">
        <v>1.15</v>
      </c>
      <c r="L32" s="3" t="n">
        <v>1.15</v>
      </c>
    </row>
    <row r="33" customFormat="false" ht="15" hidden="false" customHeight="false" outlineLevel="0" collapsed="false">
      <c r="A33" s="0" t="s">
        <v>105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106</v>
      </c>
      <c r="B34" s="3" t="n">
        <v>7.75</v>
      </c>
    </row>
    <row r="35" customFormat="false" ht="15" hidden="false" customHeight="false" outlineLevel="0" collapsed="false">
      <c r="A35" s="0" t="s">
        <v>107</v>
      </c>
      <c r="B35" s="3" t="n">
        <v>2.5</v>
      </c>
    </row>
    <row r="36" customFormat="false" ht="15" hidden="false" customHeight="false" outlineLevel="0" collapsed="false">
      <c r="A36" s="0" t="s">
        <v>108</v>
      </c>
      <c r="B36" s="3" t="n">
        <v>18</v>
      </c>
    </row>
    <row r="37" customFormat="false" ht="15" hidden="false" customHeight="false" outlineLevel="0" collapsed="false">
      <c r="A37" s="0" t="s">
        <v>109</v>
      </c>
      <c r="B37" s="3" t="n">
        <v>-5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21</v>
      </c>
      <c r="D41" s="3" t="n">
        <v>8</v>
      </c>
      <c r="E41" s="3" t="n">
        <v>7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100</v>
      </c>
      <c r="C42" s="3" t="n">
        <v>17</v>
      </c>
      <c r="D42" s="3" t="n">
        <v>18.2</v>
      </c>
      <c r="E42" s="3" t="n">
        <v>19</v>
      </c>
      <c r="F42" s="3" t="n">
        <v>19.4</v>
      </c>
      <c r="G42" s="3" t="n">
        <v>19.6</v>
      </c>
      <c r="H42" s="3" t="n">
        <v>19.8</v>
      </c>
      <c r="I42" s="3" t="n">
        <v>19.8</v>
      </c>
      <c r="J42" s="3" t="n">
        <v>19.8</v>
      </c>
      <c r="K42" s="3" t="n">
        <v>19.8</v>
      </c>
      <c r="L42" s="3" t="n">
        <v>19.8</v>
      </c>
    </row>
    <row r="43" customFormat="false" ht="15" hidden="false" customHeight="false" outlineLevel="0" collapsed="false">
      <c r="A43" s="0" t="s">
        <v>101</v>
      </c>
      <c r="C43" s="3" t="n">
        <v>0.02</v>
      </c>
      <c r="D43" s="3" t="n">
        <v>0.02</v>
      </c>
      <c r="E43" s="3" t="n">
        <v>0.02</v>
      </c>
      <c r="F43" s="3" t="n">
        <v>0.02</v>
      </c>
      <c r="G43" s="3" t="n">
        <v>0.02</v>
      </c>
      <c r="H43" s="3" t="n">
        <v>0.02</v>
      </c>
      <c r="I43" s="3" t="n">
        <v>0.02</v>
      </c>
      <c r="J43" s="3" t="n">
        <v>0.02</v>
      </c>
      <c r="K43" s="3" t="n">
        <v>0.02</v>
      </c>
      <c r="L43" s="3" t="n">
        <v>0.02</v>
      </c>
    </row>
    <row r="44" customFormat="false" ht="15" hidden="false" customHeight="false" outlineLevel="0" collapsed="false">
      <c r="A44" s="0" t="s">
        <v>102</v>
      </c>
      <c r="C44" s="3" t="n">
        <v>2.65</v>
      </c>
      <c r="D44" s="3" t="n">
        <v>2.6</v>
      </c>
      <c r="E44" s="3" t="n">
        <v>2.55</v>
      </c>
      <c r="F44" s="3" t="n">
        <v>2.5</v>
      </c>
      <c r="G44" s="3" t="n">
        <v>2.5</v>
      </c>
      <c r="H44" s="3" t="n">
        <v>2.5</v>
      </c>
      <c r="I44" s="3" t="n">
        <v>2.5</v>
      </c>
      <c r="J44" s="3" t="n">
        <v>2.5</v>
      </c>
      <c r="K44" s="3" t="n">
        <v>2.5</v>
      </c>
      <c r="L44" s="3" t="n">
        <v>2.5</v>
      </c>
    </row>
    <row r="45" customFormat="false" ht="15" hidden="false" customHeight="false" outlineLevel="0" collapsed="false">
      <c r="A45" s="0" t="s">
        <v>103</v>
      </c>
      <c r="C45" s="3" t="n">
        <v>1.5</v>
      </c>
      <c r="D45" s="3" t="n">
        <v>1.5</v>
      </c>
      <c r="E45" s="3" t="n">
        <v>1.5</v>
      </c>
      <c r="F45" s="3" t="n">
        <v>1.5</v>
      </c>
      <c r="G45" s="3" t="n">
        <v>1.5</v>
      </c>
      <c r="H45" s="3" t="n">
        <v>1.5</v>
      </c>
      <c r="I45" s="3" t="n">
        <v>1.5</v>
      </c>
      <c r="J45" s="3" t="n">
        <v>1.5</v>
      </c>
      <c r="K45" s="3" t="n">
        <v>1.5</v>
      </c>
      <c r="L45" s="3" t="n">
        <v>1.5</v>
      </c>
    </row>
    <row r="46" customFormat="false" ht="15" hidden="false" customHeight="false" outlineLevel="0" collapsed="false">
      <c r="A46" s="0" t="s">
        <v>104</v>
      </c>
      <c r="C46" s="3" t="n">
        <v>1.15</v>
      </c>
      <c r="D46" s="3" t="n">
        <v>1.15</v>
      </c>
      <c r="E46" s="3" t="n">
        <v>1.15</v>
      </c>
      <c r="F46" s="3" t="n">
        <v>1.15</v>
      </c>
      <c r="G46" s="3" t="n">
        <v>1.15</v>
      </c>
      <c r="H46" s="3" t="n">
        <v>1.15</v>
      </c>
      <c r="I46" s="3" t="n">
        <v>1.15</v>
      </c>
      <c r="J46" s="3" t="n">
        <v>1.15</v>
      </c>
      <c r="K46" s="3" t="n">
        <v>1.15</v>
      </c>
      <c r="L46" s="3" t="n">
        <v>1.15</v>
      </c>
    </row>
    <row r="47" customFormat="false" ht="15" hidden="false" customHeight="false" outlineLevel="0" collapsed="false">
      <c r="A47" s="0" t="s">
        <v>105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106</v>
      </c>
      <c r="B48" s="3" t="n">
        <v>7.75</v>
      </c>
    </row>
    <row r="49" customFormat="false" ht="15" hidden="false" customHeight="false" outlineLevel="0" collapsed="false">
      <c r="A49" s="0" t="s">
        <v>107</v>
      </c>
      <c r="B49" s="3" t="n">
        <v>3</v>
      </c>
    </row>
    <row r="50" customFormat="false" ht="15" hidden="false" customHeight="false" outlineLevel="0" collapsed="false">
      <c r="A50" s="0" t="s">
        <v>108</v>
      </c>
      <c r="B50" s="3" t="n">
        <v>20</v>
      </c>
    </row>
    <row r="51" customFormat="false" ht="15" hidden="false" customHeight="false" outlineLevel="0" collapsed="false">
      <c r="A51" s="0" t="s">
        <v>109</v>
      </c>
      <c r="B51" s="3" t="n">
        <v>-5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16.5</v>
      </c>
      <c r="D5" s="4" t="n">
        <f aca="false">Assumptions!D13</f>
        <v>2.5</v>
      </c>
      <c r="E5" s="4" t="n">
        <f aca="false">Assumptions!E13</f>
        <v>1</v>
      </c>
      <c r="F5" s="4" t="n">
        <f aca="false">Assumptions!F13</f>
        <v>0.5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13959.1</v>
      </c>
      <c r="C6" s="0" t="n">
        <f aca="false">B6*(1+C5/100)</f>
        <v>16262.3515</v>
      </c>
      <c r="D6" s="0" t="n">
        <f aca="false">C6*(1+D5/100)</f>
        <v>16668.9102875</v>
      </c>
      <c r="E6" s="0" t="n">
        <f aca="false">D6*(1+E5/100)</f>
        <v>16835.599390375</v>
      </c>
      <c r="F6" s="0" t="n">
        <f aca="false">E6*(1+F5/100)</f>
        <v>16919.7773873269</v>
      </c>
      <c r="G6" s="0" t="n">
        <f aca="false">F6*(1+G5/100)</f>
        <v>17088.9751612001</v>
      </c>
      <c r="H6" s="0" t="n">
        <f aca="false">G6*(1+H5/100)</f>
        <v>17345.3097886181</v>
      </c>
      <c r="I6" s="0" t="n">
        <f aca="false">H6*(1+I5/100)</f>
        <v>17692.2159843905</v>
      </c>
      <c r="J6" s="0" t="n">
        <f aca="false">I6*(1+J5/100)</f>
        <v>18046.0603040783</v>
      </c>
      <c r="K6" s="0" t="n">
        <f aca="false">J6*(1+K5/100)</f>
        <v>18406.9815101599</v>
      </c>
      <c r="L6" s="0" t="n">
        <f aca="false">K6*(1+L5/100)</f>
        <v>18775.1211403631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16.3</v>
      </c>
      <c r="D7" s="4" t="n">
        <f aca="false">Assumptions!D14</f>
        <v>16.3</v>
      </c>
      <c r="E7" s="4" t="n">
        <f aca="false">Assumptions!E14</f>
        <v>15.8</v>
      </c>
      <c r="F7" s="4" t="n">
        <f aca="false">Assumptions!F14</f>
        <v>15.3</v>
      </c>
      <c r="G7" s="4" t="n">
        <f aca="false">Assumptions!G14</f>
        <v>15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2650.7632945</v>
      </c>
      <c r="D8" s="0" t="n">
        <f aca="false">D6*D7/100</f>
        <v>2717.0323768625</v>
      </c>
      <c r="E8" s="0" t="n">
        <f aca="false">E6*E7/100</f>
        <v>2660.02470367925</v>
      </c>
      <c r="F8" s="0" t="n">
        <f aca="false">F6*F7/100</f>
        <v>2588.72594026101</v>
      </c>
      <c r="G8" s="0" t="n">
        <f aca="false">G6*G7/100</f>
        <v>2563.34627418002</v>
      </c>
      <c r="H8" s="0" t="n">
        <f aca="false">H6*H7/100</f>
        <v>2601.79646829272</v>
      </c>
      <c r="I8" s="0" t="n">
        <f aca="false">I6*I7/100</f>
        <v>2653.83239765858</v>
      </c>
      <c r="J8" s="0" t="n">
        <f aca="false">J6*J7/100</f>
        <v>2706.90904561175</v>
      </c>
      <c r="K8" s="0" t="n">
        <f aca="false">K6*K7/100</f>
        <v>2761.04722652398</v>
      </c>
      <c r="L8" s="0" t="n">
        <f aca="false">L6*L7/100</f>
        <v>2816.26817105446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0.02</v>
      </c>
      <c r="D9" s="4" t="n">
        <f aca="false">Assumptions!D15</f>
        <v>0.02</v>
      </c>
      <c r="E9" s="4" t="n">
        <f aca="false">Assumptions!E15</f>
        <v>0.02</v>
      </c>
      <c r="F9" s="4" t="n">
        <f aca="false">Assumptions!F15</f>
        <v>0.02</v>
      </c>
      <c r="G9" s="4" t="n">
        <f aca="false">Assumptions!G15</f>
        <v>0.02</v>
      </c>
      <c r="H9" s="4" t="n">
        <f aca="false">Assumptions!H15</f>
        <v>0.02</v>
      </c>
      <c r="I9" s="4" t="n">
        <f aca="false">Assumptions!I15</f>
        <v>0.02</v>
      </c>
      <c r="J9" s="4" t="n">
        <f aca="false">Assumptions!J15</f>
        <v>0.02</v>
      </c>
      <c r="K9" s="4" t="n">
        <f aca="false">Assumptions!K15</f>
        <v>0.02</v>
      </c>
      <c r="L9" s="4" t="n">
        <f aca="false">Assumptions!L15</f>
        <v>0.02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-3.2524703</v>
      </c>
      <c r="D10" s="0" t="n">
        <f aca="false">-D6*D9/100</f>
        <v>-3.3337820575</v>
      </c>
      <c r="E10" s="0" t="n">
        <f aca="false">-E6*E9/100</f>
        <v>-3.367119878075</v>
      </c>
      <c r="F10" s="0" t="n">
        <f aca="false">-F6*F9/100</f>
        <v>-3.38395547746537</v>
      </c>
      <c r="G10" s="0" t="n">
        <f aca="false">-G6*G9/100</f>
        <v>-3.41779503224003</v>
      </c>
      <c r="H10" s="0" t="n">
        <f aca="false">-H6*H9/100</f>
        <v>-3.46906195772363</v>
      </c>
      <c r="I10" s="0" t="n">
        <f aca="false">-I6*I9/100</f>
        <v>-3.5384431968781</v>
      </c>
      <c r="J10" s="0" t="n">
        <f aca="false">-J6*J9/100</f>
        <v>-3.60921206081566</v>
      </c>
      <c r="K10" s="0" t="n">
        <f aca="false">-K6*K9/100</f>
        <v>-3.68139630203198</v>
      </c>
      <c r="L10" s="0" t="n">
        <f aca="false">-L6*L9/100</f>
        <v>-3.75502422807262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2216.55850945</v>
      </c>
      <c r="D11" s="0" t="n">
        <f aca="false">D8+D10+D24</f>
        <v>2263.6380170425</v>
      </c>
      <c r="E11" s="0" t="n">
        <f aca="false">E8+E10+E24</f>
        <v>2193.67860056586</v>
      </c>
      <c r="F11" s="0" t="n">
        <f aca="false">F8+F10+F24</f>
        <v>2111.58821793839</v>
      </c>
      <c r="G11" s="0" t="n">
        <f aca="false">G8+G10+G24</f>
        <v>2081.43717463418</v>
      </c>
      <c r="H11" s="0" t="n">
        <f aca="false">H8+H10+H24</f>
        <v>2112.65873225369</v>
      </c>
      <c r="I11" s="0" t="n">
        <f aca="false">I8+I10+I24</f>
        <v>2154.91190689876</v>
      </c>
      <c r="J11" s="0" t="n">
        <f aca="false">J8+J10+J24</f>
        <v>2198.01014503674</v>
      </c>
      <c r="K11" s="0" t="n">
        <f aca="false">K8+K10+K24</f>
        <v>2241.97034793747</v>
      </c>
      <c r="L11" s="0" t="n">
        <f aca="false">L8+L10+L24</f>
        <v>2286.80975489622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-243.9352725</v>
      </c>
      <c r="D12" s="4" t="n">
        <f aca="false">-D6*Assumptions!D17/100</f>
        <v>-250.0336543125</v>
      </c>
      <c r="E12" s="4" t="n">
        <f aca="false">-E6*Assumptions!E17/100</f>
        <v>-252.533990855625</v>
      </c>
      <c r="F12" s="4" t="n">
        <f aca="false">-F6*Assumptions!F17/100</f>
        <v>-253.796660809903</v>
      </c>
      <c r="G12" s="4" t="n">
        <f aca="false">-G6*Assumptions!G17/100</f>
        <v>-256.334627418002</v>
      </c>
      <c r="H12" s="4" t="n">
        <f aca="false">-H6*Assumptions!H17/100</f>
        <v>-260.179646829272</v>
      </c>
      <c r="I12" s="4" t="n">
        <f aca="false">-I6*Assumptions!I17/100</f>
        <v>-265.383239765858</v>
      </c>
      <c r="J12" s="4" t="n">
        <f aca="false">-J6*Assumptions!J17/100</f>
        <v>-270.690904561175</v>
      </c>
      <c r="K12" s="4" t="n">
        <f aca="false">-K6*Assumptions!K17/100</f>
        <v>-276.104722652398</v>
      </c>
      <c r="L12" s="4" t="n">
        <f aca="false">-L6*Assumptions!L17/100</f>
        <v>-281.626817105446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1972.62323695</v>
      </c>
      <c r="D13" s="0" t="n">
        <f aca="false">D11+D12</f>
        <v>2013.60436273</v>
      </c>
      <c r="E13" s="0" t="n">
        <f aca="false">E11+E12</f>
        <v>1941.14460971024</v>
      </c>
      <c r="F13" s="0" t="n">
        <f aca="false">F11+F12</f>
        <v>1857.79155712849</v>
      </c>
      <c r="G13" s="0" t="n">
        <f aca="false">G11+G12</f>
        <v>1825.10254721617</v>
      </c>
      <c r="H13" s="0" t="n">
        <f aca="false">H11+H12</f>
        <v>1852.47908542442</v>
      </c>
      <c r="I13" s="0" t="n">
        <f aca="false">I11+I12</f>
        <v>1889.52866713291</v>
      </c>
      <c r="J13" s="0" t="n">
        <f aca="false">J11+J12</f>
        <v>1927.31924047556</v>
      </c>
      <c r="K13" s="0" t="n">
        <f aca="false">K11+K12</f>
        <v>1965.86562528508</v>
      </c>
      <c r="L13" s="0" t="n">
        <f aca="false">L11+L12</f>
        <v>2005.18293779078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1479.4674277125</v>
      </c>
      <c r="D15" s="0" t="n">
        <f aca="false">D13-MAX(0,D13)*D14/100</f>
        <v>1510.2032720475</v>
      </c>
      <c r="E15" s="0" t="n">
        <f aca="false">E13-MAX(0,E13)*E14/100</f>
        <v>1455.85845728268</v>
      </c>
      <c r="F15" s="0" t="n">
        <f aca="false">F13-MAX(0,F13)*F14/100</f>
        <v>1393.34366784637</v>
      </c>
      <c r="G15" s="0" t="n">
        <f aca="false">G13-MAX(0,G13)*G14/100</f>
        <v>1368.82691041213</v>
      </c>
      <c r="H15" s="0" t="n">
        <f aca="false">H13-MAX(0,H13)*H14/100</f>
        <v>1389.35931406831</v>
      </c>
      <c r="I15" s="0" t="n">
        <f aca="false">I13-MAX(0,I13)*I14/100</f>
        <v>1417.14650034968</v>
      </c>
      <c r="J15" s="0" t="n">
        <f aca="false">J13-MAX(0,J13)*J14/100</f>
        <v>1445.48943035667</v>
      </c>
      <c r="K15" s="0" t="n">
        <f aca="false">K13-MAX(0,K13)*K14/100</f>
        <v>1474.39921896381</v>
      </c>
      <c r="L15" s="0" t="n">
        <f aca="false">L13-MAX(0,L13)*L14/100</f>
        <v>1503.88720334308</v>
      </c>
    </row>
    <row r="16" customFormat="false" ht="15" hidden="false" customHeight="false" outlineLevel="0" collapsed="false">
      <c r="A16" s="0" t="s">
        <v>121</v>
      </c>
      <c r="C16" s="0" t="n">
        <f aca="false">-C12</f>
        <v>243.9352725</v>
      </c>
      <c r="D16" s="0" t="n">
        <f aca="false">-D12</f>
        <v>250.0336543125</v>
      </c>
      <c r="E16" s="0" t="n">
        <f aca="false">-E12</f>
        <v>252.533990855625</v>
      </c>
      <c r="F16" s="0" t="n">
        <f aca="false">-F12</f>
        <v>253.796660809903</v>
      </c>
      <c r="G16" s="0" t="n">
        <f aca="false">-G12</f>
        <v>256.334627418002</v>
      </c>
      <c r="H16" s="0" t="n">
        <f aca="false">-H12</f>
        <v>260.179646829272</v>
      </c>
      <c r="I16" s="0" t="n">
        <f aca="false">-I12</f>
        <v>265.383239765858</v>
      </c>
      <c r="J16" s="0" t="n">
        <f aca="false">-J12</f>
        <v>270.690904561175</v>
      </c>
      <c r="K16" s="0" t="n">
        <f aca="false">-K12</f>
        <v>276.104722652398</v>
      </c>
      <c r="L16" s="0" t="n">
        <f aca="false">-L12</f>
        <v>281.626817105446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-187.01704225</v>
      </c>
      <c r="D17" s="4" t="n">
        <f aca="false">-D6*Assumptions!D18/100</f>
        <v>-200.02692345</v>
      </c>
      <c r="E17" s="4" t="n">
        <f aca="false">-E6*Assumptions!E18/100</f>
        <v>-202.0271926845</v>
      </c>
      <c r="F17" s="4" t="n">
        <f aca="false">-F6*Assumptions!F18/100</f>
        <v>-203.037328647922</v>
      </c>
      <c r="G17" s="4" t="n">
        <f aca="false">-G6*Assumptions!G18/100</f>
        <v>-205.067701934402</v>
      </c>
      <c r="H17" s="4" t="n">
        <f aca="false">-H6*Assumptions!H18/100</f>
        <v>-208.143717463418</v>
      </c>
      <c r="I17" s="4" t="n">
        <f aca="false">-I6*Assumptions!I18/100</f>
        <v>-212.306591812686</v>
      </c>
      <c r="J17" s="4" t="n">
        <f aca="false">-J6*Assumptions!J18/100</f>
        <v>-216.55272364894</v>
      </c>
      <c r="K17" s="4" t="n">
        <f aca="false">-K6*Assumptions!K18/100</f>
        <v>-220.883778121919</v>
      </c>
      <c r="L17" s="4" t="n">
        <f aca="false">-L6*Assumptions!L18/100</f>
        <v>-225.301453684357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-115.162575</v>
      </c>
      <c r="D18" s="4" t="n">
        <f aca="false">(D6-C6)*Assumptions!$B$23/100</f>
        <v>-20.3279393749999</v>
      </c>
      <c r="E18" s="4" t="n">
        <f aca="false">(E6-D6)*Assumptions!$B$23/100</f>
        <v>-8.33445514374998</v>
      </c>
      <c r="F18" s="4" t="n">
        <f aca="false">(F6-E6)*Assumptions!$B$23/100</f>
        <v>-4.2088998475936</v>
      </c>
      <c r="G18" s="4" t="n">
        <f aca="false">(G6-F6)*Assumptions!$B$23/100</f>
        <v>-8.45988869366338</v>
      </c>
      <c r="H18" s="4" t="n">
        <f aca="false">(H6-G6)*Assumptions!$B$23/100</f>
        <v>-12.8167313709</v>
      </c>
      <c r="I18" s="4" t="n">
        <f aca="false">(I6-H6)*Assumptions!$B$23/100</f>
        <v>-17.3453097886182</v>
      </c>
      <c r="J18" s="4" t="n">
        <f aca="false">(J6-I6)*Assumptions!$B$23/100</f>
        <v>-17.6922159843905</v>
      </c>
      <c r="K18" s="4" t="n">
        <f aca="false">(K6-J6)*Assumptions!$B$23/100</f>
        <v>-18.0460603040783</v>
      </c>
      <c r="L18" s="4" t="n">
        <f aca="false">(L6-K6)*Assumptions!$B$23/100</f>
        <v>-18.4069815101599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1421.2230829625</v>
      </c>
      <c r="D19" s="0" t="n">
        <f aca="false">D15+D16+D17+D18</f>
        <v>1539.882063535</v>
      </c>
      <c r="E19" s="0" t="n">
        <f aca="false">E15+E16+E17+E18</f>
        <v>1498.03080031005</v>
      </c>
      <c r="F19" s="0" t="n">
        <f aca="false">F15+F16+F17+F18</f>
        <v>1439.89410016076</v>
      </c>
      <c r="G19" s="0" t="n">
        <f aca="false">G15+G16+G17+G18</f>
        <v>1411.63394720207</v>
      </c>
      <c r="H19" s="0" t="n">
        <f aca="false">H15+H16+H17+H18</f>
        <v>1428.57851206327</v>
      </c>
      <c r="I19" s="0" t="n">
        <f aca="false">I15+I16+I17+I18</f>
        <v>1452.87783851423</v>
      </c>
      <c r="J19" s="0" t="n">
        <f aca="false">J15+J16+J17+J18</f>
        <v>1481.93539528452</v>
      </c>
      <c r="K19" s="0" t="n">
        <f aca="false">K15+K16+K17+K18</f>
        <v>1511.57410319021</v>
      </c>
      <c r="L19" s="0" t="n">
        <f aca="false">L15+L16+L17+L18</f>
        <v>1541.80558525401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0.928074245939675</v>
      </c>
      <c r="D20" s="0" t="n">
        <f aca="false">1/(1+$B$27/100)^D4</f>
        <v>0.861321805976497</v>
      </c>
      <c r="E20" s="0" t="n">
        <f aca="false">1/(1+$B$27/100)^E4</f>
        <v>0.799370585593037</v>
      </c>
      <c r="F20" s="0" t="n">
        <f aca="false">1/(1+$B$27/100)^F4</f>
        <v>0.741875253450614</v>
      </c>
      <c r="G20" s="0" t="n">
        <f aca="false">1/(1+$B$27/100)^G4</f>
        <v>0.688515316427484</v>
      </c>
      <c r="H20" s="0" t="n">
        <f aca="false">1/(1+$B$27/100)^H4</f>
        <v>0.638993333111354</v>
      </c>
      <c r="I20" s="0" t="n">
        <f aca="false">1/(1+$B$27/100)^I4</f>
        <v>0.5930332557878</v>
      </c>
      <c r="J20" s="0" t="n">
        <f aca="false">1/(1+$B$27/100)^J4</f>
        <v>0.550378891682413</v>
      </c>
      <c r="K20" s="0" t="n">
        <f aca="false">1/(1+$B$27/100)^K4</f>
        <v>0.51079247487927</v>
      </c>
      <c r="L20" s="0" t="n">
        <f aca="false">1/(1+$B$27/100)^L4</f>
        <v>0.474053340955239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1319.00054103248</v>
      </c>
      <c r="D21" s="0" t="n">
        <f aca="false">D19*D20</f>
        <v>1326.33399995478</v>
      </c>
      <c r="E21" s="0" t="n">
        <f aca="false">E19*E20</f>
        <v>1197.48175808025</v>
      </c>
      <c r="F21" s="0" t="n">
        <f aca="false">F19*F20</f>
        <v>1068.2218004988</v>
      </c>
      <c r="G21" s="0" t="n">
        <f aca="false">G19*G20</f>
        <v>971.93159383761</v>
      </c>
      <c r="H21" s="0" t="n">
        <f aca="false">H19*H20</f>
        <v>912.852145034566</v>
      </c>
      <c r="I21" s="0" t="n">
        <f aca="false">I19*I20</f>
        <v>861.604874836037</v>
      </c>
      <c r="J21" s="0" t="n">
        <f aca="false">J19*J20</f>
        <v>815.625960401631</v>
      </c>
      <c r="K21" s="0" t="n">
        <f aca="false">K19*K20</f>
        <v>772.100677131938</v>
      </c>
      <c r="L21" s="0" t="n">
        <f aca="false">L19*L20</f>
        <v>730.898088793111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2.65</v>
      </c>
      <c r="D23" s="4" t="n">
        <f aca="false">Assumptions!D16</f>
        <v>2.7</v>
      </c>
      <c r="E23" s="4" t="n">
        <f aca="false">Assumptions!E16</f>
        <v>2.75</v>
      </c>
      <c r="F23" s="4" t="n">
        <f aca="false">Assumptions!F16</f>
        <v>2.8</v>
      </c>
      <c r="G23" s="4" t="n">
        <f aca="false">Assumptions!G16</f>
        <v>2.8</v>
      </c>
      <c r="H23" s="4" t="n">
        <f aca="false">Assumptions!H16</f>
        <v>2.8</v>
      </c>
      <c r="I23" s="4" t="n">
        <f aca="false">Assumptions!I16</f>
        <v>2.8</v>
      </c>
      <c r="J23" s="4" t="n">
        <f aca="false">Assumptions!J16</f>
        <v>2.8</v>
      </c>
      <c r="K23" s="4" t="n">
        <f aca="false">Assumptions!K16</f>
        <v>2.8</v>
      </c>
      <c r="L23" s="4" t="n">
        <f aca="false">Assumptions!L16</f>
        <v>2.8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-430.95231475</v>
      </c>
      <c r="D24" s="0" t="n">
        <f aca="false">-D6*D23/100</f>
        <v>-450.0605777625</v>
      </c>
      <c r="E24" s="0" t="n">
        <f aca="false">-E6*E23/100</f>
        <v>-462.978983235312</v>
      </c>
      <c r="F24" s="0" t="n">
        <f aca="false">-F6*F23/100</f>
        <v>-473.753766845152</v>
      </c>
      <c r="G24" s="0" t="n">
        <f aca="false">-G6*G23/100</f>
        <v>-478.491304513604</v>
      </c>
      <c r="H24" s="0" t="n">
        <f aca="false">-H6*H23/100</f>
        <v>-485.668674081308</v>
      </c>
      <c r="I24" s="0" t="n">
        <f aca="false">-I6*I23/100</f>
        <v>-495.382047562934</v>
      </c>
      <c r="J24" s="0" t="n">
        <f aca="false">-J6*J23/100</f>
        <v>-505.289688514193</v>
      </c>
      <c r="K24" s="0" t="n">
        <f aca="false">-K6*K23/100</f>
        <v>-515.395482284477</v>
      </c>
      <c r="L24" s="0" t="n">
        <f aca="false">-L6*L23/100</f>
        <v>-525.703391930166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7.75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9976.05143960122</v>
      </c>
    </row>
    <row r="31" customFormat="false" ht="15" hidden="false" customHeight="false" outlineLevel="0" collapsed="false">
      <c r="A31" s="0" t="s">
        <v>130</v>
      </c>
      <c r="B31" s="0" t="n">
        <f aca="false">L19</f>
        <v>1541.80558525401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25038.9227045251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20043.4726083022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20043.4726083022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9501.67515431044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19477.7265939117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12584.8265939117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93.1933248956728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-0.430463088090981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23.4073141432186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28.9085281183356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93.5807348650268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11592.0938446876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24.7469495600161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18.9</v>
      </c>
      <c r="D5" s="4" t="n">
        <f aca="false">Assumptions!D27</f>
        <v>6.5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13959.1</v>
      </c>
      <c r="C6" s="0" t="n">
        <f aca="false">B6*(1+C5/100)</f>
        <v>16597.3699</v>
      </c>
      <c r="D6" s="0" t="n">
        <f aca="false">C6*(1+D5/100)</f>
        <v>17676.1989435</v>
      </c>
      <c r="E6" s="0" t="n">
        <f aca="false">D6*(1+E5/100)</f>
        <v>18560.008890675</v>
      </c>
      <c r="F6" s="0" t="n">
        <f aca="false">E6*(1+F5/100)</f>
        <v>19488.0093352088</v>
      </c>
      <c r="G6" s="0" t="n">
        <f aca="false">F6*(1+G5/100)</f>
        <v>20364.9697552931</v>
      </c>
      <c r="H6" s="0" t="n">
        <f aca="false">G6*(1+H5/100)</f>
        <v>21179.5685455049</v>
      </c>
      <c r="I6" s="0" t="n">
        <f aca="false">H6*(1+I5/100)</f>
        <v>21920.8534445975</v>
      </c>
      <c r="J6" s="0" t="n">
        <f aca="false">I6*(1+J5/100)</f>
        <v>22578.4790479355</v>
      </c>
      <c r="K6" s="0" t="n">
        <f aca="false">J6*(1+K5/100)</f>
        <v>23255.8334193735</v>
      </c>
      <c r="L6" s="0" t="n">
        <f aca="false">K6*(1+L5/100)</f>
        <v>23837.2292548579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16.8</v>
      </c>
      <c r="D7" s="4" t="n">
        <f aca="false">Assumptions!D28</f>
        <v>17.8</v>
      </c>
      <c r="E7" s="4" t="n">
        <f aca="false">Assumptions!E28</f>
        <v>18.4</v>
      </c>
      <c r="F7" s="4" t="n">
        <f aca="false">Assumptions!F28</f>
        <v>18.6</v>
      </c>
      <c r="G7" s="4" t="n">
        <f aca="false">Assumptions!G28</f>
        <v>18.6</v>
      </c>
      <c r="H7" s="4" t="n">
        <f aca="false">Assumptions!H28</f>
        <v>18.6</v>
      </c>
      <c r="I7" s="4" t="n">
        <f aca="false">Assumptions!I28</f>
        <v>18.6</v>
      </c>
      <c r="J7" s="4" t="n">
        <f aca="false">Assumptions!J28</f>
        <v>18.6</v>
      </c>
      <c r="K7" s="4" t="n">
        <f aca="false">Assumptions!K28</f>
        <v>18.6</v>
      </c>
      <c r="L7" s="4" t="n">
        <f aca="false">Assumptions!L28</f>
        <v>18.6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2788.3581432</v>
      </c>
      <c r="D8" s="0" t="n">
        <f aca="false">D6*D7/100</f>
        <v>3146.363411943</v>
      </c>
      <c r="E8" s="0" t="n">
        <f aca="false">E6*E7/100</f>
        <v>3415.0416358842</v>
      </c>
      <c r="F8" s="0" t="n">
        <f aca="false">F6*F7/100</f>
        <v>3624.76973634883</v>
      </c>
      <c r="G8" s="0" t="n">
        <f aca="false">G6*G7/100</f>
        <v>3787.88437448452</v>
      </c>
      <c r="H8" s="0" t="n">
        <f aca="false">H6*H7/100</f>
        <v>3939.39974946391</v>
      </c>
      <c r="I8" s="0" t="n">
        <f aca="false">I6*I7/100</f>
        <v>4077.27874069514</v>
      </c>
      <c r="J8" s="0" t="n">
        <f aca="false">J6*J7/100</f>
        <v>4199.597102916</v>
      </c>
      <c r="K8" s="0" t="n">
        <f aca="false">K6*K7/100</f>
        <v>4325.58501600348</v>
      </c>
      <c r="L8" s="0" t="n">
        <f aca="false">L6*L7/100</f>
        <v>4433.72464140356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0.02</v>
      </c>
      <c r="D9" s="4" t="n">
        <f aca="false">Assumptions!D29</f>
        <v>0.02</v>
      </c>
      <c r="E9" s="4" t="n">
        <f aca="false">Assumptions!E29</f>
        <v>0.02</v>
      </c>
      <c r="F9" s="4" t="n">
        <f aca="false">Assumptions!F29</f>
        <v>0.02</v>
      </c>
      <c r="G9" s="4" t="n">
        <f aca="false">Assumptions!G29</f>
        <v>0.02</v>
      </c>
      <c r="H9" s="4" t="n">
        <f aca="false">Assumptions!H29</f>
        <v>0.02</v>
      </c>
      <c r="I9" s="4" t="n">
        <f aca="false">Assumptions!I29</f>
        <v>0.02</v>
      </c>
      <c r="J9" s="4" t="n">
        <f aca="false">Assumptions!J29</f>
        <v>0.02</v>
      </c>
      <c r="K9" s="4" t="n">
        <f aca="false">Assumptions!K29</f>
        <v>0.02</v>
      </c>
      <c r="L9" s="4" t="n">
        <f aca="false">Assumptions!L29</f>
        <v>0.02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-3.31947398</v>
      </c>
      <c r="D10" s="0" t="n">
        <f aca="false">-D6*D9/100</f>
        <v>-3.5352397887</v>
      </c>
      <c r="E10" s="0" t="n">
        <f aca="false">-E6*E9/100</f>
        <v>-3.712001778135</v>
      </c>
      <c r="F10" s="0" t="n">
        <f aca="false">-F6*F9/100</f>
        <v>-3.89760186704175</v>
      </c>
      <c r="G10" s="0" t="n">
        <f aca="false">-G6*G9/100</f>
        <v>-4.07299395105863</v>
      </c>
      <c r="H10" s="0" t="n">
        <f aca="false">-H6*H9/100</f>
        <v>-4.23591370910097</v>
      </c>
      <c r="I10" s="0" t="n">
        <f aca="false">-I6*I9/100</f>
        <v>-4.38417068891951</v>
      </c>
      <c r="J10" s="0" t="n">
        <f aca="false">-J6*J9/100</f>
        <v>-4.51569580958709</v>
      </c>
      <c r="K10" s="0" t="n">
        <f aca="false">-K6*K9/100</f>
        <v>-4.65116668387471</v>
      </c>
      <c r="L10" s="0" t="n">
        <f aca="false">-L6*L9/100</f>
        <v>-4.76744585097157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2345.20836687</v>
      </c>
      <c r="D11" s="0" t="n">
        <f aca="false">D8+D10+D24</f>
        <v>2674.40890015155</v>
      </c>
      <c r="E11" s="0" t="n">
        <f aca="false">E8+E10+E24</f>
        <v>2919.48939850318</v>
      </c>
      <c r="F11" s="0" t="n">
        <f aca="false">F8+F10+F24</f>
        <v>3104.43988709875</v>
      </c>
      <c r="G11" s="0" t="n">
        <f aca="false">G8+G10+G24</f>
        <v>3244.1396820182</v>
      </c>
      <c r="H11" s="0" t="n">
        <f aca="false">H8+H10+H24</f>
        <v>3373.90526929893</v>
      </c>
      <c r="I11" s="0" t="n">
        <f aca="false">I8+I10+I24</f>
        <v>3491.99195372439</v>
      </c>
      <c r="J11" s="0" t="n">
        <f aca="false">J8+J10+J24</f>
        <v>3596.75171233612</v>
      </c>
      <c r="K11" s="0" t="n">
        <f aca="false">K8+K10+K24</f>
        <v>3704.6542637062</v>
      </c>
      <c r="L11" s="0" t="n">
        <f aca="false">L8+L10+L24</f>
        <v>3797.27062029886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-248.9605485</v>
      </c>
      <c r="D12" s="4" t="n">
        <f aca="false">-D6*Assumptions!D31/100</f>
        <v>-265.1429841525</v>
      </c>
      <c r="E12" s="4" t="n">
        <f aca="false">-E6*Assumptions!E31/100</f>
        <v>-278.400133360125</v>
      </c>
      <c r="F12" s="4" t="n">
        <f aca="false">-F6*Assumptions!F31/100</f>
        <v>-292.320140028131</v>
      </c>
      <c r="G12" s="4" t="n">
        <f aca="false">-G6*Assumptions!G31/100</f>
        <v>-305.474546329397</v>
      </c>
      <c r="H12" s="4" t="n">
        <f aca="false">-H6*Assumptions!H31/100</f>
        <v>-317.693528182573</v>
      </c>
      <c r="I12" s="4" t="n">
        <f aca="false">-I6*Assumptions!I31/100</f>
        <v>-328.812801668963</v>
      </c>
      <c r="J12" s="4" t="n">
        <f aca="false">-J6*Assumptions!J31/100</f>
        <v>-338.677185719032</v>
      </c>
      <c r="K12" s="4" t="n">
        <f aca="false">-K6*Assumptions!K31/100</f>
        <v>-348.837501290603</v>
      </c>
      <c r="L12" s="4" t="n">
        <f aca="false">-L6*Assumptions!L31/100</f>
        <v>-357.558438822868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2096.24781837</v>
      </c>
      <c r="D13" s="0" t="n">
        <f aca="false">D11+D12</f>
        <v>2409.26591599905</v>
      </c>
      <c r="E13" s="0" t="n">
        <f aca="false">E11+E12</f>
        <v>2641.08926514305</v>
      </c>
      <c r="F13" s="0" t="n">
        <f aca="false">F11+F12</f>
        <v>2812.11974707062</v>
      </c>
      <c r="G13" s="0" t="n">
        <f aca="false">G11+G12</f>
        <v>2938.6651356888</v>
      </c>
      <c r="H13" s="0" t="n">
        <f aca="false">H11+H12</f>
        <v>3056.21174111635</v>
      </c>
      <c r="I13" s="0" t="n">
        <f aca="false">I11+I12</f>
        <v>3163.17915205542</v>
      </c>
      <c r="J13" s="0" t="n">
        <f aca="false">J11+J12</f>
        <v>3258.07452661709</v>
      </c>
      <c r="K13" s="0" t="n">
        <f aca="false">K11+K12</f>
        <v>3355.8167624156</v>
      </c>
      <c r="L13" s="0" t="n">
        <f aca="false">L11+L12</f>
        <v>3439.71218147599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1572.1858637775</v>
      </c>
      <c r="D15" s="0" t="n">
        <f aca="false">D13-MAX(0,D13)*D14/100</f>
        <v>1806.94943699929</v>
      </c>
      <c r="E15" s="0" t="n">
        <f aca="false">E13-MAX(0,E13)*E14/100</f>
        <v>1980.81694885729</v>
      </c>
      <c r="F15" s="0" t="n">
        <f aca="false">F13-MAX(0,F13)*F14/100</f>
        <v>2109.08981030297</v>
      </c>
      <c r="G15" s="0" t="n">
        <f aca="false">G13-MAX(0,G13)*G14/100</f>
        <v>2203.9988517666</v>
      </c>
      <c r="H15" s="0" t="n">
        <f aca="false">H13-MAX(0,H13)*H14/100</f>
        <v>2292.15880583726</v>
      </c>
      <c r="I15" s="0" t="n">
        <f aca="false">I13-MAX(0,I13)*I14/100</f>
        <v>2372.38436404157</v>
      </c>
      <c r="J15" s="0" t="n">
        <f aca="false">J13-MAX(0,J13)*J14/100</f>
        <v>2443.55589496282</v>
      </c>
      <c r="K15" s="0" t="n">
        <f aca="false">K13-MAX(0,K13)*K14/100</f>
        <v>2516.8625718117</v>
      </c>
      <c r="L15" s="0" t="n">
        <f aca="false">L13-MAX(0,L13)*L14/100</f>
        <v>2579.78413610699</v>
      </c>
    </row>
    <row r="16" customFormat="false" ht="15" hidden="false" customHeight="false" outlineLevel="0" collapsed="false">
      <c r="A16" s="0" t="s">
        <v>121</v>
      </c>
      <c r="C16" s="0" t="n">
        <f aca="false">-C12</f>
        <v>248.9605485</v>
      </c>
      <c r="D16" s="0" t="n">
        <f aca="false">-D12</f>
        <v>265.1429841525</v>
      </c>
      <c r="E16" s="0" t="n">
        <f aca="false">-E12</f>
        <v>278.400133360125</v>
      </c>
      <c r="F16" s="0" t="n">
        <f aca="false">-F12</f>
        <v>292.320140028131</v>
      </c>
      <c r="G16" s="0" t="n">
        <f aca="false">-G12</f>
        <v>305.474546329397</v>
      </c>
      <c r="H16" s="0" t="n">
        <f aca="false">-H12</f>
        <v>317.693528182573</v>
      </c>
      <c r="I16" s="0" t="n">
        <f aca="false">-I12</f>
        <v>328.812801668963</v>
      </c>
      <c r="J16" s="0" t="n">
        <f aca="false">-J12</f>
        <v>338.677185719032</v>
      </c>
      <c r="K16" s="0" t="n">
        <f aca="false">-K12</f>
        <v>348.837501290603</v>
      </c>
      <c r="L16" s="0" t="n">
        <f aca="false">-L12</f>
        <v>357.558438822868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-190.86975385</v>
      </c>
      <c r="D17" s="4" t="n">
        <f aca="false">-D6*Assumptions!D32/100</f>
        <v>-203.27628785025</v>
      </c>
      <c r="E17" s="4" t="n">
        <f aca="false">-E6*Assumptions!E32/100</f>
        <v>-213.440102242762</v>
      </c>
      <c r="F17" s="4" t="n">
        <f aca="false">-F6*Assumptions!F32/100</f>
        <v>-224.112107354901</v>
      </c>
      <c r="G17" s="4" t="n">
        <f aca="false">-G6*Assumptions!G32/100</f>
        <v>-234.197152185871</v>
      </c>
      <c r="H17" s="4" t="n">
        <f aca="false">-H6*Assumptions!H32/100</f>
        <v>-243.565038273306</v>
      </c>
      <c r="I17" s="4" t="n">
        <f aca="false">-I6*Assumptions!I32/100</f>
        <v>-252.089814612872</v>
      </c>
      <c r="J17" s="4" t="n">
        <f aca="false">-J6*Assumptions!J32/100</f>
        <v>-259.652509051258</v>
      </c>
      <c r="K17" s="4" t="n">
        <f aca="false">-K6*Assumptions!K32/100</f>
        <v>-267.442084322796</v>
      </c>
      <c r="L17" s="4" t="n">
        <f aca="false">-L6*Assumptions!L32/100</f>
        <v>-274.128136430865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-131.913495</v>
      </c>
      <c r="D18" s="4" t="n">
        <f aca="false">(D6-C6)*Assumptions!$B$37/100</f>
        <v>-53.9414521749999</v>
      </c>
      <c r="E18" s="4" t="n">
        <f aca="false">(E6-D6)*Assumptions!$B$37/100</f>
        <v>-44.19049735875</v>
      </c>
      <c r="F18" s="4" t="n">
        <f aca="false">(F6-E6)*Assumptions!$B$37/100</f>
        <v>-46.4000222266875</v>
      </c>
      <c r="G18" s="4" t="n">
        <f aca="false">(G6-F6)*Assumptions!$B$37/100</f>
        <v>-43.8480210042197</v>
      </c>
      <c r="H18" s="4" t="n">
        <f aca="false">(H6-G6)*Assumptions!$B$37/100</f>
        <v>-40.7299395105863</v>
      </c>
      <c r="I18" s="4" t="n">
        <f aca="false">(I6-H6)*Assumptions!$B$37/100</f>
        <v>-37.0642449546334</v>
      </c>
      <c r="J18" s="4" t="n">
        <f aca="false">(J6-I6)*Assumptions!$B$37/100</f>
        <v>-32.8812801668962</v>
      </c>
      <c r="K18" s="4" t="n">
        <f aca="false">(K6-J6)*Assumptions!$B$37/100</f>
        <v>-33.8677185719032</v>
      </c>
      <c r="L18" s="4" t="n">
        <f aca="false">(L6-K6)*Assumptions!$B$37/100</f>
        <v>-29.0697917742167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1498.3631634275</v>
      </c>
      <c r="D19" s="0" t="n">
        <f aca="false">D15+D16+D17+D18</f>
        <v>1814.87468112654</v>
      </c>
      <c r="E19" s="0" t="n">
        <f aca="false">E15+E16+E17+E18</f>
        <v>2001.5864826159</v>
      </c>
      <c r="F19" s="0" t="n">
        <f aca="false">F15+F16+F17+F18</f>
        <v>2130.89782074951</v>
      </c>
      <c r="G19" s="0" t="n">
        <f aca="false">G15+G16+G17+G18</f>
        <v>2231.42822490591</v>
      </c>
      <c r="H19" s="0" t="n">
        <f aca="false">H15+H16+H17+H18</f>
        <v>2325.55735623595</v>
      </c>
      <c r="I19" s="0" t="n">
        <f aca="false">I15+I16+I17+I18</f>
        <v>2412.04310614303</v>
      </c>
      <c r="J19" s="0" t="n">
        <f aca="false">J15+J16+J17+J18</f>
        <v>2489.69929146369</v>
      </c>
      <c r="K19" s="0" t="n">
        <f aca="false">K15+K16+K17+K18</f>
        <v>2564.3902702076</v>
      </c>
      <c r="L19" s="0" t="n">
        <f aca="false">L15+L16+L17+L18</f>
        <v>2634.14464672478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0.928074245939675</v>
      </c>
      <c r="D20" s="0" t="n">
        <f aca="false">1/(1+$B$27/100)^D4</f>
        <v>0.861321805976497</v>
      </c>
      <c r="E20" s="0" t="n">
        <f aca="false">1/(1+$B$27/100)^E4</f>
        <v>0.799370585593037</v>
      </c>
      <c r="F20" s="0" t="n">
        <f aca="false">1/(1+$B$27/100)^F4</f>
        <v>0.741875253450614</v>
      </c>
      <c r="G20" s="0" t="n">
        <f aca="false">1/(1+$B$27/100)^G4</f>
        <v>0.688515316427484</v>
      </c>
      <c r="H20" s="0" t="n">
        <f aca="false">1/(1+$B$27/100)^H4</f>
        <v>0.638993333111354</v>
      </c>
      <c r="I20" s="0" t="n">
        <f aca="false">1/(1+$B$27/100)^I4</f>
        <v>0.5930332557878</v>
      </c>
      <c r="J20" s="0" t="n">
        <f aca="false">1/(1+$B$27/100)^J4</f>
        <v>0.550378891682413</v>
      </c>
      <c r="K20" s="0" t="n">
        <f aca="false">1/(1+$B$27/100)^K4</f>
        <v>0.51079247487927</v>
      </c>
      <c r="L20" s="0" t="n">
        <f aca="false">1/(1+$B$27/100)^L4</f>
        <v>0.474053340955239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1390.59226304176</v>
      </c>
      <c r="D21" s="0" t="n">
        <f aca="false">D19*D20</f>
        <v>1563.19113796893</v>
      </c>
      <c r="E21" s="0" t="n">
        <f aca="false">E19*E20</f>
        <v>1600.00935872378</v>
      </c>
      <c r="F21" s="0" t="n">
        <f aca="false">F19*F20</f>
        <v>1580.8603608459</v>
      </c>
      <c r="G21" s="0" t="n">
        <f aca="false">G19*G20</f>
        <v>1536.37251035631</v>
      </c>
      <c r="H21" s="0" t="n">
        <f aca="false">H19*H20</f>
        <v>1486.01564640284</v>
      </c>
      <c r="I21" s="0" t="n">
        <f aca="false">I19*I20</f>
        <v>1430.42177633652</v>
      </c>
      <c r="J21" s="0" t="n">
        <f aca="false">J19*J20</f>
        <v>1370.27793665828</v>
      </c>
      <c r="K21" s="0" t="n">
        <f aca="false">K19*K20</f>
        <v>1309.87125267566</v>
      </c>
      <c r="L21" s="0" t="n">
        <f aca="false">L19*L20</f>
        <v>1248.72507033924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2.65</v>
      </c>
      <c r="D23" s="4" t="n">
        <f aca="false">Assumptions!D30</f>
        <v>2.65</v>
      </c>
      <c r="E23" s="4" t="n">
        <f aca="false">Assumptions!E30</f>
        <v>2.65</v>
      </c>
      <c r="F23" s="4" t="n">
        <f aca="false">Assumptions!F30</f>
        <v>2.65</v>
      </c>
      <c r="G23" s="4" t="n">
        <f aca="false">Assumptions!G30</f>
        <v>2.65</v>
      </c>
      <c r="H23" s="4" t="n">
        <f aca="false">Assumptions!H30</f>
        <v>2.65</v>
      </c>
      <c r="I23" s="4" t="n">
        <f aca="false">Assumptions!I30</f>
        <v>2.65</v>
      </c>
      <c r="J23" s="4" t="n">
        <f aca="false">Assumptions!J30</f>
        <v>2.65</v>
      </c>
      <c r="K23" s="4" t="n">
        <f aca="false">Assumptions!K30</f>
        <v>2.65</v>
      </c>
      <c r="L23" s="4" t="n">
        <f aca="false">Assumptions!L30</f>
        <v>2.65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-439.83030235</v>
      </c>
      <c r="D24" s="0" t="n">
        <f aca="false">-D6*D23/100</f>
        <v>-468.41927200275</v>
      </c>
      <c r="E24" s="0" t="n">
        <f aca="false">-E6*E23/100</f>
        <v>-491.840235602888</v>
      </c>
      <c r="F24" s="0" t="n">
        <f aca="false">-F6*F23/100</f>
        <v>-516.432247383032</v>
      </c>
      <c r="G24" s="0" t="n">
        <f aca="false">-G6*G23/100</f>
        <v>-539.671698515268</v>
      </c>
      <c r="H24" s="0" t="n">
        <f aca="false">-H6*H23/100</f>
        <v>-561.258566455879</v>
      </c>
      <c r="I24" s="0" t="n">
        <f aca="false">-I6*I23/100</f>
        <v>-580.902616281835</v>
      </c>
      <c r="J24" s="0" t="n">
        <f aca="false">-J6*J23/100</f>
        <v>-598.32969477029</v>
      </c>
      <c r="K24" s="0" t="n">
        <f aca="false">-K6*K23/100</f>
        <v>-616.279585613399</v>
      </c>
      <c r="L24" s="0" t="n">
        <f aca="false">-L6*L23/100</f>
        <v>-631.686575253733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7.75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14516.3373133492</v>
      </c>
    </row>
    <row r="31" customFormat="false" ht="15" hidden="false" customHeight="false" outlineLevel="0" collapsed="false">
      <c r="A31" s="0" t="s">
        <v>130</v>
      </c>
      <c r="B31" s="0" t="n">
        <f aca="false">L19</f>
        <v>2634.14464672478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51428.5383408171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47414.603641046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47414.603641046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22477.0512661063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36993.3885794555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30100.4885794555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222.900537466347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0.362222926519262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27.2166434245536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44.1242709392985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223.428832152098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21599.9861031432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65.6953522454979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21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13959.1</v>
      </c>
      <c r="C6" s="0" t="n">
        <f aca="false">B6*(1+C5/100)</f>
        <v>16890.511</v>
      </c>
      <c r="D6" s="0" t="n">
        <f aca="false">C6*(1+D5/100)</f>
        <v>18241.75188</v>
      </c>
      <c r="E6" s="0" t="n">
        <f aca="false">D6*(1+E5/100)</f>
        <v>19518.6745116</v>
      </c>
      <c r="F6" s="0" t="n">
        <f aca="false">E6*(1+F5/100)</f>
        <v>20884.981727412</v>
      </c>
      <c r="G6" s="0" t="n">
        <f aca="false">F6*(1+G5/100)</f>
        <v>22242.5055396938</v>
      </c>
      <c r="H6" s="0" t="n">
        <f aca="false">G6*(1+H5/100)</f>
        <v>23577.0558720754</v>
      </c>
      <c r="I6" s="0" t="n">
        <f aca="false">H6*(1+I5/100)</f>
        <v>24755.9086656792</v>
      </c>
      <c r="J6" s="0" t="n">
        <f aca="false">I6*(1+J5/100)</f>
        <v>25869.9245556347</v>
      </c>
      <c r="K6" s="0" t="n">
        <f aca="false">J6*(1+K5/100)</f>
        <v>26904.7215378601</v>
      </c>
      <c r="L6" s="0" t="n">
        <f aca="false">K6*(1+L5/100)</f>
        <v>27846.3867916852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17</v>
      </c>
      <c r="D7" s="4" t="n">
        <f aca="false">Assumptions!D42</f>
        <v>18.2</v>
      </c>
      <c r="E7" s="4" t="n">
        <f aca="false">Assumptions!E42</f>
        <v>19</v>
      </c>
      <c r="F7" s="4" t="n">
        <f aca="false">Assumptions!F42</f>
        <v>19.4</v>
      </c>
      <c r="G7" s="4" t="n">
        <f aca="false">Assumptions!G42</f>
        <v>19.6</v>
      </c>
      <c r="H7" s="4" t="n">
        <f aca="false">Assumptions!H42</f>
        <v>19.8</v>
      </c>
      <c r="I7" s="4" t="n">
        <f aca="false">Assumptions!I42</f>
        <v>19.8</v>
      </c>
      <c r="J7" s="4" t="n">
        <f aca="false">Assumptions!J42</f>
        <v>19.8</v>
      </c>
      <c r="K7" s="4" t="n">
        <f aca="false">Assumptions!K42</f>
        <v>19.8</v>
      </c>
      <c r="L7" s="4" t="n">
        <f aca="false">Assumptions!L42</f>
        <v>19.8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2871.38687</v>
      </c>
      <c r="D8" s="0" t="n">
        <f aca="false">D6*D7/100</f>
        <v>3319.99884216</v>
      </c>
      <c r="E8" s="0" t="n">
        <f aca="false">E6*E7/100</f>
        <v>3708.548157204</v>
      </c>
      <c r="F8" s="0" t="n">
        <f aca="false">F6*F7/100</f>
        <v>4051.68645511793</v>
      </c>
      <c r="G8" s="0" t="n">
        <f aca="false">G6*G7/100</f>
        <v>4359.53108577998</v>
      </c>
      <c r="H8" s="0" t="n">
        <f aca="false">H6*H7/100</f>
        <v>4668.25706267093</v>
      </c>
      <c r="I8" s="0" t="n">
        <f aca="false">I6*I7/100</f>
        <v>4901.66991580448</v>
      </c>
      <c r="J8" s="0" t="n">
        <f aca="false">J6*J7/100</f>
        <v>5122.24506201568</v>
      </c>
      <c r="K8" s="0" t="n">
        <f aca="false">K6*K7/100</f>
        <v>5327.13486449631</v>
      </c>
      <c r="L8" s="0" t="n">
        <f aca="false">L6*L7/100</f>
        <v>5513.58458475368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0.02</v>
      </c>
      <c r="D9" s="4" t="n">
        <f aca="false">Assumptions!D43</f>
        <v>0.02</v>
      </c>
      <c r="E9" s="4" t="n">
        <f aca="false">Assumptions!E43</f>
        <v>0.02</v>
      </c>
      <c r="F9" s="4" t="n">
        <f aca="false">Assumptions!F43</f>
        <v>0.02</v>
      </c>
      <c r="G9" s="4" t="n">
        <f aca="false">Assumptions!G43</f>
        <v>0.02</v>
      </c>
      <c r="H9" s="4" t="n">
        <f aca="false">Assumptions!H43</f>
        <v>0.02</v>
      </c>
      <c r="I9" s="4" t="n">
        <f aca="false">Assumptions!I43</f>
        <v>0.02</v>
      </c>
      <c r="J9" s="4" t="n">
        <f aca="false">Assumptions!J43</f>
        <v>0.02</v>
      </c>
      <c r="K9" s="4" t="n">
        <f aca="false">Assumptions!K43</f>
        <v>0.02</v>
      </c>
      <c r="L9" s="4" t="n">
        <f aca="false">Assumptions!L43</f>
        <v>0.02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-3.3781022</v>
      </c>
      <c r="D10" s="0" t="n">
        <f aca="false">-D6*D9/100</f>
        <v>-3.648350376</v>
      </c>
      <c r="E10" s="0" t="n">
        <f aca="false">-E6*E9/100</f>
        <v>-3.90373490232</v>
      </c>
      <c r="F10" s="0" t="n">
        <f aca="false">-F6*F9/100</f>
        <v>-4.1769963454824</v>
      </c>
      <c r="G10" s="0" t="n">
        <f aca="false">-G6*G9/100</f>
        <v>-4.44850110793876</v>
      </c>
      <c r="H10" s="0" t="n">
        <f aca="false">-H6*H9/100</f>
        <v>-4.71541117441508</v>
      </c>
      <c r="I10" s="0" t="n">
        <f aca="false">-I6*I9/100</f>
        <v>-4.95118173313584</v>
      </c>
      <c r="J10" s="0" t="n">
        <f aca="false">-J6*J9/100</f>
        <v>-5.17398491112695</v>
      </c>
      <c r="K10" s="0" t="n">
        <f aca="false">-K6*K9/100</f>
        <v>-5.38094430757203</v>
      </c>
      <c r="L10" s="0" t="n">
        <f aca="false">-L6*L9/100</f>
        <v>-5.56927735833705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2420.4102263</v>
      </c>
      <c r="D11" s="0" t="n">
        <f aca="false">D8+D10+D24</f>
        <v>2842.064942904</v>
      </c>
      <c r="E11" s="0" t="n">
        <f aca="false">E8+E10+E24</f>
        <v>3206.91822225588</v>
      </c>
      <c r="F11" s="0" t="n">
        <f aca="false">F8+F10+F24</f>
        <v>3525.38491558715</v>
      </c>
      <c r="G11" s="0" t="n">
        <f aca="false">G8+G10+G24</f>
        <v>3799.0199461797</v>
      </c>
      <c r="H11" s="0" t="n">
        <f aca="false">H8+H10+H24</f>
        <v>4074.11525469463</v>
      </c>
      <c r="I11" s="0" t="n">
        <f aca="false">I8+I10+I24</f>
        <v>4277.82101742936</v>
      </c>
      <c r="J11" s="0" t="n">
        <f aca="false">J8+J10+J24</f>
        <v>4470.32296321368</v>
      </c>
      <c r="K11" s="0" t="n">
        <f aca="false">K8+K10+K24</f>
        <v>4649.13588174223</v>
      </c>
      <c r="L11" s="0" t="n">
        <f aca="false">L8+L10+L24</f>
        <v>4811.85563760321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-253.357665</v>
      </c>
      <c r="D12" s="4" t="n">
        <f aca="false">-D6*Assumptions!D45/100</f>
        <v>-273.6262782</v>
      </c>
      <c r="E12" s="4" t="n">
        <f aca="false">-E6*Assumptions!E45/100</f>
        <v>-292.780117674</v>
      </c>
      <c r="F12" s="4" t="n">
        <f aca="false">-F6*Assumptions!F45/100</f>
        <v>-313.27472591118</v>
      </c>
      <c r="G12" s="4" t="n">
        <f aca="false">-G6*Assumptions!G45/100</f>
        <v>-333.637583095407</v>
      </c>
      <c r="H12" s="4" t="n">
        <f aca="false">-H6*Assumptions!H45/100</f>
        <v>-353.655838081131</v>
      </c>
      <c r="I12" s="4" t="n">
        <f aca="false">-I6*Assumptions!I45/100</f>
        <v>-371.338629985188</v>
      </c>
      <c r="J12" s="4" t="n">
        <f aca="false">-J6*Assumptions!J45/100</f>
        <v>-388.048868334521</v>
      </c>
      <c r="K12" s="4" t="n">
        <f aca="false">-K6*Assumptions!K45/100</f>
        <v>-403.570823067902</v>
      </c>
      <c r="L12" s="4" t="n">
        <f aca="false">-L6*Assumptions!L45/100</f>
        <v>-417.695801875279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2167.0525613</v>
      </c>
      <c r="D13" s="0" t="n">
        <f aca="false">D11+D12</f>
        <v>2568.438664704</v>
      </c>
      <c r="E13" s="0" t="n">
        <f aca="false">E11+E12</f>
        <v>2914.13810458188</v>
      </c>
      <c r="F13" s="0" t="n">
        <f aca="false">F11+F12</f>
        <v>3212.11018967597</v>
      </c>
      <c r="G13" s="0" t="n">
        <f aca="false">G11+G12</f>
        <v>3465.38236308429</v>
      </c>
      <c r="H13" s="0" t="n">
        <f aca="false">H11+H12</f>
        <v>3720.4594166135</v>
      </c>
      <c r="I13" s="0" t="n">
        <f aca="false">I11+I12</f>
        <v>3906.48238744417</v>
      </c>
      <c r="J13" s="0" t="n">
        <f aca="false">J11+J12</f>
        <v>4082.27409487916</v>
      </c>
      <c r="K13" s="0" t="n">
        <f aca="false">K11+K12</f>
        <v>4245.56505867433</v>
      </c>
      <c r="L13" s="0" t="n">
        <f aca="false">L11+L12</f>
        <v>4394.15983572793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1625.289420975</v>
      </c>
      <c r="D15" s="0" t="n">
        <f aca="false">D13-MAX(0,D13)*D14/100</f>
        <v>1926.328998528</v>
      </c>
      <c r="E15" s="0" t="n">
        <f aca="false">E13-MAX(0,E13)*E14/100</f>
        <v>2185.60357843641</v>
      </c>
      <c r="F15" s="0" t="n">
        <f aca="false">F13-MAX(0,F13)*F14/100</f>
        <v>2409.08264225697</v>
      </c>
      <c r="G15" s="0" t="n">
        <f aca="false">G13-MAX(0,G13)*G14/100</f>
        <v>2599.03677231322</v>
      </c>
      <c r="H15" s="0" t="n">
        <f aca="false">H13-MAX(0,H13)*H14/100</f>
        <v>2790.34456246013</v>
      </c>
      <c r="I15" s="0" t="n">
        <f aca="false">I13-MAX(0,I13)*I14/100</f>
        <v>2929.86179058313</v>
      </c>
      <c r="J15" s="0" t="n">
        <f aca="false">J13-MAX(0,J13)*J14/100</f>
        <v>3061.70557115937</v>
      </c>
      <c r="K15" s="0" t="n">
        <f aca="false">K13-MAX(0,K13)*K14/100</f>
        <v>3184.17379400575</v>
      </c>
      <c r="L15" s="0" t="n">
        <f aca="false">L13-MAX(0,L13)*L14/100</f>
        <v>3295.61987679595</v>
      </c>
    </row>
    <row r="16" customFormat="false" ht="15" hidden="false" customHeight="false" outlineLevel="0" collapsed="false">
      <c r="A16" s="0" t="s">
        <v>121</v>
      </c>
      <c r="C16" s="0" t="n">
        <f aca="false">-C12</f>
        <v>253.357665</v>
      </c>
      <c r="D16" s="0" t="n">
        <f aca="false">-D12</f>
        <v>273.6262782</v>
      </c>
      <c r="E16" s="0" t="n">
        <f aca="false">-E12</f>
        <v>292.780117674</v>
      </c>
      <c r="F16" s="0" t="n">
        <f aca="false">-F12</f>
        <v>313.27472591118</v>
      </c>
      <c r="G16" s="0" t="n">
        <f aca="false">-G12</f>
        <v>333.637583095407</v>
      </c>
      <c r="H16" s="0" t="n">
        <f aca="false">-H12</f>
        <v>353.655838081131</v>
      </c>
      <c r="I16" s="0" t="n">
        <f aca="false">-I12</f>
        <v>371.338629985188</v>
      </c>
      <c r="J16" s="0" t="n">
        <f aca="false">-J12</f>
        <v>388.048868334521</v>
      </c>
      <c r="K16" s="0" t="n">
        <f aca="false">-K12</f>
        <v>403.570823067902</v>
      </c>
      <c r="L16" s="0" t="n">
        <f aca="false">-L12</f>
        <v>417.695801875279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-194.2408765</v>
      </c>
      <c r="D17" s="4" t="n">
        <f aca="false">-D6*Assumptions!D46/100</f>
        <v>-209.78014662</v>
      </c>
      <c r="E17" s="4" t="n">
        <f aca="false">-E6*Assumptions!E46/100</f>
        <v>-224.4647568834</v>
      </c>
      <c r="F17" s="4" t="n">
        <f aca="false">-F6*Assumptions!F46/100</f>
        <v>-240.177289865238</v>
      </c>
      <c r="G17" s="4" t="n">
        <f aca="false">-G6*Assumptions!G46/100</f>
        <v>-255.788813706478</v>
      </c>
      <c r="H17" s="4" t="n">
        <f aca="false">-H6*Assumptions!H46/100</f>
        <v>-271.136142528867</v>
      </c>
      <c r="I17" s="4" t="n">
        <f aca="false">-I6*Assumptions!I46/100</f>
        <v>-284.692949655311</v>
      </c>
      <c r="J17" s="4" t="n">
        <f aca="false">-J6*Assumptions!J46/100</f>
        <v>-297.5041323898</v>
      </c>
      <c r="K17" s="4" t="n">
        <f aca="false">-K6*Assumptions!K46/100</f>
        <v>-309.404297685392</v>
      </c>
      <c r="L17" s="4" t="n">
        <f aca="false">-L6*Assumptions!L46/100</f>
        <v>-320.23344810438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-146.57055</v>
      </c>
      <c r="D18" s="4" t="n">
        <f aca="false">(D6-C6)*Assumptions!$B$51/100</f>
        <v>-67.5620440000001</v>
      </c>
      <c r="E18" s="4" t="n">
        <f aca="false">(E6-D6)*Assumptions!$B$51/100</f>
        <v>-63.8461315800001</v>
      </c>
      <c r="F18" s="4" t="n">
        <f aca="false">(F6-E6)*Assumptions!$B$51/100</f>
        <v>-68.3153607906001</v>
      </c>
      <c r="G18" s="4" t="n">
        <f aca="false">(G6-F6)*Assumptions!$B$51/100</f>
        <v>-67.876190614089</v>
      </c>
      <c r="H18" s="4" t="n">
        <f aca="false">(H6-G6)*Assumptions!$B$51/100</f>
        <v>-66.7275166190813</v>
      </c>
      <c r="I18" s="4" t="n">
        <f aca="false">(I6-H6)*Assumptions!$B$51/100</f>
        <v>-58.9426396801886</v>
      </c>
      <c r="J18" s="4" t="n">
        <f aca="false">(J6-I6)*Assumptions!$B$51/100</f>
        <v>-55.700794497778</v>
      </c>
      <c r="K18" s="4" t="n">
        <f aca="false">(K6-J6)*Assumptions!$B$51/100</f>
        <v>-51.7398491112695</v>
      </c>
      <c r="L18" s="4" t="n">
        <f aca="false">(L6-K6)*Assumptions!$B$51/100</f>
        <v>-47.0832626912552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1537.835659475</v>
      </c>
      <c r="D19" s="0" t="n">
        <f aca="false">D15+D16+D17+D18</f>
        <v>1922.613086108</v>
      </c>
      <c r="E19" s="0" t="n">
        <f aca="false">E15+E16+E17+E18</f>
        <v>2190.07280764701</v>
      </c>
      <c r="F19" s="0" t="n">
        <f aca="false">F15+F16+F17+F18</f>
        <v>2413.86471751232</v>
      </c>
      <c r="G19" s="0" t="n">
        <f aca="false">G15+G16+G17+G18</f>
        <v>2609.00935108806</v>
      </c>
      <c r="H19" s="0" t="n">
        <f aca="false">H15+H16+H17+H18</f>
        <v>2806.13674139331</v>
      </c>
      <c r="I19" s="0" t="n">
        <f aca="false">I15+I16+I17+I18</f>
        <v>2957.56483123282</v>
      </c>
      <c r="J19" s="0" t="n">
        <f aca="false">J15+J16+J17+J18</f>
        <v>3096.54951260631</v>
      </c>
      <c r="K19" s="0" t="n">
        <f aca="false">K15+K16+K17+K18</f>
        <v>3226.60047027699</v>
      </c>
      <c r="L19" s="0" t="n">
        <f aca="false">L15+L16+L17+L18</f>
        <v>3345.99896787559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0.928074245939675</v>
      </c>
      <c r="D20" s="0" t="n">
        <f aca="false">1/(1+$B$27/100)^D4</f>
        <v>0.861321805976497</v>
      </c>
      <c r="E20" s="0" t="n">
        <f aca="false">1/(1+$B$27/100)^E4</f>
        <v>0.799370585593037</v>
      </c>
      <c r="F20" s="0" t="n">
        <f aca="false">1/(1+$B$27/100)^F4</f>
        <v>0.741875253450614</v>
      </c>
      <c r="G20" s="0" t="n">
        <f aca="false">1/(1+$B$27/100)^G4</f>
        <v>0.688515316427484</v>
      </c>
      <c r="H20" s="0" t="n">
        <f aca="false">1/(1+$B$27/100)^H4</f>
        <v>0.638993333111354</v>
      </c>
      <c r="I20" s="0" t="n">
        <f aca="false">1/(1+$B$27/100)^I4</f>
        <v>0.5930332557878</v>
      </c>
      <c r="J20" s="0" t="n">
        <f aca="false">1/(1+$B$27/100)^J4</f>
        <v>0.550378891682413</v>
      </c>
      <c r="K20" s="0" t="n">
        <f aca="false">1/(1+$B$27/100)^K4</f>
        <v>0.51079247487927</v>
      </c>
      <c r="L20" s="0" t="n">
        <f aca="false">1/(1+$B$27/100)^L4</f>
        <v>0.474053340955239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1427.2256700464</v>
      </c>
      <c r="D21" s="0" t="n">
        <f aca="false">D19*D20</f>
        <v>1655.98857552059</v>
      </c>
      <c r="E21" s="0" t="n">
        <f aca="false">E19*E20</f>
        <v>1750.67978274018</v>
      </c>
      <c r="F21" s="0" t="n">
        <f aca="false">F19*F20</f>
        <v>1790.78649909994</v>
      </c>
      <c r="G21" s="0" t="n">
        <f aca="false">G19*G20</f>
        <v>1796.34289892666</v>
      </c>
      <c r="H21" s="0" t="n">
        <f aca="false">H19*H20</f>
        <v>1793.10266954914</v>
      </c>
      <c r="I21" s="0" t="n">
        <f aca="false">I19*I20</f>
        <v>1753.93430106949</v>
      </c>
      <c r="J21" s="0" t="n">
        <f aca="false">J19*J20</f>
        <v>1704.27548878798</v>
      </c>
      <c r="K21" s="0" t="n">
        <f aca="false">K19*K20</f>
        <v>1648.1232396594</v>
      </c>
      <c r="L21" s="0" t="n">
        <f aca="false">L19*L20</f>
        <v>1586.1819895542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2.65</v>
      </c>
      <c r="D23" s="4" t="n">
        <f aca="false">Assumptions!D44</f>
        <v>2.6</v>
      </c>
      <c r="E23" s="4" t="n">
        <f aca="false">Assumptions!E44</f>
        <v>2.55</v>
      </c>
      <c r="F23" s="4" t="n">
        <f aca="false">Assumptions!F44</f>
        <v>2.5</v>
      </c>
      <c r="G23" s="4" t="n">
        <f aca="false">Assumptions!G44</f>
        <v>2.5</v>
      </c>
      <c r="H23" s="4" t="n">
        <f aca="false">Assumptions!H44</f>
        <v>2.5</v>
      </c>
      <c r="I23" s="4" t="n">
        <f aca="false">Assumptions!I44</f>
        <v>2.5</v>
      </c>
      <c r="J23" s="4" t="n">
        <f aca="false">Assumptions!J44</f>
        <v>2.5</v>
      </c>
      <c r="K23" s="4" t="n">
        <f aca="false">Assumptions!K44</f>
        <v>2.5</v>
      </c>
      <c r="L23" s="4" t="n">
        <f aca="false">Assumptions!L44</f>
        <v>2.5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-447.5985415</v>
      </c>
      <c r="D24" s="0" t="n">
        <f aca="false">-D6*D23/100</f>
        <v>-474.28554888</v>
      </c>
      <c r="E24" s="0" t="n">
        <f aca="false">-E6*E23/100</f>
        <v>-497.7262000458</v>
      </c>
      <c r="F24" s="0" t="n">
        <f aca="false">-F6*F23/100</f>
        <v>-522.1245431853</v>
      </c>
      <c r="G24" s="0" t="n">
        <f aca="false">-G6*G23/100</f>
        <v>-556.062638492345</v>
      </c>
      <c r="H24" s="0" t="n">
        <f aca="false">-H6*H23/100</f>
        <v>-589.426396801885</v>
      </c>
      <c r="I24" s="0" t="n">
        <f aca="false">-I6*I23/100</f>
        <v>-618.89771664198</v>
      </c>
      <c r="J24" s="0" t="n">
        <f aca="false">-J6*J23/100</f>
        <v>-646.748113890869</v>
      </c>
      <c r="K24" s="0" t="n">
        <f aca="false">-K6*K23/100</f>
        <v>-672.618038446503</v>
      </c>
      <c r="L24" s="0" t="n">
        <f aca="false">-L6*L23/100</f>
        <v>-696.159669792131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7.75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16906.641114954</v>
      </c>
    </row>
    <row r="31" customFormat="false" ht="15" hidden="false" customHeight="false" outlineLevel="0" collapsed="false">
      <c r="A31" s="0" t="s">
        <v>130</v>
      </c>
      <c r="B31" s="0" t="n">
        <f aca="false">L19</f>
        <v>3345.99896787559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72555.3460402497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66919.9793575118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66919.9793575118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31723.6397910841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48630.2809060381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41737.3809060381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309.074206946372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0.888860275905225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29.745399817933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57.2492331490279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309.71842075685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28719.8244742655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90.3145785906707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93.1933248956728</v>
      </c>
      <c r="C4" s="0" t="n">
        <f aca="false">B4/Assumptions!$B$2-1</f>
        <v>-0.430463088090981</v>
      </c>
      <c r="D4" s="4" t="n">
        <f aca="false">Assumptions!$B$24</f>
        <v>0.25</v>
      </c>
      <c r="E4" s="4" t="n">
        <f aca="false">DCF_Bear!$B$43</f>
        <v>93.5807348650268</v>
      </c>
      <c r="F4" s="4" t="n">
        <f aca="false">DCF_Bear!$B$47</f>
        <v>24.7469495600161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222.900537466347</v>
      </c>
      <c r="C5" s="0" t="n">
        <f aca="false">B5/Assumptions!$B$2-1</f>
        <v>0.362222926519262</v>
      </c>
      <c r="D5" s="4" t="n">
        <f aca="false">Assumptions!$B$38</f>
        <v>0.5</v>
      </c>
      <c r="E5" s="4" t="n">
        <f aca="false">DCF_Base!$B$43</f>
        <v>223.428832152098</v>
      </c>
      <c r="F5" s="4" t="n">
        <f aca="false">DCF_Base!$B$47</f>
        <v>65.6953522454979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309.074206946372</v>
      </c>
      <c r="C6" s="0" t="n">
        <f aca="false">B6/Assumptions!$B$2-1</f>
        <v>0.888860275905225</v>
      </c>
      <c r="D6" s="4" t="n">
        <f aca="false">Assumptions!$B$52</f>
        <v>0.25</v>
      </c>
      <c r="E6" s="4" t="n">
        <f aca="false">DCF_Bull!$B$43</f>
        <v>309.71842075685</v>
      </c>
      <c r="F6" s="4" t="n">
        <f aca="false">DCF_Bull!$B$47</f>
        <v>90.3145785906707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212.017151693685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212.539204981518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0.228222817385986</v>
      </c>
    </row>
    <row r="11" customFormat="false" ht="15" hidden="false" customHeight="false" outlineLevel="0" collapsed="false">
      <c r="A11" s="0" t="s">
        <v>157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61.6130581604206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222.900537466347</v>
      </c>
      <c r="C15" s="3" t="n">
        <v>7.75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180.021100607981</v>
      </c>
      <c r="C16" s="3" t="n">
        <v>9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148.167629915064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123.845734229888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104.675148149529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65.6953522454979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5.75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268.670515816087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268.670515816087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268.670515816087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268.670515816087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268.670515816087</v>
      </c>
    </row>
    <row r="25" customFormat="false" ht="15" hidden="false" customHeight="false" outlineLevel="0" collapsed="false">
      <c r="A25" s="3" t="n">
        <v>6.75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244.691296500082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244.691296500082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244.691296500082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244.691296500082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244.691296500082</v>
      </c>
    </row>
    <row r="26" customFormat="false" ht="15" hidden="false" customHeight="false" outlineLevel="0" collapsed="false">
      <c r="A26" s="3" t="n">
        <v>7.75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206.625684653869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220.488256911138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222.900537466347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222.900537466347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222.900537466347</v>
      </c>
    </row>
    <row r="27" customFormat="false" ht="15" hidden="false" customHeight="false" outlineLevel="0" collapsed="false">
      <c r="A27" s="3" t="n">
        <v>8.75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169.350629015361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178.7185242324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189.585282684164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202.341912171018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203.075051796699</v>
      </c>
    </row>
    <row r="28" customFormat="false" ht="15" hidden="false" customHeight="false" outlineLevel="0" collapsed="false">
      <c r="A28" s="3" t="n">
        <v>9.75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141.186006655377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147.789150879548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155.303073617399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163.93017009419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173.937602007267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2026-10-10T11:22:34Z</dcterms:created>
  <dc:creator>openpyxl</dc:creator>
  <dc:description/>
  <dc:language>en-NZ</dc:language>
  <cp:lastModifiedBy/>
  <dcterms:modified xsi:type="dcterms:W3CDTF">2026-10-10T11:22:34Z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