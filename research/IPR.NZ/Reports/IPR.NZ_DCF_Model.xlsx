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enario Model" sheetId="1" r:id="rId1"/>
    <sheet name="Sensitivity" sheetId="2" r:id="rId2"/>
    <sheet name="FCF Quality" sheetId="3" r:id="rId3"/>
    <sheet name="Historical" sheetId="4" r:id="rId4"/>
    <sheet name="Model_Info" sheetId="5" r:id="rId5"/>
  </sheets>
  <calcPr calcId="124519" fullCalcOnLoad="1"/>
</workbook>
</file>

<file path=xl/sharedStrings.xml><?xml version="1.0" encoding="utf-8"?>
<sst xmlns="http://schemas.openxmlformats.org/spreadsheetml/2006/main" count="108" uniqueCount="100">
  <si>
    <t>IPR.NZ (Iperion Limited) - Asset / Scenario Valuation</t>
  </si>
  <si>
    <t>NOT a Gordon-growth FCF DCF - see Model_Info tab. Gray cells are INPUTS.</t>
  </si>
  <si>
    <t>Iperion has EARNED ZERO REVENUE in every year on record (FY2019-FY2026). All scenario values are probability-weighted net-asset / option-value constructions.</t>
  </si>
  <si>
    <t>KEY INPUTS</t>
  </si>
  <si>
    <t>Current Stock Price (STALE - last real trade 23-Oct-2025)</t>
  </si>
  <si>
    <t>Shares Outstanding</t>
  </si>
  <si>
    <t>FY2026 Shareholders Equity / Net Tangible Assets ($)</t>
  </si>
  <si>
    <t>FY2026 Cash ($)</t>
  </si>
  <si>
    <t>FY2026 Total Debt ($)</t>
  </si>
  <si>
    <t>Net Tangible Assets per Share</t>
  </si>
  <si>
    <t>BEAR CASE: Insolvency / Wind-up</t>
  </si>
  <si>
    <t>Narrative: related-party support withdrawn before any commercial breakthrough; even an orderly wind-up consumes remaining net assets in liquidation costs.</t>
  </si>
  <si>
    <t>Recoverable value to ordinary equity ($)</t>
  </si>
  <si>
    <t>Bear Intrinsic Value / Share</t>
  </si>
  <si>
    <t>BASE CASE: Persisting Shell + Listing Option Value</t>
  </si>
  <si>
    <t>Narrative: company persists as a going-concern shell on continued related-party support; no commercial sale occurs. Value = net tangible assets + NZX listing scarcity value (NOT the post-RTO entity value).</t>
  </si>
  <si>
    <t>FY2026 Net Tangible Assets ($)</t>
  </si>
  <si>
    <t>NZX Listing Scarcity Value ($) [ADJUSTABLE]</t>
  </si>
  <si>
    <t>Base Case Equity Value ($)</t>
  </si>
  <si>
    <t>Base Intrinsic Value / Share</t>
  </si>
  <si>
    <t>BULL CASE: Pathoglaze Commercialises (Diluted)</t>
  </si>
  <si>
    <t>Narrative: first signed commercial contract; bottom-up revenue ramp to Year 5, valued on an exit revenue multiple, discounted at 30% WACC, net of a modelled dilutive capital raise.</t>
  </si>
  <si>
    <t>Year 5 Revenue ($) [ADJUSTABLE]</t>
  </si>
  <si>
    <t>Exit Revenue Multiple [ADJUSTABLE]</t>
  </si>
  <si>
    <t>Year 5 Exit Enterprise Value ($)</t>
  </si>
  <si>
    <t>Bull WACC (discount rate) [ADJUSTABLE]</t>
  </si>
  <si>
    <t>Years to Exit</t>
  </si>
  <si>
    <t>PV of Exit Enterprise Value ($)</t>
  </si>
  <si>
    <t>Dilutive Capital Raise ($) [ADJUSTABLE]</t>
  </si>
  <si>
    <t>Assumed Raise Price ($/share) [ADJUSTABLE]</t>
  </si>
  <si>
    <t>New Shares Issued</t>
  </si>
  <si>
    <t>Total Shares Post-Raise</t>
  </si>
  <si>
    <t>Bull Intrinsic Value / Share</t>
  </si>
  <si>
    <t>PROBABILITY-WEIGHTED VALUATION</t>
  </si>
  <si>
    <t>Weight</t>
  </si>
  <si>
    <t>IV/Share</t>
  </si>
  <si>
    <t>Contribution</t>
  </si>
  <si>
    <t>Bear</t>
  </si>
  <si>
    <t>Base</t>
  </si>
  <si>
    <t>Bull</t>
  </si>
  <si>
    <t>Weight Check (should = 100%)</t>
  </si>
  <si>
    <t>WEIGHTED INTRINSIC VALUE / SHARE</t>
  </si>
  <si>
    <t>Upside/(Downside) vs Current Price</t>
  </si>
  <si>
    <t>ENTRY PRICE (15% IRR hurdle, adapted for non-cash-flowing shell)</t>
  </si>
  <si>
    <t>No interim distributions exist (no dividends/buybacks ever paid). Entry price = weighted IV discounted back 5 years at 15%, i.e. the price today that compounds to the weighted fair value at a 15%/yr return with zero interim cash flow.</t>
  </si>
  <si>
    <t>Hurdle Rate</t>
  </si>
  <si>
    <t>Entry Price (15% IRR)</t>
  </si>
  <si>
    <t>Discount to Current Price</t>
  </si>
  <si>
    <t>Sensitivity Analysis</t>
  </si>
  <si>
    <t>Weighted Intrinsic Value by Bear-Weight &amp; Listing Scarcity Value</t>
  </si>
  <si>
    <t>Bear Wt \ Listing $</t>
  </si>
  <si>
    <t>Row = probability weight on BEAR scenario (residual split 80% base / 20% bull)</t>
  </si>
  <si>
    <t>Column = NZX listing scarcity value assumption ($)</t>
  </si>
  <si>
    <t>Every cell should be far below the current stale $0.003 quote.</t>
  </si>
  <si>
    <t>Cash Burn Quality (no FCF exists - company is pre-revenue)</t>
  </si>
  <si>
    <t>Period</t>
  </si>
  <si>
    <t>FY2019</t>
  </si>
  <si>
    <t>FY2020</t>
  </si>
  <si>
    <t>FY2024</t>
  </si>
  <si>
    <t>FY2025</t>
  </si>
  <si>
    <t>FY2026</t>
  </si>
  <si>
    <t>Revenue ($)</t>
  </si>
  <si>
    <t>Net Loss ($)</t>
  </si>
  <si>
    <t>Operating/Free Cash Flow ($)</t>
  </si>
  <si>
    <t>Shareholders Equity ($)</t>
  </si>
  <si>
    <t>Memo: SBC</t>
  </si>
  <si>
    <t>NIL in every year - confirmed via Metrics.csv StockBasedComp column (always 0.0)</t>
  </si>
  <si>
    <t>Memo: Cash Tax Rate</t>
  </si>
  <si>
    <t>Not applicable - company has never had taxable income</t>
  </si>
  <si>
    <t>Memo: FY2026 improvement driver</t>
  </si>
  <si>
    <t>Net loss narrowed FY2025-&gt;FY2026 (-455,683 to -294,595) almost entirely because Three Summit Ventures waived its $400,000/yr fixed outsourcing fee - NOT an operating improvement</t>
  </si>
  <si>
    <t>Historical Growth &amp; P/B Anchor</t>
  </si>
  <si>
    <t>No conventional FCF/EPS/Revenue CAGR applies (see Scenario Model tab). Historical Price/Book is the only meaningful multiple anchor.</t>
  </si>
  <si>
    <t>FY End</t>
  </si>
  <si>
    <t>Book Value/Share</t>
  </si>
  <si>
    <t>Approx. Price</t>
  </si>
  <si>
    <t>P/B</t>
  </si>
  <si>
    <t>Current (stale)</t>
  </si>
  <si>
    <t>Current 28.7x P/B is the historical OUTLIER (range 0.21x-4.3x in prior years) - mechanical artifact of a frozen/untraded price against a collapsing book value, not a re-rating.</t>
  </si>
  <si>
    <t>Model Provenance &amp; Info</t>
  </si>
  <si>
    <t>Built by</t>
  </si>
  <si>
    <t>Claude (dcf-analyst agent), per .claude/agents/dcf-analyst.md, deviating on METHOD per explicit user instruction</t>
  </si>
  <si>
    <t>Valuation date</t>
  </si>
  <si>
    <t>2026-08-12</t>
  </si>
  <si>
    <t>Share price date/source</t>
  </si>
  <si>
    <t>Yahoo Finance chart API regularMarketPrice, but STALE - last genuine trade 2025-10-23 (regularMarketTime); unchanged $0.003 print in every month Dec-2023 through Aug-2026</t>
  </si>
  <si>
    <t>Data vintage</t>
  </si>
  <si>
    <t>FY2026 Annual Report (year ended 31-Mar-2026, audited, signed 30-Jun-2026); H1 FY2026 interim (30-Sep-2025, unaudited); IPR.NZ_Analysis.json dated 2026-08-12</t>
  </si>
  <si>
    <t>Methodology</t>
  </si>
  <si>
    <t>ASSET/SCENARIO model, NOT a Gordon-growth FCF DCF. Iperion has zero revenue in every year on record and structurally negative FCF, so no growth rate exists to project and no terminal value can be meaningfully capitalised. Follows the AFC.NZ / BGI.NZ precedent in this repository: probability-weighted bear (wind-up, ~nil) / base (net tangible assets + NZX listing scarcity value) / bull (bottom-up Pathoglaze commercialisation, heavily diluted and discounted) scenarios.</t>
  </si>
  <si>
    <t>WACC / discount rate</t>
  </si>
  <si>
    <t>30% stacked cost of equity used ONLY for entry-price and bull-case 5yr exit discounting (see wacc_rationale in the DCF JSON for the 5-component build-up: NZ small-cap base 10% + illiquidity 6% + going-concern 6% + single-product/binary tech 5% + controlling-holder governance 3%). NOT used to discount a perpetuity FCF stream - none exists.</t>
  </si>
  <si>
    <t>Key judgment calls</t>
  </si>
  <si>
    <t>(1) Base-case NZX listing scarcity value set at $300,000 (range considered $200k-$400k), below the AFC.NZ precedent given smaller scale and no disclosed RTO counterparty. (2) Bull case revenue ramp to $1.5m by Year 5 and 1.5x exit revenue multiple are illustrative "what does success look like" constructions, not projections with claimed precision. (3) Bull case models an explicit $750,000 dilutive raise at $0.006/share (~19.5% dilution) as the near-certain cost of scaling from $155k cash. (4) Probability weights 65% bear / 28% base / 7% bull, justified in probability_weighted.weights_rationale in the JSON.</t>
  </si>
  <si>
    <t>What to refresh after next earnings/announcement</t>
  </si>
  <si>
    <t>Watch for: (a) any signed commercial agreement with the chocolate manufacturer (would require rebuilding bull case from an actual contract, not an illustrative ramp); (b) shareholder/NZX approval outcome on expanding the Elitesoft Asia facility to US$1,000,000 (materially changes dilution and solvency risk); (c) any lapse/renewal of the Chang Ku Ee support letter (expires ~mid-2027); (d) any resumption of genuine trading volume (would make current_price a meaningful anchor again); (e) FY2027 half-year and annual results for updated cash burn, equity and going-concern language.</t>
  </si>
  <si>
    <t>Cell colour conventions</t>
  </si>
  <si>
    <t>Gray cells = adjustable inputs. Green result cells = key computed outputs (bull/base intrinsic value, weighted IV, entry price). Red result cell = bear-case value (zero). White cells with borders = formula-driven intermediate calculations.</t>
  </si>
  <si>
    <t>Staleness warning</t>
  </si>
  <si>
    <t>ALL figures in this model will go stale and MUST be re-checked against the next IPR.NZ announcement or annual/half-year report before being relied upon. The current market price in particular is not a reliable, currently-tradeable data point (see current_price_note in the DCF JSON).</t>
  </si>
</sst>
</file>

<file path=xl/styles.xml><?xml version="1.0" encoding="utf-8"?>
<styleSheet xmlns="http://schemas.openxmlformats.org/spreadsheetml/2006/main">
  <numFmts count="7">
    <numFmt numFmtId="164" formatCode="&quot;$&quot;0.0000"/>
    <numFmt numFmtId="165" formatCode="#,##0"/>
    <numFmt numFmtId="166" formatCode="&quot;$&quot;#,##0.0000"/>
    <numFmt numFmtId="167" formatCode="0.0%"/>
    <numFmt numFmtId="168" formatCode="&quot;$&quot;#,##0"/>
    <numFmt numFmtId="169" formatCode="0%"/>
    <numFmt numFmtId="170" formatCode="0.00&quot;x&quot;"/>
  </numFmts>
  <fonts count="6">
    <font>
      <sz val="11"/>
      <color theme="1"/>
      <name val="Calibri"/>
      <family val="2"/>
      <scheme val="minor"/>
    </font>
    <font>
      <b/>
      <sz val="16"/>
      <color theme="1"/>
      <name val="Calibri"/>
      <family val="2"/>
      <scheme val="minor"/>
    </font>
    <font>
      <b/>
      <i/>
      <sz val="11"/>
      <color rgb="FFD63031"/>
      <name val="Calibri"/>
      <family val="2"/>
      <scheme val="minor"/>
    </font>
    <font>
      <b/>
      <sz val="12"/>
      <color theme="1"/>
      <name val="Calibri"/>
      <family val="2"/>
      <scheme val="minor"/>
    </font>
    <font>
      <b/>
      <sz val="11"/>
      <color rgb="FFFFFFFF"/>
      <name val="Calibri"/>
      <family val="2"/>
      <scheme val="minor"/>
    </font>
    <font>
      <b/>
      <sz val="11"/>
      <color theme="1"/>
      <name val="Calibri"/>
      <family val="2"/>
      <scheme val="minor"/>
    </font>
  </fonts>
  <fills count="7">
    <fill>
      <patternFill patternType="none"/>
    </fill>
    <fill>
      <patternFill patternType="gray125"/>
    </fill>
    <fill>
      <patternFill patternType="solid">
        <fgColor rgb="FFDFE6E9"/>
        <bgColor indexed="64"/>
      </patternFill>
    </fill>
    <fill>
      <patternFill patternType="solid">
        <fgColor rgb="FFD63031"/>
        <bgColor indexed="64"/>
      </patternFill>
    </fill>
    <fill>
      <patternFill patternType="solid">
        <fgColor rgb="FF00B894"/>
        <bgColor indexed="64"/>
      </patternFill>
    </fill>
    <fill>
      <patternFill patternType="solid">
        <fgColor rgb="FF2D3436"/>
        <bgColor indexed="64"/>
      </patternFill>
    </fill>
    <fill>
      <patternFill patternType="solid">
        <fgColor rgb="FFFDCB6E"/>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1" xfId="0" applyFont="1" applyBorder="1"/>
    <xf numFmtId="164" fontId="0" fillId="2" borderId="2" xfId="0" applyNumberFormat="1" applyFill="1" applyBorder="1"/>
    <xf numFmtId="165" fontId="0" fillId="2" borderId="2" xfId="0" applyNumberFormat="1" applyFill="1" applyBorder="1"/>
    <xf numFmtId="166" fontId="0" fillId="0" borderId="2" xfId="0" applyNumberFormat="1" applyBorder="1"/>
    <xf numFmtId="164" fontId="4" fillId="3" borderId="2" xfId="0" applyNumberFormat="1" applyFont="1" applyFill="1" applyBorder="1"/>
    <xf numFmtId="165" fontId="0" fillId="0" borderId="2" xfId="0" applyNumberFormat="1" applyBorder="1"/>
    <xf numFmtId="164" fontId="4" fillId="4" borderId="2" xfId="0" applyNumberFormat="1" applyFont="1" applyFill="1" applyBorder="1"/>
    <xf numFmtId="167" fontId="0" fillId="2" borderId="2" xfId="0" applyNumberFormat="1" applyFill="1" applyBorder="1"/>
    <xf numFmtId="0" fontId="4" fillId="5" borderId="2" xfId="0" applyFont="1" applyFill="1" applyBorder="1"/>
    <xf numFmtId="167" fontId="0" fillId="0" borderId="2" xfId="0" applyNumberFormat="1" applyBorder="1"/>
    <xf numFmtId="0" fontId="5" fillId="0" borderId="0" xfId="0" applyFont="1"/>
    <xf numFmtId="168" fontId="4" fillId="5" borderId="0" xfId="0" applyNumberFormat="1" applyFont="1" applyFill="1"/>
    <xf numFmtId="169" fontId="4" fillId="5" borderId="0" xfId="0" applyNumberFormat="1" applyFont="1" applyFill="1"/>
    <xf numFmtId="170" fontId="0" fillId="0" borderId="2" xfId="0" applyNumberFormat="1" applyBorder="1"/>
    <xf numFmtId="170" fontId="5" fillId="6" borderId="2" xfId="0" applyNumberFormat="1"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4"/>
  <sheetViews>
    <sheetView tabSelected="1" workbookViewId="0"/>
  </sheetViews>
  <sheetFormatPr defaultRowHeight="15"/>
  <cols>
    <col min="1" max="1" width="32.7109375" customWidth="1"/>
    <col min="2" max="6" width="16.7109375" customWidth="1"/>
  </cols>
  <sheetData>
    <row r="1" spans="1:6">
      <c r="A1" s="1" t="s">
        <v>0</v>
      </c>
    </row>
    <row r="2" spans="1:6">
      <c r="A2" s="2" t="s">
        <v>1</v>
      </c>
    </row>
    <row r="3" spans="1:6">
      <c r="A3" s="3" t="s">
        <v>2</v>
      </c>
    </row>
    <row r="5" spans="1:6">
      <c r="A5" s="4" t="s">
        <v>3</v>
      </c>
    </row>
    <row r="6" spans="1:6">
      <c r="A6" t="s">
        <v>4</v>
      </c>
      <c r="B6" s="5">
        <v>0.003</v>
      </c>
    </row>
    <row r="7" spans="1:6">
      <c r="A7" t="s">
        <v>5</v>
      </c>
      <c r="B7" s="6">
        <v>514894500</v>
      </c>
    </row>
    <row r="8" spans="1:6">
      <c r="A8" t="s">
        <v>6</v>
      </c>
      <c r="B8" s="6">
        <v>53803</v>
      </c>
    </row>
    <row r="9" spans="1:6">
      <c r="A9" t="s">
        <v>7</v>
      </c>
      <c r="B9" s="6">
        <v>155492</v>
      </c>
    </row>
    <row r="10" spans="1:6">
      <c r="A10" t="s">
        <v>8</v>
      </c>
      <c r="B10" s="6">
        <v>0</v>
      </c>
    </row>
    <row r="11" spans="1:6">
      <c r="A11" t="s">
        <v>9</v>
      </c>
      <c r="B11" s="7">
        <f>B8/B7</f>
        <v>0</v>
      </c>
    </row>
    <row r="13" spans="1:6">
      <c r="A13" s="4" t="s">
        <v>10</v>
      </c>
    </row>
    <row r="14" spans="1:6">
      <c r="A14" s="3" t="s">
        <v>11</v>
      </c>
      <c r="B14" s="3"/>
      <c r="C14" s="3"/>
      <c r="D14" s="3"/>
      <c r="E14" s="3"/>
      <c r="F14" s="3"/>
    </row>
    <row r="15" spans="1:6">
      <c r="A15" t="s">
        <v>12</v>
      </c>
      <c r="B15" s="6">
        <v>0</v>
      </c>
    </row>
    <row r="16" spans="1:6">
      <c r="A16" t="s">
        <v>13</v>
      </c>
      <c r="B16" s="8">
        <f>B15/B7</f>
        <v>0</v>
      </c>
    </row>
    <row r="18" spans="1:6">
      <c r="A18" s="4" t="s">
        <v>14</v>
      </c>
    </row>
    <row r="19" spans="1:6">
      <c r="A19" s="3" t="s">
        <v>15</v>
      </c>
      <c r="B19" s="3"/>
      <c r="C19" s="3"/>
      <c r="D19" s="3"/>
      <c r="E19" s="3"/>
      <c r="F19" s="3"/>
    </row>
    <row r="20" spans="1:6">
      <c r="A20" t="s">
        <v>16</v>
      </c>
      <c r="B20" s="9">
        <f>B8</f>
        <v>0</v>
      </c>
    </row>
    <row r="21" spans="1:6">
      <c r="A21" t="s">
        <v>17</v>
      </c>
      <c r="B21" s="6">
        <v>300000</v>
      </c>
    </row>
    <row r="22" spans="1:6">
      <c r="A22" t="s">
        <v>18</v>
      </c>
      <c r="B22" s="9">
        <f>B20+B21</f>
        <v>0</v>
      </c>
    </row>
    <row r="23" spans="1:6">
      <c r="A23" t="s">
        <v>19</v>
      </c>
      <c r="B23" s="10">
        <f>B22/B7</f>
        <v>0</v>
      </c>
    </row>
    <row r="25" spans="1:6">
      <c r="A25" s="4" t="s">
        <v>20</v>
      </c>
    </row>
    <row r="26" spans="1:6">
      <c r="A26" s="3" t="s">
        <v>21</v>
      </c>
      <c r="B26" s="3"/>
      <c r="C26" s="3"/>
      <c r="D26" s="3"/>
      <c r="E26" s="3"/>
      <c r="F26" s="3"/>
    </row>
    <row r="27" spans="1:6">
      <c r="A27" t="s">
        <v>22</v>
      </c>
      <c r="B27" s="6">
        <v>1500000</v>
      </c>
    </row>
    <row r="28" spans="1:6">
      <c r="A28" t="s">
        <v>23</v>
      </c>
      <c r="B28" s="6">
        <v>1.5</v>
      </c>
    </row>
    <row r="29" spans="1:6">
      <c r="A29" t="s">
        <v>24</v>
      </c>
      <c r="B29" s="9">
        <f>B27*B28</f>
        <v>0</v>
      </c>
    </row>
    <row r="30" spans="1:6">
      <c r="A30" t="s">
        <v>25</v>
      </c>
      <c r="B30" s="11">
        <v>0.3</v>
      </c>
    </row>
    <row r="31" spans="1:6">
      <c r="A31" t="s">
        <v>26</v>
      </c>
      <c r="B31" s="6">
        <v>5</v>
      </c>
    </row>
    <row r="32" spans="1:6">
      <c r="A32" t="s">
        <v>27</v>
      </c>
      <c r="B32" s="9">
        <f>B29/(1+B30)^B31</f>
        <v>0</v>
      </c>
    </row>
    <row r="33" spans="1:4">
      <c r="A33" t="s">
        <v>28</v>
      </c>
      <c r="B33" s="6">
        <v>750000</v>
      </c>
    </row>
    <row r="34" spans="1:4">
      <c r="A34" t="s">
        <v>29</v>
      </c>
      <c r="B34" s="5">
        <v>0.006</v>
      </c>
    </row>
    <row r="35" spans="1:4">
      <c r="A35" t="s">
        <v>30</v>
      </c>
      <c r="B35" s="9">
        <f>B33/B34</f>
        <v>0</v>
      </c>
    </row>
    <row r="36" spans="1:4">
      <c r="A36" t="s">
        <v>31</v>
      </c>
      <c r="B36" s="9">
        <f>B7+B35</f>
        <v>0</v>
      </c>
    </row>
    <row r="37" spans="1:4">
      <c r="A37" t="s">
        <v>32</v>
      </c>
      <c r="B37" s="10">
        <f>B32/B36</f>
        <v>0</v>
      </c>
    </row>
    <row r="39" spans="1:4">
      <c r="A39" s="4" t="s">
        <v>33</v>
      </c>
    </row>
    <row r="40" spans="1:4">
      <c r="B40" s="12" t="s">
        <v>34</v>
      </c>
      <c r="C40" s="12" t="s">
        <v>35</v>
      </c>
      <c r="D40" s="12" t="s">
        <v>36</v>
      </c>
    </row>
    <row r="41" spans="1:4">
      <c r="A41" t="s">
        <v>37</v>
      </c>
      <c r="B41" s="11">
        <v>0.65</v>
      </c>
      <c r="C41" s="7">
        <f>B16</f>
        <v>0</v>
      </c>
      <c r="D41" s="7">
        <f>B41*C41</f>
        <v>0</v>
      </c>
    </row>
    <row r="42" spans="1:4">
      <c r="A42" t="s">
        <v>38</v>
      </c>
      <c r="B42" s="11">
        <v>0.28</v>
      </c>
      <c r="C42" s="7">
        <f>B23</f>
        <v>0</v>
      </c>
      <c r="D42" s="7">
        <f>B42*C42</f>
        <v>0</v>
      </c>
    </row>
    <row r="43" spans="1:4">
      <c r="A43" t="s">
        <v>39</v>
      </c>
      <c r="B43" s="11">
        <v>0.07000000000000001</v>
      </c>
      <c r="C43" s="7">
        <f>B37</f>
        <v>0</v>
      </c>
      <c r="D43" s="7">
        <f>B43*C43</f>
        <v>0</v>
      </c>
    </row>
    <row r="44" spans="1:4">
      <c r="A44" t="s">
        <v>40</v>
      </c>
      <c r="B44" s="13">
        <f>SUM(B41:B43)</f>
        <v>0</v>
      </c>
    </row>
    <row r="45" spans="1:4">
      <c r="A45" s="14" t="s">
        <v>41</v>
      </c>
      <c r="B45" s="10">
        <f>SUM(D41:D43)</f>
        <v>0</v>
      </c>
    </row>
    <row r="47" spans="1:4">
      <c r="A47" t="s">
        <v>42</v>
      </c>
      <c r="B47" s="13">
        <f>(B45-B6)/B6</f>
        <v>0</v>
      </c>
    </row>
    <row r="49" spans="1:6">
      <c r="A49" s="4" t="s">
        <v>43</v>
      </c>
    </row>
    <row r="50" spans="1:6">
      <c r="A50" s="3" t="s">
        <v>44</v>
      </c>
      <c r="B50" s="3"/>
      <c r="C50" s="3"/>
      <c r="D50" s="3"/>
      <c r="E50" s="3"/>
      <c r="F50" s="3"/>
    </row>
    <row r="51" spans="1:6">
      <c r="A51" t="s">
        <v>45</v>
      </c>
      <c r="B51" s="11">
        <v>0.15</v>
      </c>
    </row>
    <row r="52" spans="1:6">
      <c r="A52" t="s">
        <v>26</v>
      </c>
      <c r="B52" s="6">
        <v>5</v>
      </c>
    </row>
    <row r="53" spans="1:6">
      <c r="A53" t="s">
        <v>46</v>
      </c>
      <c r="B53" s="10">
        <f>B45/(1+B51)^B52</f>
        <v>0</v>
      </c>
    </row>
    <row r="54" spans="1:6">
      <c r="A54" t="s">
        <v>47</v>
      </c>
      <c r="B54" s="13">
        <f>(B6-B53)/B6</f>
        <v>0</v>
      </c>
    </row>
  </sheetData>
  <mergeCells count="4">
    <mergeCell ref="A14:F14"/>
    <mergeCell ref="A19:F19"/>
    <mergeCell ref="A26:F26"/>
    <mergeCell ref="A50:F5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3"/>
  <sheetViews>
    <sheetView workbookViewId="0"/>
  </sheetViews>
  <sheetFormatPr defaultRowHeight="15"/>
  <cols>
    <col min="1" max="1" width="20.7109375" customWidth="1"/>
    <col min="2" max="6" width="14.7109375" customWidth="1"/>
  </cols>
  <sheetData>
    <row r="1" spans="1:6">
      <c r="A1" s="1" t="s">
        <v>48</v>
      </c>
    </row>
    <row r="2" spans="1:6">
      <c r="A2" t="s">
        <v>49</v>
      </c>
    </row>
    <row r="4" spans="1:6">
      <c r="A4" s="12" t="s">
        <v>50</v>
      </c>
      <c r="B4" s="15">
        <v>0</v>
      </c>
      <c r="C4" s="15">
        <v>150000</v>
      </c>
      <c r="D4" s="15">
        <v>300000</v>
      </c>
      <c r="E4" s="15">
        <v>450000</v>
      </c>
      <c r="F4" s="15">
        <v>600000</v>
      </c>
    </row>
    <row r="5" spans="1:6">
      <c r="A5" s="16">
        <v>0.5</v>
      </c>
      <c r="B5" s="7">
        <f>'Scenario Model'!$B$15*0.5+(('Scenario Model'!$B$8+0)/'Scenario Model'!$B$7)*((1-0.5)*0.8)+'Scenario Model'!$B$37*((1-0.5)*0.2)</f>
        <v>0</v>
      </c>
      <c r="C5" s="7">
        <f>'Scenario Model'!$B$15*0.5+(('Scenario Model'!$B$8+150000)/'Scenario Model'!$B$7)*((1-0.5)*0.8)+'Scenario Model'!$B$37*((1-0.5)*0.2)</f>
        <v>0</v>
      </c>
      <c r="D5" s="7">
        <f>'Scenario Model'!$B$15*0.5+(('Scenario Model'!$B$8+300000)/'Scenario Model'!$B$7)*((1-0.5)*0.8)+'Scenario Model'!$B$37*((1-0.5)*0.2)</f>
        <v>0</v>
      </c>
      <c r="E5" s="7">
        <f>'Scenario Model'!$B$15*0.5+(('Scenario Model'!$B$8+450000)/'Scenario Model'!$B$7)*((1-0.5)*0.8)+'Scenario Model'!$B$37*((1-0.5)*0.2)</f>
        <v>0</v>
      </c>
      <c r="F5" s="7">
        <f>'Scenario Model'!$B$15*0.5+(('Scenario Model'!$B$8+600000)/'Scenario Model'!$B$7)*((1-0.5)*0.8)+'Scenario Model'!$B$37*((1-0.5)*0.2)</f>
        <v>0</v>
      </c>
    </row>
    <row r="6" spans="1:6">
      <c r="A6" s="16">
        <v>0.6</v>
      </c>
      <c r="B6" s="7">
        <f>'Scenario Model'!$B$15*0.6+(('Scenario Model'!$B$8+0)/'Scenario Model'!$B$7)*((1-0.6)*0.8)+'Scenario Model'!$B$37*((1-0.6)*0.2)</f>
        <v>0</v>
      </c>
      <c r="C6" s="7">
        <f>'Scenario Model'!$B$15*0.6+(('Scenario Model'!$B$8+150000)/'Scenario Model'!$B$7)*((1-0.6)*0.8)+'Scenario Model'!$B$37*((1-0.6)*0.2)</f>
        <v>0</v>
      </c>
      <c r="D6" s="7">
        <f>'Scenario Model'!$B$15*0.6+(('Scenario Model'!$B$8+300000)/'Scenario Model'!$B$7)*((1-0.6)*0.8)+'Scenario Model'!$B$37*((1-0.6)*0.2)</f>
        <v>0</v>
      </c>
      <c r="E6" s="7">
        <f>'Scenario Model'!$B$15*0.6+(('Scenario Model'!$B$8+450000)/'Scenario Model'!$B$7)*((1-0.6)*0.8)+'Scenario Model'!$B$37*((1-0.6)*0.2)</f>
        <v>0</v>
      </c>
      <c r="F6" s="7">
        <f>'Scenario Model'!$B$15*0.6+(('Scenario Model'!$B$8+600000)/'Scenario Model'!$B$7)*((1-0.6)*0.8)+'Scenario Model'!$B$37*((1-0.6)*0.2)</f>
        <v>0</v>
      </c>
    </row>
    <row r="7" spans="1:6">
      <c r="A7" s="16">
        <v>0.65</v>
      </c>
      <c r="B7" s="7">
        <f>'Scenario Model'!$B$15*0.65+(('Scenario Model'!$B$8+0)/'Scenario Model'!$B$7)*((1-0.65)*0.8)+'Scenario Model'!$B$37*((1-0.65)*0.2)</f>
        <v>0</v>
      </c>
      <c r="C7" s="7">
        <f>'Scenario Model'!$B$15*0.65+(('Scenario Model'!$B$8+150000)/'Scenario Model'!$B$7)*((1-0.65)*0.8)+'Scenario Model'!$B$37*((1-0.65)*0.2)</f>
        <v>0</v>
      </c>
      <c r="D7" s="7">
        <f>'Scenario Model'!$B$15*0.65+(('Scenario Model'!$B$8+300000)/'Scenario Model'!$B$7)*((1-0.65)*0.8)+'Scenario Model'!$B$37*((1-0.65)*0.2)</f>
        <v>0</v>
      </c>
      <c r="E7" s="7">
        <f>'Scenario Model'!$B$15*0.65+(('Scenario Model'!$B$8+450000)/'Scenario Model'!$B$7)*((1-0.65)*0.8)+'Scenario Model'!$B$37*((1-0.65)*0.2)</f>
        <v>0</v>
      </c>
      <c r="F7" s="7">
        <f>'Scenario Model'!$B$15*0.65+(('Scenario Model'!$B$8+600000)/'Scenario Model'!$B$7)*((1-0.65)*0.8)+'Scenario Model'!$B$37*((1-0.65)*0.2)</f>
        <v>0</v>
      </c>
    </row>
    <row r="8" spans="1:6">
      <c r="A8" s="16">
        <v>0.7</v>
      </c>
      <c r="B8" s="7">
        <f>'Scenario Model'!$B$15*0.7+(('Scenario Model'!$B$8+0)/'Scenario Model'!$B$7)*((1-0.7)*0.8)+'Scenario Model'!$B$37*((1-0.7)*0.2)</f>
        <v>0</v>
      </c>
      <c r="C8" s="7">
        <f>'Scenario Model'!$B$15*0.7+(('Scenario Model'!$B$8+150000)/'Scenario Model'!$B$7)*((1-0.7)*0.8)+'Scenario Model'!$B$37*((1-0.7)*0.2)</f>
        <v>0</v>
      </c>
      <c r="D8" s="7">
        <f>'Scenario Model'!$B$15*0.7+(('Scenario Model'!$B$8+300000)/'Scenario Model'!$B$7)*((1-0.7)*0.8)+'Scenario Model'!$B$37*((1-0.7)*0.2)</f>
        <v>0</v>
      </c>
      <c r="E8" s="7">
        <f>'Scenario Model'!$B$15*0.7+(('Scenario Model'!$B$8+450000)/'Scenario Model'!$B$7)*((1-0.7)*0.8)+'Scenario Model'!$B$37*((1-0.7)*0.2)</f>
        <v>0</v>
      </c>
      <c r="F8" s="7">
        <f>'Scenario Model'!$B$15*0.7+(('Scenario Model'!$B$8+600000)/'Scenario Model'!$B$7)*((1-0.7)*0.8)+'Scenario Model'!$B$37*((1-0.7)*0.2)</f>
        <v>0</v>
      </c>
    </row>
    <row r="9" spans="1:6">
      <c r="A9" s="16">
        <v>0.8</v>
      </c>
      <c r="B9" s="7">
        <f>'Scenario Model'!$B$15*0.8+(('Scenario Model'!$B$8+0)/'Scenario Model'!$B$7)*((1-0.8)*0.8)+'Scenario Model'!$B$37*((1-0.8)*0.2)</f>
        <v>0</v>
      </c>
      <c r="C9" s="7">
        <f>'Scenario Model'!$B$15*0.8+(('Scenario Model'!$B$8+150000)/'Scenario Model'!$B$7)*((1-0.8)*0.8)+'Scenario Model'!$B$37*((1-0.8)*0.2)</f>
        <v>0</v>
      </c>
      <c r="D9" s="7">
        <f>'Scenario Model'!$B$15*0.8+(('Scenario Model'!$B$8+300000)/'Scenario Model'!$B$7)*((1-0.8)*0.8)+'Scenario Model'!$B$37*((1-0.8)*0.2)</f>
        <v>0</v>
      </c>
      <c r="E9" s="7">
        <f>'Scenario Model'!$B$15*0.8+(('Scenario Model'!$B$8+450000)/'Scenario Model'!$B$7)*((1-0.8)*0.8)+'Scenario Model'!$B$37*((1-0.8)*0.2)</f>
        <v>0</v>
      </c>
      <c r="F9" s="7">
        <f>'Scenario Model'!$B$15*0.8+(('Scenario Model'!$B$8+600000)/'Scenario Model'!$B$7)*((1-0.8)*0.8)+'Scenario Model'!$B$37*((1-0.8)*0.2)</f>
        <v>0</v>
      </c>
    </row>
    <row r="11" spans="1:6">
      <c r="A11" t="s">
        <v>51</v>
      </c>
    </row>
    <row r="12" spans="1:6">
      <c r="A12" t="s">
        <v>52</v>
      </c>
    </row>
    <row r="13" spans="1:6">
      <c r="A13"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1"/>
  <sheetViews>
    <sheetView workbookViewId="0"/>
  </sheetViews>
  <sheetFormatPr defaultRowHeight="15"/>
  <cols>
    <col min="1" max="1" width="30.7109375" customWidth="1"/>
    <col min="2" max="7" width="14.7109375" customWidth="1"/>
  </cols>
  <sheetData>
    <row r="1" spans="1:6">
      <c r="A1" s="1" t="s">
        <v>54</v>
      </c>
    </row>
    <row r="3" spans="1:6">
      <c r="A3" s="12" t="s">
        <v>55</v>
      </c>
      <c r="B3" s="12" t="s">
        <v>56</v>
      </c>
      <c r="C3" s="12" t="s">
        <v>57</v>
      </c>
      <c r="D3" s="12" t="s">
        <v>58</v>
      </c>
      <c r="E3" s="12" t="s">
        <v>59</v>
      </c>
      <c r="F3" s="12" t="s">
        <v>60</v>
      </c>
    </row>
    <row r="4" spans="1:6">
      <c r="A4" t="s">
        <v>61</v>
      </c>
      <c r="B4" s="9">
        <v>0</v>
      </c>
      <c r="C4" s="9">
        <v>0</v>
      </c>
      <c r="D4" s="9">
        <v>0</v>
      </c>
      <c r="E4" s="9">
        <v>0</v>
      </c>
      <c r="F4" s="9">
        <v>0</v>
      </c>
    </row>
    <row r="5" spans="1:6">
      <c r="A5" t="s">
        <v>62</v>
      </c>
      <c r="B5" s="9">
        <v>-56142</v>
      </c>
      <c r="C5" s="9">
        <v>-159877</v>
      </c>
      <c r="D5" s="9">
        <v>-812259</v>
      </c>
      <c r="E5" s="9">
        <v>-455683</v>
      </c>
      <c r="F5" s="9">
        <v>-294595</v>
      </c>
    </row>
    <row r="6" spans="1:6">
      <c r="A6" t="s">
        <v>63</v>
      </c>
      <c r="B6" s="9">
        <v>-87718</v>
      </c>
      <c r="C6" s="9">
        <v>-159880</v>
      </c>
      <c r="D6" s="9">
        <v>-734204</v>
      </c>
      <c r="E6" s="9">
        <v>-447900</v>
      </c>
      <c r="F6" s="9">
        <v>-269849</v>
      </c>
    </row>
    <row r="7" spans="1:6">
      <c r="A7" t="s">
        <v>64</v>
      </c>
      <c r="B7" s="9">
        <v>2405445</v>
      </c>
      <c r="C7" s="9">
        <v>2188713</v>
      </c>
      <c r="D7" s="9">
        <v>814081</v>
      </c>
      <c r="E7" s="9">
        <v>359648</v>
      </c>
      <c r="F7" s="9">
        <v>53803</v>
      </c>
    </row>
    <row r="9" spans="1:6">
      <c r="A9" t="s">
        <v>65</v>
      </c>
      <c r="B9" t="s">
        <v>66</v>
      </c>
    </row>
    <row r="10" spans="1:6">
      <c r="A10" t="s">
        <v>67</v>
      </c>
      <c r="B10" t="s">
        <v>68</v>
      </c>
    </row>
    <row r="11" spans="1:6">
      <c r="A11" t="s">
        <v>69</v>
      </c>
      <c r="B11" t="s">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3"/>
  <sheetViews>
    <sheetView workbookViewId="0"/>
  </sheetViews>
  <sheetFormatPr defaultRowHeight="15"/>
  <cols>
    <col min="1" max="1" width="24.7109375" customWidth="1"/>
    <col min="2" max="4" width="16.7109375" customWidth="1"/>
  </cols>
  <sheetData>
    <row r="1" spans="1:5">
      <c r="A1" s="1" t="s">
        <v>71</v>
      </c>
    </row>
    <row r="3" spans="1:5">
      <c r="A3" s="3" t="s">
        <v>72</v>
      </c>
    </row>
    <row r="5" spans="1:5">
      <c r="A5" s="12" t="s">
        <v>73</v>
      </c>
      <c r="B5" s="12" t="s">
        <v>74</v>
      </c>
      <c r="C5" s="12" t="s">
        <v>75</v>
      </c>
      <c r="D5" s="12" t="s">
        <v>76</v>
      </c>
    </row>
    <row r="6" spans="1:5">
      <c r="A6" t="s">
        <v>56</v>
      </c>
      <c r="B6" s="7">
        <v>0.004672</v>
      </c>
      <c r="C6" s="7">
        <v>0.001</v>
      </c>
      <c r="D6" s="17">
        <f>C6/B6</f>
        <v>0</v>
      </c>
    </row>
    <row r="7" spans="1:5">
      <c r="A7" t="s">
        <v>57</v>
      </c>
      <c r="B7" s="7">
        <v>0.004251</v>
      </c>
      <c r="C7" s="7">
        <v>0.001</v>
      </c>
      <c r="D7" s="17">
        <f>C7/B7</f>
        <v>0</v>
      </c>
    </row>
    <row r="8" spans="1:5">
      <c r="A8" t="s">
        <v>58</v>
      </c>
      <c r="B8" s="7">
        <v>0.001581</v>
      </c>
      <c r="C8" s="7">
        <v>0.003</v>
      </c>
      <c r="D8" s="17">
        <f>C8/B8</f>
        <v>0</v>
      </c>
    </row>
    <row r="9" spans="1:5">
      <c r="A9" t="s">
        <v>59</v>
      </c>
      <c r="B9" s="7">
        <v>0.0006980000000000001</v>
      </c>
      <c r="C9" s="7">
        <v>0.003</v>
      </c>
      <c r="D9" s="17">
        <f>C9/B9</f>
        <v>0</v>
      </c>
    </row>
    <row r="10" spans="1:5">
      <c r="A10" t="s">
        <v>60</v>
      </c>
      <c r="B10" s="7">
        <v>0.000104</v>
      </c>
      <c r="C10" s="7">
        <v>0.003</v>
      </c>
      <c r="D10" s="17">
        <f>C10/B10</f>
        <v>0</v>
      </c>
    </row>
    <row r="12" spans="1:5">
      <c r="A12" s="14" t="s">
        <v>77</v>
      </c>
      <c r="B12" s="7">
        <v>0.0001045</v>
      </c>
      <c r="C12" s="7">
        <v>0.003</v>
      </c>
      <c r="D12" s="18">
        <f>C12/B12</f>
        <v>0</v>
      </c>
    </row>
    <row r="13" spans="1:5">
      <c r="A13" s="3" t="s">
        <v>78</v>
      </c>
      <c r="B13" s="3"/>
      <c r="C13" s="3"/>
      <c r="D13" s="3"/>
      <c r="E13" s="3"/>
    </row>
  </sheetData>
  <mergeCells count="1">
    <mergeCell ref="A13:E1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2"/>
  <sheetViews>
    <sheetView workbookViewId="0"/>
  </sheetViews>
  <sheetFormatPr defaultRowHeight="15"/>
  <cols>
    <col min="1" max="1" width="28.7109375" customWidth="1"/>
    <col min="2" max="2" width="90.7109375" customWidth="1"/>
  </cols>
  <sheetData>
    <row r="1" spans="1:2">
      <c r="A1" s="1" t="s">
        <v>79</v>
      </c>
    </row>
    <row r="3" spans="1:2" ht="60" customHeight="1">
      <c r="A3" s="14" t="s">
        <v>80</v>
      </c>
      <c r="B3" s="3" t="s">
        <v>81</v>
      </c>
    </row>
    <row r="4" spans="1:2" ht="60" customHeight="1">
      <c r="A4" s="14" t="s">
        <v>82</v>
      </c>
      <c r="B4" s="3" t="s">
        <v>83</v>
      </c>
    </row>
    <row r="5" spans="1:2" ht="60" customHeight="1">
      <c r="A5" s="14" t="s">
        <v>84</v>
      </c>
      <c r="B5" s="3" t="s">
        <v>85</v>
      </c>
    </row>
    <row r="6" spans="1:2" ht="60" customHeight="1">
      <c r="A6" s="14" t="s">
        <v>86</v>
      </c>
      <c r="B6" s="3" t="s">
        <v>87</v>
      </c>
    </row>
    <row r="7" spans="1:2" ht="60" customHeight="1">
      <c r="A7" s="14" t="s">
        <v>88</v>
      </c>
      <c r="B7" s="3" t="s">
        <v>89</v>
      </c>
    </row>
    <row r="8" spans="1:2" ht="60" customHeight="1">
      <c r="A8" s="14" t="s">
        <v>90</v>
      </c>
      <c r="B8" s="3" t="s">
        <v>91</v>
      </c>
    </row>
    <row r="9" spans="1:2" ht="60" customHeight="1">
      <c r="A9" s="14" t="s">
        <v>92</v>
      </c>
      <c r="B9" s="3" t="s">
        <v>93</v>
      </c>
    </row>
    <row r="10" spans="1:2" ht="60" customHeight="1">
      <c r="A10" s="14" t="s">
        <v>94</v>
      </c>
      <c r="B10" s="3" t="s">
        <v>95</v>
      </c>
    </row>
    <row r="11" spans="1:2" ht="60" customHeight="1">
      <c r="A11" s="14" t="s">
        <v>96</v>
      </c>
      <c r="B11" s="3" t="s">
        <v>97</v>
      </c>
    </row>
    <row r="12" spans="1:2" ht="60" customHeight="1">
      <c r="A12" s="14" t="s">
        <v>98</v>
      </c>
      <c r="B12" s="3"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Scenario Model</vt:lpstr>
      <vt:lpstr>Sensitivity</vt:lpstr>
      <vt:lpstr>FCF Quality</vt:lpstr>
      <vt:lpstr>Historical</vt:lpstr>
      <vt:lpstr>Model_Info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2026-08-12T07:22:19Z</dcterms:created>
  <dcterms:modified xsi:type="dcterms:W3CDTF">2026-08-12T07:22:19Z</dcterms:modified>
</cp:coreProperties>
</file>