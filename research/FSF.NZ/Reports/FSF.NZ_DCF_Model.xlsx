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M Model" sheetId="1" r:id="rId1"/>
    <sheet name="Scenarios" sheetId="2" r:id="rId2"/>
    <sheet name="Sensitivity" sheetId="3" r:id="rId3"/>
    <sheet name="Historical Multiples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<sst xmlns="http://schemas.openxmlformats.org/spreadsheetml/2006/main" count="119" uniqueCount="117">
  <si>
    <t>FSF.NZ Dividend Discount Model</t>
  </si>
  <si>
    <t>Gray cells are INPUTS - adjust to see valuation change</t>
  </si>
  <si>
    <t>NOT a group-FCF DCF: FSF unit holders receive dividends only, not group FCF (co-op prioritises Farmgate Milk Price to farmer-suppliers). See valuation_philosophy in JSON.</t>
  </si>
  <si>
    <t>KEY INPUTS</t>
  </si>
  <si>
    <t>Current Unit Price ($)</t>
  </si>
  <si>
    <t>Fonterra Shares Outstanding (M) - economic base</t>
  </si>
  <si>
    <t>Cost of Equity (Base)</t>
  </si>
  <si>
    <t>Terminal Growth Rate (Base)</t>
  </si>
  <si>
    <t>Terminal Exit P/E Cap (Base)</t>
  </si>
  <si>
    <t>Net Debt Subtracted?</t>
  </si>
  <si>
    <t>NO - DDM values are post-interest dividend claims</t>
  </si>
  <si>
    <t>COST OF EQUITY BUILD</t>
  </si>
  <si>
    <t>NZ Equity Base</t>
  </si>
  <si>
    <t>+ Governance / No-Vote Premium</t>
  </si>
  <si>
    <t>+ Fund-Structure / Wind-up Risk Premium</t>
  </si>
  <si>
    <t>+ Commodity Cyclicality Premium</t>
  </si>
  <si>
    <t>BASE CASE PROJECTIONS (10-Year)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</si>
  <si>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</si>
  <si>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</si>
  <si>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</si>
  <si>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</si>
  <si>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</si>
  <si>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</si>
  <si>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</si>
  <si>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</si>
  <si>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</si>
  <si>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</si>
  <si>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EPS ($/share)</t>
  </si>
  <si>
    <t>Payout Ratio</t>
  </si>
  <si>
    <t>Dividend per Unit ($)</t>
  </si>
  <si>
    <t>Discount Factor</t>
  </si>
  <si>
    <t>PV of Dividend</t>
  </si>
  <si>
    <t>VALUATION (BASE CASE)</t>
  </si>
  <si>
    <t>Sum of PV of Dividends (Y1-Y10)</t>
  </si>
  <si>
    <t>Terminal Dividend (Y10 * (1+g))</t>
  </si>
  <si>
    <t>Gordon Terminal Value</t>
  </si>
  <si>
    <t>Terminal EPS (Y10 * (1+g))</t>
  </si>
  <si>
    <t>Exit P/E Cap Terminal Value</t>
  </si>
  <si>
    <t>Terminal Value Used (MIN of Gordon, Cap)</t>
  </si>
  <si>
    <t>PV of Terminal Value</t>
  </si>
  <si>
    <t>Enterprise / Equity Value (no net debt subtraction)</t>
  </si>
  <si>
    <t>INTRINSIC VALUE / UNIT</t>
  </si>
  <si>
    <t>ENTRY PRICE (15% IRR Target)</t>
  </si>
  <si>
    <t>Hurdle Rate</t>
  </si>
  <si>
    <t>PV of Yrs 1-10 Dividends @ Hurdle</t>
  </si>
  <si>
    <t>PV of Terminal Value @ Hurdle (using Gordon TV at CoE)</t>
  </si>
  <si>
    <t>Entry Price (15% IRR, no net debt adj.)</t>
  </si>
  <si>
    <t>Upside to Intrinsic Value</t>
  </si>
  <si>
    <t>Upside to Entry Price</t>
  </si>
  <si>
    <t>Implied Current P/E (on Y1 EPS guidance)</t>
  </si>
  <si>
    <t>Historical Clean Avg P/E (for comparison)</t>
  </si>
  <si>
    <t>Scenario Comparison</t>
  </si>
  <si>
    <t>Bear</t>
  </si>
  <si>
    <t>Base</t>
  </si>
  <si>
    <t>Bull</t>
  </si>
  <si>
    <t>Cost of Equity</t>
  </si>
  <si>
    <t>Terminal Growth</t>
  </si>
  <si>
    <t>Terminal Exit P/E Cap</t>
  </si>
  <si>
    <t>Intrinsic Value / Unit</t>
  </si>
  <si>
    <t>Upside/Downside vs Current</t>
  </si>
  <si>
    <t>Terminal Value % of Total</t>
  </si>
  <si>
    <t>Implied Exit Multiple</t>
  </si>
  <si>
    <t>Probability Weighted IV</t>
  </si>
  <si>
    <t>Weights (Bull/Base/Bear)</t>
  </si>
  <si>
    <t>25% / 50% / 25%</t>
  </si>
  <si>
    <t>Sensitivity Analysis</t>
  </si>
  <si>
    <t>Intrinsic Value by Cost of Equity &amp; Terminal Growth (Base Case)</t>
  </si>
  <si>
    <t>CoE \ Term G</t>
  </si>
  <si>
    <t>Historical P/E &amp; P/B (FY-End 31 July)</t>
  </si>
  <si>
    <t>FY</t>
  </si>
  <si>
    <t>Price</t>
  </si>
  <si>
    <t>EPS</t>
  </si>
  <si>
    <t>P/E</t>
  </si>
  <si>
    <t>BVPS</t>
  </si>
  <si>
    <t>P/B</t>
  </si>
  <si>
    <t>n/m</t>
  </si>
  <si>
    <t>Clean P/E stats (excl. FY18/19 losses, FY23 one-off):</t>
  </si>
  <si>
    <t>Min</t>
  </si>
  <si>
    <t>Avg</t>
  </si>
  <si>
    <t>Max</t>
  </si>
  <si>
    <t>Current price implied P/E (FY26 guide midpoint):</t>
  </si>
  <si>
    <t>Current price implied P/E (FY25 normalised):</t>
  </si>
  <si>
    <t>Model Provenance &amp; Notes</t>
  </si>
  <si>
    <t>Built by</t>
  </si>
  <si>
    <t>Claude agent (dcf-modeler), Claude Agent SDK</t>
  </si>
  <si>
    <t>Build date</t>
  </si>
  <si>
    <t>2026-08-10</t>
  </si>
  <si>
    <t>Share price date/source</t>
  </si>
  <si>
    <t>Yahoo Finance live quote, 2026-08-10, NZD $7.05 (fresh quote, user-verified)</t>
  </si>
  <si>
    <t>Data vintage</t>
  </si>
  <si>
    <t>FSF.NZ_Metrics.csv (through H1-2026 interim, 6 months to 31 Jan 2026) and FSF.NZ_Analysis.json (as of 2026-08-10)</t>
  </si>
  <si>
    <t>Model type</t>
  </si>
  <si>
    <t>DIVIDEND DISCOUNT MODEL (DDM) -- NOT a group free-cash-flow DCF</t>
  </si>
  <si>
    <t>Why DDM not FCF DCF</t>
  </si>
  <si>
    <t>FSF is a unit trust with Economic Rights over Fonterra Co-operative Group shares; no vote, no governance. Fonterra co-op governance is structurally obligated to maximise the Farmgate Milk Price paid TO farmer-suppliers (the dominant cost line, ~$15.3bn FY2025 vs ~$22-26bn group revenue) ahead of group profit/FCF available to Fund unit holders. Group FCF is not a cash flow unit holders have any claim on. The only cash unit holders receive is the declared dividend (and occasional capital returns).</t>
  </si>
  <si>
    <t>Denominator used</t>
  </si>
  <si>
    <t>~1.607 billion Fonterra shares (the economic base) -- NOT the Fund's 107.4 million units on issue. One Fund unit = one Fonterra share's full economic entitlement.</t>
  </si>
  <si>
    <t>Net debt treatment</t>
  </si>
  <si>
    <t>NOT subtracted. Dividends are already a post-interest, post-debt-service cash flow; subtracting net debt again would double-count leverage already embedded in dividend capacity.</t>
  </si>
  <si>
    <t>Capital return treatment</t>
  </si>
  <si>
    <t>The NZ$2.00/unit tax-free capital return (paid 14-Apr-2026, Mainland sale proceeds) is a COMPLETED PAST event. Current $7.05 price is already ex-this-distribution. Excluded from intrinsic value -- adding it back would double count.</t>
  </si>
  <si>
    <t>Horizon</t>
  </si>
  <si>
    <t>10 years -- extended from a 5yr default because FY2026 EPS is depressed by the Mainland divestment discontinuity and management guides a ~3-year recovery; a 5yr horizon would capitalise an immature, still-recovering earnings base.</t>
  </si>
  <si>
    <t>Terminal value method</t>
  </si>
  <si>
    <t>Lower of Gordon growth (on terminal dividend) and an exit P/E cap on terminal EPS, where the cap is drawn from FSF/Fonterra's own 10-year trading history (min/avg/max of clean P/E years, excluding FY2018/19 losses and the FY2023 Soprole-gain-distorted 3.72x reading).</t>
  </si>
  <si>
    <t>Cost of equity</t>
  </si>
  <si>
    <t>13.75% base case = 9.0% NZ equity base + 2.25% governance/no-vote premium + 1.25% Fund-structure/wind-up-risk premium + 1.25% commodity-cyclicality premium. See cost_of_equity_build in the JSON for full rationale.</t>
  </si>
  <si>
    <t>SBC</t>
  </si>
  <si>
    <t>Immaterial/nil for this co-operative; confirmed absent from filings, no adjustment applied.</t>
  </si>
  <si>
    <t>Key conclusion</t>
  </si>
  <si>
    <t>Base case intrinsic value $4.22/unit (-40.1% vs $7.05 current). Even bull case ($6.22) sits below current price. Current price implies ~12.3x FY26 guided EPS, above the 10yr historical maximum (10.4x) -- market is pricing in the post-divestment re-rating/recovery story ahead of it being delivered.</t>
  </si>
  <si>
    <t>What to refresh after next earnings</t>
  </si>
  <si>
    <t>FY2026 annual result (year to 31-Jul-2026, expected ~Sept 2026): actual FY2026 EPS/dividend vs the 50-65c guidance range used here; confirm the payout ratio actually declared; check for any update to the Fund wind-up/size-cap commentary; refresh FY2026 row in the historical multiples table once EPS is known; verify FY2025 ShareholdersEquity (was blank in source CSV) if it becomes available for a complete P/B history.</t>
  </si>
  <si>
    <t>Cell colour convention</t>
  </si>
  <si>
    <t>Gray-filled cells = INPUTS (safe to edit). White cells with borders = FORMULAS (derived, do not hand-edit). Green cells = key output results.</t>
  </si>
  <si>
    <t>Staleness warning</t>
  </si>
  <si>
    <t>All figures will go stale. Re-verify current_price, EPS guidance, dividend history, and net debt figures against the next filing before reusing this model.</t>
  </si>
</sst>
</file>

<file path=xl/styles.xml><?xml version="1.0" encoding="utf-8"?>
<styleSheet xmlns="http://schemas.openxmlformats.org/spreadsheetml/2006/main">
  <numFmts count="5">
    <numFmt numFmtId="164" formatCode="#,##0.0000"/>
    <numFmt numFmtId="165" formatCode="0.00%"/>
    <numFmt numFmtId="166" formatCode="&quot;$&quot;#,##0.0000"/>
    <numFmt numFmtId="167" formatCode="0.0%"/>
    <numFmt numFmtId="168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1"/>
      <color rgb="FFD630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5" fillId="3" borderId="2" xfId="0" applyFont="1" applyFill="1" applyBorder="1"/>
    <xf numFmtId="164" fontId="0" fillId="0" borderId="2" xfId="0" applyNumberFormat="1" applyBorder="1"/>
    <xf numFmtId="0" fontId="6" fillId="0" borderId="0" xfId="0" applyFont="1"/>
    <xf numFmtId="166" fontId="5" fillId="4" borderId="2" xfId="0" applyNumberFormat="1" applyFont="1" applyFill="1" applyBorder="1"/>
    <xf numFmtId="167" fontId="0" fillId="0" borderId="2" xfId="0" applyNumberFormat="1" applyBorder="1"/>
    <xf numFmtId="168" fontId="0" fillId="0" borderId="2" xfId="0" applyNumberFormat="1" applyBorder="1"/>
    <xf numFmtId="165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width="32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7.05</v>
      </c>
    </row>
    <row r="7" spans="1:2">
      <c r="A7" t="s">
        <v>5</v>
      </c>
      <c r="B7" s="5">
        <v>1607</v>
      </c>
    </row>
    <row r="8" spans="1:2">
      <c r="A8" t="s">
        <v>6</v>
      </c>
      <c r="B8" s="6">
        <v>0.1375</v>
      </c>
    </row>
    <row r="9" spans="1:2">
      <c r="A9" t="s">
        <v>7</v>
      </c>
      <c r="B9" s="6">
        <v>0.0175</v>
      </c>
    </row>
    <row r="10" spans="1:2">
      <c r="A10" t="s">
        <v>8</v>
      </c>
      <c r="B10" s="5">
        <v>8.800000000000001</v>
      </c>
    </row>
    <row r="11" spans="1:2">
      <c r="A11" t="s">
        <v>9</v>
      </c>
      <c r="B11" s="2" t="s">
        <v>10</v>
      </c>
    </row>
    <row r="13" spans="1:2">
      <c r="A13" s="4" t="s">
        <v>11</v>
      </c>
    </row>
    <row r="14" spans="1:2">
      <c r="A14" t="s">
        <v>12</v>
      </c>
      <c r="B14" s="6">
        <v>0.09</v>
      </c>
    </row>
    <row r="15" spans="1:2">
      <c r="A15" t="s">
        <v>13</v>
      </c>
      <c r="B15" s="6">
        <v>0.0225</v>
      </c>
    </row>
    <row r="16" spans="1:2">
      <c r="A16" t="s">
        <v>14</v>
      </c>
      <c r="B16" s="6">
        <v>0.0125</v>
      </c>
    </row>
    <row r="17" spans="1:11">
      <c r="A17" t="s">
        <v>15</v>
      </c>
      <c r="B17" s="6">
        <v>0.0125</v>
      </c>
    </row>
    <row r="18" spans="1:11">
      <c r="A18" t="inlineStr">
        <is>
          <t>= Cost of Equity (computed)</t>
        </is>
      </c>
      <c r="B18" s="6">
        <f>B14+B15+B16+B17</f>
        <v>0</v>
      </c>
    </row>
    <row r="20" spans="1:11">
      <c r="A20" s="4" t="s">
        <v>16</v>
      </c>
    </row>
    <row r="21" spans="1:11">
      <c r="A21" s="7"/>
      <c r="B21" s="7" t="s">
        <v>17</v>
      </c>
      <c r="C21" s="7" t="s">
        <v>18</v>
      </c>
      <c r="D21" s="7" t="s">
        <v>19</v>
      </c>
      <c r="E21" s="7" t="s">
        <v>20</v>
      </c>
      <c r="F21" s="7" t="s">
        <v>21</v>
      </c>
      <c r="G21" s="7" t="s">
        <v>22</v>
      </c>
      <c r="H21" s="7" t="s">
        <v>23</v>
      </c>
      <c r="I21" s="7" t="s">
        <v>24</v>
      </c>
      <c r="J21" s="7" t="s">
        <v>25</v>
      </c>
      <c r="K21" s="7" t="s">
        <v>26</v>
      </c>
    </row>
    <row r="22" spans="1:11">
      <c r="A22" t="s">
        <v>27</v>
      </c>
      <c r="B22" s="5">
        <v>0.57</v>
      </c>
      <c r="C22" s="5">
        <v>0.62</v>
      </c>
      <c r="D22" s="5">
        <v>0.7</v>
      </c>
      <c r="E22" s="5">
        <v>0.728</v>
      </c>
      <c r="F22" s="5">
        <v>0.753</v>
      </c>
      <c r="G22" s="5">
        <v>0.776</v>
      </c>
      <c r="H22" s="5">
        <v>0.795</v>
      </c>
      <c r="I22" s="5">
        <v>0.8129999999999999</v>
      </c>
      <c r="J22" s="5">
        <v>0.829</v>
      </c>
      <c r="K22" s="5">
        <v>0.844</v>
      </c>
    </row>
    <row r="23" spans="1:11">
      <c r="A23" t="s">
        <v>28</v>
      </c>
      <c r="B23" s="6">
        <v>0.7</v>
      </c>
      <c r="C23" s="6">
        <v>0.71</v>
      </c>
      <c r="D23" s="6">
        <v>0.72</v>
      </c>
      <c r="E23" s="6">
        <v>0.73</v>
      </c>
      <c r="F23" s="6">
        <v>0.74</v>
      </c>
      <c r="G23" s="6">
        <v>0.75</v>
      </c>
      <c r="H23" s="6">
        <v>0.75</v>
      </c>
      <c r="I23" s="6">
        <v>0.75</v>
      </c>
      <c r="J23" s="6">
        <v>0.75</v>
      </c>
      <c r="K23" s="6">
        <v>0.75</v>
      </c>
    </row>
    <row r="24" spans="1:11">
      <c r="A24" t="s">
        <v>29</v>
      </c>
      <c r="B24" s="8">
        <f>B22*B23</f>
        <v>0</v>
      </c>
      <c r="C24" s="8">
        <f>C22*C23</f>
        <v>0</v>
      </c>
      <c r="D24" s="8">
        <f>D22*D23</f>
        <v>0</v>
      </c>
      <c r="E24" s="8">
        <f>E22*E23</f>
        <v>0</v>
      </c>
      <c r="F24" s="8">
        <f>F22*F23</f>
        <v>0</v>
      </c>
      <c r="G24" s="8">
        <f>G22*G23</f>
        <v>0</v>
      </c>
      <c r="H24" s="8">
        <f>H22*H23</f>
        <v>0</v>
      </c>
      <c r="I24" s="8">
        <f>I22*I23</f>
        <v>0</v>
      </c>
      <c r="J24" s="8">
        <f>J22*J23</f>
        <v>0</v>
      </c>
      <c r="K24" s="8">
        <f>K22*K23</f>
        <v>0</v>
      </c>
    </row>
    <row r="25" spans="1:11">
      <c r="A25" t="s">
        <v>30</v>
      </c>
      <c r="B25" s="8">
        <f>1/(1+$B$18)^1</f>
        <v>0</v>
      </c>
      <c r="C25" s="8">
        <f>1/(1+$B$18)^2</f>
        <v>0</v>
      </c>
      <c r="D25" s="8">
        <f>1/(1+$B$18)^3</f>
        <v>0</v>
      </c>
      <c r="E25" s="8">
        <f>1/(1+$B$18)^4</f>
        <v>0</v>
      </c>
      <c r="F25" s="8">
        <f>1/(1+$B$18)^5</f>
        <v>0</v>
      </c>
      <c r="G25" s="8">
        <f>1/(1+$B$18)^6</f>
        <v>0</v>
      </c>
      <c r="H25" s="8">
        <f>1/(1+$B$18)^7</f>
        <v>0</v>
      </c>
      <c r="I25" s="8">
        <f>1/(1+$B$18)^8</f>
        <v>0</v>
      </c>
      <c r="J25" s="8">
        <f>1/(1+$B$18)^9</f>
        <v>0</v>
      </c>
      <c r="K25" s="8">
        <f>1/(1+$B$18)^10</f>
        <v>0</v>
      </c>
    </row>
    <row r="26" spans="1:11">
      <c r="A26" t="s">
        <v>31</v>
      </c>
      <c r="B26" s="8">
        <f>B24*B25</f>
        <v>0</v>
      </c>
      <c r="C26" s="8">
        <f>C24*C25</f>
        <v>0</v>
      </c>
      <c r="D26" s="8">
        <f>D24*D25</f>
        <v>0</v>
      </c>
      <c r="E26" s="8">
        <f>E24*E25</f>
        <v>0</v>
      </c>
      <c r="F26" s="8">
        <f>F24*F25</f>
        <v>0</v>
      </c>
      <c r="G26" s="8">
        <f>G24*G25</f>
        <v>0</v>
      </c>
      <c r="H26" s="8">
        <f>H24*H25</f>
        <v>0</v>
      </c>
      <c r="I26" s="8">
        <f>I24*I25</f>
        <v>0</v>
      </c>
      <c r="J26" s="8">
        <f>J24*J25</f>
        <v>0</v>
      </c>
      <c r="K26" s="8">
        <f>K24*K25</f>
        <v>0</v>
      </c>
    </row>
    <row r="28" spans="1:11">
      <c r="A28" s="4" t="s">
        <v>32</v>
      </c>
    </row>
    <row r="29" spans="1:11">
      <c r="A29" t="s">
        <v>33</v>
      </c>
      <c r="B29" s="8">
        <f>SUM(B26:K26)</f>
        <v>0</v>
      </c>
    </row>
    <row r="30" spans="1:11">
      <c r="A30" t="s">
        <v>34</v>
      </c>
      <c r="B30" s="8">
        <f>K24*(1+B9)</f>
        <v>0</v>
      </c>
    </row>
    <row r="31" spans="1:11">
      <c r="A31" t="s">
        <v>35</v>
      </c>
      <c r="B31" s="8">
        <f>B30/(B18-B9)</f>
        <v>0</v>
      </c>
    </row>
    <row r="32" spans="1:11">
      <c r="A32" t="s">
        <v>36</v>
      </c>
      <c r="B32" s="8">
        <f>K22*(1+B9)</f>
        <v>0</v>
      </c>
    </row>
    <row r="33" spans="1:2">
      <c r="A33" t="s">
        <v>37</v>
      </c>
      <c r="B33" s="8">
        <f>B10*B32</f>
        <v>0</v>
      </c>
    </row>
    <row r="34" spans="1:2">
      <c r="A34" t="s">
        <v>38</v>
      </c>
      <c r="B34" s="8">
        <f>MIN(B31,B33)</f>
        <v>0</v>
      </c>
    </row>
    <row r="35" spans="1:2">
      <c r="A35" t="s">
        <v>39</v>
      </c>
      <c r="B35" s="8">
        <f>B34*K25</f>
        <v>0</v>
      </c>
    </row>
    <row r="36" spans="1:2">
      <c r="A36" t="s">
        <v>40</v>
      </c>
      <c r="B36" s="8">
        <f>B29+B35</f>
        <v>0</v>
      </c>
    </row>
    <row r="37" spans="1:2">
      <c r="A37" s="9" t="s">
        <v>41</v>
      </c>
      <c r="B37" s="10">
        <f>B36</f>
        <v>0</v>
      </c>
    </row>
    <row r="39" spans="1:2">
      <c r="A39" s="4" t="s">
        <v>42</v>
      </c>
    </row>
    <row r="40" spans="1:2">
      <c r="A40" t="s">
        <v>43</v>
      </c>
      <c r="B40" s="6">
        <v>0.15</v>
      </c>
    </row>
    <row r="41" spans="1:2">
      <c r="A41" t="s">
        <v>44</v>
      </c>
      <c r="B41" s="8">
        <f>NPV(B40,B24:K24)</f>
        <v>0</v>
      </c>
    </row>
    <row r="42" spans="1:2">
      <c r="A42" t="s">
        <v>45</v>
      </c>
      <c r="B42" s="8">
        <f>B34/(1+B40)^10</f>
        <v>0</v>
      </c>
    </row>
    <row r="43" spans="1:2">
      <c r="A43" t="s">
        <v>46</v>
      </c>
      <c r="B43" s="10">
        <f>B41+B42</f>
        <v>0</v>
      </c>
    </row>
    <row r="45" spans="1:2">
      <c r="A45" t="s">
        <v>47</v>
      </c>
      <c r="B45" s="11">
        <f>(B37-B6)/B6</f>
        <v>0</v>
      </c>
    </row>
    <row r="46" spans="1:2">
      <c r="A46" t="s">
        <v>48</v>
      </c>
      <c r="B46" s="11">
        <f>(B6-B43)/B6</f>
        <v>0</v>
      </c>
    </row>
    <row r="48" spans="1:2">
      <c r="A48" t="s">
        <v>49</v>
      </c>
      <c r="B48" s="8">
        <f>B6/B22</f>
        <v>0</v>
      </c>
    </row>
    <row r="49" spans="1:2">
      <c r="A49" t="s">
        <v>50</v>
      </c>
      <c r="B49" s="5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30.7109375" customWidth="1"/>
    <col min="2" max="4" width="14.7109375" customWidth="1"/>
  </cols>
  <sheetData>
    <row r="1" spans="1:4">
      <c r="A1" s="1" t="s">
        <v>51</v>
      </c>
    </row>
    <row r="3" spans="1:4">
      <c r="A3" s="7"/>
      <c r="B3" s="7" t="s">
        <v>52</v>
      </c>
      <c r="C3" s="7" t="s">
        <v>53</v>
      </c>
      <c r="D3" s="7" t="s">
        <v>54</v>
      </c>
    </row>
    <row r="5" spans="1:4">
      <c r="A5" t="s">
        <v>55</v>
      </c>
      <c r="B5" s="6">
        <v>0.1525</v>
      </c>
      <c r="C5" s="6">
        <v>0.1375</v>
      </c>
      <c r="D5" s="6">
        <v>0.1275</v>
      </c>
    </row>
    <row r="6" spans="1:4">
      <c r="A6" t="s">
        <v>56</v>
      </c>
      <c r="B6" s="6">
        <v>0.01</v>
      </c>
      <c r="C6" s="6">
        <v>0.0175</v>
      </c>
      <c r="D6" s="6">
        <v>0.02</v>
      </c>
    </row>
    <row r="7" spans="1:4">
      <c r="A7" t="s">
        <v>57</v>
      </c>
      <c r="B7" s="5">
        <v>5.9</v>
      </c>
      <c r="C7" s="5">
        <v>8.800000000000001</v>
      </c>
      <c r="D7" s="5">
        <v>10.43</v>
      </c>
    </row>
    <row r="9" spans="1:4">
      <c r="A9" s="9" t="s">
        <v>58</v>
      </c>
      <c r="B9" s="12">
        <v>2.2714</v>
      </c>
      <c r="C9" s="12">
        <v>4.2213</v>
      </c>
      <c r="D9" s="12">
        <v>6.223</v>
      </c>
    </row>
    <row r="10" spans="1:4">
      <c r="A10" t="s">
        <v>59</v>
      </c>
      <c r="B10" s="11">
        <v>-0.6778</v>
      </c>
      <c r="C10" s="11">
        <v>-0.4012</v>
      </c>
      <c r="D10" s="11">
        <v>-0.1173</v>
      </c>
    </row>
    <row r="11" spans="1:4">
      <c r="A11" t="s">
        <v>60</v>
      </c>
      <c r="B11" s="11">
        <v>0.279</v>
      </c>
      <c r="C11" s="11">
        <v>0.3505</v>
      </c>
      <c r="D11" s="11">
        <v>0.3954</v>
      </c>
    </row>
    <row r="12" spans="1:4">
      <c r="A12" t="s">
        <v>61</v>
      </c>
      <c r="B12" s="8">
        <v>4.56</v>
      </c>
      <c r="C12" s="8">
        <v>6.25</v>
      </c>
      <c r="D12" s="8">
        <v>7.44</v>
      </c>
    </row>
    <row r="15" spans="1:4">
      <c r="A15" s="9" t="s">
        <v>62</v>
      </c>
      <c r="B15" s="10">
        <v>4.2342</v>
      </c>
    </row>
    <row r="16" spans="1:4">
      <c r="A16" t="s">
        <v>63</v>
      </c>
      <c r="B1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6" width="12.7109375" customWidth="1"/>
  </cols>
  <sheetData>
    <row r="1" spans="1:6">
      <c r="A1" s="1" t="s">
        <v>65</v>
      </c>
    </row>
    <row r="2" spans="1:6">
      <c r="A2" t="s">
        <v>66</v>
      </c>
    </row>
    <row r="4" spans="1:6">
      <c r="A4" s="7" t="s">
        <v>67</v>
      </c>
      <c r="B4" s="13">
        <v>-0.0025</v>
      </c>
      <c r="C4" s="13">
        <v>0.0075</v>
      </c>
      <c r="D4" s="13">
        <v>0.0175</v>
      </c>
      <c r="E4" s="13">
        <v>0.0275</v>
      </c>
      <c r="F4" s="13">
        <v>0.0375</v>
      </c>
    </row>
    <row r="5" spans="1:6">
      <c r="A5" s="13">
        <v>0.1175</v>
      </c>
      <c r="B5" s="12">
        <f>NPV(0.1175,'DDM Model'!$B$24:$K$24)+(MIN(('DDM Model'!$K$24*(1+-0.0025))/(0.1175--0.0025),'DDM Model'!$B$10*('DDM Model'!$K$22*(1+-0.0025))))/(1+0.1175)^10</f>
        <v>0</v>
      </c>
      <c r="C5" s="12">
        <f>NPV(0.1175,'DDM Model'!$B$24:$K$24)+(MIN(('DDM Model'!$K$24*(1+0.0075))/(0.1175-0.0075),'DDM Model'!$B$10*('DDM Model'!$K$22*(1+0.0075))))/(1+0.1175)^10</f>
        <v>0</v>
      </c>
      <c r="D5" s="12">
        <f>NPV(0.1175,'DDM Model'!$B$24:$K$24)+(MIN(('DDM Model'!$K$24*(1+0.0175))/(0.1175-0.0175),'DDM Model'!$B$10*('DDM Model'!$K$22*(1+0.0175))))/(1+0.1175)^10</f>
        <v>0</v>
      </c>
      <c r="E5" s="12">
        <f>NPV(0.1175,'DDM Model'!$B$24:$K$24)+(MIN(('DDM Model'!$K$24*(1+0.0275))/(0.1175-0.0275),'DDM Model'!$B$10*('DDM Model'!$K$22*(1+0.0275))))/(1+0.1175)^10</f>
        <v>0</v>
      </c>
      <c r="F5" s="12">
        <f>NPV(0.1175,'DDM Model'!$B$24:$K$24)+(MIN(('DDM Model'!$K$24*(1+0.0375))/(0.1175-0.0375),'DDM Model'!$B$10*('DDM Model'!$K$22*(1+0.0375))))/(1+0.1175)^10</f>
        <v>0</v>
      </c>
    </row>
    <row r="6" spans="1:6">
      <c r="A6" s="13">
        <v>0.1275</v>
      </c>
      <c r="B6" s="12">
        <f>NPV(0.1275,'DDM Model'!$B$24:$K$24)+(MIN(('DDM Model'!$K$24*(1+-0.0025))/(0.1275--0.0025),'DDM Model'!$B$10*('DDM Model'!$K$22*(1+-0.0025))))/(1+0.1275)^10</f>
        <v>0</v>
      </c>
      <c r="C6" s="12">
        <f>NPV(0.1275,'DDM Model'!$B$24:$K$24)+(MIN(('DDM Model'!$K$24*(1+0.0075))/(0.1275-0.0075),'DDM Model'!$B$10*('DDM Model'!$K$22*(1+0.0075))))/(1+0.1275)^10</f>
        <v>0</v>
      </c>
      <c r="D6" s="12">
        <f>NPV(0.1275,'DDM Model'!$B$24:$K$24)+(MIN(('DDM Model'!$K$24*(1+0.0175))/(0.1275-0.0175),'DDM Model'!$B$10*('DDM Model'!$K$22*(1+0.0175))))/(1+0.1275)^10</f>
        <v>0</v>
      </c>
      <c r="E6" s="12">
        <f>NPV(0.1275,'DDM Model'!$B$24:$K$24)+(MIN(('DDM Model'!$K$24*(1+0.0275))/(0.1275-0.0275),'DDM Model'!$B$10*('DDM Model'!$K$22*(1+0.0275))))/(1+0.1275)^10</f>
        <v>0</v>
      </c>
      <c r="F6" s="12">
        <f>NPV(0.1275,'DDM Model'!$B$24:$K$24)+(MIN(('DDM Model'!$K$24*(1+0.0375))/(0.1275-0.0375),'DDM Model'!$B$10*('DDM Model'!$K$22*(1+0.0375))))/(1+0.1275)^10</f>
        <v>0</v>
      </c>
    </row>
    <row r="7" spans="1:6">
      <c r="A7" s="13">
        <v>0.1375</v>
      </c>
      <c r="B7" s="12">
        <f>NPV(0.1375,'DDM Model'!$B$24:$K$24)+(MIN(('DDM Model'!$K$24*(1+-0.0025))/(0.1375--0.0025),'DDM Model'!$B$10*('DDM Model'!$K$22*(1+-0.0025))))/(1+0.1375)^10</f>
        <v>0</v>
      </c>
      <c r="C7" s="12">
        <f>NPV(0.1375,'DDM Model'!$B$24:$K$24)+(MIN(('DDM Model'!$K$24*(1+0.0075))/(0.1375-0.0075),'DDM Model'!$B$10*('DDM Model'!$K$22*(1+0.0075))))/(1+0.1375)^10</f>
        <v>0</v>
      </c>
      <c r="D7" s="12">
        <f>NPV(0.1375,'DDM Model'!$B$24:$K$24)+(MIN(('DDM Model'!$K$24*(1+0.0175))/(0.1375-0.0175),'DDM Model'!$B$10*('DDM Model'!$K$22*(1+0.0175))))/(1+0.1375)^10</f>
        <v>0</v>
      </c>
      <c r="E7" s="12">
        <f>NPV(0.1375,'DDM Model'!$B$24:$K$24)+(MIN(('DDM Model'!$K$24*(1+0.0275))/(0.1375-0.0275),'DDM Model'!$B$10*('DDM Model'!$K$22*(1+0.0275))))/(1+0.1375)^10</f>
        <v>0</v>
      </c>
      <c r="F7" s="12">
        <f>NPV(0.1375,'DDM Model'!$B$24:$K$24)+(MIN(('DDM Model'!$K$24*(1+0.0375))/(0.1375-0.0375),'DDM Model'!$B$10*('DDM Model'!$K$22*(1+0.0375))))/(1+0.1375)^10</f>
        <v>0</v>
      </c>
    </row>
    <row r="8" spans="1:6">
      <c r="A8" s="13">
        <v>0.1475</v>
      </c>
      <c r="B8" s="12">
        <f>NPV(0.1475,'DDM Model'!$B$24:$K$24)+(MIN(('DDM Model'!$K$24*(1+-0.0025))/(0.1475--0.0025),'DDM Model'!$B$10*('DDM Model'!$K$22*(1+-0.0025))))/(1+0.1475)^10</f>
        <v>0</v>
      </c>
      <c r="C8" s="12">
        <f>NPV(0.1475,'DDM Model'!$B$24:$K$24)+(MIN(('DDM Model'!$K$24*(1+0.0075))/(0.1475-0.0075),'DDM Model'!$B$10*('DDM Model'!$K$22*(1+0.0075))))/(1+0.1475)^10</f>
        <v>0</v>
      </c>
      <c r="D8" s="12">
        <f>NPV(0.1475,'DDM Model'!$B$24:$K$24)+(MIN(('DDM Model'!$K$24*(1+0.0175))/(0.1475-0.0175),'DDM Model'!$B$10*('DDM Model'!$K$22*(1+0.0175))))/(1+0.1475)^10</f>
        <v>0</v>
      </c>
      <c r="E8" s="12">
        <f>NPV(0.1475,'DDM Model'!$B$24:$K$24)+(MIN(('DDM Model'!$K$24*(1+0.0275))/(0.1475-0.0275),'DDM Model'!$B$10*('DDM Model'!$K$22*(1+0.0275))))/(1+0.1475)^10</f>
        <v>0</v>
      </c>
      <c r="F8" s="12">
        <f>NPV(0.1475,'DDM Model'!$B$24:$K$24)+(MIN(('DDM Model'!$K$24*(1+0.0375))/(0.1475-0.0375),'DDM Model'!$B$10*('DDM Model'!$K$22*(1+0.0375))))/(1+0.1475)^10</f>
        <v>0</v>
      </c>
    </row>
    <row r="9" spans="1:6">
      <c r="A9" s="13">
        <v>0.1575</v>
      </c>
      <c r="B9" s="12">
        <f>NPV(0.1575,'DDM Model'!$B$24:$K$24)+(MIN(('DDM Model'!$K$24*(1+-0.0025))/(0.1575--0.0025),'DDM Model'!$B$10*('DDM Model'!$K$22*(1+-0.0025))))/(1+0.1575)^10</f>
        <v>0</v>
      </c>
      <c r="C9" s="12">
        <f>NPV(0.1575,'DDM Model'!$B$24:$K$24)+(MIN(('DDM Model'!$K$24*(1+0.0075))/(0.1575-0.0075),'DDM Model'!$B$10*('DDM Model'!$K$22*(1+0.0075))))/(1+0.1575)^10</f>
        <v>0</v>
      </c>
      <c r="D9" s="12">
        <f>NPV(0.1575,'DDM Model'!$B$24:$K$24)+(MIN(('DDM Model'!$K$24*(1+0.0175))/(0.1575-0.0175),'DDM Model'!$B$10*('DDM Model'!$K$22*(1+0.0175))))/(1+0.1575)^10</f>
        <v>0</v>
      </c>
      <c r="E9" s="12">
        <f>NPV(0.1575,'DDM Model'!$B$24:$K$24)+(MIN(('DDM Model'!$K$24*(1+0.0275))/(0.1575-0.0275),'DDM Model'!$B$10*('DDM Model'!$K$22*(1+0.0275))))/(1+0.1575)^10</f>
        <v>0</v>
      </c>
      <c r="F9" s="12">
        <f>NPV(0.1575,'DDM Model'!$B$24:$K$24)+(MIN(('DDM Model'!$K$24*(1+0.0375))/(0.1575-0.0375),'DDM Model'!$B$10*('DDM Model'!$K$22*(1+0.0375))))/(1+0.1575)^10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0.7109375" customWidth="1"/>
    <col min="2" max="6" width="12.7109375" customWidth="1"/>
  </cols>
  <sheetData>
    <row r="1" spans="1:6">
      <c r="A1" s="1" t="s">
        <v>68</v>
      </c>
    </row>
    <row r="3" spans="1:6">
      <c r="A3" s="7" t="s">
        <v>69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</row>
    <row r="4" spans="1:6">
      <c r="A4">
        <v>2018</v>
      </c>
      <c r="B4" s="12">
        <v>5.12</v>
      </c>
      <c r="C4" s="8">
        <v>-0.14</v>
      </c>
      <c r="D4" t="s">
        <v>75</v>
      </c>
      <c r="E4" s="8">
        <v>3.94</v>
      </c>
      <c r="F4" s="8">
        <v>1.3</v>
      </c>
    </row>
    <row r="5" spans="1:6">
      <c r="A5">
        <v>2019</v>
      </c>
      <c r="B5" s="12">
        <v>3.77</v>
      </c>
      <c r="C5" s="8">
        <v>-0.35</v>
      </c>
      <c r="D5" t="s">
        <v>75</v>
      </c>
      <c r="E5" s="8">
        <v>3.62</v>
      </c>
      <c r="F5" s="8">
        <v>1.04</v>
      </c>
    </row>
    <row r="6" spans="1:6">
      <c r="A6">
        <v>2020</v>
      </c>
      <c r="B6" s="12">
        <v>3.82</v>
      </c>
      <c r="C6" s="8">
        <v>0.43</v>
      </c>
      <c r="D6">
        <v>8.880000000000001</v>
      </c>
      <c r="E6" s="8">
        <v>4.16</v>
      </c>
      <c r="F6" s="8">
        <v>0.92</v>
      </c>
    </row>
    <row r="7" spans="1:6">
      <c r="A7">
        <v>2021</v>
      </c>
      <c r="B7" s="12">
        <v>3.74</v>
      </c>
      <c r="C7" s="8">
        <v>0.36</v>
      </c>
      <c r="D7">
        <v>10.39</v>
      </c>
      <c r="E7" s="8">
        <v>4.26</v>
      </c>
      <c r="F7" s="8">
        <v>0.88</v>
      </c>
    </row>
    <row r="8" spans="1:6">
      <c r="A8">
        <v>2022</v>
      </c>
      <c r="B8" s="12">
        <v>3.02</v>
      </c>
      <c r="C8" s="8">
        <v>0.36</v>
      </c>
      <c r="D8">
        <v>8.390000000000001</v>
      </c>
      <c r="E8" s="8">
        <v>4.28</v>
      </c>
      <c r="F8" s="8">
        <v>0.71</v>
      </c>
    </row>
    <row r="9" spans="1:6">
      <c r="A9">
        <v>2023</v>
      </c>
      <c r="B9" s="12">
        <v>3.53</v>
      </c>
      <c r="C9" s="8">
        <v>0.95</v>
      </c>
      <c r="D9">
        <v>3.72</v>
      </c>
      <c r="E9" s="8">
        <v>4.95</v>
      </c>
      <c r="F9" s="8">
        <v>0.71</v>
      </c>
    </row>
    <row r="10" spans="1:6">
      <c r="A10">
        <v>2024</v>
      </c>
      <c r="B10" s="12">
        <v>3.95</v>
      </c>
      <c r="C10" s="8">
        <v>0.67</v>
      </c>
      <c r="D10">
        <v>5.9</v>
      </c>
      <c r="E10" s="8">
        <v>5.02</v>
      </c>
      <c r="F10" s="8">
        <v>0.79</v>
      </c>
    </row>
    <row r="11" spans="1:6">
      <c r="A11">
        <v>2025</v>
      </c>
      <c r="B11" s="12">
        <v>6.99</v>
      </c>
      <c r="C11" s="8">
        <v>0.67</v>
      </c>
      <c r="D11">
        <v>10.43</v>
      </c>
      <c r="E11" s="8"/>
      <c r="F11" s="8"/>
    </row>
    <row r="12" spans="1:6">
      <c r="A12">
        <v>2026</v>
      </c>
      <c r="B12" s="12">
        <v>6.9</v>
      </c>
      <c r="C12" s="8"/>
      <c r="D12" t="s">
        <v>75</v>
      </c>
      <c r="E12" s="8"/>
      <c r="F12" s="8"/>
    </row>
    <row r="15" spans="1:6">
      <c r="A15" s="9" t="s">
        <v>76</v>
      </c>
    </row>
    <row r="16" spans="1:6">
      <c r="A16" t="s">
        <v>77</v>
      </c>
      <c r="B16" s="8">
        <v>5.9</v>
      </c>
    </row>
    <row r="17" spans="1:2">
      <c r="A17" t="s">
        <v>78</v>
      </c>
      <c r="B17" s="8">
        <v>8.800000000000001</v>
      </c>
    </row>
    <row r="18" spans="1:2">
      <c r="A18" t="s">
        <v>79</v>
      </c>
      <c r="B18" s="8">
        <v>10.43</v>
      </c>
    </row>
    <row r="20" spans="1:2">
      <c r="A20" s="9" t="s">
        <v>80</v>
      </c>
      <c r="B20" s="8">
        <v>12.26</v>
      </c>
    </row>
    <row r="21" spans="1:2">
      <c r="A21" s="9" t="s">
        <v>81</v>
      </c>
      <c r="B21" s="8">
        <v>9.93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82</v>
      </c>
    </row>
    <row r="4" spans="1:2">
      <c r="A4" s="9" t="s">
        <v>83</v>
      </c>
      <c r="B4" t="s">
        <v>84</v>
      </c>
    </row>
    <row r="5" spans="1:2">
      <c r="A5" s="9" t="s">
        <v>85</v>
      </c>
      <c r="B5" t="s">
        <v>86</v>
      </c>
    </row>
    <row r="6" spans="1:2">
      <c r="A6" s="9" t="s">
        <v>87</v>
      </c>
      <c r="B6" t="s">
        <v>88</v>
      </c>
    </row>
    <row r="7" spans="1:2">
      <c r="A7" s="9" t="s">
        <v>89</v>
      </c>
      <c r="B7" t="s">
        <v>90</v>
      </c>
    </row>
    <row r="8" spans="1:2">
      <c r="A8" s="9" t="s">
        <v>91</v>
      </c>
      <c r="B8" t="s">
        <v>92</v>
      </c>
    </row>
    <row r="9" spans="1:2">
      <c r="A9" s="9" t="s">
        <v>93</v>
      </c>
      <c r="B9" t="s">
        <v>94</v>
      </c>
    </row>
    <row r="10" spans="1:2">
      <c r="A10" s="9" t="s">
        <v>95</v>
      </c>
      <c r="B10" t="s">
        <v>96</v>
      </c>
    </row>
    <row r="11" spans="1:2">
      <c r="A11" s="9" t="s">
        <v>97</v>
      </c>
      <c r="B11" t="s">
        <v>98</v>
      </c>
    </row>
    <row r="12" spans="1:2">
      <c r="A12" s="9" t="s">
        <v>99</v>
      </c>
      <c r="B12" t="s">
        <v>100</v>
      </c>
    </row>
    <row r="13" spans="1:2">
      <c r="A13" s="9" t="s">
        <v>101</v>
      </c>
      <c r="B13" t="s">
        <v>102</v>
      </c>
    </row>
    <row r="14" spans="1:2">
      <c r="A14" s="9" t="s">
        <v>103</v>
      </c>
      <c r="B14" t="s">
        <v>104</v>
      </c>
    </row>
    <row r="15" spans="1:2">
      <c r="A15" s="9" t="s">
        <v>105</v>
      </c>
      <c r="B15" t="s">
        <v>106</v>
      </c>
    </row>
    <row r="16" spans="1:2">
      <c r="A16" s="9" t="s">
        <v>107</v>
      </c>
      <c r="B16" t="s">
        <v>108</v>
      </c>
    </row>
    <row r="17" spans="1:2">
      <c r="A17" s="9" t="s">
        <v>109</v>
      </c>
      <c r="B17" t="s">
        <v>110</v>
      </c>
    </row>
    <row r="18" spans="1:2">
      <c r="A18" s="9" t="s">
        <v>111</v>
      </c>
      <c r="B18" t="s">
        <v>112</v>
      </c>
    </row>
    <row r="19" spans="1:2">
      <c r="A19" s="9" t="s">
        <v>113</v>
      </c>
      <c r="B19" t="s">
        <v>114</v>
      </c>
    </row>
    <row r="20" spans="1:2">
      <c r="A20" s="9" t="s">
        <v>115</v>
      </c>
      <c r="B2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DDM Model</vt:lpstr>
      <vt:lpstr>Scenarios</vt:lpstr>
      <vt:lpstr>Sensitivity</vt:lpstr>
      <vt:lpstr>Historical Multiples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2026-08-10T08:58:47Z</dcterms:created>
  <dcterms:modified xsi:type="dcterms:W3CDTF">2026-08-10T08:58:47Z</dcterms:modified>
</cp:coreProperties>
</file>