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<sst xmlns="http://schemas.openxmlformats.org/spreadsheetml/2006/main" count="371" uniqueCount="175">
  <si>
    <t xml:space="preserve">Ticker</t>
  </si>
  <si>
    <t xml:space="preserve">ORA.PA</t>
  </si>
  <si>
    <t xml:space="preserve">Company</t>
  </si>
  <si>
    <t xml:space="preserve">Orange S.A.</t>
  </si>
  <si>
    <t xml:space="preserve">Valuation date</t>
  </si>
  <si>
    <t xml:space="preserve">2026-10-26</t>
  </si>
  <si>
    <t xml:space="preserve">Current price</t>
  </si>
  <si>
    <t xml:space="preserve">Price as of</t>
  </si>
  <si>
    <t xml:space="preserve">2026-10-23T15:36:10Z regular close (Euronext Paris; Yahoo chart API; 52-week range 13.49-18.805)</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</si>
  <si>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</si>
  <si>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</si>
  <si>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</si>
  <si>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</si>
  <si>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</si>
  <si>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</si>
  <si>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</si>
  <si>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</si>
  <si>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</si>
  <si>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</si>
  <si>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</si>
  <si>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</si>
  <si>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2026-10-25T17:32:49Z</t>
  </si>
  <si>
    <t xml:space="preserve">Drivers file</t>
  </si>
  <si>
    <t xml:space="preserve">ORA.PA_Drivers.json</t>
  </si>
  <si>
    <t xml:space="preserve">Convention</t>
  </si>
  <si>
    <t xml:space="preserve">Percents stored as percents; formulas divide by 100. Blue = input, green = link, black = formula.</t>
  </si>
  <si>
    <t xml:space="preserve">Methodology</t>
  </si>
  <si>
    <t xml:space="preserve">summary: Value Orange as a levered, low-growth cash machine on a pro-forma basis that already includes MasOrange, using unlevered owner FCF after the full lease charge and spectrum, with every prior claim on the equity - net financial debt, hybrid capital and African minorities - taken off in the bridge exactly once. The question is not growth; it is whether a mature European incumbent at ~5.4x EBITDAaL and a 5.6% dividend yield can hold EBITDAaL margins while leverage is worked back to 2x. The terminal multiple is capped at what the market has actually paid for Orange over the last decade - 3.76x / 4.62x / 5.64x EBITDAaL in bear / base / bull - because no buyer pays Gordon-at-7% for a telecom, and the 15x unlevered-FCF cap first used (5.9x EBITDAaL) was above the 10-year high.
sanity_check_response: WHAT TRIPPED (2026-10-26): the multiples sanity check flagged an implied P/E of 106x on the base IV against a 10-year average of 21.7x; P/B (1.86x vs 10-year max 1.40x) and EV/EBITDA (6.78x vs max 5.64x) were above range but did not trip. Roughly three-quarters of the P/E excess is mechanical: the denominator is FY2025 statutory net income of EUR 538m, which carries the one-off EUR 1,593m GEPP early-retirement charge and a 332m Orange Business impairment that the model already strips from its base. Normalised (538 + 1,182 after-tax GEPP + 332) FY2025 EPS is ~0.77 and the base IV sat at ~27x that - inside the 2x-of-average rule. The residual - P/B and EV/EBITDA above their 10-year maxima - traced to the terminal: the 15x unlevered-FCF cap equalled 5.9x EBITDAaL, higher than any year-end multiple Orange has traded at since 2016. WHAT CHANGED: terminal caps re-anchored to the 10-year EV/EBITDAaL range per the research-stock fix option 4 - bear 3.76x (10-year low), base 4.62x (average), bull 5.64x (high) - expressed in the engine as 11.5x / 11.7x / 13.2x unlevered FCF. No driver path, the WACC, the weights, the SBC treatment or the equity bridge was touched; the 'wacc_too_low' diagnosis was rejected (see wacc_rationale). The mechanical P/E will keep tripping on the statutory FY2025 denominator until the FY2026 actuals roll in; read the normalised figure in sanity_check.implied_multiples_after_fix instead. The cost of the fix is that the base terminal now sits below today's market multiple (~5.4x): if the 2025-26 European telecom re-rating proves durable, this valuation understates Orange by roughly EUR 4 per share.
key_risks_to_valuation: NCI fair value is an estimate (6,000m vs 3,321m book): each 1bn moves value ~EUR 0.38/share; Pro-forma FY0 assumes immaterial Orange/MasOrange intra-group eliminations and MasOrange lease intensity similar to Orange's; Terminal value is cap-bound in every scenario and the caps are anchored to a decade (2016-2025) in which European telecoms de-rated; each 1x of unlevered-FCF cap moves base value by ~EUR 1.35/share, each 0.5x of EBITDAaL by ~EUR 1.7/share; SFR consortium deal: debt-funded, closes H2 2027 at the earliest, subject to French antitrust; modelled only through market-structure margins, not as an acquisition; D&amp;A (16.3% terminal) stays above capex (16.0%) because of acquired-intangible amortisation; the tax shield this implies is partly real and partly PPA - a 0.3pp gap is worth ~EUR 0.1/share; African FX translation: comparable-basis growth exceeded historical-basis growth by ~2.5pp in FY2025; Hybrid notes deducted at carrying value; Orange has been a net issuer (+482m in H1 2026), which substitutes for senior debt rather than adding to the claim stack; FY2025 statutory earnings (EUR 0.14/share) understate run-rate earning power (~0.77 normalised) by the GEPP charge; screens keyed on trailing P/E will misread Orange until FY2026 actuals</t>
  </si>
  <si>
    <t xml:space="preserve">Data sources</t>
  </si>
  <si>
    <t xml:space="preserve">price: Yahoo Finance chart API at inputs.price_as_of (Euronext Paris regular close, EUR); 52-week range 13.49-18.805
financials: ORA.PA_Metrics.csv / metrics_normalized and kpis (FY2015-FY2025, H1 2022-H1 2026); FY2025 Universal Registration Document (ORA.PA_Annual_FY2025.txt) for lease cash, D&amp;A split, cash tax, hybrids, NCI, diluted shares, GEPP/TPS charge (employee-benefits note: 1,549 operating + 44 finance); H1 2026 financial report (ORA.PA_HalfYear_H1-2026.txt) for the June 2026 balance sheet, net financial debt bridge, NFD/EBITDAaL incl. MasOrange 12 months, Note 3 pro-forma revenue; H1 2026 press release and presentation for raised FY2026 guidance, dividend path and SFR MoU terms; FY2025 results presentation p.20-21 for MasOrange FY2025 revenue 7,601, EBITDAaL 2,284 and 9.4bn debt; sanity_check historical_table (FY2018-FY2025 EV/EBITDA 3.76x-5.64x) for the terminal-cap anchors
qualitative: ORA.PA_Analysis.json (2026-10-26): segment mix, bull/bear axes, risk register</t>
  </si>
  <si>
    <t xml:space="preserve">Scenario narrative: bear</t>
  </si>
  <si>
    <t xml:space="preserve">The French four-player price war reignites or the SFR deal is blocked and SFR is instead recapitalised as a price-led challenger; Orange Business keeps declining ~3-5% a year with further impairments; a CFA-zone or Egyptian devaluation knocks Africa's euro contribution; copper decommissioning (1.68bn provision, through 2030) and GEPP restructuring cash costs run above plan; MasOrange synergies disappoint and the integration consumes management. Revenue stalls at zero growth from year 5, EBITDAaL margin slips ~0.7pp, capex stays at 17% of revenue to defend fibre and 5G share, cash tax 25%. Leverage stays above 2.4x, the dividend floor becomes a constraint rather than a promise, and the state shareholder's employment priorities limit cost action. Terminal cap 11.5x unlevered FCF (= 3.76x EBITDAaL, the 10-year low), growth 0.5%.</t>
  </si>
  <si>
    <t xml:space="preserve">Scenario narrative: base</t>
  </si>
  <si>
    <t xml:space="preserve">Orange delivers the 'Trust the future' plan roughly as guided: pro-forma revenue grows ~1.5-1.8% a year, decelerating to 1% - Africa &amp; Middle East (double-digit cb growth for 11+ quarters, with FX translation drag) and Europe (+3-4%) offset a flat France and an Orange Business segment still shrinking ~3%. EBITDAaL margin expands ~1.9pp over five years as MasOrange's &gt;=500m run-rate synergies land, the French 600m cost programme is sustained and the mix tilts to Africa; this is what &gt;4% EBITDAaL growth on ~2% revenue means. Capex intensity steps down from 16.8% to 16% as the French fibre build completes; spectrum renewals stay in the flows. Cash tax at 23%. Net debt/EBITDAaL drifts from 2.4x back toward 2x by 2028 on ~5bn of organic cash flow, funding the EUR 0.79 -&gt; 0.85 dividend path. SFR is treated as market-structure support, not as an acquisition. Terminal value is bound by an 11.7x unlevered-FCF cap, which is 4.62x EBITDAaL - Orange's own 10-year average EV/EBITDAaL - rather than today's ~5.4x or the 5.9x the model carried before the sanity check.</t>
  </si>
  <si>
    <t xml:space="preserve">Scenario narrative: bull</t>
  </si>
  <si>
    <t xml:space="preserve">French market structure repairs: the SFR carve-up clears antitrust (three operators from four), Free's price aggression fades, convergent ARPO keeps rising and wholesale fibre co-financing continues; Spain under full ownership extracts the full MasOrange synergy run-rate and low-single-digit growth; Africa &amp; Middle East compounds at high single digits with Orange Money monetisation and no major devaluation; Orange Business stabilises on cyberdefense and portfolio pruning. Revenue grows 2.5-2.8% near term, EBITDAaL margin reaches ~33.65% (pre-lease 38%), capex intensity falls to 15.5% with low-capex SFR customers and completed fibre; cash tax 22%. Terminal cap 13.2x unlevered FCF (= 5.64x EBITDAaL, the 10-year high), growth 1.5%.</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</si>
  <si>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</si>
  <si>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</si>
  <si>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</si>
  <si>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</si>
  <si>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</si>
  <si>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</si>
  <si>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</si>
  <si>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</si>
  <si>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</si>
  <si>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</si>
  <si>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</si>
  <si>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</si>
  <si>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</si>
  <si>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</si>
  <si>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</si>
  <si>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</si>
  <si>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</si>
  <si>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</si>
  <si>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</si>
  <si>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</si>
  <si>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</si>
  <si>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</si>
  <si>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</si>
  <si>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</si>
  <si>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</si>
  <si>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</si>
  <si>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</si>
  <si>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AdjustedEBITDA</t>
  </si>
  <si>
    <t xml:space="preserve">BroadbandCustomers</t>
  </si>
  <si>
    <t xml:space="preserve">FreeCashFlowCompanyDefined</t>
  </si>
  <si>
    <t xml:space="preserve">NetFinancialDebt</t>
  </si>
  <si>
    <t xml:space="preserve">PostpaidSubscribers</t>
  </si>
  <si>
    <t xml:space="preserve">PrepaidSubscribers</t>
  </si>
  <si>
    <t xml:space="preserve">SegmentRevenueEurope</t>
  </si>
  <si>
    <t xml:space="preserve">Subscribers</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</si>
  <si>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</si>
  <si>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</si>
  <si>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</si>
  <si>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</si>
  <si>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</si>
  <si>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</si>
  <si>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</si>
  <si>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</si>
  <si>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</si>
  <si>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</si>
  <si>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</si>
  <si>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</si>
  <si>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</si>
  <si>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</si>
  <si>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</si>
  <si>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</si>
  <si>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</si>
  <si>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</si>
  <si>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</si>
  <si>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</si>
  <si>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FY2025 pro forma (MasOrange consolidated 12 months)</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</si>
  <si>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</si>
  <si>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</si>
  <si>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</si>
  <si>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</si>
  <si>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</si>
  <si>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</si>
  <si>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</si>
  <si>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</si>
  <si>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</si>
  <si>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</si>
  <si>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</si>
  <si>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</si>
  <si>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</si>
  <si>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</si>
  <si>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</si>
  <si>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</si>
  <si>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</si>
  <si>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</si>
  <si>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</si>
  <si>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</si>
  <si>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</si>
  <si>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</si>
  <si>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</si>
  <si>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</si>
  <si>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</si>
  <si>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</si>
  <si>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</si>
  <si>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</si>
  <si>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ORA.PA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</si>
  <si>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</si>
  <si>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</si>
  <si>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</si>
  <si>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</si>
  <si>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</si>
  <si>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</si>
  <si>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</si>
  <si>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</si>
  <si>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</si>
  <si>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</si>
  <si>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</si>
  <si>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</si>
  <si>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</si>
  <si>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</si>
  <si>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</si>
  <si>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</si>
  <si>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</si>
  <si>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</si>
  <si>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</si>
  <si>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</si>
  <si>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</si>
  <si>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</si>
  <si>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</si>
  <si>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</si>
  <si>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</si>
  <si>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</si>
  <si>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</si>
  <si>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</si>
  <si>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</si>
  <si>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</si>
  <si>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ORA.PA owner-FCF component DCF: base case (millions, EUR)</t>
  </si>
  <si>
    <t xml:space="preserve">ORA.PA owner-FCF component DCF: bull case (millions, EUR)</t>
  </si>
  <si>
    <t xml:space="preserve">ORA.PA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</si>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</sst>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14.205</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35.0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c r="AG1" s="2" t="s">
        <v>67</v>
      </c>
      <c r="AH1" s="2" t="s">
        <v>68</v>
      </c>
      <c r="AI1" s="2" t="s">
        <v>69</v>
      </c>
      <c r="AJ1" s="2" t="s">
        <v>70</v>
      </c>
    </row>
    <row r="2" customFormat="false" ht="15" hidden="false" customHeight="false" outlineLevel="0" collapsed="false">
      <c r="A2" s="0" t="s">
        <v>71</v>
      </c>
      <c r="B2" s="0" t="n">
        <v>40236</v>
      </c>
      <c r="F2" s="0" t="n">
        <v>4742</v>
      </c>
      <c r="G2" s="0" t="n">
        <v>11.8</v>
      </c>
      <c r="I2" s="0" t="n">
        <v>2652</v>
      </c>
      <c r="J2" s="0" t="n">
        <v>6.6</v>
      </c>
      <c r="K2" s="0" t="n">
        <v>0.88</v>
      </c>
      <c r="L2" s="0" t="n">
        <v>9527</v>
      </c>
      <c r="M2" s="0" t="n">
        <v>7771</v>
      </c>
      <c r="N2" s="0" t="n">
        <v>1756</v>
      </c>
      <c r="O2" s="0" t="n">
        <v>30907</v>
      </c>
      <c r="P2" s="0" t="n">
        <v>91430</v>
      </c>
      <c r="S2" s="0" t="n">
        <v>4469</v>
      </c>
      <c r="T2" s="0" t="n">
        <v>2649</v>
      </c>
      <c r="AA2" s="0" t="s">
        <v>17</v>
      </c>
      <c r="AB2" s="0" t="s">
        <v>14</v>
      </c>
    </row>
    <row r="3" customFormat="false" ht="15" hidden="false" customHeight="false" outlineLevel="0" collapsed="false">
      <c r="A3" s="0" t="s">
        <v>72</v>
      </c>
      <c r="B3" s="0" t="n">
        <v>40918</v>
      </c>
      <c r="F3" s="0" t="n">
        <v>4077</v>
      </c>
      <c r="G3" s="0" t="n">
        <v>10</v>
      </c>
      <c r="I3" s="0" t="n">
        <v>2935</v>
      </c>
      <c r="J3" s="0" t="n">
        <v>7.2</v>
      </c>
      <c r="K3" s="0" t="n">
        <v>1</v>
      </c>
      <c r="L3" s="0" t="n">
        <v>8750</v>
      </c>
      <c r="M3" s="0" t="n">
        <v>8492</v>
      </c>
      <c r="N3" s="0" t="n">
        <v>258</v>
      </c>
      <c r="O3" s="0" t="n">
        <v>30688</v>
      </c>
      <c r="P3" s="0" t="n">
        <v>94668</v>
      </c>
      <c r="S3" s="0" t="n">
        <v>6355</v>
      </c>
      <c r="T3" s="0" t="n">
        <v>2660</v>
      </c>
      <c r="AA3" s="0" t="s">
        <v>17</v>
      </c>
      <c r="AB3" s="0" t="s">
        <v>14</v>
      </c>
    </row>
    <row r="4" customFormat="false" ht="15" hidden="false" customHeight="false" outlineLevel="0" collapsed="false">
      <c r="A4" s="0" t="s">
        <v>73</v>
      </c>
      <c r="B4" s="0" t="n">
        <v>41096</v>
      </c>
      <c r="F4" s="0" t="n">
        <v>4917</v>
      </c>
      <c r="G4" s="0" t="n">
        <v>12</v>
      </c>
      <c r="I4" s="0" t="n">
        <v>1906</v>
      </c>
      <c r="J4" s="0" t="n">
        <v>4.6</v>
      </c>
      <c r="K4" s="0" t="n">
        <v>0.62</v>
      </c>
      <c r="L4" s="0" t="n">
        <v>10174</v>
      </c>
      <c r="M4" s="0" t="n">
        <v>7527</v>
      </c>
      <c r="N4" s="0" t="n">
        <v>2647</v>
      </c>
      <c r="O4" s="0" t="n">
        <v>30488</v>
      </c>
      <c r="P4" s="0" t="n">
        <v>94714</v>
      </c>
      <c r="S4" s="0" t="n">
        <v>5810</v>
      </c>
      <c r="T4" s="0" t="n">
        <v>2660</v>
      </c>
      <c r="AA4" s="0" t="s">
        <v>17</v>
      </c>
      <c r="AB4" s="0" t="s">
        <v>14</v>
      </c>
    </row>
    <row r="5" customFormat="false" ht="15" hidden="false" customHeight="false" outlineLevel="0" collapsed="false">
      <c r="A5" s="0" t="s">
        <v>74</v>
      </c>
      <c r="B5" s="0" t="n">
        <v>41381</v>
      </c>
      <c r="F5" s="0" t="n">
        <v>4829</v>
      </c>
      <c r="G5" s="0" t="n">
        <v>11.7</v>
      </c>
      <c r="H5" s="0" t="n">
        <v>11876</v>
      </c>
      <c r="I5" s="0" t="n">
        <v>1954</v>
      </c>
      <c r="J5" s="0" t="n">
        <v>4.7</v>
      </c>
      <c r="K5" s="0" t="n">
        <v>0.62</v>
      </c>
      <c r="L5" s="0" t="n">
        <v>9506</v>
      </c>
      <c r="M5" s="0" t="n">
        <v>7642</v>
      </c>
      <c r="N5" s="0" t="n">
        <v>1864</v>
      </c>
      <c r="O5" s="0" t="n">
        <v>30669</v>
      </c>
      <c r="P5" s="0" t="n">
        <v>96592</v>
      </c>
      <c r="R5" s="0" t="n">
        <v>34019</v>
      </c>
      <c r="S5" s="0" t="n">
        <v>5634</v>
      </c>
      <c r="T5" s="0" t="n">
        <v>2660</v>
      </c>
      <c r="U5" s="0" t="n">
        <v>50</v>
      </c>
      <c r="AA5" s="0" t="s">
        <v>17</v>
      </c>
      <c r="AB5" s="0" t="s">
        <v>14</v>
      </c>
    </row>
    <row r="6" customFormat="false" ht="15" hidden="false" customHeight="false" outlineLevel="0" collapsed="false">
      <c r="A6" s="0" t="s">
        <v>75</v>
      </c>
      <c r="B6" s="0" t="n">
        <v>42238</v>
      </c>
      <c r="F6" s="0" t="n">
        <v>5930</v>
      </c>
      <c r="G6" s="0" t="n">
        <v>14</v>
      </c>
      <c r="H6" s="0" t="n">
        <v>14328</v>
      </c>
      <c r="I6" s="0" t="n">
        <v>3004</v>
      </c>
      <c r="J6" s="0" t="n">
        <v>7.1</v>
      </c>
      <c r="K6" s="0" t="n">
        <v>1.02</v>
      </c>
      <c r="L6" s="0" t="n">
        <v>10190</v>
      </c>
      <c r="M6" s="0" t="n">
        <v>8422</v>
      </c>
      <c r="N6" s="0" t="n">
        <v>1768</v>
      </c>
      <c r="O6" s="0" t="n">
        <v>31725</v>
      </c>
      <c r="P6" s="0" t="n">
        <v>106741</v>
      </c>
      <c r="R6" s="0" t="n">
        <v>37073</v>
      </c>
      <c r="S6" s="0" t="n">
        <v>6481</v>
      </c>
      <c r="T6" s="0" t="n">
        <v>2652.5</v>
      </c>
      <c r="U6" s="0" t="n">
        <v>55</v>
      </c>
      <c r="AA6" s="0" t="s">
        <v>17</v>
      </c>
      <c r="AB6" s="0" t="s">
        <v>14</v>
      </c>
    </row>
    <row r="7" customFormat="false" ht="15" hidden="false" customHeight="false" outlineLevel="0" collapsed="false">
      <c r="A7" s="0" t="s">
        <v>76</v>
      </c>
      <c r="B7" s="0" t="n">
        <v>42270</v>
      </c>
      <c r="F7" s="0" t="n">
        <v>5521</v>
      </c>
      <c r="G7" s="0" t="n">
        <v>13.1</v>
      </c>
      <c r="H7" s="0" t="n">
        <v>14094</v>
      </c>
      <c r="I7" s="0" t="n">
        <v>4822</v>
      </c>
      <c r="J7" s="0" t="n">
        <v>11.4</v>
      </c>
      <c r="K7" s="0" t="n">
        <v>1.71</v>
      </c>
      <c r="L7" s="0" t="n">
        <v>12697</v>
      </c>
      <c r="M7" s="0" t="n">
        <v>8546</v>
      </c>
      <c r="N7" s="0" t="n">
        <v>4151</v>
      </c>
      <c r="O7" s="0" t="n">
        <v>34395</v>
      </c>
      <c r="P7" s="0" t="n">
        <v>107733</v>
      </c>
      <c r="R7" s="0" t="n">
        <v>35259</v>
      </c>
      <c r="S7" s="0" t="n">
        <v>8145</v>
      </c>
      <c r="T7" s="0" t="n">
        <v>2656.1</v>
      </c>
      <c r="U7" s="0" t="n">
        <v>23</v>
      </c>
      <c r="AA7" s="0" t="s">
        <v>17</v>
      </c>
      <c r="AB7" s="0" t="s">
        <v>14</v>
      </c>
    </row>
    <row r="8" customFormat="false" ht="15" hidden="false" customHeight="false" outlineLevel="0" collapsed="false">
      <c r="A8" s="0" t="s">
        <v>77</v>
      </c>
      <c r="B8" s="0" t="n">
        <v>42522</v>
      </c>
      <c r="F8" s="0" t="n">
        <v>2521</v>
      </c>
      <c r="G8" s="0" t="n">
        <v>5.9</v>
      </c>
      <c r="H8" s="0" t="n">
        <v>11160</v>
      </c>
      <c r="I8" s="0" t="n">
        <v>233</v>
      </c>
      <c r="J8" s="0" t="n">
        <v>0.5</v>
      </c>
      <c r="K8" s="0" t="n">
        <v>0</v>
      </c>
      <c r="L8" s="0" t="n">
        <v>11236</v>
      </c>
      <c r="M8" s="0" t="n">
        <v>8749</v>
      </c>
      <c r="N8" s="0" t="n">
        <v>2487</v>
      </c>
      <c r="O8" s="0" t="n">
        <v>32341</v>
      </c>
      <c r="P8" s="0" t="n">
        <v>108071</v>
      </c>
      <c r="R8" s="0" t="n">
        <v>35343</v>
      </c>
      <c r="S8" s="0" t="n">
        <v>8621</v>
      </c>
      <c r="T8" s="0" t="n">
        <v>2657</v>
      </c>
      <c r="U8" s="0" t="n">
        <v>179</v>
      </c>
      <c r="AA8" s="0" t="s">
        <v>17</v>
      </c>
      <c r="AB8" s="0" t="s">
        <v>14</v>
      </c>
    </row>
    <row r="9" customFormat="false" ht="15" hidden="false" customHeight="false" outlineLevel="0" collapsed="false">
      <c r="A9" s="0" t="s">
        <v>78</v>
      </c>
      <c r="B9" s="0" t="n">
        <v>43471</v>
      </c>
      <c r="F9" s="0" t="n">
        <v>4801</v>
      </c>
      <c r="G9" s="0" t="n">
        <v>11</v>
      </c>
      <c r="H9" s="0" t="n">
        <v>13450</v>
      </c>
      <c r="I9" s="0" t="n">
        <v>2146</v>
      </c>
      <c r="J9" s="0" t="n">
        <v>4.9</v>
      </c>
      <c r="K9" s="0" t="n">
        <v>0.73</v>
      </c>
      <c r="L9" s="0" t="n">
        <v>11235</v>
      </c>
      <c r="M9" s="0" t="n">
        <v>8777</v>
      </c>
      <c r="N9" s="0" t="n">
        <v>2458</v>
      </c>
      <c r="O9" s="0" t="n">
        <v>31784</v>
      </c>
      <c r="P9" s="0" t="n">
        <v>109650</v>
      </c>
      <c r="R9" s="0" t="n">
        <v>36632</v>
      </c>
      <c r="S9" s="0" t="n">
        <v>6004</v>
      </c>
      <c r="T9" s="0" t="n">
        <v>2686.8</v>
      </c>
      <c r="U9" s="0" t="n">
        <v>14</v>
      </c>
      <c r="X9" s="0" t="n">
        <v>39127</v>
      </c>
      <c r="AA9" s="0" t="s">
        <v>17</v>
      </c>
      <c r="AB9" s="0" t="s">
        <v>14</v>
      </c>
      <c r="AC9" s="0" t="n">
        <v>12963</v>
      </c>
      <c r="AE9" s="0" t="n">
        <v>3058</v>
      </c>
    </row>
    <row r="10" customFormat="false" ht="15" hidden="false" customHeight="false" outlineLevel="0" collapsed="false">
      <c r="A10" s="0" t="s">
        <v>79</v>
      </c>
      <c r="B10" s="0" t="n">
        <v>44122</v>
      </c>
      <c r="F10" s="0" t="n">
        <v>4969</v>
      </c>
      <c r="G10" s="0" t="n">
        <v>11.3</v>
      </c>
      <c r="H10" s="0" t="n">
        <v>13932</v>
      </c>
      <c r="I10" s="0" t="n">
        <v>2440</v>
      </c>
      <c r="J10" s="0" t="n">
        <v>5.5</v>
      </c>
      <c r="K10" s="0" t="n">
        <v>0.85</v>
      </c>
      <c r="L10" s="0" t="n">
        <v>12054</v>
      </c>
      <c r="M10" s="0" t="n">
        <v>7829</v>
      </c>
      <c r="N10" s="0" t="n">
        <v>4225</v>
      </c>
      <c r="O10" s="0" t="n">
        <v>31825</v>
      </c>
      <c r="P10" s="0" t="n">
        <v>110052</v>
      </c>
      <c r="R10" s="0" t="n">
        <v>35986</v>
      </c>
      <c r="S10" s="0" t="n">
        <v>5618</v>
      </c>
      <c r="T10" s="0" t="n">
        <v>2660.5</v>
      </c>
      <c r="U10" s="0" t="n">
        <v>16</v>
      </c>
      <c r="X10" s="0" t="n">
        <v>39678</v>
      </c>
      <c r="AA10" s="0" t="s">
        <v>17</v>
      </c>
      <c r="AB10" s="0" t="s">
        <v>14</v>
      </c>
      <c r="AC10" s="0" t="n">
        <v>13035</v>
      </c>
      <c r="AE10" s="0" t="n">
        <v>3661</v>
      </c>
      <c r="AI10" s="0" t="n">
        <v>11574</v>
      </c>
    </row>
    <row r="11" customFormat="false" ht="15" hidden="false" customHeight="false" outlineLevel="0" collapsed="false">
      <c r="A11" s="0" t="s">
        <v>80</v>
      </c>
      <c r="B11" s="0" t="n">
        <v>40260</v>
      </c>
      <c r="F11" s="0" t="n">
        <v>5116</v>
      </c>
      <c r="G11" s="0" t="n">
        <v>12.7</v>
      </c>
      <c r="H11" s="0" t="n">
        <v>13007</v>
      </c>
      <c r="I11" s="0" t="n">
        <v>2350</v>
      </c>
      <c r="J11" s="0" t="n">
        <v>5.8</v>
      </c>
      <c r="K11" s="0" t="n">
        <v>0.82</v>
      </c>
      <c r="L11" s="0" t="n">
        <v>10195</v>
      </c>
      <c r="M11" s="0" t="n">
        <v>6710</v>
      </c>
      <c r="N11" s="0" t="n">
        <v>3485</v>
      </c>
      <c r="O11" s="0" t="n">
        <v>31773</v>
      </c>
      <c r="P11" s="0" t="n">
        <v>103874</v>
      </c>
      <c r="R11" s="0" t="n">
        <v>35014</v>
      </c>
      <c r="S11" s="0" t="n">
        <v>8766</v>
      </c>
      <c r="T11" s="0" t="n">
        <v>2659.8</v>
      </c>
      <c r="U11" s="0" t="n">
        <v>18</v>
      </c>
      <c r="X11" s="0" t="n">
        <v>40260</v>
      </c>
      <c r="AA11" s="0" t="s">
        <v>17</v>
      </c>
      <c r="AB11" s="0" t="s">
        <v>14</v>
      </c>
      <c r="AC11" s="0" t="n">
        <v>12109</v>
      </c>
      <c r="AD11" s="0" t="n">
        <v>21896</v>
      </c>
      <c r="AE11" s="0" t="n">
        <v>3259</v>
      </c>
      <c r="AG11" s="0" t="n">
        <v>94626</v>
      </c>
      <c r="AH11" s="0" t="n">
        <v>158378</v>
      </c>
      <c r="AI11" s="0" t="n">
        <v>7101</v>
      </c>
      <c r="AJ11" s="0" t="n">
        <v>253004</v>
      </c>
    </row>
    <row r="12" customFormat="false" ht="15" hidden="false" customHeight="false" outlineLevel="0" collapsed="false">
      <c r="A12" s="0" t="s">
        <v>81</v>
      </c>
      <c r="B12" s="0" t="n">
        <v>40396</v>
      </c>
      <c r="F12" s="0" t="n">
        <v>3422</v>
      </c>
      <c r="G12" s="0" t="n">
        <v>8.5</v>
      </c>
      <c r="H12" s="0" t="n">
        <v>11971</v>
      </c>
      <c r="I12" s="0" t="n">
        <v>538</v>
      </c>
      <c r="J12" s="0" t="n">
        <v>1.3</v>
      </c>
      <c r="K12" s="0" t="n">
        <v>0.14</v>
      </c>
      <c r="L12" s="0" t="n">
        <v>10780</v>
      </c>
      <c r="M12" s="0" t="n">
        <v>7322</v>
      </c>
      <c r="N12" s="0" t="n">
        <v>3458</v>
      </c>
      <c r="O12" s="0" t="n">
        <v>29739</v>
      </c>
      <c r="P12" s="0" t="n">
        <v>107415</v>
      </c>
      <c r="R12" s="0" t="n">
        <v>37995</v>
      </c>
      <c r="S12" s="0" t="n">
        <v>12167</v>
      </c>
      <c r="T12" s="0" t="n">
        <v>2659</v>
      </c>
      <c r="U12" s="0" t="n">
        <v>18</v>
      </c>
      <c r="X12" s="0" t="n">
        <v>40396</v>
      </c>
      <c r="AA12" s="0" t="s">
        <v>17</v>
      </c>
      <c r="AB12" s="0" t="s">
        <v>14</v>
      </c>
      <c r="AC12" s="0" t="n">
        <v>12470</v>
      </c>
      <c r="AD12" s="0" t="n">
        <v>22933</v>
      </c>
      <c r="AE12" s="0" t="n">
        <v>3653</v>
      </c>
      <c r="AF12" s="0" t="n">
        <v>22526</v>
      </c>
      <c r="AG12" s="0" t="n">
        <v>103103</v>
      </c>
      <c r="AH12" s="0" t="n">
        <v>169698</v>
      </c>
      <c r="AI12" s="0" t="n">
        <v>7263</v>
      </c>
      <c r="AJ12" s="0" t="n">
        <v>272801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82</v>
      </c>
      <c r="B1" s="2" t="s">
        <v>83</v>
      </c>
    </row>
    <row r="2" customFormat="false" ht="15" hidden="false" customHeight="false" outlineLevel="0" collapsed="false">
      <c r="A2" s="0" t="s">
        <v>84</v>
      </c>
      <c r="B2" s="3" t="n">
        <v>14.205</v>
      </c>
    </row>
    <row r="3" customFormat="false" ht="15" hidden="false" customHeight="false" outlineLevel="0" collapsed="false">
      <c r="A3" s="0" t="s">
        <v>85</v>
      </c>
      <c r="B3" s="3" t="n">
        <v>2660.3</v>
      </c>
    </row>
    <row r="4" customFormat="false" ht="15" hidden="false" customHeight="false" outlineLevel="0" collapsed="false">
      <c r="A4" s="0" t="s">
        <v>86</v>
      </c>
      <c r="B4" s="3" t="n">
        <v>35683</v>
      </c>
    </row>
    <row r="5" customFormat="false" ht="15" hidden="false" customHeight="false" outlineLevel="0" collapsed="false">
      <c r="A5" s="0" t="s">
        <v>87</v>
      </c>
      <c r="B5" s="3" t="n">
        <v>-9067</v>
      </c>
    </row>
    <row r="6" customFormat="false" ht="15" hidden="false" customHeight="false" outlineLevel="0" collapsed="false">
      <c r="A6" s="0" t="s">
        <v>88</v>
      </c>
      <c r="B6" s="3" t="n">
        <v>15</v>
      </c>
    </row>
    <row r="7" customFormat="false" ht="15" hidden="false" customHeight="false" outlineLevel="0" collapsed="false">
      <c r="A7" s="0" t="s">
        <v>89</v>
      </c>
      <c r="B7" s="3" t="n">
        <v>47997</v>
      </c>
    </row>
    <row r="8" customFormat="false" ht="15" hidden="false" customHeight="false" outlineLevel="0" collapsed="false">
      <c r="A8" s="0" t="s">
        <v>90</v>
      </c>
      <c r="B8" s="3" t="s">
        <v>91</v>
      </c>
    </row>
    <row r="9" customFormat="false" ht="15" hidden="false" customHeight="false" outlineLevel="0" collapsed="false">
      <c r="A9" s="0" t="s">
        <v>92</v>
      </c>
      <c r="B9" s="3" t="s">
        <v>93</v>
      </c>
    </row>
    <row r="10" customFormat="false" ht="15" hidden="false" customHeight="false" outlineLevel="0" collapsed="false">
      <c r="A10" s="0" t="s">
        <v>94</v>
      </c>
      <c r="B10" s="3" t="n">
        <v>1</v>
      </c>
    </row>
    <row r="12" customFormat="false" ht="15" hidden="false" customHeight="false" outlineLevel="0" collapsed="false">
      <c r="A12" s="2" t="s">
        <v>95</v>
      </c>
      <c r="C12" s="2" t="s">
        <v>96</v>
      </c>
      <c r="D12" s="2" t="s">
        <v>97</v>
      </c>
      <c r="E12" s="2" t="s">
        <v>98</v>
      </c>
      <c r="F12" s="2" t="s">
        <v>99</v>
      </c>
      <c r="G12" s="2" t="s">
        <v>100</v>
      </c>
      <c r="H12" s="2" t="s">
        <v>101</v>
      </c>
      <c r="I12" s="2" t="s">
        <v>102</v>
      </c>
      <c r="J12" s="2" t="s">
        <v>103</v>
      </c>
      <c r="K12" s="2" t="s">
        <v>104</v>
      </c>
      <c r="L12" s="2" t="s">
        <v>105</v>
      </c>
    </row>
    <row r="13" customFormat="false" ht="15" hidden="false" customHeight="false" outlineLevel="0" collapsed="false">
      <c r="A13" s="0" t="s">
        <v>106</v>
      </c>
      <c r="C13" s="3" t="n">
        <v>0.8</v>
      </c>
      <c r="D13" s="3" t="n">
        <v>0.5</v>
      </c>
      <c r="E13" s="3" t="n">
        <v>0.3</v>
      </c>
      <c r="F13" s="3" t="n">
        <v>0.2</v>
      </c>
      <c r="G13" s="3" t="n">
        <v>0</v>
      </c>
      <c r="H13" s="3" t="n">
        <v>0</v>
      </c>
      <c r="I13" s="3" t="n">
        <v>0</v>
      </c>
      <c r="J13" s="3" t="n">
        <v>0</v>
      </c>
      <c r="K13" s="3" t="n">
        <v>0</v>
      </c>
      <c r="L13" s="3" t="n">
        <v>0</v>
      </c>
    </row>
    <row r="14" customFormat="false" ht="15" hidden="false" customHeight="false" outlineLevel="0" collapsed="false">
      <c r="A14" s="0" t="s">
        <v>107</v>
      </c>
      <c r="C14" s="3" t="n">
        <v>35.4</v>
      </c>
      <c r="D14" s="3" t="n">
        <v>35.3</v>
      </c>
      <c r="E14" s="3" t="n">
        <v>35.2</v>
      </c>
      <c r="F14" s="3" t="n">
        <v>35</v>
      </c>
      <c r="G14" s="3" t="n">
        <v>34.8</v>
      </c>
      <c r="H14" s="3" t="n">
        <v>34.6</v>
      </c>
      <c r="I14" s="3" t="n">
        <v>34.5</v>
      </c>
      <c r="J14" s="3" t="n">
        <v>34.5</v>
      </c>
      <c r="K14" s="3" t="n">
        <v>34.5</v>
      </c>
      <c r="L14" s="3" t="n">
        <v>34.5</v>
      </c>
    </row>
    <row r="15" customFormat="false" ht="15" hidden="false" customHeight="false" outlineLevel="0" collapsed="false">
      <c r="A15" s="0" t="s">
        <v>108</v>
      </c>
      <c r="C15" s="3" t="n">
        <v>0.05</v>
      </c>
      <c r="D15" s="3" t="n">
        <v>0.05</v>
      </c>
      <c r="E15" s="3" t="n">
        <v>0.05</v>
      </c>
      <c r="F15" s="3" t="n">
        <v>0.05</v>
      </c>
      <c r="G15" s="3" t="n">
        <v>0.05</v>
      </c>
      <c r="H15" s="3" t="n">
        <v>0.05</v>
      </c>
      <c r="I15" s="3" t="n">
        <v>0.05</v>
      </c>
      <c r="J15" s="3" t="n">
        <v>0.05</v>
      </c>
      <c r="K15" s="3" t="n">
        <v>0.05</v>
      </c>
      <c r="L15" s="3" t="n">
        <v>0.05</v>
      </c>
    </row>
    <row r="16" customFormat="false" ht="15" hidden="false" customHeight="false" outlineLevel="0" collapsed="false">
      <c r="A16" s="0" t="s">
        <v>109</v>
      </c>
      <c r="C16" s="3" t="n">
        <v>4.3</v>
      </c>
      <c r="D16" s="3" t="n">
        <v>4.3</v>
      </c>
      <c r="E16" s="3" t="n">
        <v>4.3</v>
      </c>
      <c r="F16" s="3" t="n">
        <v>4.3</v>
      </c>
      <c r="G16" s="3" t="n">
        <v>4.3</v>
      </c>
      <c r="H16" s="3" t="n">
        <v>4.3</v>
      </c>
      <c r="I16" s="3" t="n">
        <v>4.3</v>
      </c>
      <c r="J16" s="3" t="n">
        <v>4.3</v>
      </c>
      <c r="K16" s="3" t="n">
        <v>4.3</v>
      </c>
      <c r="L16" s="3" t="n">
        <v>4.3</v>
      </c>
    </row>
    <row r="17" customFormat="false" ht="15" hidden="false" customHeight="false" outlineLevel="0" collapsed="false">
      <c r="A17" s="0" t="s">
        <v>110</v>
      </c>
      <c r="C17" s="3" t="n">
        <v>17.5</v>
      </c>
      <c r="D17" s="3" t="n">
        <v>17.4</v>
      </c>
      <c r="E17" s="3" t="n">
        <v>17.3</v>
      </c>
      <c r="F17" s="3" t="n">
        <v>17.2</v>
      </c>
      <c r="G17" s="3" t="n">
        <v>17.1</v>
      </c>
      <c r="H17" s="3" t="n">
        <v>17</v>
      </c>
      <c r="I17" s="3" t="n">
        <v>17</v>
      </c>
      <c r="J17" s="3" t="n">
        <v>17</v>
      </c>
      <c r="K17" s="3" t="n">
        <v>17</v>
      </c>
      <c r="L17" s="3" t="n">
        <v>17</v>
      </c>
    </row>
    <row r="18" customFormat="false" ht="15" hidden="false" customHeight="false" outlineLevel="0" collapsed="false">
      <c r="A18" s="0" t="s">
        <v>111</v>
      </c>
      <c r="C18" s="3" t="n">
        <v>17.2</v>
      </c>
      <c r="D18" s="3" t="n">
        <v>17.2</v>
      </c>
      <c r="E18" s="3" t="n">
        <v>17</v>
      </c>
      <c r="F18" s="3" t="n">
        <v>17</v>
      </c>
      <c r="G18" s="3" t="n">
        <v>17</v>
      </c>
      <c r="H18" s="3" t="n">
        <v>17</v>
      </c>
      <c r="I18" s="3" t="n">
        <v>17</v>
      </c>
      <c r="J18" s="3" t="n">
        <v>17</v>
      </c>
      <c r="K18" s="3" t="n">
        <v>17</v>
      </c>
      <c r="L18" s="3" t="n">
        <v>17</v>
      </c>
    </row>
    <row r="19" customFormat="false" ht="15" hidden="false" customHeight="false" outlineLevel="0" collapsed="false">
      <c r="A19" s="0" t="s">
        <v>112</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113</v>
      </c>
      <c r="B20" s="3" t="n">
        <v>7</v>
      </c>
    </row>
    <row r="21" customFormat="false" ht="15" hidden="false" customHeight="false" outlineLevel="0" collapsed="false">
      <c r="A21" s="0" t="s">
        <v>114</v>
      </c>
      <c r="B21" s="3" t="n">
        <v>0.5</v>
      </c>
    </row>
    <row r="22" customFormat="false" ht="15" hidden="false" customHeight="false" outlineLevel="0" collapsed="false">
      <c r="A22" s="0" t="s">
        <v>115</v>
      </c>
      <c r="B22" s="3" t="n">
        <v>11.5</v>
      </c>
    </row>
    <row r="23" customFormat="false" ht="15" hidden="false" customHeight="false" outlineLevel="0" collapsed="false">
      <c r="A23" s="0" t="s">
        <v>116</v>
      </c>
      <c r="B23" s="3" t="n">
        <v>0</v>
      </c>
    </row>
    <row r="24" customFormat="false" ht="15" hidden="false" customHeight="false" outlineLevel="0" collapsed="false">
      <c r="A24" s="0" t="s">
        <v>117</v>
      </c>
      <c r="B24" s="3" t="n">
        <v>0.25</v>
      </c>
    </row>
    <row r="26" customFormat="false" ht="15" hidden="false" customHeight="false" outlineLevel="0" collapsed="false">
      <c r="A26" s="2" t="s">
        <v>118</v>
      </c>
      <c r="C26" s="2" t="s">
        <v>96</v>
      </c>
      <c r="D26" s="2" t="s">
        <v>97</v>
      </c>
      <c r="E26" s="2" t="s">
        <v>98</v>
      </c>
      <c r="F26" s="2" t="s">
        <v>99</v>
      </c>
      <c r="G26" s="2" t="s">
        <v>100</v>
      </c>
      <c r="H26" s="2" t="s">
        <v>101</v>
      </c>
      <c r="I26" s="2" t="s">
        <v>102</v>
      </c>
      <c r="J26" s="2" t="s">
        <v>103</v>
      </c>
      <c r="K26" s="2" t="s">
        <v>104</v>
      </c>
      <c r="L26" s="2" t="s">
        <v>105</v>
      </c>
    </row>
    <row r="27" customFormat="false" ht="15" hidden="false" customHeight="false" outlineLevel="0" collapsed="false">
      <c r="A27" s="0" t="s">
        <v>106</v>
      </c>
      <c r="C27" s="3" t="n">
        <v>1.8</v>
      </c>
      <c r="D27" s="3" t="n">
        <v>1.8</v>
      </c>
      <c r="E27" s="3" t="n">
        <v>1.7</v>
      </c>
      <c r="F27" s="3" t="n">
        <v>1.6</v>
      </c>
      <c r="G27" s="3" t="n">
        <v>1.5</v>
      </c>
      <c r="H27" s="3" t="n">
        <v>1.4</v>
      </c>
      <c r="I27" s="3" t="n">
        <v>1.3</v>
      </c>
      <c r="J27" s="3" t="n">
        <v>1.2</v>
      </c>
      <c r="K27" s="3" t="n">
        <v>1.1</v>
      </c>
      <c r="L27" s="3" t="n">
        <v>1</v>
      </c>
    </row>
    <row r="28" customFormat="false" ht="15" hidden="false" customHeight="false" outlineLevel="0" collapsed="false">
      <c r="A28" s="0" t="s">
        <v>107</v>
      </c>
      <c r="C28" s="3" t="n">
        <v>35.8</v>
      </c>
      <c r="D28" s="3" t="n">
        <v>36.2</v>
      </c>
      <c r="E28" s="3" t="n">
        <v>36.5</v>
      </c>
      <c r="F28" s="3" t="n">
        <v>36.7</v>
      </c>
      <c r="G28" s="3" t="n">
        <v>36.9</v>
      </c>
      <c r="H28" s="3" t="n">
        <v>37</v>
      </c>
      <c r="I28" s="3" t="n">
        <v>37</v>
      </c>
      <c r="J28" s="3" t="n">
        <v>37</v>
      </c>
      <c r="K28" s="3" t="n">
        <v>37</v>
      </c>
      <c r="L28" s="3" t="n">
        <v>37</v>
      </c>
    </row>
    <row r="29" customFormat="false" ht="15" hidden="false" customHeight="false" outlineLevel="0" collapsed="false">
      <c r="A29" s="0" t="s">
        <v>108</v>
      </c>
      <c r="C29" s="3" t="n">
        <v>0.05</v>
      </c>
      <c r="D29" s="3" t="n">
        <v>0.05</v>
      </c>
      <c r="E29" s="3" t="n">
        <v>0.05</v>
      </c>
      <c r="F29" s="3" t="n">
        <v>0.05</v>
      </c>
      <c r="G29" s="3" t="n">
        <v>0.05</v>
      </c>
      <c r="H29" s="3" t="n">
        <v>0.05</v>
      </c>
      <c r="I29" s="3" t="n">
        <v>0.05</v>
      </c>
      <c r="J29" s="3" t="n">
        <v>0.05</v>
      </c>
      <c r="K29" s="3" t="n">
        <v>0.05</v>
      </c>
      <c r="L29" s="3" t="n">
        <v>0.05</v>
      </c>
    </row>
    <row r="30" customFormat="false" ht="15" hidden="false" customHeight="false" outlineLevel="0" collapsed="false">
      <c r="A30" s="0" t="s">
        <v>109</v>
      </c>
      <c r="C30" s="3" t="n">
        <v>4.3</v>
      </c>
      <c r="D30" s="3" t="n">
        <v>4.3</v>
      </c>
      <c r="E30" s="3" t="n">
        <v>4.3</v>
      </c>
      <c r="F30" s="3" t="n">
        <v>4.3</v>
      </c>
      <c r="G30" s="3" t="n">
        <v>4.3</v>
      </c>
      <c r="H30" s="3" t="n">
        <v>4.3</v>
      </c>
      <c r="I30" s="3" t="n">
        <v>4.3</v>
      </c>
      <c r="J30" s="3" t="n">
        <v>4.3</v>
      </c>
      <c r="K30" s="3" t="n">
        <v>4.3</v>
      </c>
      <c r="L30" s="3" t="n">
        <v>4.3</v>
      </c>
    </row>
    <row r="31" customFormat="false" ht="15" hidden="false" customHeight="false" outlineLevel="0" collapsed="false">
      <c r="A31" s="0" t="s">
        <v>110</v>
      </c>
      <c r="C31" s="3" t="n">
        <v>17.5</v>
      </c>
      <c r="D31" s="3" t="n">
        <v>17.3</v>
      </c>
      <c r="E31" s="3" t="n">
        <v>17.1</v>
      </c>
      <c r="F31" s="3" t="n">
        <v>16.9</v>
      </c>
      <c r="G31" s="3" t="n">
        <v>16.7</v>
      </c>
      <c r="H31" s="3" t="n">
        <v>16.5</v>
      </c>
      <c r="I31" s="3" t="n">
        <v>16.4</v>
      </c>
      <c r="J31" s="3" t="n">
        <v>16.3</v>
      </c>
      <c r="K31" s="3" t="n">
        <v>16.3</v>
      </c>
      <c r="L31" s="3" t="n">
        <v>16.3</v>
      </c>
    </row>
    <row r="32" customFormat="false" ht="15" hidden="false" customHeight="false" outlineLevel="0" collapsed="false">
      <c r="A32" s="0" t="s">
        <v>111</v>
      </c>
      <c r="C32" s="3" t="n">
        <v>16.8</v>
      </c>
      <c r="D32" s="3" t="n">
        <v>16.6</v>
      </c>
      <c r="E32" s="3" t="n">
        <v>16.4</v>
      </c>
      <c r="F32" s="3" t="n">
        <v>16.2</v>
      </c>
      <c r="G32" s="3" t="n">
        <v>16</v>
      </c>
      <c r="H32" s="3" t="n">
        <v>16</v>
      </c>
      <c r="I32" s="3" t="n">
        <v>16</v>
      </c>
      <c r="J32" s="3" t="n">
        <v>16</v>
      </c>
      <c r="K32" s="3" t="n">
        <v>16</v>
      </c>
      <c r="L32" s="3" t="n">
        <v>16</v>
      </c>
    </row>
    <row r="33" customFormat="false" ht="15" hidden="false" customHeight="false" outlineLevel="0" collapsed="false">
      <c r="A33" s="0" t="s">
        <v>112</v>
      </c>
      <c r="C33" s="3" t="n">
        <v>23</v>
      </c>
      <c r="D33" s="3" t="n">
        <v>23</v>
      </c>
      <c r="E33" s="3" t="n">
        <v>23</v>
      </c>
      <c r="F33" s="3" t="n">
        <v>23</v>
      </c>
      <c r="G33" s="3" t="n">
        <v>23</v>
      </c>
      <c r="H33" s="3" t="n">
        <v>23</v>
      </c>
      <c r="I33" s="3" t="n">
        <v>23</v>
      </c>
      <c r="J33" s="3" t="n">
        <v>23</v>
      </c>
      <c r="K33" s="3" t="n">
        <v>23</v>
      </c>
      <c r="L33" s="3" t="n">
        <v>23</v>
      </c>
    </row>
    <row r="34" customFormat="false" ht="15" hidden="false" customHeight="false" outlineLevel="0" collapsed="false">
      <c r="A34" s="0" t="s">
        <v>113</v>
      </c>
      <c r="B34" s="3" t="n">
        <v>7</v>
      </c>
    </row>
    <row r="35" customFormat="false" ht="15" hidden="false" customHeight="false" outlineLevel="0" collapsed="false">
      <c r="A35" s="0" t="s">
        <v>114</v>
      </c>
      <c r="B35" s="3" t="n">
        <v>1</v>
      </c>
    </row>
    <row r="36" customFormat="false" ht="15" hidden="false" customHeight="false" outlineLevel="0" collapsed="false">
      <c r="A36" s="0" t="s">
        <v>115</v>
      </c>
      <c r="B36" s="3" t="n">
        <v>11.7</v>
      </c>
    </row>
    <row r="37" customFormat="false" ht="15" hidden="false" customHeight="false" outlineLevel="0" collapsed="false">
      <c r="A37" s="0" t="s">
        <v>116</v>
      </c>
      <c r="B37" s="3" t="n">
        <v>0</v>
      </c>
    </row>
    <row r="38" customFormat="false" ht="15" hidden="false" customHeight="false" outlineLevel="0" collapsed="false">
      <c r="A38" s="0" t="s">
        <v>117</v>
      </c>
      <c r="B38" s="3" t="n">
        <v>0.5</v>
      </c>
    </row>
    <row r="40" customFormat="false" ht="15" hidden="false" customHeight="false" outlineLevel="0" collapsed="false">
      <c r="A40" s="2" t="s">
        <v>119</v>
      </c>
      <c r="C40" s="2" t="s">
        <v>96</v>
      </c>
      <c r="D40" s="2" t="s">
        <v>97</v>
      </c>
      <c r="E40" s="2" t="s">
        <v>98</v>
      </c>
      <c r="F40" s="2" t="s">
        <v>99</v>
      </c>
      <c r="G40" s="2" t="s">
        <v>100</v>
      </c>
      <c r="H40" s="2" t="s">
        <v>101</v>
      </c>
      <c r="I40" s="2" t="s">
        <v>102</v>
      </c>
      <c r="J40" s="2" t="s">
        <v>103</v>
      </c>
      <c r="K40" s="2" t="s">
        <v>104</v>
      </c>
      <c r="L40" s="2" t="s">
        <v>105</v>
      </c>
    </row>
    <row r="41" customFormat="false" ht="15" hidden="false" customHeight="false" outlineLevel="0" collapsed="false">
      <c r="A41" s="0" t="s">
        <v>106</v>
      </c>
      <c r="C41" s="3" t="n">
        <v>2.5</v>
      </c>
      <c r="D41" s="3" t="n">
        <v>2.8</v>
      </c>
      <c r="E41" s="3" t="n">
        <v>2.8</v>
      </c>
      <c r="F41" s="3" t="n">
        <v>2.6</v>
      </c>
      <c r="G41" s="3" t="n">
        <v>2.4</v>
      </c>
      <c r="H41" s="3" t="n">
        <v>2.2</v>
      </c>
      <c r="I41" s="3" t="n">
        <v>2</v>
      </c>
      <c r="J41" s="3" t="n">
        <v>1.8</v>
      </c>
      <c r="K41" s="3" t="n">
        <v>1.6</v>
      </c>
      <c r="L41" s="3" t="n">
        <v>1.5</v>
      </c>
    </row>
    <row r="42" customFormat="false" ht="15" hidden="false" customHeight="false" outlineLevel="0" collapsed="false">
      <c r="A42" s="0" t="s">
        <v>107</v>
      </c>
      <c r="C42" s="3" t="n">
        <v>36</v>
      </c>
      <c r="D42" s="3" t="n">
        <v>36.6</v>
      </c>
      <c r="E42" s="3" t="n">
        <v>37.1</v>
      </c>
      <c r="F42" s="3" t="n">
        <v>37.5</v>
      </c>
      <c r="G42" s="3" t="n">
        <v>37.8</v>
      </c>
      <c r="H42" s="3" t="n">
        <v>38</v>
      </c>
      <c r="I42" s="3" t="n">
        <v>38</v>
      </c>
      <c r="J42" s="3" t="n">
        <v>38</v>
      </c>
      <c r="K42" s="3" t="n">
        <v>38</v>
      </c>
      <c r="L42" s="3" t="n">
        <v>38</v>
      </c>
    </row>
    <row r="43" customFormat="false" ht="15" hidden="false" customHeight="false" outlineLevel="0" collapsed="false">
      <c r="A43" s="0" t="s">
        <v>108</v>
      </c>
      <c r="C43" s="3" t="n">
        <v>0.05</v>
      </c>
      <c r="D43" s="3" t="n">
        <v>0.05</v>
      </c>
      <c r="E43" s="3" t="n">
        <v>0.05</v>
      </c>
      <c r="F43" s="3" t="n">
        <v>0.05</v>
      </c>
      <c r="G43" s="3" t="n">
        <v>0.05</v>
      </c>
      <c r="H43" s="3" t="n">
        <v>0.05</v>
      </c>
      <c r="I43" s="3" t="n">
        <v>0.05</v>
      </c>
      <c r="J43" s="3" t="n">
        <v>0.05</v>
      </c>
      <c r="K43" s="3" t="n">
        <v>0.05</v>
      </c>
      <c r="L43" s="3" t="n">
        <v>0.05</v>
      </c>
    </row>
    <row r="44" customFormat="false" ht="15" hidden="false" customHeight="false" outlineLevel="0" collapsed="false">
      <c r="A44" s="0" t="s">
        <v>109</v>
      </c>
      <c r="C44" s="3" t="n">
        <v>4.3</v>
      </c>
      <c r="D44" s="3" t="n">
        <v>4.3</v>
      </c>
      <c r="E44" s="3" t="n">
        <v>4.3</v>
      </c>
      <c r="F44" s="3" t="n">
        <v>4.3</v>
      </c>
      <c r="G44" s="3" t="n">
        <v>4.3</v>
      </c>
      <c r="H44" s="3" t="n">
        <v>4.3</v>
      </c>
      <c r="I44" s="3" t="n">
        <v>4.3</v>
      </c>
      <c r="J44" s="3" t="n">
        <v>4.3</v>
      </c>
      <c r="K44" s="3" t="n">
        <v>4.3</v>
      </c>
      <c r="L44" s="3" t="n">
        <v>4.3</v>
      </c>
    </row>
    <row r="45" customFormat="false" ht="15" hidden="false" customHeight="false" outlineLevel="0" collapsed="false">
      <c r="A45" s="0" t="s">
        <v>110</v>
      </c>
      <c r="C45" s="3" t="n">
        <v>17.5</v>
      </c>
      <c r="D45" s="3" t="n">
        <v>17.3</v>
      </c>
      <c r="E45" s="3" t="n">
        <v>17.1</v>
      </c>
      <c r="F45" s="3" t="n">
        <v>16.9</v>
      </c>
      <c r="G45" s="3" t="n">
        <v>16.7</v>
      </c>
      <c r="H45" s="3" t="n">
        <v>16.5</v>
      </c>
      <c r="I45" s="3" t="n">
        <v>16.4</v>
      </c>
      <c r="J45" s="3" t="n">
        <v>16.3</v>
      </c>
      <c r="K45" s="3" t="n">
        <v>16.3</v>
      </c>
      <c r="L45" s="3" t="n">
        <v>16.3</v>
      </c>
    </row>
    <row r="46" customFormat="false" ht="15" hidden="false" customHeight="false" outlineLevel="0" collapsed="false">
      <c r="A46" s="0" t="s">
        <v>111</v>
      </c>
      <c r="C46" s="3" t="n">
        <v>16.6</v>
      </c>
      <c r="D46" s="3" t="n">
        <v>16.3</v>
      </c>
      <c r="E46" s="3" t="n">
        <v>16</v>
      </c>
      <c r="F46" s="3" t="n">
        <v>15.8</v>
      </c>
      <c r="G46" s="3" t="n">
        <v>15.6</v>
      </c>
      <c r="H46" s="3" t="n">
        <v>15.5</v>
      </c>
      <c r="I46" s="3" t="n">
        <v>15.5</v>
      </c>
      <c r="J46" s="3" t="n">
        <v>15.5</v>
      </c>
      <c r="K46" s="3" t="n">
        <v>15.5</v>
      </c>
      <c r="L46" s="3" t="n">
        <v>15.5</v>
      </c>
    </row>
    <row r="47" customFormat="false" ht="15" hidden="false" customHeight="false" outlineLevel="0" collapsed="false">
      <c r="A47" s="0" t="s">
        <v>112</v>
      </c>
      <c r="C47" s="3" t="n">
        <v>22</v>
      </c>
      <c r="D47" s="3" t="n">
        <v>22</v>
      </c>
      <c r="E47" s="3" t="n">
        <v>22</v>
      </c>
      <c r="F47" s="3" t="n">
        <v>22</v>
      </c>
      <c r="G47" s="3" t="n">
        <v>22</v>
      </c>
      <c r="H47" s="3" t="n">
        <v>22</v>
      </c>
      <c r="I47" s="3" t="n">
        <v>22</v>
      </c>
      <c r="J47" s="3" t="n">
        <v>22</v>
      </c>
      <c r="K47" s="3" t="n">
        <v>22</v>
      </c>
      <c r="L47" s="3" t="n">
        <v>22</v>
      </c>
    </row>
    <row r="48" customFormat="false" ht="15" hidden="false" customHeight="false" outlineLevel="0" collapsed="false">
      <c r="A48" s="0" t="s">
        <v>113</v>
      </c>
      <c r="B48" s="3" t="n">
        <v>7</v>
      </c>
    </row>
    <row r="49" customFormat="false" ht="15" hidden="false" customHeight="false" outlineLevel="0" collapsed="false">
      <c r="A49" s="0" t="s">
        <v>114</v>
      </c>
      <c r="B49" s="3" t="n">
        <v>1.5</v>
      </c>
    </row>
    <row r="50" customFormat="false" ht="15" hidden="false" customHeight="false" outlineLevel="0" collapsed="false">
      <c r="A50" s="0" t="s">
        <v>115</v>
      </c>
      <c r="B50" s="3" t="n">
        <v>13.2</v>
      </c>
    </row>
    <row r="51" customFormat="false" ht="15" hidden="false" customHeight="false" outlineLevel="0" collapsed="false">
      <c r="A51" s="0" t="s">
        <v>116</v>
      </c>
      <c r="B51" s="3" t="n">
        <v>0</v>
      </c>
    </row>
    <row r="52" customFormat="false" ht="15" hidden="false" customHeight="false" outlineLevel="0" collapsed="false">
      <c r="A52" s="0" t="s">
        <v>117</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120</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Assumptions!C13</f>
        <v>0.8</v>
      </c>
      <c r="D5" s="4" t="n">
        <f aca="false">Assumptions!D13</f>
        <v>0.5</v>
      </c>
      <c r="E5" s="4" t="n">
        <f aca="false">Assumptions!E13</f>
        <v>0.3</v>
      </c>
      <c r="F5" s="4" t="n">
        <f aca="false">Assumptions!F13</f>
        <v>0.2</v>
      </c>
      <c r="G5" s="4" t="n">
        <f aca="false">Assumptions!G13</f>
        <v>0</v>
      </c>
      <c r="H5" s="4" t="n">
        <f aca="false">Assumptions!H13</f>
        <v>0</v>
      </c>
      <c r="I5" s="4" t="n">
        <f aca="false">Assumptions!I13</f>
        <v>0</v>
      </c>
      <c r="J5" s="4" t="n">
        <f aca="false">Assumptions!J13</f>
        <v>0</v>
      </c>
      <c r="K5" s="4" t="n">
        <f aca="false">Assumptions!K13</f>
        <v>0</v>
      </c>
      <c r="L5" s="4" t="n">
        <f aca="false">Assumptions!L13</f>
        <v>0</v>
      </c>
    </row>
    <row r="6" customFormat="false" ht="15" hidden="false" customHeight="false" outlineLevel="0" collapsed="false">
      <c r="A6" s="0" t="s">
        <v>37</v>
      </c>
      <c r="B6" s="3" t="n">
        <v>47997</v>
      </c>
      <c r="C6" s="0" t="n">
        <f aca="false">B6*(1+C5/100)</f>
        <v>48380.976</v>
      </c>
      <c r="D6" s="0" t="n">
        <f aca="false">C6*(1+D5/100)</f>
        <v>48622.88088</v>
      </c>
      <c r="E6" s="0" t="n">
        <f aca="false">D6*(1+E5/100)</f>
        <v>48768.74952264</v>
      </c>
      <c r="F6" s="0" t="n">
        <f aca="false">E6*(1+F5/100)</f>
        <v>48866.2870216853</v>
      </c>
      <c r="G6" s="0" t="n">
        <f aca="false">F6*(1+G5/100)</f>
        <v>48866.2870216853</v>
      </c>
      <c r="H6" s="0" t="n">
        <f aca="false">G6*(1+H5/100)</f>
        <v>48866.2870216853</v>
      </c>
      <c r="I6" s="0" t="n">
        <f aca="false">H6*(1+I5/100)</f>
        <v>48866.2870216853</v>
      </c>
      <c r="J6" s="0" t="n">
        <f aca="false">I6*(1+J5/100)</f>
        <v>48866.2870216853</v>
      </c>
      <c r="K6" s="0" t="n">
        <f aca="false">J6*(1+K5/100)</f>
        <v>48866.2870216853</v>
      </c>
      <c r="L6" s="0" t="n">
        <f aca="false">K6*(1+L5/100)</f>
        <v>48866.2870216853</v>
      </c>
    </row>
    <row r="7" customFormat="false" ht="15" hidden="false" customHeight="false" outlineLevel="0" collapsed="false">
      <c r="A7" s="0" t="s">
        <v>107</v>
      </c>
      <c r="C7" s="4" t="n">
        <f aca="false">Assumptions!C14</f>
        <v>35.4</v>
      </c>
      <c r="D7" s="4" t="n">
        <f aca="false">Assumptions!D14</f>
        <v>35.3</v>
      </c>
      <c r="E7" s="4" t="n">
        <f aca="false">Assumptions!E14</f>
        <v>35.2</v>
      </c>
      <c r="F7" s="4" t="n">
        <f aca="false">Assumptions!F14</f>
        <v>35</v>
      </c>
      <c r="G7" s="4" t="n">
        <f aca="false">Assumptions!G14</f>
        <v>34.8</v>
      </c>
      <c r="H7" s="4" t="n">
        <f aca="false">Assumptions!H14</f>
        <v>34.6</v>
      </c>
      <c r="I7" s="4" t="n">
        <f aca="false">Assumptions!I14</f>
        <v>34.5</v>
      </c>
      <c r="J7" s="4" t="n">
        <f aca="false">Assumptions!J14</f>
        <v>34.5</v>
      </c>
      <c r="K7" s="4" t="n">
        <f aca="false">Assumptions!K14</f>
        <v>34.5</v>
      </c>
      <c r="L7" s="4" t="n">
        <f aca="false">Assumptions!L14</f>
        <v>34.5</v>
      </c>
    </row>
    <row r="8" customFormat="false" ht="15" hidden="false" customHeight="false" outlineLevel="0" collapsed="false">
      <c r="A8" s="0" t="s">
        <v>43</v>
      </c>
      <c r="C8" s="0" t="n">
        <f aca="false">C6*C7/100</f>
        <v>17126.865504</v>
      </c>
      <c r="D8" s="0" t="n">
        <f aca="false">D6*D7/100</f>
        <v>17163.87695064</v>
      </c>
      <c r="E8" s="0" t="n">
        <f aca="false">E6*E7/100</f>
        <v>17166.5998319693</v>
      </c>
      <c r="F8" s="0" t="n">
        <f aca="false">F6*F7/100</f>
        <v>17103.2004575898</v>
      </c>
      <c r="G8" s="0" t="n">
        <f aca="false">G6*G7/100</f>
        <v>17005.4678835465</v>
      </c>
      <c r="H8" s="0" t="n">
        <f aca="false">H6*H7/100</f>
        <v>16907.7353095031</v>
      </c>
      <c r="I8" s="0" t="n">
        <f aca="false">I6*I7/100</f>
        <v>16858.8690224814</v>
      </c>
      <c r="J8" s="0" t="n">
        <f aca="false">J6*J7/100</f>
        <v>16858.8690224814</v>
      </c>
      <c r="K8" s="0" t="n">
        <f aca="false">K6*K7/100</f>
        <v>16858.8690224814</v>
      </c>
      <c r="L8" s="0" t="n">
        <f aca="false">L6*L7/100</f>
        <v>16858.8690224814</v>
      </c>
    </row>
    <row r="9" customFormat="false" ht="15" hidden="false" customHeight="false" outlineLevel="0" collapsed="false">
      <c r="A9" s="0" t="s">
        <v>108</v>
      </c>
      <c r="C9" s="4" t="n">
        <f aca="false">Assumptions!C15</f>
        <v>0.05</v>
      </c>
      <c r="D9" s="4" t="n">
        <f aca="false">Assumptions!D15</f>
        <v>0.05</v>
      </c>
      <c r="E9" s="4" t="n">
        <f aca="false">Assumptions!E15</f>
        <v>0.05</v>
      </c>
      <c r="F9" s="4" t="n">
        <f aca="false">Assumptions!F15</f>
        <v>0.05</v>
      </c>
      <c r="G9" s="4" t="n">
        <f aca="false">Assumptions!G15</f>
        <v>0.05</v>
      </c>
      <c r="H9" s="4" t="n">
        <f aca="false">Assumptions!H15</f>
        <v>0.05</v>
      </c>
      <c r="I9" s="4" t="n">
        <f aca="false">Assumptions!I15</f>
        <v>0.05</v>
      </c>
      <c r="J9" s="4" t="n">
        <f aca="false">Assumptions!J15</f>
        <v>0.05</v>
      </c>
      <c r="K9" s="4" t="n">
        <f aca="false">Assumptions!K15</f>
        <v>0.05</v>
      </c>
      <c r="L9" s="4" t="n">
        <f aca="false">Assumptions!L15</f>
        <v>0.05</v>
      </c>
    </row>
    <row r="10" customFormat="false" ht="15" hidden="false" customHeight="false" outlineLevel="0" collapsed="false">
      <c r="A10" s="0" t="s">
        <v>123</v>
      </c>
      <c r="C10" s="0" t="n">
        <f aca="false">-C6*C9/100</f>
        <v>-24.190488</v>
      </c>
      <c r="D10" s="0" t="n">
        <f aca="false">-D6*D9/100</f>
        <v>-24.31144044</v>
      </c>
      <c r="E10" s="0" t="n">
        <f aca="false">-E6*E9/100</f>
        <v>-24.38437476132</v>
      </c>
      <c r="F10" s="0" t="n">
        <f aca="false">-F6*F9/100</f>
        <v>-24.4331435108426</v>
      </c>
      <c r="G10" s="0" t="n">
        <f aca="false">-G6*G9/100</f>
        <v>-24.4331435108426</v>
      </c>
      <c r="H10" s="0" t="n">
        <f aca="false">-H6*H9/100</f>
        <v>-24.4331435108426</v>
      </c>
      <c r="I10" s="0" t="n">
        <f aca="false">-I6*I9/100</f>
        <v>-24.4331435108426</v>
      </c>
      <c r="J10" s="0" t="n">
        <f aca="false">-J6*J9/100</f>
        <v>-24.4331435108426</v>
      </c>
      <c r="K10" s="0" t="n">
        <f aca="false">-K6*K9/100</f>
        <v>-24.4331435108426</v>
      </c>
      <c r="L10" s="0" t="n">
        <f aca="false">-L6*L9/100</f>
        <v>-24.4331435108426</v>
      </c>
    </row>
    <row r="11" customFormat="false" ht="15" hidden="false" customHeight="false" outlineLevel="0" collapsed="false">
      <c r="A11" s="0" t="s">
        <v>124</v>
      </c>
      <c r="C11" s="0" t="n">
        <f aca="false">C8+C10+C24</f>
        <v>15022.293048</v>
      </c>
      <c r="D11" s="0" t="n">
        <f aca="false">D8+D10+D24</f>
        <v>15048.78163236</v>
      </c>
      <c r="E11" s="0" t="n">
        <f aca="false">E8+E10+E24</f>
        <v>15045.1592277344</v>
      </c>
      <c r="F11" s="0" t="n">
        <f aca="false">F8+F10+F24</f>
        <v>14977.5169721465</v>
      </c>
      <c r="G11" s="0" t="n">
        <f aca="false">G8+G10+G24</f>
        <v>14879.7843981032</v>
      </c>
      <c r="H11" s="0" t="n">
        <f aca="false">H8+H10+H24</f>
        <v>14782.0518240598</v>
      </c>
      <c r="I11" s="0" t="n">
        <f aca="false">I8+I10+I24</f>
        <v>14733.1855370381</v>
      </c>
      <c r="J11" s="0" t="n">
        <f aca="false">J8+J10+J24</f>
        <v>14733.1855370381</v>
      </c>
      <c r="K11" s="0" t="n">
        <f aca="false">K8+K10+K24</f>
        <v>14733.1855370381</v>
      </c>
      <c r="L11" s="0" t="n">
        <f aca="false">L8+L10+L24</f>
        <v>14733.1855370381</v>
      </c>
    </row>
    <row r="12" customFormat="false" ht="15" hidden="false" customHeight="false" outlineLevel="0" collapsed="false">
      <c r="A12" s="0" t="s">
        <v>125</v>
      </c>
      <c r="C12" s="4" t="n">
        <f aca="false">-C6*Assumptions!C17/100</f>
        <v>-8466.6708</v>
      </c>
      <c r="D12" s="4" t="n">
        <f aca="false">-D6*Assumptions!D17/100</f>
        <v>-8460.38127312</v>
      </c>
      <c r="E12" s="4" t="n">
        <f aca="false">-E6*Assumptions!E17/100</f>
        <v>-8436.99366741672</v>
      </c>
      <c r="F12" s="4" t="n">
        <f aca="false">-F6*Assumptions!F17/100</f>
        <v>-8405.00136772987</v>
      </c>
      <c r="G12" s="4" t="n">
        <f aca="false">-G6*Assumptions!G17/100</f>
        <v>-8356.13508070818</v>
      </c>
      <c r="H12" s="4" t="n">
        <f aca="false">-H6*Assumptions!H17/100</f>
        <v>-8307.2687936865</v>
      </c>
      <c r="I12" s="4" t="n">
        <f aca="false">-I6*Assumptions!I17/100</f>
        <v>-8307.2687936865</v>
      </c>
      <c r="J12" s="4" t="n">
        <f aca="false">-J6*Assumptions!J17/100</f>
        <v>-8307.2687936865</v>
      </c>
      <c r="K12" s="4" t="n">
        <f aca="false">-K6*Assumptions!K17/100</f>
        <v>-8307.2687936865</v>
      </c>
      <c r="L12" s="4" t="n">
        <f aca="false">-L6*Assumptions!L17/100</f>
        <v>-8307.2687936865</v>
      </c>
    </row>
    <row r="13" customFormat="false" ht="15" hidden="false" customHeight="false" outlineLevel="0" collapsed="false">
      <c r="A13" s="0" t="s">
        <v>126</v>
      </c>
      <c r="C13" s="0" t="n">
        <f aca="false">C11+C12</f>
        <v>6555.622248</v>
      </c>
      <c r="D13" s="0" t="n">
        <f aca="false">D11+D12</f>
        <v>6588.40035924</v>
      </c>
      <c r="E13" s="0" t="n">
        <f aca="false">E11+E12</f>
        <v>6608.16556031772</v>
      </c>
      <c r="F13" s="0" t="n">
        <f aca="false">F11+F12</f>
        <v>6572.51560441667</v>
      </c>
      <c r="G13" s="0" t="n">
        <f aca="false">G11+G12</f>
        <v>6523.64931739498</v>
      </c>
      <c r="H13" s="0" t="n">
        <f aca="false">H11+H12</f>
        <v>6474.7830303733</v>
      </c>
      <c r="I13" s="0" t="n">
        <f aca="false">I11+I12</f>
        <v>6425.91674335161</v>
      </c>
      <c r="J13" s="0" t="n">
        <f aca="false">J11+J12</f>
        <v>6425.91674335161</v>
      </c>
      <c r="K13" s="0" t="n">
        <f aca="false">K11+K12</f>
        <v>6425.91674335161</v>
      </c>
      <c r="L13" s="0" t="n">
        <f aca="false">L11+L12</f>
        <v>6425.91674335161</v>
      </c>
    </row>
    <row r="14" customFormat="false" ht="15" hidden="false" customHeight="false" outlineLevel="0" collapsed="false">
      <c r="A14" s="0" t="s">
        <v>112</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127</v>
      </c>
      <c r="C15" s="0" t="n">
        <f aca="false">C13-MAX(0,C13)*C14/100</f>
        <v>4916.716686</v>
      </c>
      <c r="D15" s="0" t="n">
        <f aca="false">D13-MAX(0,D13)*D14/100</f>
        <v>4941.30026943</v>
      </c>
      <c r="E15" s="0" t="n">
        <f aca="false">E13-MAX(0,E13)*E14/100</f>
        <v>4956.12417023829</v>
      </c>
      <c r="F15" s="0" t="n">
        <f aca="false">F13-MAX(0,F13)*F14/100</f>
        <v>4929.3867033125</v>
      </c>
      <c r="G15" s="0" t="n">
        <f aca="false">G13-MAX(0,G13)*G14/100</f>
        <v>4892.73698804624</v>
      </c>
      <c r="H15" s="0" t="n">
        <f aca="false">H13-MAX(0,H13)*H14/100</f>
        <v>4856.08727277997</v>
      </c>
      <c r="I15" s="0" t="n">
        <f aca="false">I13-MAX(0,I13)*I14/100</f>
        <v>4819.43755751371</v>
      </c>
      <c r="J15" s="0" t="n">
        <f aca="false">J13-MAX(0,J13)*J14/100</f>
        <v>4819.43755751371</v>
      </c>
      <c r="K15" s="0" t="n">
        <f aca="false">K13-MAX(0,K13)*K14/100</f>
        <v>4819.43755751371</v>
      </c>
      <c r="L15" s="0" t="n">
        <f aca="false">L13-MAX(0,L13)*L14/100</f>
        <v>4819.43755751371</v>
      </c>
    </row>
    <row r="16" customFormat="false" ht="15" hidden="false" customHeight="false" outlineLevel="0" collapsed="false">
      <c r="A16" s="0" t="s">
        <v>128</v>
      </c>
      <c r="C16" s="0" t="n">
        <f aca="false">-C12</f>
        <v>8466.6708</v>
      </c>
      <c r="D16" s="0" t="n">
        <f aca="false">-D12</f>
        <v>8460.38127312</v>
      </c>
      <c r="E16" s="0" t="n">
        <f aca="false">-E12</f>
        <v>8436.99366741672</v>
      </c>
      <c r="F16" s="0" t="n">
        <f aca="false">-F12</f>
        <v>8405.00136772987</v>
      </c>
      <c r="G16" s="0" t="n">
        <f aca="false">-G12</f>
        <v>8356.13508070818</v>
      </c>
      <c r="H16" s="0" t="n">
        <f aca="false">-H12</f>
        <v>8307.2687936865</v>
      </c>
      <c r="I16" s="0" t="n">
        <f aca="false">-I12</f>
        <v>8307.2687936865</v>
      </c>
      <c r="J16" s="0" t="n">
        <f aca="false">-J12</f>
        <v>8307.2687936865</v>
      </c>
      <c r="K16" s="0" t="n">
        <f aca="false">-K12</f>
        <v>8307.2687936865</v>
      </c>
      <c r="L16" s="0" t="n">
        <f aca="false">-L12</f>
        <v>8307.2687936865</v>
      </c>
    </row>
    <row r="17" customFormat="false" ht="15" hidden="false" customHeight="false" outlineLevel="0" collapsed="false">
      <c r="A17" s="0" t="s">
        <v>129</v>
      </c>
      <c r="C17" s="4" t="n">
        <f aca="false">-C6*Assumptions!C18/100</f>
        <v>-8321.527872</v>
      </c>
      <c r="D17" s="4" t="n">
        <f aca="false">-D6*Assumptions!D18/100</f>
        <v>-8363.13551136</v>
      </c>
      <c r="E17" s="4" t="n">
        <f aca="false">-E6*Assumptions!E18/100</f>
        <v>-8290.6874188488</v>
      </c>
      <c r="F17" s="4" t="n">
        <f aca="false">-F6*Assumptions!F18/100</f>
        <v>-8307.2687936865</v>
      </c>
      <c r="G17" s="4" t="n">
        <f aca="false">-G6*Assumptions!G18/100</f>
        <v>-8307.2687936865</v>
      </c>
      <c r="H17" s="4" t="n">
        <f aca="false">-H6*Assumptions!H18/100</f>
        <v>-8307.2687936865</v>
      </c>
      <c r="I17" s="4" t="n">
        <f aca="false">-I6*Assumptions!I18/100</f>
        <v>-8307.2687936865</v>
      </c>
      <c r="J17" s="4" t="n">
        <f aca="false">-J6*Assumptions!J18/100</f>
        <v>-8307.2687936865</v>
      </c>
      <c r="K17" s="4" t="n">
        <f aca="false">-K6*Assumptions!K18/100</f>
        <v>-8307.2687936865</v>
      </c>
      <c r="L17" s="4" t="n">
        <f aca="false">-L6*Assumptions!L18/100</f>
        <v>-8307.2687936865</v>
      </c>
    </row>
    <row r="18" customFormat="false" ht="15" hidden="false" customHeight="false" outlineLevel="0" collapsed="false">
      <c r="A18" s="0" t="s">
        <v>130</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131</v>
      </c>
      <c r="C19" s="0" t="n">
        <f aca="false">C15+C16+C17+C18</f>
        <v>5061.859614</v>
      </c>
      <c r="D19" s="0" t="n">
        <f aca="false">D15+D16+D17+D18</f>
        <v>5038.54603119</v>
      </c>
      <c r="E19" s="0" t="n">
        <f aca="false">E15+E16+E17+E18</f>
        <v>5102.43041880621</v>
      </c>
      <c r="F19" s="0" t="n">
        <f aca="false">F15+F16+F17+F18</f>
        <v>5027.11927735587</v>
      </c>
      <c r="G19" s="0" t="n">
        <f aca="false">G15+G16+G17+G18</f>
        <v>4941.60327506792</v>
      </c>
      <c r="H19" s="0" t="n">
        <f aca="false">H15+H16+H17+H18</f>
        <v>4856.08727277997</v>
      </c>
      <c r="I19" s="0" t="n">
        <f aca="false">I15+I16+I17+I18</f>
        <v>4819.43755751371</v>
      </c>
      <c r="J19" s="0" t="n">
        <f aca="false">J15+J16+J17+J18</f>
        <v>4819.43755751371</v>
      </c>
      <c r="K19" s="0" t="n">
        <f aca="false">K15+K16+K17+K18</f>
        <v>4819.43755751371</v>
      </c>
      <c r="L19" s="0" t="n">
        <f aca="false">L15+L16+L17+L18</f>
        <v>4819.43755751371</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4730.70991962617</v>
      </c>
      <c r="D21" s="0" t="n">
        <f aca="false">D19*D20</f>
        <v>4400.86123782863</v>
      </c>
      <c r="E21" s="0" t="n">
        <f aca="false">E19*E20</f>
        <v>4165.10311785481</v>
      </c>
      <c r="F21" s="0" t="n">
        <f aca="false">F19*F20</f>
        <v>3835.16522708661</v>
      </c>
      <c r="G21" s="0" t="n">
        <f aca="false">G19*G20</f>
        <v>3523.29483961466</v>
      </c>
      <c r="H21" s="0" t="n">
        <f aca="false">H19*H20</f>
        <v>3235.81599239127</v>
      </c>
      <c r="I21" s="0" t="n">
        <f aca="false">I19*I20</f>
        <v>3001.30349497057</v>
      </c>
      <c r="J21" s="0" t="n">
        <f aca="false">J19*J20</f>
        <v>2804.95653735567</v>
      </c>
      <c r="K21" s="0" t="n">
        <f aca="false">K19*K20</f>
        <v>2621.45470780904</v>
      </c>
      <c r="L21" s="0" t="n">
        <f aca="false">L19*L20</f>
        <v>2449.95767084957</v>
      </c>
    </row>
    <row r="23" customFormat="false" ht="15" hidden="false" customHeight="false" outlineLevel="0" collapsed="false">
      <c r="A23" s="0" t="s">
        <v>109</v>
      </c>
      <c r="C23" s="4" t="n">
        <f aca="false">Assumptions!C16</f>
        <v>4.3</v>
      </c>
      <c r="D23" s="4" t="n">
        <f aca="false">Assumptions!D16</f>
        <v>4.3</v>
      </c>
      <c r="E23" s="4" t="n">
        <f aca="false">Assumptions!E16</f>
        <v>4.3</v>
      </c>
      <c r="F23" s="4" t="n">
        <f aca="false">Assumptions!F16</f>
        <v>4.3</v>
      </c>
      <c r="G23" s="4" t="n">
        <f aca="false">Assumptions!G16</f>
        <v>4.3</v>
      </c>
      <c r="H23" s="4" t="n">
        <f aca="false">Assumptions!H16</f>
        <v>4.3</v>
      </c>
      <c r="I23" s="4" t="n">
        <f aca="false">Assumptions!I16</f>
        <v>4.3</v>
      </c>
      <c r="J23" s="4" t="n">
        <f aca="false">Assumptions!J16</f>
        <v>4.3</v>
      </c>
      <c r="K23" s="4" t="n">
        <f aca="false">Assumptions!K16</f>
        <v>4.3</v>
      </c>
      <c r="L23" s="4" t="n">
        <f aca="false">Assumptions!L16</f>
        <v>4.3</v>
      </c>
    </row>
    <row r="24" customFormat="false" ht="15" hidden="false" customHeight="false" outlineLevel="0" collapsed="false">
      <c r="A24" s="0" t="s">
        <v>134</v>
      </c>
      <c r="C24" s="0" t="n">
        <f aca="false">-C6*C23/100</f>
        <v>-2080.381968</v>
      </c>
      <c r="D24" s="0" t="n">
        <f aca="false">-D6*D23/100</f>
        <v>-2090.78387784</v>
      </c>
      <c r="E24" s="0" t="n">
        <f aca="false">-E6*E23/100</f>
        <v>-2097.05622947352</v>
      </c>
      <c r="F24" s="0" t="n">
        <f aca="false">-F6*F23/100</f>
        <v>-2101.25034193247</v>
      </c>
      <c r="G24" s="0" t="n">
        <f aca="false">-G6*G23/100</f>
        <v>-2101.25034193247</v>
      </c>
      <c r="H24" s="0" t="n">
        <f aca="false">-H6*H23/100</f>
        <v>-2101.25034193247</v>
      </c>
      <c r="I24" s="0" t="n">
        <f aca="false">-I6*I23/100</f>
        <v>-2101.25034193247</v>
      </c>
      <c r="J24" s="0" t="n">
        <f aca="false">-J6*J23/100</f>
        <v>-2101.25034193247</v>
      </c>
      <c r="K24" s="0" t="n">
        <f aca="false">-K6*K23/100</f>
        <v>-2101.25034193247</v>
      </c>
      <c r="L24" s="0" t="n">
        <f aca="false">-L6*L23/100</f>
        <v>-2101.25034193247</v>
      </c>
    </row>
    <row r="26" customFormat="false" ht="15" hidden="false" customHeight="false" outlineLevel="0" collapsed="false">
      <c r="A26" s="2" t="s">
        <v>135</v>
      </c>
    </row>
    <row r="27" customFormat="false" ht="15" hidden="false" customHeight="false" outlineLevel="0" collapsed="false">
      <c r="A27" s="0" t="s">
        <v>113</v>
      </c>
      <c r="B27" s="4" t="n">
        <f aca="false">Assumptions!$B$20</f>
        <v>7</v>
      </c>
    </row>
    <row r="28" customFormat="false" ht="15" hidden="false" customHeight="false" outlineLevel="0" collapsed="false">
      <c r="A28" s="0" t="s">
        <v>114</v>
      </c>
      <c r="B28" s="4" t="n">
        <f aca="false">Assumptions!$B$21</f>
        <v>0.5</v>
      </c>
    </row>
    <row r="29" customFormat="false" ht="15" hidden="false" customHeight="false" outlineLevel="0" collapsed="false">
      <c r="A29" s="0" t="s">
        <v>115</v>
      </c>
      <c r="B29" s="4" t="n">
        <f aca="false">Assumptions!$B$22</f>
        <v>11.5</v>
      </c>
    </row>
    <row r="30" customFormat="false" ht="15" hidden="false" customHeight="false" outlineLevel="0" collapsed="false">
      <c r="A30" s="0" t="s">
        <v>136</v>
      </c>
      <c r="B30" s="0" t="n">
        <f aca="false">SUM(C21:L21)</f>
        <v>34768.622745387</v>
      </c>
    </row>
    <row r="31" customFormat="false" ht="15" hidden="false" customHeight="false" outlineLevel="0" collapsed="false">
      <c r="A31" s="0" t="s">
        <v>137</v>
      </c>
      <c r="B31" s="0" t="n">
        <f aca="false">L19</f>
        <v>4819.43755751371</v>
      </c>
    </row>
    <row r="32" customFormat="false" ht="15" hidden="false" customHeight="false" outlineLevel="0" collapsed="false">
      <c r="A32" s="0" t="s">
        <v>138</v>
      </c>
      <c r="B32" s="0" t="n">
        <f aca="false">IF(B27&gt;B28,B31*(1+B28/100)/((B27-B28)/100),B31*B29)</f>
        <v>74515.9191584812</v>
      </c>
    </row>
    <row r="33" customFormat="false" ht="15" hidden="false" customHeight="false" outlineLevel="0" collapsed="false">
      <c r="A33" s="0" t="s">
        <v>139</v>
      </c>
      <c r="B33" s="0" t="n">
        <f aca="false">B31*B29</f>
        <v>55423.5319114077</v>
      </c>
    </row>
    <row r="34" customFormat="false" ht="15" hidden="false" customHeight="false" outlineLevel="0" collapsed="false">
      <c r="A34" s="0" t="s">
        <v>140</v>
      </c>
      <c r="B34" s="0" t="n">
        <f aca="false">MAX(0,MIN(B32,B33))</f>
        <v>55423.5319114077</v>
      </c>
    </row>
    <row r="35" customFormat="false" ht="15" hidden="false" customHeight="false" outlineLevel="0" collapsed="false">
      <c r="A35" s="0" t="s">
        <v>141</v>
      </c>
      <c r="B35" s="0" t="n">
        <f aca="false">B34/(1+B27/100)^L4</f>
        <v>28174.51321477</v>
      </c>
    </row>
    <row r="36" customFormat="false" ht="15" hidden="false" customHeight="false" outlineLevel="0" collapsed="false">
      <c r="A36" s="0" t="s">
        <v>142</v>
      </c>
      <c r="B36" s="0" t="n">
        <f aca="false">B30+B35</f>
        <v>62943.135960157</v>
      </c>
    </row>
    <row r="37" customFormat="false" ht="15" hidden="false" customHeight="false" outlineLevel="0" collapsed="false">
      <c r="A37" s="0" t="s">
        <v>143</v>
      </c>
      <c r="B37" s="0" t="n">
        <f aca="false">B36+Assumptions!$B$5-Assumptions!$B$4</f>
        <v>18193.135960157</v>
      </c>
    </row>
    <row r="38" customFormat="false" ht="15" hidden="false" customHeight="false" outlineLevel="0" collapsed="false">
      <c r="A38" s="0" t="s">
        <v>144</v>
      </c>
      <c r="B38" s="0" t="n">
        <f aca="false">B37/Assumptions!$B$3*Assumptions!$B$10</f>
        <v>6.83875350906177</v>
      </c>
    </row>
    <row r="39" customFormat="false" ht="15" hidden="false" customHeight="false" outlineLevel="0" collapsed="false">
      <c r="A39" s="0" t="s">
        <v>145</v>
      </c>
      <c r="B39" s="4" t="n">
        <f aca="false">B38/Assumptions!$B$2-1</f>
        <v>-0.51856715881297</v>
      </c>
    </row>
    <row r="41" customFormat="false" ht="15" hidden="false" customHeight="false" outlineLevel="0" collapsed="false">
      <c r="A41" s="0" t="s">
        <v>146</v>
      </c>
      <c r="B41" s="0" t="n">
        <f aca="false">SUMPRODUCT(-C10:L10/(1+$B$27/100)^C4:L4)</f>
        <v>171.235284896339</v>
      </c>
    </row>
    <row r="42" customFormat="false" ht="15" hidden="false" customHeight="false" outlineLevel="0" collapsed="false">
      <c r="A42" s="0" t="s">
        <v>147</v>
      </c>
      <c r="B42" s="0" t="n">
        <f aca="false">IF(B27&gt;B28,-L10*(1+B28/100)/((B27-B28)/100),-L10*20)/(1+B27/100)^L4</f>
        <v>192.041139452379</v>
      </c>
    </row>
    <row r="43" customFormat="false" ht="15" hidden="false" customHeight="false" outlineLevel="0" collapsed="false">
      <c r="A43" s="0" t="s">
        <v>148</v>
      </c>
      <c r="B43" s="0" t="n">
        <f aca="false">(B37+B41+B42)/Assumptions!$B$3*Assumptions!$B$10</f>
        <v>6.97530819249924</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33403.6878986295</v>
      </c>
    </row>
    <row r="47" customFormat="false" ht="15" hidden="false" customHeight="false" outlineLevel="0" collapsed="false">
      <c r="A47" s="0" t="s">
        <v>150</v>
      </c>
      <c r="B47" s="0" t="n">
        <f aca="false">(SUMPRODUCT(C19:L19/(1+B45/100)^C4:L4)+B46/(1+B45/100)^L4+Assumptions!$B$5-Assumptions!$B$4)/Assumptions!$B$3*Assumptions!$B$10</f>
        <v>-4.34071353199409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151</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Assumptions!C27</f>
        <v>1.8</v>
      </c>
      <c r="D5" s="4" t="n">
        <f aca="false">Assumptions!D27</f>
        <v>1.8</v>
      </c>
      <c r="E5" s="4" t="n">
        <f aca="false">Assumptions!E27</f>
        <v>1.7</v>
      </c>
      <c r="F5" s="4" t="n">
        <f aca="false">Assumptions!F27</f>
        <v>1.6</v>
      </c>
      <c r="G5" s="4" t="n">
        <f aca="false">Assumptions!G27</f>
        <v>1.5</v>
      </c>
      <c r="H5" s="4" t="n">
        <f aca="false">Assumptions!H27</f>
        <v>1.4</v>
      </c>
      <c r="I5" s="4" t="n">
        <f aca="false">Assumptions!I27</f>
        <v>1.3</v>
      </c>
      <c r="J5" s="4" t="n">
        <f aca="false">Assumptions!J27</f>
        <v>1.2</v>
      </c>
      <c r="K5" s="4" t="n">
        <f aca="false">Assumptions!K27</f>
        <v>1.1</v>
      </c>
      <c r="L5" s="4" t="n">
        <f aca="false">Assumptions!L27</f>
        <v>1</v>
      </c>
    </row>
    <row r="6" customFormat="false" ht="15" hidden="false" customHeight="false" outlineLevel="0" collapsed="false">
      <c r="A6" s="0" t="s">
        <v>37</v>
      </c>
      <c r="B6" s="3" t="n">
        <v>47997</v>
      </c>
      <c r="C6" s="0" t="n">
        <f aca="false">B6*(1+C5/100)</f>
        <v>48860.946</v>
      </c>
      <c r="D6" s="0" t="n">
        <f aca="false">C6*(1+D5/100)</f>
        <v>49740.443028</v>
      </c>
      <c r="E6" s="0" t="n">
        <f aca="false">D6*(1+E5/100)</f>
        <v>50586.030559476</v>
      </c>
      <c r="F6" s="0" t="n">
        <f aca="false">E6*(1+F5/100)</f>
        <v>51395.4070484276</v>
      </c>
      <c r="G6" s="0" t="n">
        <f aca="false">F6*(1+G5/100)</f>
        <v>52166.338154154</v>
      </c>
      <c r="H6" s="0" t="n">
        <f aca="false">G6*(1+H5/100)</f>
        <v>52896.6668883122</v>
      </c>
      <c r="I6" s="0" t="n">
        <f aca="false">H6*(1+I5/100)</f>
        <v>53584.3235578602</v>
      </c>
      <c r="J6" s="0" t="n">
        <f aca="false">I6*(1+J5/100)</f>
        <v>54227.3354405546</v>
      </c>
      <c r="K6" s="0" t="n">
        <f aca="false">J6*(1+K5/100)</f>
        <v>54823.8361304007</v>
      </c>
      <c r="L6" s="0" t="n">
        <f aca="false">K6*(1+L5/100)</f>
        <v>55372.0744917047</v>
      </c>
    </row>
    <row r="7" customFormat="false" ht="15" hidden="false" customHeight="false" outlineLevel="0" collapsed="false">
      <c r="A7" s="0" t="s">
        <v>107</v>
      </c>
      <c r="C7" s="4" t="n">
        <f aca="false">Assumptions!C28</f>
        <v>35.8</v>
      </c>
      <c r="D7" s="4" t="n">
        <f aca="false">Assumptions!D28</f>
        <v>36.2</v>
      </c>
      <c r="E7" s="4" t="n">
        <f aca="false">Assumptions!E28</f>
        <v>36.5</v>
      </c>
      <c r="F7" s="4" t="n">
        <f aca="false">Assumptions!F28</f>
        <v>36.7</v>
      </c>
      <c r="G7" s="4" t="n">
        <f aca="false">Assumptions!G28</f>
        <v>36.9</v>
      </c>
      <c r="H7" s="4" t="n">
        <f aca="false">Assumptions!H28</f>
        <v>37</v>
      </c>
      <c r="I7" s="4" t="n">
        <f aca="false">Assumptions!I28</f>
        <v>37</v>
      </c>
      <c r="J7" s="4" t="n">
        <f aca="false">Assumptions!J28</f>
        <v>37</v>
      </c>
      <c r="K7" s="4" t="n">
        <f aca="false">Assumptions!K28</f>
        <v>37</v>
      </c>
      <c r="L7" s="4" t="n">
        <f aca="false">Assumptions!L28</f>
        <v>37</v>
      </c>
    </row>
    <row r="8" customFormat="false" ht="15" hidden="false" customHeight="false" outlineLevel="0" collapsed="false">
      <c r="A8" s="0" t="s">
        <v>43</v>
      </c>
      <c r="C8" s="0" t="n">
        <f aca="false">C6*C7/100</f>
        <v>17492.218668</v>
      </c>
      <c r="D8" s="0" t="n">
        <f aca="false">D6*D7/100</f>
        <v>18006.040376136</v>
      </c>
      <c r="E8" s="0" t="n">
        <f aca="false">E6*E7/100</f>
        <v>18463.9011542087</v>
      </c>
      <c r="F8" s="0" t="n">
        <f aca="false">F6*F7/100</f>
        <v>18862.1143867729</v>
      </c>
      <c r="G8" s="0" t="n">
        <f aca="false">G6*G7/100</f>
        <v>19249.3787788828</v>
      </c>
      <c r="H8" s="0" t="n">
        <f aca="false">H6*H7/100</f>
        <v>19571.7667486755</v>
      </c>
      <c r="I8" s="0" t="n">
        <f aca="false">I6*I7/100</f>
        <v>19826.1997164083</v>
      </c>
      <c r="J8" s="0" t="n">
        <f aca="false">J6*J7/100</f>
        <v>20064.1141130052</v>
      </c>
      <c r="K8" s="0" t="n">
        <f aca="false">K6*K7/100</f>
        <v>20284.8193682482</v>
      </c>
      <c r="L8" s="0" t="n">
        <f aca="false">L6*L7/100</f>
        <v>20487.6675619307</v>
      </c>
    </row>
    <row r="9" customFormat="false" ht="15" hidden="false" customHeight="false" outlineLevel="0" collapsed="false">
      <c r="A9" s="0" t="s">
        <v>108</v>
      </c>
      <c r="C9" s="4" t="n">
        <f aca="false">Assumptions!C29</f>
        <v>0.05</v>
      </c>
      <c r="D9" s="4" t="n">
        <f aca="false">Assumptions!D29</f>
        <v>0.05</v>
      </c>
      <c r="E9" s="4" t="n">
        <f aca="false">Assumptions!E29</f>
        <v>0.05</v>
      </c>
      <c r="F9" s="4" t="n">
        <f aca="false">Assumptions!F29</f>
        <v>0.05</v>
      </c>
      <c r="G9" s="4" t="n">
        <f aca="false">Assumptions!G29</f>
        <v>0.05</v>
      </c>
      <c r="H9" s="4" t="n">
        <f aca="false">Assumptions!H29</f>
        <v>0.05</v>
      </c>
      <c r="I9" s="4" t="n">
        <f aca="false">Assumptions!I29</f>
        <v>0.05</v>
      </c>
      <c r="J9" s="4" t="n">
        <f aca="false">Assumptions!J29</f>
        <v>0.05</v>
      </c>
      <c r="K9" s="4" t="n">
        <f aca="false">Assumptions!K29</f>
        <v>0.05</v>
      </c>
      <c r="L9" s="4" t="n">
        <f aca="false">Assumptions!L29</f>
        <v>0.05</v>
      </c>
    </row>
    <row r="10" customFormat="false" ht="15" hidden="false" customHeight="false" outlineLevel="0" collapsed="false">
      <c r="A10" s="0" t="s">
        <v>123</v>
      </c>
      <c r="C10" s="0" t="n">
        <f aca="false">-C6*C9/100</f>
        <v>-24.430473</v>
      </c>
      <c r="D10" s="0" t="n">
        <f aca="false">-D6*D9/100</f>
        <v>-24.870221514</v>
      </c>
      <c r="E10" s="0" t="n">
        <f aca="false">-E6*E9/100</f>
        <v>-25.293015279738</v>
      </c>
      <c r="F10" s="0" t="n">
        <f aca="false">-F6*F9/100</f>
        <v>-25.6977035242138</v>
      </c>
      <c r="G10" s="0" t="n">
        <f aca="false">-G6*G9/100</f>
        <v>-26.083169077077</v>
      </c>
      <c r="H10" s="0" t="n">
        <f aca="false">-H6*H9/100</f>
        <v>-26.4483334441561</v>
      </c>
      <c r="I10" s="0" t="n">
        <f aca="false">-I6*I9/100</f>
        <v>-26.7921617789301</v>
      </c>
      <c r="J10" s="0" t="n">
        <f aca="false">-J6*J9/100</f>
        <v>-27.1136677202773</v>
      </c>
      <c r="K10" s="0" t="n">
        <f aca="false">-K6*K9/100</f>
        <v>-27.4119180652003</v>
      </c>
      <c r="L10" s="0" t="n">
        <f aca="false">-L6*L9/100</f>
        <v>-27.6860372458523</v>
      </c>
    </row>
    <row r="11" customFormat="false" ht="15" hidden="false" customHeight="false" outlineLevel="0" collapsed="false">
      <c r="A11" s="0" t="s">
        <v>124</v>
      </c>
      <c r="C11" s="0" t="n">
        <f aca="false">C8+C10+C24</f>
        <v>15366.767517</v>
      </c>
      <c r="D11" s="0" t="n">
        <f aca="false">D8+D10+D24</f>
        <v>15842.331104418</v>
      </c>
      <c r="E11" s="0" t="n">
        <f aca="false">E8+E10+E24</f>
        <v>16263.4088248715</v>
      </c>
      <c r="F11" s="0" t="n">
        <f aca="false">F8+F10+F24</f>
        <v>16626.4141801663</v>
      </c>
      <c r="G11" s="0" t="n">
        <f aca="false">G8+G10+G24</f>
        <v>16980.1430691771</v>
      </c>
      <c r="H11" s="0" t="n">
        <f aca="false">H8+H10+H24</f>
        <v>17270.7617390339</v>
      </c>
      <c r="I11" s="0" t="n">
        <f aca="false">I8+I10+I24</f>
        <v>17495.2816416414</v>
      </c>
      <c r="J11" s="0" t="n">
        <f aca="false">J8+J10+J24</f>
        <v>17705.2250213411</v>
      </c>
      <c r="K11" s="0" t="n">
        <f aca="false">K8+K10+K24</f>
        <v>17899.9824965758</v>
      </c>
      <c r="L11" s="0" t="n">
        <f aca="false">L8+L10+L24</f>
        <v>18078.9823215416</v>
      </c>
    </row>
    <row r="12" customFormat="false" ht="15" hidden="false" customHeight="false" outlineLevel="0" collapsed="false">
      <c r="A12" s="0" t="s">
        <v>125</v>
      </c>
      <c r="C12" s="4" t="n">
        <f aca="false">-C6*Assumptions!C31/100</f>
        <v>-8550.66555</v>
      </c>
      <c r="D12" s="4" t="n">
        <f aca="false">-D6*Assumptions!D31/100</f>
        <v>-8605.096643844</v>
      </c>
      <c r="E12" s="4" t="n">
        <f aca="false">-E6*Assumptions!E31/100</f>
        <v>-8650.2112256704</v>
      </c>
      <c r="F12" s="4" t="n">
        <f aca="false">-F6*Assumptions!F31/100</f>
        <v>-8685.82379118427</v>
      </c>
      <c r="G12" s="4" t="n">
        <f aca="false">-G6*Assumptions!G31/100</f>
        <v>-8711.77847174372</v>
      </c>
      <c r="H12" s="4" t="n">
        <f aca="false">-H6*Assumptions!H31/100</f>
        <v>-8727.95003657151</v>
      </c>
      <c r="I12" s="4" t="n">
        <f aca="false">-I6*Assumptions!I31/100</f>
        <v>-8787.82906348908</v>
      </c>
      <c r="J12" s="4" t="n">
        <f aca="false">-J6*Assumptions!J31/100</f>
        <v>-8839.05567681039</v>
      </c>
      <c r="K12" s="4" t="n">
        <f aca="false">-K6*Assumptions!K31/100</f>
        <v>-8936.28528925531</v>
      </c>
      <c r="L12" s="4" t="n">
        <f aca="false">-L6*Assumptions!L31/100</f>
        <v>-9025.64814214786</v>
      </c>
    </row>
    <row r="13" customFormat="false" ht="15" hidden="false" customHeight="false" outlineLevel="0" collapsed="false">
      <c r="A13" s="0" t="s">
        <v>126</v>
      </c>
      <c r="C13" s="0" t="n">
        <f aca="false">C11+C12</f>
        <v>6816.101967</v>
      </c>
      <c r="D13" s="0" t="n">
        <f aca="false">D11+D12</f>
        <v>7237.234460574</v>
      </c>
      <c r="E13" s="0" t="n">
        <f aca="false">E11+E12</f>
        <v>7613.19759920114</v>
      </c>
      <c r="F13" s="0" t="n">
        <f aca="false">F11+F12</f>
        <v>7940.59038898207</v>
      </c>
      <c r="G13" s="0" t="n">
        <f aca="false">G11+G12</f>
        <v>8268.36459743341</v>
      </c>
      <c r="H13" s="0" t="n">
        <f aca="false">H11+H12</f>
        <v>8542.81170246242</v>
      </c>
      <c r="I13" s="0" t="n">
        <f aca="false">I11+I12</f>
        <v>8707.45257815229</v>
      </c>
      <c r="J13" s="0" t="n">
        <f aca="false">J11+J12</f>
        <v>8866.16934453067</v>
      </c>
      <c r="K13" s="0" t="n">
        <f aca="false">K11+K12</f>
        <v>8963.6972073205</v>
      </c>
      <c r="L13" s="0" t="n">
        <f aca="false">L11+L12</f>
        <v>9053.33417939371</v>
      </c>
    </row>
    <row r="14" customFormat="false" ht="15" hidden="false" customHeight="false" outlineLevel="0" collapsed="false">
      <c r="A14" s="0" t="s">
        <v>112</v>
      </c>
      <c r="C14" s="4" t="n">
        <f aca="false">Assumptions!C33</f>
        <v>23</v>
      </c>
      <c r="D14" s="4" t="n">
        <f aca="false">Assumptions!D33</f>
        <v>23</v>
      </c>
      <c r="E14" s="4" t="n">
        <f aca="false">Assumptions!E33</f>
        <v>23</v>
      </c>
      <c r="F14" s="4" t="n">
        <f aca="false">Assumptions!F33</f>
        <v>23</v>
      </c>
      <c r="G14" s="4" t="n">
        <f aca="false">Assumptions!G33</f>
        <v>23</v>
      </c>
      <c r="H14" s="4" t="n">
        <f aca="false">Assumptions!H33</f>
        <v>23</v>
      </c>
      <c r="I14" s="4" t="n">
        <f aca="false">Assumptions!I33</f>
        <v>23</v>
      </c>
      <c r="J14" s="4" t="n">
        <f aca="false">Assumptions!J33</f>
        <v>23</v>
      </c>
      <c r="K14" s="4" t="n">
        <f aca="false">Assumptions!K33</f>
        <v>23</v>
      </c>
      <c r="L14" s="4" t="n">
        <f aca="false">Assumptions!L33</f>
        <v>23</v>
      </c>
    </row>
    <row r="15" customFormat="false" ht="15" hidden="false" customHeight="false" outlineLevel="0" collapsed="false">
      <c r="A15" s="0" t="s">
        <v>127</v>
      </c>
      <c r="C15" s="0" t="n">
        <f aca="false">C13-MAX(0,C13)*C14/100</f>
        <v>5248.39851459</v>
      </c>
      <c r="D15" s="0" t="n">
        <f aca="false">D13-MAX(0,D13)*D14/100</f>
        <v>5572.67053464198</v>
      </c>
      <c r="E15" s="0" t="n">
        <f aca="false">E13-MAX(0,E13)*E14/100</f>
        <v>5862.16215138488</v>
      </c>
      <c r="F15" s="0" t="n">
        <f aca="false">F13-MAX(0,F13)*F14/100</f>
        <v>6114.25459951619</v>
      </c>
      <c r="G15" s="0" t="n">
        <f aca="false">G13-MAX(0,G13)*G14/100</f>
        <v>6366.64074002373</v>
      </c>
      <c r="H15" s="0" t="n">
        <f aca="false">H13-MAX(0,H13)*H14/100</f>
        <v>6577.96501089606</v>
      </c>
      <c r="I15" s="0" t="n">
        <f aca="false">I13-MAX(0,I13)*I14/100</f>
        <v>6704.73848517726</v>
      </c>
      <c r="J15" s="0" t="n">
        <f aca="false">J13-MAX(0,J13)*J14/100</f>
        <v>6826.95039528861</v>
      </c>
      <c r="K15" s="0" t="n">
        <f aca="false">K13-MAX(0,K13)*K14/100</f>
        <v>6902.04684963679</v>
      </c>
      <c r="L15" s="0" t="n">
        <f aca="false">L13-MAX(0,L13)*L14/100</f>
        <v>6971.06731813316</v>
      </c>
    </row>
    <row r="16" customFormat="false" ht="15" hidden="false" customHeight="false" outlineLevel="0" collapsed="false">
      <c r="A16" s="0" t="s">
        <v>128</v>
      </c>
      <c r="C16" s="0" t="n">
        <f aca="false">-C12</f>
        <v>8550.66555</v>
      </c>
      <c r="D16" s="0" t="n">
        <f aca="false">-D12</f>
        <v>8605.096643844</v>
      </c>
      <c r="E16" s="0" t="n">
        <f aca="false">-E12</f>
        <v>8650.2112256704</v>
      </c>
      <c r="F16" s="0" t="n">
        <f aca="false">-F12</f>
        <v>8685.82379118427</v>
      </c>
      <c r="G16" s="0" t="n">
        <f aca="false">-G12</f>
        <v>8711.77847174372</v>
      </c>
      <c r="H16" s="0" t="n">
        <f aca="false">-H12</f>
        <v>8727.95003657151</v>
      </c>
      <c r="I16" s="0" t="n">
        <f aca="false">-I12</f>
        <v>8787.82906348908</v>
      </c>
      <c r="J16" s="0" t="n">
        <f aca="false">-J12</f>
        <v>8839.05567681039</v>
      </c>
      <c r="K16" s="0" t="n">
        <f aca="false">-K12</f>
        <v>8936.28528925531</v>
      </c>
      <c r="L16" s="0" t="n">
        <f aca="false">-L12</f>
        <v>9025.64814214786</v>
      </c>
    </row>
    <row r="17" customFormat="false" ht="15" hidden="false" customHeight="false" outlineLevel="0" collapsed="false">
      <c r="A17" s="0" t="s">
        <v>129</v>
      </c>
      <c r="C17" s="4" t="n">
        <f aca="false">-C6*Assumptions!C32/100</f>
        <v>-8208.638928</v>
      </c>
      <c r="D17" s="4" t="n">
        <f aca="false">-D6*Assumptions!D32/100</f>
        <v>-8256.913542648</v>
      </c>
      <c r="E17" s="4" t="n">
        <f aca="false">-E6*Assumptions!E32/100</f>
        <v>-8296.10901175406</v>
      </c>
      <c r="F17" s="4" t="n">
        <f aca="false">-F6*Assumptions!F32/100</f>
        <v>-8326.05594184527</v>
      </c>
      <c r="G17" s="4" t="n">
        <f aca="false">-G6*Assumptions!G32/100</f>
        <v>-8346.61410466464</v>
      </c>
      <c r="H17" s="4" t="n">
        <f aca="false">-H6*Assumptions!H32/100</f>
        <v>-8463.46670212995</v>
      </c>
      <c r="I17" s="4" t="n">
        <f aca="false">-I6*Assumptions!I32/100</f>
        <v>-8573.49176925764</v>
      </c>
      <c r="J17" s="4" t="n">
        <f aca="false">-J6*Assumptions!J32/100</f>
        <v>-8676.37367048873</v>
      </c>
      <c r="K17" s="4" t="n">
        <f aca="false">-K6*Assumptions!K32/100</f>
        <v>-8771.8137808641</v>
      </c>
      <c r="L17" s="4" t="n">
        <f aca="false">-L6*Assumptions!L32/100</f>
        <v>-8859.53191867275</v>
      </c>
    </row>
    <row r="18" customFormat="false" ht="15" hidden="false" customHeight="false" outlineLevel="0" collapsed="false">
      <c r="A18" s="0" t="s">
        <v>130</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131</v>
      </c>
      <c r="C19" s="0" t="n">
        <f aca="false">C15+C16+C17+C18</f>
        <v>5590.42513659</v>
      </c>
      <c r="D19" s="0" t="n">
        <f aca="false">D15+D16+D17+D18</f>
        <v>5920.85363583798</v>
      </c>
      <c r="E19" s="0" t="n">
        <f aca="false">E15+E16+E17+E18</f>
        <v>6216.26436530121</v>
      </c>
      <c r="F19" s="0" t="n">
        <f aca="false">F15+F16+F17+F18</f>
        <v>6474.02244885519</v>
      </c>
      <c r="G19" s="0" t="n">
        <f aca="false">G15+G16+G17+G18</f>
        <v>6731.80510710281</v>
      </c>
      <c r="H19" s="0" t="n">
        <f aca="false">H15+H16+H17+H18</f>
        <v>6842.44834533763</v>
      </c>
      <c r="I19" s="0" t="n">
        <f aca="false">I15+I16+I17+I18</f>
        <v>6919.0757794087</v>
      </c>
      <c r="J19" s="0" t="n">
        <f aca="false">J15+J16+J17+J18</f>
        <v>6989.63240161028</v>
      </c>
      <c r="K19" s="0" t="n">
        <f aca="false">K15+K16+K17+K18</f>
        <v>7066.51835802799</v>
      </c>
      <c r="L19" s="0" t="n">
        <f aca="false">L15+L16+L17+L18</f>
        <v>7137.18354160827</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5224.69638933645</v>
      </c>
      <c r="D21" s="0" t="n">
        <f aca="false">D19*D20</f>
        <v>5171.50286997815</v>
      </c>
      <c r="E21" s="0" t="n">
        <f aca="false">E19*E20</f>
        <v>5074.32340358764</v>
      </c>
      <c r="F21" s="0" t="n">
        <f aca="false">F19*F20</f>
        <v>4939.00072891982</v>
      </c>
      <c r="G21" s="0" t="n">
        <f aca="false">G19*G20</f>
        <v>4799.68400434188</v>
      </c>
      <c r="H21" s="0" t="n">
        <f aca="false">H19*H20</f>
        <v>4559.41224678189</v>
      </c>
      <c r="I21" s="0" t="n">
        <f aca="false">I19*I20</f>
        <v>4308.8526557067</v>
      </c>
      <c r="J21" s="0" t="n">
        <f aca="false">J19*J20</f>
        <v>4068.02969529997</v>
      </c>
      <c r="K21" s="0" t="n">
        <f aca="false">K19*K20</f>
        <v>3843.71777752175</v>
      </c>
      <c r="L21" s="0" t="n">
        <f aca="false">L19*L20</f>
        <v>3628.18220121212</v>
      </c>
    </row>
    <row r="23" customFormat="false" ht="15" hidden="false" customHeight="false" outlineLevel="0" collapsed="false">
      <c r="A23" s="0" t="s">
        <v>109</v>
      </c>
      <c r="C23" s="4" t="n">
        <f aca="false">Assumptions!C30</f>
        <v>4.3</v>
      </c>
      <c r="D23" s="4" t="n">
        <f aca="false">Assumptions!D30</f>
        <v>4.3</v>
      </c>
      <c r="E23" s="4" t="n">
        <f aca="false">Assumptions!E30</f>
        <v>4.3</v>
      </c>
      <c r="F23" s="4" t="n">
        <f aca="false">Assumptions!F30</f>
        <v>4.3</v>
      </c>
      <c r="G23" s="4" t="n">
        <f aca="false">Assumptions!G30</f>
        <v>4.3</v>
      </c>
      <c r="H23" s="4" t="n">
        <f aca="false">Assumptions!H30</f>
        <v>4.3</v>
      </c>
      <c r="I23" s="4" t="n">
        <f aca="false">Assumptions!I30</f>
        <v>4.3</v>
      </c>
      <c r="J23" s="4" t="n">
        <f aca="false">Assumptions!J30</f>
        <v>4.3</v>
      </c>
      <c r="K23" s="4" t="n">
        <f aca="false">Assumptions!K30</f>
        <v>4.3</v>
      </c>
      <c r="L23" s="4" t="n">
        <f aca="false">Assumptions!L30</f>
        <v>4.3</v>
      </c>
    </row>
    <row r="24" customFormat="false" ht="15" hidden="false" customHeight="false" outlineLevel="0" collapsed="false">
      <c r="A24" s="0" t="s">
        <v>134</v>
      </c>
      <c r="C24" s="0" t="n">
        <f aca="false">-C6*C23/100</f>
        <v>-2101.020678</v>
      </c>
      <c r="D24" s="0" t="n">
        <f aca="false">-D6*D23/100</f>
        <v>-2138.839050204</v>
      </c>
      <c r="E24" s="0" t="n">
        <f aca="false">-E6*E23/100</f>
        <v>-2175.19931405747</v>
      </c>
      <c r="F24" s="0" t="n">
        <f aca="false">-F6*F23/100</f>
        <v>-2210.00250308239</v>
      </c>
      <c r="G24" s="0" t="n">
        <f aca="false">-G6*G23/100</f>
        <v>-2243.15254062862</v>
      </c>
      <c r="H24" s="0" t="n">
        <f aca="false">-H6*H23/100</f>
        <v>-2274.55667619742</v>
      </c>
      <c r="I24" s="0" t="n">
        <f aca="false">-I6*I23/100</f>
        <v>-2304.12591298799</v>
      </c>
      <c r="J24" s="0" t="n">
        <f aca="false">-J6*J23/100</f>
        <v>-2331.77542394385</v>
      </c>
      <c r="K24" s="0" t="n">
        <f aca="false">-K6*K23/100</f>
        <v>-2357.42495360723</v>
      </c>
      <c r="L24" s="0" t="n">
        <f aca="false">-L6*L23/100</f>
        <v>-2380.9992031433</v>
      </c>
    </row>
    <row r="26" customFormat="false" ht="15" hidden="false" customHeight="false" outlineLevel="0" collapsed="false">
      <c r="A26" s="2" t="s">
        <v>135</v>
      </c>
    </row>
    <row r="27" customFormat="false" ht="15" hidden="false" customHeight="false" outlineLevel="0" collapsed="false">
      <c r="A27" s="0" t="s">
        <v>113</v>
      </c>
      <c r="B27" s="4" t="n">
        <f aca="false">Assumptions!$B$34</f>
        <v>7</v>
      </c>
    </row>
    <row r="28" customFormat="false" ht="15" hidden="false" customHeight="false" outlineLevel="0" collapsed="false">
      <c r="A28" s="0" t="s">
        <v>114</v>
      </c>
      <c r="B28" s="4" t="n">
        <f aca="false">Assumptions!$B$35</f>
        <v>1</v>
      </c>
    </row>
    <row r="29" customFormat="false" ht="15" hidden="false" customHeight="false" outlineLevel="0" collapsed="false">
      <c r="A29" s="0" t="s">
        <v>115</v>
      </c>
      <c r="B29" s="4" t="n">
        <f aca="false">Assumptions!$B$36</f>
        <v>11.7</v>
      </c>
    </row>
    <row r="30" customFormat="false" ht="15" hidden="false" customHeight="false" outlineLevel="0" collapsed="false">
      <c r="A30" s="0" t="s">
        <v>136</v>
      </c>
      <c r="B30" s="0" t="n">
        <f aca="false">SUM(C21:L21)</f>
        <v>45617.4019726864</v>
      </c>
    </row>
    <row r="31" customFormat="false" ht="15" hidden="false" customHeight="false" outlineLevel="0" collapsed="false">
      <c r="A31" s="0" t="s">
        <v>137</v>
      </c>
      <c r="B31" s="0" t="n">
        <f aca="false">L19</f>
        <v>7137.18354160827</v>
      </c>
    </row>
    <row r="32" customFormat="false" ht="15" hidden="false" customHeight="false" outlineLevel="0" collapsed="false">
      <c r="A32" s="0" t="s">
        <v>138</v>
      </c>
      <c r="B32" s="0" t="n">
        <f aca="false">IF(B27&gt;B28,B31*(1+B28/100)/((B27-B28)/100),B31*B29)</f>
        <v>120142.589617073</v>
      </c>
    </row>
    <row r="33" customFormat="false" ht="15" hidden="false" customHeight="false" outlineLevel="0" collapsed="false">
      <c r="A33" s="0" t="s">
        <v>139</v>
      </c>
      <c r="B33" s="0" t="n">
        <f aca="false">B31*B29</f>
        <v>83505.0474368168</v>
      </c>
    </row>
    <row r="34" customFormat="false" ht="15" hidden="false" customHeight="false" outlineLevel="0" collapsed="false">
      <c r="A34" s="0" t="s">
        <v>140</v>
      </c>
      <c r="B34" s="0" t="n">
        <f aca="false">MAX(0,MIN(B32,B33))</f>
        <v>83505.0474368168</v>
      </c>
    </row>
    <row r="35" customFormat="false" ht="15" hidden="false" customHeight="false" outlineLevel="0" collapsed="false">
      <c r="A35" s="0" t="s">
        <v>141</v>
      </c>
      <c r="B35" s="0" t="n">
        <f aca="false">B34/(1+B27/100)^L4</f>
        <v>42449.7317541818</v>
      </c>
    </row>
    <row r="36" customFormat="false" ht="15" hidden="false" customHeight="false" outlineLevel="0" collapsed="false">
      <c r="A36" s="0" t="s">
        <v>142</v>
      </c>
      <c r="B36" s="0" t="n">
        <f aca="false">B30+B35</f>
        <v>88067.1337268682</v>
      </c>
    </row>
    <row r="37" customFormat="false" ht="15" hidden="false" customHeight="false" outlineLevel="0" collapsed="false">
      <c r="A37" s="0" t="s">
        <v>143</v>
      </c>
      <c r="B37" s="0" t="n">
        <f aca="false">B36+Assumptions!$B$5-Assumptions!$B$4</f>
        <v>43317.1337268682</v>
      </c>
    </row>
    <row r="38" customFormat="false" ht="15" hidden="false" customHeight="false" outlineLevel="0" collapsed="false">
      <c r="A38" s="0" t="s">
        <v>144</v>
      </c>
      <c r="B38" s="0" t="n">
        <f aca="false">B37/Assumptions!$B$3*Assumptions!$B$10</f>
        <v>16.2828003333715</v>
      </c>
    </row>
    <row r="39" customFormat="false" ht="15" hidden="false" customHeight="false" outlineLevel="0" collapsed="false">
      <c r="A39" s="0" t="s">
        <v>145</v>
      </c>
      <c r="B39" s="4" t="n">
        <f aca="false">B38/Assumptions!$B$2-1</f>
        <v>0.146272462750545</v>
      </c>
    </row>
    <row r="41" customFormat="false" ht="15" hidden="false" customHeight="false" outlineLevel="0" collapsed="false">
      <c r="A41" s="0" t="s">
        <v>146</v>
      </c>
      <c r="B41" s="0" t="n">
        <f aca="false">SUMPRODUCT(-C10:L10/(1+$B$27/100)^C4:L4)</f>
        <v>182.47636037711</v>
      </c>
    </row>
    <row r="42" customFormat="false" ht="15" hidden="false" customHeight="false" outlineLevel="0" collapsed="false">
      <c r="A42" s="0" t="s">
        <v>147</v>
      </c>
      <c r="B42" s="0" t="n">
        <f aca="false">IF(B27&gt;B28,-L10*(1+B28/100)/((B27-B28)/100),-L10*20)/(1+B27/100)^L4</f>
        <v>236.915320171732</v>
      </c>
    </row>
    <row r="43" customFormat="false" ht="15" hidden="false" customHeight="false" outlineLevel="0" collapsed="false">
      <c r="A43" s="0" t="s">
        <v>148</v>
      </c>
      <c r="B43" s="0" t="n">
        <f aca="false">(B37+B41+B42)/Assumptions!$B$3*Assumptions!$B$10</f>
        <v>16.440448598811</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51489.6812644597</v>
      </c>
    </row>
    <row r="47" customFormat="false" ht="15" hidden="false" customHeight="false" outlineLevel="0" collapsed="false">
      <c r="A47" s="0" t="s">
        <v>150</v>
      </c>
      <c r="B47" s="0" t="n">
        <f aca="false">(SUMPRODUCT(C19:L19/(1+B45/100)^C4:L4)+B46/(1+B45/100)^L4+Assumptions!$B$5-Assumptions!$B$4)/Assumptions!$B$3*Assumptions!$B$10</f>
        <v>0.0258013877146418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121</v>
      </c>
      <c r="B3" s="0" t="s">
        <v>91</v>
      </c>
      <c r="C3" s="2" t="s">
        <v>96</v>
      </c>
      <c r="D3" s="2" t="s">
        <v>97</v>
      </c>
      <c r="E3" s="2" t="s">
        <v>98</v>
      </c>
      <c r="F3" s="2" t="s">
        <v>99</v>
      </c>
      <c r="G3" s="2" t="s">
        <v>100</v>
      </c>
      <c r="H3" s="2" t="s">
        <v>101</v>
      </c>
      <c r="I3" s="2" t="s">
        <v>102</v>
      </c>
      <c r="J3" s="2" t="s">
        <v>103</v>
      </c>
      <c r="K3" s="2" t="s">
        <v>104</v>
      </c>
      <c r="L3" s="2" t="s">
        <v>105</v>
      </c>
    </row>
    <row r="4" customFormat="false" ht="15" hidden="false" customHeight="false" outlineLevel="0" collapsed="false">
      <c r="A4" s="0" t="s">
        <v>122</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106</v>
      </c>
      <c r="C5" s="4" t="n">
        <f aca="false">Assumptions!C41</f>
        <v>2.5</v>
      </c>
      <c r="D5" s="4" t="n">
        <f aca="false">Assumptions!D41</f>
        <v>2.8</v>
      </c>
      <c r="E5" s="4" t="n">
        <f aca="false">Assumptions!E41</f>
        <v>2.8</v>
      </c>
      <c r="F5" s="4" t="n">
        <f aca="false">Assumptions!F41</f>
        <v>2.6</v>
      </c>
      <c r="G5" s="4" t="n">
        <f aca="false">Assumptions!G41</f>
        <v>2.4</v>
      </c>
      <c r="H5" s="4" t="n">
        <f aca="false">Assumptions!H41</f>
        <v>2.2</v>
      </c>
      <c r="I5" s="4" t="n">
        <f aca="false">Assumptions!I41</f>
        <v>2</v>
      </c>
      <c r="J5" s="4" t="n">
        <f aca="false">Assumptions!J41</f>
        <v>1.8</v>
      </c>
      <c r="K5" s="4" t="n">
        <f aca="false">Assumptions!K41</f>
        <v>1.6</v>
      </c>
      <c r="L5" s="4" t="n">
        <f aca="false">Assumptions!L41</f>
        <v>1.5</v>
      </c>
    </row>
    <row r="6" customFormat="false" ht="15" hidden="false" customHeight="false" outlineLevel="0" collapsed="false">
      <c r="A6" s="0" t="s">
        <v>37</v>
      </c>
      <c r="B6" s="3" t="n">
        <v>47997</v>
      </c>
      <c r="C6" s="0" t="n">
        <f aca="false">B6*(1+C5/100)</f>
        <v>49196.925</v>
      </c>
      <c r="D6" s="0" t="n">
        <f aca="false">C6*(1+D5/100)</f>
        <v>50574.4389</v>
      </c>
      <c r="E6" s="0" t="n">
        <f aca="false">D6*(1+E5/100)</f>
        <v>51990.5231892</v>
      </c>
      <c r="F6" s="0" t="n">
        <f aca="false">E6*(1+F5/100)</f>
        <v>53342.2767921192</v>
      </c>
      <c r="G6" s="0" t="n">
        <f aca="false">F6*(1+G5/100)</f>
        <v>54622.4914351301</v>
      </c>
      <c r="H6" s="0" t="n">
        <f aca="false">G6*(1+H5/100)</f>
        <v>55824.1862467029</v>
      </c>
      <c r="I6" s="0" t="n">
        <f aca="false">H6*(1+I5/100)</f>
        <v>56940.669971637</v>
      </c>
      <c r="J6" s="0" t="n">
        <f aca="false">I6*(1+J5/100)</f>
        <v>57965.6020311264</v>
      </c>
      <c r="K6" s="0" t="n">
        <f aca="false">J6*(1+K5/100)</f>
        <v>58893.0516636245</v>
      </c>
      <c r="L6" s="0" t="n">
        <f aca="false">K6*(1+L5/100)</f>
        <v>59776.4474385788</v>
      </c>
    </row>
    <row r="7" customFormat="false" ht="15" hidden="false" customHeight="false" outlineLevel="0" collapsed="false">
      <c r="A7" s="0" t="s">
        <v>107</v>
      </c>
      <c r="C7" s="4" t="n">
        <f aca="false">Assumptions!C42</f>
        <v>36</v>
      </c>
      <c r="D7" s="4" t="n">
        <f aca="false">Assumptions!D42</f>
        <v>36.6</v>
      </c>
      <c r="E7" s="4" t="n">
        <f aca="false">Assumptions!E42</f>
        <v>37.1</v>
      </c>
      <c r="F7" s="4" t="n">
        <f aca="false">Assumptions!F42</f>
        <v>37.5</v>
      </c>
      <c r="G7" s="4" t="n">
        <f aca="false">Assumptions!G42</f>
        <v>37.8</v>
      </c>
      <c r="H7" s="4" t="n">
        <f aca="false">Assumptions!H42</f>
        <v>38</v>
      </c>
      <c r="I7" s="4" t="n">
        <f aca="false">Assumptions!I42</f>
        <v>38</v>
      </c>
      <c r="J7" s="4" t="n">
        <f aca="false">Assumptions!J42</f>
        <v>38</v>
      </c>
      <c r="K7" s="4" t="n">
        <f aca="false">Assumptions!K42</f>
        <v>38</v>
      </c>
      <c r="L7" s="4" t="n">
        <f aca="false">Assumptions!L42</f>
        <v>38</v>
      </c>
    </row>
    <row r="8" customFormat="false" ht="15" hidden="false" customHeight="false" outlineLevel="0" collapsed="false">
      <c r="A8" s="0" t="s">
        <v>43</v>
      </c>
      <c r="C8" s="0" t="n">
        <f aca="false">C6*C7/100</f>
        <v>17710.893</v>
      </c>
      <c r="D8" s="0" t="n">
        <f aca="false">D6*D7/100</f>
        <v>18510.2446374</v>
      </c>
      <c r="E8" s="0" t="n">
        <f aca="false">E6*E7/100</f>
        <v>19288.4841031932</v>
      </c>
      <c r="F8" s="0" t="n">
        <f aca="false">F6*F7/100</f>
        <v>20003.3537970447</v>
      </c>
      <c r="G8" s="0" t="n">
        <f aca="false">G6*G7/100</f>
        <v>20647.3017624792</v>
      </c>
      <c r="H8" s="0" t="n">
        <f aca="false">H6*H7/100</f>
        <v>21213.1907737471</v>
      </c>
      <c r="I8" s="0" t="n">
        <f aca="false">I6*I7/100</f>
        <v>21637.4545892221</v>
      </c>
      <c r="J8" s="0" t="n">
        <f aca="false">J6*J7/100</f>
        <v>22026.928771828</v>
      </c>
      <c r="K8" s="0" t="n">
        <f aca="false">K6*K7/100</f>
        <v>22379.3596321773</v>
      </c>
      <c r="L8" s="0" t="n">
        <f aca="false">L6*L7/100</f>
        <v>22715.05002666</v>
      </c>
    </row>
    <row r="9" customFormat="false" ht="15" hidden="false" customHeight="false" outlineLevel="0" collapsed="false">
      <c r="A9" s="0" t="s">
        <v>108</v>
      </c>
      <c r="C9" s="4" t="n">
        <f aca="false">Assumptions!C43</f>
        <v>0.05</v>
      </c>
      <c r="D9" s="4" t="n">
        <f aca="false">Assumptions!D43</f>
        <v>0.05</v>
      </c>
      <c r="E9" s="4" t="n">
        <f aca="false">Assumptions!E43</f>
        <v>0.05</v>
      </c>
      <c r="F9" s="4" t="n">
        <f aca="false">Assumptions!F43</f>
        <v>0.05</v>
      </c>
      <c r="G9" s="4" t="n">
        <f aca="false">Assumptions!G43</f>
        <v>0.05</v>
      </c>
      <c r="H9" s="4" t="n">
        <f aca="false">Assumptions!H43</f>
        <v>0.05</v>
      </c>
      <c r="I9" s="4" t="n">
        <f aca="false">Assumptions!I43</f>
        <v>0.05</v>
      </c>
      <c r="J9" s="4" t="n">
        <f aca="false">Assumptions!J43</f>
        <v>0.05</v>
      </c>
      <c r="K9" s="4" t="n">
        <f aca="false">Assumptions!K43</f>
        <v>0.05</v>
      </c>
      <c r="L9" s="4" t="n">
        <f aca="false">Assumptions!L43</f>
        <v>0.05</v>
      </c>
    </row>
    <row r="10" customFormat="false" ht="15" hidden="false" customHeight="false" outlineLevel="0" collapsed="false">
      <c r="A10" s="0" t="s">
        <v>123</v>
      </c>
      <c r="C10" s="0" t="n">
        <f aca="false">-C6*C9/100</f>
        <v>-24.5984625</v>
      </c>
      <c r="D10" s="0" t="n">
        <f aca="false">-D6*D9/100</f>
        <v>-25.28721945</v>
      </c>
      <c r="E10" s="0" t="n">
        <f aca="false">-E6*E9/100</f>
        <v>-25.9952615946</v>
      </c>
      <c r="F10" s="0" t="n">
        <f aca="false">-F6*F9/100</f>
        <v>-26.6711383960596</v>
      </c>
      <c r="G10" s="0" t="n">
        <f aca="false">-G6*G9/100</f>
        <v>-27.311245717565</v>
      </c>
      <c r="H10" s="0" t="n">
        <f aca="false">-H6*H9/100</f>
        <v>-27.9120931233515</v>
      </c>
      <c r="I10" s="0" t="n">
        <f aca="false">-I6*I9/100</f>
        <v>-28.4703349858185</v>
      </c>
      <c r="J10" s="0" t="n">
        <f aca="false">-J6*J9/100</f>
        <v>-28.9828010155632</v>
      </c>
      <c r="K10" s="0" t="n">
        <f aca="false">-K6*K9/100</f>
        <v>-29.4465258318122</v>
      </c>
      <c r="L10" s="0" t="n">
        <f aca="false">-L6*L9/100</f>
        <v>-29.8882237192894</v>
      </c>
    </row>
    <row r="11" customFormat="false" ht="15" hidden="false" customHeight="false" outlineLevel="0" collapsed="false">
      <c r="A11" s="0" t="s">
        <v>124</v>
      </c>
      <c r="C11" s="0" t="n">
        <f aca="false">C8+C10+C24</f>
        <v>15570.8267625</v>
      </c>
      <c r="D11" s="0" t="n">
        <f aca="false">D8+D10+D24</f>
        <v>16310.25654525</v>
      </c>
      <c r="E11" s="0" t="n">
        <f aca="false">E8+E10+E24</f>
        <v>17026.896344463</v>
      </c>
      <c r="F11" s="0" t="n">
        <f aca="false">F8+F10+F24</f>
        <v>17682.9647565875</v>
      </c>
      <c r="G11" s="0" t="n">
        <f aca="false">G8+G10+G24</f>
        <v>18271.223385051</v>
      </c>
      <c r="H11" s="0" t="n">
        <f aca="false">H8+H10+H24</f>
        <v>18784.8386720155</v>
      </c>
      <c r="I11" s="0" t="n">
        <f aca="false">I8+I10+I24</f>
        <v>19160.5354454558</v>
      </c>
      <c r="J11" s="0" t="n">
        <f aca="false">J8+J10+J24</f>
        <v>19505.4250834741</v>
      </c>
      <c r="K11" s="0" t="n">
        <f aca="false">K8+K10+K24</f>
        <v>19817.5118848096</v>
      </c>
      <c r="L11" s="0" t="n">
        <f aca="false">L8+L10+L24</f>
        <v>20114.7745630818</v>
      </c>
    </row>
    <row r="12" customFormat="false" ht="15" hidden="false" customHeight="false" outlineLevel="0" collapsed="false">
      <c r="A12" s="0" t="s">
        <v>125</v>
      </c>
      <c r="C12" s="4" t="n">
        <f aca="false">-C6*Assumptions!C45/100</f>
        <v>-8609.461875</v>
      </c>
      <c r="D12" s="4" t="n">
        <f aca="false">-D6*Assumptions!D45/100</f>
        <v>-8749.3779297</v>
      </c>
      <c r="E12" s="4" t="n">
        <f aca="false">-E6*Assumptions!E45/100</f>
        <v>-8890.3794653532</v>
      </c>
      <c r="F12" s="4" t="n">
        <f aca="false">-F6*Assumptions!F45/100</f>
        <v>-9014.84477786814</v>
      </c>
      <c r="G12" s="4" t="n">
        <f aca="false">-G6*Assumptions!G45/100</f>
        <v>-9121.95606966672</v>
      </c>
      <c r="H12" s="4" t="n">
        <f aca="false">-H6*Assumptions!H45/100</f>
        <v>-9210.99073070598</v>
      </c>
      <c r="I12" s="4" t="n">
        <f aca="false">-I6*Assumptions!I45/100</f>
        <v>-9338.26987534846</v>
      </c>
      <c r="J12" s="4" t="n">
        <f aca="false">-J6*Assumptions!J45/100</f>
        <v>-9448.39313107361</v>
      </c>
      <c r="K12" s="4" t="n">
        <f aca="false">-K6*Assumptions!K45/100</f>
        <v>-9599.56742117079</v>
      </c>
      <c r="L12" s="4" t="n">
        <f aca="false">-L6*Assumptions!L45/100</f>
        <v>-9743.56093248835</v>
      </c>
    </row>
    <row r="13" customFormat="false" ht="15" hidden="false" customHeight="false" outlineLevel="0" collapsed="false">
      <c r="A13" s="0" t="s">
        <v>126</v>
      </c>
      <c r="C13" s="0" t="n">
        <f aca="false">C11+C12</f>
        <v>6961.3648875</v>
      </c>
      <c r="D13" s="0" t="n">
        <f aca="false">D11+D12</f>
        <v>7560.87861555</v>
      </c>
      <c r="E13" s="0" t="n">
        <f aca="false">E11+E12</f>
        <v>8136.5168791098</v>
      </c>
      <c r="F13" s="0" t="n">
        <f aca="false">F11+F12</f>
        <v>8668.11997871937</v>
      </c>
      <c r="G13" s="0" t="n">
        <f aca="false">G11+G12</f>
        <v>9149.26731538428</v>
      </c>
      <c r="H13" s="0" t="n">
        <f aca="false">H11+H12</f>
        <v>9573.84794130955</v>
      </c>
      <c r="I13" s="0" t="n">
        <f aca="false">I11+I12</f>
        <v>9822.26557010738</v>
      </c>
      <c r="J13" s="0" t="n">
        <f aca="false">J11+J12</f>
        <v>10057.0319524004</v>
      </c>
      <c r="K13" s="0" t="n">
        <f aca="false">K11+K12</f>
        <v>10217.9444636388</v>
      </c>
      <c r="L13" s="0" t="n">
        <f aca="false">L11+L12</f>
        <v>10371.2136305934</v>
      </c>
    </row>
    <row r="14" customFormat="false" ht="15" hidden="false" customHeight="false" outlineLevel="0" collapsed="false">
      <c r="A14" s="0" t="s">
        <v>112</v>
      </c>
      <c r="C14" s="4" t="n">
        <f aca="false">Assumptions!C47</f>
        <v>22</v>
      </c>
      <c r="D14" s="4" t="n">
        <f aca="false">Assumptions!D47</f>
        <v>22</v>
      </c>
      <c r="E14" s="4" t="n">
        <f aca="false">Assumptions!E47</f>
        <v>22</v>
      </c>
      <c r="F14" s="4" t="n">
        <f aca="false">Assumptions!F47</f>
        <v>22</v>
      </c>
      <c r="G14" s="4" t="n">
        <f aca="false">Assumptions!G47</f>
        <v>22</v>
      </c>
      <c r="H14" s="4" t="n">
        <f aca="false">Assumptions!H47</f>
        <v>22</v>
      </c>
      <c r="I14" s="4" t="n">
        <f aca="false">Assumptions!I47</f>
        <v>22</v>
      </c>
      <c r="J14" s="4" t="n">
        <f aca="false">Assumptions!J47</f>
        <v>22</v>
      </c>
      <c r="K14" s="4" t="n">
        <f aca="false">Assumptions!K47</f>
        <v>22</v>
      </c>
      <c r="L14" s="4" t="n">
        <f aca="false">Assumptions!L47</f>
        <v>22</v>
      </c>
    </row>
    <row r="15" customFormat="false" ht="15" hidden="false" customHeight="false" outlineLevel="0" collapsed="false">
      <c r="A15" s="0" t="s">
        <v>127</v>
      </c>
      <c r="C15" s="0" t="n">
        <f aca="false">C13-MAX(0,C13)*C14/100</f>
        <v>5429.86461225</v>
      </c>
      <c r="D15" s="0" t="n">
        <f aca="false">D13-MAX(0,D13)*D14/100</f>
        <v>5897.485320129</v>
      </c>
      <c r="E15" s="0" t="n">
        <f aca="false">E13-MAX(0,E13)*E14/100</f>
        <v>6346.48316570565</v>
      </c>
      <c r="F15" s="0" t="n">
        <f aca="false">F13-MAX(0,F13)*F14/100</f>
        <v>6761.13358340111</v>
      </c>
      <c r="G15" s="0" t="n">
        <f aca="false">G13-MAX(0,G13)*G14/100</f>
        <v>7136.42850599974</v>
      </c>
      <c r="H15" s="0" t="n">
        <f aca="false">H13-MAX(0,H13)*H14/100</f>
        <v>7467.60139422145</v>
      </c>
      <c r="I15" s="0" t="n">
        <f aca="false">I13-MAX(0,I13)*I14/100</f>
        <v>7661.36714468376</v>
      </c>
      <c r="J15" s="0" t="n">
        <f aca="false">J13-MAX(0,J13)*J14/100</f>
        <v>7844.48492287234</v>
      </c>
      <c r="K15" s="0" t="n">
        <f aca="false">K13-MAX(0,K13)*K14/100</f>
        <v>7969.9966816383</v>
      </c>
      <c r="L15" s="0" t="n">
        <f aca="false">L13-MAX(0,L13)*L14/100</f>
        <v>8089.54663186287</v>
      </c>
    </row>
    <row r="16" customFormat="false" ht="15" hidden="false" customHeight="false" outlineLevel="0" collapsed="false">
      <c r="A16" s="0" t="s">
        <v>128</v>
      </c>
      <c r="C16" s="0" t="n">
        <f aca="false">-C12</f>
        <v>8609.461875</v>
      </c>
      <c r="D16" s="0" t="n">
        <f aca="false">-D12</f>
        <v>8749.3779297</v>
      </c>
      <c r="E16" s="0" t="n">
        <f aca="false">-E12</f>
        <v>8890.3794653532</v>
      </c>
      <c r="F16" s="0" t="n">
        <f aca="false">-F12</f>
        <v>9014.84477786814</v>
      </c>
      <c r="G16" s="0" t="n">
        <f aca="false">-G12</f>
        <v>9121.95606966672</v>
      </c>
      <c r="H16" s="0" t="n">
        <f aca="false">-H12</f>
        <v>9210.99073070598</v>
      </c>
      <c r="I16" s="0" t="n">
        <f aca="false">-I12</f>
        <v>9338.26987534846</v>
      </c>
      <c r="J16" s="0" t="n">
        <f aca="false">-J12</f>
        <v>9448.39313107361</v>
      </c>
      <c r="K16" s="0" t="n">
        <f aca="false">-K12</f>
        <v>9599.56742117079</v>
      </c>
      <c r="L16" s="0" t="n">
        <f aca="false">-L12</f>
        <v>9743.56093248835</v>
      </c>
    </row>
    <row r="17" customFormat="false" ht="15" hidden="false" customHeight="false" outlineLevel="0" collapsed="false">
      <c r="A17" s="0" t="s">
        <v>129</v>
      </c>
      <c r="C17" s="4" t="n">
        <f aca="false">-C6*Assumptions!C46/100</f>
        <v>-8166.68955</v>
      </c>
      <c r="D17" s="4" t="n">
        <f aca="false">-D6*Assumptions!D46/100</f>
        <v>-8243.6335407</v>
      </c>
      <c r="E17" s="4" t="n">
        <f aca="false">-E6*Assumptions!E46/100</f>
        <v>-8318.483710272</v>
      </c>
      <c r="F17" s="4" t="n">
        <f aca="false">-F6*Assumptions!F46/100</f>
        <v>-8428.07973315483</v>
      </c>
      <c r="G17" s="4" t="n">
        <f aca="false">-G6*Assumptions!G46/100</f>
        <v>-8521.10866388029</v>
      </c>
      <c r="H17" s="4" t="n">
        <f aca="false">-H6*Assumptions!H46/100</f>
        <v>-8652.74886823895</v>
      </c>
      <c r="I17" s="4" t="n">
        <f aca="false">-I6*Assumptions!I46/100</f>
        <v>-8825.80384560373</v>
      </c>
      <c r="J17" s="4" t="n">
        <f aca="false">-J6*Assumptions!J46/100</f>
        <v>-8984.6683148246</v>
      </c>
      <c r="K17" s="4" t="n">
        <f aca="false">-K6*Assumptions!K46/100</f>
        <v>-9128.42300786179</v>
      </c>
      <c r="L17" s="4" t="n">
        <f aca="false">-L6*Assumptions!L46/100</f>
        <v>-9265.34935297972</v>
      </c>
    </row>
    <row r="18" customFormat="false" ht="15" hidden="false" customHeight="false" outlineLevel="0" collapsed="false">
      <c r="A18" s="0" t="s">
        <v>130</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131</v>
      </c>
      <c r="C19" s="0" t="n">
        <f aca="false">C15+C16+C17+C18</f>
        <v>5872.63693725</v>
      </c>
      <c r="D19" s="0" t="n">
        <f aca="false">D15+D16+D17+D18</f>
        <v>6403.229709129</v>
      </c>
      <c r="E19" s="0" t="n">
        <f aca="false">E15+E16+E17+E18</f>
        <v>6918.37892078685</v>
      </c>
      <c r="F19" s="0" t="n">
        <f aca="false">F15+F16+F17+F18</f>
        <v>7347.89862811442</v>
      </c>
      <c r="G19" s="0" t="n">
        <f aca="false">G15+G16+G17+G18</f>
        <v>7737.27591178617</v>
      </c>
      <c r="H19" s="0" t="n">
        <f aca="false">H15+H16+H17+H18</f>
        <v>8025.84325668848</v>
      </c>
      <c r="I19" s="0" t="n">
        <f aca="false">I15+I16+I17+I18</f>
        <v>8173.83317442849</v>
      </c>
      <c r="J19" s="0" t="n">
        <f aca="false">J15+J16+J17+J18</f>
        <v>8308.20973912135</v>
      </c>
      <c r="K19" s="0" t="n">
        <f aca="false">K15+K16+K17+K18</f>
        <v>8441.14109494729</v>
      </c>
      <c r="L19" s="0" t="n">
        <f aca="false">L15+L16+L17+L18</f>
        <v>8567.7582113715</v>
      </c>
    </row>
    <row r="20" customFormat="false" ht="15" hidden="false" customHeight="false" outlineLevel="0" collapsed="false">
      <c r="A20" s="0" t="s">
        <v>132</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133</v>
      </c>
      <c r="C21" s="0" t="n">
        <f aca="false">C19*C20</f>
        <v>5488.44573574767</v>
      </c>
      <c r="D21" s="0" t="n">
        <f aca="false">D19*D20</f>
        <v>5592.82881398288</v>
      </c>
      <c r="E21" s="0" t="n">
        <f aca="false">E19*E20</f>
        <v>5647.45802456473</v>
      </c>
      <c r="F21" s="0" t="n">
        <f aca="false">F19*F20</f>
        <v>5605.67668199907</v>
      </c>
      <c r="G21" s="0" t="n">
        <f aca="false">G19*G20</f>
        <v>5516.57079195544</v>
      </c>
      <c r="H21" s="0" t="n">
        <f aca="false">H19*H20</f>
        <v>5347.95824366456</v>
      </c>
      <c r="I21" s="0" t="n">
        <f aca="false">I19*I20</f>
        <v>5090.25249958305</v>
      </c>
      <c r="J21" s="0" t="n">
        <f aca="false">J19*J20</f>
        <v>4835.45371080455</v>
      </c>
      <c r="K21" s="0" t="n">
        <f aca="false">K19*K20</f>
        <v>4591.42146745553</v>
      </c>
      <c r="L21" s="0" t="n">
        <f aca="false">L19*L20</f>
        <v>4355.41382193212</v>
      </c>
    </row>
    <row r="23" customFormat="false" ht="15" hidden="false" customHeight="false" outlineLevel="0" collapsed="false">
      <c r="A23" s="0" t="s">
        <v>109</v>
      </c>
      <c r="C23" s="4" t="n">
        <f aca="false">Assumptions!C44</f>
        <v>4.3</v>
      </c>
      <c r="D23" s="4" t="n">
        <f aca="false">Assumptions!D44</f>
        <v>4.3</v>
      </c>
      <c r="E23" s="4" t="n">
        <f aca="false">Assumptions!E44</f>
        <v>4.3</v>
      </c>
      <c r="F23" s="4" t="n">
        <f aca="false">Assumptions!F44</f>
        <v>4.3</v>
      </c>
      <c r="G23" s="4" t="n">
        <f aca="false">Assumptions!G44</f>
        <v>4.3</v>
      </c>
      <c r="H23" s="4" t="n">
        <f aca="false">Assumptions!H44</f>
        <v>4.3</v>
      </c>
      <c r="I23" s="4" t="n">
        <f aca="false">Assumptions!I44</f>
        <v>4.3</v>
      </c>
      <c r="J23" s="4" t="n">
        <f aca="false">Assumptions!J44</f>
        <v>4.3</v>
      </c>
      <c r="K23" s="4" t="n">
        <f aca="false">Assumptions!K44</f>
        <v>4.3</v>
      </c>
      <c r="L23" s="4" t="n">
        <f aca="false">Assumptions!L44</f>
        <v>4.3</v>
      </c>
    </row>
    <row r="24" customFormat="false" ht="15" hidden="false" customHeight="false" outlineLevel="0" collapsed="false">
      <c r="A24" s="0" t="s">
        <v>134</v>
      </c>
      <c r="C24" s="0" t="n">
        <f aca="false">-C6*C23/100</f>
        <v>-2115.467775</v>
      </c>
      <c r="D24" s="0" t="n">
        <f aca="false">-D6*D23/100</f>
        <v>-2174.7008727</v>
      </c>
      <c r="E24" s="0" t="n">
        <f aca="false">-E6*E23/100</f>
        <v>-2235.5924971356</v>
      </c>
      <c r="F24" s="0" t="n">
        <f aca="false">-F6*F23/100</f>
        <v>-2293.71790206113</v>
      </c>
      <c r="G24" s="0" t="n">
        <f aca="false">-G6*G23/100</f>
        <v>-2348.76713171059</v>
      </c>
      <c r="H24" s="0" t="n">
        <f aca="false">-H6*H23/100</f>
        <v>-2400.44000860823</v>
      </c>
      <c r="I24" s="0" t="n">
        <f aca="false">-I6*I23/100</f>
        <v>-2448.44880878039</v>
      </c>
      <c r="J24" s="0" t="n">
        <f aca="false">-J6*J23/100</f>
        <v>-2492.52088733844</v>
      </c>
      <c r="K24" s="0" t="n">
        <f aca="false">-K6*K23/100</f>
        <v>-2532.40122153585</v>
      </c>
      <c r="L24" s="0" t="n">
        <f aca="false">-L6*L23/100</f>
        <v>-2570.38723985889</v>
      </c>
    </row>
    <row r="26" customFormat="false" ht="15" hidden="false" customHeight="false" outlineLevel="0" collapsed="false">
      <c r="A26" s="2" t="s">
        <v>135</v>
      </c>
    </row>
    <row r="27" customFormat="false" ht="15" hidden="false" customHeight="false" outlineLevel="0" collapsed="false">
      <c r="A27" s="0" t="s">
        <v>113</v>
      </c>
      <c r="B27" s="4" t="n">
        <f aca="false">Assumptions!$B$48</f>
        <v>7</v>
      </c>
    </row>
    <row r="28" customFormat="false" ht="15" hidden="false" customHeight="false" outlineLevel="0" collapsed="false">
      <c r="A28" s="0" t="s">
        <v>114</v>
      </c>
      <c r="B28" s="4" t="n">
        <f aca="false">Assumptions!$B$49</f>
        <v>1.5</v>
      </c>
    </row>
    <row r="29" customFormat="false" ht="15" hidden="false" customHeight="false" outlineLevel="0" collapsed="false">
      <c r="A29" s="0" t="s">
        <v>115</v>
      </c>
      <c r="B29" s="4" t="n">
        <f aca="false">Assumptions!$B$50</f>
        <v>13.2</v>
      </c>
    </row>
    <row r="30" customFormat="false" ht="15" hidden="false" customHeight="false" outlineLevel="0" collapsed="false">
      <c r="A30" s="0" t="s">
        <v>136</v>
      </c>
      <c r="B30" s="0" t="n">
        <f aca="false">SUM(C21:L21)</f>
        <v>52071.4797916896</v>
      </c>
    </row>
    <row r="31" customFormat="false" ht="15" hidden="false" customHeight="false" outlineLevel="0" collapsed="false">
      <c r="A31" s="0" t="s">
        <v>137</v>
      </c>
      <c r="B31" s="0" t="n">
        <f aca="false">L19</f>
        <v>8567.7582113715</v>
      </c>
    </row>
    <row r="32" customFormat="false" ht="15" hidden="false" customHeight="false" outlineLevel="0" collapsed="false">
      <c r="A32" s="0" t="s">
        <v>138</v>
      </c>
      <c r="B32" s="0" t="n">
        <f aca="false">IF(B27&gt;B28,B31*(1+B28/100)/((B27-B28)/100),B31*B29)</f>
        <v>158114.08335531</v>
      </c>
    </row>
    <row r="33" customFormat="false" ht="15" hidden="false" customHeight="false" outlineLevel="0" collapsed="false">
      <c r="A33" s="0" t="s">
        <v>139</v>
      </c>
      <c r="B33" s="0" t="n">
        <f aca="false">B31*B29</f>
        <v>113094.408390104</v>
      </c>
    </row>
    <row r="34" customFormat="false" ht="15" hidden="false" customHeight="false" outlineLevel="0" collapsed="false">
      <c r="A34" s="0" t="s">
        <v>140</v>
      </c>
      <c r="B34" s="0" t="n">
        <f aca="false">MAX(0,MIN(B32,B33))</f>
        <v>113094.408390104</v>
      </c>
    </row>
    <row r="35" customFormat="false" ht="15" hidden="false" customHeight="false" outlineLevel="0" collapsed="false">
      <c r="A35" s="0" t="s">
        <v>141</v>
      </c>
      <c r="B35" s="0" t="n">
        <f aca="false">B34/(1+B27/100)^L4</f>
        <v>57491.4624495039</v>
      </c>
    </row>
    <row r="36" customFormat="false" ht="15" hidden="false" customHeight="false" outlineLevel="0" collapsed="false">
      <c r="A36" s="0" t="s">
        <v>142</v>
      </c>
      <c r="B36" s="0" t="n">
        <f aca="false">B30+B35</f>
        <v>109562.942241194</v>
      </c>
    </row>
    <row r="37" customFormat="false" ht="15" hidden="false" customHeight="false" outlineLevel="0" collapsed="false">
      <c r="A37" s="0" t="s">
        <v>143</v>
      </c>
      <c r="B37" s="0" t="n">
        <f aca="false">B36+Assumptions!$B$5-Assumptions!$B$4</f>
        <v>64812.9422411935</v>
      </c>
    </row>
    <row r="38" customFormat="false" ht="15" hidden="false" customHeight="false" outlineLevel="0" collapsed="false">
      <c r="A38" s="0" t="s">
        <v>144</v>
      </c>
      <c r="B38" s="0" t="n">
        <f aca="false">B37/Assumptions!$B$3*Assumptions!$B$10</f>
        <v>24.3630200508189</v>
      </c>
    </row>
    <row r="39" customFormat="false" ht="15" hidden="false" customHeight="false" outlineLevel="0" collapsed="false">
      <c r="A39" s="0" t="s">
        <v>145</v>
      </c>
      <c r="B39" s="4" t="n">
        <f aca="false">B38/Assumptions!$B$2-1</f>
        <v>0.715101728322344</v>
      </c>
    </row>
    <row r="41" customFormat="false" ht="15" hidden="false" customHeight="false" outlineLevel="0" collapsed="false">
      <c r="A41" s="0" t="s">
        <v>146</v>
      </c>
      <c r="B41" s="0" t="n">
        <f aca="false">SUMPRODUCT(-C10:L10/(1+$B$27/100)^C4:L4)</f>
        <v>190.523525866396</v>
      </c>
    </row>
    <row r="42" customFormat="false" ht="15" hidden="false" customHeight="false" outlineLevel="0" collapsed="false">
      <c r="A42" s="0" t="s">
        <v>147</v>
      </c>
      <c r="B42" s="0" t="n">
        <f aca="false">IF(B27&gt;B28,-L10*(1+B28/100)/((B27-B28)/100),-L10*20)/(1+B27/100)^L4</f>
        <v>280.392040571415</v>
      </c>
    </row>
    <row r="43" customFormat="false" ht="15" hidden="false" customHeight="false" outlineLevel="0" collapsed="false">
      <c r="A43" s="0" t="s">
        <v>148</v>
      </c>
      <c r="B43" s="0" t="n">
        <f aca="false">(B37+B41+B42)/Assumptions!$B$3*Assumptions!$B$10</f>
        <v>24.5400360138448</v>
      </c>
    </row>
    <row r="45" customFormat="false" ht="15" hidden="false" customHeight="false" outlineLevel="0" collapsed="false">
      <c r="A45" s="0" t="s">
        <v>88</v>
      </c>
      <c r="B45" s="4" t="n">
        <f aca="false">Assumptions!$B$6</f>
        <v>15</v>
      </c>
    </row>
    <row r="46" customFormat="false" ht="15" hidden="false" customHeight="false" outlineLevel="0" collapsed="false">
      <c r="A46" s="0" t="s">
        <v>149</v>
      </c>
      <c r="B46" s="0" t="n">
        <f aca="false">MAX(0,MIN(IF(B45&gt;B28,B31*(1+B28/100)/((B45-B28)/100),B31*B29),B31*B29))</f>
        <v>64416.8487743857</v>
      </c>
    </row>
    <row r="47" customFormat="false" ht="15" hidden="false" customHeight="false" outlineLevel="0" collapsed="false">
      <c r="A47" s="0" t="s">
        <v>150</v>
      </c>
      <c r="B47" s="0" t="n">
        <f aca="false">(SUMPRODUCT(C19:L19/(1+B45/100)^C4:L4)+B46/(1+B45/100)^L4+Assumptions!$B$5-Assumptions!$B$4)/Assumptions!$B$3*Assumptions!$B$10</f>
        <v>2.8170182860358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153</v>
      </c>
    </row>
    <row r="3" customFormat="false" ht="15" hidden="false" customHeight="false" outlineLevel="0" collapsed="false">
      <c r="A3" s="2" t="s">
        <v>154</v>
      </c>
      <c r="B3" s="2" t="s">
        <v>155</v>
      </c>
      <c r="C3" s="2" t="s">
        <v>145</v>
      </c>
      <c r="D3" s="2" t="s">
        <v>156</v>
      </c>
      <c r="E3" s="2" t="s">
        <v>148</v>
      </c>
      <c r="F3" s="2" t="s">
        <v>157</v>
      </c>
    </row>
    <row r="4" customFormat="false" ht="15" hidden="false" customHeight="false" outlineLevel="0" collapsed="false">
      <c r="A4" s="0" t="s">
        <v>158</v>
      </c>
      <c r="B4" s="4" t="n">
        <f aca="false">DCF_Bear!$B$38</f>
        <v>6.83875350906177</v>
      </c>
      <c r="C4" s="0" t="n">
        <f aca="false">B4/Assumptions!$B$2-1</f>
        <v>-0.51856715881297</v>
      </c>
      <c r="D4" s="4" t="n">
        <f aca="false">Assumptions!$B$24</f>
        <v>0.25</v>
      </c>
      <c r="E4" s="4" t="n">
        <f aca="false">DCF_Bear!$B$43</f>
        <v>6.97530819249924</v>
      </c>
      <c r="F4" s="4" t="n">
        <f aca="false">DCF_Bear!$B$47</f>
        <v>-4.34071353199409</v>
      </c>
    </row>
    <row r="5" customFormat="false" ht="15" hidden="false" customHeight="false" outlineLevel="0" collapsed="false">
      <c r="A5" s="0" t="s">
        <v>159</v>
      </c>
      <c r="B5" s="4" t="n">
        <f aca="false">DCF_Base!$B$38</f>
        <v>16.2828003333715</v>
      </c>
      <c r="C5" s="0" t="n">
        <f aca="false">B5/Assumptions!$B$2-1</f>
        <v>0.146272462750545</v>
      </c>
      <c r="D5" s="4" t="n">
        <f aca="false">Assumptions!$B$38</f>
        <v>0.5</v>
      </c>
      <c r="E5" s="4" t="n">
        <f aca="false">DCF_Base!$B$43</f>
        <v>16.440448598811</v>
      </c>
      <c r="F5" s="4" t="n">
        <f aca="false">DCF_Base!$B$47</f>
        <v>0.0258013877146418</v>
      </c>
    </row>
    <row r="6" customFormat="false" ht="15" hidden="false" customHeight="false" outlineLevel="0" collapsed="false">
      <c r="A6" s="0" t="s">
        <v>160</v>
      </c>
      <c r="B6" s="4" t="n">
        <f aca="false">DCF_Bull!$B$38</f>
        <v>24.3630200508189</v>
      </c>
      <c r="C6" s="0" t="n">
        <f aca="false">B6/Assumptions!$B$2-1</f>
        <v>0.715101728322344</v>
      </c>
      <c r="D6" s="4" t="n">
        <f aca="false">Assumptions!$B$52</f>
        <v>0.25</v>
      </c>
      <c r="E6" s="4" t="n">
        <f aca="false">DCF_Bull!$B$43</f>
        <v>24.5400360138448</v>
      </c>
      <c r="F6" s="4" t="n">
        <f aca="false">DCF_Bull!$B$47</f>
        <v>2.8170182860358</v>
      </c>
    </row>
    <row r="8" customFormat="false" ht="15" hidden="false" customHeight="false" outlineLevel="0" collapsed="false">
      <c r="A8" s="0" t="s">
        <v>161</v>
      </c>
      <c r="B8" s="0" t="n">
        <f aca="false">SUMPRODUCT(B4:B6,D4:D6)</f>
        <v>15.9418435566559</v>
      </c>
    </row>
    <row r="9" customFormat="false" ht="15" hidden="false" customHeight="false" outlineLevel="0" collapsed="false">
      <c r="A9" s="0" t="s">
        <v>162</v>
      </c>
      <c r="B9" s="0" t="n">
        <f aca="false">SUMPRODUCT(E4:E6,D4:D6)</f>
        <v>16.0990603509915</v>
      </c>
    </row>
    <row r="10" customFormat="false" ht="15" hidden="false" customHeight="false" outlineLevel="0" collapsed="false">
      <c r="A10" s="0" t="s">
        <v>163</v>
      </c>
      <c r="B10" s="0" t="n">
        <f aca="false">1-Assumptions!$B$2/B8</f>
        <v>0.108948726694207</v>
      </c>
    </row>
    <row r="11" customFormat="false" ht="15" hidden="false" customHeight="false" outlineLevel="0" collapsed="false">
      <c r="A11" s="0" t="s">
        <v>164</v>
      </c>
      <c r="B11" s="0" t="str">
        <f aca="false">IF(ABS(B9-B8)&gt;0.01*ABS(B8),(Assumptions!$B$2-B8)/(B9-B8)*100,"n/a")</f>
        <v>n/a</v>
      </c>
    </row>
    <row r="12" customFormat="false" ht="15" hidden="false" customHeight="false" outlineLevel="0" collapsed="false">
      <c r="A12" s="0" t="s">
        <v>165</v>
      </c>
      <c r="B12" s="0" t="n">
        <f aca="false">SUMPRODUCT(F4:F6,D4:D6)</f>
        <v>-0.36802311763225</v>
      </c>
    </row>
    <row r="14" customFormat="false" ht="15" hidden="false" customHeight="false" outlineLevel="0" collapsed="false">
      <c r="A14" s="2" t="s">
        <v>166</v>
      </c>
      <c r="C14" s="0" t="s">
        <v>167</v>
      </c>
    </row>
    <row r="15" customFormat="false" ht="15" hidden="false" customHeight="false" outlineLevel="0" collapsed="false">
      <c r="A15" s="0" t="s">
        <v>168</v>
      </c>
      <c r="B15" s="0" t="n">
        <f aca="false">(SUMPRODUCT(DCF_Base!$C$19:$L$19/(1+$C$15/100)^DCF_Base!$C$4:$L$4)+MAX(0,MIN(IF($C$15&gt;DCF_Base!$B$28,DCF_Base!$L$19*(1+DCF_Base!$B$28/100)/(($C$15-DCF_Base!$B$28)/100),DCF_Base!$L$19*DCF_Base!$B$29),DCF_Base!$L$19*DCF_Base!$B$29))/(1+$C$15/100)^DCF_Base!$L$4+Assumptions!$B$5-Assumptions!$B$4)/Assumptions!$B$3*Assumptions!$B$10</f>
        <v>16.2828003333715</v>
      </c>
      <c r="C15" s="3" t="n">
        <v>7</v>
      </c>
    </row>
    <row r="16" customFormat="false" ht="15" hidden="false" customHeight="false" outlineLevel="0" collapsed="false">
      <c r="A16" s="0" t="s">
        <v>169</v>
      </c>
      <c r="B16" s="0" t="n">
        <f aca="false">(SUMPRODUCT(DCF_Base!$C$19:$L$19/(1+$C$16/100)^DCF_Base!$C$4:$L$4)+MAX(0,MIN(IF($C$16&gt;DCF_Base!$B$28,DCF_Base!$L$19*(1+DCF_Base!$B$28/100)/(($C$16-DCF_Base!$B$28)/100),DCF_Base!$L$19*DCF_Base!$B$29),DCF_Base!$L$19*DCF_Base!$B$29))/(1+$C$16/100)^DCF_Base!$L$4+Assumptions!$B$5-Assumptions!$B$4)/Assumptions!$B$3*Assumptions!$B$10</f>
        <v>12.0432293784786</v>
      </c>
      <c r="C16" s="3" t="n">
        <v>9</v>
      </c>
    </row>
    <row r="17" customFormat="false" ht="15" hidden="false" customHeight="false" outlineLevel="0" collapsed="false">
      <c r="A17" s="0" t="s">
        <v>170</v>
      </c>
      <c r="B17" s="0" t="n">
        <f aca="false">(SUMPRODUCT(DCF_Base!$C$19:$L$19/(1+$C$17/100)^DCF_Base!$C$4:$L$4)+MAX(0,MIN(IF($C$17&gt;DCF_Base!$B$28,DCF_Base!$L$19*(1+DCF_Base!$B$28/100)/(($C$17-DCF_Base!$B$28)/100),DCF_Base!$L$19*DCF_Base!$B$29),DCF_Base!$L$19*DCF_Base!$B$29))/(1+$C$17/100)^DCF_Base!$L$4+Assumptions!$B$5-Assumptions!$B$4)/Assumptions!$B$3*Assumptions!$B$10</f>
        <v>9.6981497125916</v>
      </c>
      <c r="C17" s="3" t="n">
        <v>10</v>
      </c>
    </row>
    <row r="18" customFormat="false" ht="15" hidden="false" customHeight="false" outlineLevel="0" collapsed="false">
      <c r="A18" s="0" t="s">
        <v>171</v>
      </c>
      <c r="B18" s="0" t="n">
        <f aca="false">(SUMPRODUCT(DCF_Base!$C$19:$L$19/(1+$C$18/100)^DCF_Base!$C$4:$L$4)+MAX(0,MIN(IF($C$18&gt;DCF_Base!$B$28,DCF_Base!$L$19*(1+DCF_Base!$B$28/100)/(($C$18-DCF_Base!$B$28)/100),DCF_Base!$L$19*DCF_Base!$B$29),DCF_Base!$L$19*DCF_Base!$B$29))/(1+$C$18/100)^DCF_Base!$L$4+Assumptions!$B$5-Assumptions!$B$4)/Assumptions!$B$3*Assumptions!$B$10</f>
        <v>6.98575309877103</v>
      </c>
      <c r="C18" s="3" t="n">
        <v>11</v>
      </c>
    </row>
    <row r="19" customFormat="false" ht="15" hidden="false" customHeight="false" outlineLevel="0" collapsed="false">
      <c r="A19" s="0" t="s">
        <v>172</v>
      </c>
      <c r="B19" s="0" t="n">
        <f aca="false">(SUMPRODUCT(DCF_Base!$C$19:$L$19/(1+$C$19/100)^DCF_Base!$C$4:$L$4)+MAX(0,MIN(IF($C$19&gt;DCF_Base!$B$28,DCF_Base!$L$19*(1+DCF_Base!$B$28/100)/(($C$19-DCF_Base!$B$28)/100),DCF_Base!$L$19*DCF_Base!$B$29),DCF_Base!$L$19*DCF_Base!$B$29))/(1+$C$19/100)^DCF_Base!$L$4+Assumptions!$B$5-Assumptions!$B$4)/Assumptions!$B$3*Assumptions!$B$10</f>
        <v>4.76849340104245</v>
      </c>
      <c r="C19" s="3" t="n">
        <v>12</v>
      </c>
    </row>
    <row r="20" customFormat="false" ht="15" hidden="false" customHeight="false" outlineLevel="0" collapsed="false">
      <c r="A20" s="0" t="s">
        <v>173</v>
      </c>
      <c r="B20" s="0" t="n">
        <f aca="false">(SUMPRODUCT(DCF_Base!$C$19:$L$19/(1+$C$20/100)^DCF_Base!$C$4:$L$4)+MAX(0,MIN(IF($C$20&gt;DCF_Base!$B$28,DCF_Base!$L$19*(1+DCF_Base!$B$28/100)/(($C$20-DCF_Base!$B$28)/100),DCF_Base!$L$19*DCF_Base!$B$29),DCF_Base!$L$19*DCF_Base!$B$29))/(1+$C$20/100)^DCF_Base!$L$4+Assumptions!$B$5-Assumptions!$B$4)/Assumptions!$B$3*Assumptions!$B$10</f>
        <v>0.0258013877146418</v>
      </c>
      <c r="C20" s="3" t="n">
        <v>15</v>
      </c>
    </row>
    <row r="22" customFormat="false" ht="15" hidden="false" customHeight="false" outlineLevel="0" collapsed="false">
      <c r="A22" s="2" t="s">
        <v>174</v>
      </c>
    </row>
    <row r="23" customFormat="false" ht="15" hidden="false" customHeight="false" outlineLevel="0" collapsed="false">
      <c r="B23" s="3" t="n">
        <v>0</v>
      </c>
      <c r="C23" s="3" t="n">
        <v>0.5</v>
      </c>
      <c r="D23" s="3" t="n">
        <v>1</v>
      </c>
      <c r="E23" s="3" t="n">
        <v>1.5</v>
      </c>
      <c r="F23" s="3" t="n">
        <v>2</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21.3776078298895</v>
      </c>
      <c r="C24" s="0" t="n">
        <f aca="false">(SUMPRODUCT(DCF_Base!$C$19:$L$19/(1+$A$24/100)^DCF_Base!$C$4:$L$4)+MAX(0,MIN(IF($A$24&gt;$C$23,DCF_Base!$L$19*(1+$C$23/100)/(($A$24-$C$23)/100),DCF_Base!$L$19*DCF_Base!$B$29),DCF_Base!$L$19*DCF_Base!$B$29))/(1+$A$24/100)^DCF_Base!$L$4+Assumptions!$B$5-Assumptions!$B$4)/Assumptions!$B$3*Assumptions!$B$10</f>
        <v>21.3776078298895</v>
      </c>
      <c r="D24" s="0" t="n">
        <f aca="false">(SUMPRODUCT(DCF_Base!$C$19:$L$19/(1+$A$24/100)^DCF_Base!$C$4:$L$4)+MAX(0,MIN(IF($A$24&gt;$D$23,DCF_Base!$L$19*(1+$D$23/100)/(($A$24-$D$23)/100),DCF_Base!$L$19*DCF_Base!$B$29),DCF_Base!$L$19*DCF_Base!$B$29))/(1+$A$24/100)^DCF_Base!$L$4+Assumptions!$B$5-Assumptions!$B$4)/Assumptions!$B$3*Assumptions!$B$10</f>
        <v>21.3776078298895</v>
      </c>
      <c r="E24" s="0" t="n">
        <f aca="false">(SUMPRODUCT(DCF_Base!$C$19:$L$19/(1+$A$24/100)^DCF_Base!$C$4:$L$4)+MAX(0,MIN(IF($A$24&gt;$E$23,DCF_Base!$L$19*(1+$E$23/100)/(($A$24-$E$23)/100),DCF_Base!$L$19*DCF_Base!$B$29),DCF_Base!$L$19*DCF_Base!$B$29))/(1+$A$24/100)^DCF_Base!$L$4+Assumptions!$B$5-Assumptions!$B$4)/Assumptions!$B$3*Assumptions!$B$10</f>
        <v>21.3776078298895</v>
      </c>
      <c r="F24" s="0" t="n">
        <f aca="false">(SUMPRODUCT(DCF_Base!$C$19:$L$19/(1+$A$24/100)^DCF_Base!$C$4:$L$4)+MAX(0,MIN(IF($A$24&gt;$F$23,DCF_Base!$L$19*(1+$F$23/100)/(($A$24-$F$23)/100),DCF_Base!$L$19*DCF_Base!$B$29),DCF_Base!$L$19*DCF_Base!$B$29))/(1+$A$24/100)^DCF_Base!$L$4+Assumptions!$B$5-Assumptions!$B$4)/Assumptions!$B$3*Assumptions!$B$10</f>
        <v>21.3776078298895</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18.7116779318392</v>
      </c>
      <c r="C25" s="0" t="n">
        <f aca="false">(SUMPRODUCT(DCF_Base!$C$19:$L$19/(1+$A$25/100)^DCF_Base!$C$4:$L$4)+MAX(0,MIN(IF($A$25&gt;$C$23,DCF_Base!$L$19*(1+$C$23/100)/(($A$25-$C$23)/100),DCF_Base!$L$19*DCF_Base!$B$29),DCF_Base!$L$19*DCF_Base!$B$29))/(1+$A$25/100)^DCF_Base!$L$4+Assumptions!$B$5-Assumptions!$B$4)/Assumptions!$B$3*Assumptions!$B$10</f>
        <v>18.7116779318392</v>
      </c>
      <c r="D25" s="0" t="n">
        <f aca="false">(SUMPRODUCT(DCF_Base!$C$19:$L$19/(1+$A$25/100)^DCF_Base!$C$4:$L$4)+MAX(0,MIN(IF($A$25&gt;$D$23,DCF_Base!$L$19*(1+$D$23/100)/(($A$25-$D$23)/100),DCF_Base!$L$19*DCF_Base!$B$29),DCF_Base!$L$19*DCF_Base!$B$29))/(1+$A$25/100)^DCF_Base!$L$4+Assumptions!$B$5-Assumptions!$B$4)/Assumptions!$B$3*Assumptions!$B$10</f>
        <v>18.7116779318392</v>
      </c>
      <c r="E25" s="0" t="n">
        <f aca="false">(SUMPRODUCT(DCF_Base!$C$19:$L$19/(1+$A$25/100)^DCF_Base!$C$4:$L$4)+MAX(0,MIN(IF($A$25&gt;$E$23,DCF_Base!$L$19*(1+$E$23/100)/(($A$25-$E$23)/100),DCF_Base!$L$19*DCF_Base!$B$29),DCF_Base!$L$19*DCF_Base!$B$29))/(1+$A$25/100)^DCF_Base!$L$4+Assumptions!$B$5-Assumptions!$B$4)/Assumptions!$B$3*Assumptions!$B$10</f>
        <v>18.7116779318392</v>
      </c>
      <c r="F25" s="0" t="n">
        <f aca="false">(SUMPRODUCT(DCF_Base!$C$19:$L$19/(1+$A$25/100)^DCF_Base!$C$4:$L$4)+MAX(0,MIN(IF($A$25&gt;$F$23,DCF_Base!$L$19*(1+$F$23/100)/(($A$25-$F$23)/100),DCF_Base!$L$19*DCF_Base!$B$29),DCF_Base!$L$19*DCF_Base!$B$29))/(1+$A$25/100)^DCF_Base!$L$4+Assumptions!$B$5-Assumptions!$B$4)/Assumptions!$B$3*Assumptions!$B$10</f>
        <v>18.7116779318392</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16.2828003333715</v>
      </c>
      <c r="C26" s="0" t="n">
        <f aca="false">(SUMPRODUCT(DCF_Base!$C$19:$L$19/(1+$A$26/100)^DCF_Base!$C$4:$L$4)+MAX(0,MIN(IF($A$26&gt;$C$23,DCF_Base!$L$19*(1+$C$23/100)/(($A$26-$C$23)/100),DCF_Base!$L$19*DCF_Base!$B$29),DCF_Base!$L$19*DCF_Base!$B$29))/(1+$A$26/100)^DCF_Base!$L$4+Assumptions!$B$5-Assumptions!$B$4)/Assumptions!$B$3*Assumptions!$B$10</f>
        <v>16.2828003333715</v>
      </c>
      <c r="D26" s="0" t="n">
        <f aca="false">(SUMPRODUCT(DCF_Base!$C$19:$L$19/(1+$A$26/100)^DCF_Base!$C$4:$L$4)+MAX(0,MIN(IF($A$26&gt;$D$23,DCF_Base!$L$19*(1+$D$23/100)/(($A$26-$D$23)/100),DCF_Base!$L$19*DCF_Base!$B$29),DCF_Base!$L$19*DCF_Base!$B$29))/(1+$A$26/100)^DCF_Base!$L$4+Assumptions!$B$5-Assumptions!$B$4)/Assumptions!$B$3*Assumptions!$B$10</f>
        <v>16.2828003333715</v>
      </c>
      <c r="E26" s="0" t="n">
        <f aca="false">(SUMPRODUCT(DCF_Base!$C$19:$L$19/(1+$A$26/100)^DCF_Base!$C$4:$L$4)+MAX(0,MIN(IF($A$26&gt;$E$23,DCF_Base!$L$19*(1+$E$23/100)/(($A$26-$E$23)/100),DCF_Base!$L$19*DCF_Base!$B$29),DCF_Base!$L$19*DCF_Base!$B$29))/(1+$A$26/100)^DCF_Base!$L$4+Assumptions!$B$5-Assumptions!$B$4)/Assumptions!$B$3*Assumptions!$B$10</f>
        <v>16.2828003333715</v>
      </c>
      <c r="F26" s="0" t="n">
        <f aca="false">(SUMPRODUCT(DCF_Base!$C$19:$L$19/(1+$A$26/100)^DCF_Base!$C$4:$L$4)+MAX(0,MIN(IF($A$26&gt;$F$23,DCF_Base!$L$19*(1+$F$23/100)/(($A$26-$F$23)/100),DCF_Base!$L$19*DCF_Base!$B$29),DCF_Base!$L$19*DCF_Base!$B$29))/(1+$A$26/100)^DCF_Base!$L$4+Assumptions!$B$5-Assumptions!$B$4)/Assumptions!$B$3*Assumptions!$B$10</f>
        <v>16.2828003333715</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14.0670711764176</v>
      </c>
      <c r="C27" s="0" t="n">
        <f aca="false">(SUMPRODUCT(DCF_Base!$C$19:$L$19/(1+$A$27/100)^DCF_Base!$C$4:$L$4)+MAX(0,MIN(IF($A$27&gt;$C$23,DCF_Base!$L$19*(1+$C$23/100)/(($A$27-$C$23)/100),DCF_Base!$L$19*DCF_Base!$B$29),DCF_Base!$L$19*DCF_Base!$B$29))/(1+$A$27/100)^DCF_Base!$L$4+Assumptions!$B$5-Assumptions!$B$4)/Assumptions!$B$3*Assumptions!$B$10</f>
        <v>14.0670711764176</v>
      </c>
      <c r="D27" s="0" t="n">
        <f aca="false">(SUMPRODUCT(DCF_Base!$C$19:$L$19/(1+$A$27/100)^DCF_Base!$C$4:$L$4)+MAX(0,MIN(IF($A$27&gt;$D$23,DCF_Base!$L$19*(1+$D$23/100)/(($A$27-$D$23)/100),DCF_Base!$L$19*DCF_Base!$B$29),DCF_Base!$L$19*DCF_Base!$B$29))/(1+$A$27/100)^DCF_Base!$L$4+Assumptions!$B$5-Assumptions!$B$4)/Assumptions!$B$3*Assumptions!$B$10</f>
        <v>14.0670711764176</v>
      </c>
      <c r="E27" s="0" t="n">
        <f aca="false">(SUMPRODUCT(DCF_Base!$C$19:$L$19/(1+$A$27/100)^DCF_Base!$C$4:$L$4)+MAX(0,MIN(IF($A$27&gt;$E$23,DCF_Base!$L$19*(1+$E$23/100)/(($A$27-$E$23)/100),DCF_Base!$L$19*DCF_Base!$B$29),DCF_Base!$L$19*DCF_Base!$B$29))/(1+$A$27/100)^DCF_Base!$L$4+Assumptions!$B$5-Assumptions!$B$4)/Assumptions!$B$3*Assumptions!$B$10</f>
        <v>14.0670711764176</v>
      </c>
      <c r="F27" s="0" t="n">
        <f aca="false">(SUMPRODUCT(DCF_Base!$C$19:$L$19/(1+$A$27/100)^DCF_Base!$C$4:$L$4)+MAX(0,MIN(IF($A$27&gt;$F$23,DCF_Base!$L$19*(1+$F$23/100)/(($A$27-$F$23)/100),DCF_Base!$L$19*DCF_Base!$B$29),DCF_Base!$L$19*DCF_Base!$B$29))/(1+$A$27/100)^DCF_Base!$L$4+Assumptions!$B$5-Assumptions!$B$4)/Assumptions!$B$3*Assumptions!$B$10</f>
        <v>14.0670711764176</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11.3758625263066</v>
      </c>
      <c r="C28" s="0" t="n">
        <f aca="false">(SUMPRODUCT(DCF_Base!$C$19:$L$19/(1+$A$28/100)^DCF_Base!$C$4:$L$4)+MAX(0,MIN(IF($A$28&gt;$C$23,DCF_Base!$L$19*(1+$C$23/100)/(($A$28-$C$23)/100),DCF_Base!$L$19*DCF_Base!$B$29),DCF_Base!$L$19*DCF_Base!$B$29))/(1+$A$28/100)^DCF_Base!$L$4+Assumptions!$B$5-Assumptions!$B$4)/Assumptions!$B$3*Assumptions!$B$10</f>
        <v>12.0432293784786</v>
      </c>
      <c r="D28" s="0" t="n">
        <f aca="false">(SUMPRODUCT(DCF_Base!$C$19:$L$19/(1+$A$28/100)^DCF_Base!$C$4:$L$4)+MAX(0,MIN(IF($A$28&gt;$D$23,DCF_Base!$L$19*(1+$D$23/100)/(($A$28-$D$23)/100),DCF_Base!$L$19*DCF_Base!$B$29),DCF_Base!$L$19*DCF_Base!$B$29))/(1+$A$28/100)^DCF_Base!$L$4+Assumptions!$B$5-Assumptions!$B$4)/Assumptions!$B$3*Assumptions!$B$10</f>
        <v>12.0432293784786</v>
      </c>
      <c r="E28" s="0" t="n">
        <f aca="false">(SUMPRODUCT(DCF_Base!$C$19:$L$19/(1+$A$28/100)^DCF_Base!$C$4:$L$4)+MAX(0,MIN(IF($A$28&gt;$E$23,DCF_Base!$L$19*(1+$E$23/100)/(($A$28-$E$23)/100),DCF_Base!$L$19*DCF_Base!$B$29),DCF_Base!$L$19*DCF_Base!$B$29))/(1+$A$28/100)^DCF_Base!$L$4+Assumptions!$B$5-Assumptions!$B$4)/Assumptions!$B$3*Assumptions!$B$10</f>
        <v>12.0432293784786</v>
      </c>
      <c r="F28" s="0" t="n">
        <f aca="false">(SUMPRODUCT(DCF_Base!$C$19:$L$19/(1+$A$28/100)^DCF_Base!$C$4:$L$4)+MAX(0,MIN(IF($A$28&gt;$F$23,DCF_Base!$L$19*(1+$F$23/100)/(($A$28-$F$23)/100),DCF_Base!$L$19*DCF_Base!$B$29),DCF_Base!$L$19*DCF_Base!$B$29))/(1+$A$28/100)^DCF_Base!$L$4+Assumptions!$B$5-Assumptions!$B$4)/Assumptions!$B$3*Assumptions!$B$10</f>
        <v>12.0432293784786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2026-10-25T17:32:49Z</dcterms:created>
  <dc:creator>openpyxl</dc:creator>
  <dc:description/>
  <dc:language>en-NZ</dc:language>
  <cp:lastModifiedBy/>
  <dcterms:modified xsi:type="dcterms:W3CDTF">2026-10-25T17:32:49Z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