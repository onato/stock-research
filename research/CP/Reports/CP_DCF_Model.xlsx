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<sst xmlns="http://schemas.openxmlformats.org/spreadsheetml/2006/main" count="387" uniqueCount="176">
  <si>
    <t xml:space="preserve">Ticker</t>
  </si>
  <si>
    <t xml:space="preserve">CP</t>
  </si>
  <si>
    <t xml:space="preserve">Company</t>
  </si>
  <si>
    <t xml:space="preserve">Canadian Pacific Kansas City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</si>
  <si>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</si>
  <si>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</si>
  <si>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</si>
  <si>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</si>
  <si>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</si>
  <si>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</si>
  <si>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</si>
  <si>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</si>
  <si>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</si>
  <si>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</si>
  <si>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</si>
  <si>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</si>
  <si>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</si>
  <si>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</si>
  <si>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</si>
  <si>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</si>
  <si>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</si>
  <si>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</si>
  <si>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2026-10-03T21:35:43Z</t>
  </si>
  <si>
    <t xml:space="preserve">Drivers file</t>
  </si>
  <si>
    <t xml:space="preserve">CP_Drivers.json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</si>
  <si>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</si>
  <si>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</si>
  <si>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</si>
  <si>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CAD on a TTM base, SBC fully expensed and share count flat, net debt at the 30-Jun-2026 balance sheet, pension surplus (after tax, haircut) added and NCI deducted, then converted to USD at the dated CADUSD rate to compare with the NYSE quote. Rails are long-duration, regulated quasi-monopolies, so a 20x terminal cap (Gordon at 7.5%/2.5% is 20.5x) is allowed in base/bull and 18x in bear.
key_risks_to_valuation: USMCA joint review / US tariff escalation on cross-border Mexico traffic; Canadian rail labour stoppages (2024 lockout precedent) and federal intervention; UNP-NSC transcontinental merger changes competitive routing for CPKC's US interline traffic; Capex intensity drifts back above the guided ~17% of revenue if Mexican network upgrades run longer; CAD/USD moves translate the CAD-built value; ~2/3 of debt is USD-denominated; Terminal value carries most of the value; the 20x cap binds in base and bull</t>
  </si>
  <si>
    <t xml:space="preserve">Data sources</t>
  </si>
  <si>
    <t xml:space="preserve">price: Yahoo Finance chart API (NYSE CP) at inputs.price_as_of; 52-week range 68.42-96.90 USD; TSX CP.TO and CADUSD=X used for the parity check
financials: SEC XBRL companyfacts CIK 16875 (10-K FY2025, 10-Q Q1/Q2 2026) and research/CP/Reports/CP_Metrics.csv
qualitative: research/CP/Reports/CP_Analysis.json (guidance, bull/bear case, risks)</t>
  </si>
  <si>
    <t xml:space="preserve">Scenario narrative: bear</t>
  </si>
  <si>
    <t xml:space="preserve">The 2026 USMCA joint review and US tariff policy chill cross-border flows -- the axis the KCS premium was paid for -- while repeated Canadian labour stoppages and a combined UNP-NSC transcontinental competitor pressure share and pricing. Bulk (grain, potash, coal) is flat-to-cyclical. Revenue grows 2-3%, margin stalls at 49.5% and capex intensity drifts back up to 18.5% as the Mexican network still needs investment; terminal growth 2.0% and an 18x exit cap. Coal's structural decline and Mexican fuel-import permitting friction add to the drag.</t>
  </si>
  <si>
    <t xml:space="preserve">Scenario narrative: base</t>
  </si>
  <si>
    <t xml:space="preserve">CPKC is the only single-line railroad linking Canada, the US Midwest and Mexico. The base case has the KCS integration synergies (cross-border intermodal, automotive, energy and chemicals, grain to Mexico) delivering revenue growth of 5-5.5% for two years (RTMs +4% YTD, ~+7% entering H2-26) then 4-5% from the TTM C$15.4bn, decaying to 2.5%, with EBITDA margin (pre-SBC) improving from 50.6% to 52.0% (after a recurring non-EBITDA cash drag) -- in line with best-in-class North American rail but below CP's own pre-merger peak -- and capex held at the FY2026 guided ~C$2.65bn intensity of ~17% of revenue, down from the integration-era 20%. Cash tax rises toward a 25% blended Canada/US/Mexico rate.</t>
  </si>
  <si>
    <t xml:space="preserve">Scenario narrative: bull</t>
  </si>
  <si>
    <t xml:space="preserve">The merger thesis plays out fully: the Mexico-US-Canada corridor captures truck conversion and near-shoring freight, CPKC wins share in intermodal and automotive, and pricing stays above rail inflation. Revenue compounds 6-7% for five years and margin reaches 53.5% (CP-style precision scheduled railroading applied to the KCS network), with capex falling to 16% of revenue as volume grows into the upgraded network.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</si>
  <si>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</si>
  <si>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</si>
  <si>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</si>
  <si>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</si>
  <si>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</si>
  <si>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</si>
  <si>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</si>
  <si>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</si>
  <si>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</si>
  <si>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</si>
  <si>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</si>
  <si>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</si>
  <si>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</si>
  <si>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</si>
  <si>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</si>
  <si>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</si>
  <si>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</si>
  <si>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</si>
  <si>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</si>
  <si>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</si>
  <si>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</si>
  <si>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</si>
  <si>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</si>
  <si>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</si>
  <si>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</si>
  <si>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</si>
  <si>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</si>
  <si>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</si>
  <si>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</si>
  <si>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</si>
  <si>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</si>
  <si>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</si>
  <si>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</si>
  <si>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</si>
  <si>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</si>
  <si>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</si>
  <si>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</si>
  <si>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</si>
  <si>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</si>
  <si>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</si>
  <si>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</si>
  <si>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</si>
  <si>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</si>
  <si>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</si>
  <si>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</si>
  <si>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</si>
  <si>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</si>
  <si>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</si>
  <si>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</si>
  <si>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</si>
  <si>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</si>
  <si>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</si>
  <si>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</si>
  <si>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</si>
  <si>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</si>
  <si>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30-Jun-2026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</si>
  <si>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</si>
  <si>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</si>
  <si>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</si>
  <si>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</si>
  <si>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30-Jun-2027</t>
  </si>
  <si>
    <t xml:space="preserve">TTM to 30-Jun-2028</t>
  </si>
  <si>
    <t xml:space="preserve">TTM to 30-Jun-2029</t>
  </si>
  <si>
    <t xml:space="preserve">TTM to 30-Jun-2030</t>
  </si>
  <si>
    <t xml:space="preserve">TTM to 30-Jun-2031</t>
  </si>
  <si>
    <t xml:space="preserve">TTM to 30-Jun-2032</t>
  </si>
  <si>
    <t xml:space="preserve">TTM to 30-Jun-2033</t>
  </si>
  <si>
    <t xml:space="preserve">TTM to 30-Jun-2034</t>
  </si>
  <si>
    <t xml:space="preserve">TTM to 30-Jun-2035</t>
  </si>
  <si>
    <t xml:space="preserve">TTM to 30-Jun-2036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</si>
  <si>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</si>
  <si>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</si>
  <si>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</si>
  <si>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</si>
  <si>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</si>
  <si>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</si>
  <si>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</si>
  <si>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</si>
  <si>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</si>
  <si>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</si>
  <si>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</si>
  <si>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</si>
  <si>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</si>
  <si>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</si>
  <si>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CP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</si>
  <si>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</si>
  <si>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</si>
  <si>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</si>
  <si>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</si>
  <si>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</si>
  <si>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</si>
  <si>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</si>
  <si>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</si>
  <si>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</si>
  <si>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</si>
  <si>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</si>
  <si>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</si>
  <si>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</si>
  <si>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</si>
  <si>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</si>
  <si>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</si>
  <si>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</si>
  <si>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</si>
  <si>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</si>
  <si>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</si>
  <si>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</si>
  <si>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</si>
  <si>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</si>
  <si>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</si>
  <si>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</si>
  <si>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</si>
  <si>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</si>
  <si>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</si>
  <si>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</si>
  <si>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</si>
  <si>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CP owner-FCF component DCF: base case (millions, CAD)</t>
  </si>
  <si>
    <t xml:space="preserve">CP owner-FCF component DCF: bull case (millions, CAD)</t>
  </si>
  <si>
    <t xml:space="preserve">CP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</si>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</sst>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85.94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4145.5</v>
      </c>
      <c r="S2" s="0" t="n">
        <v>377.9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5048.5</v>
      </c>
      <c r="F3" s="0" t="n">
        <v>1039</v>
      </c>
      <c r="G3" s="0" t="n">
        <v>20.5803704070516</v>
      </c>
      <c r="H3" s="0" t="n">
        <v>1467.2</v>
      </c>
      <c r="I3" s="0" t="n">
        <v>627.8</v>
      </c>
      <c r="J3" s="0" t="n">
        <v>12.4353768446073</v>
      </c>
      <c r="K3" s="0" t="n">
        <v>4.08</v>
      </c>
      <c r="L3" s="0" t="n">
        <v>942.9</v>
      </c>
      <c r="M3" s="0" t="n">
        <v>815.9</v>
      </c>
      <c r="N3" s="0" t="n">
        <v>127</v>
      </c>
      <c r="O3" s="0" t="n">
        <v>4275</v>
      </c>
      <c r="S3" s="0" t="n">
        <v>117</v>
      </c>
      <c r="T3" s="0" t="n">
        <v>155.5</v>
      </c>
      <c r="U3" s="0" t="n">
        <v>30.6</v>
      </c>
      <c r="V3" s="0" t="n">
        <v>0.99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4402</v>
      </c>
      <c r="F4" s="0" t="n">
        <v>830</v>
      </c>
      <c r="G4" s="0" t="n">
        <v>18.8550658791458</v>
      </c>
      <c r="H4" s="0" t="n">
        <v>1313</v>
      </c>
      <c r="I4" s="0" t="n">
        <v>550</v>
      </c>
      <c r="J4" s="0" t="n">
        <v>12.4943207632894</v>
      </c>
      <c r="K4" s="0" t="n">
        <v>3.31</v>
      </c>
      <c r="L4" s="0" t="n">
        <v>451</v>
      </c>
      <c r="M4" s="0" t="n">
        <v>703</v>
      </c>
      <c r="N4" s="0" t="n">
        <v>-252</v>
      </c>
      <c r="O4" s="0" t="n">
        <v>4658</v>
      </c>
      <c r="P4" s="0" t="n">
        <v>14154.8</v>
      </c>
      <c r="Q4" s="0" t="n">
        <v>9496.7</v>
      </c>
      <c r="R4" s="0" t="n">
        <v>4743.5</v>
      </c>
      <c r="S4" s="0" t="n">
        <v>679</v>
      </c>
      <c r="T4" s="0" t="n">
        <v>168.5</v>
      </c>
      <c r="U4" s="0" t="n">
        <v>68</v>
      </c>
      <c r="V4" s="0" t="n">
        <v>0.99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4981</v>
      </c>
      <c r="F5" s="0" t="n">
        <v>1116</v>
      </c>
      <c r="G5" s="0" t="n">
        <v>22.4051395302148</v>
      </c>
      <c r="H5" s="0" t="n">
        <v>1605</v>
      </c>
      <c r="I5" s="0" t="n">
        <v>651</v>
      </c>
      <c r="J5" s="0" t="n">
        <v>13.0696647259586</v>
      </c>
      <c r="K5" s="0" t="n">
        <v>3.86</v>
      </c>
      <c r="L5" s="0" t="n">
        <v>502</v>
      </c>
      <c r="M5" s="0" t="n">
        <v>726</v>
      </c>
      <c r="N5" s="0" t="n">
        <v>-224</v>
      </c>
      <c r="O5" s="0" t="n">
        <v>4824</v>
      </c>
      <c r="P5" s="0" t="n">
        <v>13676</v>
      </c>
      <c r="Q5" s="0" t="n">
        <v>8852</v>
      </c>
      <c r="R5" s="0" t="n">
        <v>4315</v>
      </c>
      <c r="S5" s="0" t="n">
        <v>361</v>
      </c>
      <c r="T5" s="0" t="n">
        <v>169.2</v>
      </c>
      <c r="U5" s="0" t="n">
        <v>71</v>
      </c>
      <c r="V5" s="0" t="n">
        <v>1.0575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5177</v>
      </c>
      <c r="F6" s="0" t="n">
        <v>967</v>
      </c>
      <c r="G6" s="0" t="n">
        <v>18.6787714892795</v>
      </c>
      <c r="H6" s="0" t="n">
        <v>1457</v>
      </c>
      <c r="I6" s="0" t="n">
        <v>570</v>
      </c>
      <c r="J6" s="0" t="n">
        <v>11.0102375893375</v>
      </c>
      <c r="K6" s="0" t="n">
        <v>3.37</v>
      </c>
      <c r="L6" s="0" t="n">
        <v>512</v>
      </c>
      <c r="M6" s="0" t="n">
        <v>1104</v>
      </c>
      <c r="N6" s="0" t="n">
        <v>-592</v>
      </c>
      <c r="O6" s="0" t="n">
        <v>4649</v>
      </c>
      <c r="P6" s="0" t="n">
        <v>14110</v>
      </c>
      <c r="Q6" s="0" t="n">
        <v>9461</v>
      </c>
      <c r="R6" s="0" t="n">
        <v>4745</v>
      </c>
      <c r="S6" s="0" t="n">
        <v>47</v>
      </c>
      <c r="T6" s="0" t="n">
        <v>170.6</v>
      </c>
      <c r="U6" s="0" t="n">
        <v>43</v>
      </c>
      <c r="V6" s="0" t="n">
        <v>1.17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5695</v>
      </c>
      <c r="F7" s="0" t="n">
        <v>949</v>
      </c>
      <c r="G7" s="0" t="n">
        <v>16.6637401229148</v>
      </c>
      <c r="H7" s="0" t="n">
        <v>1488</v>
      </c>
      <c r="I7" s="0" t="n">
        <v>484</v>
      </c>
      <c r="J7" s="0" t="n">
        <v>8.49868305531168</v>
      </c>
      <c r="K7" s="0" t="n">
        <v>2.82</v>
      </c>
      <c r="L7" s="0" t="n">
        <v>1328</v>
      </c>
      <c r="M7" s="0" t="n">
        <v>1148</v>
      </c>
      <c r="N7" s="0" t="n">
        <v>180</v>
      </c>
      <c r="O7" s="0" t="n">
        <v>5097</v>
      </c>
      <c r="P7" s="0" t="n">
        <v>14727</v>
      </c>
      <c r="Q7" s="0" t="n">
        <v>9630</v>
      </c>
      <c r="R7" s="0" t="n">
        <v>4690</v>
      </c>
      <c r="S7" s="0" t="n">
        <v>333</v>
      </c>
      <c r="T7" s="0" t="n">
        <v>173.9</v>
      </c>
      <c r="U7" s="0" t="n">
        <v>64</v>
      </c>
      <c r="V7" s="0" t="n">
        <v>1.35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6133</v>
      </c>
      <c r="F8" s="0" t="n">
        <v>1420</v>
      </c>
      <c r="G8" s="0" t="n">
        <v>23.1534322517528</v>
      </c>
      <c r="H8" s="0" t="n">
        <v>1985</v>
      </c>
      <c r="I8" s="0" t="n">
        <v>875</v>
      </c>
      <c r="J8" s="0" t="n">
        <v>14.2670797325942</v>
      </c>
      <c r="K8" s="0" t="n">
        <v>5</v>
      </c>
      <c r="L8" s="0" t="n">
        <v>1950</v>
      </c>
      <c r="M8" s="0" t="n">
        <v>1236</v>
      </c>
      <c r="N8" s="0" t="n">
        <v>714</v>
      </c>
      <c r="O8" s="0" t="n">
        <v>7097</v>
      </c>
      <c r="P8" s="0" t="n">
        <v>17023</v>
      </c>
      <c r="Q8" s="0" t="n">
        <v>9926</v>
      </c>
      <c r="R8" s="0" t="n">
        <v>4839</v>
      </c>
      <c r="S8" s="0" t="n">
        <v>476</v>
      </c>
      <c r="T8" s="0" t="n">
        <v>176.5</v>
      </c>
      <c r="U8" s="0" t="n">
        <v>92</v>
      </c>
      <c r="V8" s="0" t="n">
        <v>1.4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6620</v>
      </c>
      <c r="F9" s="0" t="n">
        <v>2339</v>
      </c>
      <c r="G9" s="0" t="n">
        <v>35.3323262839879</v>
      </c>
      <c r="H9" s="0" t="n">
        <v>2891</v>
      </c>
      <c r="I9" s="0" t="n">
        <v>1476</v>
      </c>
      <c r="J9" s="0" t="n">
        <v>22.2960725075529</v>
      </c>
      <c r="K9" s="0" t="n">
        <v>8.54</v>
      </c>
      <c r="L9" s="0" t="n">
        <v>2123</v>
      </c>
      <c r="M9" s="0" t="n">
        <v>1449</v>
      </c>
      <c r="N9" s="0" t="n">
        <v>674</v>
      </c>
      <c r="O9" s="0" t="n">
        <v>5610</v>
      </c>
      <c r="P9" s="0" t="n">
        <v>16550</v>
      </c>
      <c r="Q9" s="0" t="n">
        <v>10940</v>
      </c>
      <c r="R9" s="0" t="n">
        <v>5759</v>
      </c>
      <c r="S9" s="0" t="n">
        <v>226</v>
      </c>
      <c r="T9" s="0" t="n">
        <v>174.4</v>
      </c>
      <c r="U9" s="0" t="n">
        <v>110</v>
      </c>
      <c r="V9" s="0" t="n">
        <v>1.4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6712</v>
      </c>
      <c r="F10" s="0" t="n">
        <v>2688</v>
      </c>
      <c r="G10" s="0" t="n">
        <v>40.0476758045292</v>
      </c>
      <c r="H10" s="0" t="n">
        <v>3283</v>
      </c>
      <c r="I10" s="0" t="n">
        <v>1352</v>
      </c>
      <c r="J10" s="0" t="n">
        <v>20.1430274135876</v>
      </c>
      <c r="K10" s="0" t="n">
        <v>8.47</v>
      </c>
      <c r="L10" s="0" t="n">
        <v>2459</v>
      </c>
      <c r="M10" s="0" t="n">
        <v>1522</v>
      </c>
      <c r="N10" s="0" t="n">
        <v>937</v>
      </c>
      <c r="O10" s="0" t="n">
        <v>4796</v>
      </c>
      <c r="P10" s="0" t="n">
        <v>19637</v>
      </c>
      <c r="Q10" s="0" t="n">
        <v>14841</v>
      </c>
      <c r="R10" s="0" t="n">
        <v>8957</v>
      </c>
      <c r="S10" s="0" t="n">
        <v>650</v>
      </c>
      <c r="T10" s="0" t="n">
        <v>161</v>
      </c>
      <c r="U10" s="0" t="n">
        <v>66</v>
      </c>
      <c r="V10" s="0" t="n">
        <v>1.4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6232</v>
      </c>
      <c r="F11" s="0" t="n">
        <v>2411</v>
      </c>
      <c r="G11" s="0" t="n">
        <v>38.6874197689345</v>
      </c>
      <c r="H11" s="0" t="n">
        <v>3051</v>
      </c>
      <c r="I11" s="0" t="n">
        <v>1599</v>
      </c>
      <c r="J11" s="0" t="n">
        <v>25.6578947368421</v>
      </c>
      <c r="K11" s="0" t="n">
        <v>10.69</v>
      </c>
      <c r="L11" s="0" t="n">
        <v>2089</v>
      </c>
      <c r="M11" s="0" t="n">
        <v>1182</v>
      </c>
      <c r="N11" s="0" t="n">
        <v>907</v>
      </c>
      <c r="O11" s="0" t="n">
        <v>4626</v>
      </c>
      <c r="P11" s="0" t="n">
        <v>19221</v>
      </c>
      <c r="Q11" s="0" t="n">
        <v>14595</v>
      </c>
      <c r="R11" s="0" t="n">
        <v>8684</v>
      </c>
      <c r="S11" s="0" t="n">
        <v>164</v>
      </c>
      <c r="T11" s="0" t="n">
        <v>150.5</v>
      </c>
      <c r="U11" s="0" t="n">
        <v>51</v>
      </c>
      <c r="V11" s="0" t="n">
        <v>1.85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6554</v>
      </c>
      <c r="F12" s="0" t="n">
        <v>2519</v>
      </c>
      <c r="G12" s="0" t="n">
        <v>38.4345437900519</v>
      </c>
      <c r="H12" s="0" t="n">
        <v>3180</v>
      </c>
      <c r="I12" s="0" t="n">
        <v>2405</v>
      </c>
      <c r="J12" s="0" t="n">
        <v>36.6951480012206</v>
      </c>
      <c r="K12" s="0" t="n">
        <v>16.49</v>
      </c>
      <c r="L12" s="0" t="n">
        <v>2182</v>
      </c>
      <c r="M12" s="0" t="n">
        <v>1340</v>
      </c>
      <c r="N12" s="0" t="n">
        <v>842</v>
      </c>
      <c r="O12" s="0" t="n">
        <v>6437</v>
      </c>
      <c r="P12" s="0" t="n">
        <v>20135</v>
      </c>
      <c r="Q12" s="0" t="n">
        <v>13698</v>
      </c>
      <c r="R12" s="0" t="n">
        <v>8159</v>
      </c>
      <c r="S12" s="0" t="n">
        <v>338</v>
      </c>
      <c r="T12" s="0" t="n">
        <v>146.3</v>
      </c>
      <c r="U12" s="0" t="n">
        <v>35</v>
      </c>
      <c r="V12" s="0" t="n">
        <v>2.1875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7316</v>
      </c>
      <c r="F13" s="0" t="n">
        <v>2831</v>
      </c>
      <c r="G13" s="0" t="n">
        <v>38.6960087479497</v>
      </c>
      <c r="H13" s="0" t="n">
        <v>3527</v>
      </c>
      <c r="I13" s="0" t="n">
        <v>1951</v>
      </c>
      <c r="J13" s="0" t="n">
        <v>26.667577911427</v>
      </c>
      <c r="K13" s="0" t="n">
        <v>13.65</v>
      </c>
      <c r="L13" s="0" t="n">
        <v>2712</v>
      </c>
      <c r="M13" s="0" t="n">
        <v>1551</v>
      </c>
      <c r="N13" s="0" t="n">
        <v>1161</v>
      </c>
      <c r="O13" s="0" t="n">
        <v>6636</v>
      </c>
      <c r="P13" s="0" t="n">
        <v>21254</v>
      </c>
      <c r="Q13" s="0" t="n">
        <v>14618</v>
      </c>
      <c r="R13" s="0" t="n">
        <v>8696</v>
      </c>
      <c r="S13" s="0" t="n">
        <v>61</v>
      </c>
      <c r="T13" s="0" t="n">
        <v>143.3</v>
      </c>
      <c r="U13" s="0" t="n">
        <v>75</v>
      </c>
      <c r="V13" s="0" t="n">
        <v>2.5125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7792</v>
      </c>
      <c r="F14" s="0" t="n">
        <v>3124</v>
      </c>
      <c r="G14" s="0" t="n">
        <v>40.0924024640657</v>
      </c>
      <c r="H14" s="0" t="n">
        <v>3830</v>
      </c>
      <c r="I14" s="0" t="n">
        <v>2440</v>
      </c>
      <c r="J14" s="0" t="n">
        <v>31.3141683778234</v>
      </c>
      <c r="K14" s="0" t="n">
        <v>3.52</v>
      </c>
      <c r="L14" s="0" t="n">
        <v>2990</v>
      </c>
      <c r="M14" s="0" t="n">
        <v>1647</v>
      </c>
      <c r="N14" s="0" t="n">
        <v>1343</v>
      </c>
      <c r="O14" s="0" t="n">
        <v>7069</v>
      </c>
      <c r="P14" s="0" t="n">
        <v>22367</v>
      </c>
      <c r="Q14" s="0" t="n">
        <v>15298</v>
      </c>
      <c r="R14" s="0" t="n">
        <v>8757</v>
      </c>
      <c r="S14" s="0" t="n">
        <v>133</v>
      </c>
      <c r="T14" s="0" t="n">
        <v>696.3</v>
      </c>
      <c r="U14" s="0" t="n">
        <v>133</v>
      </c>
      <c r="V14" s="0" t="n">
        <v>0.628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7710</v>
      </c>
      <c r="F15" s="0" t="n">
        <v>3311</v>
      </c>
      <c r="G15" s="0" t="n">
        <v>42.9442282749676</v>
      </c>
      <c r="H15" s="0" t="n">
        <v>4090</v>
      </c>
      <c r="I15" s="0" t="n">
        <v>2444</v>
      </c>
      <c r="J15" s="0" t="n">
        <v>31.6990920881971</v>
      </c>
      <c r="K15" s="0" t="n">
        <v>3.61</v>
      </c>
      <c r="L15" s="0" t="n">
        <v>2802</v>
      </c>
      <c r="M15" s="0" t="n">
        <v>1671</v>
      </c>
      <c r="N15" s="0" t="n">
        <v>1131</v>
      </c>
      <c r="O15" s="0" t="n">
        <v>7319</v>
      </c>
      <c r="P15" s="0" t="n">
        <v>23640</v>
      </c>
      <c r="Q15" s="0" t="n">
        <v>16321</v>
      </c>
      <c r="R15" s="0" t="n">
        <v>9771</v>
      </c>
      <c r="S15" s="0" t="n">
        <v>147</v>
      </c>
      <c r="T15" s="0" t="n">
        <v>679.9</v>
      </c>
      <c r="U15" s="0" t="n">
        <v>170</v>
      </c>
      <c r="V15" s="0" t="n">
        <v>0.712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B16" s="0" t="n">
        <v>7995</v>
      </c>
      <c r="F16" s="0" t="n">
        <v>3206</v>
      </c>
      <c r="G16" s="0" t="n">
        <v>40.1000625390869</v>
      </c>
      <c r="H16" s="0" t="n">
        <v>4017</v>
      </c>
      <c r="I16" s="0" t="n">
        <v>2852</v>
      </c>
      <c r="J16" s="0" t="n">
        <v>35.6722951844903</v>
      </c>
      <c r="K16" s="0" t="n">
        <v>4.2</v>
      </c>
      <c r="L16" s="0" t="n">
        <v>3688</v>
      </c>
      <c r="M16" s="0" t="n">
        <v>1532</v>
      </c>
      <c r="N16" s="0" t="n">
        <v>2156</v>
      </c>
      <c r="O16" s="0" t="n">
        <v>33829</v>
      </c>
      <c r="P16" s="0" t="n">
        <v>68177</v>
      </c>
      <c r="Q16" s="0" t="n">
        <v>34348</v>
      </c>
      <c r="R16" s="0" t="n">
        <v>20127</v>
      </c>
      <c r="S16" s="0" t="n">
        <v>69</v>
      </c>
      <c r="T16" s="0" t="n">
        <v>929.7</v>
      </c>
      <c r="U16" s="0" t="n">
        <v>131</v>
      </c>
      <c r="V16" s="0" t="n">
        <v>0.76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8814</v>
      </c>
      <c r="F17" s="0" t="n">
        <v>3329</v>
      </c>
      <c r="G17" s="0" t="n">
        <v>37.7694576809621</v>
      </c>
      <c r="H17" s="0" t="n">
        <v>4182</v>
      </c>
      <c r="I17" s="0" t="n">
        <v>3517</v>
      </c>
      <c r="J17" s="0" t="n">
        <v>39.9024279555253</v>
      </c>
      <c r="K17" s="0" t="n">
        <v>3.78</v>
      </c>
      <c r="L17" s="0" t="n">
        <v>4142</v>
      </c>
      <c r="M17" s="0" t="n">
        <v>1557</v>
      </c>
      <c r="N17" s="0" t="n">
        <v>2585</v>
      </c>
      <c r="O17" s="0" t="n">
        <v>38886</v>
      </c>
      <c r="P17" s="0" t="n">
        <v>73495</v>
      </c>
      <c r="Q17" s="0" t="n">
        <v>34609</v>
      </c>
      <c r="R17" s="0" t="n">
        <v>19651</v>
      </c>
      <c r="S17" s="0" t="n">
        <v>451</v>
      </c>
      <c r="T17" s="0" t="n">
        <v>932.9</v>
      </c>
      <c r="U17" s="0" t="n">
        <v>113</v>
      </c>
      <c r="V17" s="0" t="n">
        <v>0.76</v>
      </c>
      <c r="AA17" s="0" t="s">
        <v>18</v>
      </c>
      <c r="AB17" s="0" t="s">
        <v>16</v>
      </c>
    </row>
    <row r="18" customFormat="false" ht="15" hidden="false" customHeight="false" outlineLevel="0" collapsed="false">
      <c r="A18" s="0" t="s">
        <v>80</v>
      </c>
      <c r="B18" s="0" t="n">
        <v>12555</v>
      </c>
      <c r="F18" s="0" t="n">
        <v>4388</v>
      </c>
      <c r="G18" s="0" t="n">
        <v>34.9502190362405</v>
      </c>
      <c r="H18" s="0" t="n">
        <v>5931</v>
      </c>
      <c r="I18" s="0" t="n">
        <v>3927</v>
      </c>
      <c r="J18" s="0" t="n">
        <v>31.2783751493429</v>
      </c>
      <c r="K18" s="0" t="n">
        <v>4.22</v>
      </c>
      <c r="L18" s="0" t="n">
        <v>4137</v>
      </c>
      <c r="M18" s="0" t="n">
        <v>2468</v>
      </c>
      <c r="N18" s="0" t="n">
        <v>1669</v>
      </c>
      <c r="O18" s="0" t="n">
        <v>42411</v>
      </c>
      <c r="P18" s="0" t="n">
        <v>79902</v>
      </c>
      <c r="Q18" s="0" t="n">
        <v>37491</v>
      </c>
      <c r="R18" s="0" t="n">
        <v>22494</v>
      </c>
      <c r="S18" s="0" t="n">
        <v>464</v>
      </c>
      <c r="T18" s="0" t="n">
        <v>933.7</v>
      </c>
      <c r="U18" s="0" t="n">
        <v>122</v>
      </c>
      <c r="V18" s="0" t="n">
        <v>0.76</v>
      </c>
      <c r="AA18" s="0" t="s">
        <v>18</v>
      </c>
      <c r="AB18" s="0" t="s">
        <v>16</v>
      </c>
    </row>
    <row r="19" customFormat="false" ht="15" hidden="false" customHeight="false" outlineLevel="0" collapsed="false">
      <c r="A19" s="0" t="s">
        <v>81</v>
      </c>
      <c r="B19" s="0" t="n">
        <v>14546</v>
      </c>
      <c r="F19" s="0" t="n">
        <v>5179</v>
      </c>
      <c r="G19" s="0" t="n">
        <v>35.604289839131</v>
      </c>
      <c r="H19" s="0" t="n">
        <v>7079</v>
      </c>
      <c r="I19" s="0" t="n">
        <v>3718</v>
      </c>
      <c r="J19" s="0" t="n">
        <v>25.5602914890692</v>
      </c>
      <c r="K19" s="0" t="n">
        <v>3.98</v>
      </c>
      <c r="L19" s="0" t="n">
        <v>5269</v>
      </c>
      <c r="M19" s="0" t="n">
        <v>2825</v>
      </c>
      <c r="N19" s="0" t="n">
        <v>2444</v>
      </c>
      <c r="O19" s="0" t="n">
        <v>48890</v>
      </c>
      <c r="P19" s="0" t="n">
        <v>87744</v>
      </c>
      <c r="Q19" s="0" t="n">
        <v>38854</v>
      </c>
      <c r="R19" s="0" t="n">
        <v>22623</v>
      </c>
      <c r="S19" s="0" t="n">
        <v>739</v>
      </c>
      <c r="T19" s="0" t="n">
        <v>934.6</v>
      </c>
      <c r="U19" s="0" t="n">
        <v>108</v>
      </c>
      <c r="V19" s="0" t="n">
        <v>0.76</v>
      </c>
      <c r="AA19" s="0" t="s">
        <v>18</v>
      </c>
      <c r="AB19" s="0" t="s">
        <v>16</v>
      </c>
    </row>
    <row r="20" customFormat="false" ht="15" hidden="false" customHeight="false" outlineLevel="0" collapsed="false">
      <c r="A20" s="0" t="s">
        <v>82</v>
      </c>
      <c r="B20" s="0" t="n">
        <v>15078</v>
      </c>
      <c r="F20" s="0" t="n">
        <v>5609</v>
      </c>
      <c r="G20" s="0" t="n">
        <v>37.1998938851307</v>
      </c>
      <c r="H20" s="0" t="n">
        <v>7628</v>
      </c>
      <c r="I20" s="0" t="n">
        <v>4141</v>
      </c>
      <c r="J20" s="0" t="n">
        <v>27.463854622629</v>
      </c>
      <c r="K20" s="0" t="n">
        <v>4.52</v>
      </c>
      <c r="L20" s="0" t="n">
        <v>5309</v>
      </c>
      <c r="M20" s="0" t="n">
        <v>3102</v>
      </c>
      <c r="N20" s="0" t="n">
        <v>2207</v>
      </c>
      <c r="O20" s="0" t="n">
        <v>46825</v>
      </c>
      <c r="P20" s="0" t="n">
        <v>85945</v>
      </c>
      <c r="Q20" s="0" t="n">
        <v>39120</v>
      </c>
      <c r="R20" s="0" t="n">
        <v>23188</v>
      </c>
      <c r="S20" s="0" t="n">
        <v>184</v>
      </c>
      <c r="T20" s="0" t="n">
        <v>917.1</v>
      </c>
      <c r="U20" s="0" t="n">
        <v>59</v>
      </c>
      <c r="V20" s="0" t="n">
        <v>0.874</v>
      </c>
      <c r="AA20" s="0" t="s">
        <v>18</v>
      </c>
      <c r="AB20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85.94</v>
      </c>
    </row>
    <row r="3" customFormat="false" ht="15" hidden="false" customHeight="false" outlineLevel="0" collapsed="false">
      <c r="A3" s="0" t="s">
        <v>86</v>
      </c>
      <c r="B3" s="3" t="n">
        <v>880</v>
      </c>
    </row>
    <row r="4" customFormat="false" ht="15" hidden="false" customHeight="false" outlineLevel="0" collapsed="false">
      <c r="A4" s="0" t="s">
        <v>87</v>
      </c>
      <c r="B4" s="3" t="n">
        <v>24781</v>
      </c>
    </row>
    <row r="5" customFormat="false" ht="15" hidden="false" customHeight="false" outlineLevel="0" collapsed="false">
      <c r="A5" s="0" t="s">
        <v>88</v>
      </c>
      <c r="B5" s="3" t="n">
        <v>689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15449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0.7019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2.5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49.5</v>
      </c>
      <c r="D14" s="3" t="n">
        <v>49.5</v>
      </c>
      <c r="E14" s="3" t="n">
        <v>49.5</v>
      </c>
      <c r="F14" s="3" t="n">
        <v>49.5</v>
      </c>
      <c r="G14" s="3" t="n">
        <v>49.5</v>
      </c>
      <c r="H14" s="3" t="n">
        <v>49.5</v>
      </c>
      <c r="I14" s="3" t="n">
        <v>49.5</v>
      </c>
      <c r="J14" s="3" t="n">
        <v>49.5</v>
      </c>
      <c r="K14" s="3" t="n">
        <v>49.5</v>
      </c>
      <c r="L14" s="3" t="n">
        <v>49.5</v>
      </c>
    </row>
    <row r="15" customFormat="false" ht="15" hidden="false" customHeight="false" outlineLevel="0" collapsed="false">
      <c r="A15" s="0" t="s">
        <v>109</v>
      </c>
      <c r="C15" s="3" t="n">
        <v>0.7</v>
      </c>
      <c r="D15" s="3" t="n">
        <v>0.7</v>
      </c>
      <c r="E15" s="3" t="n">
        <v>0.65</v>
      </c>
      <c r="F15" s="3" t="n">
        <v>0.65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13.4</v>
      </c>
      <c r="D17" s="3" t="n">
        <v>13.4</v>
      </c>
      <c r="E17" s="3" t="n">
        <v>13.4</v>
      </c>
      <c r="F17" s="3" t="n">
        <v>13.4</v>
      </c>
      <c r="G17" s="3" t="n">
        <v>13.4</v>
      </c>
      <c r="H17" s="3" t="n">
        <v>13.4</v>
      </c>
      <c r="I17" s="3" t="n">
        <v>13.4</v>
      </c>
      <c r="J17" s="3" t="n">
        <v>13.4</v>
      </c>
      <c r="K17" s="3" t="n">
        <v>13.4</v>
      </c>
      <c r="L17" s="3" t="n">
        <v>13.4</v>
      </c>
    </row>
    <row r="18" customFormat="false" ht="15" hidden="false" customHeight="false" outlineLevel="0" collapsed="false">
      <c r="A18" s="0" t="s">
        <v>112</v>
      </c>
      <c r="C18" s="3" t="n">
        <v>17.5</v>
      </c>
      <c r="D18" s="3" t="n">
        <v>18</v>
      </c>
      <c r="E18" s="3" t="n">
        <v>18.5</v>
      </c>
      <c r="F18" s="3" t="n">
        <v>18.5</v>
      </c>
      <c r="G18" s="3" t="n">
        <v>18.5</v>
      </c>
      <c r="H18" s="3" t="n">
        <v>18.5</v>
      </c>
      <c r="I18" s="3" t="n">
        <v>18.5</v>
      </c>
      <c r="J18" s="3" t="n">
        <v>18.5</v>
      </c>
      <c r="K18" s="3" t="n">
        <v>18.5</v>
      </c>
      <c r="L18" s="3" t="n">
        <v>18.5</v>
      </c>
    </row>
    <row r="19" customFormat="false" ht="15" hidden="false" customHeight="false" outlineLevel="0" collapsed="false">
      <c r="A19" s="0" t="s">
        <v>113</v>
      </c>
      <c r="C19" s="3" t="n">
        <v>24</v>
      </c>
      <c r="D19" s="3" t="n">
        <v>24.5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114</v>
      </c>
      <c r="B20" s="3" t="n">
        <v>7.5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18</v>
      </c>
    </row>
    <row r="23" customFormat="false" ht="15" hidden="false" customHeight="false" outlineLevel="0" collapsed="false">
      <c r="A23" s="0" t="s">
        <v>117</v>
      </c>
      <c r="B23" s="3" t="n">
        <v>-5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5.5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50.6</v>
      </c>
      <c r="D28" s="3" t="n">
        <v>51</v>
      </c>
      <c r="E28" s="3" t="n">
        <v>51.4</v>
      </c>
      <c r="F28" s="3" t="n">
        <v>51.7</v>
      </c>
      <c r="G28" s="3" t="n">
        <v>51.9</v>
      </c>
      <c r="H28" s="3" t="n">
        <v>52</v>
      </c>
      <c r="I28" s="3" t="n">
        <v>52</v>
      </c>
      <c r="J28" s="3" t="n">
        <v>52</v>
      </c>
      <c r="K28" s="3" t="n">
        <v>52</v>
      </c>
      <c r="L28" s="3" t="n">
        <v>52</v>
      </c>
    </row>
    <row r="29" customFormat="false" ht="15" hidden="false" customHeight="false" outlineLevel="0" collapsed="false">
      <c r="A29" s="0" t="s">
        <v>109</v>
      </c>
      <c r="C29" s="3" t="n">
        <v>0.7</v>
      </c>
      <c r="D29" s="3" t="n">
        <v>0.7</v>
      </c>
      <c r="E29" s="3" t="n">
        <v>0.65</v>
      </c>
      <c r="F29" s="3" t="n">
        <v>0.65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13.3</v>
      </c>
      <c r="D31" s="3" t="n">
        <v>13.2</v>
      </c>
      <c r="E31" s="3" t="n">
        <v>13.1</v>
      </c>
      <c r="F31" s="3" t="n">
        <v>13</v>
      </c>
      <c r="G31" s="3" t="n">
        <v>13</v>
      </c>
      <c r="H31" s="3" t="n">
        <v>13</v>
      </c>
      <c r="I31" s="3" t="n">
        <v>13</v>
      </c>
      <c r="J31" s="3" t="n">
        <v>13</v>
      </c>
      <c r="K31" s="3" t="n">
        <v>13</v>
      </c>
      <c r="L31" s="3" t="n">
        <v>13</v>
      </c>
    </row>
    <row r="32" customFormat="false" ht="15" hidden="false" customHeight="false" outlineLevel="0" collapsed="false">
      <c r="A32" s="0" t="s">
        <v>112</v>
      </c>
      <c r="C32" s="3" t="n">
        <v>17</v>
      </c>
      <c r="D32" s="3" t="n">
        <v>17</v>
      </c>
      <c r="E32" s="3" t="n">
        <v>17</v>
      </c>
      <c r="F32" s="3" t="n">
        <v>17</v>
      </c>
      <c r="G32" s="3" t="n">
        <v>17</v>
      </c>
      <c r="H32" s="3" t="n">
        <v>17</v>
      </c>
      <c r="I32" s="3" t="n">
        <v>17</v>
      </c>
      <c r="J32" s="3" t="n">
        <v>17</v>
      </c>
      <c r="K32" s="3" t="n">
        <v>17</v>
      </c>
      <c r="L32" s="3" t="n">
        <v>17</v>
      </c>
    </row>
    <row r="33" customFormat="false" ht="15" hidden="false" customHeight="false" outlineLevel="0" collapsed="false">
      <c r="A33" s="0" t="s">
        <v>113</v>
      </c>
      <c r="C33" s="3" t="n">
        <v>24</v>
      </c>
      <c r="D33" s="3" t="n">
        <v>24</v>
      </c>
      <c r="E33" s="3" t="n">
        <v>24.5</v>
      </c>
      <c r="F33" s="3" t="n">
        <v>24.5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114</v>
      </c>
      <c r="B34" s="3" t="n">
        <v>7.5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-5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50.9</v>
      </c>
      <c r="D42" s="3" t="n">
        <v>51.6</v>
      </c>
      <c r="E42" s="3" t="n">
        <v>52.4</v>
      </c>
      <c r="F42" s="3" t="n">
        <v>53</v>
      </c>
      <c r="G42" s="3" t="n">
        <v>53.3</v>
      </c>
      <c r="H42" s="3" t="n">
        <v>53.5</v>
      </c>
      <c r="I42" s="3" t="n">
        <v>53.5</v>
      </c>
      <c r="J42" s="3" t="n">
        <v>53.5</v>
      </c>
      <c r="K42" s="3" t="n">
        <v>53.5</v>
      </c>
      <c r="L42" s="3" t="n">
        <v>53.5</v>
      </c>
    </row>
    <row r="43" customFormat="false" ht="15" hidden="false" customHeight="false" outlineLevel="0" collapsed="false">
      <c r="A43" s="0" t="s">
        <v>109</v>
      </c>
      <c r="C43" s="3" t="n">
        <v>0.7</v>
      </c>
      <c r="D43" s="3" t="n">
        <v>0.7</v>
      </c>
      <c r="E43" s="3" t="n">
        <v>0.65</v>
      </c>
      <c r="F43" s="3" t="n">
        <v>0.65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13.3</v>
      </c>
      <c r="D45" s="3" t="n">
        <v>13.1</v>
      </c>
      <c r="E45" s="3" t="n">
        <v>12.9</v>
      </c>
      <c r="F45" s="3" t="n">
        <v>12.8</v>
      </c>
      <c r="G45" s="3" t="n">
        <v>12.7</v>
      </c>
      <c r="H45" s="3" t="n">
        <v>12.7</v>
      </c>
      <c r="I45" s="3" t="n">
        <v>12.7</v>
      </c>
      <c r="J45" s="3" t="n">
        <v>12.7</v>
      </c>
      <c r="K45" s="3" t="n">
        <v>12.7</v>
      </c>
      <c r="L45" s="3" t="n">
        <v>12.7</v>
      </c>
    </row>
    <row r="46" customFormat="false" ht="15" hidden="false" customHeight="false" outlineLevel="0" collapsed="false">
      <c r="A46" s="0" t="s">
        <v>112</v>
      </c>
      <c r="C46" s="3" t="n">
        <v>17</v>
      </c>
      <c r="D46" s="3" t="n">
        <v>16.8</v>
      </c>
      <c r="E46" s="3" t="n">
        <v>16.5</v>
      </c>
      <c r="F46" s="3" t="n">
        <v>16.3</v>
      </c>
      <c r="G46" s="3" t="n">
        <v>16</v>
      </c>
      <c r="H46" s="3" t="n">
        <v>16</v>
      </c>
      <c r="I46" s="3" t="n">
        <v>16</v>
      </c>
      <c r="J46" s="3" t="n">
        <v>16</v>
      </c>
      <c r="K46" s="3" t="n">
        <v>16</v>
      </c>
      <c r="L46" s="3" t="n">
        <v>16</v>
      </c>
    </row>
    <row r="47" customFormat="false" ht="15" hidden="false" customHeight="false" outlineLevel="0" collapsed="false">
      <c r="A47" s="0" t="s">
        <v>113</v>
      </c>
      <c r="C47" s="3" t="n">
        <v>24</v>
      </c>
      <c r="D47" s="3" t="n">
        <v>24</v>
      </c>
      <c r="E47" s="3" t="n">
        <v>24.5</v>
      </c>
      <c r="F47" s="3" t="n">
        <v>24.5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114</v>
      </c>
      <c r="B48" s="3" t="n">
        <v>7.5</v>
      </c>
    </row>
    <row r="49" customFormat="false" ht="15" hidden="false" customHeight="false" outlineLevel="0" collapsed="false">
      <c r="A49" s="0" t="s">
        <v>115</v>
      </c>
      <c r="B49" s="3" t="n">
        <v>2.5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-5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2.5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15449</v>
      </c>
      <c r="C6" s="0" t="n">
        <f aca="false">B6*(1+C5/100)</f>
        <v>15757.98</v>
      </c>
      <c r="D6" s="0" t="n">
        <f aca="false">C6*(1+D5/100)</f>
        <v>16151.9295</v>
      </c>
      <c r="E6" s="0" t="n">
        <f aca="false">D6*(1+E5/100)</f>
        <v>16636.487385</v>
      </c>
      <c r="F6" s="0" t="n">
        <f aca="false">E6*(1+F5/100)</f>
        <v>17135.58200655</v>
      </c>
      <c r="G6" s="0" t="n">
        <f aca="false">F6*(1+G5/100)</f>
        <v>17649.6494667465</v>
      </c>
      <c r="H6" s="0" t="n">
        <f aca="false">G6*(1+H5/100)</f>
        <v>18179.1389507489</v>
      </c>
      <c r="I6" s="0" t="n">
        <f aca="false">H6*(1+I5/100)</f>
        <v>18633.6174245176</v>
      </c>
      <c r="J6" s="0" t="n">
        <f aca="false">I6*(1+J5/100)</f>
        <v>19099.4578601306</v>
      </c>
      <c r="K6" s="0" t="n">
        <f aca="false">J6*(1+K5/100)</f>
        <v>19576.9443066338</v>
      </c>
      <c r="L6" s="0" t="n">
        <f aca="false">K6*(1+L5/100)</f>
        <v>20066.3679142997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49.5</v>
      </c>
      <c r="D7" s="4" t="n">
        <f aca="false">Assumptions!D14</f>
        <v>49.5</v>
      </c>
      <c r="E7" s="4" t="n">
        <f aca="false">Assumptions!E14</f>
        <v>49.5</v>
      </c>
      <c r="F7" s="4" t="n">
        <f aca="false">Assumptions!F14</f>
        <v>49.5</v>
      </c>
      <c r="G7" s="4" t="n">
        <f aca="false">Assumptions!G14</f>
        <v>49.5</v>
      </c>
      <c r="H7" s="4" t="n">
        <f aca="false">Assumptions!H14</f>
        <v>49.5</v>
      </c>
      <c r="I7" s="4" t="n">
        <f aca="false">Assumptions!I14</f>
        <v>49.5</v>
      </c>
      <c r="J7" s="4" t="n">
        <f aca="false">Assumptions!J14</f>
        <v>49.5</v>
      </c>
      <c r="K7" s="4" t="n">
        <f aca="false">Assumptions!K14</f>
        <v>49.5</v>
      </c>
      <c r="L7" s="4" t="n">
        <f aca="false">Assumptions!L14</f>
        <v>49.5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7800.2001</v>
      </c>
      <c r="D8" s="0" t="n">
        <f aca="false">D6*D7/100</f>
        <v>7995.2051025</v>
      </c>
      <c r="E8" s="0" t="n">
        <f aca="false">E6*E7/100</f>
        <v>8235.061255575</v>
      </c>
      <c r="F8" s="0" t="n">
        <f aca="false">F6*F7/100</f>
        <v>8482.11309324225</v>
      </c>
      <c r="G8" s="0" t="n">
        <f aca="false">G6*G7/100</f>
        <v>8736.57648603952</v>
      </c>
      <c r="H8" s="0" t="n">
        <f aca="false">H6*H7/100</f>
        <v>8998.6737806207</v>
      </c>
      <c r="I8" s="0" t="n">
        <f aca="false">I6*I7/100</f>
        <v>9223.64062513622</v>
      </c>
      <c r="J8" s="0" t="n">
        <f aca="false">J6*J7/100</f>
        <v>9454.23164076463</v>
      </c>
      <c r="K8" s="0" t="n">
        <f aca="false">K6*K7/100</f>
        <v>9690.58743178374</v>
      </c>
      <c r="L8" s="0" t="n">
        <f aca="false">L6*L7/100</f>
        <v>9932.85211757834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-110.30586</v>
      </c>
      <c r="D10" s="0" t="n">
        <f aca="false">-D6*D9/100</f>
        <v>-113.0635065</v>
      </c>
      <c r="E10" s="0" t="n">
        <f aca="false">-E6*E9/100</f>
        <v>-108.1371680025</v>
      </c>
      <c r="F10" s="0" t="n">
        <f aca="false">-F6*F9/100</f>
        <v>-111.381283042575</v>
      </c>
      <c r="G10" s="0" t="n">
        <f aca="false">-G6*G9/100</f>
        <v>-105.897896800479</v>
      </c>
      <c r="H10" s="0" t="n">
        <f aca="false">-H6*H9/100</f>
        <v>-109.074833704493</v>
      </c>
      <c r="I10" s="0" t="n">
        <f aca="false">-I6*I9/100</f>
        <v>-111.801704547106</v>
      </c>
      <c r="J10" s="0" t="n">
        <f aca="false">-J6*J9/100</f>
        <v>-114.596747160783</v>
      </c>
      <c r="K10" s="0" t="n">
        <f aca="false">-K6*K9/100</f>
        <v>-117.461665839803</v>
      </c>
      <c r="L10" s="0" t="n">
        <f aca="false">-L6*L9/100</f>
        <v>-120.398207485798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7689.89424</v>
      </c>
      <c r="D11" s="0" t="n">
        <f aca="false">D8+D10+D24</f>
        <v>7882.141596</v>
      </c>
      <c r="E11" s="0" t="n">
        <f aca="false">E8+E10+E24</f>
        <v>8126.9240875725</v>
      </c>
      <c r="F11" s="0" t="n">
        <f aca="false">F8+F10+F24</f>
        <v>8370.73181019968</v>
      </c>
      <c r="G11" s="0" t="n">
        <f aca="false">G8+G10+G24</f>
        <v>8630.67858923904</v>
      </c>
      <c r="H11" s="0" t="n">
        <f aca="false">H8+H10+H24</f>
        <v>8889.59894691621</v>
      </c>
      <c r="I11" s="0" t="n">
        <f aca="false">I8+I10+I24</f>
        <v>9111.83892058911</v>
      </c>
      <c r="J11" s="0" t="n">
        <f aca="false">J8+J10+J24</f>
        <v>9339.63489360384</v>
      </c>
      <c r="K11" s="0" t="n">
        <f aca="false">K8+K10+K24</f>
        <v>9573.12576594394</v>
      </c>
      <c r="L11" s="0" t="n">
        <f aca="false">L8+L10+L24</f>
        <v>9812.45391009254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-2111.56932</v>
      </c>
      <c r="D12" s="4" t="n">
        <f aca="false">-D6*Assumptions!D17/100</f>
        <v>-2164.358553</v>
      </c>
      <c r="E12" s="4" t="n">
        <f aca="false">-E6*Assumptions!E17/100</f>
        <v>-2229.28930959</v>
      </c>
      <c r="F12" s="4" t="n">
        <f aca="false">-F6*Assumptions!F17/100</f>
        <v>-2296.1679888777</v>
      </c>
      <c r="G12" s="4" t="n">
        <f aca="false">-G6*Assumptions!G17/100</f>
        <v>-2365.05302854403</v>
      </c>
      <c r="H12" s="4" t="n">
        <f aca="false">-H6*Assumptions!H17/100</f>
        <v>-2436.00461940035</v>
      </c>
      <c r="I12" s="4" t="n">
        <f aca="false">-I6*Assumptions!I17/100</f>
        <v>-2496.90473488536</v>
      </c>
      <c r="J12" s="4" t="n">
        <f aca="false">-J6*Assumptions!J17/100</f>
        <v>-2559.3273532575</v>
      </c>
      <c r="K12" s="4" t="n">
        <f aca="false">-K6*Assumptions!K17/100</f>
        <v>-2623.31053708893</v>
      </c>
      <c r="L12" s="4" t="n">
        <f aca="false">-L6*Assumptions!L17/100</f>
        <v>-2688.89330051616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5578.32492</v>
      </c>
      <c r="D13" s="0" t="n">
        <f aca="false">D11+D12</f>
        <v>5717.783043</v>
      </c>
      <c r="E13" s="0" t="n">
        <f aca="false">E11+E12</f>
        <v>5897.6347779825</v>
      </c>
      <c r="F13" s="0" t="n">
        <f aca="false">F11+F12</f>
        <v>6074.56382132198</v>
      </c>
      <c r="G13" s="0" t="n">
        <f aca="false">G11+G12</f>
        <v>6265.62556069501</v>
      </c>
      <c r="H13" s="0" t="n">
        <f aca="false">H11+H12</f>
        <v>6453.59432751586</v>
      </c>
      <c r="I13" s="0" t="n">
        <f aca="false">I11+I12</f>
        <v>6614.93418570375</v>
      </c>
      <c r="J13" s="0" t="n">
        <f aca="false">J11+J12</f>
        <v>6780.30754034635</v>
      </c>
      <c r="K13" s="0" t="n">
        <f aca="false">K11+K12</f>
        <v>6949.81522885501</v>
      </c>
      <c r="L13" s="0" t="n">
        <f aca="false">L11+L12</f>
        <v>7123.56060957638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4239.5269392</v>
      </c>
      <c r="D15" s="0" t="n">
        <f aca="false">D13-MAX(0,D13)*D14/100</f>
        <v>4316.926197465</v>
      </c>
      <c r="E15" s="0" t="n">
        <f aca="false">E13-MAX(0,E13)*E14/100</f>
        <v>4423.22608348688</v>
      </c>
      <c r="F15" s="0" t="n">
        <f aca="false">F13-MAX(0,F13)*F14/100</f>
        <v>4555.92286599148</v>
      </c>
      <c r="G15" s="0" t="n">
        <f aca="false">G13-MAX(0,G13)*G14/100</f>
        <v>4699.21917052126</v>
      </c>
      <c r="H15" s="0" t="n">
        <f aca="false">H13-MAX(0,H13)*H14/100</f>
        <v>4840.1957456369</v>
      </c>
      <c r="I15" s="0" t="n">
        <f aca="false">I13-MAX(0,I13)*I14/100</f>
        <v>4961.20063927782</v>
      </c>
      <c r="J15" s="0" t="n">
        <f aca="false">J13-MAX(0,J13)*J14/100</f>
        <v>5085.23065525976</v>
      </c>
      <c r="K15" s="0" t="n">
        <f aca="false">K13-MAX(0,K13)*K14/100</f>
        <v>5212.36142164125</v>
      </c>
      <c r="L15" s="0" t="n">
        <f aca="false">L13-MAX(0,L13)*L14/100</f>
        <v>5342.67045718229</v>
      </c>
    </row>
    <row r="16" customFormat="false" ht="15" hidden="false" customHeight="false" outlineLevel="0" collapsed="false">
      <c r="A16" s="0" t="s">
        <v>129</v>
      </c>
      <c r="C16" s="0" t="n">
        <f aca="false">-C12</f>
        <v>2111.56932</v>
      </c>
      <c r="D16" s="0" t="n">
        <f aca="false">-D12</f>
        <v>2164.358553</v>
      </c>
      <c r="E16" s="0" t="n">
        <f aca="false">-E12</f>
        <v>2229.28930959</v>
      </c>
      <c r="F16" s="0" t="n">
        <f aca="false">-F12</f>
        <v>2296.1679888777</v>
      </c>
      <c r="G16" s="0" t="n">
        <f aca="false">-G12</f>
        <v>2365.05302854403</v>
      </c>
      <c r="H16" s="0" t="n">
        <f aca="false">-H12</f>
        <v>2436.00461940035</v>
      </c>
      <c r="I16" s="0" t="n">
        <f aca="false">-I12</f>
        <v>2496.90473488536</v>
      </c>
      <c r="J16" s="0" t="n">
        <f aca="false">-J12</f>
        <v>2559.3273532575</v>
      </c>
      <c r="K16" s="0" t="n">
        <f aca="false">-K12</f>
        <v>2623.31053708893</v>
      </c>
      <c r="L16" s="0" t="n">
        <f aca="false">-L12</f>
        <v>2688.89330051616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-2757.6465</v>
      </c>
      <c r="D17" s="4" t="n">
        <f aca="false">-D6*Assumptions!D18/100</f>
        <v>-2907.34731</v>
      </c>
      <c r="E17" s="4" t="n">
        <f aca="false">-E6*Assumptions!E18/100</f>
        <v>-3077.750166225</v>
      </c>
      <c r="F17" s="4" t="n">
        <f aca="false">-F6*Assumptions!F18/100</f>
        <v>-3170.08267121175</v>
      </c>
      <c r="G17" s="4" t="n">
        <f aca="false">-G6*Assumptions!G18/100</f>
        <v>-3265.1851513481</v>
      </c>
      <c r="H17" s="4" t="n">
        <f aca="false">-H6*Assumptions!H18/100</f>
        <v>-3363.14070588855</v>
      </c>
      <c r="I17" s="4" t="n">
        <f aca="false">-I6*Assumptions!I18/100</f>
        <v>-3447.21922353576</v>
      </c>
      <c r="J17" s="4" t="n">
        <f aca="false">-J6*Assumptions!J18/100</f>
        <v>-3533.39970412415</v>
      </c>
      <c r="K17" s="4" t="n">
        <f aca="false">-K6*Assumptions!K18/100</f>
        <v>-3621.73469672726</v>
      </c>
      <c r="L17" s="4" t="n">
        <f aca="false">-L6*Assumptions!L18/100</f>
        <v>-3712.27806414544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-15.449</v>
      </c>
      <c r="D18" s="4" t="n">
        <f aca="false">(D6-C6)*Assumptions!$B$23/100</f>
        <v>-19.6974749999999</v>
      </c>
      <c r="E18" s="4" t="n">
        <f aca="false">(E6-D6)*Assumptions!$B$23/100</f>
        <v>-24.2278942500001</v>
      </c>
      <c r="F18" s="4" t="n">
        <f aca="false">(F6-E6)*Assumptions!$B$23/100</f>
        <v>-24.9547310775</v>
      </c>
      <c r="G18" s="4" t="n">
        <f aca="false">(G6-F6)*Assumptions!$B$23/100</f>
        <v>-25.703373009825</v>
      </c>
      <c r="H18" s="4" t="n">
        <f aca="false">(H6-G6)*Assumptions!$B$23/100</f>
        <v>-26.4744742001198</v>
      </c>
      <c r="I18" s="4" t="n">
        <f aca="false">(I6-H6)*Assumptions!$B$23/100</f>
        <v>-22.7239236884361</v>
      </c>
      <c r="J18" s="4" t="n">
        <f aca="false">(J6-I6)*Assumptions!$B$23/100</f>
        <v>-23.292021780647</v>
      </c>
      <c r="K18" s="4" t="n">
        <f aca="false">(K6-J6)*Assumptions!$B$23/100</f>
        <v>-23.8743223251631</v>
      </c>
      <c r="L18" s="4" t="n">
        <f aca="false">(L6-K6)*Assumptions!$B$23/100</f>
        <v>-24.4711803832923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3578.0007592</v>
      </c>
      <c r="D19" s="0" t="n">
        <f aca="false">D15+D16+D17+D18</f>
        <v>3554.239965465</v>
      </c>
      <c r="E19" s="0" t="n">
        <f aca="false">E15+E16+E17+E18</f>
        <v>3550.53733260188</v>
      </c>
      <c r="F19" s="0" t="n">
        <f aca="false">F15+F16+F17+F18</f>
        <v>3657.05345257993</v>
      </c>
      <c r="G19" s="0" t="n">
        <f aca="false">G15+G16+G17+G18</f>
        <v>3773.38367470736</v>
      </c>
      <c r="H19" s="0" t="n">
        <f aca="false">H15+H16+H17+H18</f>
        <v>3886.58518494858</v>
      </c>
      <c r="I19" s="0" t="n">
        <f aca="false">I15+I16+I17+I18</f>
        <v>3988.16222693898</v>
      </c>
      <c r="J19" s="0" t="n">
        <f aca="false">J15+J16+J17+J18</f>
        <v>4087.86628261246</v>
      </c>
      <c r="K19" s="0" t="n">
        <f aca="false">K15+K16+K17+K18</f>
        <v>4190.06293967777</v>
      </c>
      <c r="L19" s="0" t="n">
        <f aca="false">L15+L16+L17+L18</f>
        <v>4294.81451316971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3328.37279925581</v>
      </c>
      <c r="D21" s="0" t="n">
        <f aca="false">D19*D20</f>
        <v>3075.59975378259</v>
      </c>
      <c r="E21" s="0" t="n">
        <f aca="false">E19*E20</f>
        <v>2858.04255331631</v>
      </c>
      <c r="F21" s="0" t="n">
        <f aca="false">F19*F20</f>
        <v>2738.40356271237</v>
      </c>
      <c r="G21" s="0" t="n">
        <f aca="false">G19*G20</f>
        <v>2628.38297178641</v>
      </c>
      <c r="H21" s="0" t="n">
        <f aca="false">H19*H20</f>
        <v>2518.35763808373</v>
      </c>
      <c r="I21" s="0" t="n">
        <f aca="false">I19*I20</f>
        <v>2403.88432786329</v>
      </c>
      <c r="J21" s="0" t="n">
        <f aca="false">J19*J20</f>
        <v>2292.0757544743</v>
      </c>
      <c r="K21" s="0" t="n">
        <f aca="false">K19*K20</f>
        <v>2185.46757984759</v>
      </c>
      <c r="L21" s="0" t="n">
        <f aca="false">L19*L20</f>
        <v>2083.81792497095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26112.4048660933</v>
      </c>
    </row>
    <row r="31" customFormat="false" ht="15" hidden="false" customHeight="false" outlineLevel="0" collapsed="false">
      <c r="A31" s="0" t="s">
        <v>138</v>
      </c>
      <c r="B31" s="0" t="n">
        <f aca="false">L19</f>
        <v>4294.81451316971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79649.2873351474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77306.6612370548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77306.6612370548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37508.7226494772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63621.1275155705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39529.1275155705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31.5289711399761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-0.633128099371933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766.662771151633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1083.36016064543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33.0045746579628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33697.7754110239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2.47778594855356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5.5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15449</v>
      </c>
      <c r="C6" s="0" t="n">
        <f aca="false">B6*(1+C5/100)</f>
        <v>16298.695</v>
      </c>
      <c r="D6" s="0" t="n">
        <f aca="false">C6*(1+D5/100)</f>
        <v>17195.123225</v>
      </c>
      <c r="E6" s="0" t="n">
        <f aca="false">D6*(1+E5/100)</f>
        <v>18054.87938625</v>
      </c>
      <c r="F6" s="0" t="n">
        <f aca="false">E6*(1+F5/100)</f>
        <v>18867.3489586312</v>
      </c>
      <c r="G6" s="0" t="n">
        <f aca="false">F6*(1+G5/100)</f>
        <v>19622.0429169765</v>
      </c>
      <c r="H6" s="0" t="n">
        <f aca="false">G6*(1+H5/100)</f>
        <v>20406.9246336556</v>
      </c>
      <c r="I6" s="0" t="n">
        <f aca="false">H6*(1+I5/100)</f>
        <v>21121.1669958335</v>
      </c>
      <c r="J6" s="0" t="n">
        <f aca="false">I6*(1+J5/100)</f>
        <v>21754.8020057085</v>
      </c>
      <c r="K6" s="0" t="n">
        <f aca="false">J6*(1+K5/100)</f>
        <v>22407.4460658798</v>
      </c>
      <c r="L6" s="0" t="n">
        <f aca="false">K6*(1+L5/100)</f>
        <v>22967.6322175268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50.6</v>
      </c>
      <c r="D7" s="4" t="n">
        <f aca="false">Assumptions!D28</f>
        <v>51</v>
      </c>
      <c r="E7" s="4" t="n">
        <f aca="false">Assumptions!E28</f>
        <v>51.4</v>
      </c>
      <c r="F7" s="4" t="n">
        <f aca="false">Assumptions!F28</f>
        <v>51.7</v>
      </c>
      <c r="G7" s="4" t="n">
        <f aca="false">Assumptions!G28</f>
        <v>51.9</v>
      </c>
      <c r="H7" s="4" t="n">
        <f aca="false">Assumptions!H28</f>
        <v>52</v>
      </c>
      <c r="I7" s="4" t="n">
        <f aca="false">Assumptions!I28</f>
        <v>52</v>
      </c>
      <c r="J7" s="4" t="n">
        <f aca="false">Assumptions!J28</f>
        <v>52</v>
      </c>
      <c r="K7" s="4" t="n">
        <f aca="false">Assumptions!K28</f>
        <v>52</v>
      </c>
      <c r="L7" s="4" t="n">
        <f aca="false">Assumptions!L28</f>
        <v>52</v>
      </c>
    </row>
    <row r="8" customFormat="false" ht="15" hidden="false" customHeight="false" outlineLevel="0" collapsed="false">
      <c r="A8" s="0" t="s">
        <v>44</v>
      </c>
      <c r="C8" s="0" t="n">
        <f aca="false">C6*C7/100</f>
        <v>8247.13967</v>
      </c>
      <c r="D8" s="0" t="n">
        <f aca="false">D6*D7/100</f>
        <v>8769.51284475</v>
      </c>
      <c r="E8" s="0" t="n">
        <f aca="false">E6*E7/100</f>
        <v>9280.2080045325</v>
      </c>
      <c r="F8" s="0" t="n">
        <f aca="false">F6*F7/100</f>
        <v>9754.41941161235</v>
      </c>
      <c r="G8" s="0" t="n">
        <f aca="false">G6*G7/100</f>
        <v>10183.8402739108</v>
      </c>
      <c r="H8" s="0" t="n">
        <f aca="false">H6*H7/100</f>
        <v>10611.6008095009</v>
      </c>
      <c r="I8" s="0" t="n">
        <f aca="false">I6*I7/100</f>
        <v>10983.0068378334</v>
      </c>
      <c r="J8" s="0" t="n">
        <f aca="false">J6*J7/100</f>
        <v>11312.4970429684</v>
      </c>
      <c r="K8" s="0" t="n">
        <f aca="false">K6*K7/100</f>
        <v>11651.8719542575</v>
      </c>
      <c r="L8" s="0" t="n">
        <f aca="false">L6*L7/100</f>
        <v>11943.1687531139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-114.090865</v>
      </c>
      <c r="D10" s="0" t="n">
        <f aca="false">-D6*D9/100</f>
        <v>-120.365862575</v>
      </c>
      <c r="E10" s="0" t="n">
        <f aca="false">-E6*E9/100</f>
        <v>-117.356716010625</v>
      </c>
      <c r="F10" s="0" t="n">
        <f aca="false">-F6*F9/100</f>
        <v>-122.637768231103</v>
      </c>
      <c r="G10" s="0" t="n">
        <f aca="false">-G6*G9/100</f>
        <v>-117.732257501859</v>
      </c>
      <c r="H10" s="0" t="n">
        <f aca="false">-H6*H9/100</f>
        <v>-122.441547801933</v>
      </c>
      <c r="I10" s="0" t="n">
        <f aca="false">-I6*I9/100</f>
        <v>-126.727001975001</v>
      </c>
      <c r="J10" s="0" t="n">
        <f aca="false">-J6*J9/100</f>
        <v>-130.528812034251</v>
      </c>
      <c r="K10" s="0" t="n">
        <f aca="false">-K6*K9/100</f>
        <v>-134.444676395279</v>
      </c>
      <c r="L10" s="0" t="n">
        <f aca="false">-L6*L9/100</f>
        <v>-137.805793305161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8133.048805</v>
      </c>
      <c r="D11" s="0" t="n">
        <f aca="false">D8+D10+D24</f>
        <v>8649.146982175</v>
      </c>
      <c r="E11" s="0" t="n">
        <f aca="false">E8+E10+E24</f>
        <v>9162.85128852188</v>
      </c>
      <c r="F11" s="0" t="n">
        <f aca="false">F8+F10+F24</f>
        <v>9631.78164338125</v>
      </c>
      <c r="G11" s="0" t="n">
        <f aca="false">G8+G10+G24</f>
        <v>10066.1080164089</v>
      </c>
      <c r="H11" s="0" t="n">
        <f aca="false">H8+H10+H24</f>
        <v>10489.159261699</v>
      </c>
      <c r="I11" s="0" t="n">
        <f aca="false">I8+I10+I24</f>
        <v>10856.2798358584</v>
      </c>
      <c r="J11" s="0" t="n">
        <f aca="false">J8+J10+J24</f>
        <v>11181.9682309342</v>
      </c>
      <c r="K11" s="0" t="n">
        <f aca="false">K8+K10+K24</f>
        <v>11517.4272778622</v>
      </c>
      <c r="L11" s="0" t="n">
        <f aca="false">L8+L10+L24</f>
        <v>11805.3629598088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-2167.726435</v>
      </c>
      <c r="D12" s="4" t="n">
        <f aca="false">-D6*Assumptions!D31/100</f>
        <v>-2269.7562657</v>
      </c>
      <c r="E12" s="4" t="n">
        <f aca="false">-E6*Assumptions!E31/100</f>
        <v>-2365.18919959875</v>
      </c>
      <c r="F12" s="4" t="n">
        <f aca="false">-F6*Assumptions!F31/100</f>
        <v>-2452.75536462206</v>
      </c>
      <c r="G12" s="4" t="n">
        <f aca="false">-G6*Assumptions!G31/100</f>
        <v>-2550.86557920695</v>
      </c>
      <c r="H12" s="4" t="n">
        <f aca="false">-H6*Assumptions!H31/100</f>
        <v>-2652.90020237522</v>
      </c>
      <c r="I12" s="4" t="n">
        <f aca="false">-I6*Assumptions!I31/100</f>
        <v>-2745.75170945836</v>
      </c>
      <c r="J12" s="4" t="n">
        <f aca="false">-J6*Assumptions!J31/100</f>
        <v>-2828.12426074211</v>
      </c>
      <c r="K12" s="4" t="n">
        <f aca="false">-K6*Assumptions!K31/100</f>
        <v>-2912.96798856437</v>
      </c>
      <c r="L12" s="4" t="n">
        <f aca="false">-L6*Assumptions!L31/100</f>
        <v>-2985.79218827848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5965.32237</v>
      </c>
      <c r="D13" s="0" t="n">
        <f aca="false">D11+D12</f>
        <v>6379.390716475</v>
      </c>
      <c r="E13" s="0" t="n">
        <f aca="false">E11+E12</f>
        <v>6797.66208892313</v>
      </c>
      <c r="F13" s="0" t="n">
        <f aca="false">F11+F12</f>
        <v>7179.02627875919</v>
      </c>
      <c r="G13" s="0" t="n">
        <f aca="false">G11+G12</f>
        <v>7515.242437202</v>
      </c>
      <c r="H13" s="0" t="n">
        <f aca="false">H11+H12</f>
        <v>7836.25905932374</v>
      </c>
      <c r="I13" s="0" t="n">
        <f aca="false">I11+I12</f>
        <v>8110.52812640007</v>
      </c>
      <c r="J13" s="0" t="n">
        <f aca="false">J11+J12</f>
        <v>8353.84397019207</v>
      </c>
      <c r="K13" s="0" t="n">
        <f aca="false">K11+K12</f>
        <v>8604.45928929783</v>
      </c>
      <c r="L13" s="0" t="n">
        <f aca="false">L11+L12</f>
        <v>8819.57077153027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4533.6450012</v>
      </c>
      <c r="D15" s="0" t="n">
        <f aca="false">D13-MAX(0,D13)*D14/100</f>
        <v>4848.336944521</v>
      </c>
      <c r="E15" s="0" t="n">
        <f aca="false">E13-MAX(0,E13)*E14/100</f>
        <v>5132.23487713696</v>
      </c>
      <c r="F15" s="0" t="n">
        <f aca="false">F13-MAX(0,F13)*F14/100</f>
        <v>5420.16484046319</v>
      </c>
      <c r="G15" s="0" t="n">
        <f aca="false">G13-MAX(0,G13)*G14/100</f>
        <v>5636.4318279015</v>
      </c>
      <c r="H15" s="0" t="n">
        <f aca="false">H13-MAX(0,H13)*H14/100</f>
        <v>5877.1942944928</v>
      </c>
      <c r="I15" s="0" t="n">
        <f aca="false">I13-MAX(0,I13)*I14/100</f>
        <v>6082.89609480005</v>
      </c>
      <c r="J15" s="0" t="n">
        <f aca="false">J13-MAX(0,J13)*J14/100</f>
        <v>6265.38297764405</v>
      </c>
      <c r="K15" s="0" t="n">
        <f aca="false">K13-MAX(0,K13)*K14/100</f>
        <v>6453.34446697337</v>
      </c>
      <c r="L15" s="0" t="n">
        <f aca="false">L13-MAX(0,L13)*L14/100</f>
        <v>6614.67807864771</v>
      </c>
    </row>
    <row r="16" customFormat="false" ht="15" hidden="false" customHeight="false" outlineLevel="0" collapsed="false">
      <c r="A16" s="0" t="s">
        <v>129</v>
      </c>
      <c r="C16" s="0" t="n">
        <f aca="false">-C12</f>
        <v>2167.726435</v>
      </c>
      <c r="D16" s="0" t="n">
        <f aca="false">-D12</f>
        <v>2269.7562657</v>
      </c>
      <c r="E16" s="0" t="n">
        <f aca="false">-E12</f>
        <v>2365.18919959875</v>
      </c>
      <c r="F16" s="0" t="n">
        <f aca="false">-F12</f>
        <v>2452.75536462206</v>
      </c>
      <c r="G16" s="0" t="n">
        <f aca="false">-G12</f>
        <v>2550.86557920695</v>
      </c>
      <c r="H16" s="0" t="n">
        <f aca="false">-H12</f>
        <v>2652.90020237522</v>
      </c>
      <c r="I16" s="0" t="n">
        <f aca="false">-I12</f>
        <v>2745.75170945836</v>
      </c>
      <c r="J16" s="0" t="n">
        <f aca="false">-J12</f>
        <v>2828.12426074211</v>
      </c>
      <c r="K16" s="0" t="n">
        <f aca="false">-K12</f>
        <v>2912.96798856437</v>
      </c>
      <c r="L16" s="0" t="n">
        <f aca="false">-L12</f>
        <v>2985.79218827848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-2770.77815</v>
      </c>
      <c r="D17" s="4" t="n">
        <f aca="false">-D6*Assumptions!D32/100</f>
        <v>-2923.17094825</v>
      </c>
      <c r="E17" s="4" t="n">
        <f aca="false">-E6*Assumptions!E32/100</f>
        <v>-3069.3294956625</v>
      </c>
      <c r="F17" s="4" t="n">
        <f aca="false">-F6*Assumptions!F32/100</f>
        <v>-3207.44932296731</v>
      </c>
      <c r="G17" s="4" t="n">
        <f aca="false">-G6*Assumptions!G32/100</f>
        <v>-3335.747295886</v>
      </c>
      <c r="H17" s="4" t="n">
        <f aca="false">-H6*Assumptions!H32/100</f>
        <v>-3469.17718772145</v>
      </c>
      <c r="I17" s="4" t="n">
        <f aca="false">-I6*Assumptions!I32/100</f>
        <v>-3590.5983892917</v>
      </c>
      <c r="J17" s="4" t="n">
        <f aca="false">-J6*Assumptions!J32/100</f>
        <v>-3698.31634097045</v>
      </c>
      <c r="K17" s="4" t="n">
        <f aca="false">-K6*Assumptions!K32/100</f>
        <v>-3809.26583119956</v>
      </c>
      <c r="L17" s="4" t="n">
        <f aca="false">-L6*Assumptions!L32/100</f>
        <v>-3904.49747697955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-42.48475</v>
      </c>
      <c r="D18" s="4" t="n">
        <f aca="false">(D6-C6)*Assumptions!$B$37/100</f>
        <v>-44.82141125</v>
      </c>
      <c r="E18" s="4" t="n">
        <f aca="false">(E6-D6)*Assumptions!$B$37/100</f>
        <v>-42.9878080625</v>
      </c>
      <c r="F18" s="4" t="n">
        <f aca="false">(F6-E6)*Assumptions!$B$37/100</f>
        <v>-40.6234786190624</v>
      </c>
      <c r="G18" s="4" t="n">
        <f aca="false">(G6-F6)*Assumptions!$B$37/100</f>
        <v>-37.7346979172626</v>
      </c>
      <c r="H18" s="4" t="n">
        <f aca="false">(H6-G6)*Assumptions!$B$37/100</f>
        <v>-39.2440858339531</v>
      </c>
      <c r="I18" s="4" t="n">
        <f aca="false">(I6-H6)*Assumptions!$B$37/100</f>
        <v>-35.7121181088971</v>
      </c>
      <c r="J18" s="4" t="n">
        <f aca="false">(J6-I6)*Assumptions!$B$37/100</f>
        <v>-31.6817504937502</v>
      </c>
      <c r="K18" s="4" t="n">
        <f aca="false">(K6-J6)*Assumptions!$B$37/100</f>
        <v>-32.6322030085628</v>
      </c>
      <c r="L18" s="4" t="n">
        <f aca="false">(L6-K6)*Assumptions!$B$37/100</f>
        <v>-28.0093075823495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3888.1085362</v>
      </c>
      <c r="D19" s="0" t="n">
        <f aca="false">D15+D16+D17+D18</f>
        <v>4150.100850721</v>
      </c>
      <c r="E19" s="0" t="n">
        <f aca="false">E15+E16+E17+E18</f>
        <v>4385.10677301071</v>
      </c>
      <c r="F19" s="0" t="n">
        <f aca="false">F15+F16+F17+F18</f>
        <v>4624.84740349888</v>
      </c>
      <c r="G19" s="0" t="n">
        <f aca="false">G15+G16+G17+G18</f>
        <v>4813.81541330518</v>
      </c>
      <c r="H19" s="0" t="n">
        <f aca="false">H15+H16+H17+H18</f>
        <v>5021.67322331263</v>
      </c>
      <c r="I19" s="0" t="n">
        <f aca="false">I15+I16+I17+I18</f>
        <v>5202.33729685781</v>
      </c>
      <c r="J19" s="0" t="n">
        <f aca="false">J15+J16+J17+J18</f>
        <v>5363.50914692196</v>
      </c>
      <c r="K19" s="0" t="n">
        <f aca="false">K15+K16+K17+K18</f>
        <v>5524.41442132962</v>
      </c>
      <c r="L19" s="0" t="n">
        <f aca="false">L15+L16+L17+L18</f>
        <v>5667.96348236429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3616.84514995349</v>
      </c>
      <c r="D21" s="0" t="n">
        <f aca="false">D19*D20</f>
        <v>3591.21761014256</v>
      </c>
      <c r="E21" s="0" t="n">
        <f aca="false">E19*E20</f>
        <v>3529.83804536312</v>
      </c>
      <c r="F21" s="0" t="n">
        <f aca="false">F19*F20</f>
        <v>3463.08818587485</v>
      </c>
      <c r="G21" s="0" t="n">
        <f aca="false">G19*G20</f>
        <v>3353.10468067776</v>
      </c>
      <c r="H21" s="0" t="n">
        <f aca="false">H19*H20</f>
        <v>3253.85100701381</v>
      </c>
      <c r="I21" s="0" t="n">
        <f aca="false">I19*I20</f>
        <v>3135.73430180489</v>
      </c>
      <c r="J21" s="0" t="n">
        <f aca="false">J19*J20</f>
        <v>3007.33155750496</v>
      </c>
      <c r="K21" s="0" t="n">
        <f aca="false">K19*K20</f>
        <v>2881.44325974894</v>
      </c>
      <c r="L21" s="0" t="n">
        <f aca="false">L19*L20</f>
        <v>2750.06146747758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32582.515265562</v>
      </c>
    </row>
    <row r="31" customFormat="false" ht="15" hidden="false" customHeight="false" outlineLevel="0" collapsed="false">
      <c r="A31" s="0" t="s">
        <v>138</v>
      </c>
      <c r="B31" s="0" t="n">
        <f aca="false">L19</f>
        <v>5667.96348236429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116193.251388468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113359.269647286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113359.269647286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55001.2293495515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87583.7446151135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63491.7446151135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50.641881301532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-0.410729796351734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844.490903150622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1370.68195102682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52.4087333769265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46477.3005553871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8.52481385577443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15449</v>
      </c>
      <c r="C6" s="0" t="n">
        <f aca="false">B6*(1+C5/100)</f>
        <v>16530.43</v>
      </c>
      <c r="D6" s="0" t="n">
        <f aca="false">C6*(1+D5/100)</f>
        <v>17687.5601</v>
      </c>
      <c r="E6" s="0" t="n">
        <f aca="false">D6*(1+E5/100)</f>
        <v>18837.2515065</v>
      </c>
      <c r="F6" s="0" t="n">
        <f aca="false">E6*(1+F5/100)</f>
        <v>19967.48659689</v>
      </c>
      <c r="G6" s="0" t="n">
        <f aca="false">F6*(1+G5/100)</f>
        <v>21065.698359719</v>
      </c>
      <c r="H6" s="0" t="n">
        <f aca="false">G6*(1+H5/100)</f>
        <v>22118.9832777049</v>
      </c>
      <c r="I6" s="0" t="n">
        <f aca="false">H6*(1+I5/100)</f>
        <v>23114.3375252016</v>
      </c>
      <c r="J6" s="0" t="n">
        <f aca="false">I6*(1+J5/100)</f>
        <v>24038.9110262097</v>
      </c>
      <c r="K6" s="0" t="n">
        <f aca="false">J6*(1+K5/100)</f>
        <v>24880.272912127</v>
      </c>
      <c r="L6" s="0" t="n">
        <f aca="false">K6*(1+L5/100)</f>
        <v>25626.6810994908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50.9</v>
      </c>
      <c r="D7" s="4" t="n">
        <f aca="false">Assumptions!D42</f>
        <v>51.6</v>
      </c>
      <c r="E7" s="4" t="n">
        <f aca="false">Assumptions!E42</f>
        <v>52.4</v>
      </c>
      <c r="F7" s="4" t="n">
        <f aca="false">Assumptions!F42</f>
        <v>53</v>
      </c>
      <c r="G7" s="4" t="n">
        <f aca="false">Assumptions!G42</f>
        <v>53.3</v>
      </c>
      <c r="H7" s="4" t="n">
        <f aca="false">Assumptions!H42</f>
        <v>53.5</v>
      </c>
      <c r="I7" s="4" t="n">
        <f aca="false">Assumptions!I42</f>
        <v>53.5</v>
      </c>
      <c r="J7" s="4" t="n">
        <f aca="false">Assumptions!J42</f>
        <v>53.5</v>
      </c>
      <c r="K7" s="4" t="n">
        <f aca="false">Assumptions!K42</f>
        <v>53.5</v>
      </c>
      <c r="L7" s="4" t="n">
        <f aca="false">Assumptions!L42</f>
        <v>53.5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8413.98887</v>
      </c>
      <c r="D8" s="0" t="n">
        <f aca="false">D6*D7/100</f>
        <v>9126.7810116</v>
      </c>
      <c r="E8" s="0" t="n">
        <f aca="false">E6*E7/100</f>
        <v>9870.719789406</v>
      </c>
      <c r="F8" s="0" t="n">
        <f aca="false">F6*F7/100</f>
        <v>10582.7678963517</v>
      </c>
      <c r="G8" s="0" t="n">
        <f aca="false">G6*G7/100</f>
        <v>11228.0172257302</v>
      </c>
      <c r="H8" s="0" t="n">
        <f aca="false">H6*H7/100</f>
        <v>11833.6560535721</v>
      </c>
      <c r="I8" s="0" t="n">
        <f aca="false">I6*I7/100</f>
        <v>12366.1705759829</v>
      </c>
      <c r="J8" s="0" t="n">
        <f aca="false">J6*J7/100</f>
        <v>12860.8173990222</v>
      </c>
      <c r="K8" s="0" t="n">
        <f aca="false">K6*K7/100</f>
        <v>13310.946007988</v>
      </c>
      <c r="L8" s="0" t="n">
        <f aca="false">L6*L7/100</f>
        <v>13710.2743882276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-115.71301</v>
      </c>
      <c r="D10" s="0" t="n">
        <f aca="false">-D6*D9/100</f>
        <v>-123.8129207</v>
      </c>
      <c r="E10" s="0" t="n">
        <f aca="false">-E6*E9/100</f>
        <v>-122.44213479225</v>
      </c>
      <c r="F10" s="0" t="n">
        <f aca="false">-F6*F9/100</f>
        <v>-129.788662879785</v>
      </c>
      <c r="G10" s="0" t="n">
        <f aca="false">-G6*G9/100</f>
        <v>-126.394190158314</v>
      </c>
      <c r="H10" s="0" t="n">
        <f aca="false">-H6*H9/100</f>
        <v>-132.713899666229</v>
      </c>
      <c r="I10" s="0" t="n">
        <f aca="false">-I6*I9/100</f>
        <v>-138.68602515121</v>
      </c>
      <c r="J10" s="0" t="n">
        <f aca="false">-J6*J9/100</f>
        <v>-144.233466157258</v>
      </c>
      <c r="K10" s="0" t="n">
        <f aca="false">-K6*K9/100</f>
        <v>-149.281637472762</v>
      </c>
      <c r="L10" s="0" t="n">
        <f aca="false">-L6*L9/100</f>
        <v>-153.760086596945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8298.27586</v>
      </c>
      <c r="D11" s="0" t="n">
        <f aca="false">D8+D10+D24</f>
        <v>9002.9680909</v>
      </c>
      <c r="E11" s="0" t="n">
        <f aca="false">E8+E10+E24</f>
        <v>9748.27765461375</v>
      </c>
      <c r="F11" s="0" t="n">
        <f aca="false">F8+F10+F24</f>
        <v>10452.9792334719</v>
      </c>
      <c r="G11" s="0" t="n">
        <f aca="false">G8+G10+G24</f>
        <v>11101.6230355719</v>
      </c>
      <c r="H11" s="0" t="n">
        <f aca="false">H8+H10+H24</f>
        <v>11700.9421539059</v>
      </c>
      <c r="I11" s="0" t="n">
        <f aca="false">I8+I10+I24</f>
        <v>12227.4845508317</v>
      </c>
      <c r="J11" s="0" t="n">
        <f aca="false">J8+J10+J24</f>
        <v>12716.5839328649</v>
      </c>
      <c r="K11" s="0" t="n">
        <f aca="false">K8+K10+K24</f>
        <v>13161.6643705152</v>
      </c>
      <c r="L11" s="0" t="n">
        <f aca="false">L8+L10+L24</f>
        <v>13556.5143016306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-2198.54719</v>
      </c>
      <c r="D12" s="4" t="n">
        <f aca="false">-D6*Assumptions!D45/100</f>
        <v>-2317.0703731</v>
      </c>
      <c r="E12" s="4" t="n">
        <f aca="false">-E6*Assumptions!E45/100</f>
        <v>-2430.0054443385</v>
      </c>
      <c r="F12" s="4" t="n">
        <f aca="false">-F6*Assumptions!F45/100</f>
        <v>-2555.83828440192</v>
      </c>
      <c r="G12" s="4" t="n">
        <f aca="false">-G6*Assumptions!G45/100</f>
        <v>-2675.34369168431</v>
      </c>
      <c r="H12" s="4" t="n">
        <f aca="false">-H6*Assumptions!H45/100</f>
        <v>-2809.11087626852</v>
      </c>
      <c r="I12" s="4" t="n">
        <f aca="false">-I6*Assumptions!I45/100</f>
        <v>-2935.52086570061</v>
      </c>
      <c r="J12" s="4" t="n">
        <f aca="false">-J6*Assumptions!J45/100</f>
        <v>-3052.94170032863</v>
      </c>
      <c r="K12" s="4" t="n">
        <f aca="false">-K6*Assumptions!K45/100</f>
        <v>-3159.79465984013</v>
      </c>
      <c r="L12" s="4" t="n">
        <f aca="false">-L6*Assumptions!L45/100</f>
        <v>-3254.58849963533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6099.72867</v>
      </c>
      <c r="D13" s="0" t="n">
        <f aca="false">D11+D12</f>
        <v>6685.8977178</v>
      </c>
      <c r="E13" s="0" t="n">
        <f aca="false">E11+E12</f>
        <v>7318.27221027525</v>
      </c>
      <c r="F13" s="0" t="n">
        <f aca="false">F11+F12</f>
        <v>7897.14094907</v>
      </c>
      <c r="G13" s="0" t="n">
        <f aca="false">G11+G12</f>
        <v>8426.27934388758</v>
      </c>
      <c r="H13" s="0" t="n">
        <f aca="false">H11+H12</f>
        <v>8891.83127763737</v>
      </c>
      <c r="I13" s="0" t="n">
        <f aca="false">I11+I12</f>
        <v>9291.96368513105</v>
      </c>
      <c r="J13" s="0" t="n">
        <f aca="false">J11+J12</f>
        <v>9663.64223253629</v>
      </c>
      <c r="K13" s="0" t="n">
        <f aca="false">K11+K12</f>
        <v>10001.8697106751</v>
      </c>
      <c r="L13" s="0" t="n">
        <f aca="false">L11+L12</f>
        <v>10301.9258019953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4635.7937892</v>
      </c>
      <c r="D15" s="0" t="n">
        <f aca="false">D13-MAX(0,D13)*D14/100</f>
        <v>5081.282265528</v>
      </c>
      <c r="E15" s="0" t="n">
        <f aca="false">E13-MAX(0,E13)*E14/100</f>
        <v>5525.29551875781</v>
      </c>
      <c r="F15" s="0" t="n">
        <f aca="false">F13-MAX(0,F13)*F14/100</f>
        <v>5962.34141654785</v>
      </c>
      <c r="G15" s="0" t="n">
        <f aca="false">G13-MAX(0,G13)*G14/100</f>
        <v>6319.70950791569</v>
      </c>
      <c r="H15" s="0" t="n">
        <f aca="false">H13-MAX(0,H13)*H14/100</f>
        <v>6668.87345822803</v>
      </c>
      <c r="I15" s="0" t="n">
        <f aca="false">I13-MAX(0,I13)*I14/100</f>
        <v>6968.97276384829</v>
      </c>
      <c r="J15" s="0" t="n">
        <f aca="false">J13-MAX(0,J13)*J14/100</f>
        <v>7247.73167440222</v>
      </c>
      <c r="K15" s="0" t="n">
        <f aca="false">K13-MAX(0,K13)*K14/100</f>
        <v>7501.4022830063</v>
      </c>
      <c r="L15" s="0" t="n">
        <f aca="false">L13-MAX(0,L13)*L14/100</f>
        <v>7726.44435149649</v>
      </c>
    </row>
    <row r="16" customFormat="false" ht="15" hidden="false" customHeight="false" outlineLevel="0" collapsed="false">
      <c r="A16" s="0" t="s">
        <v>129</v>
      </c>
      <c r="C16" s="0" t="n">
        <f aca="false">-C12</f>
        <v>2198.54719</v>
      </c>
      <c r="D16" s="0" t="n">
        <f aca="false">-D12</f>
        <v>2317.0703731</v>
      </c>
      <c r="E16" s="0" t="n">
        <f aca="false">-E12</f>
        <v>2430.0054443385</v>
      </c>
      <c r="F16" s="0" t="n">
        <f aca="false">-F12</f>
        <v>2555.83828440192</v>
      </c>
      <c r="G16" s="0" t="n">
        <f aca="false">-G12</f>
        <v>2675.34369168431</v>
      </c>
      <c r="H16" s="0" t="n">
        <f aca="false">-H12</f>
        <v>2809.11087626852</v>
      </c>
      <c r="I16" s="0" t="n">
        <f aca="false">-I12</f>
        <v>2935.52086570061</v>
      </c>
      <c r="J16" s="0" t="n">
        <f aca="false">-J12</f>
        <v>3052.94170032863</v>
      </c>
      <c r="K16" s="0" t="n">
        <f aca="false">-K12</f>
        <v>3159.79465984013</v>
      </c>
      <c r="L16" s="0" t="n">
        <f aca="false">-L12</f>
        <v>3254.58849963533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-2810.1731</v>
      </c>
      <c r="D17" s="4" t="n">
        <f aca="false">-D6*Assumptions!D46/100</f>
        <v>-2971.5100968</v>
      </c>
      <c r="E17" s="4" t="n">
        <f aca="false">-E6*Assumptions!E46/100</f>
        <v>-3108.1464985725</v>
      </c>
      <c r="F17" s="4" t="n">
        <f aca="false">-F6*Assumptions!F46/100</f>
        <v>-3254.70031529307</v>
      </c>
      <c r="G17" s="4" t="n">
        <f aca="false">-G6*Assumptions!G46/100</f>
        <v>-3370.51173755503</v>
      </c>
      <c r="H17" s="4" t="n">
        <f aca="false">-H6*Assumptions!H46/100</f>
        <v>-3539.03732443278</v>
      </c>
      <c r="I17" s="4" t="n">
        <f aca="false">-I6*Assumptions!I46/100</f>
        <v>-3698.29400403226</v>
      </c>
      <c r="J17" s="4" t="n">
        <f aca="false">-J6*Assumptions!J46/100</f>
        <v>-3846.22576419355</v>
      </c>
      <c r="K17" s="4" t="n">
        <f aca="false">-K6*Assumptions!K46/100</f>
        <v>-3980.84366594032</v>
      </c>
      <c r="L17" s="4" t="n">
        <f aca="false">-L6*Assumptions!L46/100</f>
        <v>-4100.26897591853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-54.0715</v>
      </c>
      <c r="D18" s="4" t="n">
        <f aca="false">(D6-C6)*Assumptions!$B$51/100</f>
        <v>-57.8565050000001</v>
      </c>
      <c r="E18" s="4" t="n">
        <f aca="false">(E6-D6)*Assumptions!$B$51/100</f>
        <v>-57.4845703249999</v>
      </c>
      <c r="F18" s="4" t="n">
        <f aca="false">(F6-E6)*Assumptions!$B$51/100</f>
        <v>-56.5117545195</v>
      </c>
      <c r="G18" s="4" t="n">
        <f aca="false">(G6-F6)*Assumptions!$B$51/100</f>
        <v>-54.9105881414474</v>
      </c>
      <c r="H18" s="4" t="n">
        <f aca="false">(H6-G6)*Assumptions!$B$51/100</f>
        <v>-52.6642458992974</v>
      </c>
      <c r="I18" s="4" t="n">
        <f aca="false">(I6-H6)*Assumptions!$B$51/100</f>
        <v>-49.7677123748359</v>
      </c>
      <c r="J18" s="4" t="n">
        <f aca="false">(J6-I6)*Assumptions!$B$51/100</f>
        <v>-46.2286750504032</v>
      </c>
      <c r="K18" s="4" t="n">
        <f aca="false">(K6-J6)*Assumptions!$B$51/100</f>
        <v>-42.0680942958668</v>
      </c>
      <c r="L18" s="4" t="n">
        <f aca="false">(L6-K6)*Assumptions!$B$51/100</f>
        <v>-37.3204093681905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3970.0963792</v>
      </c>
      <c r="D19" s="0" t="n">
        <f aca="false">D15+D16+D17+D18</f>
        <v>4368.986036828</v>
      </c>
      <c r="E19" s="0" t="n">
        <f aca="false">E15+E16+E17+E18</f>
        <v>4789.66989419881</v>
      </c>
      <c r="F19" s="0" t="n">
        <f aca="false">F15+F16+F17+F18</f>
        <v>5206.9676311372</v>
      </c>
      <c r="G19" s="0" t="n">
        <f aca="false">G15+G16+G17+G18</f>
        <v>5569.63087390351</v>
      </c>
      <c r="H19" s="0" t="n">
        <f aca="false">H15+H16+H17+H18</f>
        <v>5886.28276416447</v>
      </c>
      <c r="I19" s="0" t="n">
        <f aca="false">I15+I16+I17+I18</f>
        <v>6156.4319131418</v>
      </c>
      <c r="J19" s="0" t="n">
        <f aca="false">J15+J16+J17+J18</f>
        <v>6408.2189354869</v>
      </c>
      <c r="K19" s="0" t="n">
        <f aca="false">K15+K16+K17+K18</f>
        <v>6638.28518261024</v>
      </c>
      <c r="L19" s="0" t="n">
        <f aca="false">L15+L16+L17+L18</f>
        <v>6843.4434658451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3693.11291088372</v>
      </c>
      <c r="D21" s="0" t="n">
        <f aca="false">D19*D20</f>
        <v>3780.62610001341</v>
      </c>
      <c r="E21" s="0" t="n">
        <f aca="false">E19*E20</f>
        <v>3855.49540579728</v>
      </c>
      <c r="F21" s="0" t="n">
        <f aca="false">F19*F20</f>
        <v>3898.98012072397</v>
      </c>
      <c r="G21" s="0" t="n">
        <f aca="false">G19*G20</f>
        <v>3879.57446422121</v>
      </c>
      <c r="H21" s="0" t="n">
        <f aca="false">H19*H20</f>
        <v>3814.08471798369</v>
      </c>
      <c r="I21" s="0" t="n">
        <f aca="false">I19*I20</f>
        <v>3710.81950769035</v>
      </c>
      <c r="J21" s="0" t="n">
        <f aca="false">J19*J20</f>
        <v>3593.10266920125</v>
      </c>
      <c r="K21" s="0" t="n">
        <f aca="false">K19*K20</f>
        <v>3462.41983980627</v>
      </c>
      <c r="L21" s="0" t="n">
        <f aca="false">L19*L20</f>
        <v>3320.39721830237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37008.6129546235</v>
      </c>
    </row>
    <row r="31" customFormat="false" ht="15" hidden="false" customHeight="false" outlineLevel="0" collapsed="false">
      <c r="A31" s="0" t="s">
        <v>138</v>
      </c>
      <c r="B31" s="0" t="n">
        <f aca="false">L19</f>
        <v>6843.4434658451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140290.591049825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136868.869316902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136868.869316902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66407.9443660474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103416.557320671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79324.557320671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63.2703486174761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-0.263784633261856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901.492744958295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1529.37093885487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65.2092386398266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56116.2364199298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12.7323801907692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31.5289711399761</v>
      </c>
      <c r="C4" s="0" t="n">
        <f aca="false">B4/Assumptions!$B$2-1</f>
        <v>-0.633128099371933</v>
      </c>
      <c r="D4" s="4" t="n">
        <f aca="false">Assumptions!$B$24</f>
        <v>0.2</v>
      </c>
      <c r="E4" s="4" t="n">
        <f aca="false">DCF_Bear!$B$43</f>
        <v>33.0045746579628</v>
      </c>
      <c r="F4" s="4" t="n">
        <f aca="false">DCF_Bear!$B$47</f>
        <v>2.47778594855356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50.641881301532</v>
      </c>
      <c r="C5" s="0" t="n">
        <f aca="false">B5/Assumptions!$B$2-1</f>
        <v>-0.410729796351734</v>
      </c>
      <c r="D5" s="4" t="n">
        <f aca="false">Assumptions!$B$38</f>
        <v>0.5</v>
      </c>
      <c r="E5" s="4" t="n">
        <f aca="false">DCF_Base!$B$43</f>
        <v>52.4087333769265</v>
      </c>
      <c r="F5" s="4" t="n">
        <f aca="false">DCF_Base!$B$47</f>
        <v>8.52481385577443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63.2703486174761</v>
      </c>
      <c r="C6" s="0" t="n">
        <f aca="false">B6/Assumptions!$B$2-1</f>
        <v>-0.263784633261856</v>
      </c>
      <c r="D6" s="4" t="n">
        <f aca="false">Assumptions!$B$52</f>
        <v>0.3</v>
      </c>
      <c r="E6" s="4" t="n">
        <f aca="false">DCF_Bull!$B$43</f>
        <v>65.2092386398266</v>
      </c>
      <c r="F6" s="4" t="n">
        <f aca="false">DCF_Bull!$B$47</f>
        <v>12.7323801907692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50.607839464004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52.3680532120038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-0.698155876840519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2007.26534354968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8.57767817482868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50.641881301532</v>
      </c>
      <c r="C15" s="3" t="n">
        <v>7.5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35.0820486772856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27.6886834629099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22.0411906161348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17.5878984238439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8.52481385577443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62.4374108179657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62.4374108179657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62.4374108179657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62.4374108179657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62.4374108179657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56.2554985774461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56.2554985774461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56.2554985774461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56.2554985774461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56.2554985774461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43.8786311756955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47.4513554436436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50.641881301532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50.641881301532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50.641881301532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34.5410231722121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36.9250469232533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39.7064079661347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42.9934710168126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45.5382940237891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27.5533254632723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29.217930847861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31.1203370016767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33.3154210253102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35.8763523862159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2026-10-03T21:35:43Z</dcterms:created>
  <dc:creator>openpyxl</dc:creator>
  <dc:description/>
  <dc:language>en-NZ</dc:language>
  <cp:lastModifiedBy/>
  <dcterms:modified xsi:type="dcterms:W3CDTF">2026-10-03T21:35:43Z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