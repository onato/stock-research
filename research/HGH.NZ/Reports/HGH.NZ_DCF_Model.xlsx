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ensitivity" sheetId="2" r:id="rId2"/>
    <sheet name="Scenarios" sheetId="3" r:id="rId3"/>
    <sheet name="Bank Metrics Quality" sheetId="4" r:id="rId4"/>
    <sheet name="Historical" sheetId="5" r:id="rId5"/>
    <sheet name="Model_Info" sheetId="6" r:id="rId6"/>
  </sheets>
  <calcPr calcId="124519" fullCalcOnLoad="1"/>
</workbook>
</file>

<file path=xl/sharedStrings.xml><?xml version="1.0" encoding="utf-8"?>
<sst xmlns="http://schemas.openxmlformats.org/spreadsheetml/2006/main" count="143" uniqueCount="132">
  <si>
    <t>HGH.NZ Book-Value / ROE Valuation Model (Base Case)</t>
  </si>
  <si>
    <t>Gray cells are INPUTS - adjust to see valuation change. This is a BANK model (book value x ROE, discounted at Cost of Equity), NOT an FCF DCF.</t>
  </si>
  <si>
    <t>KEY INPUTS</t>
  </si>
  <si>
    <t>Current Stock Price</t>
  </si>
  <si>
    <t>Shares Outstanding, current (M)</t>
  </si>
  <si>
    <t>Book Value of Equity, current (M)</t>
  </si>
  <si>
    <t>Book Value per Share, current</t>
  </si>
  <si>
    <t>Implied P/B at current price</t>
  </si>
  <si>
    <t>TSB Deal: New Equity Raised FY27 (M)</t>
  </si>
  <si>
    <t>TSB Deal: New Shares Issued FY27 (M)</t>
  </si>
  <si>
    <t>Ongoing Annual Share Growth (post-FY27)</t>
  </si>
  <si>
    <t>Cost of Equity (CoE)</t>
  </si>
  <si>
    <t>Exit Price-to-Book Multiple (Year 5)</t>
  </si>
  <si>
    <t>ROE &amp; PAYOUT ASSUMPTIONS (Base Case)</t>
  </si>
  <si>
    <t>FY27</t>
  </si>
  <si>
    <t>FY28</t>
  </si>
  <si>
    <t>FY29</t>
  </si>
  <si>
    <t>FY30</t>
  </si>
  <si>
    <t>FY31</t>
  </si>
  <si>
    <t>Underlying ROE (on avg. equity)</t>
  </si>
  <si>
    <t>Dividend Payout Ratio</t>
  </si>
  <si>
    <t>PROJECTIONS</t>
  </si>
  <si>
    <t>Shares Outstanding (M)</t>
  </si>
  <si>
    <t>Beginning Equity, post-raise (M)</t>
  </si>
  <si>
    <t>Average Equity for ROE calc (M)</t>
  </si>
  <si>
    <t>Net Income (M)</t>
  </si>
  <si>
    <t>Dividends Paid (M)</t>
  </si>
  <si>
    <t>Ending Equity (M)</t>
  </si>
  <si>
    <t>Book Value per Share</t>
  </si>
  <si>
    <t>Dividends per Share</t>
  </si>
  <si>
    <t>Discount Factor (@ CoE)</t>
  </si>
  <si>
    <t>PV of Dividends per Share</t>
  </si>
  <si>
    <t>VALUATION</t>
  </si>
  <si>
    <t>Sum of PV of Dividends</t>
  </si>
  <si>
    <t>Exit Book Value per Share (Year 5)</t>
  </si>
  <si>
    <t>Exit Price per Share (Year 5, at Exit P/B)</t>
  </si>
  <si>
    <t>PV of Exit Value</t>
  </si>
  <si>
    <t>INTRINSIC VALUE / SHARE</t>
  </si>
  <si>
    <t>Upside to Intrinsic Value</t>
  </si>
  <si>
    <t>ENTRY PRICE (15% IRR Target)</t>
  </si>
  <si>
    <t>Hurdle Rate</t>
  </si>
  <si>
    <t>PV of Yrs 1-5 Dividends @ Hurdle</t>
  </si>
  <si>
    <t>PV of Exit Value @ Hurdle</t>
  </si>
  <si>
    <t>Entry Price (15% IRR)</t>
  </si>
  <si>
    <t>Discount of Entry Price to Current</t>
  </si>
  <si>
    <t>JUSTIFIED P/B CHECK</t>
  </si>
  <si>
    <t>Steady-state ROE (assumption)</t>
  </si>
  <si>
    <t>Sustainable growth g = ROE x (1-payout)</t>
  </si>
  <si>
    <t>Justified P/B = (ROE-g)/(CoE-g)</t>
  </si>
  <si>
    <t>Justified Price</t>
  </si>
  <si>
    <t>Sensitivity Analysis</t>
  </si>
  <si>
    <t>Intrinsic Value by Cost of Equity &amp; Exit P/B Multiple (Base-Case ROE/Payout/Share path)</t>
  </si>
  <si>
    <t>CoE \ Exit P/B</t>
  </si>
  <si>
    <t>Scenario Comparison</t>
  </si>
  <si>
    <t>Base</t>
  </si>
  <si>
    <t>Bull</t>
  </si>
  <si>
    <t>Bear</t>
  </si>
  <si>
    <t>Cost of Equity</t>
  </si>
  <si>
    <t>Exit P/B Multiple</t>
  </si>
  <si>
    <t>Intrinsic Value / Share</t>
  </si>
  <si>
    <t>Upside / Downside</t>
  </si>
  <si>
    <t>Year-5 ROE</t>
  </si>
  <si>
    <t>Probability-Weighted IV</t>
  </si>
  <si>
    <t>Probability-Weighted Upside</t>
  </si>
  <si>
    <t>Weights (Bull/Base/Bear)</t>
  </si>
  <si>
    <t>0.25/0.45/0.3</t>
  </si>
  <si>
    <t>Reported vs Underlying NPAT and ROE Reconciliation</t>
  </si>
  <si>
    <t>Why this model does NOT use reported Operating Cash Flow as a valuation input</t>
  </si>
  <si>
    <t>Period</t>
  </si>
  <si>
    <t>FY2021</t>
  </si>
  <si>
    <t>FY2022</t>
  </si>
  <si>
    <t>FY2023</t>
  </si>
  <si>
    <t>FY2024</t>
  </si>
  <si>
    <t>FY2025</t>
  </si>
  <si>
    <t>H1-2025</t>
  </si>
  <si>
    <t>H1-2026</t>
  </si>
  <si>
    <t>Reported NPAT (M)</t>
  </si>
  <si>
    <t>Underlying NPAT (M)</t>
  </si>
  <si>
    <t>ROE Reported (%)</t>
  </si>
  <si>
    <t>ROE Underlying (%)</t>
  </si>
  <si>
    <t>Operating Cash Flow (M)</t>
  </si>
  <si>
    <t>Memo: OCF is NOT free cash flow for a bank</t>
  </si>
  <si>
    <t>FY2024 OCF +$928.4m reflects deposit inflows outpacing loan growth that year.</t>
  </si>
  <si>
    <t>FY2021 OCF -$339.5m reflects the mirror-image (loan growth outpacing deposits).</t>
  </si>
  <si>
    <t>Neither number has any relationship to distributable value to shareholders -- this is why the model is built on ROE x book value, not FCF.</t>
  </si>
  <si>
    <t>Memo: FY2025 was a reset year, FY2024 was not "normal" either</t>
  </si>
  <si>
    <t>FY2024 reported NPAT $74.5m benefited from a period before AU-ADI integration costs and impairment cycle fully hit.</t>
  </si>
  <si>
    <t>FY2025 reported NPAT $38.8m (underlying $46.9m) reflects Motor/Business Finance impairments + AU integration costs -- a trough, not a run rate.</t>
  </si>
  <si>
    <t>1H2026 underlying NPAT $46.1m (ROE 7.3%) shows a sharp partial recovery -- treated as the START of a recovery, not yet a new steady state.</t>
  </si>
  <si>
    <t>Historical Valuation Multiples</t>
  </si>
  <si>
    <t>Fiscal Year End (30-Jun)</t>
  </si>
  <si>
    <t>June Close Price</t>
  </si>
  <si>
    <t>BVPS</t>
  </si>
  <si>
    <t>P/B</t>
  </si>
  <si>
    <t>Current (11-Aug-2026)</t>
  </si>
  <si>
    <t>Historical Growth Rates</t>
  </si>
  <si>
    <t>Metric</t>
  </si>
  <si>
    <t>3-Year CAGR</t>
  </si>
  <si>
    <t>5-Year CAGR</t>
  </si>
  <si>
    <t>Revenue</t>
  </si>
  <si>
    <t>Shareholders Equity</t>
  </si>
  <si>
    <t>NPAT</t>
  </si>
  <si>
    <t>EPS</t>
  </si>
  <si>
    <t>Growth Divergence Warning:</t>
  </si>
  <si>
    <t>SEVERE divergence and the central fact of this valuation: equity 3yr CAGR is +14.66% (capital-raise-driven) while NPAT 3yr CAGR is -25.84% and EPS 3yr CAGR is -36.52% over the SAME period (FY2022-FY2025). A rapidly growing book value is not translating into proportionate profit or per-share earnings growth -- the opposite: per-share earnings power has been destroyed by dilutive raises funding a business earning sub-cost-of-equity returns. This divergence is exactly why the equity/book-value CAGR must NOT be used as a forward earnings-growth proxy here; the model instead derives forward growth from the sustainable-growth formula on projected ROE, and 1H2026's recovery to 7.3% underlying ROE is treated as the start of a partial, not complete, recovery.</t>
  </si>
  <si>
    <t>Model Provenance &amp; Methodology Notes</t>
  </si>
  <si>
    <t>Ticker</t>
  </si>
  <si>
    <t>HGH.NZ (Heartland Group Holdings Limited)</t>
  </si>
  <si>
    <t>Model built by</t>
  </si>
  <si>
    <t>Claude agent (DCF valuation skill), per repo CLAUDE.md workflow</t>
  </si>
  <si>
    <t>Valuation date</t>
  </si>
  <si>
    <t>2026-08-11</t>
  </si>
  <si>
    <t>Share price date/source</t>
  </si>
  <si>
    <t>NZ$1.205 from Yahoo Finance HGH.NZ chart API, fetched 2026-08-11</t>
  </si>
  <si>
    <t>Data vintage</t>
  </si>
  <si>
    <t>H1-2026 (six months to 31-Dec-2025) interim result is the latest reported book value ($1,289.0m equity). FY2025 (30-Jun-2025) is the latest confirmed period-end share count (940.559m). FY2026 full-year results are due 20-Aug-2026, AFTER this model was built -- refresh after that release.</t>
  </si>
  <si>
    <t>Model type</t>
  </si>
  <si>
    <t>Book-value / ROE compounding model discounted at Cost of Equity, NOT a free-cash-flow DCF. See valuation_philosophy in the JSON for the full rationale (bank; OCF is not FCF; no net-debt bridge; deposits are not debt).</t>
  </si>
  <si>
    <t>Key transaction modelled</t>
  </si>
  <si>
    <t>TSB Bank acquisition (~NZ$620m, announced 2-Jun-2026, targeted completion Dec-2026): ~$250m new equity (~200m new shares at $1.25) is added to the share count and book value at the start of FY27 in every scenario. Guided $34m annual synergies are haircut to ~60-70% and phased in later than guidance in the base case, reflecting the precedent of Heartland's April-2024 Australian ADI acquisition, which was followed by two years of underlying ROE below 8%.</t>
  </si>
  <si>
    <t>Cost of equity build-up</t>
  </si>
  <si>
    <t>13.1% base case: NZ risk-free ~4.5% + equity risk premium ~6.0% x beta 1.1 (CAPM base 11.1%) + 1.0pp small-cap/illiquidity premium + 1.0pp dual-regulator/integration-execution premium. Bull 12.1%, Bear 14.5%.</t>
  </si>
  <si>
    <t>Central finding</t>
  </si>
  <si>
    <t>Underlying ROE (7.3% at 1H2026) sits well below the 13.1% cost of equity. Justified P/B = (ROE-g)/(CoE-g) computed at ~0.50x using a steady-state ~8.5% ROE, versus the current traded ~0.88x P/B. Base case intrinsic value NZ$1.0154 (-15.7% vs current NZ$1.205) is a DELIBERATE, honest conclusion that the market is pricing in more TSB-merger optimism than the base case assumes -- not a modelling error.</t>
  </si>
  <si>
    <t>What to refresh after FY2026 results (20-Aug-2026)</t>
  </si>
  <si>
    <t>1) Actual FY2026 reported/underlying NPAT and ROE vs the &gt;=$85m / &gt;=7% guidance floors. 2) Actual FY2026 period-end equity and share count. 3) Any update to TSB deal terms, timing, or synergy guidance. 4) Re-run the June-2026 fiscal-year-end P/B historical data point once FY2026 book value is confirmed.</t>
  </si>
  <si>
    <t>Cell colour conventions</t>
  </si>
  <si>
    <t>Gray-shaded cells (light blue-gray, #dfe6e9) on the DCF Model sheet are INPUTS -- safe to edit and the model recalculates. White cells contain FORMULAS -- do not hardcode over them. Green cells (#00b894) are headline OUTPUTS (intrinsic value, entry price).</t>
  </si>
  <si>
    <t>Known limitations</t>
  </si>
  <si>
    <t>Share count for FY2018-FY2020 is not available in the parsed Metrics.csv, so the historical P/B table starts at FY2021. TSB deal completion is modelled as a single lump-sum event at the start of FY27 for simplicity; the actual raise/completion could occur mid-year or later if regulatory/trustee approvals slip beyond the guided December-2026 timeline.</t>
  </si>
  <si>
    <t>STALE DATA WARNING</t>
  </si>
  <si>
    <t>All figures in this workbook go stale. Re-check against the latest filings and live share price before relying on this model for a live investment decision, especially after the FY2026 results (20-Aug-2026) and any TSB deal completion/condition updates.</t>
  </si>
</sst>
</file>

<file path=xl/styles.xml><?xml version="1.0" encoding="utf-8"?>
<styleSheet xmlns="http://schemas.openxmlformats.org/spreadsheetml/2006/main">
  <numFmts count="6">
    <numFmt numFmtId="164" formatCode="#,##0.0000"/>
    <numFmt numFmtId="165" formatCode="#,##0.000"/>
    <numFmt numFmtId="166" formatCode="0.00%"/>
    <numFmt numFmtId="167" formatCode="&quot;$&quot;#,##0.0000"/>
    <numFmt numFmtId="168" formatCode="0.0%"/>
    <numFmt numFmtId="169" formatCode="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630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5" fontId="0" fillId="0" borderId="2" xfId="0" applyNumberFormat="1" applyBorder="1"/>
    <xf numFmtId="166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7" fontId="4" fillId="4" borderId="2" xfId="0" applyNumberFormat="1" applyFont="1" applyFill="1" applyBorder="1"/>
    <xf numFmtId="168" fontId="0" fillId="0" borderId="2" xfId="0" applyNumberFormat="1" applyBorder="1"/>
    <xf numFmtId="167" fontId="0" fillId="0" borderId="2" xfId="0" applyNumberFormat="1" applyBorder="1"/>
    <xf numFmtId="169" fontId="4" fillId="3" borderId="0" xfId="0" applyNumberFormat="1" applyFont="1" applyFill="1"/>
    <xf numFmtId="168" fontId="4" fillId="3" borderId="0" xfId="0" applyNumberFormat="1" applyFont="1" applyFill="1"/>
    <xf numFmtId="0" fontId="0" fillId="0" borderId="0" xfId="0" applyAlignment="1">
      <alignment vertical="top" wrapText="1"/>
    </xf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workbookViewId="0"/>
  </sheetViews>
  <sheetFormatPr defaultRowHeight="15"/>
  <cols>
    <col min="1" max="1" width="30.7109375" customWidth="1"/>
    <col min="2" max="8" width="14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1.205</v>
      </c>
    </row>
    <row r="6" spans="1:2">
      <c r="A6" t="s">
        <v>4</v>
      </c>
      <c r="B6" s="4">
        <v>940.559</v>
      </c>
    </row>
    <row r="7" spans="1:2">
      <c r="A7" t="s">
        <v>5</v>
      </c>
      <c r="B7" s="4">
        <v>1289</v>
      </c>
    </row>
    <row r="8" spans="1:2">
      <c r="A8" t="s">
        <v>6</v>
      </c>
      <c r="B8" s="5">
        <f>B7/B6</f>
        <v>0</v>
      </c>
    </row>
    <row r="9" spans="1:2">
      <c r="A9" t="s">
        <v>7</v>
      </c>
      <c r="B9" s="5">
        <f>B5/B8</f>
        <v>0</v>
      </c>
    </row>
    <row r="11" spans="1:2">
      <c r="A11" t="s">
        <v>8</v>
      </c>
      <c r="B11" s="4">
        <v>250</v>
      </c>
    </row>
    <row r="12" spans="1:2">
      <c r="A12" t="s">
        <v>9</v>
      </c>
      <c r="B12" s="4">
        <v>200</v>
      </c>
    </row>
    <row r="13" spans="1:2">
      <c r="A13" t="s">
        <v>10</v>
      </c>
      <c r="B13" s="6">
        <v>0.003</v>
      </c>
    </row>
    <row r="15" spans="1:2">
      <c r="A15" t="s">
        <v>11</v>
      </c>
      <c r="B15" s="6">
        <v>0.131</v>
      </c>
    </row>
    <row r="16" spans="1:2">
      <c r="A16" t="s">
        <v>12</v>
      </c>
      <c r="B16" s="4">
        <v>0.95</v>
      </c>
    </row>
    <row r="18" spans="1:6">
      <c r="A18" s="3" t="s">
        <v>13</v>
      </c>
    </row>
    <row r="19" spans="1:6">
      <c r="A19" s="7"/>
      <c r="B19" s="7" t="s">
        <v>14</v>
      </c>
      <c r="C19" s="7" t="s">
        <v>15</v>
      </c>
      <c r="D19" s="7" t="s">
        <v>16</v>
      </c>
      <c r="E19" s="7" t="s">
        <v>17</v>
      </c>
      <c r="F19" s="7" t="s">
        <v>18</v>
      </c>
    </row>
    <row r="20" spans="1:6">
      <c r="A20" t="s">
        <v>19</v>
      </c>
      <c r="B20" s="6">
        <v>0.07000000000000001</v>
      </c>
      <c r="C20" s="6">
        <v>0.065</v>
      </c>
      <c r="D20" s="6">
        <v>0.078</v>
      </c>
      <c r="E20" s="6">
        <v>0.08500000000000001</v>
      </c>
      <c r="F20" s="6">
        <v>0.09</v>
      </c>
    </row>
    <row r="21" spans="1:6">
      <c r="A21" t="s">
        <v>20</v>
      </c>
      <c r="B21" s="6">
        <v>0.55</v>
      </c>
      <c r="C21" s="6">
        <v>0.5</v>
      </c>
      <c r="D21" s="6">
        <v>0.55</v>
      </c>
      <c r="E21" s="6">
        <v>0.55</v>
      </c>
      <c r="F21" s="6">
        <v>0.55</v>
      </c>
    </row>
    <row r="23" spans="1:6">
      <c r="A23" s="3" t="s">
        <v>21</v>
      </c>
    </row>
    <row r="24" spans="1:6">
      <c r="A24" s="7"/>
      <c r="B24" s="7" t="s">
        <v>14</v>
      </c>
      <c r="C24" s="7" t="s">
        <v>15</v>
      </c>
      <c r="D24" s="7" t="s">
        <v>16</v>
      </c>
      <c r="E24" s="7" t="s">
        <v>17</v>
      </c>
      <c r="F24" s="7" t="s">
        <v>18</v>
      </c>
    </row>
    <row r="25" spans="1:6">
      <c r="A25" t="s">
        <v>22</v>
      </c>
      <c r="B25" s="5">
        <f>B6+B12</f>
        <v>0</v>
      </c>
      <c r="C25" s="5">
        <f>B25*(1+$B$13)</f>
        <v>0</v>
      </c>
      <c r="D25" s="5">
        <f>C25*(1+$B$13)</f>
        <v>0</v>
      </c>
      <c r="E25" s="5">
        <f>D25*(1+$B$13)</f>
        <v>0</v>
      </c>
      <c r="F25" s="5">
        <f>E25*(1+$B$13)</f>
        <v>0</v>
      </c>
    </row>
    <row r="26" spans="1:6">
      <c r="A26" t="s">
        <v>23</v>
      </c>
      <c r="B26" s="5">
        <f>B7+B11</f>
        <v>0</v>
      </c>
      <c r="C26" s="5">
        <f>B30</f>
        <v>0</v>
      </c>
      <c r="D26" s="5">
        <f>C30</f>
        <v>0</v>
      </c>
      <c r="E26" s="5">
        <f>D30</f>
        <v>0</v>
      </c>
      <c r="F26" s="5">
        <f>E30</f>
        <v>0</v>
      </c>
    </row>
    <row r="27" spans="1:6">
      <c r="A27" t="s">
        <v>24</v>
      </c>
      <c r="B27" s="5">
        <f>(B7+B26)/2</f>
        <v>0</v>
      </c>
      <c r="C27" s="5">
        <f>(B30+C26)/2</f>
        <v>0</v>
      </c>
      <c r="D27" s="5">
        <f>(C30+D26)/2</f>
        <v>0</v>
      </c>
      <c r="E27" s="5">
        <f>(D30+E26)/2</f>
        <v>0</v>
      </c>
      <c r="F27" s="5">
        <f>(E30+F26)/2</f>
        <v>0</v>
      </c>
    </row>
    <row r="28" spans="1:6">
      <c r="A28" t="s">
        <v>25</v>
      </c>
      <c r="B28" s="5">
        <f>B27*B20</f>
        <v>0</v>
      </c>
      <c r="C28" s="5">
        <f>C27*C20</f>
        <v>0</v>
      </c>
      <c r="D28" s="5">
        <f>D27*D20</f>
        <v>0</v>
      </c>
      <c r="E28" s="5">
        <f>E27*E20</f>
        <v>0</v>
      </c>
      <c r="F28" s="5">
        <f>F27*F20</f>
        <v>0</v>
      </c>
    </row>
    <row r="29" spans="1:6">
      <c r="A29" t="s">
        <v>26</v>
      </c>
      <c r="B29" s="5">
        <f>B28*B21</f>
        <v>0</v>
      </c>
      <c r="C29" s="5">
        <f>C28*C21</f>
        <v>0</v>
      </c>
      <c r="D29" s="5">
        <f>D28*D21</f>
        <v>0</v>
      </c>
      <c r="E29" s="5">
        <f>E28*E21</f>
        <v>0</v>
      </c>
      <c r="F29" s="5">
        <f>F28*F21</f>
        <v>0</v>
      </c>
    </row>
    <row r="30" spans="1:6">
      <c r="A30" t="s">
        <v>27</v>
      </c>
      <c r="B30" s="5">
        <f>B26+B28-B29</f>
        <v>0</v>
      </c>
      <c r="C30" s="5">
        <f>C26+C28-C29</f>
        <v>0</v>
      </c>
      <c r="D30" s="5">
        <f>D26+D28-D29</f>
        <v>0</v>
      </c>
      <c r="E30" s="5">
        <f>E26+E28-E29</f>
        <v>0</v>
      </c>
      <c r="F30" s="5">
        <f>F26+F28-F29</f>
        <v>0</v>
      </c>
    </row>
    <row r="31" spans="1:6">
      <c r="A31" t="s">
        <v>28</v>
      </c>
      <c r="B31" s="5">
        <f>B30/B25</f>
        <v>0</v>
      </c>
      <c r="C31" s="5">
        <f>C30/C25</f>
        <v>0</v>
      </c>
      <c r="D31" s="5">
        <f>D30/D25</f>
        <v>0</v>
      </c>
      <c r="E31" s="5">
        <f>E30/E25</f>
        <v>0</v>
      </c>
      <c r="F31" s="5">
        <f>F30/F25</f>
        <v>0</v>
      </c>
    </row>
    <row r="32" spans="1:6">
      <c r="A32" t="s">
        <v>29</v>
      </c>
      <c r="B32" s="5">
        <f>B29/B25</f>
        <v>0</v>
      </c>
      <c r="C32" s="5">
        <f>C29/C25</f>
        <v>0</v>
      </c>
      <c r="D32" s="5">
        <f>D29/D25</f>
        <v>0</v>
      </c>
      <c r="E32" s="5">
        <f>E29/E25</f>
        <v>0</v>
      </c>
      <c r="F32" s="5">
        <f>F29/F25</f>
        <v>0</v>
      </c>
    </row>
    <row r="33" spans="1:6">
      <c r="A33" t="s">
        <v>30</v>
      </c>
      <c r="B33" s="5">
        <f>1/(1+$B$15)^1</f>
        <v>0</v>
      </c>
      <c r="C33" s="5">
        <f>1/(1+$B$15)^2</f>
        <v>0</v>
      </c>
      <c r="D33" s="5">
        <f>1/(1+$B$15)^3</f>
        <v>0</v>
      </c>
      <c r="E33" s="5">
        <f>1/(1+$B$15)^4</f>
        <v>0</v>
      </c>
      <c r="F33" s="5">
        <f>1/(1+$B$15)^5</f>
        <v>0</v>
      </c>
    </row>
    <row r="34" spans="1:6">
      <c r="A34" t="s">
        <v>31</v>
      </c>
      <c r="B34" s="5">
        <f>B32*B33</f>
        <v>0</v>
      </c>
      <c r="C34" s="5">
        <f>C32*C33</f>
        <v>0</v>
      </c>
      <c r="D34" s="5">
        <f>D32*D33</f>
        <v>0</v>
      </c>
      <c r="E34" s="5">
        <f>E32*E33</f>
        <v>0</v>
      </c>
      <c r="F34" s="5">
        <f>F32*F33</f>
        <v>0</v>
      </c>
    </row>
    <row r="36" spans="1:6">
      <c r="A36" s="3" t="s">
        <v>32</v>
      </c>
    </row>
    <row r="37" spans="1:6">
      <c r="A37" t="s">
        <v>33</v>
      </c>
      <c r="B37" s="5">
        <f>SUM(B34:F34)</f>
        <v>0</v>
      </c>
    </row>
    <row r="38" spans="1:6">
      <c r="A38" t="s">
        <v>34</v>
      </c>
      <c r="B38" s="5">
        <f>F31</f>
        <v>0</v>
      </c>
    </row>
    <row r="39" spans="1:6">
      <c r="A39" t="s">
        <v>35</v>
      </c>
      <c r="B39" s="5">
        <f>B38*B16</f>
        <v>0</v>
      </c>
    </row>
    <row r="40" spans="1:6">
      <c r="A40" t="s">
        <v>36</v>
      </c>
      <c r="B40" s="5">
        <f>B39*F33</f>
        <v>0</v>
      </c>
    </row>
    <row r="41" spans="1:6">
      <c r="A41" s="8" t="s">
        <v>37</v>
      </c>
      <c r="B41" s="9">
        <f>B37+B40</f>
        <v>0</v>
      </c>
    </row>
    <row r="43" spans="1:6">
      <c r="A43" t="s">
        <v>38</v>
      </c>
      <c r="B43" s="10">
        <f>(B41-B5)/B5</f>
        <v>0</v>
      </c>
    </row>
    <row r="45" spans="1:6">
      <c r="A45" s="3" t="s">
        <v>39</v>
      </c>
    </row>
    <row r="46" spans="1:6">
      <c r="A46" t="s">
        <v>40</v>
      </c>
      <c r="B46" s="6">
        <v>0.15</v>
      </c>
    </row>
    <row r="47" spans="1:6">
      <c r="A47" t="s">
        <v>41</v>
      </c>
      <c r="B47" s="5">
        <f>NPV(B46,B32:F32)</f>
        <v>0</v>
      </c>
    </row>
    <row r="48" spans="1:6">
      <c r="A48" t="s">
        <v>42</v>
      </c>
      <c r="B48" s="5">
        <f>B39/(1+B46)^5</f>
        <v>0</v>
      </c>
    </row>
    <row r="49" spans="1:2">
      <c r="A49" s="8" t="s">
        <v>43</v>
      </c>
      <c r="B49" s="9">
        <f>B47+B48</f>
        <v>0</v>
      </c>
    </row>
    <row r="50" spans="1:2">
      <c r="A50" t="s">
        <v>44</v>
      </c>
      <c r="B50" s="10">
        <f>(B49-B5)/B5</f>
        <v>0</v>
      </c>
    </row>
    <row r="52" spans="1:2">
      <c r="A52" s="3" t="s">
        <v>45</v>
      </c>
    </row>
    <row r="53" spans="1:2">
      <c r="A53" t="s">
        <v>46</v>
      </c>
      <c r="B53" s="6">
        <v>0.08500000000000001</v>
      </c>
    </row>
    <row r="54" spans="1:2">
      <c r="A54" t="s">
        <v>47</v>
      </c>
      <c r="B54" s="10">
        <f>B53*(1-0.55)</f>
        <v>0</v>
      </c>
    </row>
    <row r="55" spans="1:2">
      <c r="A55" t="s">
        <v>48</v>
      </c>
      <c r="B55" s="5">
        <f>(B53-B54)/(B15-B54)</f>
        <v>0</v>
      </c>
    </row>
    <row r="56" spans="1:2">
      <c r="A56" t="s">
        <v>49</v>
      </c>
      <c r="B56" s="11">
        <f>B55*B8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0.7109375" customWidth="1"/>
    <col min="2" max="7" width="12.7109375" customWidth="1"/>
  </cols>
  <sheetData>
    <row r="1" spans="1:6">
      <c r="A1" s="1" t="s">
        <v>50</v>
      </c>
    </row>
    <row r="2" spans="1:6">
      <c r="A2" t="s">
        <v>51</v>
      </c>
    </row>
    <row r="4" spans="1:6">
      <c r="A4" s="7" t="s">
        <v>52</v>
      </c>
      <c r="B4" s="12">
        <v>0.65</v>
      </c>
      <c r="C4" s="12">
        <v>0.8</v>
      </c>
      <c r="D4" s="12">
        <v>0.95</v>
      </c>
      <c r="E4" s="12">
        <v>1.1</v>
      </c>
      <c r="F4" s="12">
        <v>1.25</v>
      </c>
    </row>
    <row r="5" spans="1:6">
      <c r="A5" s="13">
        <v>0.111</v>
      </c>
      <c r="B5" s="11">
        <f>'DCF Model'!$B$32/(1+0.111)^1+'DCF Model'!$C$32/(1+0.111)^2+'DCF Model'!$D$32/(1+0.111)^3+'DCF Model'!$E$32/(1+0.111)^4+'DCF Model'!$F$32/(1+0.111)^5+'DCF Model'!$B$38*0.65/(1+0.111)^5</f>
        <v>0</v>
      </c>
      <c r="C5" s="11">
        <f>'DCF Model'!$B$32/(1+0.111)^1+'DCF Model'!$C$32/(1+0.111)^2+'DCF Model'!$D$32/(1+0.111)^3+'DCF Model'!$E$32/(1+0.111)^4+'DCF Model'!$F$32/(1+0.111)^5+'DCF Model'!$B$38*0.8/(1+0.111)^5</f>
        <v>0</v>
      </c>
      <c r="D5" s="11">
        <f>'DCF Model'!$B$32/(1+0.111)^1+'DCF Model'!$C$32/(1+0.111)^2+'DCF Model'!$D$32/(1+0.111)^3+'DCF Model'!$E$32/(1+0.111)^4+'DCF Model'!$F$32/(1+0.111)^5+'DCF Model'!$B$38*0.95/(1+0.111)^5</f>
        <v>0</v>
      </c>
      <c r="E5" s="11">
        <f>'DCF Model'!$B$32/(1+0.111)^1+'DCF Model'!$C$32/(1+0.111)^2+'DCF Model'!$D$32/(1+0.111)^3+'DCF Model'!$E$32/(1+0.111)^4+'DCF Model'!$F$32/(1+0.111)^5+'DCF Model'!$B$38*1.1/(1+0.111)^5</f>
        <v>0</v>
      </c>
      <c r="F5" s="11">
        <f>'DCF Model'!$B$32/(1+0.111)^1+'DCF Model'!$C$32/(1+0.111)^2+'DCF Model'!$D$32/(1+0.111)^3+'DCF Model'!$E$32/(1+0.111)^4+'DCF Model'!$F$32/(1+0.111)^5+'DCF Model'!$B$38*1.25/(1+0.111)^5</f>
        <v>0</v>
      </c>
    </row>
    <row r="6" spans="1:6">
      <c r="A6" s="13">
        <v>0.121</v>
      </c>
      <c r="B6" s="11">
        <f>'DCF Model'!$B$32/(1+0.121)^1+'DCF Model'!$C$32/(1+0.121)^2+'DCF Model'!$D$32/(1+0.121)^3+'DCF Model'!$E$32/(1+0.121)^4+'DCF Model'!$F$32/(1+0.121)^5+'DCF Model'!$B$38*0.65/(1+0.121)^5</f>
        <v>0</v>
      </c>
      <c r="C6" s="11">
        <f>'DCF Model'!$B$32/(1+0.121)^1+'DCF Model'!$C$32/(1+0.121)^2+'DCF Model'!$D$32/(1+0.121)^3+'DCF Model'!$E$32/(1+0.121)^4+'DCF Model'!$F$32/(1+0.121)^5+'DCF Model'!$B$38*0.8/(1+0.121)^5</f>
        <v>0</v>
      </c>
      <c r="D6" s="11">
        <f>'DCF Model'!$B$32/(1+0.121)^1+'DCF Model'!$C$32/(1+0.121)^2+'DCF Model'!$D$32/(1+0.121)^3+'DCF Model'!$E$32/(1+0.121)^4+'DCF Model'!$F$32/(1+0.121)^5+'DCF Model'!$B$38*0.95/(1+0.121)^5</f>
        <v>0</v>
      </c>
      <c r="E6" s="11">
        <f>'DCF Model'!$B$32/(1+0.121)^1+'DCF Model'!$C$32/(1+0.121)^2+'DCF Model'!$D$32/(1+0.121)^3+'DCF Model'!$E$32/(1+0.121)^4+'DCF Model'!$F$32/(1+0.121)^5+'DCF Model'!$B$38*1.1/(1+0.121)^5</f>
        <v>0</v>
      </c>
      <c r="F6" s="11">
        <f>'DCF Model'!$B$32/(1+0.121)^1+'DCF Model'!$C$32/(1+0.121)^2+'DCF Model'!$D$32/(1+0.121)^3+'DCF Model'!$E$32/(1+0.121)^4+'DCF Model'!$F$32/(1+0.121)^5+'DCF Model'!$B$38*1.25/(1+0.121)^5</f>
        <v>0</v>
      </c>
    </row>
    <row r="7" spans="1:6">
      <c r="A7" s="13">
        <v>0.131</v>
      </c>
      <c r="B7" s="11">
        <f>'DCF Model'!$B$32/(1+0.131)^1+'DCF Model'!$C$32/(1+0.131)^2+'DCF Model'!$D$32/(1+0.131)^3+'DCF Model'!$E$32/(1+0.131)^4+'DCF Model'!$F$32/(1+0.131)^5+'DCF Model'!$B$38*0.65/(1+0.131)^5</f>
        <v>0</v>
      </c>
      <c r="C7" s="11">
        <f>'DCF Model'!$B$32/(1+0.131)^1+'DCF Model'!$C$32/(1+0.131)^2+'DCF Model'!$D$32/(1+0.131)^3+'DCF Model'!$E$32/(1+0.131)^4+'DCF Model'!$F$32/(1+0.131)^5+'DCF Model'!$B$38*0.8/(1+0.131)^5</f>
        <v>0</v>
      </c>
      <c r="D7" s="11">
        <f>'DCF Model'!$B$32/(1+0.131)^1+'DCF Model'!$C$32/(1+0.131)^2+'DCF Model'!$D$32/(1+0.131)^3+'DCF Model'!$E$32/(1+0.131)^4+'DCF Model'!$F$32/(1+0.131)^5+'DCF Model'!$B$38*0.95/(1+0.131)^5</f>
        <v>0</v>
      </c>
      <c r="E7" s="11">
        <f>'DCF Model'!$B$32/(1+0.131)^1+'DCF Model'!$C$32/(1+0.131)^2+'DCF Model'!$D$32/(1+0.131)^3+'DCF Model'!$E$32/(1+0.131)^4+'DCF Model'!$F$32/(1+0.131)^5+'DCF Model'!$B$38*1.1/(1+0.131)^5</f>
        <v>0</v>
      </c>
      <c r="F7" s="11">
        <f>'DCF Model'!$B$32/(1+0.131)^1+'DCF Model'!$C$32/(1+0.131)^2+'DCF Model'!$D$32/(1+0.131)^3+'DCF Model'!$E$32/(1+0.131)^4+'DCF Model'!$F$32/(1+0.131)^5+'DCF Model'!$B$38*1.25/(1+0.131)^5</f>
        <v>0</v>
      </c>
    </row>
    <row r="8" spans="1:6">
      <c r="A8" s="13">
        <v>0.141</v>
      </c>
      <c r="B8" s="11">
        <f>'DCF Model'!$B$32/(1+0.141)^1+'DCF Model'!$C$32/(1+0.141)^2+'DCF Model'!$D$32/(1+0.141)^3+'DCF Model'!$E$32/(1+0.141)^4+'DCF Model'!$F$32/(1+0.141)^5+'DCF Model'!$B$38*0.65/(1+0.141)^5</f>
        <v>0</v>
      </c>
      <c r="C8" s="11">
        <f>'DCF Model'!$B$32/(1+0.141)^1+'DCF Model'!$C$32/(1+0.141)^2+'DCF Model'!$D$32/(1+0.141)^3+'DCF Model'!$E$32/(1+0.141)^4+'DCF Model'!$F$32/(1+0.141)^5+'DCF Model'!$B$38*0.8/(1+0.141)^5</f>
        <v>0</v>
      </c>
      <c r="D8" s="11">
        <f>'DCF Model'!$B$32/(1+0.141)^1+'DCF Model'!$C$32/(1+0.141)^2+'DCF Model'!$D$32/(1+0.141)^3+'DCF Model'!$E$32/(1+0.141)^4+'DCF Model'!$F$32/(1+0.141)^5+'DCF Model'!$B$38*0.95/(1+0.141)^5</f>
        <v>0</v>
      </c>
      <c r="E8" s="11">
        <f>'DCF Model'!$B$32/(1+0.141)^1+'DCF Model'!$C$32/(1+0.141)^2+'DCF Model'!$D$32/(1+0.141)^3+'DCF Model'!$E$32/(1+0.141)^4+'DCF Model'!$F$32/(1+0.141)^5+'DCF Model'!$B$38*1.1/(1+0.141)^5</f>
        <v>0</v>
      </c>
      <c r="F8" s="11">
        <f>'DCF Model'!$B$32/(1+0.141)^1+'DCF Model'!$C$32/(1+0.141)^2+'DCF Model'!$D$32/(1+0.141)^3+'DCF Model'!$E$32/(1+0.141)^4+'DCF Model'!$F$32/(1+0.141)^5+'DCF Model'!$B$38*1.25/(1+0.141)^5</f>
        <v>0</v>
      </c>
    </row>
    <row r="9" spans="1:6">
      <c r="A9" s="13">
        <v>0.151</v>
      </c>
      <c r="B9" s="11">
        <f>'DCF Model'!$B$32/(1+0.151)^1+'DCF Model'!$C$32/(1+0.151)^2+'DCF Model'!$D$32/(1+0.151)^3+'DCF Model'!$E$32/(1+0.151)^4+'DCF Model'!$F$32/(1+0.151)^5+'DCF Model'!$B$38*0.65/(1+0.151)^5</f>
        <v>0</v>
      </c>
      <c r="C9" s="11">
        <f>'DCF Model'!$B$32/(1+0.151)^1+'DCF Model'!$C$32/(1+0.151)^2+'DCF Model'!$D$32/(1+0.151)^3+'DCF Model'!$E$32/(1+0.151)^4+'DCF Model'!$F$32/(1+0.151)^5+'DCF Model'!$B$38*0.8/(1+0.151)^5</f>
        <v>0</v>
      </c>
      <c r="D9" s="11">
        <f>'DCF Model'!$B$32/(1+0.151)^1+'DCF Model'!$C$32/(1+0.151)^2+'DCF Model'!$D$32/(1+0.151)^3+'DCF Model'!$E$32/(1+0.151)^4+'DCF Model'!$F$32/(1+0.151)^5+'DCF Model'!$B$38*0.95/(1+0.151)^5</f>
        <v>0</v>
      </c>
      <c r="E9" s="11">
        <f>'DCF Model'!$B$32/(1+0.151)^1+'DCF Model'!$C$32/(1+0.151)^2+'DCF Model'!$D$32/(1+0.151)^3+'DCF Model'!$E$32/(1+0.151)^4+'DCF Model'!$F$32/(1+0.151)^5+'DCF Model'!$B$38*1.1/(1+0.151)^5</f>
        <v>0</v>
      </c>
      <c r="F9" s="11">
        <f>'DCF Model'!$B$32/(1+0.151)^1+'DCF Model'!$C$32/(1+0.151)^2+'DCF Model'!$D$32/(1+0.151)^3+'DCF Model'!$E$32/(1+0.151)^4+'DCF Model'!$F$32/(1+0.151)^5+'DCF Model'!$B$38*1.25/(1+0.151)^5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8.7109375" customWidth="1"/>
    <col min="2" max="4" width="16.7109375" customWidth="1"/>
  </cols>
  <sheetData>
    <row r="1" spans="1:4">
      <c r="A1" s="1" t="s">
        <v>53</v>
      </c>
    </row>
    <row r="3" spans="1:4">
      <c r="A3" s="7"/>
      <c r="B3" s="7" t="s">
        <v>54</v>
      </c>
      <c r="C3" s="7" t="s">
        <v>55</v>
      </c>
      <c r="D3" s="7" t="s">
        <v>56</v>
      </c>
    </row>
    <row r="4" spans="1:4">
      <c r="A4" t="s">
        <v>57</v>
      </c>
      <c r="B4" s="10">
        <v>0.131</v>
      </c>
      <c r="C4" s="10">
        <v>0.121</v>
      </c>
      <c r="D4" s="10">
        <v>0.145</v>
      </c>
    </row>
    <row r="5" spans="1:4">
      <c r="A5" t="s">
        <v>58</v>
      </c>
      <c r="B5" s="5">
        <v>0.95</v>
      </c>
      <c r="C5" s="5">
        <v>1.1</v>
      </c>
      <c r="D5" s="5">
        <v>0.7</v>
      </c>
    </row>
    <row r="6" spans="1:4">
      <c r="A6" t="s">
        <v>59</v>
      </c>
      <c r="B6" s="11">
        <v>1.0154</v>
      </c>
      <c r="C6" s="11">
        <v>1.2929</v>
      </c>
      <c r="D6" s="11">
        <v>0.6636</v>
      </c>
    </row>
    <row r="7" spans="1:4">
      <c r="A7" t="s">
        <v>60</v>
      </c>
      <c r="B7" s="10">
        <v>-0.157</v>
      </c>
      <c r="C7" s="10">
        <v>0.073</v>
      </c>
      <c r="D7" s="10">
        <v>-0.449</v>
      </c>
    </row>
    <row r="8" spans="1:4">
      <c r="A8" t="s">
        <v>61</v>
      </c>
      <c r="B8" s="10">
        <v>0.09</v>
      </c>
      <c r="C8" s="10">
        <v>0.11</v>
      </c>
      <c r="D8" s="10">
        <v>0.065</v>
      </c>
    </row>
    <row r="10" spans="1:4">
      <c r="A10" s="8" t="s">
        <v>62</v>
      </c>
      <c r="B10" s="11">
        <v>0.9792</v>
      </c>
    </row>
    <row r="11" spans="1:4">
      <c r="A11" s="8" t="s">
        <v>63</v>
      </c>
      <c r="B11" s="10">
        <v>-0.187</v>
      </c>
    </row>
    <row r="12" spans="1:4">
      <c r="A12" t="s">
        <v>64</v>
      </c>
      <c r="B12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cols>
    <col min="1" max="1" width="22.7109375" customWidth="1"/>
    <col min="2" max="8" width="12.7109375" customWidth="1"/>
  </cols>
  <sheetData>
    <row r="1" spans="1:8">
      <c r="A1" s="1" t="s">
        <v>66</v>
      </c>
    </row>
    <row r="2" spans="1:8">
      <c r="A2" s="2" t="s">
        <v>67</v>
      </c>
    </row>
    <row r="4" spans="1:8">
      <c r="A4" s="7" t="s">
        <v>68</v>
      </c>
      <c r="B4" s="7" t="s">
        <v>69</v>
      </c>
      <c r="C4" s="7" t="s">
        <v>70</v>
      </c>
      <c r="D4" s="7" t="s">
        <v>71</v>
      </c>
      <c r="E4" s="7" t="s">
        <v>72</v>
      </c>
      <c r="F4" s="7" t="s">
        <v>73</v>
      </c>
      <c r="G4" s="7" t="s">
        <v>74</v>
      </c>
      <c r="H4" s="7" t="s">
        <v>75</v>
      </c>
    </row>
    <row r="5" spans="1:8">
      <c r="A5" s="5" t="s">
        <v>76</v>
      </c>
      <c r="B5" s="5">
        <v>87.026</v>
      </c>
      <c r="C5" s="5">
        <v>95.125</v>
      </c>
      <c r="D5" s="5">
        <v>95.86799999999999</v>
      </c>
      <c r="E5" s="5">
        <v>74.54900000000001</v>
      </c>
      <c r="F5" s="5">
        <v>38.8</v>
      </c>
      <c r="G5" s="5">
        <v>3.612</v>
      </c>
      <c r="H5" s="5">
        <v>48.8</v>
      </c>
    </row>
    <row r="6" spans="1:8">
      <c r="A6" s="5" t="s">
        <v>77</v>
      </c>
      <c r="B6" s="5"/>
      <c r="C6" s="5"/>
      <c r="D6" s="5"/>
      <c r="E6" s="5">
        <v>102.7</v>
      </c>
      <c r="F6" s="5">
        <v>46.9</v>
      </c>
      <c r="G6" s="5">
        <v>10.7</v>
      </c>
      <c r="H6" s="5">
        <v>46.1</v>
      </c>
    </row>
    <row r="7" spans="1:8">
      <c r="A7" s="10" t="s">
        <v>78</v>
      </c>
      <c r="B7" s="10"/>
      <c r="C7" s="10"/>
      <c r="D7" s="10"/>
      <c r="E7" s="10">
        <v>0.066</v>
      </c>
      <c r="F7" s="10">
        <v>0.032</v>
      </c>
      <c r="G7" s="10">
        <v>0.006</v>
      </c>
      <c r="H7" s="10">
        <v>0.077</v>
      </c>
    </row>
    <row r="8" spans="1:8">
      <c r="A8" s="10" t="s">
        <v>79</v>
      </c>
      <c r="B8" s="10"/>
      <c r="C8" s="10"/>
      <c r="D8" s="10"/>
      <c r="E8" s="10">
        <v>0.098</v>
      </c>
      <c r="F8" s="10">
        <v>0.042</v>
      </c>
      <c r="G8" s="10">
        <v>0.019</v>
      </c>
      <c r="H8" s="10">
        <v>0.073</v>
      </c>
    </row>
    <row r="9" spans="1:8">
      <c r="A9" s="5" t="s">
        <v>80</v>
      </c>
      <c r="B9" s="5">
        <v>-339.478</v>
      </c>
      <c r="C9" s="5">
        <v>-262.314</v>
      </c>
      <c r="D9" s="5">
        <v>42.689</v>
      </c>
      <c r="E9" s="5">
        <v>928.353</v>
      </c>
      <c r="F9" s="5"/>
      <c r="G9" s="5">
        <v>236.579</v>
      </c>
      <c r="H9" s="5"/>
    </row>
    <row r="11" spans="1:8">
      <c r="A11" s="8" t="s">
        <v>81</v>
      </c>
    </row>
    <row r="12" spans="1:8" ht="30" customHeight="1">
      <c r="A12" s="14" t="s">
        <v>82</v>
      </c>
    </row>
    <row r="13" spans="1:8" ht="30" customHeight="1">
      <c r="A13" s="14" t="s">
        <v>83</v>
      </c>
    </row>
    <row r="14" spans="1:8" ht="45" customHeight="1">
      <c r="A14" s="14" t="s">
        <v>84</v>
      </c>
    </row>
    <row r="16" spans="1:8">
      <c r="A16" s="8" t="s">
        <v>85</v>
      </c>
    </row>
    <row r="17" spans="1:1" ht="30" customHeight="1">
      <c r="A17" s="14" t="s">
        <v>86</v>
      </c>
    </row>
    <row r="18" spans="1:1" ht="45" customHeight="1">
      <c r="A18" s="14" t="s">
        <v>87</v>
      </c>
    </row>
    <row r="19" spans="1:1" ht="45" customHeight="1">
      <c r="A19" s="14" t="s">
        <v>88</v>
      </c>
    </row>
    <row r="20" spans="1:1" ht="4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20.7109375" customWidth="1"/>
    <col min="2" max="5" width="14.7109375" customWidth="1"/>
  </cols>
  <sheetData>
    <row r="1" spans="1:4">
      <c r="A1" s="1" t="s">
        <v>89</v>
      </c>
    </row>
    <row r="3" spans="1:4">
      <c r="A3" s="7" t="s">
        <v>90</v>
      </c>
      <c r="B3" s="7" t="s">
        <v>91</v>
      </c>
      <c r="C3" s="7" t="s">
        <v>92</v>
      </c>
      <c r="D3" s="7" t="s">
        <v>93</v>
      </c>
    </row>
    <row r="4" spans="1:4">
      <c r="A4" t="s">
        <v>69</v>
      </c>
      <c r="B4" s="11">
        <v>2.05</v>
      </c>
      <c r="C4" s="11">
        <v>1.3</v>
      </c>
      <c r="D4" s="5">
        <v>1.58</v>
      </c>
    </row>
    <row r="5" spans="1:4">
      <c r="A5" t="s">
        <v>70</v>
      </c>
      <c r="B5" s="11">
        <v>2.08</v>
      </c>
      <c r="C5" s="11">
        <v>1.371</v>
      </c>
      <c r="D5" s="5">
        <v>1.52</v>
      </c>
    </row>
    <row r="6" spans="1:4">
      <c r="A6" t="s">
        <v>71</v>
      </c>
      <c r="B6" s="11">
        <v>1.8</v>
      </c>
      <c r="C6" s="11">
        <v>1.453</v>
      </c>
      <c r="D6" s="5">
        <v>1.24</v>
      </c>
    </row>
    <row r="7" spans="1:4">
      <c r="A7" t="s">
        <v>72</v>
      </c>
      <c r="B7" s="11">
        <v>1.07</v>
      </c>
      <c r="C7" s="11">
        <v>1.33</v>
      </c>
      <c r="D7" s="5">
        <v>0.8</v>
      </c>
    </row>
    <row r="8" spans="1:4">
      <c r="A8" t="s">
        <v>73</v>
      </c>
      <c r="B8" s="11">
        <v>0.8100000000000001</v>
      </c>
      <c r="C8" s="11">
        <v>1.296</v>
      </c>
      <c r="D8" s="5">
        <v>0.62</v>
      </c>
    </row>
    <row r="10" spans="1:4">
      <c r="A10" s="8" t="s">
        <v>94</v>
      </c>
      <c r="B10" s="11">
        <v>1.205</v>
      </c>
      <c r="C10" s="11">
        <v>1.3705</v>
      </c>
      <c r="D10" s="5">
        <v>0.879</v>
      </c>
    </row>
    <row r="15" spans="1:4">
      <c r="A15" s="3" t="s">
        <v>95</v>
      </c>
    </row>
    <row r="16" spans="1:4">
      <c r="A16" s="7" t="s">
        <v>96</v>
      </c>
      <c r="B16" s="7" t="s">
        <v>97</v>
      </c>
      <c r="C16" s="7" t="s">
        <v>98</v>
      </c>
    </row>
    <row r="18" spans="1:5">
      <c r="A18" t="s">
        <v>99</v>
      </c>
      <c r="B18" s="10">
        <v>0.0479</v>
      </c>
      <c r="C18" s="10">
        <v>0.0672</v>
      </c>
    </row>
    <row r="19" spans="1:5">
      <c r="A19" t="s">
        <v>100</v>
      </c>
      <c r="B19" s="10">
        <v>0.1466</v>
      </c>
      <c r="C19" s="10">
        <v>0.1173</v>
      </c>
    </row>
    <row r="20" spans="1:5">
      <c r="A20" t="s">
        <v>101</v>
      </c>
      <c r="B20" s="10">
        <v>-0.2584</v>
      </c>
      <c r="C20" s="10">
        <v>-0.1162</v>
      </c>
    </row>
    <row r="21" spans="1:5">
      <c r="A21" t="s">
        <v>102</v>
      </c>
      <c r="B21" s="10">
        <v>-0.3652</v>
      </c>
    </row>
    <row r="22" spans="1:5">
      <c r="A22" s="8" t="s">
        <v>103</v>
      </c>
    </row>
    <row r="23" spans="1:5" ht="90" customHeight="1">
      <c r="A23" s="14" t="s">
        <v>104</v>
      </c>
      <c r="B23" s="14"/>
      <c r="C23" s="14"/>
      <c r="D23" s="14"/>
      <c r="E23" s="14"/>
    </row>
  </sheetData>
  <mergeCells count="1">
    <mergeCell ref="A23:E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105</v>
      </c>
    </row>
    <row r="4" spans="1:2" ht="45" customHeight="1">
      <c r="A4" s="8" t="s">
        <v>106</v>
      </c>
      <c r="B4" s="14" t="s">
        <v>107</v>
      </c>
    </row>
    <row r="5" spans="1:2" ht="45" customHeight="1">
      <c r="A5" s="8" t="s">
        <v>108</v>
      </c>
      <c r="B5" s="14" t="s">
        <v>109</v>
      </c>
    </row>
    <row r="6" spans="1:2" ht="45" customHeight="1">
      <c r="A6" s="8" t="s">
        <v>110</v>
      </c>
      <c r="B6" s="14" t="s">
        <v>111</v>
      </c>
    </row>
    <row r="7" spans="1:2" ht="45" customHeight="1">
      <c r="A7" s="8" t="s">
        <v>112</v>
      </c>
      <c r="B7" s="14" t="s">
        <v>113</v>
      </c>
    </row>
    <row r="8" spans="1:2" ht="45" customHeight="1">
      <c r="A8" s="8" t="s">
        <v>114</v>
      </c>
      <c r="B8" s="14" t="s">
        <v>115</v>
      </c>
    </row>
    <row r="9" spans="1:2" ht="45" customHeight="1">
      <c r="A9" s="8" t="s">
        <v>116</v>
      </c>
      <c r="B9" s="14" t="s">
        <v>117</v>
      </c>
    </row>
    <row r="10" spans="1:2" ht="45" customHeight="1">
      <c r="A10" s="8" t="s">
        <v>118</v>
      </c>
      <c r="B10" s="14" t="s">
        <v>119</v>
      </c>
    </row>
    <row r="11" spans="1:2" ht="45" customHeight="1">
      <c r="A11" s="8" t="s">
        <v>120</v>
      </c>
      <c r="B11" s="14" t="s">
        <v>121</v>
      </c>
    </row>
    <row r="12" spans="1:2" ht="45" customHeight="1">
      <c r="A12" s="8" t="s">
        <v>122</v>
      </c>
      <c r="B12" s="14" t="s">
        <v>123</v>
      </c>
    </row>
    <row r="13" spans="1:2" ht="45" customHeight="1">
      <c r="A13" s="8" t="s">
        <v>124</v>
      </c>
      <c r="B13" s="14" t="s">
        <v>125</v>
      </c>
    </row>
    <row r="14" spans="1:2" ht="45" customHeight="1">
      <c r="A14" s="8" t="s">
        <v>126</v>
      </c>
      <c r="B14" s="14" t="s">
        <v>127</v>
      </c>
    </row>
    <row r="15" spans="1:2" ht="45" customHeight="1">
      <c r="A15" s="8" t="s">
        <v>128</v>
      </c>
      <c r="B15" s="14" t="s">
        <v>129</v>
      </c>
    </row>
    <row r="18" spans="1:2" ht="45" customHeight="1">
      <c r="A18" s="15" t="s">
        <v>130</v>
      </c>
      <c r="B18" s="14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 Model</vt:lpstr>
      <vt:lpstr>Sensitivity</vt:lpstr>
      <vt:lpstr>Scenarios</vt:lpstr>
      <vt:lpstr>Bank Metrics Quality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2026-08-11T07:30:01Z</dcterms:created>
  <dcterms:modified xsi:type="dcterms:W3CDTF">2026-08-11T07:30:01Z</dcterms:modified>
</cp:coreProperties>
</file>