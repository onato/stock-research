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<sst xmlns="http://schemas.openxmlformats.org/spreadsheetml/2006/main" count="374" uniqueCount="175">
  <si>
    <t xml:space="preserve">Ticker</t>
  </si>
  <si>
    <t xml:space="preserve">BEI.DE</t>
  </si>
  <si>
    <t xml:space="preserve">Company</t>
  </si>
  <si>
    <t xml:space="preserve">Beiersdorf AG</t>
  </si>
  <si>
    <t xml:space="preserve">Valuation date</t>
  </si>
  <si>
    <t xml:space="preserve">2026-10-25</t>
  </si>
  <si>
    <t xml:space="preserve">Current price</t>
  </si>
  <si>
    <t xml:space="preserve">Price as of</t>
  </si>
  <si>
    <t xml:space="preserve">2026-10-23T15:35:21Z (XETRA closing auction, regular close; Q3 2026 trading update due 2026-10-27 may move the price materially)</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</si>
  <si>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</si>
  <si>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</si>
  <si>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</si>
  <si>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</si>
  <si>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</si>
  <si>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</si>
  <si>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</si>
  <si>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</si>
  <si>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</si>
  <si>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</si>
  <si>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</si>
  <si>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</si>
  <si>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2026-10-24T16:14:10Z</t>
  </si>
  <si>
    <t xml:space="preserve">Drivers file</t>
  </si>
  <si>
    <t xml:space="preserve">BEI.DE_Drivers.json</t>
  </si>
  <si>
    <t xml:space="preserve">Convention</t>
  </si>
  <si>
    <t xml:space="preserve">Percents stored as percents; formulas divide by 100. Blue = input, green = link, black = formula.</t>
  </si>
  <si>
    <t xml:space="preserve">Methodology</t>
  </si>
  <si>
    <t xml:space="preserve">summary: Value Beiersdorf as a mid-cycle branded-staples cash generator bought at a trough, not as a smooth grower: the FY2026 guided margin is a floor-of-cycle reading, the terminal margin is the decade average, and the EUR4bn surplus liquidity (net of NCI, pensions and an operating-cash reserve) is added once while the interest it earns is stripped from the flows.
key_risks_to_valuation: NIVEA turnaround fails or slips past 2028, making the 16.6% terminal margin too high (bear path: 15.3%); La Prairie remains hostage to Chinese luxury sentiment and travel retail; tesa automotive/electronics cycle stays weak; tesa is ~17% of sales and ~20% of adj. EBIT; Further guidance cut at the Q3 2026 update (27-Oct-2026) -- the price anchor predates it; Terminal value is the bulk of enterprise value at a 7% EUR WACC; each 1pp of WACC moves value materially (see sensitivity grid); Majority holder maxingvest (~53%) controls capital allocation, so the surplus cash may stay on the balance sheet rather than be returned</t>
  </si>
  <si>
    <t xml:space="preserve">Data sources</t>
  </si>
  <si>
    <t xml:space="preserve">price: Yahoo Finance chart API (BEI.DE, XETRA) at inputs.price_as_of; 52-week range 67.08-110.15
financials: BEI.DE_Metrics.csv / core_metrics and kpis (FY2014-FY2025, H1 FY2026); balance sheet, net liquidity, share count and securities fair value from BEI.DE_HalfYear_H1-2026.txt (balance sheet lines 805-848, net liquidity line 497-499, shares line 1162, AC securities line 1181-1182); FY2025 lease, interest and tax cash lines from BEI.DE_Annual_FY2025.txt lines 14148-14175
qualitative: BEI.DE_Analysis.json (FY2026 guidance as cut on 2026-08-03, NIVEA turnaround plan, segment trends)</t>
  </si>
  <si>
    <t xml:space="preserve">Scenario narrative: bear</t>
  </si>
  <si>
    <t xml:space="preserve">Guidance has now been cut twice in a year and the bear case is that it is cut again. NIVEA's decline is structural (lost share in mass skin care to local and indie brands, retailer pricing friction such as the Swiss Comco probe), so 2027 is another down year and the extra marketing becomes a permanent cost rather than an investment. La Prairie relapses with Chinese luxury and travel retail; tesa stays stuck in a weak European auto and consumer-electronics cycle with rising material costs. Growth recovers only to 2.5-3%, margin plateaus around 15.3% (about the FY2014 low), and the terminal exit is a lower 18x cap. Even here the EUR4bn net cash and staples-grade cash generation keep the business far from distress -- the bear is a de-rating of earnings power, not a solvency case.</t>
  </si>
  <si>
    <t xml:space="preserve">Scenario narrative: base</t>
  </si>
  <si>
    <t xml:space="preserve">Management's own timetable holds. FY2026 is the trough: Consumer organic sales fall low single digits with NIVEA (~43% of group) down ~6-7% and La Prairie negative for the year, tesa flat, and the extra ~EUR100m NIVEA marketing plus negative operating leverage take reported EBITDA to ~14.9%. NIVEA stabilises in 2027 (group nominal +2%) and returns to profitable growth in 2028; Derma (Eucerin/Aquaphor, +11.7% organic in FY2025) keeps compounding on Thiamidol/Epicelline roll-outs in China, the US, India and Japan, and La Prairie's Q2 2026 return to growth holds at low single digits. Group growth recovers to the pre-COVID 4-4.5% band, then fades to 2.5%. Margin recovers to 16.6%, the FY2014-FY2025 decade average -- a mid-cycle level, neither the FY2018 peak nor the FY2026 trough. Capex steps down from the FY2022-26 build-out (Leipzig DC, Poland/Mexico/Brazil capacity, Hamburg campus) toward ~3.7% of sales.</t>
  </si>
  <si>
    <t xml:space="preserve">Scenario narrative: bull</t>
  </si>
  <si>
    <t xml:space="preserve">The NIVEA rebalancing (broader categories beyond face care, affordability, local autonomy) works faster than guided and NIVEA is growing again during 2027. Derma sustains double-digit growth for several more years and becomes a larger, higher-margin share of the mix; La Prairie's new leadership turns the post-2023 decline into a genuine luxury recovery as Chinese sentiment and travel retail improve; tesa benefits from an automotive and electronics upcycle. Growth runs 5-6% in 2028-2030 and margin rises to ~17.5%, the FY2018 peak, on mix and operating leverage.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</si>
  <si>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</si>
  <si>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</si>
  <si>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</si>
  <si>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</si>
  <si>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</si>
  <si>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</si>
  <si>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</si>
  <si>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</si>
  <si>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</si>
  <si>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</si>
  <si>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</si>
  <si>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</si>
  <si>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</si>
  <si>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</si>
  <si>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</si>
  <si>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</si>
  <si>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</si>
  <si>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</si>
  <si>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</si>
  <si>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</si>
  <si>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</si>
  <si>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</si>
  <si>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</si>
  <si>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</si>
  <si>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</si>
  <si>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</si>
  <si>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</si>
  <si>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t>
  </si>
  <si>
    <t xml:space="preserve">DividendsPaidToNCI</t>
  </si>
  <si>
    <t xml:space="preserve">EffectiveCashTaxRate</t>
  </si>
  <si>
    <t xml:space="preserve">LeasePrincipalRepaid</t>
  </si>
  <si>
    <t xml:space="preserve">OrdinaryShareholdersEquity</t>
  </si>
  <si>
    <t xml:space="preserve">OrganicRevenueGrowth</t>
  </si>
  <si>
    <t xml:space="preserve">ProfitAfterTaxTotal</t>
  </si>
  <si>
    <t xml:space="preserve">ShortTermInvestments</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</si>
  <si>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</si>
  <si>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</si>
  <si>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</si>
  <si>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</si>
  <si>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</si>
  <si>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</si>
  <si>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</si>
  <si>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</si>
  <si>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</si>
  <si>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</si>
  <si>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</si>
  <si>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</si>
  <si>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</si>
  <si>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</si>
  <si>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</si>
  <si>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</si>
  <si>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</si>
  <si>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</si>
  <si>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</si>
  <si>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</si>
  <si>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</si>
  <si>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</si>
  <si>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</si>
  <si>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</si>
  <si>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</si>
  <si>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</si>
  <si>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</si>
  <si>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</si>
  <si>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</si>
  <si>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</si>
  <si>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</si>
  <si>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</si>
  <si>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</si>
  <si>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</si>
  <si>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</si>
  <si>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</si>
  <si>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</si>
  <si>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</si>
  <si>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</si>
  <si>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</si>
  <si>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</si>
  <si>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</si>
  <si>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</si>
  <si>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</si>
  <si>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</si>
  <si>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</si>
  <si>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</si>
  <si>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</si>
  <si>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</si>
  <si>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BEI.DE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</si>
  <si>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</si>
  <si>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</si>
  <si>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</si>
  <si>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</si>
  <si>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</si>
  <si>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</si>
  <si>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</si>
  <si>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</si>
  <si>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</si>
  <si>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</si>
  <si>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</si>
  <si>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</si>
  <si>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</si>
  <si>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</si>
  <si>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</si>
  <si>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</si>
  <si>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</si>
  <si>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</si>
  <si>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</si>
  <si>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</si>
  <si>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</si>
  <si>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</si>
  <si>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</si>
  <si>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</si>
  <si>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</si>
  <si>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</si>
  <si>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</si>
  <si>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</si>
  <si>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</si>
  <si>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</si>
  <si>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BEI.DE owner-FCF component DCF: base case (millions, EUR)</t>
  </si>
  <si>
    <t xml:space="preserve">BEI.DE owner-FCF component DCF: bull case (millions, EUR)</t>
  </si>
  <si>
    <t xml:space="preserve">BEI.DE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</si>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</sst>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84.12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row>
    <row r="2" customFormat="false" ht="15" hidden="false" customHeight="false" outlineLevel="0" collapsed="false">
      <c r="A2" s="0" t="s">
        <v>71</v>
      </c>
      <c r="B2" s="0" t="n">
        <v>6285</v>
      </c>
      <c r="C2" s="0" t="n">
        <v>-2671</v>
      </c>
      <c r="D2" s="0" t="n">
        <v>3614</v>
      </c>
      <c r="E2" s="0" t="n">
        <v>57.502</v>
      </c>
      <c r="F2" s="0" t="n">
        <v>796</v>
      </c>
      <c r="G2" s="0" t="n">
        <v>12.6651</v>
      </c>
      <c r="H2" s="0" t="n">
        <v>975</v>
      </c>
      <c r="I2" s="0" t="n">
        <v>529</v>
      </c>
      <c r="J2" s="0" t="n">
        <v>8.4169</v>
      </c>
      <c r="K2" s="0" t="n">
        <v>2.33</v>
      </c>
      <c r="L2" s="0" t="n">
        <v>397</v>
      </c>
      <c r="M2" s="0" t="n">
        <v>301</v>
      </c>
      <c r="N2" s="0" t="n">
        <v>96</v>
      </c>
      <c r="O2" s="0" t="n">
        <v>3640</v>
      </c>
      <c r="P2" s="0" t="n">
        <v>6330</v>
      </c>
      <c r="Q2" s="0" t="n">
        <v>2690</v>
      </c>
      <c r="S2" s="0" t="n">
        <v>976</v>
      </c>
      <c r="T2" s="0" t="n">
        <v>226.819</v>
      </c>
      <c r="V2" s="0" t="n">
        <v>0.7</v>
      </c>
      <c r="AA2" s="0" t="s">
        <v>17</v>
      </c>
      <c r="AB2" s="0" t="s">
        <v>14</v>
      </c>
      <c r="AC2" s="0" t="n">
        <v>861</v>
      </c>
      <c r="AD2" s="0" t="n">
        <v>9</v>
      </c>
      <c r="AE2" s="0" t="n">
        <v>41.307</v>
      </c>
      <c r="AG2" s="0" t="n">
        <v>3629</v>
      </c>
      <c r="AH2" s="0" t="n">
        <v>4.7</v>
      </c>
      <c r="AI2" s="0" t="n">
        <v>537</v>
      </c>
      <c r="AJ2" s="0" t="n">
        <v>562</v>
      </c>
    </row>
    <row r="3" customFormat="false" ht="15" hidden="false" customHeight="false" outlineLevel="0" collapsed="false">
      <c r="A3" s="0" t="s">
        <v>72</v>
      </c>
      <c r="B3" s="0" t="n">
        <v>6686</v>
      </c>
      <c r="C3" s="0" t="n">
        <v>-2785</v>
      </c>
      <c r="D3" s="0" t="n">
        <v>3901</v>
      </c>
      <c r="E3" s="0" t="n">
        <v>58.3458</v>
      </c>
      <c r="F3" s="0" t="n">
        <v>962</v>
      </c>
      <c r="G3" s="0" t="n">
        <v>14.3883</v>
      </c>
      <c r="H3" s="0" t="n">
        <v>1091</v>
      </c>
      <c r="I3" s="0" t="n">
        <v>660</v>
      </c>
      <c r="J3" s="0" t="n">
        <v>9.8714</v>
      </c>
      <c r="K3" s="0" t="n">
        <v>2.91</v>
      </c>
      <c r="L3" s="0" t="n">
        <v>800</v>
      </c>
      <c r="M3" s="0" t="n">
        <v>249</v>
      </c>
      <c r="N3" s="0" t="n">
        <v>551</v>
      </c>
      <c r="O3" s="0" t="n">
        <v>4201</v>
      </c>
      <c r="P3" s="0" t="n">
        <v>6873</v>
      </c>
      <c r="Q3" s="0" t="n">
        <v>2672</v>
      </c>
      <c r="S3" s="0" t="n">
        <v>918</v>
      </c>
      <c r="T3" s="0" t="n">
        <v>226.819</v>
      </c>
      <c r="V3" s="0" t="n">
        <v>0.7</v>
      </c>
      <c r="AA3" s="0" t="s">
        <v>17</v>
      </c>
      <c r="AB3" s="0" t="s">
        <v>14</v>
      </c>
      <c r="AC3" s="0" t="n">
        <v>962</v>
      </c>
      <c r="AD3" s="0" t="n">
        <v>10</v>
      </c>
      <c r="AE3" s="0" t="n">
        <v>28.6157</v>
      </c>
      <c r="AG3" s="0" t="n">
        <v>4188</v>
      </c>
      <c r="AH3" s="0" t="n">
        <v>3</v>
      </c>
      <c r="AI3" s="0" t="n">
        <v>671</v>
      </c>
      <c r="AJ3" s="0" t="n">
        <v>858</v>
      </c>
    </row>
    <row r="4" customFormat="false" ht="15" hidden="false" customHeight="false" outlineLevel="0" collapsed="false">
      <c r="A4" s="0" t="s">
        <v>73</v>
      </c>
      <c r="B4" s="0" t="n">
        <v>6752</v>
      </c>
      <c r="C4" s="0" t="n">
        <v>-2774</v>
      </c>
      <c r="D4" s="0" t="n">
        <v>3978</v>
      </c>
      <c r="E4" s="0" t="n">
        <v>58.9159</v>
      </c>
      <c r="F4" s="0" t="n">
        <v>1015</v>
      </c>
      <c r="G4" s="0" t="n">
        <v>15.0326</v>
      </c>
      <c r="H4" s="0" t="n">
        <v>1163</v>
      </c>
      <c r="I4" s="0" t="n">
        <v>709</v>
      </c>
      <c r="J4" s="0" t="n">
        <v>10.5006</v>
      </c>
      <c r="K4" s="0" t="n">
        <v>3.13</v>
      </c>
      <c r="L4" s="0" t="n">
        <v>942</v>
      </c>
      <c r="M4" s="0" t="n">
        <v>162</v>
      </c>
      <c r="N4" s="0" t="n">
        <v>780</v>
      </c>
      <c r="O4" s="0" t="n">
        <v>4677</v>
      </c>
      <c r="P4" s="0" t="n">
        <v>7573</v>
      </c>
      <c r="Q4" s="0" t="n">
        <v>2896</v>
      </c>
      <c r="S4" s="0" t="n">
        <v>872</v>
      </c>
      <c r="T4" s="0" t="n">
        <v>226.819</v>
      </c>
      <c r="V4" s="0" t="n">
        <v>0.7</v>
      </c>
      <c r="AA4" s="0" t="s">
        <v>17</v>
      </c>
      <c r="AB4" s="0" t="s">
        <v>14</v>
      </c>
      <c r="AC4" s="0" t="n">
        <v>1015</v>
      </c>
      <c r="AD4" s="0" t="n">
        <v>12</v>
      </c>
      <c r="AE4" s="0" t="n">
        <v>29.8077</v>
      </c>
      <c r="AG4" s="0" t="n">
        <v>4656</v>
      </c>
      <c r="AH4" s="0" t="n">
        <v>3.2</v>
      </c>
      <c r="AI4" s="0" t="n">
        <v>727</v>
      </c>
      <c r="AJ4" s="0" t="n">
        <v>958</v>
      </c>
    </row>
    <row r="5" customFormat="false" ht="15" hidden="false" customHeight="false" outlineLevel="0" collapsed="false">
      <c r="A5" s="0" t="s">
        <v>74</v>
      </c>
      <c r="B5" s="0" t="n">
        <v>7056</v>
      </c>
      <c r="C5" s="0" t="n">
        <v>-2910</v>
      </c>
      <c r="D5" s="0" t="n">
        <v>4146</v>
      </c>
      <c r="E5" s="0" t="n">
        <v>58.7585</v>
      </c>
      <c r="F5" s="0" t="n">
        <v>1088</v>
      </c>
      <c r="G5" s="0" t="n">
        <v>15.4195</v>
      </c>
      <c r="H5" s="0" t="n">
        <v>1238</v>
      </c>
      <c r="I5" s="0" t="n">
        <v>672</v>
      </c>
      <c r="J5" s="0" t="n">
        <v>9.5238</v>
      </c>
      <c r="K5" s="0" t="n">
        <v>2.96</v>
      </c>
      <c r="L5" s="0" t="n">
        <v>911</v>
      </c>
      <c r="M5" s="0" t="n">
        <v>195</v>
      </c>
      <c r="N5" s="0" t="n">
        <v>716</v>
      </c>
      <c r="O5" s="0" t="n">
        <v>5125</v>
      </c>
      <c r="P5" s="0" t="n">
        <v>8205</v>
      </c>
      <c r="Q5" s="0" t="n">
        <v>3080</v>
      </c>
      <c r="S5" s="0" t="n">
        <v>901</v>
      </c>
      <c r="T5" s="0" t="n">
        <v>226.819</v>
      </c>
      <c r="V5" s="0" t="n">
        <v>0.7</v>
      </c>
      <c r="AA5" s="0" t="s">
        <v>17</v>
      </c>
      <c r="AB5" s="0" t="s">
        <v>14</v>
      </c>
      <c r="AC5" s="0" t="n">
        <v>1088</v>
      </c>
      <c r="AD5" s="0" t="n">
        <v>15</v>
      </c>
      <c r="AE5" s="0" t="n">
        <v>31.3112</v>
      </c>
      <c r="AG5" s="0" t="n">
        <v>5104</v>
      </c>
      <c r="AH5" s="0" t="n">
        <v>5.7</v>
      </c>
      <c r="AI5" s="0" t="n">
        <v>689</v>
      </c>
      <c r="AJ5" s="0" t="n">
        <v>770</v>
      </c>
    </row>
    <row r="6" customFormat="false" ht="15" hidden="false" customHeight="false" outlineLevel="0" collapsed="false">
      <c r="A6" s="0" t="s">
        <v>75</v>
      </c>
      <c r="B6" s="0" t="n">
        <v>7233</v>
      </c>
      <c r="C6" s="0" t="n">
        <v>-3075</v>
      </c>
      <c r="D6" s="0" t="n">
        <v>4158</v>
      </c>
      <c r="E6" s="0" t="n">
        <v>57.4865</v>
      </c>
      <c r="F6" s="0" t="n">
        <v>1097</v>
      </c>
      <c r="G6" s="0" t="n">
        <v>15.1666</v>
      </c>
      <c r="H6" s="0" t="n">
        <v>1262</v>
      </c>
      <c r="I6" s="0" t="n">
        <v>728</v>
      </c>
      <c r="J6" s="0" t="n">
        <v>10.065</v>
      </c>
      <c r="K6" s="0" t="n">
        <v>3.21</v>
      </c>
      <c r="L6" s="0" t="n">
        <v>868</v>
      </c>
      <c r="M6" s="0" t="n">
        <v>358</v>
      </c>
      <c r="N6" s="0" t="n">
        <v>510</v>
      </c>
      <c r="O6" s="0" t="n">
        <v>5647</v>
      </c>
      <c r="P6" s="0" t="n">
        <v>8871</v>
      </c>
      <c r="Q6" s="0" t="n">
        <v>3224</v>
      </c>
      <c r="S6" s="0" t="n">
        <v>919</v>
      </c>
      <c r="T6" s="0" t="n">
        <v>226.819</v>
      </c>
      <c r="V6" s="0" t="n">
        <v>0.7</v>
      </c>
      <c r="AA6" s="0" t="s">
        <v>17</v>
      </c>
      <c r="AB6" s="0" t="s">
        <v>14</v>
      </c>
      <c r="AC6" s="0" t="n">
        <v>1113</v>
      </c>
      <c r="AD6" s="0" t="n">
        <v>18</v>
      </c>
      <c r="AE6" s="0" t="n">
        <v>27.8626</v>
      </c>
      <c r="AG6" s="0" t="n">
        <v>5623</v>
      </c>
      <c r="AH6" s="0" t="n">
        <v>5.4</v>
      </c>
      <c r="AI6" s="0" t="n">
        <v>745</v>
      </c>
      <c r="AJ6" s="0" t="n">
        <v>889</v>
      </c>
    </row>
    <row r="7" customFormat="false" ht="15" hidden="false" customHeight="false" outlineLevel="0" collapsed="false">
      <c r="A7" s="0" t="s">
        <v>76</v>
      </c>
      <c r="B7" s="0" t="n">
        <v>7653</v>
      </c>
      <c r="C7" s="0" t="n">
        <v>-3221</v>
      </c>
      <c r="D7" s="0" t="n">
        <v>4432</v>
      </c>
      <c r="E7" s="0" t="n">
        <v>57.9119</v>
      </c>
      <c r="F7" s="0" t="n">
        <v>1032</v>
      </c>
      <c r="G7" s="0" t="n">
        <v>13.4849</v>
      </c>
      <c r="H7" s="0" t="n">
        <v>1271</v>
      </c>
      <c r="I7" s="0" t="n">
        <v>718</v>
      </c>
      <c r="J7" s="0" t="n">
        <v>9.3819</v>
      </c>
      <c r="K7" s="0" t="n">
        <v>3.17</v>
      </c>
      <c r="L7" s="0" t="n">
        <v>982</v>
      </c>
      <c r="M7" s="0" t="n">
        <v>320</v>
      </c>
      <c r="N7" s="0" t="n">
        <v>662</v>
      </c>
      <c r="O7" s="0" t="n">
        <v>6093</v>
      </c>
      <c r="P7" s="0" t="n">
        <v>10065</v>
      </c>
      <c r="Q7" s="0" t="n">
        <v>3972</v>
      </c>
      <c r="S7" s="0" t="n">
        <v>1142</v>
      </c>
      <c r="T7" s="0" t="n">
        <v>226.819</v>
      </c>
      <c r="V7" s="0" t="n">
        <v>0.7</v>
      </c>
      <c r="AA7" s="0" t="s">
        <v>17</v>
      </c>
      <c r="AB7" s="0" t="s">
        <v>14</v>
      </c>
      <c r="AC7" s="0" t="n">
        <v>1095</v>
      </c>
      <c r="AD7" s="0" t="n">
        <v>18</v>
      </c>
      <c r="AE7" s="0" t="n">
        <v>38.0906</v>
      </c>
      <c r="AF7" s="0" t="n">
        <v>64</v>
      </c>
      <c r="AG7" s="0" t="n">
        <v>6066</v>
      </c>
      <c r="AH7" s="0" t="n">
        <v>4.1</v>
      </c>
      <c r="AI7" s="0" t="n">
        <v>736</v>
      </c>
      <c r="AJ7" s="0" t="n">
        <v>770</v>
      </c>
    </row>
    <row r="8" customFormat="false" ht="15" hidden="false" customHeight="false" outlineLevel="0" collapsed="false">
      <c r="A8" s="0" t="s">
        <v>77</v>
      </c>
      <c r="B8" s="0" t="n">
        <v>7025</v>
      </c>
      <c r="C8" s="0" t="n">
        <v>-2984</v>
      </c>
      <c r="D8" s="0" t="n">
        <v>4041</v>
      </c>
      <c r="E8" s="0" t="n">
        <v>57.5231</v>
      </c>
      <c r="F8" s="0" t="n">
        <v>828</v>
      </c>
      <c r="G8" s="0" t="n">
        <v>11.7865</v>
      </c>
      <c r="H8" s="0" t="n">
        <v>1085</v>
      </c>
      <c r="I8" s="0" t="n">
        <v>560</v>
      </c>
      <c r="J8" s="0" t="n">
        <v>7.9715</v>
      </c>
      <c r="K8" s="0" t="n">
        <v>2.47</v>
      </c>
      <c r="L8" s="0" t="n">
        <v>984</v>
      </c>
      <c r="M8" s="0" t="n">
        <v>280</v>
      </c>
      <c r="N8" s="0" t="n">
        <v>704</v>
      </c>
      <c r="O8" s="0" t="n">
        <v>6263</v>
      </c>
      <c r="P8" s="0" t="n">
        <v>10205</v>
      </c>
      <c r="Q8" s="0" t="n">
        <v>3942</v>
      </c>
      <c r="S8" s="0" t="n">
        <v>1005</v>
      </c>
      <c r="T8" s="0" t="n">
        <v>226.819</v>
      </c>
      <c r="V8" s="0" t="n">
        <v>0.7</v>
      </c>
      <c r="AA8" s="0" t="s">
        <v>17</v>
      </c>
      <c r="AB8" s="0" t="s">
        <v>14</v>
      </c>
      <c r="AC8" s="0" t="n">
        <v>906</v>
      </c>
      <c r="AD8" s="0" t="n">
        <v>18</v>
      </c>
      <c r="AE8" s="0" t="n">
        <v>35.4446</v>
      </c>
      <c r="AF8" s="0" t="n">
        <v>64</v>
      </c>
      <c r="AG8" s="0" t="n">
        <v>6239</v>
      </c>
      <c r="AH8" s="0" t="n">
        <v>-5.7</v>
      </c>
      <c r="AI8" s="0" t="n">
        <v>577</v>
      </c>
      <c r="AJ8" s="0" t="n">
        <v>647</v>
      </c>
    </row>
    <row r="9" customFormat="false" ht="15" hidden="false" customHeight="false" outlineLevel="0" collapsed="false">
      <c r="A9" s="0" t="s">
        <v>78</v>
      </c>
      <c r="B9" s="0" t="n">
        <v>7627</v>
      </c>
      <c r="C9" s="0" t="n">
        <v>-3267</v>
      </c>
      <c r="D9" s="0" t="n">
        <v>4360</v>
      </c>
      <c r="E9" s="0" t="n">
        <v>57.1653</v>
      </c>
      <c r="F9" s="0" t="n">
        <v>933</v>
      </c>
      <c r="G9" s="0" t="n">
        <v>12.2329</v>
      </c>
      <c r="H9" s="0" t="n">
        <v>1220</v>
      </c>
      <c r="I9" s="0" t="n">
        <v>638</v>
      </c>
      <c r="J9" s="0" t="n">
        <v>8.365</v>
      </c>
      <c r="K9" s="0" t="n">
        <v>2.81</v>
      </c>
      <c r="L9" s="0" t="n">
        <v>993</v>
      </c>
      <c r="M9" s="0" t="n">
        <v>413</v>
      </c>
      <c r="N9" s="0" t="n">
        <v>580</v>
      </c>
      <c r="O9" s="0" t="n">
        <v>6894</v>
      </c>
      <c r="P9" s="0" t="n">
        <v>11299</v>
      </c>
      <c r="Q9" s="0" t="n">
        <v>4405</v>
      </c>
      <c r="S9" s="0" t="n">
        <v>1036</v>
      </c>
      <c r="T9" s="0" t="n">
        <v>226.819</v>
      </c>
      <c r="V9" s="0" t="n">
        <v>0.7</v>
      </c>
      <c r="AA9" s="0" t="s">
        <v>17</v>
      </c>
      <c r="AB9" s="0" t="s">
        <v>14</v>
      </c>
      <c r="AC9" s="0" t="n">
        <v>993</v>
      </c>
      <c r="AD9" s="0" t="n">
        <v>18</v>
      </c>
      <c r="AE9" s="0" t="n">
        <v>33.6273</v>
      </c>
      <c r="AF9" s="0" t="n">
        <v>66</v>
      </c>
      <c r="AG9" s="0" t="n">
        <v>6871</v>
      </c>
      <c r="AH9" s="0" t="n">
        <v>9.7</v>
      </c>
      <c r="AI9" s="0" t="n">
        <v>655</v>
      </c>
      <c r="AJ9" s="0" t="n">
        <v>616</v>
      </c>
    </row>
    <row r="10" customFormat="false" ht="15" hidden="false" customHeight="false" outlineLevel="0" collapsed="false">
      <c r="A10" s="0" t="s">
        <v>79</v>
      </c>
      <c r="B10" s="0" t="n">
        <v>8799</v>
      </c>
      <c r="C10" s="0" t="n">
        <v>-3842</v>
      </c>
      <c r="D10" s="0" t="n">
        <v>4957</v>
      </c>
      <c r="E10" s="0" t="n">
        <v>56.3359</v>
      </c>
      <c r="F10" s="0" t="n">
        <v>1092</v>
      </c>
      <c r="G10" s="0" t="n">
        <v>12.4105</v>
      </c>
      <c r="H10" s="0" t="n">
        <v>1379</v>
      </c>
      <c r="I10" s="0" t="n">
        <v>755</v>
      </c>
      <c r="J10" s="0" t="n">
        <v>8.5805</v>
      </c>
      <c r="K10" s="0" t="n">
        <v>3.33</v>
      </c>
      <c r="L10" s="0" t="n">
        <v>797</v>
      </c>
      <c r="M10" s="0" t="n">
        <v>548</v>
      </c>
      <c r="N10" s="0" t="n">
        <v>249</v>
      </c>
      <c r="O10" s="0" t="n">
        <v>7805</v>
      </c>
      <c r="P10" s="0" t="n">
        <v>12348</v>
      </c>
      <c r="Q10" s="0" t="n">
        <v>4543</v>
      </c>
      <c r="S10" s="0" t="n">
        <v>1080</v>
      </c>
      <c r="T10" s="0" t="n">
        <v>226.819</v>
      </c>
      <c r="V10" s="0" t="n">
        <v>0.7</v>
      </c>
      <c r="AA10" s="0" t="s">
        <v>17</v>
      </c>
      <c r="AB10" s="0" t="s">
        <v>14</v>
      </c>
      <c r="AC10" s="0" t="n">
        <v>1158</v>
      </c>
      <c r="AD10" s="0" t="n">
        <v>16</v>
      </c>
      <c r="AE10" s="0" t="n">
        <v>28.4672</v>
      </c>
      <c r="AF10" s="0" t="n">
        <v>68</v>
      </c>
      <c r="AG10" s="0" t="n">
        <v>7785</v>
      </c>
      <c r="AH10" s="0" t="n">
        <v>10.2</v>
      </c>
      <c r="AI10" s="0" t="n">
        <v>771</v>
      </c>
      <c r="AJ10" s="0" t="n">
        <v>771</v>
      </c>
    </row>
    <row r="11" customFormat="false" ht="15" hidden="false" customHeight="false" outlineLevel="0" collapsed="false">
      <c r="A11" s="0" t="s">
        <v>80</v>
      </c>
      <c r="B11" s="0" t="n">
        <v>9447</v>
      </c>
      <c r="C11" s="0" t="n">
        <v>-4031</v>
      </c>
      <c r="D11" s="0" t="n">
        <v>5416</v>
      </c>
      <c r="E11" s="0" t="n">
        <v>57.3304</v>
      </c>
      <c r="F11" s="0" t="n">
        <v>1105</v>
      </c>
      <c r="G11" s="0" t="n">
        <v>11.6968</v>
      </c>
      <c r="H11" s="0" t="n">
        <v>1554</v>
      </c>
      <c r="I11" s="0" t="n">
        <v>736</v>
      </c>
      <c r="J11" s="0" t="n">
        <v>7.7908</v>
      </c>
      <c r="K11" s="0" t="n">
        <v>3.24</v>
      </c>
      <c r="L11" s="0" t="n">
        <v>941</v>
      </c>
      <c r="M11" s="0" t="n">
        <v>517</v>
      </c>
      <c r="N11" s="0" t="n">
        <v>424</v>
      </c>
      <c r="O11" s="0" t="n">
        <v>8339</v>
      </c>
      <c r="P11" s="0" t="n">
        <v>12629</v>
      </c>
      <c r="Q11" s="0" t="n">
        <v>4290</v>
      </c>
      <c r="S11" s="0" t="n">
        <v>1133</v>
      </c>
      <c r="T11" s="0" t="n">
        <v>226.819</v>
      </c>
      <c r="V11" s="0" t="n">
        <v>1</v>
      </c>
      <c r="AA11" s="0" t="s">
        <v>17</v>
      </c>
      <c r="AB11" s="0" t="s">
        <v>14</v>
      </c>
      <c r="AC11" s="0" t="n">
        <v>1268</v>
      </c>
      <c r="AD11" s="0" t="n">
        <v>14</v>
      </c>
      <c r="AE11" s="0" t="n">
        <v>41.991</v>
      </c>
      <c r="AF11" s="0" t="n">
        <v>68</v>
      </c>
      <c r="AG11" s="0" t="n">
        <v>8322</v>
      </c>
      <c r="AH11" s="0" t="n">
        <v>10.8</v>
      </c>
      <c r="AI11" s="0" t="n">
        <v>749</v>
      </c>
      <c r="AJ11" s="0" t="n">
        <v>1227</v>
      </c>
    </row>
    <row r="12" customFormat="false" ht="15" hidden="false" customHeight="false" outlineLevel="0" collapsed="false">
      <c r="A12" s="0" t="s">
        <v>81</v>
      </c>
      <c r="B12" s="0" t="n">
        <v>9850</v>
      </c>
      <c r="C12" s="0" t="n">
        <v>-4090</v>
      </c>
      <c r="D12" s="0" t="n">
        <v>5760</v>
      </c>
      <c r="E12" s="0" t="n">
        <v>58.4772</v>
      </c>
      <c r="F12" s="0" t="n">
        <v>1294</v>
      </c>
      <c r="G12" s="0" t="n">
        <v>13.1371</v>
      </c>
      <c r="H12" s="0" t="n">
        <v>1651</v>
      </c>
      <c r="I12" s="0" t="n">
        <v>912</v>
      </c>
      <c r="J12" s="0" t="n">
        <v>9.2589</v>
      </c>
      <c r="K12" s="0" t="n">
        <v>4.05</v>
      </c>
      <c r="L12" s="0" t="n">
        <v>1231</v>
      </c>
      <c r="M12" s="0" t="n">
        <v>437</v>
      </c>
      <c r="N12" s="0" t="n">
        <v>794</v>
      </c>
      <c r="O12" s="0" t="n">
        <v>8495</v>
      </c>
      <c r="P12" s="0" t="n">
        <v>13011</v>
      </c>
      <c r="Q12" s="0" t="n">
        <v>4516</v>
      </c>
      <c r="S12" s="0" t="n">
        <v>1207</v>
      </c>
      <c r="T12" s="0" t="n">
        <v>225.1852</v>
      </c>
      <c r="V12" s="0" t="n">
        <v>1</v>
      </c>
      <c r="AA12" s="0" t="s">
        <v>17</v>
      </c>
      <c r="AB12" s="0" t="s">
        <v>14</v>
      </c>
      <c r="AC12" s="0" t="n">
        <v>1370</v>
      </c>
      <c r="AD12" s="0" t="n">
        <v>14</v>
      </c>
      <c r="AE12" s="0" t="n">
        <v>30.4676</v>
      </c>
      <c r="AF12" s="0" t="n">
        <v>75</v>
      </c>
      <c r="AG12" s="0" t="n">
        <v>8475</v>
      </c>
      <c r="AH12" s="0" t="n">
        <v>6.5</v>
      </c>
      <c r="AI12" s="0" t="n">
        <v>928</v>
      </c>
      <c r="AJ12" s="0" t="n">
        <v>1159</v>
      </c>
    </row>
    <row r="13" customFormat="false" ht="15" hidden="false" customHeight="false" outlineLevel="0" collapsed="false">
      <c r="A13" s="0" t="s">
        <v>82</v>
      </c>
      <c r="B13" s="0" t="n">
        <v>9852</v>
      </c>
      <c r="C13" s="0" t="n">
        <v>-4166</v>
      </c>
      <c r="D13" s="0" t="n">
        <v>5686</v>
      </c>
      <c r="E13" s="0" t="n">
        <v>57.7142</v>
      </c>
      <c r="F13" s="0" t="n">
        <v>1320</v>
      </c>
      <c r="G13" s="0" t="n">
        <v>13.3983</v>
      </c>
      <c r="H13" s="0" t="n">
        <v>1648</v>
      </c>
      <c r="I13" s="0" t="n">
        <v>939</v>
      </c>
      <c r="J13" s="0" t="n">
        <v>9.5311</v>
      </c>
      <c r="K13" s="0" t="n">
        <v>4.25</v>
      </c>
      <c r="L13" s="0" t="n">
        <v>785</v>
      </c>
      <c r="M13" s="0" t="n">
        <v>463</v>
      </c>
      <c r="N13" s="0" t="n">
        <v>322</v>
      </c>
      <c r="O13" s="0" t="n">
        <v>8618</v>
      </c>
      <c r="P13" s="0" t="n">
        <v>12758</v>
      </c>
      <c r="Q13" s="0" t="n">
        <v>4140</v>
      </c>
      <c r="S13" s="0" t="n">
        <v>1200</v>
      </c>
      <c r="T13" s="0" t="n">
        <v>220.9412</v>
      </c>
      <c r="V13" s="0" t="n">
        <v>1</v>
      </c>
      <c r="AA13" s="0" t="s">
        <v>17</v>
      </c>
      <c r="AB13" s="0" t="s">
        <v>14</v>
      </c>
      <c r="AC13" s="0" t="n">
        <v>1378</v>
      </c>
      <c r="AD13" s="0" t="n">
        <v>14</v>
      </c>
      <c r="AE13" s="0" t="n">
        <v>35.3858</v>
      </c>
      <c r="AF13" s="0" t="n">
        <v>77</v>
      </c>
      <c r="AG13" s="0" t="n">
        <v>8601</v>
      </c>
      <c r="AH13" s="0" t="n">
        <v>2.4</v>
      </c>
      <c r="AI13" s="0" t="n">
        <v>955</v>
      </c>
      <c r="AJ13" s="0" t="n">
        <v>1260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84.12</v>
      </c>
    </row>
    <row r="3" customFormat="false" ht="15" hidden="false" customHeight="false" outlineLevel="0" collapsed="false">
      <c r="A3" s="0" t="s">
        <v>86</v>
      </c>
      <c r="B3" s="3" t="n">
        <v>218.073</v>
      </c>
    </row>
    <row r="4" customFormat="false" ht="15" hidden="false" customHeight="false" outlineLevel="0" collapsed="false">
      <c r="A4" s="0" t="s">
        <v>87</v>
      </c>
      <c r="B4" s="3" t="n">
        <v>-4235</v>
      </c>
    </row>
    <row r="5" customFormat="false" ht="15" hidden="false" customHeight="false" outlineLevel="0" collapsed="false">
      <c r="A5" s="0" t="s">
        <v>88</v>
      </c>
      <c r="B5" s="3" t="n">
        <v>-790</v>
      </c>
    </row>
    <row r="6" customFormat="false" ht="15" hidden="false" customHeight="false" outlineLevel="0" collapsed="false">
      <c r="A6" s="0" t="s">
        <v>89</v>
      </c>
      <c r="B6" s="3" t="n">
        <v>15</v>
      </c>
    </row>
    <row r="7" customFormat="false" ht="15" hidden="false" customHeight="false" outlineLevel="0" collapsed="false">
      <c r="A7" s="0" t="s">
        <v>90</v>
      </c>
      <c r="B7" s="3" t="n">
        <v>9852</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-5</v>
      </c>
      <c r="D13" s="3" t="n">
        <v>-1</v>
      </c>
      <c r="E13" s="3" t="n">
        <v>1.5</v>
      </c>
      <c r="F13" s="3" t="n">
        <v>2.5</v>
      </c>
      <c r="G13" s="3" t="n">
        <v>3</v>
      </c>
      <c r="H13" s="3" t="n">
        <v>3</v>
      </c>
      <c r="I13" s="3" t="n">
        <v>2.5</v>
      </c>
      <c r="J13" s="3" t="n">
        <v>2.5</v>
      </c>
      <c r="K13" s="3" t="n">
        <v>2</v>
      </c>
      <c r="L13" s="3" t="n">
        <v>2</v>
      </c>
    </row>
    <row r="14" customFormat="false" ht="15" hidden="false" customHeight="false" outlineLevel="0" collapsed="false">
      <c r="A14" s="0" t="s">
        <v>107</v>
      </c>
      <c r="C14" s="3" t="n">
        <v>14.7</v>
      </c>
      <c r="D14" s="3" t="n">
        <v>14.6</v>
      </c>
      <c r="E14" s="3" t="n">
        <v>14.9</v>
      </c>
      <c r="F14" s="3" t="n">
        <v>15.2</v>
      </c>
      <c r="G14" s="3" t="n">
        <v>15.3</v>
      </c>
      <c r="H14" s="3" t="n">
        <v>15.3</v>
      </c>
      <c r="I14" s="3" t="n">
        <v>15.3</v>
      </c>
      <c r="J14" s="3" t="n">
        <v>15.3</v>
      </c>
      <c r="K14" s="3" t="n">
        <v>15.3</v>
      </c>
      <c r="L14" s="3" t="n">
        <v>15.3</v>
      </c>
    </row>
    <row r="15" customFormat="false" ht="15" hidden="false" customHeight="false" outlineLevel="0" collapsed="false">
      <c r="A15" s="0" t="s">
        <v>108</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109</v>
      </c>
      <c r="C16" s="3" t="n">
        <v>0.85</v>
      </c>
      <c r="D16" s="3" t="n">
        <v>0.85</v>
      </c>
      <c r="E16" s="3" t="n">
        <v>0.85</v>
      </c>
      <c r="F16" s="3" t="n">
        <v>0.85</v>
      </c>
      <c r="G16" s="3" t="n">
        <v>0.85</v>
      </c>
      <c r="H16" s="3" t="n">
        <v>0.85</v>
      </c>
      <c r="I16" s="3" t="n">
        <v>0.85</v>
      </c>
      <c r="J16" s="3" t="n">
        <v>0.85</v>
      </c>
      <c r="K16" s="3" t="n">
        <v>0.85</v>
      </c>
      <c r="L16" s="3" t="n">
        <v>0.85</v>
      </c>
    </row>
    <row r="17" customFormat="false" ht="15" hidden="false" customHeight="false" outlineLevel="0" collapsed="false">
      <c r="A17" s="0" t="s">
        <v>110</v>
      </c>
      <c r="C17" s="3" t="n">
        <v>2.7</v>
      </c>
      <c r="D17" s="3" t="n">
        <v>2.8</v>
      </c>
      <c r="E17" s="3" t="n">
        <v>2.9</v>
      </c>
      <c r="F17" s="3" t="n">
        <v>3</v>
      </c>
      <c r="G17" s="3" t="n">
        <v>3.1</v>
      </c>
      <c r="H17" s="3" t="n">
        <v>3.2</v>
      </c>
      <c r="I17" s="3" t="n">
        <v>3.2</v>
      </c>
      <c r="J17" s="3" t="n">
        <v>3.2</v>
      </c>
      <c r="K17" s="3" t="n">
        <v>3.2</v>
      </c>
      <c r="L17" s="3" t="n">
        <v>3.2</v>
      </c>
    </row>
    <row r="18" customFormat="false" ht="15" hidden="false" customHeight="false" outlineLevel="0" collapsed="false">
      <c r="A18" s="0" t="s">
        <v>111</v>
      </c>
      <c r="C18" s="3" t="n">
        <v>4.6</v>
      </c>
      <c r="D18" s="3" t="n">
        <v>4.5</v>
      </c>
      <c r="E18" s="3" t="n">
        <v>4.3</v>
      </c>
      <c r="F18" s="3" t="n">
        <v>4</v>
      </c>
      <c r="G18" s="3" t="n">
        <v>3.8</v>
      </c>
      <c r="H18" s="3" t="n">
        <v>3.7</v>
      </c>
      <c r="I18" s="3" t="n">
        <v>3.7</v>
      </c>
      <c r="J18" s="3" t="n">
        <v>3.7</v>
      </c>
      <c r="K18" s="3" t="n">
        <v>3.7</v>
      </c>
      <c r="L18" s="3" t="n">
        <v>3.7</v>
      </c>
    </row>
    <row r="19" customFormat="false" ht="15" hidden="false" customHeight="false" outlineLevel="0" collapsed="false">
      <c r="A19" s="0" t="s">
        <v>112</v>
      </c>
      <c r="C19" s="3" t="n">
        <v>30.5</v>
      </c>
      <c r="D19" s="3" t="n">
        <v>30.5</v>
      </c>
      <c r="E19" s="3" t="n">
        <v>30.5</v>
      </c>
      <c r="F19" s="3" t="n">
        <v>30.5</v>
      </c>
      <c r="G19" s="3" t="n">
        <v>30.5</v>
      </c>
      <c r="H19" s="3" t="n">
        <v>30.5</v>
      </c>
      <c r="I19" s="3" t="n">
        <v>30.5</v>
      </c>
      <c r="J19" s="3" t="n">
        <v>30.5</v>
      </c>
      <c r="K19" s="3" t="n">
        <v>30.5</v>
      </c>
      <c r="L19" s="3" t="n">
        <v>30.5</v>
      </c>
    </row>
    <row r="20" customFormat="false" ht="15" hidden="false" customHeight="false" outlineLevel="0" collapsed="false">
      <c r="A20" s="0" t="s">
        <v>113</v>
      </c>
      <c r="B20" s="3" t="n">
        <v>7</v>
      </c>
    </row>
    <row r="21" customFormat="false" ht="15" hidden="false" customHeight="false" outlineLevel="0" collapsed="false">
      <c r="A21" s="0" t="s">
        <v>114</v>
      </c>
      <c r="B21" s="3" t="n">
        <v>2</v>
      </c>
    </row>
    <row r="22" customFormat="false" ht="15" hidden="false" customHeight="false" outlineLevel="0" collapsed="false">
      <c r="A22" s="0" t="s">
        <v>115</v>
      </c>
      <c r="B22" s="3" t="n">
        <v>18</v>
      </c>
    </row>
    <row r="23" customFormat="false" ht="15" hidden="false" customHeight="false" outlineLevel="0" collapsed="false">
      <c r="A23" s="0" t="s">
        <v>116</v>
      </c>
      <c r="B23" s="3" t="n">
        <v>-12</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-4</v>
      </c>
      <c r="D27" s="3" t="n">
        <v>2</v>
      </c>
      <c r="E27" s="3" t="n">
        <v>4</v>
      </c>
      <c r="F27" s="3" t="n">
        <v>4.5</v>
      </c>
      <c r="G27" s="3" t="n">
        <v>4.5</v>
      </c>
      <c r="H27" s="3" t="n">
        <v>4</v>
      </c>
      <c r="I27" s="3" t="n">
        <v>3.5</v>
      </c>
      <c r="J27" s="3" t="n">
        <v>3</v>
      </c>
      <c r="K27" s="3" t="n">
        <v>3</v>
      </c>
      <c r="L27" s="3" t="n">
        <v>2.5</v>
      </c>
    </row>
    <row r="28" customFormat="false" ht="15" hidden="false" customHeight="false" outlineLevel="0" collapsed="false">
      <c r="A28" s="0" t="s">
        <v>107</v>
      </c>
      <c r="C28" s="3" t="n">
        <v>14.9</v>
      </c>
      <c r="D28" s="3" t="n">
        <v>15.4</v>
      </c>
      <c r="E28" s="3" t="n">
        <v>16</v>
      </c>
      <c r="F28" s="3" t="n">
        <v>16.4</v>
      </c>
      <c r="G28" s="3" t="n">
        <v>16.6</v>
      </c>
      <c r="H28" s="3" t="n">
        <v>16.6</v>
      </c>
      <c r="I28" s="3" t="n">
        <v>16.6</v>
      </c>
      <c r="J28" s="3" t="n">
        <v>16.6</v>
      </c>
      <c r="K28" s="3" t="n">
        <v>16.6</v>
      </c>
      <c r="L28" s="3" t="n">
        <v>16.6</v>
      </c>
    </row>
    <row r="29" customFormat="false" ht="15" hidden="false" customHeight="false" outlineLevel="0" collapsed="false">
      <c r="A29" s="0" t="s">
        <v>108</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109</v>
      </c>
      <c r="C30" s="3" t="n">
        <v>0.85</v>
      </c>
      <c r="D30" s="3" t="n">
        <v>0.85</v>
      </c>
      <c r="E30" s="3" t="n">
        <v>0.85</v>
      </c>
      <c r="F30" s="3" t="n">
        <v>0.85</v>
      </c>
      <c r="G30" s="3" t="n">
        <v>0.85</v>
      </c>
      <c r="H30" s="3" t="n">
        <v>0.85</v>
      </c>
      <c r="I30" s="3" t="n">
        <v>0.85</v>
      </c>
      <c r="J30" s="3" t="n">
        <v>0.85</v>
      </c>
      <c r="K30" s="3" t="n">
        <v>0.85</v>
      </c>
      <c r="L30" s="3" t="n">
        <v>0.85</v>
      </c>
    </row>
    <row r="31" customFormat="false" ht="15" hidden="false" customHeight="false" outlineLevel="0" collapsed="false">
      <c r="A31" s="0" t="s">
        <v>110</v>
      </c>
      <c r="C31" s="3" t="n">
        <v>2.7</v>
      </c>
      <c r="D31" s="3" t="n">
        <v>2.8</v>
      </c>
      <c r="E31" s="3" t="n">
        <v>2.9</v>
      </c>
      <c r="F31" s="3" t="n">
        <v>3</v>
      </c>
      <c r="G31" s="3" t="n">
        <v>3.1</v>
      </c>
      <c r="H31" s="3" t="n">
        <v>3.2</v>
      </c>
      <c r="I31" s="3" t="n">
        <v>3.2</v>
      </c>
      <c r="J31" s="3" t="n">
        <v>3.2</v>
      </c>
      <c r="K31" s="3" t="n">
        <v>3.2</v>
      </c>
      <c r="L31" s="3" t="n">
        <v>3.2</v>
      </c>
    </row>
    <row r="32" customFormat="false" ht="15" hidden="false" customHeight="false" outlineLevel="0" collapsed="false">
      <c r="A32" s="0" t="s">
        <v>111</v>
      </c>
      <c r="C32" s="3" t="n">
        <v>4.6</v>
      </c>
      <c r="D32" s="3" t="n">
        <v>4.5</v>
      </c>
      <c r="E32" s="3" t="n">
        <v>4.3</v>
      </c>
      <c r="F32" s="3" t="n">
        <v>4</v>
      </c>
      <c r="G32" s="3" t="n">
        <v>3.8</v>
      </c>
      <c r="H32" s="3" t="n">
        <v>3.7</v>
      </c>
      <c r="I32" s="3" t="n">
        <v>3.7</v>
      </c>
      <c r="J32" s="3" t="n">
        <v>3.7</v>
      </c>
      <c r="K32" s="3" t="n">
        <v>3.7</v>
      </c>
      <c r="L32" s="3" t="n">
        <v>3.7</v>
      </c>
    </row>
    <row r="33" customFormat="false" ht="15" hidden="false" customHeight="false" outlineLevel="0" collapsed="false">
      <c r="A33" s="0" t="s">
        <v>112</v>
      </c>
      <c r="C33" s="3" t="n">
        <v>30.5</v>
      </c>
      <c r="D33" s="3" t="n">
        <v>30.5</v>
      </c>
      <c r="E33" s="3" t="n">
        <v>30.5</v>
      </c>
      <c r="F33" s="3" t="n">
        <v>30.5</v>
      </c>
      <c r="G33" s="3" t="n">
        <v>30.5</v>
      </c>
      <c r="H33" s="3" t="n">
        <v>30.5</v>
      </c>
      <c r="I33" s="3" t="n">
        <v>30.5</v>
      </c>
      <c r="J33" s="3" t="n">
        <v>30.5</v>
      </c>
      <c r="K33" s="3" t="n">
        <v>30.5</v>
      </c>
      <c r="L33" s="3" t="n">
        <v>30.5</v>
      </c>
    </row>
    <row r="34" customFormat="false" ht="15" hidden="false" customHeight="false" outlineLevel="0" collapsed="false">
      <c r="A34" s="0" t="s">
        <v>113</v>
      </c>
      <c r="B34" s="3" t="n">
        <v>7</v>
      </c>
    </row>
    <row r="35" customFormat="false" ht="15" hidden="false" customHeight="false" outlineLevel="0" collapsed="false">
      <c r="A35" s="0" t="s">
        <v>114</v>
      </c>
      <c r="B35" s="3" t="n">
        <v>2.5</v>
      </c>
    </row>
    <row r="36" customFormat="false" ht="15" hidden="false" customHeight="false" outlineLevel="0" collapsed="false">
      <c r="A36" s="0" t="s">
        <v>115</v>
      </c>
      <c r="B36" s="3" t="n">
        <v>20</v>
      </c>
    </row>
    <row r="37" customFormat="false" ht="15" hidden="false" customHeight="false" outlineLevel="0" collapsed="false">
      <c r="A37" s="0" t="s">
        <v>116</v>
      </c>
      <c r="B37" s="3" t="n">
        <v>-12</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-3.5</v>
      </c>
      <c r="D41" s="3" t="n">
        <v>4</v>
      </c>
      <c r="E41" s="3" t="n">
        <v>5.5</v>
      </c>
      <c r="F41" s="3" t="n">
        <v>6</v>
      </c>
      <c r="G41" s="3" t="n">
        <v>5.5</v>
      </c>
      <c r="H41" s="3" t="n">
        <v>5</v>
      </c>
      <c r="I41" s="3" t="n">
        <v>4.5</v>
      </c>
      <c r="J41" s="3" t="n">
        <v>4</v>
      </c>
      <c r="K41" s="3" t="n">
        <v>3.5</v>
      </c>
      <c r="L41" s="3" t="n">
        <v>3</v>
      </c>
    </row>
    <row r="42" customFormat="false" ht="15" hidden="false" customHeight="false" outlineLevel="0" collapsed="false">
      <c r="A42" s="0" t="s">
        <v>107</v>
      </c>
      <c r="C42" s="3" t="n">
        <v>15</v>
      </c>
      <c r="D42" s="3" t="n">
        <v>16</v>
      </c>
      <c r="E42" s="3" t="n">
        <v>16.8</v>
      </c>
      <c r="F42" s="3" t="n">
        <v>17.2</v>
      </c>
      <c r="G42" s="3" t="n">
        <v>17.5</v>
      </c>
      <c r="H42" s="3" t="n">
        <v>17.5</v>
      </c>
      <c r="I42" s="3" t="n">
        <v>17.5</v>
      </c>
      <c r="J42" s="3" t="n">
        <v>17.5</v>
      </c>
      <c r="K42" s="3" t="n">
        <v>17.5</v>
      </c>
      <c r="L42" s="3" t="n">
        <v>17.5</v>
      </c>
    </row>
    <row r="43" customFormat="false" ht="15" hidden="false" customHeight="false" outlineLevel="0" collapsed="false">
      <c r="A43" s="0" t="s">
        <v>108</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109</v>
      </c>
      <c r="C44" s="3" t="n">
        <v>0.85</v>
      </c>
      <c r="D44" s="3" t="n">
        <v>0.85</v>
      </c>
      <c r="E44" s="3" t="n">
        <v>0.85</v>
      </c>
      <c r="F44" s="3" t="n">
        <v>0.85</v>
      </c>
      <c r="G44" s="3" t="n">
        <v>0.85</v>
      </c>
      <c r="H44" s="3" t="n">
        <v>0.85</v>
      </c>
      <c r="I44" s="3" t="n">
        <v>0.85</v>
      </c>
      <c r="J44" s="3" t="n">
        <v>0.85</v>
      </c>
      <c r="K44" s="3" t="n">
        <v>0.85</v>
      </c>
      <c r="L44" s="3" t="n">
        <v>0.85</v>
      </c>
    </row>
    <row r="45" customFormat="false" ht="15" hidden="false" customHeight="false" outlineLevel="0" collapsed="false">
      <c r="A45" s="0" t="s">
        <v>110</v>
      </c>
      <c r="C45" s="3" t="n">
        <v>2.7</v>
      </c>
      <c r="D45" s="3" t="n">
        <v>2.8</v>
      </c>
      <c r="E45" s="3" t="n">
        <v>2.9</v>
      </c>
      <c r="F45" s="3" t="n">
        <v>3</v>
      </c>
      <c r="G45" s="3" t="n">
        <v>3.1</v>
      </c>
      <c r="H45" s="3" t="n">
        <v>3.2</v>
      </c>
      <c r="I45" s="3" t="n">
        <v>3.2</v>
      </c>
      <c r="J45" s="3" t="n">
        <v>3.2</v>
      </c>
      <c r="K45" s="3" t="n">
        <v>3.2</v>
      </c>
      <c r="L45" s="3" t="n">
        <v>3.2</v>
      </c>
    </row>
    <row r="46" customFormat="false" ht="15" hidden="false" customHeight="false" outlineLevel="0" collapsed="false">
      <c r="A46" s="0" t="s">
        <v>111</v>
      </c>
      <c r="C46" s="3" t="n">
        <v>4.6</v>
      </c>
      <c r="D46" s="3" t="n">
        <v>4.5</v>
      </c>
      <c r="E46" s="3" t="n">
        <v>4.3</v>
      </c>
      <c r="F46" s="3" t="n">
        <v>4</v>
      </c>
      <c r="G46" s="3" t="n">
        <v>3.8</v>
      </c>
      <c r="H46" s="3" t="n">
        <v>3.7</v>
      </c>
      <c r="I46" s="3" t="n">
        <v>3.7</v>
      </c>
      <c r="J46" s="3" t="n">
        <v>3.7</v>
      </c>
      <c r="K46" s="3" t="n">
        <v>3.7</v>
      </c>
      <c r="L46" s="3" t="n">
        <v>3.7</v>
      </c>
    </row>
    <row r="47" customFormat="false" ht="15" hidden="false" customHeight="false" outlineLevel="0" collapsed="false">
      <c r="A47" s="0" t="s">
        <v>112</v>
      </c>
      <c r="C47" s="3" t="n">
        <v>30.5</v>
      </c>
      <c r="D47" s="3" t="n">
        <v>30.5</v>
      </c>
      <c r="E47" s="3" t="n">
        <v>30.5</v>
      </c>
      <c r="F47" s="3" t="n">
        <v>30.5</v>
      </c>
      <c r="G47" s="3" t="n">
        <v>30.5</v>
      </c>
      <c r="H47" s="3" t="n">
        <v>30.5</v>
      </c>
      <c r="I47" s="3" t="n">
        <v>30.5</v>
      </c>
      <c r="J47" s="3" t="n">
        <v>30.5</v>
      </c>
      <c r="K47" s="3" t="n">
        <v>30.5</v>
      </c>
      <c r="L47" s="3" t="n">
        <v>30.5</v>
      </c>
    </row>
    <row r="48" customFormat="false" ht="15" hidden="false" customHeight="false" outlineLevel="0" collapsed="false">
      <c r="A48" s="0" t="s">
        <v>113</v>
      </c>
      <c r="B48" s="3" t="n">
        <v>7</v>
      </c>
    </row>
    <row r="49" customFormat="false" ht="15" hidden="false" customHeight="false" outlineLevel="0" collapsed="false">
      <c r="A49" s="0" t="s">
        <v>114</v>
      </c>
      <c r="B49" s="3" t="n">
        <v>2.5</v>
      </c>
    </row>
    <row r="50" customFormat="false" ht="15" hidden="false" customHeight="false" outlineLevel="0" collapsed="false">
      <c r="A50" s="0" t="s">
        <v>115</v>
      </c>
      <c r="B50" s="3" t="n">
        <v>20</v>
      </c>
    </row>
    <row r="51" customFormat="false" ht="15" hidden="false" customHeight="false" outlineLevel="0" collapsed="false">
      <c r="A51" s="0" t="s">
        <v>116</v>
      </c>
      <c r="B51" s="3" t="n">
        <v>-12</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-5</v>
      </c>
      <c r="D5" s="4" t="n">
        <f aca="false">Assumptions!D13</f>
        <v>-1</v>
      </c>
      <c r="E5" s="4" t="n">
        <f aca="false">Assumptions!E13</f>
        <v>1.5</v>
      </c>
      <c r="F5" s="4" t="n">
        <f aca="false">Assumptions!F13</f>
        <v>2.5</v>
      </c>
      <c r="G5" s="4" t="n">
        <f aca="false">Assumptions!G13</f>
        <v>3</v>
      </c>
      <c r="H5" s="4" t="n">
        <f aca="false">Assumptions!H13</f>
        <v>3</v>
      </c>
      <c r="I5" s="4" t="n">
        <f aca="false">Assumptions!I13</f>
        <v>2.5</v>
      </c>
      <c r="J5" s="4" t="n">
        <f aca="false">Assumptions!J13</f>
        <v>2.5</v>
      </c>
      <c r="K5" s="4" t="n">
        <f aca="false">Assumptions!K13</f>
        <v>2</v>
      </c>
      <c r="L5" s="4" t="n">
        <f aca="false">Assumptions!L13</f>
        <v>2</v>
      </c>
    </row>
    <row r="6" customFormat="false" ht="15" hidden="false" customHeight="false" outlineLevel="0" collapsed="false">
      <c r="A6" s="0" t="s">
        <v>37</v>
      </c>
      <c r="B6" s="3" t="n">
        <v>9852</v>
      </c>
      <c r="C6" s="0" t="n">
        <f aca="false">B6*(1+C5/100)</f>
        <v>9359.4</v>
      </c>
      <c r="D6" s="0" t="n">
        <f aca="false">C6*(1+D5/100)</f>
        <v>9265.806</v>
      </c>
      <c r="E6" s="0" t="n">
        <f aca="false">D6*(1+E5/100)</f>
        <v>9404.79309</v>
      </c>
      <c r="F6" s="0" t="n">
        <f aca="false">E6*(1+F5/100)</f>
        <v>9639.91291725</v>
      </c>
      <c r="G6" s="0" t="n">
        <f aca="false">F6*(1+G5/100)</f>
        <v>9929.1103047675</v>
      </c>
      <c r="H6" s="0" t="n">
        <f aca="false">G6*(1+H5/100)</f>
        <v>10226.9836139105</v>
      </c>
      <c r="I6" s="0" t="n">
        <f aca="false">H6*(1+I5/100)</f>
        <v>10482.6582042583</v>
      </c>
      <c r="J6" s="0" t="n">
        <f aca="false">I6*(1+J5/100)</f>
        <v>10744.7246593647</v>
      </c>
      <c r="K6" s="0" t="n">
        <f aca="false">J6*(1+K5/100)</f>
        <v>10959.619152552</v>
      </c>
      <c r="L6" s="0" t="n">
        <f aca="false">K6*(1+L5/100)</f>
        <v>11178.8115356031</v>
      </c>
    </row>
    <row r="7" customFormat="false" ht="15" hidden="false" customHeight="false" outlineLevel="0" collapsed="false">
      <c r="A7" s="0" t="s">
        <v>107</v>
      </c>
      <c r="C7" s="4" t="n">
        <f aca="false">Assumptions!C14</f>
        <v>14.7</v>
      </c>
      <c r="D7" s="4" t="n">
        <f aca="false">Assumptions!D14</f>
        <v>14.6</v>
      </c>
      <c r="E7" s="4" t="n">
        <f aca="false">Assumptions!E14</f>
        <v>14.9</v>
      </c>
      <c r="F7" s="4" t="n">
        <f aca="false">Assumptions!F14</f>
        <v>15.2</v>
      </c>
      <c r="G7" s="4" t="n">
        <f aca="false">Assumptions!G14</f>
        <v>15.3</v>
      </c>
      <c r="H7" s="4" t="n">
        <f aca="false">Assumptions!H14</f>
        <v>15.3</v>
      </c>
      <c r="I7" s="4" t="n">
        <f aca="false">Assumptions!I14</f>
        <v>15.3</v>
      </c>
      <c r="J7" s="4" t="n">
        <f aca="false">Assumptions!J14</f>
        <v>15.3</v>
      </c>
      <c r="K7" s="4" t="n">
        <f aca="false">Assumptions!K14</f>
        <v>15.3</v>
      </c>
      <c r="L7" s="4" t="n">
        <f aca="false">Assumptions!L14</f>
        <v>15.3</v>
      </c>
    </row>
    <row r="8" customFormat="false" ht="15" hidden="false" customHeight="false" outlineLevel="0" collapsed="false">
      <c r="A8" s="0" t="s">
        <v>43</v>
      </c>
      <c r="C8" s="0" t="n">
        <f aca="false">C6*C7/100</f>
        <v>1375.8318</v>
      </c>
      <c r="D8" s="0" t="n">
        <f aca="false">D6*D7/100</f>
        <v>1352.807676</v>
      </c>
      <c r="E8" s="0" t="n">
        <f aca="false">E6*E7/100</f>
        <v>1401.31417041</v>
      </c>
      <c r="F8" s="0" t="n">
        <f aca="false">F6*F7/100</f>
        <v>1465.266763422</v>
      </c>
      <c r="G8" s="0" t="n">
        <f aca="false">G6*G7/100</f>
        <v>1519.15387662943</v>
      </c>
      <c r="H8" s="0" t="n">
        <f aca="false">H6*H7/100</f>
        <v>1564.72849292831</v>
      </c>
      <c r="I8" s="0" t="n">
        <f aca="false">I6*I7/100</f>
        <v>1603.84670525152</v>
      </c>
      <c r="J8" s="0" t="n">
        <f aca="false">J6*J7/100</f>
        <v>1643.94287288281</v>
      </c>
      <c r="K8" s="0" t="n">
        <f aca="false">K6*K7/100</f>
        <v>1676.82173034046</v>
      </c>
      <c r="L8" s="0" t="n">
        <f aca="false">L6*L7/100</f>
        <v>1710.35816494727</v>
      </c>
    </row>
    <row r="9" customFormat="false" ht="15" hidden="false" customHeight="false" outlineLevel="0" collapsed="false">
      <c r="A9" s="0" t="s">
        <v>108</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124</v>
      </c>
      <c r="C11" s="0" t="n">
        <f aca="false">C8+C10+C24</f>
        <v>1296.2769</v>
      </c>
      <c r="D11" s="0" t="n">
        <f aca="false">D8+D10+D24</f>
        <v>1274.048325</v>
      </c>
      <c r="E11" s="0" t="n">
        <f aca="false">E8+E10+E24</f>
        <v>1321.373429145</v>
      </c>
      <c r="F11" s="0" t="n">
        <f aca="false">F8+F10+F24</f>
        <v>1383.32750362537</v>
      </c>
      <c r="G11" s="0" t="n">
        <f aca="false">G8+G10+G24</f>
        <v>1434.7564390389</v>
      </c>
      <c r="H11" s="0" t="n">
        <f aca="false">H8+H10+H24</f>
        <v>1477.79913221007</v>
      </c>
      <c r="I11" s="0" t="n">
        <f aca="false">I8+I10+I24</f>
        <v>1514.74411051532</v>
      </c>
      <c r="J11" s="0" t="n">
        <f aca="false">J8+J10+J24</f>
        <v>1552.61271327821</v>
      </c>
      <c r="K11" s="0" t="n">
        <f aca="false">K8+K10+K24</f>
        <v>1583.66496754377</v>
      </c>
      <c r="L11" s="0" t="n">
        <f aca="false">L8+L10+L24</f>
        <v>1615.33826689465</v>
      </c>
    </row>
    <row r="12" customFormat="false" ht="15" hidden="false" customHeight="false" outlineLevel="0" collapsed="false">
      <c r="A12" s="0" t="s">
        <v>125</v>
      </c>
      <c r="C12" s="4" t="n">
        <f aca="false">-C6*Assumptions!C17/100</f>
        <v>-252.7038</v>
      </c>
      <c r="D12" s="4" t="n">
        <f aca="false">-D6*Assumptions!D17/100</f>
        <v>-259.442568</v>
      </c>
      <c r="E12" s="4" t="n">
        <f aca="false">-E6*Assumptions!E17/100</f>
        <v>-272.73899961</v>
      </c>
      <c r="F12" s="4" t="n">
        <f aca="false">-F6*Assumptions!F17/100</f>
        <v>-289.1973875175</v>
      </c>
      <c r="G12" s="4" t="n">
        <f aca="false">-G6*Assumptions!G17/100</f>
        <v>-307.802419447792</v>
      </c>
      <c r="H12" s="4" t="n">
        <f aca="false">-H6*Assumptions!H17/100</f>
        <v>-327.263475645137</v>
      </c>
      <c r="I12" s="4" t="n">
        <f aca="false">-I6*Assumptions!I17/100</f>
        <v>-335.445062536265</v>
      </c>
      <c r="J12" s="4" t="n">
        <f aca="false">-J6*Assumptions!J17/100</f>
        <v>-343.831189099672</v>
      </c>
      <c r="K12" s="4" t="n">
        <f aca="false">-K6*Assumptions!K17/100</f>
        <v>-350.707812881665</v>
      </c>
      <c r="L12" s="4" t="n">
        <f aca="false">-L6*Assumptions!L17/100</f>
        <v>-357.721969139299</v>
      </c>
    </row>
    <row r="13" customFormat="false" ht="15" hidden="false" customHeight="false" outlineLevel="0" collapsed="false">
      <c r="A13" s="0" t="s">
        <v>126</v>
      </c>
      <c r="C13" s="0" t="n">
        <f aca="false">C11+C12</f>
        <v>1043.5731</v>
      </c>
      <c r="D13" s="0" t="n">
        <f aca="false">D11+D12</f>
        <v>1014.605757</v>
      </c>
      <c r="E13" s="0" t="n">
        <f aca="false">E11+E12</f>
        <v>1048.634429535</v>
      </c>
      <c r="F13" s="0" t="n">
        <f aca="false">F11+F12</f>
        <v>1094.13011610787</v>
      </c>
      <c r="G13" s="0" t="n">
        <f aca="false">G11+G12</f>
        <v>1126.95401959111</v>
      </c>
      <c r="H13" s="0" t="n">
        <f aca="false">H11+H12</f>
        <v>1150.53565656493</v>
      </c>
      <c r="I13" s="0" t="n">
        <f aca="false">I11+I12</f>
        <v>1179.29904797906</v>
      </c>
      <c r="J13" s="0" t="n">
        <f aca="false">J11+J12</f>
        <v>1208.78152417853</v>
      </c>
      <c r="K13" s="0" t="n">
        <f aca="false">K11+K12</f>
        <v>1232.9571546621</v>
      </c>
      <c r="L13" s="0" t="n">
        <f aca="false">L11+L12</f>
        <v>1257.61629775535</v>
      </c>
    </row>
    <row r="14" customFormat="false" ht="15" hidden="false" customHeight="false" outlineLevel="0" collapsed="false">
      <c r="A14" s="0" t="s">
        <v>112</v>
      </c>
      <c r="C14" s="4" t="n">
        <f aca="false">Assumptions!C19</f>
        <v>30.5</v>
      </c>
      <c r="D14" s="4" t="n">
        <f aca="false">Assumptions!D19</f>
        <v>30.5</v>
      </c>
      <c r="E14" s="4" t="n">
        <f aca="false">Assumptions!E19</f>
        <v>30.5</v>
      </c>
      <c r="F14" s="4" t="n">
        <f aca="false">Assumptions!F19</f>
        <v>30.5</v>
      </c>
      <c r="G14" s="4" t="n">
        <f aca="false">Assumptions!G19</f>
        <v>30.5</v>
      </c>
      <c r="H14" s="4" t="n">
        <f aca="false">Assumptions!H19</f>
        <v>30.5</v>
      </c>
      <c r="I14" s="4" t="n">
        <f aca="false">Assumptions!I19</f>
        <v>30.5</v>
      </c>
      <c r="J14" s="4" t="n">
        <f aca="false">Assumptions!J19</f>
        <v>30.5</v>
      </c>
      <c r="K14" s="4" t="n">
        <f aca="false">Assumptions!K19</f>
        <v>30.5</v>
      </c>
      <c r="L14" s="4" t="n">
        <f aca="false">Assumptions!L19</f>
        <v>30.5</v>
      </c>
    </row>
    <row r="15" customFormat="false" ht="15" hidden="false" customHeight="false" outlineLevel="0" collapsed="false">
      <c r="A15" s="0" t="s">
        <v>127</v>
      </c>
      <c r="C15" s="0" t="n">
        <f aca="false">C13-MAX(0,C13)*C14/100</f>
        <v>725.2833045</v>
      </c>
      <c r="D15" s="0" t="n">
        <f aca="false">D13-MAX(0,D13)*D14/100</f>
        <v>705.151001115</v>
      </c>
      <c r="E15" s="0" t="n">
        <f aca="false">E13-MAX(0,E13)*E14/100</f>
        <v>728.800928526825</v>
      </c>
      <c r="F15" s="0" t="n">
        <f aca="false">F13-MAX(0,F13)*F14/100</f>
        <v>760.420430694973</v>
      </c>
      <c r="G15" s="0" t="n">
        <f aca="false">G13-MAX(0,G13)*G14/100</f>
        <v>783.233043615822</v>
      </c>
      <c r="H15" s="0" t="n">
        <f aca="false">H13-MAX(0,H13)*H14/100</f>
        <v>799.622281312629</v>
      </c>
      <c r="I15" s="0" t="n">
        <f aca="false">I13-MAX(0,I13)*I14/100</f>
        <v>819.612838345445</v>
      </c>
      <c r="J15" s="0" t="n">
        <f aca="false">J13-MAX(0,J13)*J14/100</f>
        <v>840.103159304081</v>
      </c>
      <c r="K15" s="0" t="n">
        <f aca="false">K13-MAX(0,K13)*K14/100</f>
        <v>856.905222490162</v>
      </c>
      <c r="L15" s="0" t="n">
        <f aca="false">L13-MAX(0,L13)*L14/100</f>
        <v>874.043326939966</v>
      </c>
    </row>
    <row r="16" customFormat="false" ht="15" hidden="false" customHeight="false" outlineLevel="0" collapsed="false">
      <c r="A16" s="0" t="s">
        <v>128</v>
      </c>
      <c r="C16" s="0" t="n">
        <f aca="false">-C12</f>
        <v>252.7038</v>
      </c>
      <c r="D16" s="0" t="n">
        <f aca="false">-D12</f>
        <v>259.442568</v>
      </c>
      <c r="E16" s="0" t="n">
        <f aca="false">-E12</f>
        <v>272.73899961</v>
      </c>
      <c r="F16" s="0" t="n">
        <f aca="false">-F12</f>
        <v>289.1973875175</v>
      </c>
      <c r="G16" s="0" t="n">
        <f aca="false">-G12</f>
        <v>307.802419447792</v>
      </c>
      <c r="H16" s="0" t="n">
        <f aca="false">-H12</f>
        <v>327.263475645137</v>
      </c>
      <c r="I16" s="0" t="n">
        <f aca="false">-I12</f>
        <v>335.445062536265</v>
      </c>
      <c r="J16" s="0" t="n">
        <f aca="false">-J12</f>
        <v>343.831189099672</v>
      </c>
      <c r="K16" s="0" t="n">
        <f aca="false">-K12</f>
        <v>350.707812881665</v>
      </c>
      <c r="L16" s="0" t="n">
        <f aca="false">-L12</f>
        <v>357.721969139299</v>
      </c>
    </row>
    <row r="17" customFormat="false" ht="15" hidden="false" customHeight="false" outlineLevel="0" collapsed="false">
      <c r="A17" s="0" t="s">
        <v>129</v>
      </c>
      <c r="C17" s="4" t="n">
        <f aca="false">-C6*Assumptions!C18/100</f>
        <v>-430.5324</v>
      </c>
      <c r="D17" s="4" t="n">
        <f aca="false">-D6*Assumptions!D18/100</f>
        <v>-416.96127</v>
      </c>
      <c r="E17" s="4" t="n">
        <f aca="false">-E6*Assumptions!E18/100</f>
        <v>-404.40610287</v>
      </c>
      <c r="F17" s="4" t="n">
        <f aca="false">-F6*Assumptions!F18/100</f>
        <v>-385.59651669</v>
      </c>
      <c r="G17" s="4" t="n">
        <f aca="false">-G6*Assumptions!G18/100</f>
        <v>-377.306191581165</v>
      </c>
      <c r="H17" s="4" t="n">
        <f aca="false">-H6*Assumptions!H18/100</f>
        <v>-378.398393714689</v>
      </c>
      <c r="I17" s="4" t="n">
        <f aca="false">-I6*Assumptions!I18/100</f>
        <v>-387.858353557557</v>
      </c>
      <c r="J17" s="4" t="n">
        <f aca="false">-J6*Assumptions!J18/100</f>
        <v>-397.554812396496</v>
      </c>
      <c r="K17" s="4" t="n">
        <f aca="false">-K6*Assumptions!K18/100</f>
        <v>-405.505908644425</v>
      </c>
      <c r="L17" s="4" t="n">
        <f aca="false">-L6*Assumptions!L18/100</f>
        <v>-413.616026817314</v>
      </c>
    </row>
    <row r="18" customFormat="false" ht="15" hidden="false" customHeight="false" outlineLevel="0" collapsed="false">
      <c r="A18" s="0" t="s">
        <v>130</v>
      </c>
      <c r="C18" s="4" t="n">
        <f aca="false">(C6-B6)*Assumptions!$B$23/100</f>
        <v>59.112</v>
      </c>
      <c r="D18" s="4" t="n">
        <f aca="false">(D6-C6)*Assumptions!$B$23/100</f>
        <v>11.2312800000001</v>
      </c>
      <c r="E18" s="4" t="n">
        <f aca="false">(E6-D6)*Assumptions!$B$23/100</f>
        <v>-16.6784507999998</v>
      </c>
      <c r="F18" s="4" t="n">
        <f aca="false">(F6-E6)*Assumptions!$B$23/100</f>
        <v>-28.2143792699998</v>
      </c>
      <c r="G18" s="4" t="n">
        <f aca="false">(G6-F6)*Assumptions!$B$23/100</f>
        <v>-34.7036865021001</v>
      </c>
      <c r="H18" s="4" t="n">
        <f aca="false">(H6-G6)*Assumptions!$B$23/100</f>
        <v>-35.7447970971631</v>
      </c>
      <c r="I18" s="4" t="n">
        <f aca="false">(I6-H6)*Assumptions!$B$23/100</f>
        <v>-30.6809508417315</v>
      </c>
      <c r="J18" s="4" t="n">
        <f aca="false">(J6-I6)*Assumptions!$B$23/100</f>
        <v>-31.4479746127748</v>
      </c>
      <c r="K18" s="4" t="n">
        <f aca="false">(K6-J6)*Assumptions!$B$23/100</f>
        <v>-25.7873391824755</v>
      </c>
      <c r="L18" s="4" t="n">
        <f aca="false">(L6-K6)*Assumptions!$B$23/100</f>
        <v>-26.3030859661249</v>
      </c>
    </row>
    <row r="19" customFormat="false" ht="15" hidden="false" customHeight="false" outlineLevel="0" collapsed="false">
      <c r="A19" s="0" t="s">
        <v>131</v>
      </c>
      <c r="C19" s="0" t="n">
        <f aca="false">C15+C16+C17+C18</f>
        <v>606.5667045</v>
      </c>
      <c r="D19" s="0" t="n">
        <f aca="false">D15+D16+D17+D18</f>
        <v>558.863579115</v>
      </c>
      <c r="E19" s="0" t="n">
        <f aca="false">E15+E16+E17+E18</f>
        <v>580.455374466825</v>
      </c>
      <c r="F19" s="0" t="n">
        <f aca="false">F15+F16+F17+F18</f>
        <v>635.806922252473</v>
      </c>
      <c r="G19" s="0" t="n">
        <f aca="false">G15+G16+G17+G18</f>
        <v>679.025584980349</v>
      </c>
      <c r="H19" s="0" t="n">
        <f aca="false">H15+H16+H17+H18</f>
        <v>712.742566145913</v>
      </c>
      <c r="I19" s="0" t="n">
        <f aca="false">I15+I16+I17+I18</f>
        <v>736.518596482422</v>
      </c>
      <c r="J19" s="0" t="n">
        <f aca="false">J15+J16+J17+J18</f>
        <v>754.931561394482</v>
      </c>
      <c r="K19" s="0" t="n">
        <f aca="false">K15+K16+K17+K18</f>
        <v>776.319787544927</v>
      </c>
      <c r="L19" s="0" t="n">
        <f aca="false">L15+L16+L17+L18</f>
        <v>791.846183295826</v>
      </c>
    </row>
    <row r="20" customFormat="false" ht="15" hidden="false" customHeight="false" outlineLevel="0" collapsed="false">
      <c r="A20" s="0" t="s">
        <v>132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133</v>
      </c>
      <c r="C21" s="0" t="n">
        <f aca="false">C19*C20</f>
        <v>566.884770560748</v>
      </c>
      <c r="D21" s="0" t="n">
        <f aca="false">D19*D20</f>
        <v>488.133093820421</v>
      </c>
      <c r="E21" s="0" t="n">
        <f aca="false">E19*E20</f>
        <v>473.824489807154</v>
      </c>
      <c r="F21" s="0" t="n">
        <f aca="false">F19*F20</f>
        <v>485.054056773085</v>
      </c>
      <c r="G21" s="0" t="n">
        <f aca="false">G19*G20</f>
        <v>484.135857606802</v>
      </c>
      <c r="H21" s="0" t="n">
        <f aca="false">H19*H20</f>
        <v>474.930466534356</v>
      </c>
      <c r="I21" s="0" t="n">
        <f aca="false">I19*I20</f>
        <v>458.666765852629</v>
      </c>
      <c r="J21" s="0" t="n">
        <f aca="false">J19*J20</f>
        <v>439.377042055089</v>
      </c>
      <c r="K21" s="0" t="n">
        <f aca="false">K19*K20</f>
        <v>422.266527481443</v>
      </c>
      <c r="L21" s="0" t="n">
        <f aca="false">L19*L20</f>
        <v>402.534446758011</v>
      </c>
    </row>
    <row r="23" customFormat="false" ht="15" hidden="false" customHeight="false" outlineLevel="0" collapsed="false">
      <c r="A23" s="0" t="s">
        <v>109</v>
      </c>
      <c r="C23" s="4" t="n">
        <f aca="false">Assumptions!C16</f>
        <v>0.85</v>
      </c>
      <c r="D23" s="4" t="n">
        <f aca="false">Assumptions!D16</f>
        <v>0.85</v>
      </c>
      <c r="E23" s="4" t="n">
        <f aca="false">Assumptions!E16</f>
        <v>0.85</v>
      </c>
      <c r="F23" s="4" t="n">
        <f aca="false">Assumptions!F16</f>
        <v>0.85</v>
      </c>
      <c r="G23" s="4" t="n">
        <f aca="false">Assumptions!G16</f>
        <v>0.85</v>
      </c>
      <c r="H23" s="4" t="n">
        <f aca="false">Assumptions!H16</f>
        <v>0.85</v>
      </c>
      <c r="I23" s="4" t="n">
        <f aca="false">Assumptions!I16</f>
        <v>0.85</v>
      </c>
      <c r="J23" s="4" t="n">
        <f aca="false">Assumptions!J16</f>
        <v>0.85</v>
      </c>
      <c r="K23" s="4" t="n">
        <f aca="false">Assumptions!K16</f>
        <v>0.85</v>
      </c>
      <c r="L23" s="4" t="n">
        <f aca="false">Assumptions!L16</f>
        <v>0.85</v>
      </c>
    </row>
    <row r="24" customFormat="false" ht="15" hidden="false" customHeight="false" outlineLevel="0" collapsed="false">
      <c r="A24" s="0" t="s">
        <v>134</v>
      </c>
      <c r="C24" s="0" t="n">
        <f aca="false">-C6*C23/100</f>
        <v>-79.5549</v>
      </c>
      <c r="D24" s="0" t="n">
        <f aca="false">-D6*D23/100</f>
        <v>-78.759351</v>
      </c>
      <c r="E24" s="0" t="n">
        <f aca="false">-E6*E23/100</f>
        <v>-79.940741265</v>
      </c>
      <c r="F24" s="0" t="n">
        <f aca="false">-F6*F23/100</f>
        <v>-81.939259796625</v>
      </c>
      <c r="G24" s="0" t="n">
        <f aca="false">-G6*G23/100</f>
        <v>-84.3974375905237</v>
      </c>
      <c r="H24" s="0" t="n">
        <f aca="false">-H6*H23/100</f>
        <v>-86.9293607182394</v>
      </c>
      <c r="I24" s="0" t="n">
        <f aca="false">-I6*I23/100</f>
        <v>-89.1025947361954</v>
      </c>
      <c r="J24" s="0" t="n">
        <f aca="false">-J6*J23/100</f>
        <v>-91.3301596046003</v>
      </c>
      <c r="K24" s="0" t="n">
        <f aca="false">-K6*K23/100</f>
        <v>-93.1567627966923</v>
      </c>
      <c r="L24" s="0" t="n">
        <f aca="false">-L6*L23/100</f>
        <v>-95.0198980526262</v>
      </c>
    </row>
    <row r="26" customFormat="false" ht="15" hidden="false" customHeight="false" outlineLevel="0" collapsed="false">
      <c r="A26" s="2" t="s">
        <v>135</v>
      </c>
    </row>
    <row r="27" customFormat="false" ht="15" hidden="false" customHeight="false" outlineLevel="0" collapsed="false">
      <c r="A27" s="0" t="s">
        <v>113</v>
      </c>
      <c r="B27" s="4" t="n">
        <f aca="false">Assumptions!$B$20</f>
        <v>7</v>
      </c>
    </row>
    <row r="28" customFormat="false" ht="15" hidden="false" customHeight="false" outlineLevel="0" collapsed="false">
      <c r="A28" s="0" t="s">
        <v>114</v>
      </c>
      <c r="B28" s="4" t="n">
        <f aca="false">Assumptions!$B$21</f>
        <v>2</v>
      </c>
    </row>
    <row r="29" customFormat="false" ht="15" hidden="false" customHeight="false" outlineLevel="0" collapsed="false">
      <c r="A29" s="0" t="s">
        <v>115</v>
      </c>
      <c r="B29" s="4" t="n">
        <f aca="false">Assumptions!$B$22</f>
        <v>18</v>
      </c>
    </row>
    <row r="30" customFormat="false" ht="15" hidden="false" customHeight="false" outlineLevel="0" collapsed="false">
      <c r="A30" s="0" t="s">
        <v>136</v>
      </c>
      <c r="B30" s="0" t="n">
        <f aca="false">SUM(C21:L21)</f>
        <v>4695.80751724974</v>
      </c>
    </row>
    <row r="31" customFormat="false" ht="15" hidden="false" customHeight="false" outlineLevel="0" collapsed="false">
      <c r="A31" s="0" t="s">
        <v>137</v>
      </c>
      <c r="B31" s="0" t="n">
        <f aca="false">L19</f>
        <v>791.846183295826</v>
      </c>
    </row>
    <row r="32" customFormat="false" ht="15" hidden="false" customHeight="false" outlineLevel="0" collapsed="false">
      <c r="A32" s="0" t="s">
        <v>138</v>
      </c>
      <c r="B32" s="0" t="n">
        <f aca="false">IF(B27&gt;B28,B31*(1+B28/100)/((B27-B28)/100),B31*B29)</f>
        <v>16153.6621392348</v>
      </c>
    </row>
    <row r="33" customFormat="false" ht="15" hidden="false" customHeight="false" outlineLevel="0" collapsed="false">
      <c r="A33" s="0" t="s">
        <v>139</v>
      </c>
      <c r="B33" s="0" t="n">
        <f aca="false">B31*B29</f>
        <v>14253.2312993249</v>
      </c>
    </row>
    <row r="34" customFormat="false" ht="15" hidden="false" customHeight="false" outlineLevel="0" collapsed="false">
      <c r="A34" s="0" t="s">
        <v>140</v>
      </c>
      <c r="B34" s="0" t="n">
        <f aca="false">MAX(0,MIN(B32,B33))</f>
        <v>14253.2312993249</v>
      </c>
    </row>
    <row r="35" customFormat="false" ht="15" hidden="false" customHeight="false" outlineLevel="0" collapsed="false">
      <c r="A35" s="0" t="s">
        <v>141</v>
      </c>
      <c r="B35" s="0" t="n">
        <f aca="false">B34/(1+B27/100)^L4</f>
        <v>7245.62004164419</v>
      </c>
    </row>
    <row r="36" customFormat="false" ht="15" hidden="false" customHeight="false" outlineLevel="0" collapsed="false">
      <c r="A36" s="0" t="s">
        <v>142</v>
      </c>
      <c r="B36" s="0" t="n">
        <f aca="false">B30+B35</f>
        <v>11941.4275588939</v>
      </c>
    </row>
    <row r="37" customFormat="false" ht="15" hidden="false" customHeight="false" outlineLevel="0" collapsed="false">
      <c r="A37" s="0" t="s">
        <v>143</v>
      </c>
      <c r="B37" s="0" t="n">
        <f aca="false">B36+Assumptions!$B$5-Assumptions!$B$4</f>
        <v>15386.4275588939</v>
      </c>
    </row>
    <row r="38" customFormat="false" ht="15" hidden="false" customHeight="false" outlineLevel="0" collapsed="false">
      <c r="A38" s="0" t="s">
        <v>144</v>
      </c>
      <c r="B38" s="0" t="n">
        <f aca="false">B37/Assumptions!$B$3*Assumptions!$B$10</f>
        <v>70.556316274339</v>
      </c>
    </row>
    <row r="39" customFormat="false" ht="15" hidden="false" customHeight="false" outlineLevel="0" collapsed="false">
      <c r="A39" s="0" t="s">
        <v>145</v>
      </c>
      <c r="B39" s="4" t="n">
        <f aca="false">B38/Assumptions!$B$2-1</f>
        <v>-0.161242079477663</v>
      </c>
    </row>
    <row r="41" customFormat="false" ht="15" hidden="false" customHeight="false" outlineLevel="0" collapsed="false">
      <c r="A41" s="0" t="s">
        <v>146</v>
      </c>
      <c r="B41" s="0" t="n">
        <f aca="false">SUMPRODUCT(-C10:L10/(1+$B$27/100)^C4:L4)</f>
        <v>0</v>
      </c>
    </row>
    <row r="42" customFormat="false" ht="15" hidden="false" customHeight="false" outlineLevel="0" collapsed="false">
      <c r="A42" s="0" t="s">
        <v>147</v>
      </c>
      <c r="B42" s="0" t="n">
        <f aca="false">IF(B27&gt;B28,-L10*(1+B28/100)/((B27-B28)/100),-L10*20)/(1+B27/100)^L4</f>
        <v>0</v>
      </c>
    </row>
    <row r="43" customFormat="false" ht="15" hidden="false" customHeight="false" outlineLevel="0" collapsed="false">
      <c r="A43" s="0" t="s">
        <v>148</v>
      </c>
      <c r="B43" s="0" t="n">
        <f aca="false">(B37+B41+B42)/Assumptions!$B$3*Assumptions!$B$10</f>
        <v>70.556316274339</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6212.94697662879</v>
      </c>
    </row>
    <row r="47" customFormat="false" ht="15" hidden="false" customHeight="false" outlineLevel="0" collapsed="false">
      <c r="A47" s="0" t="s">
        <v>150</v>
      </c>
      <c r="B47" s="0" t="n">
        <f aca="false">(SUMPRODUCT(C19:L19/(1+B45/100)^C4:L4)+B46/(1+B45/100)^L4+Assumptions!$B$5-Assumptions!$B$4)/Assumptions!$B$3*Assumptions!$B$10</f>
        <v>37.8853747689493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-4</v>
      </c>
      <c r="D5" s="4" t="n">
        <f aca="false">Assumptions!D27</f>
        <v>2</v>
      </c>
      <c r="E5" s="4" t="n">
        <f aca="false">Assumptions!E27</f>
        <v>4</v>
      </c>
      <c r="F5" s="4" t="n">
        <f aca="false">Assumptions!F27</f>
        <v>4.5</v>
      </c>
      <c r="G5" s="4" t="n">
        <f aca="false">Assumptions!G27</f>
        <v>4.5</v>
      </c>
      <c r="H5" s="4" t="n">
        <f aca="false">Assumptions!H27</f>
        <v>4</v>
      </c>
      <c r="I5" s="4" t="n">
        <f aca="false">Assumptions!I27</f>
        <v>3.5</v>
      </c>
      <c r="J5" s="4" t="n">
        <f aca="false">Assumptions!J27</f>
        <v>3</v>
      </c>
      <c r="K5" s="4" t="n">
        <f aca="false">Assumptions!K27</f>
        <v>3</v>
      </c>
      <c r="L5" s="4" t="n">
        <f aca="false">Assumptions!L27</f>
        <v>2.5</v>
      </c>
    </row>
    <row r="6" customFormat="false" ht="15" hidden="false" customHeight="false" outlineLevel="0" collapsed="false">
      <c r="A6" s="0" t="s">
        <v>37</v>
      </c>
      <c r="B6" s="3" t="n">
        <v>9852</v>
      </c>
      <c r="C6" s="0" t="n">
        <f aca="false">B6*(1+C5/100)</f>
        <v>9457.92</v>
      </c>
      <c r="D6" s="0" t="n">
        <f aca="false">C6*(1+D5/100)</f>
        <v>9647.0784</v>
      </c>
      <c r="E6" s="0" t="n">
        <f aca="false">D6*(1+E5/100)</f>
        <v>10032.961536</v>
      </c>
      <c r="F6" s="0" t="n">
        <f aca="false">E6*(1+F5/100)</f>
        <v>10484.44480512</v>
      </c>
      <c r="G6" s="0" t="n">
        <f aca="false">F6*(1+G5/100)</f>
        <v>10956.2448213504</v>
      </c>
      <c r="H6" s="0" t="n">
        <f aca="false">G6*(1+H5/100)</f>
        <v>11394.4946142044</v>
      </c>
      <c r="I6" s="0" t="n">
        <f aca="false">H6*(1+I5/100)</f>
        <v>11793.3019257016</v>
      </c>
      <c r="J6" s="0" t="n">
        <f aca="false">I6*(1+J5/100)</f>
        <v>12147.1009834726</v>
      </c>
      <c r="K6" s="0" t="n">
        <f aca="false">J6*(1+K5/100)</f>
        <v>12511.5140129768</v>
      </c>
      <c r="L6" s="0" t="n">
        <f aca="false">K6*(1+L5/100)</f>
        <v>12824.3018633012</v>
      </c>
    </row>
    <row r="7" customFormat="false" ht="15" hidden="false" customHeight="false" outlineLevel="0" collapsed="false">
      <c r="A7" s="0" t="s">
        <v>107</v>
      </c>
      <c r="C7" s="4" t="n">
        <f aca="false">Assumptions!C28</f>
        <v>14.9</v>
      </c>
      <c r="D7" s="4" t="n">
        <f aca="false">Assumptions!D28</f>
        <v>15.4</v>
      </c>
      <c r="E7" s="4" t="n">
        <f aca="false">Assumptions!E28</f>
        <v>16</v>
      </c>
      <c r="F7" s="4" t="n">
        <f aca="false">Assumptions!F28</f>
        <v>16.4</v>
      </c>
      <c r="G7" s="4" t="n">
        <f aca="false">Assumptions!G28</f>
        <v>16.6</v>
      </c>
      <c r="H7" s="4" t="n">
        <f aca="false">Assumptions!H28</f>
        <v>16.6</v>
      </c>
      <c r="I7" s="4" t="n">
        <f aca="false">Assumptions!I28</f>
        <v>16.6</v>
      </c>
      <c r="J7" s="4" t="n">
        <f aca="false">Assumptions!J28</f>
        <v>16.6</v>
      </c>
      <c r="K7" s="4" t="n">
        <f aca="false">Assumptions!K28</f>
        <v>16.6</v>
      </c>
      <c r="L7" s="4" t="n">
        <f aca="false">Assumptions!L28</f>
        <v>16.6</v>
      </c>
    </row>
    <row r="8" customFormat="false" ht="15" hidden="false" customHeight="false" outlineLevel="0" collapsed="false">
      <c r="A8" s="0" t="s">
        <v>43</v>
      </c>
      <c r="C8" s="0" t="n">
        <f aca="false">C6*C7/100</f>
        <v>1409.23008</v>
      </c>
      <c r="D8" s="0" t="n">
        <f aca="false">D6*D7/100</f>
        <v>1485.6500736</v>
      </c>
      <c r="E8" s="0" t="n">
        <f aca="false">E6*E7/100</f>
        <v>1605.27384576</v>
      </c>
      <c r="F8" s="0" t="n">
        <f aca="false">F6*F7/100</f>
        <v>1719.44894803968</v>
      </c>
      <c r="G8" s="0" t="n">
        <f aca="false">G6*G7/100</f>
        <v>1818.73664034417</v>
      </c>
      <c r="H8" s="0" t="n">
        <f aca="false">H6*H7/100</f>
        <v>1891.48610595793</v>
      </c>
      <c r="I8" s="0" t="n">
        <f aca="false">I6*I7/100</f>
        <v>1957.68811966646</v>
      </c>
      <c r="J8" s="0" t="n">
        <f aca="false">J6*J7/100</f>
        <v>2016.41876325645</v>
      </c>
      <c r="K8" s="0" t="n">
        <f aca="false">K6*K7/100</f>
        <v>2076.91132615415</v>
      </c>
      <c r="L8" s="0" t="n">
        <f aca="false">L6*L7/100</f>
        <v>2128.834109308</v>
      </c>
    </row>
    <row r="9" customFormat="false" ht="15" hidden="false" customHeight="false" outlineLevel="0" collapsed="false">
      <c r="A9" s="0" t="s">
        <v>108</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124</v>
      </c>
      <c r="C11" s="0" t="n">
        <f aca="false">C8+C10+C24</f>
        <v>1328.83776</v>
      </c>
      <c r="D11" s="0" t="n">
        <f aca="false">D8+D10+D24</f>
        <v>1403.6499072</v>
      </c>
      <c r="E11" s="0" t="n">
        <f aca="false">E8+E10+E24</f>
        <v>1519.993672704</v>
      </c>
      <c r="F11" s="0" t="n">
        <f aca="false">F8+F10+F24</f>
        <v>1630.33116719616</v>
      </c>
      <c r="G11" s="0" t="n">
        <f aca="false">G8+G10+G24</f>
        <v>1725.60855936269</v>
      </c>
      <c r="H11" s="0" t="n">
        <f aca="false">H8+H10+H24</f>
        <v>1794.6329017372</v>
      </c>
      <c r="I11" s="0" t="n">
        <f aca="false">I8+I10+I24</f>
        <v>1857.445053298</v>
      </c>
      <c r="J11" s="0" t="n">
        <f aca="false">J8+J10+J24</f>
        <v>1913.16840489694</v>
      </c>
      <c r="K11" s="0" t="n">
        <f aca="false">K8+K10+K24</f>
        <v>1970.56345704385</v>
      </c>
      <c r="L11" s="0" t="n">
        <f aca="false">L8+L10+L24</f>
        <v>2019.82754346994</v>
      </c>
    </row>
    <row r="12" customFormat="false" ht="15" hidden="false" customHeight="false" outlineLevel="0" collapsed="false">
      <c r="A12" s="0" t="s">
        <v>125</v>
      </c>
      <c r="C12" s="4" t="n">
        <f aca="false">-C6*Assumptions!C31/100</f>
        <v>-255.36384</v>
      </c>
      <c r="D12" s="4" t="n">
        <f aca="false">-D6*Assumptions!D31/100</f>
        <v>-270.1181952</v>
      </c>
      <c r="E12" s="4" t="n">
        <f aca="false">-E6*Assumptions!E31/100</f>
        <v>-290.955884544</v>
      </c>
      <c r="F12" s="4" t="n">
        <f aca="false">-F6*Assumptions!F31/100</f>
        <v>-314.5333441536</v>
      </c>
      <c r="G12" s="4" t="n">
        <f aca="false">-G6*Assumptions!G31/100</f>
        <v>-339.643589461862</v>
      </c>
      <c r="H12" s="4" t="n">
        <f aca="false">-H6*Assumptions!H31/100</f>
        <v>-364.623827654541</v>
      </c>
      <c r="I12" s="4" t="n">
        <f aca="false">-I6*Assumptions!I31/100</f>
        <v>-377.38566162245</v>
      </c>
      <c r="J12" s="4" t="n">
        <f aca="false">-J6*Assumptions!J31/100</f>
        <v>-388.707231471124</v>
      </c>
      <c r="K12" s="4" t="n">
        <f aca="false">-K6*Assumptions!K31/100</f>
        <v>-400.368448415258</v>
      </c>
      <c r="L12" s="4" t="n">
        <f aca="false">-L6*Assumptions!L31/100</f>
        <v>-410.377659625639</v>
      </c>
    </row>
    <row r="13" customFormat="false" ht="15" hidden="false" customHeight="false" outlineLevel="0" collapsed="false">
      <c r="A13" s="0" t="s">
        <v>126</v>
      </c>
      <c r="C13" s="0" t="n">
        <f aca="false">C11+C12</f>
        <v>1073.47392</v>
      </c>
      <c r="D13" s="0" t="n">
        <f aca="false">D11+D12</f>
        <v>1133.531712</v>
      </c>
      <c r="E13" s="0" t="n">
        <f aca="false">E11+E12</f>
        <v>1229.03778816</v>
      </c>
      <c r="F13" s="0" t="n">
        <f aca="false">F11+F12</f>
        <v>1315.79782304256</v>
      </c>
      <c r="G13" s="0" t="n">
        <f aca="false">G11+G12</f>
        <v>1385.96496990083</v>
      </c>
      <c r="H13" s="0" t="n">
        <f aca="false">H11+H12</f>
        <v>1430.00907408265</v>
      </c>
      <c r="I13" s="0" t="n">
        <f aca="false">I11+I12</f>
        <v>1480.05939167555</v>
      </c>
      <c r="J13" s="0" t="n">
        <f aca="false">J11+J12</f>
        <v>1524.46117342581</v>
      </c>
      <c r="K13" s="0" t="n">
        <f aca="false">K11+K12</f>
        <v>1570.19500862859</v>
      </c>
      <c r="L13" s="0" t="n">
        <f aca="false">L11+L12</f>
        <v>1609.4498838443</v>
      </c>
    </row>
    <row r="14" customFormat="false" ht="15" hidden="false" customHeight="false" outlineLevel="0" collapsed="false">
      <c r="A14" s="0" t="s">
        <v>112</v>
      </c>
      <c r="C14" s="4" t="n">
        <f aca="false">Assumptions!C33</f>
        <v>30.5</v>
      </c>
      <c r="D14" s="4" t="n">
        <f aca="false">Assumptions!D33</f>
        <v>30.5</v>
      </c>
      <c r="E14" s="4" t="n">
        <f aca="false">Assumptions!E33</f>
        <v>30.5</v>
      </c>
      <c r="F14" s="4" t="n">
        <f aca="false">Assumptions!F33</f>
        <v>30.5</v>
      </c>
      <c r="G14" s="4" t="n">
        <f aca="false">Assumptions!G33</f>
        <v>30.5</v>
      </c>
      <c r="H14" s="4" t="n">
        <f aca="false">Assumptions!H33</f>
        <v>30.5</v>
      </c>
      <c r="I14" s="4" t="n">
        <f aca="false">Assumptions!I33</f>
        <v>30.5</v>
      </c>
      <c r="J14" s="4" t="n">
        <f aca="false">Assumptions!J33</f>
        <v>30.5</v>
      </c>
      <c r="K14" s="4" t="n">
        <f aca="false">Assumptions!K33</f>
        <v>30.5</v>
      </c>
      <c r="L14" s="4" t="n">
        <f aca="false">Assumptions!L33</f>
        <v>30.5</v>
      </c>
    </row>
    <row r="15" customFormat="false" ht="15" hidden="false" customHeight="false" outlineLevel="0" collapsed="false">
      <c r="A15" s="0" t="s">
        <v>127</v>
      </c>
      <c r="C15" s="0" t="n">
        <f aca="false">C13-MAX(0,C13)*C14/100</f>
        <v>746.0643744</v>
      </c>
      <c r="D15" s="0" t="n">
        <f aca="false">D13-MAX(0,D13)*D14/100</f>
        <v>787.80453984</v>
      </c>
      <c r="E15" s="0" t="n">
        <f aca="false">E13-MAX(0,E13)*E14/100</f>
        <v>854.1812627712</v>
      </c>
      <c r="F15" s="0" t="n">
        <f aca="false">F13-MAX(0,F13)*F14/100</f>
        <v>914.479487014579</v>
      </c>
      <c r="G15" s="0" t="n">
        <f aca="false">G13-MAX(0,G13)*G14/100</f>
        <v>963.245654081074</v>
      </c>
      <c r="H15" s="0" t="n">
        <f aca="false">H13-MAX(0,H13)*H14/100</f>
        <v>993.856306487445</v>
      </c>
      <c r="I15" s="0" t="n">
        <f aca="false">I13-MAX(0,I13)*I14/100</f>
        <v>1028.64127721451</v>
      </c>
      <c r="J15" s="0" t="n">
        <f aca="false">J13-MAX(0,J13)*J14/100</f>
        <v>1059.50051553094</v>
      </c>
      <c r="K15" s="0" t="n">
        <f aca="false">K13-MAX(0,K13)*K14/100</f>
        <v>1091.28553099687</v>
      </c>
      <c r="L15" s="0" t="n">
        <f aca="false">L13-MAX(0,L13)*L14/100</f>
        <v>1118.56766927179</v>
      </c>
    </row>
    <row r="16" customFormat="false" ht="15" hidden="false" customHeight="false" outlineLevel="0" collapsed="false">
      <c r="A16" s="0" t="s">
        <v>128</v>
      </c>
      <c r="C16" s="0" t="n">
        <f aca="false">-C12</f>
        <v>255.36384</v>
      </c>
      <c r="D16" s="0" t="n">
        <f aca="false">-D12</f>
        <v>270.1181952</v>
      </c>
      <c r="E16" s="0" t="n">
        <f aca="false">-E12</f>
        <v>290.955884544</v>
      </c>
      <c r="F16" s="0" t="n">
        <f aca="false">-F12</f>
        <v>314.5333441536</v>
      </c>
      <c r="G16" s="0" t="n">
        <f aca="false">-G12</f>
        <v>339.643589461862</v>
      </c>
      <c r="H16" s="0" t="n">
        <f aca="false">-H12</f>
        <v>364.623827654541</v>
      </c>
      <c r="I16" s="0" t="n">
        <f aca="false">-I12</f>
        <v>377.38566162245</v>
      </c>
      <c r="J16" s="0" t="n">
        <f aca="false">-J12</f>
        <v>388.707231471124</v>
      </c>
      <c r="K16" s="0" t="n">
        <f aca="false">-K12</f>
        <v>400.368448415258</v>
      </c>
      <c r="L16" s="0" t="n">
        <f aca="false">-L12</f>
        <v>410.377659625639</v>
      </c>
    </row>
    <row r="17" customFormat="false" ht="15" hidden="false" customHeight="false" outlineLevel="0" collapsed="false">
      <c r="A17" s="0" t="s">
        <v>129</v>
      </c>
      <c r="C17" s="4" t="n">
        <f aca="false">-C6*Assumptions!C32/100</f>
        <v>-435.06432</v>
      </c>
      <c r="D17" s="4" t="n">
        <f aca="false">-D6*Assumptions!D32/100</f>
        <v>-434.118528</v>
      </c>
      <c r="E17" s="4" t="n">
        <f aca="false">-E6*Assumptions!E32/100</f>
        <v>-431.417346048</v>
      </c>
      <c r="F17" s="4" t="n">
        <f aca="false">-F6*Assumptions!F32/100</f>
        <v>-419.3777922048</v>
      </c>
      <c r="G17" s="4" t="n">
        <f aca="false">-G6*Assumptions!G32/100</f>
        <v>-416.337303211315</v>
      </c>
      <c r="H17" s="4" t="n">
        <f aca="false">-H6*Assumptions!H32/100</f>
        <v>-421.596300725563</v>
      </c>
      <c r="I17" s="4" t="n">
        <f aca="false">-I6*Assumptions!I32/100</f>
        <v>-436.352171250958</v>
      </c>
      <c r="J17" s="4" t="n">
        <f aca="false">-J6*Assumptions!J32/100</f>
        <v>-449.442736388487</v>
      </c>
      <c r="K17" s="4" t="n">
        <f aca="false">-K6*Assumptions!K32/100</f>
        <v>-462.926018480142</v>
      </c>
      <c r="L17" s="4" t="n">
        <f aca="false">-L6*Assumptions!L32/100</f>
        <v>-474.499168942145</v>
      </c>
    </row>
    <row r="18" customFormat="false" ht="15" hidden="false" customHeight="false" outlineLevel="0" collapsed="false">
      <c r="A18" s="0" t="s">
        <v>130</v>
      </c>
      <c r="C18" s="4" t="n">
        <f aca="false">(C6-B6)*Assumptions!$B$37/100</f>
        <v>47.2896</v>
      </c>
      <c r="D18" s="4" t="n">
        <f aca="false">(D6-C6)*Assumptions!$B$37/100</f>
        <v>-22.699008</v>
      </c>
      <c r="E18" s="4" t="n">
        <f aca="false">(E6-D6)*Assumptions!$B$37/100</f>
        <v>-46.30597632</v>
      </c>
      <c r="F18" s="4" t="n">
        <f aca="false">(F6-E6)*Assumptions!$B$37/100</f>
        <v>-54.1779922943999</v>
      </c>
      <c r="G18" s="4" t="n">
        <f aca="false">(G6-F6)*Assumptions!$B$37/100</f>
        <v>-56.616001947648</v>
      </c>
      <c r="H18" s="4" t="n">
        <f aca="false">(H6-G6)*Assumptions!$B$37/100</f>
        <v>-52.5899751424819</v>
      </c>
      <c r="I18" s="4" t="n">
        <f aca="false">(I6-H6)*Assumptions!$B$37/100</f>
        <v>-47.8568773796585</v>
      </c>
      <c r="J18" s="4" t="n">
        <f aca="false">(J6-I6)*Assumptions!$B$37/100</f>
        <v>-42.4558869325258</v>
      </c>
      <c r="K18" s="4" t="n">
        <f aca="false">(K6-J6)*Assumptions!$B$37/100</f>
        <v>-43.7295635405016</v>
      </c>
      <c r="L18" s="4" t="n">
        <f aca="false">(L6-K6)*Assumptions!$B$37/100</f>
        <v>-37.5345420389303</v>
      </c>
    </row>
    <row r="19" customFormat="false" ht="15" hidden="false" customHeight="false" outlineLevel="0" collapsed="false">
      <c r="A19" s="0" t="s">
        <v>131</v>
      </c>
      <c r="C19" s="0" t="n">
        <f aca="false">C15+C16+C17+C18</f>
        <v>613.6534944</v>
      </c>
      <c r="D19" s="0" t="n">
        <f aca="false">D15+D16+D17+D18</f>
        <v>601.10519904</v>
      </c>
      <c r="E19" s="0" t="n">
        <f aca="false">E15+E16+E17+E18</f>
        <v>667.4138249472</v>
      </c>
      <c r="F19" s="0" t="n">
        <f aca="false">F15+F16+F17+F18</f>
        <v>755.457046668979</v>
      </c>
      <c r="G19" s="0" t="n">
        <f aca="false">G15+G16+G17+G18</f>
        <v>829.935938383973</v>
      </c>
      <c r="H19" s="0" t="n">
        <f aca="false">H15+H16+H17+H18</f>
        <v>884.293858273941</v>
      </c>
      <c r="I19" s="0" t="n">
        <f aca="false">I15+I16+I17+I18</f>
        <v>921.817890206339</v>
      </c>
      <c r="J19" s="0" t="n">
        <f aca="false">J15+J16+J17+J18</f>
        <v>956.309123681051</v>
      </c>
      <c r="K19" s="0" t="n">
        <f aca="false">K15+K16+K17+K18</f>
        <v>984.998397391483</v>
      </c>
      <c r="L19" s="0" t="n">
        <f aca="false">L15+L16+L17+L18</f>
        <v>1016.91161791635</v>
      </c>
    </row>
    <row r="20" customFormat="false" ht="15" hidden="false" customHeight="false" outlineLevel="0" collapsed="false">
      <c r="A20" s="0" t="s">
        <v>132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133</v>
      </c>
      <c r="C21" s="0" t="n">
        <f aca="false">C19*C20</f>
        <v>573.507938691589</v>
      </c>
      <c r="D21" s="0" t="n">
        <f aca="false">D19*D20</f>
        <v>525.028560607914</v>
      </c>
      <c r="E21" s="0" t="n">
        <f aca="false">E19*E20</f>
        <v>544.808488312002</v>
      </c>
      <c r="F21" s="0" t="n">
        <f aca="false">F19*F20</f>
        <v>576.334563811328</v>
      </c>
      <c r="G21" s="0" t="n">
        <f aca="false">G19*G20</f>
        <v>591.732853924582</v>
      </c>
      <c r="H21" s="0" t="n">
        <f aca="false">H19*H20</f>
        <v>589.242336029542</v>
      </c>
      <c r="I21" s="0" t="n">
        <f aca="false">I19*I20</f>
        <v>574.061853190596</v>
      </c>
      <c r="J21" s="0" t="n">
        <f aca="false">J19*J20</f>
        <v>556.580616760985</v>
      </c>
      <c r="K21" s="0" t="n">
        <f aca="false">K19*K20</f>
        <v>535.773864732537</v>
      </c>
      <c r="L21" s="0" t="n">
        <f aca="false">L19*L20</f>
        <v>516.946301131349</v>
      </c>
    </row>
    <row r="23" customFormat="false" ht="15" hidden="false" customHeight="false" outlineLevel="0" collapsed="false">
      <c r="A23" s="0" t="s">
        <v>109</v>
      </c>
      <c r="C23" s="4" t="n">
        <f aca="false">Assumptions!C30</f>
        <v>0.85</v>
      </c>
      <c r="D23" s="4" t="n">
        <f aca="false">Assumptions!D30</f>
        <v>0.85</v>
      </c>
      <c r="E23" s="4" t="n">
        <f aca="false">Assumptions!E30</f>
        <v>0.85</v>
      </c>
      <c r="F23" s="4" t="n">
        <f aca="false">Assumptions!F30</f>
        <v>0.85</v>
      </c>
      <c r="G23" s="4" t="n">
        <f aca="false">Assumptions!G30</f>
        <v>0.85</v>
      </c>
      <c r="H23" s="4" t="n">
        <f aca="false">Assumptions!H30</f>
        <v>0.85</v>
      </c>
      <c r="I23" s="4" t="n">
        <f aca="false">Assumptions!I30</f>
        <v>0.85</v>
      </c>
      <c r="J23" s="4" t="n">
        <f aca="false">Assumptions!J30</f>
        <v>0.85</v>
      </c>
      <c r="K23" s="4" t="n">
        <f aca="false">Assumptions!K30</f>
        <v>0.85</v>
      </c>
      <c r="L23" s="4" t="n">
        <f aca="false">Assumptions!L30</f>
        <v>0.85</v>
      </c>
    </row>
    <row r="24" customFormat="false" ht="15" hidden="false" customHeight="false" outlineLevel="0" collapsed="false">
      <c r="A24" s="0" t="s">
        <v>134</v>
      </c>
      <c r="C24" s="0" t="n">
        <f aca="false">-C6*C23/100</f>
        <v>-80.39232</v>
      </c>
      <c r="D24" s="0" t="n">
        <f aca="false">-D6*D23/100</f>
        <v>-82.0001664</v>
      </c>
      <c r="E24" s="0" t="n">
        <f aca="false">-E6*E23/100</f>
        <v>-85.280173056</v>
      </c>
      <c r="F24" s="0" t="n">
        <f aca="false">-F6*F23/100</f>
        <v>-89.11778084352</v>
      </c>
      <c r="G24" s="0" t="n">
        <f aca="false">-G6*G23/100</f>
        <v>-93.1280809814784</v>
      </c>
      <c r="H24" s="0" t="n">
        <f aca="false">-H6*H23/100</f>
        <v>-96.8532042207375</v>
      </c>
      <c r="I24" s="0" t="n">
        <f aca="false">-I6*I23/100</f>
        <v>-100.243066368463</v>
      </c>
      <c r="J24" s="0" t="n">
        <f aca="false">-J6*J23/100</f>
        <v>-103.250358359517</v>
      </c>
      <c r="K24" s="0" t="n">
        <f aca="false">-K6*K23/100</f>
        <v>-106.347869110303</v>
      </c>
      <c r="L24" s="0" t="n">
        <f aca="false">-L6*L23/100</f>
        <v>-109.00656583806</v>
      </c>
    </row>
    <row r="26" customFormat="false" ht="15" hidden="false" customHeight="false" outlineLevel="0" collapsed="false">
      <c r="A26" s="2" t="s">
        <v>135</v>
      </c>
    </row>
    <row r="27" customFormat="false" ht="15" hidden="false" customHeight="false" outlineLevel="0" collapsed="false">
      <c r="A27" s="0" t="s">
        <v>113</v>
      </c>
      <c r="B27" s="4" t="n">
        <f aca="false">Assumptions!$B$34</f>
        <v>7</v>
      </c>
    </row>
    <row r="28" customFormat="false" ht="15" hidden="false" customHeight="false" outlineLevel="0" collapsed="false">
      <c r="A28" s="0" t="s">
        <v>114</v>
      </c>
      <c r="B28" s="4" t="n">
        <f aca="false">Assumptions!$B$35</f>
        <v>2.5</v>
      </c>
    </row>
    <row r="29" customFormat="false" ht="15" hidden="false" customHeight="false" outlineLevel="0" collapsed="false">
      <c r="A29" s="0" t="s">
        <v>115</v>
      </c>
      <c r="B29" s="4" t="n">
        <f aca="false">Assumptions!$B$36</f>
        <v>20</v>
      </c>
    </row>
    <row r="30" customFormat="false" ht="15" hidden="false" customHeight="false" outlineLevel="0" collapsed="false">
      <c r="A30" s="0" t="s">
        <v>136</v>
      </c>
      <c r="B30" s="0" t="n">
        <f aca="false">SUM(C21:L21)</f>
        <v>5584.01737719242</v>
      </c>
    </row>
    <row r="31" customFormat="false" ht="15" hidden="false" customHeight="false" outlineLevel="0" collapsed="false">
      <c r="A31" s="0" t="s">
        <v>137</v>
      </c>
      <c r="B31" s="0" t="n">
        <f aca="false">L19</f>
        <v>1016.91161791635</v>
      </c>
    </row>
    <row r="32" customFormat="false" ht="15" hidden="false" customHeight="false" outlineLevel="0" collapsed="false">
      <c r="A32" s="0" t="s">
        <v>138</v>
      </c>
      <c r="B32" s="0" t="n">
        <f aca="false">IF(B27&gt;B28,B31*(1+B28/100)/((B27-B28)/100),B31*B29)</f>
        <v>23162.9868525392</v>
      </c>
    </row>
    <row r="33" customFormat="false" ht="15" hidden="false" customHeight="false" outlineLevel="0" collapsed="false">
      <c r="A33" s="0" t="s">
        <v>139</v>
      </c>
      <c r="B33" s="0" t="n">
        <f aca="false">B31*B29</f>
        <v>20338.2323583271</v>
      </c>
    </row>
    <row r="34" customFormat="false" ht="15" hidden="false" customHeight="false" outlineLevel="0" collapsed="false">
      <c r="A34" s="0" t="s">
        <v>140</v>
      </c>
      <c r="B34" s="0" t="n">
        <f aca="false">MAX(0,MIN(B32,B33))</f>
        <v>20338.2323583271</v>
      </c>
    </row>
    <row r="35" customFormat="false" ht="15" hidden="false" customHeight="false" outlineLevel="0" collapsed="false">
      <c r="A35" s="0" t="s">
        <v>141</v>
      </c>
      <c r="B35" s="0" t="n">
        <f aca="false">B34/(1+B27/100)^L4</f>
        <v>10338.926022627</v>
      </c>
    </row>
    <row r="36" customFormat="false" ht="15" hidden="false" customHeight="false" outlineLevel="0" collapsed="false">
      <c r="A36" s="0" t="s">
        <v>142</v>
      </c>
      <c r="B36" s="0" t="n">
        <f aca="false">B30+B35</f>
        <v>15922.9433998194</v>
      </c>
    </row>
    <row r="37" customFormat="false" ht="15" hidden="false" customHeight="false" outlineLevel="0" collapsed="false">
      <c r="A37" s="0" t="s">
        <v>143</v>
      </c>
      <c r="B37" s="0" t="n">
        <f aca="false">B36+Assumptions!$B$5-Assumptions!$B$4</f>
        <v>19367.9433998194</v>
      </c>
    </row>
    <row r="38" customFormat="false" ht="15" hidden="false" customHeight="false" outlineLevel="0" collapsed="false">
      <c r="A38" s="0" t="s">
        <v>144</v>
      </c>
      <c r="B38" s="0" t="n">
        <f aca="false">B37/Assumptions!$B$3*Assumptions!$B$10</f>
        <v>88.8140365832515</v>
      </c>
    </row>
    <row r="39" customFormat="false" ht="15" hidden="false" customHeight="false" outlineLevel="0" collapsed="false">
      <c r="A39" s="0" t="s">
        <v>145</v>
      </c>
      <c r="B39" s="4" t="n">
        <f aca="false">B38/Assumptions!$B$2-1</f>
        <v>0.0558016712226757</v>
      </c>
    </row>
    <row r="41" customFormat="false" ht="15" hidden="false" customHeight="false" outlineLevel="0" collapsed="false">
      <c r="A41" s="0" t="s">
        <v>146</v>
      </c>
      <c r="B41" s="0" t="n">
        <f aca="false">SUMPRODUCT(-C10:L10/(1+$B$27/100)^C4:L4)</f>
        <v>0</v>
      </c>
    </row>
    <row r="42" customFormat="false" ht="15" hidden="false" customHeight="false" outlineLevel="0" collapsed="false">
      <c r="A42" s="0" t="s">
        <v>147</v>
      </c>
      <c r="B42" s="0" t="n">
        <f aca="false">IF(B27&gt;B28,-L10*(1+B28/100)/((B27-B28)/100),-L10*20)/(1+B27/100)^L4</f>
        <v>0</v>
      </c>
    </row>
    <row r="43" customFormat="false" ht="15" hidden="false" customHeight="false" outlineLevel="0" collapsed="false">
      <c r="A43" s="0" t="s">
        <v>148</v>
      </c>
      <c r="B43" s="0" t="n">
        <f aca="false">(B37+B41+B42)/Assumptions!$B$3*Assumptions!$B$10</f>
        <v>88.8140365832515</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8338.6752669141</v>
      </c>
    </row>
    <row r="47" customFormat="false" ht="15" hidden="false" customHeight="false" outlineLevel="0" collapsed="false">
      <c r="A47" s="0" t="s">
        <v>150</v>
      </c>
      <c r="B47" s="0" t="n">
        <f aca="false">(SUMPRODUCT(C19:L19/(1+B45/100)^C4:L4)+B46/(1+B45/100)^L4+Assumptions!$B$5-Assumptions!$B$4)/Assumptions!$B$3*Assumptions!$B$10</f>
        <v>42.8780921845275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-3.5</v>
      </c>
      <c r="D5" s="4" t="n">
        <f aca="false">Assumptions!D41</f>
        <v>4</v>
      </c>
      <c r="E5" s="4" t="n">
        <f aca="false">Assumptions!E41</f>
        <v>5.5</v>
      </c>
      <c r="F5" s="4" t="n">
        <f aca="false">Assumptions!F41</f>
        <v>6</v>
      </c>
      <c r="G5" s="4" t="n">
        <f aca="false">Assumptions!G41</f>
        <v>5.5</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37</v>
      </c>
      <c r="B6" s="3" t="n">
        <v>9852</v>
      </c>
      <c r="C6" s="0" t="n">
        <f aca="false">B6*(1+C5/100)</f>
        <v>9507.18</v>
      </c>
      <c r="D6" s="0" t="n">
        <f aca="false">C6*(1+D5/100)</f>
        <v>9887.4672</v>
      </c>
      <c r="E6" s="0" t="n">
        <f aca="false">D6*(1+E5/100)</f>
        <v>10431.277896</v>
      </c>
      <c r="F6" s="0" t="n">
        <f aca="false">E6*(1+F5/100)</f>
        <v>11057.15456976</v>
      </c>
      <c r="G6" s="0" t="n">
        <f aca="false">F6*(1+G5/100)</f>
        <v>11665.2980710968</v>
      </c>
      <c r="H6" s="0" t="n">
        <f aca="false">G6*(1+H5/100)</f>
        <v>12248.5629746516</v>
      </c>
      <c r="I6" s="0" t="n">
        <f aca="false">H6*(1+I5/100)</f>
        <v>12799.748308511</v>
      </c>
      <c r="J6" s="0" t="n">
        <f aca="false">I6*(1+J5/100)</f>
        <v>13311.7382408514</v>
      </c>
      <c r="K6" s="0" t="n">
        <f aca="false">J6*(1+K5/100)</f>
        <v>13777.6490792812</v>
      </c>
      <c r="L6" s="0" t="n">
        <f aca="false">K6*(1+L5/100)</f>
        <v>14190.9785516596</v>
      </c>
    </row>
    <row r="7" customFormat="false" ht="15" hidden="false" customHeight="false" outlineLevel="0" collapsed="false">
      <c r="A7" s="0" t="s">
        <v>107</v>
      </c>
      <c r="C7" s="4" t="n">
        <f aca="false">Assumptions!C42</f>
        <v>15</v>
      </c>
      <c r="D7" s="4" t="n">
        <f aca="false">Assumptions!D42</f>
        <v>16</v>
      </c>
      <c r="E7" s="4" t="n">
        <f aca="false">Assumptions!E42</f>
        <v>16.8</v>
      </c>
      <c r="F7" s="4" t="n">
        <f aca="false">Assumptions!F42</f>
        <v>17.2</v>
      </c>
      <c r="G7" s="4" t="n">
        <f aca="false">Assumptions!G42</f>
        <v>17.5</v>
      </c>
      <c r="H7" s="4" t="n">
        <f aca="false">Assumptions!H42</f>
        <v>17.5</v>
      </c>
      <c r="I7" s="4" t="n">
        <f aca="false">Assumptions!I42</f>
        <v>17.5</v>
      </c>
      <c r="J7" s="4" t="n">
        <f aca="false">Assumptions!J42</f>
        <v>17.5</v>
      </c>
      <c r="K7" s="4" t="n">
        <f aca="false">Assumptions!K42</f>
        <v>17.5</v>
      </c>
      <c r="L7" s="4" t="n">
        <f aca="false">Assumptions!L42</f>
        <v>17.5</v>
      </c>
    </row>
    <row r="8" customFormat="false" ht="15" hidden="false" customHeight="false" outlineLevel="0" collapsed="false">
      <c r="A8" s="0" t="s">
        <v>43</v>
      </c>
      <c r="C8" s="0" t="n">
        <f aca="false">C6*C7/100</f>
        <v>1426.077</v>
      </c>
      <c r="D8" s="0" t="n">
        <f aca="false">D6*D7/100</f>
        <v>1581.994752</v>
      </c>
      <c r="E8" s="0" t="n">
        <f aca="false">E6*E7/100</f>
        <v>1752.454686528</v>
      </c>
      <c r="F8" s="0" t="n">
        <f aca="false">F6*F7/100</f>
        <v>1901.83058599872</v>
      </c>
      <c r="G8" s="0" t="n">
        <f aca="false">G6*G7/100</f>
        <v>2041.42716244194</v>
      </c>
      <c r="H8" s="0" t="n">
        <f aca="false">H6*H7/100</f>
        <v>2143.49852056404</v>
      </c>
      <c r="I8" s="0" t="n">
        <f aca="false">I6*I7/100</f>
        <v>2239.95595398942</v>
      </c>
      <c r="J8" s="0" t="n">
        <f aca="false">J6*J7/100</f>
        <v>2329.554192149</v>
      </c>
      <c r="K8" s="0" t="n">
        <f aca="false">K6*K7/100</f>
        <v>2411.08858887421</v>
      </c>
      <c r="L8" s="0" t="n">
        <f aca="false">L6*L7/100</f>
        <v>2483.42124654044</v>
      </c>
    </row>
    <row r="9" customFormat="false" ht="15" hidden="false" customHeight="false" outlineLevel="0" collapsed="false">
      <c r="A9" s="0" t="s">
        <v>108</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124</v>
      </c>
      <c r="C11" s="0" t="n">
        <f aca="false">C8+C10+C24</f>
        <v>1345.26597</v>
      </c>
      <c r="D11" s="0" t="n">
        <f aca="false">D8+D10+D24</f>
        <v>1497.9512808</v>
      </c>
      <c r="E11" s="0" t="n">
        <f aca="false">E8+E10+E24</f>
        <v>1663.788824412</v>
      </c>
      <c r="F11" s="0" t="n">
        <f aca="false">F8+F10+F24</f>
        <v>1807.84477215576</v>
      </c>
      <c r="G11" s="0" t="n">
        <f aca="false">G8+G10+G24</f>
        <v>1942.27212883762</v>
      </c>
      <c r="H11" s="0" t="n">
        <f aca="false">H8+H10+H24</f>
        <v>2039.3857352795</v>
      </c>
      <c r="I11" s="0" t="n">
        <f aca="false">I8+I10+I24</f>
        <v>2131.15809336708</v>
      </c>
      <c r="J11" s="0" t="n">
        <f aca="false">J8+J10+J24</f>
        <v>2216.40441710176</v>
      </c>
      <c r="K11" s="0" t="n">
        <f aca="false">K8+K10+K24</f>
        <v>2293.97857170032</v>
      </c>
      <c r="L11" s="0" t="n">
        <f aca="false">L8+L10+L24</f>
        <v>2362.79792885133</v>
      </c>
    </row>
    <row r="12" customFormat="false" ht="15" hidden="false" customHeight="false" outlineLevel="0" collapsed="false">
      <c r="A12" s="0" t="s">
        <v>125</v>
      </c>
      <c r="C12" s="4" t="n">
        <f aca="false">-C6*Assumptions!C45/100</f>
        <v>-256.69386</v>
      </c>
      <c r="D12" s="4" t="n">
        <f aca="false">-D6*Assumptions!D45/100</f>
        <v>-276.8490816</v>
      </c>
      <c r="E12" s="4" t="n">
        <f aca="false">-E6*Assumptions!E45/100</f>
        <v>-302.507058984</v>
      </c>
      <c r="F12" s="4" t="n">
        <f aca="false">-F6*Assumptions!F45/100</f>
        <v>-331.7146370928</v>
      </c>
      <c r="G12" s="4" t="n">
        <f aca="false">-G6*Assumptions!G45/100</f>
        <v>-361.624240204001</v>
      </c>
      <c r="H12" s="4" t="n">
        <f aca="false">-H6*Assumptions!H45/100</f>
        <v>-391.954015188852</v>
      </c>
      <c r="I12" s="4" t="n">
        <f aca="false">-I6*Assumptions!I45/100</f>
        <v>-409.591945872351</v>
      </c>
      <c r="J12" s="4" t="n">
        <f aca="false">-J6*Assumptions!J45/100</f>
        <v>-425.975623707245</v>
      </c>
      <c r="K12" s="4" t="n">
        <f aca="false">-K6*Assumptions!K45/100</f>
        <v>-440.884770536998</v>
      </c>
      <c r="L12" s="4" t="n">
        <f aca="false">-L6*Assumptions!L45/100</f>
        <v>-454.111313653108</v>
      </c>
    </row>
    <row r="13" customFormat="false" ht="15" hidden="false" customHeight="false" outlineLevel="0" collapsed="false">
      <c r="A13" s="0" t="s">
        <v>126</v>
      </c>
      <c r="C13" s="0" t="n">
        <f aca="false">C11+C12</f>
        <v>1088.57211</v>
      </c>
      <c r="D13" s="0" t="n">
        <f aca="false">D11+D12</f>
        <v>1221.1021992</v>
      </c>
      <c r="E13" s="0" t="n">
        <f aca="false">E11+E12</f>
        <v>1361.281765428</v>
      </c>
      <c r="F13" s="0" t="n">
        <f aca="false">F11+F12</f>
        <v>1476.13013506296</v>
      </c>
      <c r="G13" s="0" t="n">
        <f aca="false">G11+G12</f>
        <v>1580.64788863362</v>
      </c>
      <c r="H13" s="0" t="n">
        <f aca="false">H11+H12</f>
        <v>1647.43172009065</v>
      </c>
      <c r="I13" s="0" t="n">
        <f aca="false">I11+I12</f>
        <v>1721.56614749472</v>
      </c>
      <c r="J13" s="0" t="n">
        <f aca="false">J11+J12</f>
        <v>1790.42879339451</v>
      </c>
      <c r="K13" s="0" t="n">
        <f aca="false">K11+K12</f>
        <v>1853.09380116332</v>
      </c>
      <c r="L13" s="0" t="n">
        <f aca="false">L11+L12</f>
        <v>1908.68661519822</v>
      </c>
    </row>
    <row r="14" customFormat="false" ht="15" hidden="false" customHeight="false" outlineLevel="0" collapsed="false">
      <c r="A14" s="0" t="s">
        <v>112</v>
      </c>
      <c r="C14" s="4" t="n">
        <f aca="false">Assumptions!C47</f>
        <v>30.5</v>
      </c>
      <c r="D14" s="4" t="n">
        <f aca="false">Assumptions!D47</f>
        <v>30.5</v>
      </c>
      <c r="E14" s="4" t="n">
        <f aca="false">Assumptions!E47</f>
        <v>30.5</v>
      </c>
      <c r="F14" s="4" t="n">
        <f aca="false">Assumptions!F47</f>
        <v>30.5</v>
      </c>
      <c r="G14" s="4" t="n">
        <f aca="false">Assumptions!G47</f>
        <v>30.5</v>
      </c>
      <c r="H14" s="4" t="n">
        <f aca="false">Assumptions!H47</f>
        <v>30.5</v>
      </c>
      <c r="I14" s="4" t="n">
        <f aca="false">Assumptions!I47</f>
        <v>30.5</v>
      </c>
      <c r="J14" s="4" t="n">
        <f aca="false">Assumptions!J47</f>
        <v>30.5</v>
      </c>
      <c r="K14" s="4" t="n">
        <f aca="false">Assumptions!K47</f>
        <v>30.5</v>
      </c>
      <c r="L14" s="4" t="n">
        <f aca="false">Assumptions!L47</f>
        <v>30.5</v>
      </c>
    </row>
    <row r="15" customFormat="false" ht="15" hidden="false" customHeight="false" outlineLevel="0" collapsed="false">
      <c r="A15" s="0" t="s">
        <v>127</v>
      </c>
      <c r="C15" s="0" t="n">
        <f aca="false">C13-MAX(0,C13)*C14/100</f>
        <v>756.55761645</v>
      </c>
      <c r="D15" s="0" t="n">
        <f aca="false">D13-MAX(0,D13)*D14/100</f>
        <v>848.666028444</v>
      </c>
      <c r="E15" s="0" t="n">
        <f aca="false">E13-MAX(0,E13)*E14/100</f>
        <v>946.09082697246</v>
      </c>
      <c r="F15" s="0" t="n">
        <f aca="false">F13-MAX(0,F13)*F14/100</f>
        <v>1025.91044386876</v>
      </c>
      <c r="G15" s="0" t="n">
        <f aca="false">G13-MAX(0,G13)*G14/100</f>
        <v>1098.55028260036</v>
      </c>
      <c r="H15" s="0" t="n">
        <f aca="false">H13-MAX(0,H13)*H14/100</f>
        <v>1144.965045463</v>
      </c>
      <c r="I15" s="0" t="n">
        <f aca="false">I13-MAX(0,I13)*I14/100</f>
        <v>1196.48847250883</v>
      </c>
      <c r="J15" s="0" t="n">
        <f aca="false">J13-MAX(0,J13)*J14/100</f>
        <v>1244.34801140919</v>
      </c>
      <c r="K15" s="0" t="n">
        <f aca="false">K13-MAX(0,K13)*K14/100</f>
        <v>1287.90019180851</v>
      </c>
      <c r="L15" s="0" t="n">
        <f aca="false">L13-MAX(0,L13)*L14/100</f>
        <v>1326.53719756276</v>
      </c>
    </row>
    <row r="16" customFormat="false" ht="15" hidden="false" customHeight="false" outlineLevel="0" collapsed="false">
      <c r="A16" s="0" t="s">
        <v>128</v>
      </c>
      <c r="C16" s="0" t="n">
        <f aca="false">-C12</f>
        <v>256.69386</v>
      </c>
      <c r="D16" s="0" t="n">
        <f aca="false">-D12</f>
        <v>276.8490816</v>
      </c>
      <c r="E16" s="0" t="n">
        <f aca="false">-E12</f>
        <v>302.507058984</v>
      </c>
      <c r="F16" s="0" t="n">
        <f aca="false">-F12</f>
        <v>331.7146370928</v>
      </c>
      <c r="G16" s="0" t="n">
        <f aca="false">-G12</f>
        <v>361.624240204001</v>
      </c>
      <c r="H16" s="0" t="n">
        <f aca="false">-H12</f>
        <v>391.954015188852</v>
      </c>
      <c r="I16" s="0" t="n">
        <f aca="false">-I12</f>
        <v>409.591945872351</v>
      </c>
      <c r="J16" s="0" t="n">
        <f aca="false">-J12</f>
        <v>425.975623707245</v>
      </c>
      <c r="K16" s="0" t="n">
        <f aca="false">-K12</f>
        <v>440.884770536998</v>
      </c>
      <c r="L16" s="0" t="n">
        <f aca="false">-L12</f>
        <v>454.111313653108</v>
      </c>
    </row>
    <row r="17" customFormat="false" ht="15" hidden="false" customHeight="false" outlineLevel="0" collapsed="false">
      <c r="A17" s="0" t="s">
        <v>129</v>
      </c>
      <c r="C17" s="4" t="n">
        <f aca="false">-C6*Assumptions!C46/100</f>
        <v>-437.33028</v>
      </c>
      <c r="D17" s="4" t="n">
        <f aca="false">-D6*Assumptions!D46/100</f>
        <v>-444.936024</v>
      </c>
      <c r="E17" s="4" t="n">
        <f aca="false">-E6*Assumptions!E46/100</f>
        <v>-448.544949528</v>
      </c>
      <c r="F17" s="4" t="n">
        <f aca="false">-F6*Assumptions!F46/100</f>
        <v>-442.2861827904</v>
      </c>
      <c r="G17" s="4" t="n">
        <f aca="false">-G6*Assumptions!G46/100</f>
        <v>-443.281326701678</v>
      </c>
      <c r="H17" s="4" t="n">
        <f aca="false">-H6*Assumptions!H46/100</f>
        <v>-453.196830062111</v>
      </c>
      <c r="I17" s="4" t="n">
        <f aca="false">-I6*Assumptions!I46/100</f>
        <v>-473.590687414906</v>
      </c>
      <c r="J17" s="4" t="n">
        <f aca="false">-J6*Assumptions!J46/100</f>
        <v>-492.534314911502</v>
      </c>
      <c r="K17" s="4" t="n">
        <f aca="false">-K6*Assumptions!K46/100</f>
        <v>-509.773015933404</v>
      </c>
      <c r="L17" s="4" t="n">
        <f aca="false">-L6*Assumptions!L46/100</f>
        <v>-525.066206411407</v>
      </c>
    </row>
    <row r="18" customFormat="false" ht="15" hidden="false" customHeight="false" outlineLevel="0" collapsed="false">
      <c r="A18" s="0" t="s">
        <v>130</v>
      </c>
      <c r="C18" s="4" t="n">
        <f aca="false">(C6-B6)*Assumptions!$B$51/100</f>
        <v>41.3784</v>
      </c>
      <c r="D18" s="4" t="n">
        <f aca="false">(D6-C6)*Assumptions!$B$51/100</f>
        <v>-45.6344640000001</v>
      </c>
      <c r="E18" s="4" t="n">
        <f aca="false">(E6-D6)*Assumptions!$B$51/100</f>
        <v>-65.2572835199998</v>
      </c>
      <c r="F18" s="4" t="n">
        <f aca="false">(F6-E6)*Assumptions!$B$51/100</f>
        <v>-75.1052008512</v>
      </c>
      <c r="G18" s="4" t="n">
        <f aca="false">(G6-F6)*Assumptions!$B$51/100</f>
        <v>-72.9772201604159</v>
      </c>
      <c r="H18" s="4" t="n">
        <f aca="false">(H6-G6)*Assumptions!$B$51/100</f>
        <v>-69.9917884265808</v>
      </c>
      <c r="I18" s="4" t="n">
        <f aca="false">(I6-H6)*Assumptions!$B$51/100</f>
        <v>-66.1422400631187</v>
      </c>
      <c r="J18" s="4" t="n">
        <f aca="false">(J6-I6)*Assumptions!$B$51/100</f>
        <v>-61.4387918808527</v>
      </c>
      <c r="K18" s="4" t="n">
        <f aca="false">(K6-J6)*Assumptions!$B$51/100</f>
        <v>-55.9093006115757</v>
      </c>
      <c r="L18" s="4" t="n">
        <f aca="false">(L6-K6)*Assumptions!$B$51/100</f>
        <v>-49.5995366854124</v>
      </c>
    </row>
    <row r="19" customFormat="false" ht="15" hidden="false" customHeight="false" outlineLevel="0" collapsed="false">
      <c r="A19" s="0" t="s">
        <v>131</v>
      </c>
      <c r="C19" s="0" t="n">
        <f aca="false">C15+C16+C17+C18</f>
        <v>617.29959645</v>
      </c>
      <c r="D19" s="0" t="n">
        <f aca="false">D15+D16+D17+D18</f>
        <v>634.944622044</v>
      </c>
      <c r="E19" s="0" t="n">
        <f aca="false">E15+E16+E17+E18</f>
        <v>734.79565290846</v>
      </c>
      <c r="F19" s="0" t="n">
        <f aca="false">F15+F16+F17+F18</f>
        <v>840.233697319957</v>
      </c>
      <c r="G19" s="0" t="n">
        <f aca="false">G15+G16+G17+G18</f>
        <v>943.91597594227</v>
      </c>
      <c r="H19" s="0" t="n">
        <f aca="false">H15+H16+H17+H18</f>
        <v>1013.73044216316</v>
      </c>
      <c r="I19" s="0" t="n">
        <f aca="false">I15+I16+I17+I18</f>
        <v>1066.34749090316</v>
      </c>
      <c r="J19" s="0" t="n">
        <f aca="false">J15+J16+J17+J18</f>
        <v>1116.35052832408</v>
      </c>
      <c r="K19" s="0" t="n">
        <f aca="false">K15+K16+K17+K18</f>
        <v>1163.10264580053</v>
      </c>
      <c r="L19" s="0" t="n">
        <f aca="false">L15+L16+L17+L18</f>
        <v>1205.98276811905</v>
      </c>
    </row>
    <row r="20" customFormat="false" ht="15" hidden="false" customHeight="false" outlineLevel="0" collapsed="false">
      <c r="A20" s="0" t="s">
        <v>132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133</v>
      </c>
      <c r="C21" s="0" t="n">
        <f aca="false">C19*C20</f>
        <v>576.915510700935</v>
      </c>
      <c r="D21" s="0" t="n">
        <f aca="false">D19*D20</f>
        <v>554.585223202026</v>
      </c>
      <c r="E21" s="0" t="n">
        <f aca="false">E19*E20</f>
        <v>599.812131417803</v>
      </c>
      <c r="F21" s="0" t="n">
        <f aca="false">F19*F20</f>
        <v>641.010264686385</v>
      </c>
      <c r="G21" s="0" t="n">
        <f aca="false">G19*G20</f>
        <v>672.999045440677</v>
      </c>
      <c r="H21" s="0" t="n">
        <f aca="false">H19*H20</f>
        <v>675.491397181496</v>
      </c>
      <c r="I21" s="0" t="n">
        <f aca="false">I19*I20</f>
        <v>664.067624719224</v>
      </c>
      <c r="J21" s="0" t="n">
        <f aca="false">J19*J20</f>
        <v>649.726171370603</v>
      </c>
      <c r="K21" s="0" t="n">
        <f aca="false">K19*K20</f>
        <v>632.650775139805</v>
      </c>
      <c r="L21" s="0" t="n">
        <f aca="false">L19*L20</f>
        <v>613.060486499988</v>
      </c>
    </row>
    <row r="23" customFormat="false" ht="15" hidden="false" customHeight="false" outlineLevel="0" collapsed="false">
      <c r="A23" s="0" t="s">
        <v>109</v>
      </c>
      <c r="C23" s="4" t="n">
        <f aca="false">Assumptions!C44</f>
        <v>0.85</v>
      </c>
      <c r="D23" s="4" t="n">
        <f aca="false">Assumptions!D44</f>
        <v>0.85</v>
      </c>
      <c r="E23" s="4" t="n">
        <f aca="false">Assumptions!E44</f>
        <v>0.85</v>
      </c>
      <c r="F23" s="4" t="n">
        <f aca="false">Assumptions!F44</f>
        <v>0.85</v>
      </c>
      <c r="G23" s="4" t="n">
        <f aca="false">Assumptions!G44</f>
        <v>0.85</v>
      </c>
      <c r="H23" s="4" t="n">
        <f aca="false">Assumptions!H44</f>
        <v>0.85</v>
      </c>
      <c r="I23" s="4" t="n">
        <f aca="false">Assumptions!I44</f>
        <v>0.85</v>
      </c>
      <c r="J23" s="4" t="n">
        <f aca="false">Assumptions!J44</f>
        <v>0.85</v>
      </c>
      <c r="K23" s="4" t="n">
        <f aca="false">Assumptions!K44</f>
        <v>0.85</v>
      </c>
      <c r="L23" s="4" t="n">
        <f aca="false">Assumptions!L44</f>
        <v>0.85</v>
      </c>
    </row>
    <row r="24" customFormat="false" ht="15" hidden="false" customHeight="false" outlineLevel="0" collapsed="false">
      <c r="A24" s="0" t="s">
        <v>134</v>
      </c>
      <c r="C24" s="0" t="n">
        <f aca="false">-C6*C23/100</f>
        <v>-80.81103</v>
      </c>
      <c r="D24" s="0" t="n">
        <f aca="false">-D6*D23/100</f>
        <v>-84.0434712</v>
      </c>
      <c r="E24" s="0" t="n">
        <f aca="false">-E6*E23/100</f>
        <v>-88.665862116</v>
      </c>
      <c r="F24" s="0" t="n">
        <f aca="false">-F6*F23/100</f>
        <v>-93.98581384296</v>
      </c>
      <c r="G24" s="0" t="n">
        <f aca="false">-G6*G23/100</f>
        <v>-99.1550336043228</v>
      </c>
      <c r="H24" s="0" t="n">
        <f aca="false">-H6*H23/100</f>
        <v>-104.112785284539</v>
      </c>
      <c r="I24" s="0" t="n">
        <f aca="false">-I6*I23/100</f>
        <v>-108.797860622343</v>
      </c>
      <c r="J24" s="0" t="n">
        <f aca="false">-J6*J23/100</f>
        <v>-113.149775047237</v>
      </c>
      <c r="K24" s="0" t="n">
        <f aca="false">-K6*K23/100</f>
        <v>-117.11001717389</v>
      </c>
      <c r="L24" s="0" t="n">
        <f aca="false">-L6*L23/100</f>
        <v>-120.623317689107</v>
      </c>
    </row>
    <row r="26" customFormat="false" ht="15" hidden="false" customHeight="false" outlineLevel="0" collapsed="false">
      <c r="A26" s="2" t="s">
        <v>135</v>
      </c>
    </row>
    <row r="27" customFormat="false" ht="15" hidden="false" customHeight="false" outlineLevel="0" collapsed="false">
      <c r="A27" s="0" t="s">
        <v>113</v>
      </c>
      <c r="B27" s="4" t="n">
        <f aca="false">Assumptions!$B$48</f>
        <v>7</v>
      </c>
    </row>
    <row r="28" customFormat="false" ht="15" hidden="false" customHeight="false" outlineLevel="0" collapsed="false">
      <c r="A28" s="0" t="s">
        <v>114</v>
      </c>
      <c r="B28" s="4" t="n">
        <f aca="false">Assumptions!$B$49</f>
        <v>2.5</v>
      </c>
    </row>
    <row r="29" customFormat="false" ht="15" hidden="false" customHeight="false" outlineLevel="0" collapsed="false">
      <c r="A29" s="0" t="s">
        <v>115</v>
      </c>
      <c r="B29" s="4" t="n">
        <f aca="false">Assumptions!$B$50</f>
        <v>20</v>
      </c>
    </row>
    <row r="30" customFormat="false" ht="15" hidden="false" customHeight="false" outlineLevel="0" collapsed="false">
      <c r="A30" s="0" t="s">
        <v>136</v>
      </c>
      <c r="B30" s="0" t="n">
        <f aca="false">SUM(C21:L21)</f>
        <v>6280.31863035894</v>
      </c>
    </row>
    <row r="31" customFormat="false" ht="15" hidden="false" customHeight="false" outlineLevel="0" collapsed="false">
      <c r="A31" s="0" t="s">
        <v>137</v>
      </c>
      <c r="B31" s="0" t="n">
        <f aca="false">L19</f>
        <v>1205.98276811905</v>
      </c>
    </row>
    <row r="32" customFormat="false" ht="15" hidden="false" customHeight="false" outlineLevel="0" collapsed="false">
      <c r="A32" s="0" t="s">
        <v>138</v>
      </c>
      <c r="B32" s="0" t="n">
        <f aca="false">IF(B27&gt;B28,B31*(1+B28/100)/((B27-B28)/100),B31*B29)</f>
        <v>27469.6074960451</v>
      </c>
    </row>
    <row r="33" customFormat="false" ht="15" hidden="false" customHeight="false" outlineLevel="0" collapsed="false">
      <c r="A33" s="0" t="s">
        <v>139</v>
      </c>
      <c r="B33" s="0" t="n">
        <f aca="false">B31*B29</f>
        <v>24119.6553623811</v>
      </c>
    </row>
    <row r="34" customFormat="false" ht="15" hidden="false" customHeight="false" outlineLevel="0" collapsed="false">
      <c r="A34" s="0" t="s">
        <v>140</v>
      </c>
      <c r="B34" s="0" t="n">
        <f aca="false">MAX(0,MIN(B32,B33))</f>
        <v>24119.6553623811</v>
      </c>
    </row>
    <row r="35" customFormat="false" ht="15" hidden="false" customHeight="false" outlineLevel="0" collapsed="false">
      <c r="A35" s="0" t="s">
        <v>141</v>
      </c>
      <c r="B35" s="0" t="n">
        <f aca="false">B34/(1+B27/100)^L4</f>
        <v>12261.2097299998</v>
      </c>
    </row>
    <row r="36" customFormat="false" ht="15" hidden="false" customHeight="false" outlineLevel="0" collapsed="false">
      <c r="A36" s="0" t="s">
        <v>142</v>
      </c>
      <c r="B36" s="0" t="n">
        <f aca="false">B30+B35</f>
        <v>18541.5283603587</v>
      </c>
    </row>
    <row r="37" customFormat="false" ht="15" hidden="false" customHeight="false" outlineLevel="0" collapsed="false">
      <c r="A37" s="0" t="s">
        <v>143</v>
      </c>
      <c r="B37" s="0" t="n">
        <f aca="false">B36+Assumptions!$B$5-Assumptions!$B$4</f>
        <v>21986.5283603587</v>
      </c>
    </row>
    <row r="38" customFormat="false" ht="15" hidden="false" customHeight="false" outlineLevel="0" collapsed="false">
      <c r="A38" s="0" t="s">
        <v>144</v>
      </c>
      <c r="B38" s="0" t="n">
        <f aca="false">B37/Assumptions!$B$3*Assumptions!$B$10</f>
        <v>100.821873227583</v>
      </c>
    </row>
    <row r="39" customFormat="false" ht="15" hidden="false" customHeight="false" outlineLevel="0" collapsed="false">
      <c r="A39" s="0" t="s">
        <v>145</v>
      </c>
      <c r="B39" s="4" t="n">
        <f aca="false">B38/Assumptions!$B$2-1</f>
        <v>0.198548183875213</v>
      </c>
    </row>
    <row r="41" customFormat="false" ht="15" hidden="false" customHeight="false" outlineLevel="0" collapsed="false">
      <c r="A41" s="0" t="s">
        <v>146</v>
      </c>
      <c r="B41" s="0" t="n">
        <f aca="false">SUMPRODUCT(-C10:L10/(1+$B$27/100)^C4:L4)</f>
        <v>0</v>
      </c>
    </row>
    <row r="42" customFormat="false" ht="15" hidden="false" customHeight="false" outlineLevel="0" collapsed="false">
      <c r="A42" s="0" t="s">
        <v>147</v>
      </c>
      <c r="B42" s="0" t="n">
        <f aca="false">IF(B27&gt;B28,-L10*(1+B28/100)/((B27-B28)/100),-L10*20)/(1+B27/100)^L4</f>
        <v>0</v>
      </c>
    </row>
    <row r="43" customFormat="false" ht="15" hidden="false" customHeight="false" outlineLevel="0" collapsed="false">
      <c r="A43" s="0" t="s">
        <v>148</v>
      </c>
      <c r="B43" s="0" t="n">
        <f aca="false">(B37+B41+B42)/Assumptions!$B$3*Assumptions!$B$10</f>
        <v>100.821873227583</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9889.05869857624</v>
      </c>
    </row>
    <row r="47" customFormat="false" ht="15" hidden="false" customHeight="false" outlineLevel="0" collapsed="false">
      <c r="A47" s="0" t="s">
        <v>150</v>
      </c>
      <c r="B47" s="0" t="n">
        <f aca="false">(SUMPRODUCT(C19:L19/(1+B45/100)^C4:L4)+B46/(1+B45/100)^L4+Assumptions!$B$5-Assumptions!$B$4)/Assumptions!$B$3*Assumptions!$B$10</f>
        <v>46.6447572556593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70.556316274339</v>
      </c>
      <c r="C4" s="0" t="n">
        <f aca="false">B4/Assumptions!$B$2-1</f>
        <v>-0.161242079477663</v>
      </c>
      <c r="D4" s="4" t="n">
        <f aca="false">Assumptions!$B$24</f>
        <v>0.25</v>
      </c>
      <c r="E4" s="4" t="n">
        <f aca="false">DCF_Bear!$B$43</f>
        <v>70.556316274339</v>
      </c>
      <c r="F4" s="4" t="n">
        <f aca="false">DCF_Bear!$B$47</f>
        <v>37.8853747689493</v>
      </c>
    </row>
    <row r="5" customFormat="false" ht="15" hidden="false" customHeight="false" outlineLevel="0" collapsed="false">
      <c r="A5" s="0" t="s">
        <v>159</v>
      </c>
      <c r="B5" s="4" t="n">
        <f aca="false">DCF_Base!$B$38</f>
        <v>88.8140365832515</v>
      </c>
      <c r="C5" s="0" t="n">
        <f aca="false">B5/Assumptions!$B$2-1</f>
        <v>0.0558016712226757</v>
      </c>
      <c r="D5" s="4" t="n">
        <f aca="false">Assumptions!$B$38</f>
        <v>0.5</v>
      </c>
      <c r="E5" s="4" t="n">
        <f aca="false">DCF_Base!$B$43</f>
        <v>88.8140365832515</v>
      </c>
      <c r="F5" s="4" t="n">
        <f aca="false">DCF_Base!$B$47</f>
        <v>42.8780921845275</v>
      </c>
    </row>
    <row r="6" customFormat="false" ht="15" hidden="false" customHeight="false" outlineLevel="0" collapsed="false">
      <c r="A6" s="0" t="s">
        <v>160</v>
      </c>
      <c r="B6" s="4" t="n">
        <f aca="false">DCF_Bull!$B$38</f>
        <v>100.821873227583</v>
      </c>
      <c r="C6" s="0" t="n">
        <f aca="false">B6/Assumptions!$B$2-1</f>
        <v>0.198548183875213</v>
      </c>
      <c r="D6" s="4" t="n">
        <f aca="false">Assumptions!$B$52</f>
        <v>0.25</v>
      </c>
      <c r="E6" s="4" t="n">
        <f aca="false">DCF_Bull!$B$43</f>
        <v>100.821873227583</v>
      </c>
      <c r="F6" s="4" t="n">
        <f aca="false">DCF_Bull!$B$47</f>
        <v>46.6447572556593</v>
      </c>
    </row>
    <row r="8" customFormat="false" ht="15" hidden="false" customHeight="false" outlineLevel="0" collapsed="false">
      <c r="A8" s="0" t="s">
        <v>161</v>
      </c>
      <c r="B8" s="0" t="n">
        <f aca="false">SUMPRODUCT(B4:B6,D4:D6)</f>
        <v>87.2515656671062</v>
      </c>
    </row>
    <row r="9" customFormat="false" ht="15" hidden="false" customHeight="false" outlineLevel="0" collapsed="false">
      <c r="A9" s="0" t="s">
        <v>162</v>
      </c>
      <c r="B9" s="0" t="n">
        <f aca="false">SUMPRODUCT(E4:E6,D4:D6)</f>
        <v>87.2515656671062</v>
      </c>
    </row>
    <row r="10" customFormat="false" ht="15" hidden="false" customHeight="false" outlineLevel="0" collapsed="false">
      <c r="A10" s="0" t="s">
        <v>163</v>
      </c>
      <c r="B10" s="0" t="n">
        <f aca="false">1-Assumptions!$B$2/B8</f>
        <v>0.0358912260560939</v>
      </c>
    </row>
    <row r="11" customFormat="false" ht="15" hidden="false" customHeight="false" outlineLevel="0" collapsed="false">
      <c r="A11" s="0" t="s">
        <v>164</v>
      </c>
      <c r="B11" s="0" t="str">
        <f aca="false">IF(ABS(B9-B8)&gt;0.01*ABS(B8),(Assumptions!$B$2-B8)/(B9-B8)*100,"n/a")</f>
        <v>n/a</v>
      </c>
    </row>
    <row r="12" customFormat="false" ht="15" hidden="false" customHeight="false" outlineLevel="0" collapsed="false">
      <c r="A12" s="0" t="s">
        <v>165</v>
      </c>
      <c r="B12" s="0" t="n">
        <f aca="false">SUMPRODUCT(F4:F6,D4:D6)</f>
        <v>42.5715790984159</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88.8140365832515</v>
      </c>
      <c r="C15" s="3" t="n">
        <v>7</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70.0323949955746</v>
      </c>
      <c r="C16" s="3" t="n">
        <v>9</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62.4502893140057</v>
      </c>
      <c r="C17" s="3" t="n">
        <v>10</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56.6672203784546</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52.1142481867884</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42.8780921845275</v>
      </c>
      <c r="C20" s="3" t="n">
        <v>15</v>
      </c>
    </row>
    <row r="22" customFormat="false" ht="15" hidden="false" customHeight="false" outlineLevel="0" collapsed="false">
      <c r="A22" s="2" t="s">
        <v>174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101.481553782065</v>
      </c>
      <c r="C24" s="0" t="n">
        <f aca="false">(SUMPRODUCT(DCF_Base!$C$19:$L$19/(1+$A$24/100)^DCF_Base!$C$4:$L$4)+MAX(0,MIN(IF($A$24&gt;$C$23,DCF_Base!$L$19*(1+$C$23/100)/(($A$24-$C$23)/100),DCF_Base!$L$19*DCF_Base!$B$29),DCF_Base!$L$19*DCF_Base!$B$29))/(1+$A$24/100)^DCF_Base!$L$4+Assumptions!$B$5-Assumptions!$B$4)/Assumptions!$B$3*Assumptions!$B$10</f>
        <v>101.481553782065</v>
      </c>
      <c r="D24" s="0" t="n">
        <f aca="false">(SUMPRODUCT(DCF_Base!$C$19:$L$19/(1+$A$24/100)^DCF_Base!$C$4:$L$4)+MAX(0,MIN(IF($A$24&gt;$D$23,DCF_Base!$L$19*(1+$D$23/100)/(($A$24-$D$23)/100),DCF_Base!$L$19*DCF_Base!$B$29),DCF_Base!$L$19*DCF_Base!$B$29))/(1+$A$24/100)^DCF_Base!$L$4+Assumptions!$B$5-Assumptions!$B$4)/Assumptions!$B$3*Assumptions!$B$10</f>
        <v>101.481553782065</v>
      </c>
      <c r="E24" s="0" t="n">
        <f aca="false">(SUMPRODUCT(DCF_Base!$C$19:$L$19/(1+$A$24/100)^DCF_Base!$C$4:$L$4)+MAX(0,MIN(IF($A$24&gt;$E$23,DCF_Base!$L$19*(1+$E$23/100)/(($A$24-$E$23)/100),DCF_Base!$L$19*DCF_Base!$B$29),DCF_Base!$L$19*DCF_Base!$B$29))/(1+$A$24/100)^DCF_Base!$L$4+Assumptions!$B$5-Assumptions!$B$4)/Assumptions!$B$3*Assumptions!$B$10</f>
        <v>101.481553782065</v>
      </c>
      <c r="F24" s="0" t="n">
        <f aca="false">(SUMPRODUCT(DCF_Base!$C$19:$L$19/(1+$A$24/100)^DCF_Base!$C$4:$L$4)+MAX(0,MIN(IF($A$24&gt;$F$23,DCF_Base!$L$19*(1+$F$23/100)/(($A$24-$F$23)/100),DCF_Base!$L$19*DCF_Base!$B$29),DCF_Base!$L$19*DCF_Base!$B$29))/(1+$A$24/100)^DCF_Base!$L$4+Assumptions!$B$5-Assumptions!$B$4)/Assumptions!$B$3*Assumptions!$B$10</f>
        <v>101.481553782065</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94.8394181718318</v>
      </c>
      <c r="C25" s="0" t="n">
        <f aca="false">(SUMPRODUCT(DCF_Base!$C$19:$L$19/(1+$A$25/100)^DCF_Base!$C$4:$L$4)+MAX(0,MIN(IF($A$25&gt;$C$23,DCF_Base!$L$19*(1+$C$23/100)/(($A$25-$C$23)/100),DCF_Base!$L$19*DCF_Base!$B$29),DCF_Base!$L$19*DCF_Base!$B$29))/(1+$A$25/100)^DCF_Base!$L$4+Assumptions!$B$5-Assumptions!$B$4)/Assumptions!$B$3*Assumptions!$B$10</f>
        <v>94.8394181718318</v>
      </c>
      <c r="D25" s="0" t="n">
        <f aca="false">(SUMPRODUCT(DCF_Base!$C$19:$L$19/(1+$A$25/100)^DCF_Base!$C$4:$L$4)+MAX(0,MIN(IF($A$25&gt;$D$23,DCF_Base!$L$19*(1+$D$23/100)/(($A$25-$D$23)/100),DCF_Base!$L$19*DCF_Base!$B$29),DCF_Base!$L$19*DCF_Base!$B$29))/(1+$A$25/100)^DCF_Base!$L$4+Assumptions!$B$5-Assumptions!$B$4)/Assumptions!$B$3*Assumptions!$B$10</f>
        <v>94.8394181718318</v>
      </c>
      <c r="E25" s="0" t="n">
        <f aca="false">(SUMPRODUCT(DCF_Base!$C$19:$L$19/(1+$A$25/100)^DCF_Base!$C$4:$L$4)+MAX(0,MIN(IF($A$25&gt;$E$23,DCF_Base!$L$19*(1+$E$23/100)/(($A$25-$E$23)/100),DCF_Base!$L$19*DCF_Base!$B$29),DCF_Base!$L$19*DCF_Base!$B$29))/(1+$A$25/100)^DCF_Base!$L$4+Assumptions!$B$5-Assumptions!$B$4)/Assumptions!$B$3*Assumptions!$B$10</f>
        <v>94.8394181718318</v>
      </c>
      <c r="F25" s="0" t="n">
        <f aca="false">(SUMPRODUCT(DCF_Base!$C$19:$L$19/(1+$A$25/100)^DCF_Base!$C$4:$L$4)+MAX(0,MIN(IF($A$25&gt;$F$23,DCF_Base!$L$19*(1+$F$23/100)/(($A$25-$F$23)/100),DCF_Base!$L$19*DCF_Base!$B$29),DCF_Base!$L$19*DCF_Base!$B$29))/(1+$A$25/100)^DCF_Base!$L$4+Assumptions!$B$5-Assumptions!$B$4)/Assumptions!$B$3*Assumptions!$B$10</f>
        <v>94.8394181718318</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85.1505064312411</v>
      </c>
      <c r="C26" s="0" t="n">
        <f aca="false">(SUMPRODUCT(DCF_Base!$C$19:$L$19/(1+$A$26/100)^DCF_Base!$C$4:$L$4)+MAX(0,MIN(IF($A$26&gt;$C$23,DCF_Base!$L$19*(1+$C$23/100)/(($A$26-$C$23)/100),DCF_Base!$L$19*DCF_Base!$B$29),DCF_Base!$L$19*DCF_Base!$B$29))/(1+$A$26/100)^DCF_Base!$L$4+Assumptions!$B$5-Assumptions!$B$4)/Assumptions!$B$3*Assumptions!$B$10</f>
        <v>88.8140365832515</v>
      </c>
      <c r="D26" s="0" t="n">
        <f aca="false">(SUMPRODUCT(DCF_Base!$C$19:$L$19/(1+$A$26/100)^DCF_Base!$C$4:$L$4)+MAX(0,MIN(IF($A$26&gt;$D$23,DCF_Base!$L$19*(1+$D$23/100)/(($A$26-$D$23)/100),DCF_Base!$L$19*DCF_Base!$B$29),DCF_Base!$L$19*DCF_Base!$B$29))/(1+$A$26/100)^DCF_Base!$L$4+Assumptions!$B$5-Assumptions!$B$4)/Assumptions!$B$3*Assumptions!$B$10</f>
        <v>88.8140365832515</v>
      </c>
      <c r="E26" s="0" t="n">
        <f aca="false">(SUMPRODUCT(DCF_Base!$C$19:$L$19/(1+$A$26/100)^DCF_Base!$C$4:$L$4)+MAX(0,MIN(IF($A$26&gt;$E$23,DCF_Base!$L$19*(1+$E$23/100)/(($A$26-$E$23)/100),DCF_Base!$L$19*DCF_Base!$B$29),DCF_Base!$L$19*DCF_Base!$B$29))/(1+$A$26/100)^DCF_Base!$L$4+Assumptions!$B$5-Assumptions!$B$4)/Assumptions!$B$3*Assumptions!$B$10</f>
        <v>88.8140365832515</v>
      </c>
      <c r="F26" s="0" t="n">
        <f aca="false">(SUMPRODUCT(DCF_Base!$C$19:$L$19/(1+$A$26/100)^DCF_Base!$C$4:$L$4)+MAX(0,MIN(IF($A$26&gt;$F$23,DCF_Base!$L$19*(1+$F$23/100)/(($A$26-$F$23)/100),DCF_Base!$L$19*DCF_Base!$B$29),DCF_Base!$L$19*DCF_Base!$B$29))/(1+$A$26/100)^DCF_Base!$L$4+Assumptions!$B$5-Assumptions!$B$4)/Assumptions!$B$3*Assumptions!$B$10</f>
        <v>88.8140365832515</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73.8712021264191</v>
      </c>
      <c r="C27" s="0" t="n">
        <f aca="false">(SUMPRODUCT(DCF_Base!$C$19:$L$19/(1+$A$27/100)^DCF_Base!$C$4:$L$4)+MAX(0,MIN(IF($A$27&gt;$C$23,DCF_Base!$L$19*(1+$C$23/100)/(($A$27-$C$23)/100),DCF_Base!$L$19*DCF_Base!$B$29),DCF_Base!$L$19*DCF_Base!$B$29))/(1+$A$27/100)^DCF_Base!$L$4+Assumptions!$B$5-Assumptions!$B$4)/Assumptions!$B$3*Assumptions!$B$10</f>
        <v>76.8619025265946</v>
      </c>
      <c r="D27" s="0" t="n">
        <f aca="false">(SUMPRODUCT(DCF_Base!$C$19:$L$19/(1+$A$27/100)^DCF_Base!$C$4:$L$4)+MAX(0,MIN(IF($A$27&gt;$D$23,DCF_Base!$L$19*(1+$D$23/100)/(($A$27-$D$23)/100),DCF_Base!$L$19*DCF_Base!$B$29),DCF_Base!$L$19*DCF_Base!$B$29))/(1+$A$27/100)^DCF_Base!$L$4+Assumptions!$B$5-Assumptions!$B$4)/Assumptions!$B$3*Assumptions!$B$10</f>
        <v>80.396366635893</v>
      </c>
      <c r="E27" s="0" t="n">
        <f aca="false">(SUMPRODUCT(DCF_Base!$C$19:$L$19/(1+$A$27/100)^DCF_Base!$C$4:$L$4)+MAX(0,MIN(IF($A$27&gt;$E$23,DCF_Base!$L$19*(1+$E$23/100)/(($A$27-$E$23)/100),DCF_Base!$L$19*DCF_Base!$B$29),DCF_Base!$L$19*DCF_Base!$B$29))/(1+$A$27/100)^DCF_Base!$L$4+Assumptions!$B$5-Assumptions!$B$4)/Assumptions!$B$3*Assumptions!$B$10</f>
        <v>83.3417533936416</v>
      </c>
      <c r="F27" s="0" t="n">
        <f aca="false">(SUMPRODUCT(DCF_Base!$C$19:$L$19/(1+$A$27/100)^DCF_Base!$C$4:$L$4)+MAX(0,MIN(IF($A$27&gt;$F$23,DCF_Base!$L$19*(1+$F$23/100)/(($A$27-$F$23)/100),DCF_Base!$L$19*DCF_Base!$B$29),DCF_Base!$L$19*DCF_Base!$B$29))/(1+$A$27/100)^DCF_Base!$L$4+Assumptions!$B$5-Assumptions!$B$4)/Assumptions!$B$3*Assumptions!$B$10</f>
        <v>83.3417533936416</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65.6281830613535</v>
      </c>
      <c r="C28" s="0" t="n">
        <f aca="false">(SUMPRODUCT(DCF_Base!$C$19:$L$19/(1+$A$28/100)^DCF_Base!$C$4:$L$4)+MAX(0,MIN(IF($A$28&gt;$C$23,DCF_Base!$L$19*(1+$C$23/100)/(($A$28-$C$23)/100),DCF_Base!$L$19*DCF_Base!$B$29),DCF_Base!$L$19*DCF_Base!$B$29))/(1+$A$28/100)^DCF_Base!$L$4+Assumptions!$B$5-Assumptions!$B$4)/Assumptions!$B$3*Assumptions!$B$10</f>
        <v>67.672995745099</v>
      </c>
      <c r="D28" s="0" t="n">
        <f aca="false">(SUMPRODUCT(DCF_Base!$C$19:$L$19/(1+$A$28/100)^DCF_Base!$C$4:$L$4)+MAX(0,MIN(IF($A$28&gt;$D$23,DCF_Base!$L$19*(1+$D$23/100)/(($A$28-$D$23)/100),DCF_Base!$L$19*DCF_Base!$B$29),DCF_Base!$L$19*DCF_Base!$B$29))/(1+$A$28/100)^DCF_Base!$L$4+Assumptions!$B$5-Assumptions!$B$4)/Assumptions!$B$3*Assumptions!$B$10</f>
        <v>70.0323949955746</v>
      </c>
      <c r="E28" s="0" t="n">
        <f aca="false">(SUMPRODUCT(DCF_Base!$C$19:$L$19/(1+$A$28/100)^DCF_Base!$C$4:$L$4)+MAX(0,MIN(IF($A$28&gt;$E$23,DCF_Base!$L$19*(1+$E$23/100)/(($A$28-$E$23)/100),DCF_Base!$L$19*DCF_Base!$B$29),DCF_Base!$L$19*DCF_Base!$B$29))/(1+$A$28/100)^DCF_Base!$L$4+Assumptions!$B$5-Assumptions!$B$4)/Assumptions!$B$3*Assumptions!$B$10</f>
        <v>72.7850274544628</v>
      </c>
      <c r="F28" s="0" t="n">
        <f aca="false">(SUMPRODUCT(DCF_Base!$C$19:$L$19/(1+$A$28/100)^DCF_Base!$C$4:$L$4)+MAX(0,MIN(IF($A$28&gt;$F$23,DCF_Base!$L$19*(1+$F$23/100)/(($A$28-$F$23)/100),DCF_Base!$L$19*DCF_Base!$B$29),DCF_Base!$L$19*DCF_Base!$B$29))/(1+$A$28/100)^DCF_Base!$L$4+Assumptions!$B$5-Assumptions!$B$4)/Assumptions!$B$3*Assumptions!$B$10</f>
        <v>76.0381385422397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2026-10-24T16:14:10Z</dcterms:created>
  <dc:creator>openpyxl</dc:creator>
  <dc:description/>
  <dc:language>en-NZ</dc:language>
  <cp:lastModifiedBy/>
  <dcterms:modified xsi:type="dcterms:W3CDTF">2026-10-24T16:14:10Z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