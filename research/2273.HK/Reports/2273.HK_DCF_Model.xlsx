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<sst xmlns="http://schemas.openxmlformats.org/spreadsheetml/2006/main" count="350" uniqueCount="164">
  <si>
    <t xml:space="preserve">Ticker</t>
  </si>
  <si>
    <t xml:space="preserve">2273.HK</t>
  </si>
  <si>
    <t xml:space="preserve">Company</t>
  </si>
  <si>
    <t xml:space="preserve">Gushengtang Holdings Limited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</si>
  <si>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</si>
  <si>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</si>
  <si>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</si>
  <si>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</si>
  <si>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HKEX regular close (Yahoo chart API); 52-week range 24.32-32.28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</si>
  <si>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</si>
  <si>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</si>
  <si>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</si>
  <si>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</si>
  <si>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</si>
  <si>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</si>
  <si>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</si>
  <si>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</si>
  <si>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</si>
  <si>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</si>
  <si>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</si>
  <si>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</si>
  <si>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</si>
  <si>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2026-10-17T23:34:38Z</t>
  </si>
  <si>
    <t xml:space="preserve">Drivers file</t>
  </si>
  <si>
    <t xml:space="preserve">2273.HK_Drivers.json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</si>
  <si>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</si>
  <si>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</si>
  <si>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</si>
  <si>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component DCF in CNY, converted to HKD. Leases are charged as an operating cost and cash acquisitions as capex, because the growth path depends on both; the headline FCF (OCF minus PP&amp;E capex) flatters owners by roughly 7-8% of revenue against that standard. The convertible is treated as debt at principal; buybacks keep the share count flat.
key_risks_to_valuation: M&amp;A treated as recurring capex: if acquisitions stop, growth falls toward the bear path but owner FCF rises -- the two move together; Convertible bond: if the share price rises above HK$37.77, conversion adds ~22.9m shares (~10.6%) instead of the RMB734m debt claim; Cash tax rate: statutory 25% vs ~17% effective; each 2pp is roughly 1% of value; Working capital: the H1 FY2026 outflow is assumed to be timing; a persistent receivables build (insurance settlement) would cut FCF; CNY/HKD rate: per-share HKD value moves 1:1 with the rate</t>
  </si>
  <si>
    <t xml:space="preserve">Data sources</t>
  </si>
  <si>
    <t xml:space="preserve">price: Yahoo Finance chart API at inputs.price_as_of; 52-week range 24.32-32.28
financials: 2273.HK_Metrics.csv (core_metrics, CNY millions); FY2021-FY2025 annual reports and H1 FY2024/25/26 interim reports (Extracted/), incl. H1 FY2026 balance sheet, cash-flow statement, EPS note 10 and capital-structure section
qualitative: 2273.HK_Analysis.json (2026-10-18)
fx: Yahoo CNYHKD=X, USDCNY=X and HKD=X, 2026-10-18</t>
  </si>
  <si>
    <t xml:space="preserve">Scenario narrative: bear</t>
  </si>
  <si>
    <t xml:space="preserve">The thesis' two soft spots bite: the doctor-partnership model loses renowned physicians who take their patients, and the acquisition-led growth proves to be bought rather than built -- acquired clinics underperform, goodwill is impaired, and M&amp;A spending continues without lifting revenue growth above low single digits. Fragmented low-price competition and soft discretionary spending in China cap visits; fixed clinic costs deleverage and adjusted EBITDA margin slips to 20%; cash taxes normalise towards the 25% statutory rate as preferential treatment lapses; receivables from insurance reimbursement absorb cash. Debt-funded buybacks leave less balance-sheet room.</t>
  </si>
  <si>
    <t xml:space="preserve">Scenario narrative: base</t>
  </si>
  <si>
    <t xml:space="preserve">Gushengtang keeps compounding as China's largest private TCM chain: same-city densification in its 21 core cities, a steady cadence of bolt-on acquisitions (cash M&amp;A of RMB100-175m a year, charged in the flows) and the Singapore build-out deliver ~11% growth in FY2026 (H1 +10.6%) and ~9-10% for two more years before fading to 3% by year 10. The membership programme (&gt;40% of revenue, 85% retention) and the digital prescription/compliance platform lift adjusted EBITDA margin modestly from ~21.8% to 22.5%. Leases (~4.4% of revenue) and M&amp;A spend keep owner-FCF margin in the 5-10% range, well below the reported FCF margin. Leverage is manageable: the US$110m Boyu CB funded buybacks, and group cash still roughly matches borrowings plus the CB and declared dividends.</t>
  </si>
  <si>
    <t xml:space="preserve">Scenario narrative: bull</t>
  </si>
  <si>
    <t xml:space="preserve">The 2026 acquisitions (Beijing Shahe/Hongyang hospitals, Tianjin Bainian Renyitang, Jinan clinics) integrate quickly and lift same-store productivity; Singapore (26 clinics, +1,399% H1) becomes a real second curve via the NTU and 1doc partnerships; policy shifting payment from inpatient to outpatient TCM and an ageing population raise visit frequency. Growth runs 13-14% for two years and stays high single digits to year 6, while operating leverage and member mix take adjusted EBITDA margin to 24%. At HK$37.77 conversion the CB would come into the money -- the bull value is therefore modestly overstated by any conversion dilution above the debt carried.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</si>
  <si>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</si>
  <si>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</si>
  <si>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</si>
  <si>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</si>
  <si>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</si>
  <si>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</si>
  <si>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</si>
  <si>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</si>
  <si>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</si>
  <si>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</si>
  <si>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</si>
  <si>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</si>
  <si>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</si>
  <si>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</si>
  <si>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</si>
  <si>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</si>
  <si>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</si>
  <si>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</si>
  <si>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</si>
  <si>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</si>
  <si>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</si>
  <si>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</si>
  <si>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</si>
  <si>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</si>
  <si>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</si>
  <si>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</si>
  <si>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</si>
  <si>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EffectiveCashTaxRate</t>
  </si>
  <si>
    <t xml:space="preserve">TimeDeposits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</si>
  <si>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</si>
  <si>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</si>
  <si>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</si>
  <si>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</si>
  <si>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</si>
  <si>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</si>
  <si>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</si>
  <si>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</si>
  <si>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</si>
  <si>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</si>
  <si>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</si>
  <si>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</si>
  <si>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</si>
  <si>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</si>
  <si>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</si>
  <si>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</si>
  <si>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</si>
  <si>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</si>
  <si>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</si>
  <si>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</si>
  <si>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</si>
  <si>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</si>
  <si>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</si>
  <si>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</si>
  <si>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</si>
  <si>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</si>
  <si>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</si>
  <si>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</si>
  <si>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</si>
  <si>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</si>
  <si>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</si>
  <si>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</si>
  <si>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</si>
  <si>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</si>
  <si>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</si>
  <si>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</si>
  <si>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</si>
  <si>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</si>
  <si>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</si>
  <si>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</si>
  <si>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</si>
  <si>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</si>
  <si>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</si>
  <si>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2273.HK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</si>
  <si>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</si>
  <si>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</si>
  <si>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</si>
  <si>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</si>
  <si>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</si>
  <si>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</si>
  <si>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</si>
  <si>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</si>
  <si>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</si>
  <si>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</si>
  <si>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</si>
  <si>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</si>
  <si>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</si>
  <si>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</si>
  <si>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</si>
  <si>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</si>
  <si>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</si>
  <si>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</si>
  <si>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</si>
  <si>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</si>
  <si>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</si>
  <si>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</si>
  <si>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</si>
  <si>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</si>
  <si>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</si>
  <si>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</si>
  <si>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</si>
  <si>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</si>
  <si>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</si>
  <si>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</si>
  <si>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2273.HK owner-FCF component DCF: base case (millions, CNY)</t>
  </si>
  <si>
    <t xml:space="preserve">2273.HK owner-FCF component DCF: bull case (millions, CNY)</t>
  </si>
  <si>
    <t xml:space="preserve">2273.HK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</si>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</sst>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26.48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925.366</v>
      </c>
      <c r="C2" s="0" t="n">
        <v>487.876</v>
      </c>
      <c r="D2" s="0" t="n">
        <v>437.49</v>
      </c>
      <c r="E2" s="0" t="n">
        <v>47.3</v>
      </c>
      <c r="F2" s="0" t="n">
        <v>-211.498</v>
      </c>
      <c r="G2" s="0" t="n">
        <v>-22.9</v>
      </c>
      <c r="H2" s="0" t="n">
        <v>-145.853</v>
      </c>
      <c r="I2" s="0" t="n">
        <v>-255.749</v>
      </c>
      <c r="J2" s="0" t="n">
        <v>-27.6</v>
      </c>
      <c r="K2" s="0" t="n">
        <v>-3.28</v>
      </c>
      <c r="L2" s="0" t="n">
        <v>154.904</v>
      </c>
      <c r="M2" s="0" t="n">
        <v>20.724</v>
      </c>
      <c r="N2" s="0" t="n">
        <v>134.18</v>
      </c>
      <c r="O2" s="0" t="n">
        <v>-1133.641</v>
      </c>
      <c r="P2" s="0" t="n">
        <v>1445.444</v>
      </c>
      <c r="Q2" s="0" t="n">
        <v>2578.751</v>
      </c>
      <c r="R2" s="0" t="n">
        <v>672.285</v>
      </c>
      <c r="S2" s="0" t="n">
        <v>249.994</v>
      </c>
      <c r="T2" s="0" t="n">
        <v>78</v>
      </c>
      <c r="U2" s="0" t="n">
        <v>15.361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67</v>
      </c>
      <c r="B3" s="0" t="n">
        <v>1372.099</v>
      </c>
      <c r="C3" s="0" t="n">
        <v>751.795</v>
      </c>
      <c r="D3" s="0" t="n">
        <v>620.304</v>
      </c>
      <c r="E3" s="0" t="n">
        <v>45.2</v>
      </c>
      <c r="F3" s="0" t="n">
        <v>-493.144</v>
      </c>
      <c r="G3" s="0" t="n">
        <v>-35.9</v>
      </c>
      <c r="H3" s="0" t="n">
        <v>-399.301</v>
      </c>
      <c r="I3" s="0" t="n">
        <v>-507.069</v>
      </c>
      <c r="J3" s="0" t="n">
        <v>-37</v>
      </c>
      <c r="K3" s="0" t="n">
        <v>-4.38</v>
      </c>
      <c r="L3" s="0" t="n">
        <v>187.755</v>
      </c>
      <c r="M3" s="0" t="n">
        <v>52.395</v>
      </c>
      <c r="N3" s="0" t="n">
        <v>135.36</v>
      </c>
      <c r="O3" s="0" t="n">
        <v>1548.894</v>
      </c>
      <c r="P3" s="0" t="n">
        <v>2391.8</v>
      </c>
      <c r="Q3" s="0" t="n">
        <v>842.389</v>
      </c>
      <c r="R3" s="0" t="n">
        <v>84.313</v>
      </c>
      <c r="S3" s="0" t="n">
        <v>1030.704</v>
      </c>
      <c r="T3" s="0" t="n">
        <v>115.752</v>
      </c>
      <c r="U3" s="0" t="n">
        <v>171.405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68</v>
      </c>
      <c r="B4" s="0" t="n">
        <v>1624.561</v>
      </c>
      <c r="C4" s="0" t="n">
        <v>1125.025</v>
      </c>
      <c r="D4" s="0" t="n">
        <v>499.536</v>
      </c>
      <c r="E4" s="0" t="n">
        <v>30.7</v>
      </c>
      <c r="F4" s="0" t="n">
        <v>202.269</v>
      </c>
      <c r="G4" s="0" t="n">
        <v>12.5</v>
      </c>
      <c r="H4" s="0" t="n">
        <v>310.162</v>
      </c>
      <c r="I4" s="0" t="n">
        <v>180.854</v>
      </c>
      <c r="J4" s="0" t="n">
        <v>11.1</v>
      </c>
      <c r="K4" s="0" t="n">
        <v>0.76</v>
      </c>
      <c r="L4" s="0" t="n">
        <v>280.995</v>
      </c>
      <c r="M4" s="0" t="n">
        <v>37.507</v>
      </c>
      <c r="N4" s="0" t="n">
        <v>243.488</v>
      </c>
      <c r="O4" s="0" t="n">
        <v>1716.889</v>
      </c>
      <c r="P4" s="0" t="n">
        <v>2618.256</v>
      </c>
      <c r="Q4" s="0" t="n">
        <v>900.246</v>
      </c>
      <c r="R4" s="0" t="n">
        <v>71.171</v>
      </c>
      <c r="S4" s="0" t="n">
        <v>994.33</v>
      </c>
      <c r="T4" s="0" t="n">
        <v>239.05</v>
      </c>
      <c r="U4" s="0" t="n">
        <v>17.255</v>
      </c>
      <c r="AA4" s="0" t="s">
        <v>18</v>
      </c>
      <c r="AB4" s="0" t="s">
        <v>14</v>
      </c>
      <c r="AC4" s="0" t="n">
        <v>2.6</v>
      </c>
    </row>
    <row r="5" customFormat="false" ht="15" hidden="false" customHeight="false" outlineLevel="0" collapsed="false">
      <c r="A5" s="0" t="s">
        <v>69</v>
      </c>
      <c r="B5" s="0" t="n">
        <v>2323.351</v>
      </c>
      <c r="C5" s="0" t="n">
        <v>1623.352</v>
      </c>
      <c r="D5" s="0" t="n">
        <v>699.999</v>
      </c>
      <c r="E5" s="0" t="n">
        <v>30.1</v>
      </c>
      <c r="F5" s="0" t="n">
        <v>291.274</v>
      </c>
      <c r="G5" s="0" t="n">
        <v>12.5</v>
      </c>
      <c r="H5" s="0" t="n">
        <v>411.43</v>
      </c>
      <c r="I5" s="0" t="n">
        <v>252.202</v>
      </c>
      <c r="J5" s="0" t="n">
        <v>10.9</v>
      </c>
      <c r="K5" s="0" t="n">
        <v>1.03</v>
      </c>
      <c r="L5" s="0" t="n">
        <v>410.142</v>
      </c>
      <c r="M5" s="0" t="n">
        <v>77.732</v>
      </c>
      <c r="N5" s="0" t="n">
        <v>332.41</v>
      </c>
      <c r="O5" s="0" t="n">
        <v>2304.998</v>
      </c>
      <c r="P5" s="0" t="n">
        <v>3379.342</v>
      </c>
      <c r="Q5" s="0" t="n">
        <v>1073.259</v>
      </c>
      <c r="R5" s="0" t="n">
        <v>16.428</v>
      </c>
      <c r="S5" s="0" t="n">
        <v>1301.3</v>
      </c>
      <c r="T5" s="0" t="n">
        <v>244.234</v>
      </c>
      <c r="U5" s="0" t="n">
        <v>51.774</v>
      </c>
      <c r="AA5" s="0" t="s">
        <v>18</v>
      </c>
      <c r="AB5" s="0" t="s">
        <v>14</v>
      </c>
      <c r="AC5" s="0" t="n">
        <v>4.9</v>
      </c>
    </row>
    <row r="6" customFormat="false" ht="15" hidden="false" customHeight="false" outlineLevel="0" collapsed="false">
      <c r="A6" s="0" t="s">
        <v>70</v>
      </c>
      <c r="B6" s="0" t="n">
        <v>3022.377</v>
      </c>
      <c r="C6" s="0" t="n">
        <v>2113.032</v>
      </c>
      <c r="D6" s="0" t="n">
        <v>909.345</v>
      </c>
      <c r="E6" s="0" t="n">
        <v>30.1</v>
      </c>
      <c r="F6" s="0" t="n">
        <v>355.893</v>
      </c>
      <c r="G6" s="0" t="n">
        <v>11.8</v>
      </c>
      <c r="H6" s="0" t="n">
        <v>506.874</v>
      </c>
      <c r="I6" s="0" t="n">
        <v>306.78</v>
      </c>
      <c r="J6" s="0" t="n">
        <v>10.2</v>
      </c>
      <c r="K6" s="0" t="n">
        <v>1.22</v>
      </c>
      <c r="L6" s="0" t="n">
        <v>452.374</v>
      </c>
      <c r="M6" s="0" t="n">
        <v>90.608</v>
      </c>
      <c r="N6" s="0" t="n">
        <v>361.766</v>
      </c>
      <c r="O6" s="0" t="n">
        <v>2375.917</v>
      </c>
      <c r="P6" s="0" t="n">
        <v>3656.122</v>
      </c>
      <c r="Q6" s="0" t="n">
        <v>1279.833</v>
      </c>
      <c r="R6" s="0" t="n">
        <v>100.09</v>
      </c>
      <c r="S6" s="0" t="n">
        <v>1116.443</v>
      </c>
      <c r="T6" s="0" t="n">
        <v>251.016</v>
      </c>
      <c r="U6" s="0" t="n">
        <v>93.185</v>
      </c>
      <c r="AA6" s="0" t="s">
        <v>18</v>
      </c>
      <c r="AB6" s="0" t="s">
        <v>14</v>
      </c>
      <c r="AC6" s="0" t="n">
        <v>10.5</v>
      </c>
      <c r="AD6" s="0" t="n">
        <v>80.63</v>
      </c>
    </row>
    <row r="7" customFormat="false" ht="15" hidden="false" customHeight="false" outlineLevel="0" collapsed="false">
      <c r="A7" s="0" t="s">
        <v>71</v>
      </c>
      <c r="B7" s="0" t="n">
        <v>3249.07</v>
      </c>
      <c r="C7" s="0" t="n">
        <v>2236.659</v>
      </c>
      <c r="D7" s="0" t="n">
        <v>1012.411</v>
      </c>
      <c r="E7" s="0" t="n">
        <v>31.2</v>
      </c>
      <c r="F7" s="0" t="n">
        <v>434.137</v>
      </c>
      <c r="G7" s="0" t="n">
        <v>13.4</v>
      </c>
      <c r="H7" s="0" t="n">
        <v>621.88</v>
      </c>
      <c r="I7" s="0" t="n">
        <v>352.765</v>
      </c>
      <c r="J7" s="0" t="n">
        <v>10.9</v>
      </c>
      <c r="K7" s="0" t="n">
        <v>1.45</v>
      </c>
      <c r="L7" s="0" t="n">
        <v>612.424</v>
      </c>
      <c r="M7" s="0" t="n">
        <v>118.455</v>
      </c>
      <c r="N7" s="0" t="n">
        <v>493.969</v>
      </c>
      <c r="O7" s="0" t="n">
        <v>2169.981</v>
      </c>
      <c r="P7" s="0" t="n">
        <v>3992.49</v>
      </c>
      <c r="Q7" s="0" t="n">
        <v>1808.101</v>
      </c>
      <c r="R7" s="0" t="n">
        <v>306.709</v>
      </c>
      <c r="S7" s="0" t="n">
        <v>882.333</v>
      </c>
      <c r="T7" s="0" t="n">
        <v>242.47</v>
      </c>
      <c r="U7" s="0" t="n">
        <v>50.492</v>
      </c>
      <c r="AA7" s="0" t="s">
        <v>18</v>
      </c>
      <c r="AB7" s="0" t="s">
        <v>14</v>
      </c>
      <c r="AC7" s="0" t="n">
        <v>13.5</v>
      </c>
      <c r="AD7" s="0" t="n">
        <v>194.409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26.48</v>
      </c>
    </row>
    <row r="3" customFormat="false" ht="15" hidden="false" customHeight="false" outlineLevel="0" collapsed="false">
      <c r="A3" s="0" t="s">
        <v>75</v>
      </c>
      <c r="B3" s="3" t="n">
        <v>216.2</v>
      </c>
    </row>
    <row r="4" customFormat="false" ht="15" hidden="false" customHeight="false" outlineLevel="0" collapsed="false">
      <c r="A4" s="0" t="s">
        <v>76</v>
      </c>
      <c r="B4" s="3" t="n">
        <v>142.1</v>
      </c>
    </row>
    <row r="5" customFormat="false" ht="15" hidden="false" customHeight="false" outlineLevel="0" collapsed="false">
      <c r="A5" s="0" t="s">
        <v>77</v>
      </c>
      <c r="B5" s="3" t="n">
        <v>-14.739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3249.07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1.1724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8</v>
      </c>
      <c r="D13" s="3" t="n">
        <v>5</v>
      </c>
      <c r="E13" s="3" t="n">
        <v>4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96</v>
      </c>
      <c r="C14" s="3" t="n">
        <v>21</v>
      </c>
      <c r="D14" s="3" t="n">
        <v>20.5</v>
      </c>
      <c r="E14" s="3" t="n">
        <v>20</v>
      </c>
      <c r="F14" s="3" t="n">
        <v>20</v>
      </c>
      <c r="G14" s="3" t="n">
        <v>20</v>
      </c>
      <c r="H14" s="3" t="n">
        <v>20</v>
      </c>
      <c r="I14" s="3" t="n">
        <v>20</v>
      </c>
      <c r="J14" s="3" t="n">
        <v>20</v>
      </c>
      <c r="K14" s="3" t="n">
        <v>20</v>
      </c>
      <c r="L14" s="3" t="n">
        <v>20</v>
      </c>
    </row>
    <row r="15" customFormat="false" ht="15" hidden="false" customHeight="false" outlineLevel="0" collapsed="false">
      <c r="A15" s="0" t="s">
        <v>97</v>
      </c>
      <c r="C15" s="3" t="n">
        <v>2.2</v>
      </c>
      <c r="D15" s="3" t="n">
        <v>2.2</v>
      </c>
      <c r="E15" s="3" t="n">
        <v>2.1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</row>
    <row r="16" customFormat="false" ht="15" hidden="false" customHeight="false" outlineLevel="0" collapsed="false">
      <c r="A16" s="0" t="s">
        <v>98</v>
      </c>
      <c r="C16" s="3" t="n">
        <v>4.5</v>
      </c>
      <c r="D16" s="3" t="n">
        <v>4.6</v>
      </c>
      <c r="E16" s="3" t="n">
        <v>4.6</v>
      </c>
      <c r="F16" s="3" t="n">
        <v>4.6</v>
      </c>
      <c r="G16" s="3" t="n">
        <v>4.6</v>
      </c>
      <c r="H16" s="3" t="n">
        <v>4.6</v>
      </c>
      <c r="I16" s="3" t="n">
        <v>4.6</v>
      </c>
      <c r="J16" s="3" t="n">
        <v>4.6</v>
      </c>
      <c r="K16" s="3" t="n">
        <v>4.6</v>
      </c>
      <c r="L16" s="3" t="n">
        <v>4.6</v>
      </c>
    </row>
    <row r="17" customFormat="false" ht="15" hidden="false" customHeight="false" outlineLevel="0" collapsed="false">
      <c r="A17" s="0" t="s">
        <v>99</v>
      </c>
      <c r="C17" s="3" t="n">
        <v>2.2</v>
      </c>
      <c r="D17" s="3" t="n">
        <v>2.3</v>
      </c>
      <c r="E17" s="3" t="n">
        <v>2.4</v>
      </c>
      <c r="F17" s="3" t="n">
        <v>2.4</v>
      </c>
      <c r="G17" s="3" t="n">
        <v>2.4</v>
      </c>
      <c r="H17" s="3" t="n">
        <v>2.4</v>
      </c>
      <c r="I17" s="3" t="n">
        <v>2.4</v>
      </c>
      <c r="J17" s="3" t="n">
        <v>2.4</v>
      </c>
      <c r="K17" s="3" t="n">
        <v>2.4</v>
      </c>
      <c r="L17" s="3" t="n">
        <v>2.4</v>
      </c>
    </row>
    <row r="18" customFormat="false" ht="15" hidden="false" customHeight="false" outlineLevel="0" collapsed="false">
      <c r="A18" s="0" t="s">
        <v>100</v>
      </c>
      <c r="C18" s="3" t="n">
        <v>7.5</v>
      </c>
      <c r="D18" s="3" t="n">
        <v>6.5</v>
      </c>
      <c r="E18" s="3" t="n">
        <v>5.5</v>
      </c>
      <c r="F18" s="3" t="n">
        <v>4.5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 customFormat="false" ht="15" hidden="false" customHeight="false" outlineLevel="0" collapsed="false">
      <c r="A19" s="0" t="s">
        <v>101</v>
      </c>
      <c r="C19" s="3" t="n">
        <v>20</v>
      </c>
      <c r="D19" s="3" t="n">
        <v>21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102</v>
      </c>
      <c r="B20" s="3" t="n">
        <v>9.5</v>
      </c>
    </row>
    <row r="21" customFormat="false" ht="15" hidden="false" customHeight="false" outlineLevel="0" collapsed="false">
      <c r="A21" s="0" t="s">
        <v>103</v>
      </c>
      <c r="B21" s="3" t="n">
        <v>2</v>
      </c>
    </row>
    <row r="22" customFormat="false" ht="15" hidden="false" customHeight="false" outlineLevel="0" collapsed="false">
      <c r="A22" s="0" t="s">
        <v>104</v>
      </c>
      <c r="B22" s="3" t="n">
        <v>15</v>
      </c>
    </row>
    <row r="23" customFormat="false" ht="15" hidden="false" customHeight="false" outlineLevel="0" collapsed="false">
      <c r="A23" s="0" t="s">
        <v>105</v>
      </c>
      <c r="B23" s="3" t="n">
        <v>-10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11</v>
      </c>
      <c r="D27" s="3" t="n">
        <v>10</v>
      </c>
      <c r="E27" s="3" t="n">
        <v>9</v>
      </c>
      <c r="F27" s="3" t="n">
        <v>8</v>
      </c>
      <c r="G27" s="3" t="n">
        <v>7</v>
      </c>
      <c r="H27" s="3" t="n">
        <v>6</v>
      </c>
      <c r="I27" s="3" t="n">
        <v>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96</v>
      </c>
      <c r="C28" s="3" t="n">
        <v>21.8</v>
      </c>
      <c r="D28" s="3" t="n">
        <v>22</v>
      </c>
      <c r="E28" s="3" t="n">
        <v>22.2</v>
      </c>
      <c r="F28" s="3" t="n">
        <v>22.3</v>
      </c>
      <c r="G28" s="3" t="n">
        <v>22.4</v>
      </c>
      <c r="H28" s="3" t="n">
        <v>22.5</v>
      </c>
      <c r="I28" s="3" t="n">
        <v>22.5</v>
      </c>
      <c r="J28" s="3" t="n">
        <v>22.5</v>
      </c>
      <c r="K28" s="3" t="n">
        <v>22.5</v>
      </c>
      <c r="L28" s="3" t="n">
        <v>22.5</v>
      </c>
    </row>
    <row r="29" customFormat="false" ht="15" hidden="false" customHeight="false" outlineLevel="0" collapsed="false">
      <c r="A29" s="0" t="s">
        <v>97</v>
      </c>
      <c r="C29" s="3" t="n">
        <v>2</v>
      </c>
      <c r="D29" s="3" t="n">
        <v>1.9</v>
      </c>
      <c r="E29" s="3" t="n">
        <v>1.8</v>
      </c>
      <c r="F29" s="3" t="n">
        <v>1.7</v>
      </c>
      <c r="G29" s="3" t="n">
        <v>1.6</v>
      </c>
      <c r="H29" s="3" t="n">
        <v>1.5</v>
      </c>
      <c r="I29" s="3" t="n">
        <v>1.5</v>
      </c>
      <c r="J29" s="3" t="n">
        <v>1.5</v>
      </c>
      <c r="K29" s="3" t="n">
        <v>1.5</v>
      </c>
      <c r="L29" s="3" t="n">
        <v>1.5</v>
      </c>
    </row>
    <row r="30" customFormat="false" ht="15" hidden="false" customHeight="false" outlineLevel="0" collapsed="false">
      <c r="A30" s="0" t="s">
        <v>98</v>
      </c>
      <c r="C30" s="3" t="n">
        <v>4.4</v>
      </c>
      <c r="D30" s="3" t="n">
        <v>4.4</v>
      </c>
      <c r="E30" s="3" t="n">
        <v>4.4</v>
      </c>
      <c r="F30" s="3" t="n">
        <v>4.4</v>
      </c>
      <c r="G30" s="3" t="n">
        <v>4.4</v>
      </c>
      <c r="H30" s="3" t="n">
        <v>4.4</v>
      </c>
      <c r="I30" s="3" t="n">
        <v>4.4</v>
      </c>
      <c r="J30" s="3" t="n">
        <v>4.4</v>
      </c>
      <c r="K30" s="3" t="n">
        <v>4.4</v>
      </c>
      <c r="L30" s="3" t="n">
        <v>4.4</v>
      </c>
    </row>
    <row r="31" customFormat="false" ht="15" hidden="false" customHeight="false" outlineLevel="0" collapsed="false">
      <c r="A31" s="0" t="s">
        <v>99</v>
      </c>
      <c r="C31" s="3" t="n">
        <v>2.1</v>
      </c>
      <c r="D31" s="3" t="n">
        <v>2.2</v>
      </c>
      <c r="E31" s="3" t="n">
        <v>2.2</v>
      </c>
      <c r="F31" s="3" t="n">
        <v>2.3</v>
      </c>
      <c r="G31" s="3" t="n">
        <v>2.3</v>
      </c>
      <c r="H31" s="3" t="n">
        <v>2.3</v>
      </c>
      <c r="I31" s="3" t="n">
        <v>2.3</v>
      </c>
      <c r="J31" s="3" t="n">
        <v>2.3</v>
      </c>
      <c r="K31" s="3" t="n">
        <v>2.3</v>
      </c>
      <c r="L31" s="3" t="n">
        <v>2.3</v>
      </c>
    </row>
    <row r="32" customFormat="false" ht="15" hidden="false" customHeight="false" outlineLevel="0" collapsed="false">
      <c r="A32" s="0" t="s">
        <v>100</v>
      </c>
      <c r="C32" s="3" t="n">
        <v>7</v>
      </c>
      <c r="D32" s="3" t="n">
        <v>6.5</v>
      </c>
      <c r="E32" s="3" t="n">
        <v>6</v>
      </c>
      <c r="F32" s="3" t="n">
        <v>5.5</v>
      </c>
      <c r="G32" s="3" t="n">
        <v>5</v>
      </c>
      <c r="H32" s="3" t="n">
        <v>4.5</v>
      </c>
      <c r="I32" s="3" t="n">
        <v>4</v>
      </c>
      <c r="J32" s="3" t="n">
        <v>4</v>
      </c>
      <c r="K32" s="3" t="n">
        <v>4</v>
      </c>
      <c r="L32" s="3" t="n">
        <v>4</v>
      </c>
    </row>
    <row r="33" customFormat="false" ht="15" hidden="false" customHeight="false" outlineLevel="0" collapsed="false">
      <c r="A33" s="0" t="s">
        <v>101</v>
      </c>
      <c r="C33" s="3" t="n">
        <v>18</v>
      </c>
      <c r="D33" s="3" t="n">
        <v>18.5</v>
      </c>
      <c r="E33" s="3" t="n">
        <v>19</v>
      </c>
      <c r="F33" s="3" t="n">
        <v>19.5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102</v>
      </c>
      <c r="B34" s="3" t="n">
        <v>9.5</v>
      </c>
    </row>
    <row r="35" customFormat="false" ht="15" hidden="false" customHeight="false" outlineLevel="0" collapsed="false">
      <c r="A35" s="0" t="s">
        <v>103</v>
      </c>
      <c r="B35" s="3" t="n">
        <v>2.5</v>
      </c>
    </row>
    <row r="36" customFormat="false" ht="15" hidden="false" customHeight="false" outlineLevel="0" collapsed="false">
      <c r="A36" s="0" t="s">
        <v>104</v>
      </c>
      <c r="B36" s="3" t="n">
        <v>15</v>
      </c>
    </row>
    <row r="37" customFormat="false" ht="15" hidden="false" customHeight="false" outlineLevel="0" collapsed="false">
      <c r="A37" s="0" t="s">
        <v>105</v>
      </c>
      <c r="B37" s="3" t="n">
        <v>-5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13</v>
      </c>
      <c r="D41" s="3" t="n">
        <v>14</v>
      </c>
      <c r="E41" s="3" t="n">
        <v>12</v>
      </c>
      <c r="F41" s="3" t="n">
        <v>11</v>
      </c>
      <c r="G41" s="3" t="n">
        <v>10</v>
      </c>
      <c r="H41" s="3" t="n">
        <v>9</v>
      </c>
      <c r="I41" s="3" t="n">
        <v>7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96</v>
      </c>
      <c r="C42" s="3" t="n">
        <v>22</v>
      </c>
      <c r="D42" s="3" t="n">
        <v>22.5</v>
      </c>
      <c r="E42" s="3" t="n">
        <v>23</v>
      </c>
      <c r="F42" s="3" t="n">
        <v>23.3</v>
      </c>
      <c r="G42" s="3" t="n">
        <v>23.6</v>
      </c>
      <c r="H42" s="3" t="n">
        <v>23.8</v>
      </c>
      <c r="I42" s="3" t="n">
        <v>24</v>
      </c>
      <c r="J42" s="3" t="n">
        <v>24</v>
      </c>
      <c r="K42" s="3" t="n">
        <v>24</v>
      </c>
      <c r="L42" s="3" t="n">
        <v>24</v>
      </c>
    </row>
    <row r="43" customFormat="false" ht="15" hidden="false" customHeight="false" outlineLevel="0" collapsed="false">
      <c r="A43" s="0" t="s">
        <v>97</v>
      </c>
      <c r="C43" s="3" t="n">
        <v>2</v>
      </c>
      <c r="D43" s="3" t="n">
        <v>1.9</v>
      </c>
      <c r="E43" s="3" t="n">
        <v>1.8</v>
      </c>
      <c r="F43" s="3" t="n">
        <v>1.7</v>
      </c>
      <c r="G43" s="3" t="n">
        <v>1.6</v>
      </c>
      <c r="H43" s="3" t="n">
        <v>1.5</v>
      </c>
      <c r="I43" s="3" t="n">
        <v>1.5</v>
      </c>
      <c r="J43" s="3" t="n">
        <v>1.5</v>
      </c>
      <c r="K43" s="3" t="n">
        <v>1.5</v>
      </c>
      <c r="L43" s="3" t="n">
        <v>1.5</v>
      </c>
    </row>
    <row r="44" customFormat="false" ht="15" hidden="false" customHeight="false" outlineLevel="0" collapsed="false">
      <c r="A44" s="0" t="s">
        <v>98</v>
      </c>
      <c r="C44" s="3" t="n">
        <v>4.3</v>
      </c>
      <c r="D44" s="3" t="n">
        <v>4.3</v>
      </c>
      <c r="E44" s="3" t="n">
        <v>4.3</v>
      </c>
      <c r="F44" s="3" t="n">
        <v>4.3</v>
      </c>
      <c r="G44" s="3" t="n">
        <v>4.3</v>
      </c>
      <c r="H44" s="3" t="n">
        <v>4.3</v>
      </c>
      <c r="I44" s="3" t="n">
        <v>4.3</v>
      </c>
      <c r="J44" s="3" t="n">
        <v>4.3</v>
      </c>
      <c r="K44" s="3" t="n">
        <v>4.3</v>
      </c>
      <c r="L44" s="3" t="n">
        <v>4.3</v>
      </c>
    </row>
    <row r="45" customFormat="false" ht="15" hidden="false" customHeight="false" outlineLevel="0" collapsed="false">
      <c r="A45" s="0" t="s">
        <v>99</v>
      </c>
      <c r="C45" s="3" t="n">
        <v>2.1</v>
      </c>
      <c r="D45" s="3" t="n">
        <v>2.2</v>
      </c>
      <c r="E45" s="3" t="n">
        <v>2.2</v>
      </c>
      <c r="F45" s="3" t="n">
        <v>2.3</v>
      </c>
      <c r="G45" s="3" t="n">
        <v>2.3</v>
      </c>
      <c r="H45" s="3" t="n">
        <v>2.3</v>
      </c>
      <c r="I45" s="3" t="n">
        <v>2.3</v>
      </c>
      <c r="J45" s="3" t="n">
        <v>2.3</v>
      </c>
      <c r="K45" s="3" t="n">
        <v>2.3</v>
      </c>
      <c r="L45" s="3" t="n">
        <v>2.3</v>
      </c>
    </row>
    <row r="46" customFormat="false" ht="15" hidden="false" customHeight="false" outlineLevel="0" collapsed="false">
      <c r="A46" s="0" t="s">
        <v>100</v>
      </c>
      <c r="C46" s="3" t="n">
        <v>7</v>
      </c>
      <c r="D46" s="3" t="n">
        <v>6.5</v>
      </c>
      <c r="E46" s="3" t="n">
        <v>6</v>
      </c>
      <c r="F46" s="3" t="n">
        <v>5.5</v>
      </c>
      <c r="G46" s="3" t="n">
        <v>5</v>
      </c>
      <c r="H46" s="3" t="n">
        <v>4.5</v>
      </c>
      <c r="I46" s="3" t="n">
        <v>4.5</v>
      </c>
      <c r="J46" s="3" t="n">
        <v>4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101</v>
      </c>
      <c r="C47" s="3" t="n">
        <v>18</v>
      </c>
      <c r="D47" s="3" t="n">
        <v>18</v>
      </c>
      <c r="E47" s="3" t="n">
        <v>18.5</v>
      </c>
      <c r="F47" s="3" t="n">
        <v>18.5</v>
      </c>
      <c r="G47" s="3" t="n">
        <v>19</v>
      </c>
      <c r="H47" s="3" t="n">
        <v>19</v>
      </c>
      <c r="I47" s="3" t="n">
        <v>19</v>
      </c>
      <c r="J47" s="3" t="n">
        <v>19</v>
      </c>
      <c r="K47" s="3" t="n">
        <v>19</v>
      </c>
      <c r="L47" s="3" t="n">
        <v>19</v>
      </c>
    </row>
    <row r="48" customFormat="false" ht="15" hidden="false" customHeight="false" outlineLevel="0" collapsed="false">
      <c r="A48" s="0" t="s">
        <v>102</v>
      </c>
      <c r="B48" s="3" t="n">
        <v>9.5</v>
      </c>
    </row>
    <row r="49" customFormat="false" ht="15" hidden="false" customHeight="false" outlineLevel="0" collapsed="false">
      <c r="A49" s="0" t="s">
        <v>103</v>
      </c>
      <c r="B49" s="3" t="n">
        <v>3</v>
      </c>
    </row>
    <row r="50" customFormat="false" ht="15" hidden="false" customHeight="false" outlineLevel="0" collapsed="false">
      <c r="A50" s="0" t="s">
        <v>104</v>
      </c>
      <c r="B50" s="3" t="n">
        <v>15</v>
      </c>
    </row>
    <row r="51" customFormat="false" ht="15" hidden="false" customHeight="false" outlineLevel="0" collapsed="false">
      <c r="A51" s="0" t="s">
        <v>105</v>
      </c>
      <c r="B51" s="3" t="n">
        <v>0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8</v>
      </c>
      <c r="D5" s="4" t="n">
        <f aca="false">Assumptions!D13</f>
        <v>5</v>
      </c>
      <c r="E5" s="4" t="n">
        <f aca="false">Assumptions!E13</f>
        <v>4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3249.07</v>
      </c>
      <c r="C6" s="0" t="n">
        <f aca="false">B6*(1+C5/100)</f>
        <v>3508.9956</v>
      </c>
      <c r="D6" s="0" t="n">
        <f aca="false">C6*(1+D5/100)</f>
        <v>3684.44538</v>
      </c>
      <c r="E6" s="0" t="n">
        <f aca="false">D6*(1+E5/100)</f>
        <v>3831.8231952</v>
      </c>
      <c r="F6" s="0" t="n">
        <f aca="false">E6*(1+F5/100)</f>
        <v>3946.777891056</v>
      </c>
      <c r="G6" s="0" t="n">
        <f aca="false">F6*(1+G5/100)</f>
        <v>4065.18122778768</v>
      </c>
      <c r="H6" s="0" t="n">
        <f aca="false">G6*(1+H5/100)</f>
        <v>4187.13666462131</v>
      </c>
      <c r="I6" s="0" t="n">
        <f aca="false">H6*(1+I5/100)</f>
        <v>4291.81508123684</v>
      </c>
      <c r="J6" s="0" t="n">
        <f aca="false">I6*(1+J5/100)</f>
        <v>4399.11045826776</v>
      </c>
      <c r="K6" s="0" t="n">
        <f aca="false">J6*(1+K5/100)</f>
        <v>4487.09266743312</v>
      </c>
      <c r="L6" s="0" t="n">
        <f aca="false">K6*(1+L5/100)</f>
        <v>4576.83452078178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21</v>
      </c>
      <c r="D7" s="4" t="n">
        <f aca="false">Assumptions!D14</f>
        <v>20.5</v>
      </c>
      <c r="E7" s="4" t="n">
        <f aca="false">Assumptions!E14</f>
        <v>20</v>
      </c>
      <c r="F7" s="4" t="n">
        <f aca="false">Assumptions!F14</f>
        <v>20</v>
      </c>
      <c r="G7" s="4" t="n">
        <f aca="false">Assumptions!G14</f>
        <v>20</v>
      </c>
      <c r="H7" s="4" t="n">
        <f aca="false">Assumptions!H14</f>
        <v>20</v>
      </c>
      <c r="I7" s="4" t="n">
        <f aca="false">Assumptions!I14</f>
        <v>20</v>
      </c>
      <c r="J7" s="4" t="n">
        <f aca="false">Assumptions!J14</f>
        <v>20</v>
      </c>
      <c r="K7" s="4" t="n">
        <f aca="false">Assumptions!K14</f>
        <v>20</v>
      </c>
      <c r="L7" s="4" t="n">
        <f aca="false">Assumptions!L14</f>
        <v>20</v>
      </c>
    </row>
    <row r="8" customFormat="false" ht="15" hidden="false" customHeight="false" outlineLevel="0" collapsed="false">
      <c r="A8" s="0" t="s">
        <v>44</v>
      </c>
      <c r="C8" s="0" t="n">
        <f aca="false">C6*C7/100</f>
        <v>736.889076</v>
      </c>
      <c r="D8" s="0" t="n">
        <f aca="false">D6*D7/100</f>
        <v>755.3113029</v>
      </c>
      <c r="E8" s="0" t="n">
        <f aca="false">E6*E7/100</f>
        <v>766.36463904</v>
      </c>
      <c r="F8" s="0" t="n">
        <f aca="false">F6*F7/100</f>
        <v>789.3555782112</v>
      </c>
      <c r="G8" s="0" t="n">
        <f aca="false">G6*G7/100</f>
        <v>813.036245557536</v>
      </c>
      <c r="H8" s="0" t="n">
        <f aca="false">H6*H7/100</f>
        <v>837.427332924262</v>
      </c>
      <c r="I8" s="0" t="n">
        <f aca="false">I6*I7/100</f>
        <v>858.363016247369</v>
      </c>
      <c r="J8" s="0" t="n">
        <f aca="false">J6*J7/100</f>
        <v>879.822091653553</v>
      </c>
      <c r="K8" s="0" t="n">
        <f aca="false">K6*K7/100</f>
        <v>897.418533486624</v>
      </c>
      <c r="L8" s="0" t="n">
        <f aca="false">L6*L7/100</f>
        <v>915.366904156356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2.2</v>
      </c>
      <c r="D9" s="4" t="n">
        <f aca="false">Assumptions!D15</f>
        <v>2.2</v>
      </c>
      <c r="E9" s="4" t="n">
        <f aca="false">Assumptions!E15</f>
        <v>2.1</v>
      </c>
      <c r="F9" s="4" t="n">
        <f aca="false">Assumptions!F15</f>
        <v>2</v>
      </c>
      <c r="G9" s="4" t="n">
        <f aca="false">Assumptions!G15</f>
        <v>2</v>
      </c>
      <c r="H9" s="4" t="n">
        <f aca="false">Assumptions!H15</f>
        <v>2</v>
      </c>
      <c r="I9" s="4" t="n">
        <f aca="false">Assumptions!I15</f>
        <v>2</v>
      </c>
      <c r="J9" s="4" t="n">
        <f aca="false">Assumptions!J15</f>
        <v>2</v>
      </c>
      <c r="K9" s="4" t="n">
        <f aca="false">Assumptions!K15</f>
        <v>2</v>
      </c>
      <c r="L9" s="4" t="n">
        <f aca="false">Assumptions!L15</f>
        <v>2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-77.1979032</v>
      </c>
      <c r="D10" s="0" t="n">
        <f aca="false">-D6*D9/100</f>
        <v>-81.05779836</v>
      </c>
      <c r="E10" s="0" t="n">
        <f aca="false">-E6*E9/100</f>
        <v>-80.4682870992</v>
      </c>
      <c r="F10" s="0" t="n">
        <f aca="false">-F6*F9/100</f>
        <v>-78.93555782112</v>
      </c>
      <c r="G10" s="0" t="n">
        <f aca="false">-G6*G9/100</f>
        <v>-81.3036245557536</v>
      </c>
      <c r="H10" s="0" t="n">
        <f aca="false">-H6*H9/100</f>
        <v>-83.7427332924262</v>
      </c>
      <c r="I10" s="0" t="n">
        <f aca="false">-I6*I9/100</f>
        <v>-85.8363016247369</v>
      </c>
      <c r="J10" s="0" t="n">
        <f aca="false">-J6*J9/100</f>
        <v>-87.9822091653553</v>
      </c>
      <c r="K10" s="0" t="n">
        <f aca="false">-K6*K9/100</f>
        <v>-89.7418533486624</v>
      </c>
      <c r="L10" s="0" t="n">
        <f aca="false">-L6*L9/100</f>
        <v>-91.5366904156356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501.7863708</v>
      </c>
      <c r="D11" s="0" t="n">
        <f aca="false">D8+D10+D24</f>
        <v>504.76901706</v>
      </c>
      <c r="E11" s="0" t="n">
        <f aca="false">E8+E10+E24</f>
        <v>509.6324849616</v>
      </c>
      <c r="F11" s="0" t="n">
        <f aca="false">F8+F10+F24</f>
        <v>528.868237401504</v>
      </c>
      <c r="G11" s="0" t="n">
        <f aca="false">G8+G10+G24</f>
        <v>544.734284523549</v>
      </c>
      <c r="H11" s="0" t="n">
        <f aca="false">H8+H10+H24</f>
        <v>561.076313059256</v>
      </c>
      <c r="I11" s="0" t="n">
        <f aca="false">I8+I10+I24</f>
        <v>575.103220885737</v>
      </c>
      <c r="J11" s="0" t="n">
        <f aca="false">J8+J10+J24</f>
        <v>589.48080140788</v>
      </c>
      <c r="K11" s="0" t="n">
        <f aca="false">K8+K10+K24</f>
        <v>601.270417436038</v>
      </c>
      <c r="L11" s="0" t="n">
        <f aca="false">L8+L10+L24</f>
        <v>613.295825784759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-77.1979032</v>
      </c>
      <c r="D12" s="4" t="n">
        <f aca="false">-D6*Assumptions!D17/100</f>
        <v>-84.74224374</v>
      </c>
      <c r="E12" s="4" t="n">
        <f aca="false">-E6*Assumptions!E17/100</f>
        <v>-91.9637566848</v>
      </c>
      <c r="F12" s="4" t="n">
        <f aca="false">-F6*Assumptions!F17/100</f>
        <v>-94.722669385344</v>
      </c>
      <c r="G12" s="4" t="n">
        <f aca="false">-G6*Assumptions!G17/100</f>
        <v>-97.5643494669043</v>
      </c>
      <c r="H12" s="4" t="n">
        <f aca="false">-H6*Assumptions!H17/100</f>
        <v>-100.491279950911</v>
      </c>
      <c r="I12" s="4" t="n">
        <f aca="false">-I6*Assumptions!I17/100</f>
        <v>-103.003561949684</v>
      </c>
      <c r="J12" s="4" t="n">
        <f aca="false">-J6*Assumptions!J17/100</f>
        <v>-105.578650998426</v>
      </c>
      <c r="K12" s="4" t="n">
        <f aca="false">-K6*Assumptions!K17/100</f>
        <v>-107.690224018395</v>
      </c>
      <c r="L12" s="4" t="n">
        <f aca="false">-L6*Assumptions!L17/100</f>
        <v>-109.844028498763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424.5884676</v>
      </c>
      <c r="D13" s="0" t="n">
        <f aca="false">D11+D12</f>
        <v>420.02677332</v>
      </c>
      <c r="E13" s="0" t="n">
        <f aca="false">E11+E12</f>
        <v>417.6687282768</v>
      </c>
      <c r="F13" s="0" t="n">
        <f aca="false">F11+F12</f>
        <v>434.14556801616</v>
      </c>
      <c r="G13" s="0" t="n">
        <f aca="false">G11+G12</f>
        <v>447.169935056645</v>
      </c>
      <c r="H13" s="0" t="n">
        <f aca="false">H11+H12</f>
        <v>460.585033108344</v>
      </c>
      <c r="I13" s="0" t="n">
        <f aca="false">I11+I12</f>
        <v>472.099658936053</v>
      </c>
      <c r="J13" s="0" t="n">
        <f aca="false">J11+J12</f>
        <v>483.902150409454</v>
      </c>
      <c r="K13" s="0" t="n">
        <f aca="false">K11+K12</f>
        <v>493.580193417643</v>
      </c>
      <c r="L13" s="0" t="n">
        <f aca="false">L11+L12</f>
        <v>503.451797285996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20</v>
      </c>
      <c r="D14" s="4" t="n">
        <f aca="false">Assumptions!D19</f>
        <v>21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339.67077408</v>
      </c>
      <c r="D15" s="0" t="n">
        <f aca="false">D13-MAX(0,D13)*D14/100</f>
        <v>331.8211509228</v>
      </c>
      <c r="E15" s="0" t="n">
        <f aca="false">E13-MAX(0,E13)*E14/100</f>
        <v>325.781608055904</v>
      </c>
      <c r="F15" s="0" t="n">
        <f aca="false">F13-MAX(0,F13)*F14/100</f>
        <v>338.633543052605</v>
      </c>
      <c r="G15" s="0" t="n">
        <f aca="false">G13-MAX(0,G13)*G14/100</f>
        <v>348.792549344183</v>
      </c>
      <c r="H15" s="0" t="n">
        <f aca="false">H13-MAX(0,H13)*H14/100</f>
        <v>359.256325824508</v>
      </c>
      <c r="I15" s="0" t="n">
        <f aca="false">I13-MAX(0,I13)*I14/100</f>
        <v>368.237733970121</v>
      </c>
      <c r="J15" s="0" t="n">
        <f aca="false">J13-MAX(0,J13)*J14/100</f>
        <v>377.443677319374</v>
      </c>
      <c r="K15" s="0" t="n">
        <f aca="false">K13-MAX(0,K13)*K14/100</f>
        <v>384.992550865762</v>
      </c>
      <c r="L15" s="0" t="n">
        <f aca="false">L13-MAX(0,L13)*L14/100</f>
        <v>392.692401883077</v>
      </c>
    </row>
    <row r="16" customFormat="false" ht="15" hidden="false" customHeight="false" outlineLevel="0" collapsed="false">
      <c r="A16" s="0" t="s">
        <v>117</v>
      </c>
      <c r="C16" s="0" t="n">
        <f aca="false">-C12</f>
        <v>77.1979032</v>
      </c>
      <c r="D16" s="0" t="n">
        <f aca="false">-D12</f>
        <v>84.74224374</v>
      </c>
      <c r="E16" s="0" t="n">
        <f aca="false">-E12</f>
        <v>91.9637566848</v>
      </c>
      <c r="F16" s="0" t="n">
        <f aca="false">-F12</f>
        <v>94.722669385344</v>
      </c>
      <c r="G16" s="0" t="n">
        <f aca="false">-G12</f>
        <v>97.5643494669043</v>
      </c>
      <c r="H16" s="0" t="n">
        <f aca="false">-H12</f>
        <v>100.491279950911</v>
      </c>
      <c r="I16" s="0" t="n">
        <f aca="false">-I12</f>
        <v>103.003561949684</v>
      </c>
      <c r="J16" s="0" t="n">
        <f aca="false">-J12</f>
        <v>105.578650998426</v>
      </c>
      <c r="K16" s="0" t="n">
        <f aca="false">-K12</f>
        <v>107.690224018395</v>
      </c>
      <c r="L16" s="0" t="n">
        <f aca="false">-L12</f>
        <v>109.844028498763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-263.17467</v>
      </c>
      <c r="D17" s="4" t="n">
        <f aca="false">-D6*Assumptions!D18/100</f>
        <v>-239.4889497</v>
      </c>
      <c r="E17" s="4" t="n">
        <f aca="false">-E6*Assumptions!E18/100</f>
        <v>-210.750275736</v>
      </c>
      <c r="F17" s="4" t="n">
        <f aca="false">-F6*Assumptions!F18/100</f>
        <v>-177.60500509752</v>
      </c>
      <c r="G17" s="4" t="n">
        <f aca="false">-G6*Assumptions!G18/100</f>
        <v>-162.607249111507</v>
      </c>
      <c r="H17" s="4" t="n">
        <f aca="false">-H6*Assumptions!H18/100</f>
        <v>-167.485466584852</v>
      </c>
      <c r="I17" s="4" t="n">
        <f aca="false">-I6*Assumptions!I18/100</f>
        <v>-171.672603249474</v>
      </c>
      <c r="J17" s="4" t="n">
        <f aca="false">-J6*Assumptions!J18/100</f>
        <v>-175.964418330711</v>
      </c>
      <c r="K17" s="4" t="n">
        <f aca="false">-K6*Assumptions!K18/100</f>
        <v>-179.483706697325</v>
      </c>
      <c r="L17" s="4" t="n">
        <f aca="false">-L6*Assumptions!L18/100</f>
        <v>-183.073380831271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-25.99256</v>
      </c>
      <c r="D18" s="4" t="n">
        <f aca="false">(D6-C6)*Assumptions!$B$23/100</f>
        <v>-17.544978</v>
      </c>
      <c r="E18" s="4" t="n">
        <f aca="false">(E6-D6)*Assumptions!$B$23/100</f>
        <v>-14.73778152</v>
      </c>
      <c r="F18" s="4" t="n">
        <f aca="false">(F6-E6)*Assumptions!$B$23/100</f>
        <v>-11.4954695856</v>
      </c>
      <c r="G18" s="4" t="n">
        <f aca="false">(G6-F6)*Assumptions!$B$23/100</f>
        <v>-11.840333673168</v>
      </c>
      <c r="H18" s="4" t="n">
        <f aca="false">(H6-G6)*Assumptions!$B$23/100</f>
        <v>-12.195543683363</v>
      </c>
      <c r="I18" s="4" t="n">
        <f aca="false">(I6-H6)*Assumptions!$B$23/100</f>
        <v>-10.4678416615532</v>
      </c>
      <c r="J18" s="4" t="n">
        <f aca="false">(J6-I6)*Assumptions!$B$23/100</f>
        <v>-10.729537703092</v>
      </c>
      <c r="K18" s="4" t="n">
        <f aca="false">(K6-J6)*Assumptions!$B$23/100</f>
        <v>-8.7982209165355</v>
      </c>
      <c r="L18" s="4" t="n">
        <f aca="false">(L6-K6)*Assumptions!$B$23/100</f>
        <v>-8.97418533486625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127.70144728</v>
      </c>
      <c r="D19" s="0" t="n">
        <f aca="false">D15+D16+D17+D18</f>
        <v>159.5294669628</v>
      </c>
      <c r="E19" s="0" t="n">
        <f aca="false">E15+E16+E17+E18</f>
        <v>192.257307484704</v>
      </c>
      <c r="F19" s="0" t="n">
        <f aca="false">F15+F16+F17+F18</f>
        <v>244.255737754829</v>
      </c>
      <c r="G19" s="0" t="n">
        <f aca="false">G15+G16+G17+G18</f>
        <v>271.909316026412</v>
      </c>
      <c r="H19" s="0" t="n">
        <f aca="false">H15+H16+H17+H18</f>
        <v>280.066595507204</v>
      </c>
      <c r="I19" s="0" t="n">
        <f aca="false">I15+I16+I17+I18</f>
        <v>289.100851008779</v>
      </c>
      <c r="J19" s="0" t="n">
        <f aca="false">J15+J16+J17+J18</f>
        <v>296.328372283998</v>
      </c>
      <c r="K19" s="0" t="n">
        <f aca="false">K15+K16+K17+K18</f>
        <v>304.400847270296</v>
      </c>
      <c r="L19" s="0" t="n">
        <f aca="false">L15+L16+L17+L18</f>
        <v>310.488864215702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116.622326283105</v>
      </c>
      <c r="D21" s="0" t="n">
        <f aca="false">D19*D20</f>
        <v>133.0493250456</v>
      </c>
      <c r="E21" s="0" t="n">
        <f aca="false">E19*E20</f>
        <v>146.43351869871</v>
      </c>
      <c r="F21" s="0" t="n">
        <f aca="false">F19*F20</f>
        <v>169.89801221814</v>
      </c>
      <c r="G21" s="0" t="n">
        <f aca="false">G19*G20</f>
        <v>172.724319987846</v>
      </c>
      <c r="H21" s="0" t="n">
        <f aca="false">H19*H20</f>
        <v>162.471278162083</v>
      </c>
      <c r="I21" s="0" t="n">
        <f aca="false">I19*I20</f>
        <v>153.161826164847</v>
      </c>
      <c r="J21" s="0" t="n">
        <f aca="false">J19*J20</f>
        <v>143.370659195405</v>
      </c>
      <c r="K21" s="0" t="n">
        <f aca="false">K19*K20</f>
        <v>134.498916060333</v>
      </c>
      <c r="L21" s="0" t="n">
        <f aca="false">L19*L20</f>
        <v>125.286661535653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4.5</v>
      </c>
      <c r="D23" s="4" t="n">
        <f aca="false">Assumptions!D16</f>
        <v>4.6</v>
      </c>
      <c r="E23" s="4" t="n">
        <f aca="false">Assumptions!E16</f>
        <v>4.6</v>
      </c>
      <c r="F23" s="4" t="n">
        <f aca="false">Assumptions!F16</f>
        <v>4.6</v>
      </c>
      <c r="G23" s="4" t="n">
        <f aca="false">Assumptions!G16</f>
        <v>4.6</v>
      </c>
      <c r="H23" s="4" t="n">
        <f aca="false">Assumptions!H16</f>
        <v>4.6</v>
      </c>
      <c r="I23" s="4" t="n">
        <f aca="false">Assumptions!I16</f>
        <v>4.6</v>
      </c>
      <c r="J23" s="4" t="n">
        <f aca="false">Assumptions!J16</f>
        <v>4.6</v>
      </c>
      <c r="K23" s="4" t="n">
        <f aca="false">Assumptions!K16</f>
        <v>4.6</v>
      </c>
      <c r="L23" s="4" t="n">
        <f aca="false">Assumptions!L16</f>
        <v>4.6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-157.904802</v>
      </c>
      <c r="D24" s="0" t="n">
        <f aca="false">-D6*D23/100</f>
        <v>-169.48448748</v>
      </c>
      <c r="E24" s="0" t="n">
        <f aca="false">-E6*E23/100</f>
        <v>-176.2638669792</v>
      </c>
      <c r="F24" s="0" t="n">
        <f aca="false">-F6*F23/100</f>
        <v>-181.551782988576</v>
      </c>
      <c r="G24" s="0" t="n">
        <f aca="false">-G6*G23/100</f>
        <v>-186.998336478233</v>
      </c>
      <c r="H24" s="0" t="n">
        <f aca="false">-H6*H23/100</f>
        <v>-192.60828657258</v>
      </c>
      <c r="I24" s="0" t="n">
        <f aca="false">-I6*I23/100</f>
        <v>-197.423493736895</v>
      </c>
      <c r="J24" s="0" t="n">
        <f aca="false">-J6*J23/100</f>
        <v>-202.359081080317</v>
      </c>
      <c r="K24" s="0" t="n">
        <f aca="false">-K6*K23/100</f>
        <v>-206.406262701923</v>
      </c>
      <c r="L24" s="0" t="n">
        <f aca="false">-L6*L23/100</f>
        <v>-210.534387955962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1457.51684335172</v>
      </c>
    </row>
    <row r="31" customFormat="false" ht="15" hidden="false" customHeight="false" outlineLevel="0" collapsed="false">
      <c r="A31" s="0" t="s">
        <v>126</v>
      </c>
      <c r="B31" s="0" t="n">
        <f aca="false">L19</f>
        <v>310.488864215702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4222.64855333355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4657.33296323553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4222.64855333355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1703.89859688488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3161.4154402366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3004.5764402366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16.2930870422451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-0.384702150972617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519.156273732848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502.334403382443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21.8323824624577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2436.14339615397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8.50383661824649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11</v>
      </c>
      <c r="D5" s="4" t="n">
        <f aca="false">Assumptions!D27</f>
        <v>10</v>
      </c>
      <c r="E5" s="4" t="n">
        <f aca="false">Assumptions!E27</f>
        <v>9</v>
      </c>
      <c r="F5" s="4" t="n">
        <f aca="false">Assumptions!F27</f>
        <v>8</v>
      </c>
      <c r="G5" s="4" t="n">
        <f aca="false">Assumptions!G27</f>
        <v>7</v>
      </c>
      <c r="H5" s="4" t="n">
        <f aca="false">Assumptions!H27</f>
        <v>6</v>
      </c>
      <c r="I5" s="4" t="n">
        <f aca="false">Assumptions!I27</f>
        <v>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3249.07</v>
      </c>
      <c r="C6" s="0" t="n">
        <f aca="false">B6*(1+C5/100)</f>
        <v>3606.4677</v>
      </c>
      <c r="D6" s="0" t="n">
        <f aca="false">C6*(1+D5/100)</f>
        <v>3967.11447</v>
      </c>
      <c r="E6" s="0" t="n">
        <f aca="false">D6*(1+E5/100)</f>
        <v>4324.1547723</v>
      </c>
      <c r="F6" s="0" t="n">
        <f aca="false">E6*(1+F5/100)</f>
        <v>4670.087154084</v>
      </c>
      <c r="G6" s="0" t="n">
        <f aca="false">F6*(1+G5/100)</f>
        <v>4996.99325486988</v>
      </c>
      <c r="H6" s="0" t="n">
        <f aca="false">G6*(1+H5/100)</f>
        <v>5296.81285016208</v>
      </c>
      <c r="I6" s="0" t="n">
        <f aca="false">H6*(1+I5/100)</f>
        <v>5561.65349267018</v>
      </c>
      <c r="J6" s="0" t="n">
        <f aca="false">I6*(1+J5/100)</f>
        <v>5784.11963237699</v>
      </c>
      <c r="K6" s="0" t="n">
        <f aca="false">J6*(1+K5/100)</f>
        <v>5986.56381951018</v>
      </c>
      <c r="L6" s="0" t="n">
        <f aca="false">K6*(1+L5/100)</f>
        <v>6166.16073409549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21.8</v>
      </c>
      <c r="D7" s="4" t="n">
        <f aca="false">Assumptions!D28</f>
        <v>22</v>
      </c>
      <c r="E7" s="4" t="n">
        <f aca="false">Assumptions!E28</f>
        <v>22.2</v>
      </c>
      <c r="F7" s="4" t="n">
        <f aca="false">Assumptions!F28</f>
        <v>22.3</v>
      </c>
      <c r="G7" s="4" t="n">
        <f aca="false">Assumptions!G28</f>
        <v>22.4</v>
      </c>
      <c r="H7" s="4" t="n">
        <f aca="false">Assumptions!H28</f>
        <v>22.5</v>
      </c>
      <c r="I7" s="4" t="n">
        <f aca="false">Assumptions!I28</f>
        <v>22.5</v>
      </c>
      <c r="J7" s="4" t="n">
        <f aca="false">Assumptions!J28</f>
        <v>22.5</v>
      </c>
      <c r="K7" s="4" t="n">
        <f aca="false">Assumptions!K28</f>
        <v>22.5</v>
      </c>
      <c r="L7" s="4" t="n">
        <f aca="false">Assumptions!L28</f>
        <v>22.5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786.2099586</v>
      </c>
      <c r="D8" s="0" t="n">
        <f aca="false">D6*D7/100</f>
        <v>872.7651834</v>
      </c>
      <c r="E8" s="0" t="n">
        <f aca="false">E6*E7/100</f>
        <v>959.9623594506</v>
      </c>
      <c r="F8" s="0" t="n">
        <f aca="false">F6*F7/100</f>
        <v>1041.42943536073</v>
      </c>
      <c r="G8" s="0" t="n">
        <f aca="false">G6*G7/100</f>
        <v>1119.32648909085</v>
      </c>
      <c r="H8" s="0" t="n">
        <f aca="false">H6*H7/100</f>
        <v>1191.78289128647</v>
      </c>
      <c r="I8" s="0" t="n">
        <f aca="false">I6*I7/100</f>
        <v>1251.37203585079</v>
      </c>
      <c r="J8" s="0" t="n">
        <f aca="false">J6*J7/100</f>
        <v>1301.42691728482</v>
      </c>
      <c r="K8" s="0" t="n">
        <f aca="false">K6*K7/100</f>
        <v>1346.97685938979</v>
      </c>
      <c r="L8" s="0" t="n">
        <f aca="false">L6*L7/100</f>
        <v>1387.38616517148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2</v>
      </c>
      <c r="D9" s="4" t="n">
        <f aca="false">Assumptions!D29</f>
        <v>1.9</v>
      </c>
      <c r="E9" s="4" t="n">
        <f aca="false">Assumptions!E29</f>
        <v>1.8</v>
      </c>
      <c r="F9" s="4" t="n">
        <f aca="false">Assumptions!F29</f>
        <v>1.7</v>
      </c>
      <c r="G9" s="4" t="n">
        <f aca="false">Assumptions!G29</f>
        <v>1.6</v>
      </c>
      <c r="H9" s="4" t="n">
        <f aca="false">Assumptions!H29</f>
        <v>1.5</v>
      </c>
      <c r="I9" s="4" t="n">
        <f aca="false">Assumptions!I29</f>
        <v>1.5</v>
      </c>
      <c r="J9" s="4" t="n">
        <f aca="false">Assumptions!J29</f>
        <v>1.5</v>
      </c>
      <c r="K9" s="4" t="n">
        <f aca="false">Assumptions!K29</f>
        <v>1.5</v>
      </c>
      <c r="L9" s="4" t="n">
        <f aca="false">Assumptions!L29</f>
        <v>1.5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-72.129354</v>
      </c>
      <c r="D10" s="0" t="n">
        <f aca="false">-D6*D9/100</f>
        <v>-75.37517493</v>
      </c>
      <c r="E10" s="0" t="n">
        <f aca="false">-E6*E9/100</f>
        <v>-77.8347859014</v>
      </c>
      <c r="F10" s="0" t="n">
        <f aca="false">-F6*F9/100</f>
        <v>-79.391481619428</v>
      </c>
      <c r="G10" s="0" t="n">
        <f aca="false">-G6*G9/100</f>
        <v>-79.9518920779181</v>
      </c>
      <c r="H10" s="0" t="n">
        <f aca="false">-H6*H9/100</f>
        <v>-79.4521927524311</v>
      </c>
      <c r="I10" s="0" t="n">
        <f aca="false">-I6*I9/100</f>
        <v>-83.4248023900527</v>
      </c>
      <c r="J10" s="0" t="n">
        <f aca="false">-J6*J9/100</f>
        <v>-86.7617944856548</v>
      </c>
      <c r="K10" s="0" t="n">
        <f aca="false">-K6*K9/100</f>
        <v>-89.7984572926527</v>
      </c>
      <c r="L10" s="0" t="n">
        <f aca="false">-L6*L9/100</f>
        <v>-92.4924110114323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555.3960258</v>
      </c>
      <c r="D11" s="0" t="n">
        <f aca="false">D8+D10+D24</f>
        <v>622.83697179</v>
      </c>
      <c r="E11" s="0" t="n">
        <f aca="false">E8+E10+E24</f>
        <v>691.864763568</v>
      </c>
      <c r="F11" s="0" t="n">
        <f aca="false">F8+F10+F24</f>
        <v>756.554118961608</v>
      </c>
      <c r="G11" s="0" t="n">
        <f aca="false">G8+G10+G24</f>
        <v>819.506893798661</v>
      </c>
      <c r="H11" s="0" t="n">
        <f aca="false">H8+H10+H24</f>
        <v>879.270933126905</v>
      </c>
      <c r="I11" s="0" t="n">
        <f aca="false">I8+I10+I24</f>
        <v>923.23447978325</v>
      </c>
      <c r="J11" s="0" t="n">
        <f aca="false">J8+J10+J24</f>
        <v>960.16385897458</v>
      </c>
      <c r="K11" s="0" t="n">
        <f aca="false">K8+K10+K24</f>
        <v>993.76959403869</v>
      </c>
      <c r="L11" s="0" t="n">
        <f aca="false">L8+L10+L24</f>
        <v>1023.58268185985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-75.7358217</v>
      </c>
      <c r="D12" s="4" t="n">
        <f aca="false">-D6*Assumptions!D31/100</f>
        <v>-87.27651834</v>
      </c>
      <c r="E12" s="4" t="n">
        <f aca="false">-E6*Assumptions!E31/100</f>
        <v>-95.1314049906001</v>
      </c>
      <c r="F12" s="4" t="n">
        <f aca="false">-F6*Assumptions!F31/100</f>
        <v>-107.412004543932</v>
      </c>
      <c r="G12" s="4" t="n">
        <f aca="false">-G6*Assumptions!G31/100</f>
        <v>-114.930844862007</v>
      </c>
      <c r="H12" s="4" t="n">
        <f aca="false">-H6*Assumptions!H31/100</f>
        <v>-121.826695553728</v>
      </c>
      <c r="I12" s="4" t="n">
        <f aca="false">-I6*Assumptions!I31/100</f>
        <v>-127.918030331414</v>
      </c>
      <c r="J12" s="4" t="n">
        <f aca="false">-J6*Assumptions!J31/100</f>
        <v>-133.034751544671</v>
      </c>
      <c r="K12" s="4" t="n">
        <f aca="false">-K6*Assumptions!K31/100</f>
        <v>-137.690967848734</v>
      </c>
      <c r="L12" s="4" t="n">
        <f aca="false">-L6*Assumptions!L31/100</f>
        <v>-141.821696884196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479.6602041</v>
      </c>
      <c r="D13" s="0" t="n">
        <f aca="false">D11+D12</f>
        <v>535.56045345</v>
      </c>
      <c r="E13" s="0" t="n">
        <f aca="false">E11+E12</f>
        <v>596.7333585774</v>
      </c>
      <c r="F13" s="0" t="n">
        <f aca="false">F11+F12</f>
        <v>649.142114417676</v>
      </c>
      <c r="G13" s="0" t="n">
        <f aca="false">G11+G12</f>
        <v>704.576048936653</v>
      </c>
      <c r="H13" s="0" t="n">
        <f aca="false">H11+H12</f>
        <v>757.444237573177</v>
      </c>
      <c r="I13" s="0" t="n">
        <f aca="false">I11+I12</f>
        <v>795.316449451836</v>
      </c>
      <c r="J13" s="0" t="n">
        <f aca="false">J11+J12</f>
        <v>827.129107429909</v>
      </c>
      <c r="K13" s="0" t="n">
        <f aca="false">K11+K12</f>
        <v>856.078626189956</v>
      </c>
      <c r="L13" s="0" t="n">
        <f aca="false">L11+L12</f>
        <v>881.760984975655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18</v>
      </c>
      <c r="D14" s="4" t="n">
        <f aca="false">Assumptions!D33</f>
        <v>18.5</v>
      </c>
      <c r="E14" s="4" t="n">
        <f aca="false">Assumptions!E33</f>
        <v>19</v>
      </c>
      <c r="F14" s="4" t="n">
        <f aca="false">Assumptions!F33</f>
        <v>19.5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393.321367362</v>
      </c>
      <c r="D15" s="0" t="n">
        <f aca="false">D13-MAX(0,D13)*D14/100</f>
        <v>436.48176956175</v>
      </c>
      <c r="E15" s="0" t="n">
        <f aca="false">E13-MAX(0,E13)*E14/100</f>
        <v>483.354020447694</v>
      </c>
      <c r="F15" s="0" t="n">
        <f aca="false">F13-MAX(0,F13)*F14/100</f>
        <v>522.559402106229</v>
      </c>
      <c r="G15" s="0" t="n">
        <f aca="false">G13-MAX(0,G13)*G14/100</f>
        <v>563.660839149323</v>
      </c>
      <c r="H15" s="0" t="n">
        <f aca="false">H13-MAX(0,H13)*H14/100</f>
        <v>605.955390058542</v>
      </c>
      <c r="I15" s="0" t="n">
        <f aca="false">I13-MAX(0,I13)*I14/100</f>
        <v>636.253159561469</v>
      </c>
      <c r="J15" s="0" t="n">
        <f aca="false">J13-MAX(0,J13)*J14/100</f>
        <v>661.703285943927</v>
      </c>
      <c r="K15" s="0" t="n">
        <f aca="false">K13-MAX(0,K13)*K14/100</f>
        <v>684.862900951965</v>
      </c>
      <c r="L15" s="0" t="n">
        <f aca="false">L13-MAX(0,L13)*L14/100</f>
        <v>705.408787980524</v>
      </c>
    </row>
    <row r="16" customFormat="false" ht="15" hidden="false" customHeight="false" outlineLevel="0" collapsed="false">
      <c r="A16" s="0" t="s">
        <v>117</v>
      </c>
      <c r="C16" s="0" t="n">
        <f aca="false">-C12</f>
        <v>75.7358217</v>
      </c>
      <c r="D16" s="0" t="n">
        <f aca="false">-D12</f>
        <v>87.27651834</v>
      </c>
      <c r="E16" s="0" t="n">
        <f aca="false">-E12</f>
        <v>95.1314049906001</v>
      </c>
      <c r="F16" s="0" t="n">
        <f aca="false">-F12</f>
        <v>107.412004543932</v>
      </c>
      <c r="G16" s="0" t="n">
        <f aca="false">-G12</f>
        <v>114.930844862007</v>
      </c>
      <c r="H16" s="0" t="n">
        <f aca="false">-H12</f>
        <v>121.826695553728</v>
      </c>
      <c r="I16" s="0" t="n">
        <f aca="false">-I12</f>
        <v>127.918030331414</v>
      </c>
      <c r="J16" s="0" t="n">
        <f aca="false">-J12</f>
        <v>133.034751544671</v>
      </c>
      <c r="K16" s="0" t="n">
        <f aca="false">-K12</f>
        <v>137.690967848734</v>
      </c>
      <c r="L16" s="0" t="n">
        <f aca="false">-L12</f>
        <v>141.821696884196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-252.452739</v>
      </c>
      <c r="D17" s="4" t="n">
        <f aca="false">-D6*Assumptions!D32/100</f>
        <v>-257.86244055</v>
      </c>
      <c r="E17" s="4" t="n">
        <f aca="false">-E6*Assumptions!E32/100</f>
        <v>-259.449286338</v>
      </c>
      <c r="F17" s="4" t="n">
        <f aca="false">-F6*Assumptions!F32/100</f>
        <v>-256.85479347462</v>
      </c>
      <c r="G17" s="4" t="n">
        <f aca="false">-G6*Assumptions!G32/100</f>
        <v>-249.849662743494</v>
      </c>
      <c r="H17" s="4" t="n">
        <f aca="false">-H6*Assumptions!H32/100</f>
        <v>-238.356578257293</v>
      </c>
      <c r="I17" s="4" t="n">
        <f aca="false">-I6*Assumptions!I32/100</f>
        <v>-222.466139706807</v>
      </c>
      <c r="J17" s="4" t="n">
        <f aca="false">-J6*Assumptions!J32/100</f>
        <v>-231.364785295079</v>
      </c>
      <c r="K17" s="4" t="n">
        <f aca="false">-K6*Assumptions!K32/100</f>
        <v>-239.462552780407</v>
      </c>
      <c r="L17" s="4" t="n">
        <f aca="false">-L6*Assumptions!L32/100</f>
        <v>-246.646429363819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-17.869885</v>
      </c>
      <c r="D18" s="4" t="n">
        <f aca="false">(D6-C6)*Assumptions!$B$37/100</f>
        <v>-18.0323385</v>
      </c>
      <c r="E18" s="4" t="n">
        <f aca="false">(E6-D6)*Assumptions!$B$37/100</f>
        <v>-17.852015115</v>
      </c>
      <c r="F18" s="4" t="n">
        <f aca="false">(F6-E6)*Assumptions!$B$37/100</f>
        <v>-17.2966190892</v>
      </c>
      <c r="G18" s="4" t="n">
        <f aca="false">(G6-F6)*Assumptions!$B$37/100</f>
        <v>-16.345305039294</v>
      </c>
      <c r="H18" s="4" t="n">
        <f aca="false">(H6-G6)*Assumptions!$B$37/100</f>
        <v>-14.9909797646097</v>
      </c>
      <c r="I18" s="4" t="n">
        <f aca="false">(I6-H6)*Assumptions!$B$37/100</f>
        <v>-13.2420321254052</v>
      </c>
      <c r="J18" s="4" t="n">
        <f aca="false">(J6-I6)*Assumptions!$B$37/100</f>
        <v>-11.1233069853404</v>
      </c>
      <c r="K18" s="4" t="n">
        <f aca="false">(K6-J6)*Assumptions!$B$37/100</f>
        <v>-10.1222093566597</v>
      </c>
      <c r="L18" s="4" t="n">
        <f aca="false">(L6-K6)*Assumptions!$B$37/100</f>
        <v>-8.9798457292653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198.734565062</v>
      </c>
      <c r="D19" s="0" t="n">
        <f aca="false">D15+D16+D17+D18</f>
        <v>247.86350885175</v>
      </c>
      <c r="E19" s="0" t="n">
        <f aca="false">E15+E16+E17+E18</f>
        <v>301.184123985294</v>
      </c>
      <c r="F19" s="0" t="n">
        <f aca="false">F15+F16+F17+F18</f>
        <v>355.819994086341</v>
      </c>
      <c r="G19" s="0" t="n">
        <f aca="false">G15+G16+G17+G18</f>
        <v>412.396716228542</v>
      </c>
      <c r="H19" s="0" t="n">
        <f aca="false">H15+H16+H17+H18</f>
        <v>474.434527590366</v>
      </c>
      <c r="I19" s="0" t="n">
        <f aca="false">I15+I16+I17+I18</f>
        <v>528.46301806067</v>
      </c>
      <c r="J19" s="0" t="n">
        <f aca="false">J15+J16+J17+J18</f>
        <v>552.249945208178</v>
      </c>
      <c r="K19" s="0" t="n">
        <f aca="false">K15+K16+K17+K18</f>
        <v>572.969106663632</v>
      </c>
      <c r="L19" s="0" t="n">
        <f aca="false">L15+L16+L17+L18</f>
        <v>591.604209771635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181.492753481278</v>
      </c>
      <c r="D21" s="0" t="n">
        <f aca="false">D19*D20</f>
        <v>206.720884761994</v>
      </c>
      <c r="E21" s="0" t="n">
        <f aca="false">E19*E20</f>
        <v>229.398048003268</v>
      </c>
      <c r="F21" s="0" t="n">
        <f aca="false">F19*F20</f>
        <v>247.499240993959</v>
      </c>
      <c r="G21" s="0" t="n">
        <f aca="false">G19*G20</f>
        <v>261.965803219763</v>
      </c>
      <c r="H21" s="0" t="n">
        <f aca="false">H19*H20</f>
        <v>275.22733999117</v>
      </c>
      <c r="I21" s="0" t="n">
        <f aca="false">I19*I20</f>
        <v>279.972752153196</v>
      </c>
      <c r="J21" s="0" t="n">
        <f aca="false">J19*J20</f>
        <v>267.191555350767</v>
      </c>
      <c r="K21" s="0" t="n">
        <f aca="false">K19*K20</f>
        <v>253.165273596911</v>
      </c>
      <c r="L21" s="0" t="n">
        <f aca="false">L19*L20</f>
        <v>238.720691577633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4.4</v>
      </c>
      <c r="D23" s="4" t="n">
        <f aca="false">Assumptions!D30</f>
        <v>4.4</v>
      </c>
      <c r="E23" s="4" t="n">
        <f aca="false">Assumptions!E30</f>
        <v>4.4</v>
      </c>
      <c r="F23" s="4" t="n">
        <f aca="false">Assumptions!F30</f>
        <v>4.4</v>
      </c>
      <c r="G23" s="4" t="n">
        <f aca="false">Assumptions!G30</f>
        <v>4.4</v>
      </c>
      <c r="H23" s="4" t="n">
        <f aca="false">Assumptions!H30</f>
        <v>4.4</v>
      </c>
      <c r="I23" s="4" t="n">
        <f aca="false">Assumptions!I30</f>
        <v>4.4</v>
      </c>
      <c r="J23" s="4" t="n">
        <f aca="false">Assumptions!J30</f>
        <v>4.4</v>
      </c>
      <c r="K23" s="4" t="n">
        <f aca="false">Assumptions!K30</f>
        <v>4.4</v>
      </c>
      <c r="L23" s="4" t="n">
        <f aca="false">Assumptions!L30</f>
        <v>4.4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-158.6845788</v>
      </c>
      <c r="D24" s="0" t="n">
        <f aca="false">-D6*D23/100</f>
        <v>-174.55303668</v>
      </c>
      <c r="E24" s="0" t="n">
        <f aca="false">-E6*E23/100</f>
        <v>-190.2628099812</v>
      </c>
      <c r="F24" s="0" t="n">
        <f aca="false">-F6*F23/100</f>
        <v>-205.483834779696</v>
      </c>
      <c r="G24" s="0" t="n">
        <f aca="false">-G6*G23/100</f>
        <v>-219.867703214275</v>
      </c>
      <c r="H24" s="0" t="n">
        <f aca="false">-H6*H23/100</f>
        <v>-233.059765407131</v>
      </c>
      <c r="I24" s="0" t="n">
        <f aca="false">-I6*I23/100</f>
        <v>-244.712753677488</v>
      </c>
      <c r="J24" s="0" t="n">
        <f aca="false">-J6*J23/100</f>
        <v>-254.501263824587</v>
      </c>
      <c r="K24" s="0" t="n">
        <f aca="false">-K6*K23/100</f>
        <v>-263.408808058448</v>
      </c>
      <c r="L24" s="0" t="n">
        <f aca="false">-L6*L23/100</f>
        <v>-271.311072300201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2441.35434312994</v>
      </c>
    </row>
    <row r="31" customFormat="false" ht="15" hidden="false" customHeight="false" outlineLevel="0" collapsed="false">
      <c r="A31" s="0" t="s">
        <v>126</v>
      </c>
      <c r="B31" s="0" t="n">
        <f aca="false">L19</f>
        <v>591.604209771635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8662.77592879894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8874.06314657453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8662.77592879894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3495.55298381534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5936.90732694528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5780.06832694528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31.3439042854332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0.183682186005784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503.294343529609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546.500714415282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37.03668747662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4851.15452012741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15.7393050038087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13</v>
      </c>
      <c r="D5" s="4" t="n">
        <f aca="false">Assumptions!D41</f>
        <v>14</v>
      </c>
      <c r="E5" s="4" t="n">
        <f aca="false">Assumptions!E41</f>
        <v>12</v>
      </c>
      <c r="F5" s="4" t="n">
        <f aca="false">Assumptions!F41</f>
        <v>11</v>
      </c>
      <c r="G5" s="4" t="n">
        <f aca="false">Assumptions!G41</f>
        <v>10</v>
      </c>
      <c r="H5" s="4" t="n">
        <f aca="false">Assumptions!H41</f>
        <v>9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3249.07</v>
      </c>
      <c r="C6" s="0" t="n">
        <f aca="false">B6*(1+C5/100)</f>
        <v>3671.4491</v>
      </c>
      <c r="D6" s="0" t="n">
        <f aca="false">C6*(1+D5/100)</f>
        <v>4185.451974</v>
      </c>
      <c r="E6" s="0" t="n">
        <f aca="false">D6*(1+E5/100)</f>
        <v>4687.70621088</v>
      </c>
      <c r="F6" s="0" t="n">
        <f aca="false">E6*(1+F5/100)</f>
        <v>5203.3538940768</v>
      </c>
      <c r="G6" s="0" t="n">
        <f aca="false">F6*(1+G5/100)</f>
        <v>5723.68928348448</v>
      </c>
      <c r="H6" s="0" t="n">
        <f aca="false">G6*(1+H5/100)</f>
        <v>6238.82131899809</v>
      </c>
      <c r="I6" s="0" t="n">
        <f aca="false">H6*(1+I5/100)</f>
        <v>6675.53881132795</v>
      </c>
      <c r="J6" s="0" t="n">
        <f aca="false">I6*(1+J5/100)</f>
        <v>7076.07114000763</v>
      </c>
      <c r="K6" s="0" t="n">
        <f aca="false">J6*(1+K5/100)</f>
        <v>7429.87469700801</v>
      </c>
      <c r="L6" s="0" t="n">
        <f aca="false">K6*(1+L5/100)</f>
        <v>7727.06968488833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22</v>
      </c>
      <c r="D7" s="4" t="n">
        <f aca="false">Assumptions!D42</f>
        <v>22.5</v>
      </c>
      <c r="E7" s="4" t="n">
        <f aca="false">Assumptions!E42</f>
        <v>23</v>
      </c>
      <c r="F7" s="4" t="n">
        <f aca="false">Assumptions!F42</f>
        <v>23.3</v>
      </c>
      <c r="G7" s="4" t="n">
        <f aca="false">Assumptions!G42</f>
        <v>23.6</v>
      </c>
      <c r="H7" s="4" t="n">
        <f aca="false">Assumptions!H42</f>
        <v>23.8</v>
      </c>
      <c r="I7" s="4" t="n">
        <f aca="false">Assumptions!I42</f>
        <v>24</v>
      </c>
      <c r="J7" s="4" t="n">
        <f aca="false">Assumptions!J42</f>
        <v>24</v>
      </c>
      <c r="K7" s="4" t="n">
        <f aca="false">Assumptions!K42</f>
        <v>24</v>
      </c>
      <c r="L7" s="4" t="n">
        <f aca="false">Assumptions!L42</f>
        <v>24</v>
      </c>
    </row>
    <row r="8" customFormat="false" ht="15" hidden="false" customHeight="false" outlineLevel="0" collapsed="false">
      <c r="A8" s="0" t="s">
        <v>44</v>
      </c>
      <c r="C8" s="0" t="n">
        <f aca="false">C6*C7/100</f>
        <v>807.718802</v>
      </c>
      <c r="D8" s="0" t="n">
        <f aca="false">D6*D7/100</f>
        <v>941.72669415</v>
      </c>
      <c r="E8" s="0" t="n">
        <f aca="false">E6*E7/100</f>
        <v>1078.1724285024</v>
      </c>
      <c r="F8" s="0" t="n">
        <f aca="false">F6*F7/100</f>
        <v>1212.38145731989</v>
      </c>
      <c r="G8" s="0" t="n">
        <f aca="false">G6*G7/100</f>
        <v>1350.79067090234</v>
      </c>
      <c r="H8" s="0" t="n">
        <f aca="false">H6*H7/100</f>
        <v>1484.83947392154</v>
      </c>
      <c r="I8" s="0" t="n">
        <f aca="false">I6*I7/100</f>
        <v>1602.12931471871</v>
      </c>
      <c r="J8" s="0" t="n">
        <f aca="false">J6*J7/100</f>
        <v>1698.25707360183</v>
      </c>
      <c r="K8" s="0" t="n">
        <f aca="false">K6*K7/100</f>
        <v>1783.16992728192</v>
      </c>
      <c r="L8" s="0" t="n">
        <f aca="false">L6*L7/100</f>
        <v>1854.4967243732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2</v>
      </c>
      <c r="D9" s="4" t="n">
        <f aca="false">Assumptions!D43</f>
        <v>1.9</v>
      </c>
      <c r="E9" s="4" t="n">
        <f aca="false">Assumptions!E43</f>
        <v>1.8</v>
      </c>
      <c r="F9" s="4" t="n">
        <f aca="false">Assumptions!F43</f>
        <v>1.7</v>
      </c>
      <c r="G9" s="4" t="n">
        <f aca="false">Assumptions!G43</f>
        <v>1.6</v>
      </c>
      <c r="H9" s="4" t="n">
        <f aca="false">Assumptions!H43</f>
        <v>1.5</v>
      </c>
      <c r="I9" s="4" t="n">
        <f aca="false">Assumptions!I43</f>
        <v>1.5</v>
      </c>
      <c r="J9" s="4" t="n">
        <f aca="false">Assumptions!J43</f>
        <v>1.5</v>
      </c>
      <c r="K9" s="4" t="n">
        <f aca="false">Assumptions!K43</f>
        <v>1.5</v>
      </c>
      <c r="L9" s="4" t="n">
        <f aca="false">Assumptions!L43</f>
        <v>1.5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-73.428982</v>
      </c>
      <c r="D10" s="0" t="n">
        <f aca="false">-D6*D9/100</f>
        <v>-79.523587506</v>
      </c>
      <c r="E10" s="0" t="n">
        <f aca="false">-E6*E9/100</f>
        <v>-84.37871179584</v>
      </c>
      <c r="F10" s="0" t="n">
        <f aca="false">-F6*F9/100</f>
        <v>-88.4570161993056</v>
      </c>
      <c r="G10" s="0" t="n">
        <f aca="false">-G6*G9/100</f>
        <v>-91.5790285357517</v>
      </c>
      <c r="H10" s="0" t="n">
        <f aca="false">-H6*H9/100</f>
        <v>-93.5823197849713</v>
      </c>
      <c r="I10" s="0" t="n">
        <f aca="false">-I6*I9/100</f>
        <v>-100.133082169919</v>
      </c>
      <c r="J10" s="0" t="n">
        <f aca="false">-J6*J9/100</f>
        <v>-106.141067100114</v>
      </c>
      <c r="K10" s="0" t="n">
        <f aca="false">-K6*K9/100</f>
        <v>-111.44812045512</v>
      </c>
      <c r="L10" s="0" t="n">
        <f aca="false">-L6*L9/100</f>
        <v>-115.906045273325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576.4175087</v>
      </c>
      <c r="D11" s="0" t="n">
        <f aca="false">D8+D10+D24</f>
        <v>682.228671762</v>
      </c>
      <c r="E11" s="0" t="n">
        <f aca="false">E8+E10+E24</f>
        <v>792.22234963872</v>
      </c>
      <c r="F11" s="0" t="n">
        <f aca="false">F8+F10+F24</f>
        <v>900.180223675287</v>
      </c>
      <c r="G11" s="0" t="n">
        <f aca="false">G8+G10+G24</f>
        <v>1013.09300317675</v>
      </c>
      <c r="H11" s="0" t="n">
        <f aca="false">H8+H10+H24</f>
        <v>1122.98783741966</v>
      </c>
      <c r="I11" s="0" t="n">
        <f aca="false">I8+I10+I24</f>
        <v>1214.94806366169</v>
      </c>
      <c r="J11" s="0" t="n">
        <f aca="false">J8+J10+J24</f>
        <v>1287.84494748139</v>
      </c>
      <c r="K11" s="0" t="n">
        <f aca="false">K8+K10+K24</f>
        <v>1352.23719485546</v>
      </c>
      <c r="L11" s="0" t="n">
        <f aca="false">L8+L10+L24</f>
        <v>1406.32668264968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-77.1004311</v>
      </c>
      <c r="D12" s="4" t="n">
        <f aca="false">-D6*Assumptions!D45/100</f>
        <v>-92.079943428</v>
      </c>
      <c r="E12" s="4" t="n">
        <f aca="false">-E6*Assumptions!E45/100</f>
        <v>-103.12953663936</v>
      </c>
      <c r="F12" s="4" t="n">
        <f aca="false">-F6*Assumptions!F45/100</f>
        <v>-119.677139563766</v>
      </c>
      <c r="G12" s="4" t="n">
        <f aca="false">-G6*Assumptions!G45/100</f>
        <v>-131.644853520143</v>
      </c>
      <c r="H12" s="4" t="n">
        <f aca="false">-H6*Assumptions!H45/100</f>
        <v>-143.492890336956</v>
      </c>
      <c r="I12" s="4" t="n">
        <f aca="false">-I6*Assumptions!I45/100</f>
        <v>-153.537392660543</v>
      </c>
      <c r="J12" s="4" t="n">
        <f aca="false">-J6*Assumptions!J45/100</f>
        <v>-162.749636220175</v>
      </c>
      <c r="K12" s="4" t="n">
        <f aca="false">-K6*Assumptions!K45/100</f>
        <v>-170.887118031184</v>
      </c>
      <c r="L12" s="4" t="n">
        <f aca="false">-L6*Assumptions!L45/100</f>
        <v>-177.722602752432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499.3170776</v>
      </c>
      <c r="D13" s="0" t="n">
        <f aca="false">D11+D12</f>
        <v>590.148728334</v>
      </c>
      <c r="E13" s="0" t="n">
        <f aca="false">E11+E12</f>
        <v>689.09281299936</v>
      </c>
      <c r="F13" s="0" t="n">
        <f aca="false">F11+F12</f>
        <v>780.50308411152</v>
      </c>
      <c r="G13" s="0" t="n">
        <f aca="false">G11+G12</f>
        <v>881.44814965661</v>
      </c>
      <c r="H13" s="0" t="n">
        <f aca="false">H11+H12</f>
        <v>979.4949470827</v>
      </c>
      <c r="I13" s="0" t="n">
        <f aca="false">I11+I12</f>
        <v>1061.41067100114</v>
      </c>
      <c r="J13" s="0" t="n">
        <f aca="false">J11+J12</f>
        <v>1125.09531126121</v>
      </c>
      <c r="K13" s="0" t="n">
        <f aca="false">K11+K12</f>
        <v>1181.35007682427</v>
      </c>
      <c r="L13" s="0" t="n">
        <f aca="false">L11+L12</f>
        <v>1228.60407989725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18</v>
      </c>
      <c r="D14" s="4" t="n">
        <f aca="false">Assumptions!D47</f>
        <v>18</v>
      </c>
      <c r="E14" s="4" t="n">
        <f aca="false">Assumptions!E47</f>
        <v>18.5</v>
      </c>
      <c r="F14" s="4" t="n">
        <f aca="false">Assumptions!F47</f>
        <v>18.5</v>
      </c>
      <c r="G14" s="4" t="n">
        <f aca="false">Assumptions!G47</f>
        <v>19</v>
      </c>
      <c r="H14" s="4" t="n">
        <f aca="false">Assumptions!H47</f>
        <v>19</v>
      </c>
      <c r="I14" s="4" t="n">
        <f aca="false">Assumptions!I47</f>
        <v>19</v>
      </c>
      <c r="J14" s="4" t="n">
        <f aca="false">Assumptions!J47</f>
        <v>19</v>
      </c>
      <c r="K14" s="4" t="n">
        <f aca="false">Assumptions!K47</f>
        <v>19</v>
      </c>
      <c r="L14" s="4" t="n">
        <f aca="false">Assumptions!L47</f>
        <v>19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409.440003632</v>
      </c>
      <c r="D15" s="0" t="n">
        <f aca="false">D13-MAX(0,D13)*D14/100</f>
        <v>483.92195723388</v>
      </c>
      <c r="E15" s="0" t="n">
        <f aca="false">E13-MAX(0,E13)*E14/100</f>
        <v>561.610642594479</v>
      </c>
      <c r="F15" s="0" t="n">
        <f aca="false">F13-MAX(0,F13)*F14/100</f>
        <v>636.110013550889</v>
      </c>
      <c r="G15" s="0" t="n">
        <f aca="false">G13-MAX(0,G13)*G14/100</f>
        <v>713.973001221854</v>
      </c>
      <c r="H15" s="0" t="n">
        <f aca="false">H13-MAX(0,H13)*H14/100</f>
        <v>793.390907136987</v>
      </c>
      <c r="I15" s="0" t="n">
        <f aca="false">I13-MAX(0,I13)*I14/100</f>
        <v>859.742643510927</v>
      </c>
      <c r="J15" s="0" t="n">
        <f aca="false">J13-MAX(0,J13)*J14/100</f>
        <v>911.327202121583</v>
      </c>
      <c r="K15" s="0" t="n">
        <f aca="false">K13-MAX(0,K13)*K14/100</f>
        <v>956.893562227662</v>
      </c>
      <c r="L15" s="0" t="n">
        <f aca="false">L13-MAX(0,L13)*L14/100</f>
        <v>995.169304716768</v>
      </c>
    </row>
    <row r="16" customFormat="false" ht="15" hidden="false" customHeight="false" outlineLevel="0" collapsed="false">
      <c r="A16" s="0" t="s">
        <v>117</v>
      </c>
      <c r="C16" s="0" t="n">
        <f aca="false">-C12</f>
        <v>77.1004311</v>
      </c>
      <c r="D16" s="0" t="n">
        <f aca="false">-D12</f>
        <v>92.079943428</v>
      </c>
      <c r="E16" s="0" t="n">
        <f aca="false">-E12</f>
        <v>103.12953663936</v>
      </c>
      <c r="F16" s="0" t="n">
        <f aca="false">-F12</f>
        <v>119.677139563766</v>
      </c>
      <c r="G16" s="0" t="n">
        <f aca="false">-G12</f>
        <v>131.644853520143</v>
      </c>
      <c r="H16" s="0" t="n">
        <f aca="false">-H12</f>
        <v>143.492890336956</v>
      </c>
      <c r="I16" s="0" t="n">
        <f aca="false">-I12</f>
        <v>153.537392660543</v>
      </c>
      <c r="J16" s="0" t="n">
        <f aca="false">-J12</f>
        <v>162.749636220175</v>
      </c>
      <c r="K16" s="0" t="n">
        <f aca="false">-K12</f>
        <v>170.887118031184</v>
      </c>
      <c r="L16" s="0" t="n">
        <f aca="false">-L12</f>
        <v>177.722602752432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-257.001437</v>
      </c>
      <c r="D17" s="4" t="n">
        <f aca="false">-D6*Assumptions!D46/100</f>
        <v>-272.05437831</v>
      </c>
      <c r="E17" s="4" t="n">
        <f aca="false">-E6*Assumptions!E46/100</f>
        <v>-281.2623726528</v>
      </c>
      <c r="F17" s="4" t="n">
        <f aca="false">-F6*Assumptions!F46/100</f>
        <v>-286.184464174224</v>
      </c>
      <c r="G17" s="4" t="n">
        <f aca="false">-G6*Assumptions!G46/100</f>
        <v>-286.184464174224</v>
      </c>
      <c r="H17" s="4" t="n">
        <f aca="false">-H6*Assumptions!H46/100</f>
        <v>-280.746959354914</v>
      </c>
      <c r="I17" s="4" t="n">
        <f aca="false">-I6*Assumptions!I46/100</f>
        <v>-300.399246509758</v>
      </c>
      <c r="J17" s="4" t="n">
        <f aca="false">-J6*Assumptions!J46/100</f>
        <v>-283.042845600305</v>
      </c>
      <c r="K17" s="4" t="n">
        <f aca="false">-K6*Assumptions!K46/100</f>
        <v>-297.19498788032</v>
      </c>
      <c r="L17" s="4" t="n">
        <f aca="false">-L6*Assumptions!L46/100</f>
        <v>-309.082787395533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229.538997732</v>
      </c>
      <c r="D19" s="0" t="n">
        <f aca="false">D15+D16+D17+D18</f>
        <v>303.94752235188</v>
      </c>
      <c r="E19" s="0" t="n">
        <f aca="false">E15+E16+E17+E18</f>
        <v>383.477806581039</v>
      </c>
      <c r="F19" s="0" t="n">
        <f aca="false">F15+F16+F17+F18</f>
        <v>469.602688940431</v>
      </c>
      <c r="G19" s="0" t="n">
        <f aca="false">G15+G16+G17+G18</f>
        <v>559.433390567773</v>
      </c>
      <c r="H19" s="0" t="n">
        <f aca="false">H15+H16+H17+H18</f>
        <v>656.136838119029</v>
      </c>
      <c r="I19" s="0" t="n">
        <f aca="false">I15+I16+I17+I18</f>
        <v>712.880789661712</v>
      </c>
      <c r="J19" s="0" t="n">
        <f aca="false">J15+J16+J17+J18</f>
        <v>791.033992741453</v>
      </c>
      <c r="K19" s="0" t="n">
        <f aca="false">K15+K16+K17+K18</f>
        <v>830.585692378526</v>
      </c>
      <c r="L19" s="0" t="n">
        <f aca="false">L15+L16+L17+L18</f>
        <v>863.809120073667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209.624655463014</v>
      </c>
      <c r="D21" s="0" t="n">
        <f aca="false">D19*D20</f>
        <v>253.495567108175</v>
      </c>
      <c r="E21" s="0" t="n">
        <f aca="false">E19*E20</f>
        <v>292.077348295291</v>
      </c>
      <c r="F21" s="0" t="n">
        <f aca="false">F19*F20</f>
        <v>326.643558577757</v>
      </c>
      <c r="G21" s="0" t="n">
        <f aca="false">G19*G20</f>
        <v>355.367566571082</v>
      </c>
      <c r="H21" s="0" t="n">
        <f aca="false">H19*H20</f>
        <v>380.635864642715</v>
      </c>
      <c r="I21" s="0" t="n">
        <f aca="false">I19*I20</f>
        <v>377.674860525092</v>
      </c>
      <c r="J21" s="0" t="n">
        <f aca="false">J19*J20</f>
        <v>382.72091231488</v>
      </c>
      <c r="K21" s="0" t="n">
        <f aca="false">K19*K20</f>
        <v>366.992655644406</v>
      </c>
      <c r="L21" s="0" t="n">
        <f aca="false">L19*L20</f>
        <v>348.559234584641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4.3</v>
      </c>
      <c r="D23" s="4" t="n">
        <f aca="false">Assumptions!D44</f>
        <v>4.3</v>
      </c>
      <c r="E23" s="4" t="n">
        <f aca="false">Assumptions!E44</f>
        <v>4.3</v>
      </c>
      <c r="F23" s="4" t="n">
        <f aca="false">Assumptions!F44</f>
        <v>4.3</v>
      </c>
      <c r="G23" s="4" t="n">
        <f aca="false">Assumptions!G44</f>
        <v>4.3</v>
      </c>
      <c r="H23" s="4" t="n">
        <f aca="false">Assumptions!H44</f>
        <v>4.3</v>
      </c>
      <c r="I23" s="4" t="n">
        <f aca="false">Assumptions!I44</f>
        <v>4.3</v>
      </c>
      <c r="J23" s="4" t="n">
        <f aca="false">Assumptions!J44</f>
        <v>4.3</v>
      </c>
      <c r="K23" s="4" t="n">
        <f aca="false">Assumptions!K44</f>
        <v>4.3</v>
      </c>
      <c r="L23" s="4" t="n">
        <f aca="false">Assumptions!L44</f>
        <v>4.3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-157.8723113</v>
      </c>
      <c r="D24" s="0" t="n">
        <f aca="false">-D6*D23/100</f>
        <v>-179.974434882</v>
      </c>
      <c r="E24" s="0" t="n">
        <f aca="false">-E6*E23/100</f>
        <v>-201.57136706784</v>
      </c>
      <c r="F24" s="0" t="n">
        <f aca="false">-F6*F23/100</f>
        <v>-223.744217445302</v>
      </c>
      <c r="G24" s="0" t="n">
        <f aca="false">-G6*G23/100</f>
        <v>-246.118639189833</v>
      </c>
      <c r="H24" s="0" t="n">
        <f aca="false">-H6*H23/100</f>
        <v>-268.269316716918</v>
      </c>
      <c r="I24" s="0" t="n">
        <f aca="false">-I6*I23/100</f>
        <v>-287.048168887102</v>
      </c>
      <c r="J24" s="0" t="n">
        <f aca="false">-J6*J23/100</f>
        <v>-304.271059020328</v>
      </c>
      <c r="K24" s="0" t="n">
        <f aca="false">-K6*K23/100</f>
        <v>-319.484611971345</v>
      </c>
      <c r="L24" s="0" t="n">
        <f aca="false">-L6*L23/100</f>
        <v>-332.263996450198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3293.79222372705</v>
      </c>
    </row>
    <row r="31" customFormat="false" ht="15" hidden="false" customHeight="false" outlineLevel="0" collapsed="false">
      <c r="A31" s="0" t="s">
        <v>126</v>
      </c>
      <c r="B31" s="0" t="n">
        <f aca="false">L19</f>
        <v>863.809120073667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13688.0522103981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12957.136801105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12957.136801105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5228.38851876961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8522.18074249667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8365.34174249667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45.3632130384047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0.713112274864225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572.055569858234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741.120393916162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52.4842468031091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7414.36161396564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22.5801495927965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16.2930870422451</v>
      </c>
      <c r="C4" s="0" t="n">
        <f aca="false">B4/Assumptions!$B$2-1</f>
        <v>-0.384702150972617</v>
      </c>
      <c r="D4" s="4" t="n">
        <f aca="false">Assumptions!$B$24</f>
        <v>0.25</v>
      </c>
      <c r="E4" s="4" t="n">
        <f aca="false">DCF_Bear!$B$43</f>
        <v>21.8323824624577</v>
      </c>
      <c r="F4" s="4" t="n">
        <f aca="false">DCF_Bear!$B$47</f>
        <v>8.50383661824649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31.3439042854332</v>
      </c>
      <c r="C5" s="0" t="n">
        <f aca="false">B5/Assumptions!$B$2-1</f>
        <v>0.183682186005784</v>
      </c>
      <c r="D5" s="4" t="n">
        <f aca="false">Assumptions!$B$38</f>
        <v>0.5</v>
      </c>
      <c r="E5" s="4" t="n">
        <f aca="false">DCF_Base!$B$43</f>
        <v>37.03668747662</v>
      </c>
      <c r="F5" s="4" t="n">
        <f aca="false">DCF_Base!$B$47</f>
        <v>15.7393050038087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45.3632130384047</v>
      </c>
      <c r="C6" s="0" t="n">
        <f aca="false">B6/Assumptions!$B$2-1</f>
        <v>0.713112274864225</v>
      </c>
      <c r="D6" s="4" t="n">
        <f aca="false">Assumptions!$B$52</f>
        <v>0.25</v>
      </c>
      <c r="E6" s="4" t="n">
        <f aca="false">DCF_Bull!$B$43</f>
        <v>52.4842468031091</v>
      </c>
      <c r="F6" s="4" t="n">
        <f aca="false">DCF_Bull!$B$47</f>
        <v>22.5801495927965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31.086027162879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37.0975010547017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0.148170338356368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-76.6205966417744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15.6406490546651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33.0686360667844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31.3439042854332</v>
      </c>
      <c r="C16" s="3" t="n">
        <v>9.5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28.9519616606592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25.0281544300284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21.9483542745892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15.7393050038087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37.231482149009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37.231482149009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37.231482149009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37.231482149009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37.231482149009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33.6819708217689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34.3914244243043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34.3914244243043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34.3914244243043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34.3914244243043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28.8126470831721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29.9939004442273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31.3439042854332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31.8062343680379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31.8062343680379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25.0506018763014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25.9042903994096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26.8646899879064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27.9531428548694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29.1970889885413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22.0621684832632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22.6960731783754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23.4004117285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24.1876136374628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25.0732157850459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2026-10-17T23:34:38Z</dcterms:created>
  <dc:creator>openpyxl</dc:creator>
  <dc:description/>
  <dc:language>en-NZ</dc:language>
  <cp:lastModifiedBy/>
  <dcterms:modified xsi:type="dcterms:W3CDTF">2026-10-17T23:34:38Z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