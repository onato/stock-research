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;[Red]-#,##0.0"/>
    <numFmt numFmtId="165" formatCode="0.0%"/>
    <numFmt numFmtId="166" formatCode="0.000"/>
    <numFmt numFmtId="167" formatCode="0.0000"/>
    <numFmt numFmtId="168" formatCode="0.0"/>
  </numFmts>
  <fonts count="5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65" fontId="2" fillId="2" borderId="0" pivotButton="0" quotePrefix="0" xfId="0"/>
    <xf numFmtId="1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2" fontId="2" fillId="0" borderId="0" pivotButton="0" quotePrefix="0" xfId="0"/>
    <xf numFmtId="167" fontId="2" fillId="0" borderId="0" pivotButton="0" quotePrefix="0" xfId="0"/>
    <xf numFmtId="167" fontId="3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4" fillId="0" borderId="0" pivotButton="0" quotePrefix="0" xfId="0"/>
    <xf numFmtId="164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5" fontId="3" fillId="0" borderId="0" pivotButton="0" quotePrefix="0" xfId="0"/>
    <xf numFmtId="168" fontId="3" fillId="0" borderId="0" pivotButton="0" quotePrefix="0" xfId="0"/>
    <xf numFmtId="166" fontId="3" fillId="0" borderId="0" pivotButton="0" quotePrefix="0" xfId="0"/>
    <xf numFmtId="2" fontId="1" fillId="3" borderId="0" pivotButton="0" quotePrefix="0" xfId="0"/>
    <xf numFmtId="2" fontId="4" fillId="0" borderId="0" pivotButton="0" quotePrefix="0" xfId="0"/>
    <xf numFmtId="164" fontId="1" fillId="0" borderId="0" pivotButton="0" quotePrefix="0" xfId="0"/>
    <xf numFmtId="0" fontId="0" fillId="0" borderId="0" applyAlignment="1" pivotButton="0" quotePrefix="0" xfId="0">
      <alignment wrapText="1"/>
    </xf>
    <xf numFmtId="49" fontId="4" fillId="0" borderId="0" pivotButton="0" quotePrefix="0" xfId="0"/>
    <xf numFmtId="2" fontId="0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APX.AX -- Appen Limited -- owner-FCF DCF model</t>
        </is>
      </c>
    </row>
    <row r="2">
      <c r="A2" t="inlineStr">
        <is>
          <t>Version 1.0, fresh build dated 2026-09-21. Supersedes: nothing (first APX.AX valuation in this folder).</t>
        </is>
      </c>
    </row>
    <row r="3">
      <c r="A3" t="inlineStr">
        <is>
          <t>Built by the dcf-analyst agent (Claude Fable 5.1) on 2026-09-21 at the research-stock orchestrator's request.</t>
        </is>
      </c>
    </row>
    <row r="4">
      <c r="A4" t="inlineStr"/>
    </row>
    <row r="5">
      <c r="A5" s="1" t="inlineStr">
        <is>
          <t>DATA VINTAGE (figures go stale -- refresh after every print)</t>
        </is>
      </c>
    </row>
    <row r="6">
      <c r="A6" t="inlineStr">
        <is>
          <t>Price: A$1.05, 2026-09-21T06:10:31Z ASX regular close (Yahoo regularMarketTime); 52wk A$0.65-1.975; 25 days after the 27-Aug-2026 H1 result (-14% on the day)</t>
        </is>
      </c>
    </row>
    <row r="7">
      <c r="A7" t="inlineStr">
        <is>
          <t>Balance sheet: 30-Jun-2026 H1 FY2026 report. Cash US$44.705m; lease liabilities US$7.426m; no borrowings.</t>
        </is>
      </c>
    </row>
    <row r="8">
      <c r="A8" t="inlineStr">
        <is>
          <t>Share count: fully diluted: 268,523,648 shares on issue at 30-Jun-2026 (H1 FY2026 note 12) + 18,842,259 unvested performance rights (21,755,268 at 31-Dec-2025 per FY2025 note on share-based payments, less 2,913,009 exercised in H1 FY2026; the EPS note reports rights as antidilutive only because the company is loss-making). Held FLAT because forward SBC is fully expensed; the 2024 grant of 21.7m rights was struck at trough prices so the P&amp;L expense understates its cost -- including the unvested rights in the divisor is the charge for those past grants.</t>
        </is>
      </c>
    </row>
    <row r="9">
      <c r="A9" t="inlineStr">
        <is>
          <t>Guidance: Revenue US$270-300m; underlying EBITDA before FX margin 5-10% (reaffirmed 27-Aug-2026). Base case takes US$275m (H1 US$119.9m, so H2 must grow ~21% YoY just to reach the floor) at 6.0% statutory EBITDA (~7% underlying before FX, lower-middle of the guide: H1 was 4.5% underlying / 3.0% statutory but the business is H2-weighted -- H2 FY2025 ran ~11% underlying before FX).</t>
        </is>
      </c>
    </row>
    <row r="10">
      <c r="A10" t="inlineStr">
        <is>
          <t>FX: Statements and flows in USD (presentation currency changed from AUD on 1-Jan-2021, retrospectively restated); ASX quote in AUD. All per-share values computed in USD then converted at USD/AUD 1.4019 (AUDUSD=X 0.7133, Yahoo, 2026-09-21T11:10:08Z). Parity check on the OTC line: APPEF US$0.7123 (stale print, 2026-09-18) vs A$1.05 x 0.7133 = US$0.749 -- a 5% gap on a frozen OTC quote that traded when APX.AX was ~A$1.00, so direction and basis are confirmed. A 5% AUD rally cuts every AUD value here by ~5%.</t>
        </is>
      </c>
    </row>
    <row r="11">
      <c r="A11" t="inlineStr"/>
    </row>
    <row r="12">
      <c r="A12" s="1" t="inlineStr">
        <is>
          <t>METHODOLOGY</t>
        </is>
      </c>
    </row>
    <row r="13">
      <c r="A13" t="inlineStr">
        <is>
          <t>MODEL: owner-FCF DCF (dcf-methods SKILL routing: operating company, non-US + cyclical -&gt; owner-fcf.md incl. section 7), 10-year explicit horizon because margins and capex intensity are still ramping, component-built margins, scenario-weighted. Fresh build -- no prior APX.AX DCF and no MEMORY.md entry. Not routed to the distressed/asset-waterfall model: the company has no debt, US$44.7m cash, positive and guided EBITDA, and a going-concern audit opinion; the distress is in the history, not the balance sheet.</t>
        </is>
      </c>
    </row>
    <row r="14">
      <c r="A14" t="inlineStr">
        <is>
          <t>OWNER FCF (FY2025, US$m): reported FCF 6.329 (OCF 22.966 - capex 16.637) - SBC 1.299 - interest income 0.773 - lease payments 4.848 = -0.591. Interest income is stripped because net cash (US$44.7m) is many times the FCF base and is added back in the bridge. TTM to Jun-2026 owner FCF is -20.5 (H1 FY2026 OCF -4.1 on a US$12.8m contract-asset build).</t>
        </is>
      </c>
    </row>
    <row r="15">
      <c r="A15" t="inlineStr">
        <is>
          <t>LEASES: treatment (B) -- leases as operating cost. The full FY2025 lease payment (principal 4.158 + interest 0.690, FY2025 note 14) is charged inside the flows at 1.7% of revenue (2.1% in FY2025 on a shrinking office footprint, liability 11.0 -&gt; 9.4 -&gt; 7.4); lease liabilities are EXCLUDED from net debt, so net debt = -cash = -44.705. D&amp;A and capex are modelled ex right-of-use (ROU depreciation was 2.4 of the 31.3 D&amp;A) and ex acquisition-related amortisation (13.0 non-cash, Figure Eight / Quadrant platforms).</t>
        </is>
      </c>
    </row>
    <row r="16">
      <c r="A16" t="inlineStr">
        <is>
          <t>CURRENCY BREAK: the Metrics CSV rows FY2014-FY2020 are AUD and H1 FY2021 onward are USD. No growth rate, margin or FCF series in this model crosses that boundary in mixed currencies; the 5-year CAGRs use the USD-restated FY2020 comparatives from the FY2021 annual report. The pre-2021 AUD peak (A$599m revenue, 18% EBITDA margin) belonged to the Google search-relevance business that no longer exists and is NOT used as a mid-cycle reference.</t>
        </is>
      </c>
    </row>
    <row r="17">
      <c r="A17" t="inlineStr">
        <is>
          <t>MID-CYCLE: FY2022 (-US$195.9m statutory EBITDA incl. US$204.3m impairment) and FY2023 (-US$88.6m incl. US$69.2m impairment) are excluded as reference years; so is the AUD-era peak. The margin path is anchored on the segment build instead: Appen China ran a 15.9% EBITDA margin in H1 FY2026 (US$12.1m on US$76.2m) while Appen Global lost US$4.5m on US$43.7m and corporate cost ~US$2m. Base assumes China reaches ~80% of revenue at a 15-16% margin with Global at breakeven, giving an 11% mature group margin (post-AASB16, before the 1.7% lease charge). Bull 15% (Global recovers to a 5% margin on foundation-model work); bear 5% (guidance floor, Global keeps shrinking).</t>
        </is>
      </c>
    </row>
    <row r="18">
      <c r="A18" t="inlineStr">
        <is>
          <t>DILUTION: the 123m -&gt; 268m share count was US$57.4m (FY2023) and US$42.1m (FY2024) of equity raises, not SBC (SBC was US$1.3-5.7m/yr). The model does not project further raises: base and bull are cash-generative from year 4-5 and the bear case burns ~US$30m against US$44.7m cash, which is survivable without a raise. If the bear path materialises with a raise at ~A$0.60, existing holders would be diluted a further ~15%.</t>
        </is>
      </c>
    </row>
    <row r="19">
      <c r="A19" t="inlineStr">
        <is>
          <t>WORKING CAPITAL: sign is NEGATIVE (services business: receivables + contract assets US$68.4m vs contract liabilities US$13.0m at Jun-2026; net working capital ~12% of revenue). Modelled as -12% capture on the CHANGE in revenue in base (-10% bull, -15% bear); in the bear decline year it releases cash. The FY2025 US$12m receivables release that made owner FCF ~breakeven is treated as timing and is not carried forward.</t>
        </is>
      </c>
    </row>
    <row r="20">
      <c r="A20" t="inlineStr">
        <is>
          <t>TAX: cash tax = max(0, EBIT) x rate. Because US$104m of US losses are unrecognised and Global loses money, group EBIT is negative in base years 1-2 and the engine books zero tax -- but Appen China pays ~25% on its own profit regardless (H1 FY2026 cash tax US$1.7m). That leakage (~US$2-3m/yr, ~A$0.01/share PV) is understated by the engine in the negative-EBIT years; the 30% -&gt; 25% path on positive EBIT is set above the 25% China statutory rate to partly compensate.</t>
        </is>
      </c>
    </row>
    <row r="21">
      <c r="A21" t="inlineStr">
        <is>
          <t>SANITY ANCHORS: market cap A$282m / US$201m on 268.5m shares on issue (US$215m on the diluted count); EV US$156-171m = 0.63-0.69x TTM revenue and ~8x the FY2026 guided EBITDA midpoint (US$21m). The base case values the equity at ~0.5x sales; the bull case at ~1.1x.</t>
        </is>
      </c>
    </row>
    <row r="22">
      <c r="A22" t="inlineStr">
        <is>
          <t>PRICE is a regular ASX close, not an after-hours print; the stock has ranged A$0.65-1.975 in 12 months and fell 14% on the H1 result day, so expect volatility.</t>
        </is>
      </c>
    </row>
    <row r="23">
      <c r="A23" t="inlineStr">
        <is>
          <t>WACC: USD-built, because the flows are USD: US 10y 5.0% (Yahoo ^TNX 2026-09-21) + 5.0% ERP x beta 1.4 (small-cap, loss-making, 74% top-5 customer concentration, cyclical AI-capex exposure; market cap ~US$200m) = 12.0% cost of equity = WACC (no debt). Same rate in all three scenarios and NO ad-hoc concentration/cyclicality premium: those risks are charged in the scenario flows and in the 30% bear weight (owner-fcf.md s7f, charge risk once). Converting the USD result at spot AUDUSD is the currency bridge; the discount rate is not adjusted for the AUD quote.</t>
        </is>
      </c>
    </row>
    <row r="24">
      <c r="A24" t="inlineStr">
        <is>
          <t>Layout note: this workbook keeps the house row map's logic but adds a lease-cost row and per-year D&amp;A and capex % drivers, so row numbers differ from the generic map. Only rows 5, 7, 9, 14, 17, 21 on each DCF tab are hardcoded drivers.</t>
        </is>
      </c>
    </row>
    <row r="25">
      <c r="A25" t="inlineStr"/>
    </row>
    <row r="26">
      <c r="A26" t="inlineStr">
        <is>
          <t>SCENARIO DRIVERS are the dcf-analyst agent's judgment as of 2026-09-21, anchored on FY2026 guidance and the H1 FY2026 segment print. On update, refresh anchors first and re-judge only the guidance year.</t>
        </is>
      </c>
    </row>
    <row r="27">
      <c r="A27" t="inlineStr">
        <is>
          <t>REFRESH AFTER NEXT PRINT: price + timestamp, cash and lease liabilities (31-Dec-2026), shares on issue + unvested rights, FY2026 actual revenue/EBITDA vs the 275/6.0% base, FY2027 guidance, AUDUSD rate.</t>
        </is>
      </c>
    </row>
    <row r="28">
      <c r="A28" t="inlineStr"/>
    </row>
    <row r="29">
      <c r="A29" s="1" t="inlineStr">
        <is>
          <t>CELL COLOURS: blue = hardcoded input; yellow fill = key lever; black = formula; green = cross-sheet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9" max="9"/>
  </cols>
  <sheetData>
    <row r="1">
      <c r="A1" s="1" t="inlineStr">
        <is>
          <t>Reported history, USD millions (presentation currency USD from FY2021; FY2014-FY2020 AUD rows deliberately omitted)</t>
        </is>
      </c>
    </row>
    <row r="3">
      <c r="A3" s="1" t="inlineStr">
        <is>
          <t>Metric</t>
        </is>
      </c>
      <c r="B3" s="1" t="inlineStr">
        <is>
          <t>FY2021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  <c r="G3" s="1" t="inlineStr">
        <is>
          <t>H1 FY2025</t>
        </is>
      </c>
      <c r="H3" s="1" t="inlineStr">
        <is>
          <t>H1 FY2026</t>
        </is>
      </c>
      <c r="I3" s="1" t="inlineStr">
        <is>
          <t>Source</t>
        </is>
      </c>
    </row>
    <row r="4">
      <c r="A4" t="inlineStr">
        <is>
          <t>Revenue</t>
        </is>
      </c>
      <c r="B4" s="2" t="n">
        <v>447.154</v>
      </c>
      <c r="C4" s="2" t="n">
        <v>388.133</v>
      </c>
      <c r="D4" s="2" t="n">
        <v>273.012</v>
      </c>
      <c r="E4" s="2" t="n">
        <v>234.285</v>
      </c>
      <c r="F4" s="2" t="n">
        <v>230.774</v>
      </c>
      <c r="G4" s="2" t="n">
        <v>102.072</v>
      </c>
      <c r="H4" s="2" t="n">
        <v>119.915</v>
      </c>
      <c r="I4" t="inlineStr">
        <is>
          <t>Metrics.csv / annual + half-year reports</t>
        </is>
      </c>
    </row>
    <row r="5">
      <c r="A5" t="inlineStr">
        <is>
          <t>Statutory EBITDA</t>
        </is>
      </c>
      <c r="B5" s="2" t="n">
        <v>72.932</v>
      </c>
      <c r="C5" s="2" t="n">
        <v>-195.901</v>
      </c>
      <c r="D5" s="2" t="n">
        <v>-88.643</v>
      </c>
      <c r="E5" s="2" t="n">
        <v>3.662</v>
      </c>
      <c r="F5" s="2" t="n">
        <v>9.476000000000001</v>
      </c>
      <c r="G5" s="2" t="n">
        <v>-3.806</v>
      </c>
      <c r="H5" s="2" t="n">
        <v>3.604</v>
      </c>
      <c r="I5" t="inlineStr">
        <is>
          <t>FY2022 incl. US$204.3m impairment; FY2023 incl. US$69.2m</t>
        </is>
      </c>
    </row>
    <row r="6">
      <c r="A6" t="inlineStr">
        <is>
          <t>Net income</t>
        </is>
      </c>
      <c r="B6" s="2" t="n">
        <v>28.519</v>
      </c>
      <c r="C6" s="2" t="n">
        <v>-239.068</v>
      </c>
      <c r="D6" s="2" t="n">
        <v>-118.079</v>
      </c>
      <c r="E6" s="2" t="n">
        <v>-20.009</v>
      </c>
      <c r="F6" s="2" t="n">
        <v>-21.818</v>
      </c>
      <c r="G6" s="2" t="n">
        <v>-19.263</v>
      </c>
      <c r="H6" s="2" t="n">
        <v>-4.454</v>
      </c>
      <c r="I6" t="inlineStr"/>
    </row>
    <row r="7">
      <c r="A7" t="inlineStr">
        <is>
          <t>Operating cash flow</t>
        </is>
      </c>
      <c r="B7" s="2" t="n">
        <v>53.923</v>
      </c>
      <c r="C7" s="2" t="n">
        <v>18.228</v>
      </c>
      <c r="D7" s="2" t="n">
        <v>-22.939</v>
      </c>
      <c r="E7" s="2" t="n">
        <v>-0.664</v>
      </c>
      <c r="F7" s="2" t="n">
        <v>22.966</v>
      </c>
      <c r="G7" s="2" t="n">
        <v>13.153</v>
      </c>
      <c r="H7" s="2" t="n">
        <v>-4.146</v>
      </c>
      <c r="I7" t="inlineStr">
        <is>
          <t>cash flow statements</t>
        </is>
      </c>
    </row>
    <row r="8">
      <c r="A8" t="inlineStr">
        <is>
          <t>Capex (PPE + intangibles)</t>
        </is>
      </c>
      <c r="B8" s="2" t="n">
        <v>23.095</v>
      </c>
      <c r="C8" s="2" t="n">
        <v>27.931</v>
      </c>
      <c r="D8" s="2" t="n">
        <v>19.853</v>
      </c>
      <c r="E8" s="2" t="n">
        <v>12.847</v>
      </c>
      <c r="F8" s="2" t="n">
        <v>16.637</v>
      </c>
      <c r="G8" s="2" t="n">
        <v>7.306</v>
      </c>
      <c r="H8" s="2" t="n">
        <v>9.220000000000001</v>
      </c>
      <c r="I8" t="inlineStr"/>
    </row>
    <row r="9">
      <c r="A9" t="inlineStr">
        <is>
          <t>Reported FCF</t>
        </is>
      </c>
      <c r="B9" s="2" t="n">
        <v>30.828</v>
      </c>
      <c r="C9" s="2" t="n">
        <v>-9.702999999999999</v>
      </c>
      <c r="D9" s="2" t="n">
        <v>-42.792</v>
      </c>
      <c r="E9" s="2" t="n">
        <v>-13.511</v>
      </c>
      <c r="F9" s="2" t="n">
        <v>6.329</v>
      </c>
      <c r="G9" s="2" t="n">
        <v>5.847</v>
      </c>
      <c r="H9" s="2" t="n">
        <v>-13.366</v>
      </c>
      <c r="I9" t="inlineStr">
        <is>
          <t>OCF - capex</t>
        </is>
      </c>
    </row>
    <row r="10">
      <c r="A10" t="inlineStr">
        <is>
          <t>SBC expense</t>
        </is>
      </c>
      <c r="B10" s="2" t="n">
        <v>0.516</v>
      </c>
      <c r="C10" s="2" t="n">
        <v>1.492</v>
      </c>
      <c r="D10" s="2" t="n">
        <v>5.691</v>
      </c>
      <c r="E10" s="2" t="n">
        <v>4.077</v>
      </c>
      <c r="F10" s="2" t="n">
        <v>1.299</v>
      </c>
      <c r="G10" s="2" t="n">
        <v>0.259</v>
      </c>
      <c r="H10" s="2" t="n">
        <v>0.799</v>
      </c>
      <c r="I10" t="inlineStr">
        <is>
          <t>note 5</t>
        </is>
      </c>
    </row>
    <row r="11">
      <c r="A11" t="inlineStr">
        <is>
          <t>Interest income</t>
        </is>
      </c>
      <c r="B11" s="2" t="n">
        <v>0.01</v>
      </c>
      <c r="C11" s="2" t="n">
        <v>0.183</v>
      </c>
      <c r="D11" s="2" t="n">
        <v>0.371</v>
      </c>
      <c r="E11" s="2" t="n">
        <v>0.482</v>
      </c>
      <c r="F11" s="2" t="n">
        <v>0.773</v>
      </c>
      <c r="G11" s="2" t="n">
        <v>0.4</v>
      </c>
      <c r="H11" s="2" t="n">
        <v>0.281</v>
      </c>
      <c r="I11" t="inlineStr">
        <is>
          <t>cash flow: interest received</t>
        </is>
      </c>
    </row>
    <row r="12">
      <c r="A12" t="inlineStr">
        <is>
          <t>Lease payments (principal + interest)</t>
        </is>
      </c>
      <c r="C12" s="2" t="n">
        <v>4.508</v>
      </c>
      <c r="D12" s="2" t="n">
        <v>4.763</v>
      </c>
      <c r="E12" s="2" t="n">
        <v>4.398</v>
      </c>
      <c r="F12" s="2" t="n">
        <v>4.848</v>
      </c>
      <c r="G12" s="2" t="n">
        <v>2.397</v>
      </c>
      <c r="H12" s="2" t="n">
        <v>2.678</v>
      </c>
      <c r="I12" t="inlineStr">
        <is>
          <t>financing activities; FY2021 not extracted</t>
        </is>
      </c>
    </row>
    <row r="13">
      <c r="A13" t="inlineStr">
        <is>
          <t>Equity raised (net)</t>
        </is>
      </c>
      <c r="B13" s="2" t="n">
        <v>0</v>
      </c>
      <c r="C13" s="2" t="n">
        <v>0</v>
      </c>
      <c r="D13" s="2" t="n">
        <v>57.437</v>
      </c>
      <c r="E13" s="2" t="n">
        <v>42.137</v>
      </c>
      <c r="F13" s="2" t="n">
        <v>0</v>
      </c>
      <c r="G13" s="2" t="n">
        <v>0</v>
      </c>
      <c r="H13" s="2" t="n">
        <v>0</v>
      </c>
      <c r="I13" t="inlineStr">
        <is>
          <t>financing activities</t>
        </is>
      </c>
    </row>
    <row r="14">
      <c r="A14" t="inlineStr">
        <is>
          <t>Cash</t>
        </is>
      </c>
      <c r="B14" s="2" t="n">
        <v>47.878</v>
      </c>
      <c r="C14" s="2" t="n">
        <v>23.429</v>
      </c>
      <c r="D14" s="2" t="n">
        <v>32.152</v>
      </c>
      <c r="E14" s="2" t="n">
        <v>54.809</v>
      </c>
      <c r="F14" s="2" t="n">
        <v>59.824</v>
      </c>
      <c r="G14" s="2" t="n">
        <v>60.865</v>
      </c>
      <c r="H14" s="2" t="n">
        <v>44.705</v>
      </c>
      <c r="I14" t="inlineStr"/>
    </row>
    <row r="15">
      <c r="A15" t="inlineStr">
        <is>
          <t>Lease liabilities (= total_debt in DB)</t>
        </is>
      </c>
      <c r="B15" s="2" t="n">
        <v>15.06</v>
      </c>
      <c r="C15" s="2" t="n">
        <v>10.177</v>
      </c>
      <c r="D15" s="2" t="n">
        <v>12.434</v>
      </c>
      <c r="E15" s="2" t="n">
        <v>11.04</v>
      </c>
      <c r="F15" s="2" t="n">
        <v>9.403</v>
      </c>
      <c r="G15" s="2" t="n">
        <v>9.893000000000001</v>
      </c>
      <c r="H15" s="2" t="n">
        <v>7.426</v>
      </c>
      <c r="I15" t="inlineStr">
        <is>
          <t>no bank debt since FY2020</t>
        </is>
      </c>
    </row>
    <row r="16">
      <c r="A16" t="inlineStr">
        <is>
          <t>Shareholders' equity</t>
        </is>
      </c>
      <c r="B16" s="2" t="n">
        <v>391.872</v>
      </c>
      <c r="C16" s="2" t="n">
        <v>147.986</v>
      </c>
      <c r="D16" s="2" t="n">
        <v>92.797</v>
      </c>
      <c r="E16" s="2" t="n">
        <v>114.316</v>
      </c>
      <c r="F16" s="2" t="n">
        <v>94.604</v>
      </c>
      <c r="G16" s="2" t="n">
        <v>96.851</v>
      </c>
      <c r="H16" s="2" t="n">
        <v>93.011</v>
      </c>
      <c r="I16" t="inlineStr"/>
    </row>
    <row r="17">
      <c r="A17" t="inlineStr">
        <is>
          <t>Weighted avg shares (m)</t>
        </is>
      </c>
      <c r="B17" s="2" t="n">
        <v>124.814</v>
      </c>
      <c r="C17" s="2" t="n">
        <v>123.372</v>
      </c>
      <c r="D17" s="2" t="n">
        <v>142.088</v>
      </c>
      <c r="E17" s="2" t="n">
        <v>228.917</v>
      </c>
      <c r="F17" s="2" t="n">
        <v>264.352</v>
      </c>
      <c r="G17" s="2" t="n">
        <v>263.345</v>
      </c>
      <c r="H17" s="2" t="n">
        <v>267.346</v>
      </c>
      <c r="I17" t="inlineStr">
        <is>
          <t>EPS note</t>
        </is>
      </c>
    </row>
    <row r="18">
      <c r="A18" t="inlineStr">
        <is>
          <t>Appen Global revenue</t>
        </is>
      </c>
      <c r="E18" s="2" t="n">
        <v>175.407</v>
      </c>
      <c r="F18" s="2" t="n">
        <v>127.874</v>
      </c>
      <c r="G18" s="2" t="n">
        <v>59.827</v>
      </c>
      <c r="H18" s="2" t="n">
        <v>43.719</v>
      </c>
      <c r="I18" t="inlineStr">
        <is>
          <t>segment note (restated FY2024)</t>
        </is>
      </c>
    </row>
    <row r="19">
      <c r="A19" t="inlineStr">
        <is>
          <t>Appen China revenue</t>
        </is>
      </c>
      <c r="E19" s="2" t="n">
        <v>58.883</v>
      </c>
      <c r="F19" s="2" t="n">
        <v>102.9</v>
      </c>
      <c r="G19" s="2" t="n">
        <v>42.245</v>
      </c>
      <c r="H19" s="2" t="n">
        <v>76.196</v>
      </c>
      <c r="I19" t="inlineStr"/>
    </row>
    <row r="20">
      <c r="A20" t="inlineStr">
        <is>
          <t>Appen Global EBITDA</t>
        </is>
      </c>
      <c r="E20" s="2" t="n">
        <v>9.199999999999999</v>
      </c>
      <c r="F20" s="2" t="n">
        <v>5.8</v>
      </c>
      <c r="G20" s="2" t="n">
        <v>-3.6</v>
      </c>
      <c r="H20" s="2" t="n">
        <v>-4.5</v>
      </c>
      <c r="I20" t="inlineStr">
        <is>
          <t>OFR</t>
        </is>
      </c>
    </row>
    <row r="21">
      <c r="A21" t="inlineStr">
        <is>
          <t>Appen China EBITDA</t>
        </is>
      </c>
      <c r="E21" s="2" t="n">
        <v>1.4</v>
      </c>
      <c r="F21" s="2" t="n">
        <v>10.6</v>
      </c>
      <c r="G21" s="2" t="n">
        <v>2.9</v>
      </c>
      <c r="H21" s="2" t="n">
        <v>12.1</v>
      </c>
      <c r="I21" t="inlineStr">
        <is>
          <t>OFR</t>
        </is>
      </c>
    </row>
    <row r="24">
      <c r="A24" s="1" t="inlineStr">
        <is>
          <t>FY2026 guidance (27-Aug-2026): revenue US$270-300m; underlying EBITDA before FX margin 5-10%.</t>
        </is>
      </c>
    </row>
    <row r="25">
      <c r="A25" t="inlineStr">
        <is>
          <t>Shares on issue 30-Jun-2026: 268,523,648; unvested performance rights ~18.84m; buybacks: none.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  <col width="30" customWidth="1" min="4" max="4"/>
  </cols>
  <sheetData>
    <row r="1">
      <c r="A1" s="1" t="inlineStr">
        <is>
          <t>Global assumptions (blue = input)</t>
        </is>
      </c>
    </row>
    <row r="3">
      <c r="A3" t="inlineStr">
        <is>
          <t>WACC (USD-built)</t>
        </is>
      </c>
      <c r="B3" s="3" t="n">
        <v>0.12</v>
      </c>
      <c r="C3" t="inlineStr">
        <is>
          <t>US 10y 5.0% + 5.0% ERP x beta 1.4; same in all scenarios</t>
        </is>
      </c>
    </row>
    <row r="4">
      <c r="A4" t="inlineStr">
        <is>
          <t>Terminal value cap (x FCF_10)</t>
        </is>
      </c>
      <c r="B4" s="4" t="n">
        <v>15</v>
      </c>
      <c r="C4" t="inlineStr">
        <is>
          <t>15x: cyclical, thin-margin business</t>
        </is>
      </c>
    </row>
    <row r="5">
      <c r="A5" t="inlineStr">
        <is>
          <t>Lease cost % of revenue</t>
        </is>
      </c>
      <c r="B5" s="5" t="n">
        <v>0.017</v>
      </c>
      <c r="C5" t="inlineStr">
        <is>
          <t>treatment B: full lease payment in flows; FY2025 was 2.1%</t>
        </is>
      </c>
    </row>
    <row r="6">
      <c r="A6" t="inlineStr">
        <is>
          <t>Net cash US$m (30-Jun-2026)</t>
        </is>
      </c>
      <c r="B6" s="2" t="n">
        <v>44.705</v>
      </c>
      <c r="C6" t="inlineStr">
        <is>
          <t>lease liabilities excluded (treatment B); no borrowings</t>
        </is>
      </c>
    </row>
    <row r="7">
      <c r="A7" t="inlineStr">
        <is>
          <t>Diluted shares (m)</t>
        </is>
      </c>
      <c r="B7" s="6" t="n">
        <v>287.366</v>
      </c>
      <c r="C7" t="inlineStr">
        <is>
          <t>268.524 on issue + 18.842 unvested rights; held flat</t>
        </is>
      </c>
    </row>
    <row r="8">
      <c r="A8" t="inlineStr">
        <is>
          <t>Current price A$</t>
        </is>
      </c>
      <c r="B8" s="7" t="n">
        <v>1.05</v>
      </c>
      <c r="C8" t="inlineStr">
        <is>
          <t>2026-09-21T06:10:31Z ASX regular close (Yahoo regularMarketTime); 52wk A$0.65-1.975; 25 days after the 27-Aug-2026 H1 result (-14% on the day)</t>
        </is>
      </c>
    </row>
    <row r="9">
      <c r="A9" t="inlineStr">
        <is>
          <t>AUDUSD</t>
        </is>
      </c>
      <c r="B9" s="8" t="n">
        <v>0.7133</v>
      </c>
      <c r="C9" t="inlineStr">
        <is>
          <t>Yahoo AUDUSD=X 2026-09-21</t>
        </is>
      </c>
    </row>
    <row r="10">
      <c r="A10" t="inlineStr">
        <is>
          <t>USD -&gt; AUD multiplier</t>
        </is>
      </c>
      <c r="B10" s="9">
        <f>1/B9</f>
        <v/>
      </c>
      <c r="C10" t="inlineStr">
        <is>
          <t>formula</t>
        </is>
      </c>
    </row>
    <row r="11">
      <c r="A11" t="inlineStr">
        <is>
          <t>Hurdle rate</t>
        </is>
      </c>
      <c r="B11" s="5" t="n">
        <v>0.15</v>
      </c>
      <c r="C11" t="inlineStr">
        <is>
          <t>entry-price IRR</t>
        </is>
      </c>
    </row>
    <row r="12">
      <c r="A12" t="inlineStr">
        <is>
          <t>FY2025 revenue US$m</t>
        </is>
      </c>
      <c r="B12" s="2" t="n">
        <v>230.774</v>
      </c>
      <c r="C12" t="inlineStr">
        <is>
          <t>FY0 base</t>
        </is>
      </c>
    </row>
    <row r="14">
      <c r="A14" s="1" t="inlineStr">
        <is>
          <t>Scenario</t>
        </is>
      </c>
      <c r="B14" s="1" t="inlineStr">
        <is>
          <t>Terminal growth</t>
        </is>
      </c>
      <c r="C14" s="1" t="inlineStr">
        <is>
          <t>Probability</t>
        </is>
      </c>
      <c r="D14" s="1" t="inlineStr">
        <is>
          <t>WC capture % of revenue change</t>
        </is>
      </c>
    </row>
    <row r="15">
      <c r="A15" t="inlineStr">
        <is>
          <t>bear</t>
        </is>
      </c>
      <c r="B15" s="3" t="n">
        <v>0.02</v>
      </c>
      <c r="C15" s="3" t="n">
        <v>0.3</v>
      </c>
      <c r="D15" s="3" t="n">
        <v>-0.15</v>
      </c>
    </row>
    <row r="16">
      <c r="A16" t="inlineStr">
        <is>
          <t>base</t>
        </is>
      </c>
      <c r="B16" s="3" t="n">
        <v>0.03</v>
      </c>
      <c r="C16" s="3" t="n">
        <v>0.5</v>
      </c>
      <c r="D16" s="3" t="n">
        <v>-0.12</v>
      </c>
    </row>
    <row r="17">
      <c r="A17" t="inlineStr">
        <is>
          <t>bull</t>
        </is>
      </c>
      <c r="B17" s="3" t="n">
        <v>0.035</v>
      </c>
      <c r="C17" s="3" t="n">
        <v>0.2</v>
      </c>
      <c r="D17" s="3" t="n">
        <v>-0.1</v>
      </c>
    </row>
    <row r="18">
      <c r="A18" t="inlineStr">
        <is>
          <t>Weights check</t>
        </is>
      </c>
      <c r="C18" s="10">
        <f>SUM(C15:C17)</f>
        <v/>
      </c>
    </row>
    <row r="20">
      <c r="A20" s="1" t="inlineStr">
        <is>
          <t>Scenario narratives</t>
        </is>
      </c>
    </row>
    <row r="21" ht="110" customHeight="1">
      <c r="A21" s="11" t="inlineStr">
        <is>
          <t>base: FY2026 revenue US$275m (+19%, low end of the US$270-300m guide: H1 was US$119.9m, H2 needs +21% YoY) at a 6.0% statutory EBITDA margin (~7% underlying before FX; H1 was 4.5%/3.0% but H2 FY2025 ran ~11%, so the year is H2-weighted). Appen China (+80% H1) decelerates to +30%/+20%/+12% and reaches ~80% of group revenue by FY2029 while Appen Global (-27% H1) shrinks a further ~30% then stabilises on foundation-model/RLHF work outside its largest client, giving group growth of 16/13/10/8% in FY2027-30 and a 3.5% exit. Group EBITDA margin climbs ~1pp/yr to 11% by FY2032 as China's 16% segment margin dominates the mix and Global reaches breakeven. Capex (capitalised product development) falls from 6.5% to 3.5% of revenue now that CrowdGen/Mercury replatforming is done; working capital consumes 12% of every revenue dollar added. Owner FCF is negative through FY2028 (-13/-8/-3) and only reaches a 2.7% margin at maturity: the cash the business generates at an 11% EBITDA margin is thin once leases, capex, China tax and receivables growth are paid for.</t>
        </is>
      </c>
    </row>
    <row r="22" ht="110" customHeight="1">
      <c r="A22" s="11" t="inlineStr">
        <is>
          <t>bull: The Meta-Scale AI neutrality shock converts into durable share gains at Google, Microsoft, OpenAI and xAI, Appen Global returns to growth on RLHF/agentic-environment work, and Appen China sustains 40%+ growth on Chinese labs' international expansion: revenue US$286m (+24%) in FY2026 compounding at 22/18/14/11% to ~US$860m by FY2035. Operating leverage on a 40%+ gross margin takes group EBITDA to 15% by FY2033 (China 18%, Global 5%, corporate 1%). Working-capital drag eases to 10% as hyperscaler terms improve. Terminal growth 3.5%. This is the analyst-target (A$2.35) world and needs four things to go right at once: Scale share shift, Global stabilisation, China deceleration only gradual, and no large-client loss.</t>
        </is>
      </c>
    </row>
    <row r="23" ht="110" customHeight="1">
      <c r="A23" s="11" t="inlineStr">
        <is>
          <t>bear: FY2026 lands just under the guidance floor (US$258m, +12%) at a 3.5% margin, then a top-5 client cuts volumes in FY2027 -- the Google FY2024 pattern repeated with a Chinese lab or hyperscaler -- and revenue falls 12% and 2% before creeping back at 2-3%. Margins collapse to 1% in the loss year and recover only to 5% because the crowd-based model has no pricing power against in-house RLHF pipelines and offshore niche vendors. At a 5% EBITDA margin the business never generates owner FCF (year-10 FCF -US$5m), so the terminal value sits on the ZERO FLOOR and the equity is worth the cash pile less a decade of burn: A$0.03/share. The bear case is a slow liquidation, not a bankruptcy -- no debt, and US$44.7m cash covers the ~US$30m cumulative burn without a raise.</t>
        </is>
      </c>
    </row>
    <row r="25" ht="60" customHeight="1">
      <c r="A25" s="11" t="inlineStr">
        <is>
          <t>Weights rationale: Bear 30% / base 50% / bull 20%, against the 15/50/35 house default. Bear is doubled because the thesis rests on an unproven pivot with a single-customer-dependency history (Google walked in FY2024 and took ~US$60m of revenue with it; top-5 clients are still 68-74% of revenue), Appen Global is still shrinking 27%, and TTM owner FCF is -US$20m. Bull is cut because it needs the Scale-AI share shift, Global stabilisation, only gradual China deceleration and no client loss to all hold at once.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BEAR scenario -- USD millions; drivers in blue (rows 5, 7, 9, 14, 17, 21)</t>
        </is>
      </c>
    </row>
    <row r="3">
      <c r="A3" t="inlineStr">
        <is>
          <t>Year</t>
        </is>
      </c>
      <c r="B3" t="inlineStr">
        <is>
          <t>FY2025A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3" t="n">
        <v>0.12</v>
      </c>
      <c r="D5" s="3" t="n">
        <v>-0.12</v>
      </c>
      <c r="E5" s="3" t="n">
        <v>-0.02</v>
      </c>
      <c r="F5" s="3" t="n">
        <v>0.02</v>
      </c>
      <c r="G5" s="3" t="n">
        <v>0.03</v>
      </c>
      <c r="H5" s="3" t="n">
        <v>0.03</v>
      </c>
      <c r="I5" s="3" t="n">
        <v>0.03</v>
      </c>
      <c r="J5" s="3" t="n">
        <v>0.03</v>
      </c>
      <c r="K5" s="3" t="n">
        <v>0.03</v>
      </c>
      <c r="L5" s="3" t="n">
        <v>0.03</v>
      </c>
    </row>
    <row r="6">
      <c r="A6" t="inlineStr">
        <is>
          <t>Revenue</t>
        </is>
      </c>
      <c r="B6" s="12">
        <f>Assumptions!B12</f>
        <v/>
      </c>
      <c r="C6" s="13">
        <f>B6*(1+C5)</f>
        <v/>
      </c>
      <c r="D6" s="13">
        <f>C6*(1+D5)</f>
        <v/>
      </c>
      <c r="E6" s="13">
        <f>D6*(1+E5)</f>
        <v/>
      </c>
      <c r="F6" s="13">
        <f>E6*(1+F5)</f>
        <v/>
      </c>
      <c r="G6" s="13">
        <f>F6*(1+G5)</f>
        <v/>
      </c>
      <c r="H6" s="13">
        <f>G6*(1+H5)</f>
        <v/>
      </c>
      <c r="I6" s="13">
        <f>H6*(1+I5)</f>
        <v/>
      </c>
      <c r="J6" s="13">
        <f>I6*(1+J5)</f>
        <v/>
      </c>
      <c r="K6" s="13">
        <f>J6*(1+K5)</f>
        <v/>
      </c>
      <c r="L6" s="13">
        <f>K6*(1+L5)</f>
        <v/>
      </c>
    </row>
    <row r="7">
      <c r="A7" t="inlineStr">
        <is>
          <t>Adj EBITDA margin (post-AASB16, statutory)</t>
        </is>
      </c>
      <c r="C7" s="3" t="n">
        <v>0.035</v>
      </c>
      <c r="D7" s="3" t="n">
        <v>0.01</v>
      </c>
      <c r="E7" s="3" t="n">
        <v>0.025</v>
      </c>
      <c r="F7" s="3" t="n">
        <v>0.035</v>
      </c>
      <c r="G7" s="3" t="n">
        <v>0.04</v>
      </c>
      <c r="H7" s="3" t="n">
        <v>0.045</v>
      </c>
      <c r="I7" s="3" t="n">
        <v>0.05</v>
      </c>
      <c r="J7" s="3" t="n">
        <v>0.05</v>
      </c>
      <c r="K7" s="3" t="n">
        <v>0.05</v>
      </c>
      <c r="L7" s="3" t="n">
        <v>0.05</v>
      </c>
    </row>
    <row r="8">
      <c r="A8" t="inlineStr">
        <is>
          <t>Adjusted EBITDA</t>
        </is>
      </c>
      <c r="C8" s="13">
        <f>C6*C7</f>
        <v/>
      </c>
      <c r="D8" s="13">
        <f>D6*D7</f>
        <v/>
      </c>
      <c r="E8" s="13">
        <f>E6*E7</f>
        <v/>
      </c>
      <c r="F8" s="13">
        <f>F6*F7</f>
        <v/>
      </c>
      <c r="G8" s="13">
        <f>G6*G7</f>
        <v/>
      </c>
      <c r="H8" s="13">
        <f>H6*H7</f>
        <v/>
      </c>
      <c r="I8" s="13">
        <f>I6*I7</f>
        <v/>
      </c>
      <c r="J8" s="13">
        <f>J6*J7</f>
        <v/>
      </c>
      <c r="K8" s="13">
        <f>K6*K7</f>
        <v/>
      </c>
      <c r="L8" s="13">
        <f>L6*L7</f>
        <v/>
      </c>
    </row>
    <row r="9">
      <c r="A9" t="inlineStr">
        <is>
          <t>SBC % revenue</t>
        </is>
      </c>
      <c r="C9" s="3" t="n">
        <v>0.006999999999999999</v>
      </c>
      <c r="D9" s="3" t="n">
        <v>0.006999999999999999</v>
      </c>
      <c r="E9" s="3" t="n">
        <v>0.006999999999999999</v>
      </c>
      <c r="F9" s="3" t="n">
        <v>0.006999999999999999</v>
      </c>
      <c r="G9" s="3" t="n">
        <v>0.006999999999999999</v>
      </c>
      <c r="H9" s="3" t="n">
        <v>0.006999999999999999</v>
      </c>
      <c r="I9" s="3" t="n">
        <v>0.006999999999999999</v>
      </c>
      <c r="J9" s="3" t="n">
        <v>0.006999999999999999</v>
      </c>
      <c r="K9" s="3" t="n">
        <v>0.006999999999999999</v>
      </c>
      <c r="L9" s="3" t="n">
        <v>0.006999999999999999</v>
      </c>
    </row>
    <row r="10">
      <c r="A10" t="inlineStr">
        <is>
          <t>SBC (expensed)</t>
        </is>
      </c>
      <c r="C10" s="13">
        <f>-C6*C9</f>
        <v/>
      </c>
      <c r="D10" s="13">
        <f>-D6*D9</f>
        <v/>
      </c>
      <c r="E10" s="13">
        <f>-E6*E9</f>
        <v/>
      </c>
      <c r="F10" s="13">
        <f>-F6*F9</f>
        <v/>
      </c>
      <c r="G10" s="13">
        <f>-G6*G9</f>
        <v/>
      </c>
      <c r="H10" s="13">
        <f>-H6*H9</f>
        <v/>
      </c>
      <c r="I10" s="13">
        <f>-I6*I9</f>
        <v/>
      </c>
      <c r="J10" s="13">
        <f>-J6*J9</f>
        <v/>
      </c>
      <c r="K10" s="13">
        <f>-K6*K9</f>
        <v/>
      </c>
      <c r="L10" s="13">
        <f>-L6*L9</f>
        <v/>
      </c>
    </row>
    <row r="11">
      <c r="A11" t="inlineStr">
        <is>
          <t>Lease cost % revenue</t>
        </is>
      </c>
      <c r="C11" s="14">
        <f>Assumptions!$B$5</f>
        <v/>
      </c>
      <c r="D11" s="14">
        <f>Assumptions!$B$5</f>
        <v/>
      </c>
      <c r="E11" s="14">
        <f>Assumptions!$B$5</f>
        <v/>
      </c>
      <c r="F11" s="14">
        <f>Assumptions!$B$5</f>
        <v/>
      </c>
      <c r="G11" s="14">
        <f>Assumptions!$B$5</f>
        <v/>
      </c>
      <c r="H11" s="14">
        <f>Assumptions!$B$5</f>
        <v/>
      </c>
      <c r="I11" s="14">
        <f>Assumptions!$B$5</f>
        <v/>
      </c>
      <c r="J11" s="14">
        <f>Assumptions!$B$5</f>
        <v/>
      </c>
      <c r="K11" s="14">
        <f>Assumptions!$B$5</f>
        <v/>
      </c>
      <c r="L11" s="14">
        <f>Assumptions!$B$5</f>
        <v/>
      </c>
    </row>
    <row r="12">
      <c r="A12" t="inlineStr">
        <is>
          <t>Lease payments (principal + interest)</t>
        </is>
      </c>
      <c r="C12" s="13">
        <f>-C6*C11</f>
        <v/>
      </c>
      <c r="D12" s="13">
        <f>-D6*D11</f>
        <v/>
      </c>
      <c r="E12" s="13">
        <f>-E6*E11</f>
        <v/>
      </c>
      <c r="F12" s="13">
        <f>-F6*F11</f>
        <v/>
      </c>
      <c r="G12" s="13">
        <f>-G6*G11</f>
        <v/>
      </c>
      <c r="H12" s="13">
        <f>-H6*H11</f>
        <v/>
      </c>
      <c r="I12" s="13">
        <f>-I6*I11</f>
        <v/>
      </c>
      <c r="J12" s="13">
        <f>-J6*J11</f>
        <v/>
      </c>
      <c r="K12" s="13">
        <f>-K6*K11</f>
        <v/>
      </c>
      <c r="L12" s="13">
        <f>-L6*L11</f>
        <v/>
      </c>
    </row>
    <row r="13">
      <c r="A13" t="inlineStr">
        <is>
          <t>Owner EBITDA (after SBC and leases)</t>
        </is>
      </c>
      <c r="C13" s="13">
        <f>C8+C10+C12</f>
        <v/>
      </c>
      <c r="D13" s="13">
        <f>D8+D10+D12</f>
        <v/>
      </c>
      <c r="E13" s="13">
        <f>E8+E10+E12</f>
        <v/>
      </c>
      <c r="F13" s="13">
        <f>F8+F10+F12</f>
        <v/>
      </c>
      <c r="G13" s="13">
        <f>G8+G10+G12</f>
        <v/>
      </c>
      <c r="H13" s="13">
        <f>H8+H10+H12</f>
        <v/>
      </c>
      <c r="I13" s="13">
        <f>I8+I10+I12</f>
        <v/>
      </c>
      <c r="J13" s="13">
        <f>J8+J10+J12</f>
        <v/>
      </c>
      <c r="K13" s="13">
        <f>K8+K10+K12</f>
        <v/>
      </c>
      <c r="L13" s="13">
        <f>L8+L10+L12</f>
        <v/>
      </c>
    </row>
    <row r="14">
      <c r="A14" t="inlineStr">
        <is>
          <t>D&amp;A % revenue (ex ROU, ex acquired intangibles)</t>
        </is>
      </c>
      <c r="C14" s="3" t="n">
        <v>0.065</v>
      </c>
      <c r="D14" s="3" t="n">
        <v>0.06</v>
      </c>
      <c r="E14" s="3" t="n">
        <v>0.055</v>
      </c>
      <c r="F14" s="3" t="n">
        <v>0.05</v>
      </c>
      <c r="G14" s="3" t="n">
        <v>0.045</v>
      </c>
      <c r="H14" s="3" t="n">
        <v>0.04</v>
      </c>
      <c r="I14" s="3" t="n">
        <v>0.0375</v>
      </c>
      <c r="J14" s="3" t="n">
        <v>0.035</v>
      </c>
      <c r="K14" s="3" t="n">
        <v>0.035</v>
      </c>
      <c r="L14" s="3" t="n">
        <v>0.035</v>
      </c>
    </row>
    <row r="15">
      <c r="A15" t="inlineStr">
        <is>
          <t>D&amp;A</t>
        </is>
      </c>
      <c r="C15" s="13">
        <f>-C6*C14</f>
        <v/>
      </c>
      <c r="D15" s="13">
        <f>-D6*D14</f>
        <v/>
      </c>
      <c r="E15" s="13">
        <f>-E6*E14</f>
        <v/>
      </c>
      <c r="F15" s="13">
        <f>-F6*F14</f>
        <v/>
      </c>
      <c r="G15" s="13">
        <f>-G6*G14</f>
        <v/>
      </c>
      <c r="H15" s="13">
        <f>-H6*H14</f>
        <v/>
      </c>
      <c r="I15" s="13">
        <f>-I6*I14</f>
        <v/>
      </c>
      <c r="J15" s="13">
        <f>-J6*J14</f>
        <v/>
      </c>
      <c r="K15" s="13">
        <f>-K6*K14</f>
        <v/>
      </c>
      <c r="L15" s="13">
        <f>-L6*L14</f>
        <v/>
      </c>
    </row>
    <row r="16">
      <c r="A16" t="inlineStr">
        <is>
          <t>EBIT (SBC and leases expensed)</t>
        </is>
      </c>
      <c r="C16" s="13">
        <f>C13+C15</f>
        <v/>
      </c>
      <c r="D16" s="13">
        <f>D13+D15</f>
        <v/>
      </c>
      <c r="E16" s="13">
        <f>E13+E15</f>
        <v/>
      </c>
      <c r="F16" s="13">
        <f>F13+F15</f>
        <v/>
      </c>
      <c r="G16" s="13">
        <f>G13+G15</f>
        <v/>
      </c>
      <c r="H16" s="13">
        <f>H13+H15</f>
        <v/>
      </c>
      <c r="I16" s="13">
        <f>I13+I15</f>
        <v/>
      </c>
      <c r="J16" s="13">
        <f>J13+J15</f>
        <v/>
      </c>
      <c r="K16" s="13">
        <f>K13+K15</f>
        <v/>
      </c>
      <c r="L16" s="13">
        <f>L13+L15</f>
        <v/>
      </c>
    </row>
    <row r="17">
      <c r="A17" t="inlineStr">
        <is>
          <t>Cash tax rate (on positive EBIT)</t>
        </is>
      </c>
      <c r="C17" s="3" t="n">
        <v>0.3</v>
      </c>
      <c r="D17" s="3" t="n">
        <v>0.3</v>
      </c>
      <c r="E17" s="3" t="n">
        <v>0.28</v>
      </c>
      <c r="F17" s="3" t="n">
        <v>0.27</v>
      </c>
      <c r="G17" s="3" t="n">
        <v>0.26</v>
      </c>
      <c r="H17" s="3" t="n">
        <v>0.25</v>
      </c>
      <c r="I17" s="3" t="n">
        <v>0.25</v>
      </c>
      <c r="J17" s="3" t="n">
        <v>0.25</v>
      </c>
      <c r="K17" s="3" t="n">
        <v>0.25</v>
      </c>
      <c r="L17" s="3" t="n">
        <v>0.25</v>
      </c>
    </row>
    <row r="18">
      <c r="A18" t="inlineStr">
        <is>
          <t>Cash tax</t>
        </is>
      </c>
      <c r="C18" s="13">
        <f>-MAX(0,C16)*C17</f>
        <v/>
      </c>
      <c r="D18" s="13">
        <f>-MAX(0,D16)*D17</f>
        <v/>
      </c>
      <c r="E18" s="13">
        <f>-MAX(0,E16)*E17</f>
        <v/>
      </c>
      <c r="F18" s="13">
        <f>-MAX(0,F16)*F17</f>
        <v/>
      </c>
      <c r="G18" s="13">
        <f>-MAX(0,G16)*G17</f>
        <v/>
      </c>
      <c r="H18" s="13">
        <f>-MAX(0,H16)*H17</f>
        <v/>
      </c>
      <c r="I18" s="13">
        <f>-MAX(0,I16)*I17</f>
        <v/>
      </c>
      <c r="J18" s="13">
        <f>-MAX(0,J16)*J17</f>
        <v/>
      </c>
      <c r="K18" s="13">
        <f>-MAX(0,K16)*K17</f>
        <v/>
      </c>
      <c r="L18" s="13">
        <f>-MAX(0,L16)*L17</f>
        <v/>
      </c>
    </row>
    <row r="19">
      <c r="A19" t="inlineStr">
        <is>
          <t>NOPAT</t>
        </is>
      </c>
      <c r="C19" s="13">
        <f>C16+C18</f>
        <v/>
      </c>
      <c r="D19" s="13">
        <f>D16+D18</f>
        <v/>
      </c>
      <c r="E19" s="13">
        <f>E16+E18</f>
        <v/>
      </c>
      <c r="F19" s="13">
        <f>F16+F18</f>
        <v/>
      </c>
      <c r="G19" s="13">
        <f>G16+G18</f>
        <v/>
      </c>
      <c r="H19" s="13">
        <f>H16+H18</f>
        <v/>
      </c>
      <c r="I19" s="13">
        <f>I16+I18</f>
        <v/>
      </c>
      <c r="J19" s="13">
        <f>J16+J18</f>
        <v/>
      </c>
      <c r="K19" s="13">
        <f>K16+K18</f>
        <v/>
      </c>
      <c r="L19" s="13">
        <f>L16+L18</f>
        <v/>
      </c>
    </row>
    <row r="20">
      <c r="A20" t="inlineStr">
        <is>
          <t>add back D&amp;A</t>
        </is>
      </c>
      <c r="C20" s="13">
        <f>-C15</f>
        <v/>
      </c>
      <c r="D20" s="13">
        <f>-D15</f>
        <v/>
      </c>
      <c r="E20" s="13">
        <f>-E15</f>
        <v/>
      </c>
      <c r="F20" s="13">
        <f>-F15</f>
        <v/>
      </c>
      <c r="G20" s="13">
        <f>-G15</f>
        <v/>
      </c>
      <c r="H20" s="13">
        <f>-H15</f>
        <v/>
      </c>
      <c r="I20" s="13">
        <f>-I15</f>
        <v/>
      </c>
      <c r="J20" s="13">
        <f>-J15</f>
        <v/>
      </c>
      <c r="K20" s="13">
        <f>-K15</f>
        <v/>
      </c>
      <c r="L20" s="13">
        <f>-L15</f>
        <v/>
      </c>
    </row>
    <row r="21">
      <c r="A21" t="inlineStr">
        <is>
          <t>Capex % revenue</t>
        </is>
      </c>
      <c r="C21" s="3" t="n">
        <v>0.065</v>
      </c>
      <c r="D21" s="3" t="n">
        <v>0.06</v>
      </c>
      <c r="E21" s="3" t="n">
        <v>0.055</v>
      </c>
      <c r="F21" s="3" t="n">
        <v>0.05</v>
      </c>
      <c r="G21" s="3" t="n">
        <v>0.045</v>
      </c>
      <c r="H21" s="3" t="n">
        <v>0.04</v>
      </c>
      <c r="I21" s="3" t="n">
        <v>0.0375</v>
      </c>
      <c r="J21" s="3" t="n">
        <v>0.035</v>
      </c>
      <c r="K21" s="3" t="n">
        <v>0.035</v>
      </c>
      <c r="L21" s="3" t="n">
        <v>0.035</v>
      </c>
    </row>
    <row r="22">
      <c r="A22" t="inlineStr">
        <is>
          <t>Capex</t>
        </is>
      </c>
      <c r="C22" s="13">
        <f>-C6*C21</f>
        <v/>
      </c>
      <c r="D22" s="13">
        <f>-D6*D21</f>
        <v/>
      </c>
      <c r="E22" s="13">
        <f>-E6*E21</f>
        <v/>
      </c>
      <c r="F22" s="13">
        <f>-F6*F21</f>
        <v/>
      </c>
      <c r="G22" s="13">
        <f>-G6*G21</f>
        <v/>
      </c>
      <c r="H22" s="13">
        <f>-H6*H21</f>
        <v/>
      </c>
      <c r="I22" s="13">
        <f>-I6*I21</f>
        <v/>
      </c>
      <c r="J22" s="13">
        <f>-J6*J21</f>
        <v/>
      </c>
      <c r="K22" s="13">
        <f>-K6*K21</f>
        <v/>
      </c>
      <c r="L22" s="13">
        <f>-L6*L21</f>
        <v/>
      </c>
    </row>
    <row r="23">
      <c r="A23" t="inlineStr">
        <is>
          <t>Working capital (capture x revenue change)</t>
        </is>
      </c>
      <c r="C23" s="12">
        <f>Assumptions!$D$15*(C6-B6)</f>
        <v/>
      </c>
      <c r="D23" s="12">
        <f>Assumptions!$D$15*(D6-C6)</f>
        <v/>
      </c>
      <c r="E23" s="12">
        <f>Assumptions!$D$15*(E6-D6)</f>
        <v/>
      </c>
      <c r="F23" s="12">
        <f>Assumptions!$D$15*(F6-E6)</f>
        <v/>
      </c>
      <c r="G23" s="12">
        <f>Assumptions!$D$15*(G6-F6)</f>
        <v/>
      </c>
      <c r="H23" s="12">
        <f>Assumptions!$D$15*(H6-G6)</f>
        <v/>
      </c>
      <c r="I23" s="12">
        <f>Assumptions!$D$15*(I6-H6)</f>
        <v/>
      </c>
      <c r="J23" s="12">
        <f>Assumptions!$D$15*(J6-I6)</f>
        <v/>
      </c>
      <c r="K23" s="12">
        <f>Assumptions!$D$15*(K6-J6)</f>
        <v/>
      </c>
      <c r="L23" s="12">
        <f>Assumptions!$D$15*(L6-K6)</f>
        <v/>
      </c>
    </row>
    <row r="24">
      <c r="A24" s="1" t="inlineStr">
        <is>
          <t>Unlevered owner FCF</t>
        </is>
      </c>
      <c r="C24" s="13">
        <f>C19+C20+C22+C23</f>
        <v/>
      </c>
      <c r="D24" s="13">
        <f>D19+D20+D22+D23</f>
        <v/>
      </c>
      <c r="E24" s="13">
        <f>E19+E20+E22+E23</f>
        <v/>
      </c>
      <c r="F24" s="13">
        <f>F19+F20+F22+F23</f>
        <v/>
      </c>
      <c r="G24" s="13">
        <f>G19+G20+G22+G23</f>
        <v/>
      </c>
      <c r="H24" s="13">
        <f>H19+H20+H22+H23</f>
        <v/>
      </c>
      <c r="I24" s="13">
        <f>I19+I20+I22+I23</f>
        <v/>
      </c>
      <c r="J24" s="13">
        <f>J19+J20+J22+J23</f>
        <v/>
      </c>
      <c r="K24" s="13">
        <f>K19+K20+K22+K23</f>
        <v/>
      </c>
      <c r="L24" s="13">
        <f>L19+L20+L22+L23</f>
        <v/>
      </c>
    </row>
    <row r="25">
      <c r="A25" t="inlineStr">
        <is>
          <t>Discount factor</t>
        </is>
      </c>
      <c r="C25" s="15">
        <f>1/(1+Assumptions!$B$3)^C4</f>
        <v/>
      </c>
      <c r="D25" s="15">
        <f>1/(1+Assumptions!$B$3)^D4</f>
        <v/>
      </c>
      <c r="E25" s="15">
        <f>1/(1+Assumptions!$B$3)^E4</f>
        <v/>
      </c>
      <c r="F25" s="15">
        <f>1/(1+Assumptions!$B$3)^F4</f>
        <v/>
      </c>
      <c r="G25" s="15">
        <f>1/(1+Assumptions!$B$3)^G4</f>
        <v/>
      </c>
      <c r="H25" s="15">
        <f>1/(1+Assumptions!$B$3)^H4</f>
        <v/>
      </c>
      <c r="I25" s="15">
        <f>1/(1+Assumptions!$B$3)^I4</f>
        <v/>
      </c>
      <c r="J25" s="15">
        <f>1/(1+Assumptions!$B$3)^J4</f>
        <v/>
      </c>
      <c r="K25" s="15">
        <f>1/(1+Assumptions!$B$3)^K4</f>
        <v/>
      </c>
      <c r="L25" s="15">
        <f>1/(1+Assumptions!$B$3)^L4</f>
        <v/>
      </c>
    </row>
    <row r="26">
      <c r="A26" t="inlineStr">
        <is>
          <t>PV of FCF</t>
        </is>
      </c>
      <c r="C26" s="13">
        <f>C24*C25</f>
        <v/>
      </c>
      <c r="D26" s="13">
        <f>D24*D25</f>
        <v/>
      </c>
      <c r="E26" s="13">
        <f>E24*E25</f>
        <v/>
      </c>
      <c r="F26" s="13">
        <f>F24*F25</f>
        <v/>
      </c>
      <c r="G26" s="13">
        <f>G24*G25</f>
        <v/>
      </c>
      <c r="H26" s="13">
        <f>H24*H25</f>
        <v/>
      </c>
      <c r="I26" s="13">
        <f>I24*I25</f>
        <v/>
      </c>
      <c r="J26" s="13">
        <f>J24*J25</f>
        <v/>
      </c>
      <c r="K26" s="13">
        <f>K24*K25</f>
        <v/>
      </c>
      <c r="L26" s="13">
        <f>L24*L25</f>
        <v/>
      </c>
    </row>
    <row r="28">
      <c r="A28" t="inlineStr">
        <is>
          <t>Memo: FCF before SBC (company-style)</t>
        </is>
      </c>
      <c r="C28" s="13">
        <f>C24-C10</f>
        <v/>
      </c>
      <c r="D28" s="13">
        <f>D24-D10</f>
        <v/>
      </c>
      <c r="E28" s="13">
        <f>E24-E10</f>
        <v/>
      </c>
      <c r="F28" s="13">
        <f>F24-F10</f>
        <v/>
      </c>
      <c r="G28" s="13">
        <f>G24-G10</f>
        <v/>
      </c>
      <c r="H28" s="13">
        <f>H24-H10</f>
        <v/>
      </c>
      <c r="I28" s="13">
        <f>I24-I10</f>
        <v/>
      </c>
      <c r="J28" s="13">
        <f>J24-J10</f>
        <v/>
      </c>
      <c r="K28" s="13">
        <f>K24-K10</f>
        <v/>
      </c>
      <c r="L28" s="13">
        <f>L24-L10</f>
        <v/>
      </c>
    </row>
    <row r="29">
      <c r="A29" t="inlineStr">
        <is>
          <t>Memo: owner-FCF margin</t>
        </is>
      </c>
      <c r="C29" s="16">
        <f>C24/C6</f>
        <v/>
      </c>
      <c r="D29" s="16">
        <f>D24/D6</f>
        <v/>
      </c>
      <c r="E29" s="16">
        <f>E24/E6</f>
        <v/>
      </c>
      <c r="F29" s="16">
        <f>F24/F6</f>
        <v/>
      </c>
      <c r="G29" s="16">
        <f>G24/G6</f>
        <v/>
      </c>
      <c r="H29" s="16">
        <f>H24/H6</f>
        <v/>
      </c>
      <c r="I29" s="16">
        <f>I24/I6</f>
        <v/>
      </c>
      <c r="J29" s="16">
        <f>J24/J6</f>
        <v/>
      </c>
      <c r="K29" s="16">
        <f>K24/K6</f>
        <v/>
      </c>
      <c r="L29" s="16">
        <f>L24/L6</f>
        <v/>
      </c>
    </row>
    <row r="31">
      <c r="A31" t="inlineStr">
        <is>
          <t>Sum of PV of FCF</t>
        </is>
      </c>
      <c r="B31" s="13">
        <f>SUM(C26:L26)</f>
        <v/>
      </c>
    </row>
    <row r="32">
      <c r="A32" t="inlineStr">
        <is>
          <t>Terminal growth</t>
        </is>
      </c>
      <c r="B32" s="14">
        <f>Assumptions!B15</f>
        <v/>
      </c>
    </row>
    <row r="33">
      <c r="A33" t="inlineStr">
        <is>
          <t>Terminal FCF (FCF_10 x (1+g))</t>
        </is>
      </c>
      <c r="B33" s="13">
        <f>L24*(1+B32)</f>
        <v/>
      </c>
    </row>
    <row r="34">
      <c r="A34" t="inlineStr">
        <is>
          <t>Gordon TV</t>
        </is>
      </c>
      <c r="B34" s="12">
        <f>IF(Assumptions!B3&gt;B32,B33/(Assumptions!B3-B32),"n/a")</f>
        <v/>
      </c>
    </row>
    <row r="35">
      <c r="A35" t="inlineStr">
        <is>
          <t>Cap TV (cap x FCF_10)</t>
        </is>
      </c>
      <c r="B35" s="12">
        <f>Assumptions!B4*L24</f>
        <v/>
      </c>
    </row>
    <row r="36">
      <c r="A36" t="inlineStr">
        <is>
          <t>TV used = MAX(0, MIN(Gordon, cap))</t>
        </is>
      </c>
      <c r="B36" s="13">
        <f>MAX(0,MIN(IF(ISNUMBER(B34),B34,B35),B35))</f>
        <v/>
      </c>
    </row>
    <row r="37">
      <c r="A37" t="inlineStr">
        <is>
          <t>Implied exit multiple (TV / FCF_10)</t>
        </is>
      </c>
      <c r="B37" s="17">
        <f>IF(L24&gt;0,B36/L24,"n/a")</f>
        <v/>
      </c>
    </row>
    <row r="38">
      <c r="A38" t="inlineStr">
        <is>
          <t>PV of TV</t>
        </is>
      </c>
      <c r="B38" s="13">
        <f>B36*L25</f>
        <v/>
      </c>
    </row>
    <row r="39">
      <c r="A39" t="inlineStr">
        <is>
          <t>Enterprise value</t>
        </is>
      </c>
      <c r="B39" s="13">
        <f>B31+B38</f>
        <v/>
      </c>
    </row>
    <row r="40">
      <c r="A40" t="inlineStr">
        <is>
          <t>add net cash</t>
        </is>
      </c>
      <c r="B40" s="12">
        <f>Assumptions!B6</f>
        <v/>
      </c>
    </row>
    <row r="41">
      <c r="A41" t="inlineStr">
        <is>
          <t>Equity value US$m</t>
        </is>
      </c>
      <c r="B41" s="13">
        <f>B39+B40</f>
        <v/>
      </c>
    </row>
    <row r="42">
      <c r="A42" t="inlineStr">
        <is>
          <t>Diluted shares (m)</t>
        </is>
      </c>
      <c r="B42" s="15">
        <f>Assumptions!B7</f>
        <v/>
      </c>
    </row>
    <row r="43">
      <c r="A43" t="inlineStr">
        <is>
          <t>Value per share US$</t>
        </is>
      </c>
      <c r="B43" s="18">
        <f>B41/B42</f>
        <v/>
      </c>
    </row>
    <row r="44">
      <c r="A44" s="1" t="inlineStr">
        <is>
          <t>Value per share A$</t>
        </is>
      </c>
      <c r="B44" s="19">
        <f>B43*Assumptions!B10</f>
        <v/>
      </c>
    </row>
    <row r="45">
      <c r="A45" t="inlineStr">
        <is>
          <t>Upside vs price</t>
        </is>
      </c>
      <c r="B45" s="14">
        <f>B44/Assumptions!B8-1</f>
        <v/>
      </c>
    </row>
    <row r="47">
      <c r="A47" t="inlineStr">
        <is>
          <t>Street memo: PV of explicit SBC</t>
        </is>
      </c>
      <c r="B47" s="12">
        <f>SUMPRODUCT(-C10:L10/(1+Assumptions!B3)^C4:L4)</f>
        <v/>
      </c>
    </row>
    <row r="48">
      <c r="A48" t="inlineStr">
        <is>
          <t>Street memo: PV of terminal SBC</t>
        </is>
      </c>
      <c r="B48" s="12">
        <f>(-L10*(1+B32)/(Assumptions!B3-B32))*L25</f>
        <v/>
      </c>
    </row>
    <row r="49">
      <c r="A49" t="inlineStr">
        <is>
          <t>Street value per share A$</t>
        </is>
      </c>
      <c r="B49" s="20">
        <f>(B41+B47+B48)/B42*Assumptions!B10</f>
        <v/>
      </c>
    </row>
    <row r="50">
      <c r="A50" t="inlineStr">
        <is>
          <t>Terminal value % of EV</t>
        </is>
      </c>
      <c r="B50" s="16">
        <f>IF(B39&gt;0,B38/B39,"n/a")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BASE scenario -- USD millions; drivers in blue (rows 5, 7, 9, 14, 17, 21)</t>
        </is>
      </c>
    </row>
    <row r="3">
      <c r="A3" t="inlineStr">
        <is>
          <t>Year</t>
        </is>
      </c>
      <c r="B3" t="inlineStr">
        <is>
          <t>FY2025A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3" t="n">
        <v>0.19</v>
      </c>
      <c r="D5" s="3" t="n">
        <v>0.16</v>
      </c>
      <c r="E5" s="3" t="n">
        <v>0.13</v>
      </c>
      <c r="F5" s="3" t="n">
        <v>0.1</v>
      </c>
      <c r="G5" s="3" t="n">
        <v>0.08</v>
      </c>
      <c r="H5" s="3" t="n">
        <v>0.065</v>
      </c>
      <c r="I5" s="3" t="n">
        <v>0.055</v>
      </c>
      <c r="J5" s="3" t="n">
        <v>0.045</v>
      </c>
      <c r="K5" s="3" t="n">
        <v>0.04</v>
      </c>
      <c r="L5" s="3" t="n">
        <v>0.035</v>
      </c>
    </row>
    <row r="6">
      <c r="A6" t="inlineStr">
        <is>
          <t>Revenue</t>
        </is>
      </c>
      <c r="B6" s="12">
        <f>Assumptions!B12</f>
        <v/>
      </c>
      <c r="C6" s="13">
        <f>B6*(1+C5)</f>
        <v/>
      </c>
      <c r="D6" s="13">
        <f>C6*(1+D5)</f>
        <v/>
      </c>
      <c r="E6" s="13">
        <f>D6*(1+E5)</f>
        <v/>
      </c>
      <c r="F6" s="13">
        <f>E6*(1+F5)</f>
        <v/>
      </c>
      <c r="G6" s="13">
        <f>F6*(1+G5)</f>
        <v/>
      </c>
      <c r="H6" s="13">
        <f>G6*(1+H5)</f>
        <v/>
      </c>
      <c r="I6" s="13">
        <f>H6*(1+I5)</f>
        <v/>
      </c>
      <c r="J6" s="13">
        <f>I6*(1+J5)</f>
        <v/>
      </c>
      <c r="K6" s="13">
        <f>J6*(1+K5)</f>
        <v/>
      </c>
      <c r="L6" s="13">
        <f>K6*(1+L5)</f>
        <v/>
      </c>
    </row>
    <row r="7">
      <c r="A7" t="inlineStr">
        <is>
          <t>Adj EBITDA margin (post-AASB16, statutory)</t>
        </is>
      </c>
      <c r="C7" s="3" t="n">
        <v>0.06</v>
      </c>
      <c r="D7" s="3" t="n">
        <v>0.075</v>
      </c>
      <c r="E7" s="3" t="n">
        <v>0.08500000000000001</v>
      </c>
      <c r="F7" s="3" t="n">
        <v>0.095</v>
      </c>
      <c r="G7" s="3" t="n">
        <v>0.1</v>
      </c>
      <c r="H7" s="3" t="n">
        <v>0.105</v>
      </c>
      <c r="I7" s="3" t="n">
        <v>0.11</v>
      </c>
      <c r="J7" s="3" t="n">
        <v>0.11</v>
      </c>
      <c r="K7" s="3" t="n">
        <v>0.11</v>
      </c>
      <c r="L7" s="3" t="n">
        <v>0.11</v>
      </c>
    </row>
    <row r="8">
      <c r="A8" t="inlineStr">
        <is>
          <t>Adjusted EBITDA</t>
        </is>
      </c>
      <c r="C8" s="13">
        <f>C6*C7</f>
        <v/>
      </c>
      <c r="D8" s="13">
        <f>D6*D7</f>
        <v/>
      </c>
      <c r="E8" s="13">
        <f>E6*E7</f>
        <v/>
      </c>
      <c r="F8" s="13">
        <f>F6*F7</f>
        <v/>
      </c>
      <c r="G8" s="13">
        <f>G6*G7</f>
        <v/>
      </c>
      <c r="H8" s="13">
        <f>H6*H7</f>
        <v/>
      </c>
      <c r="I8" s="13">
        <f>I6*I7</f>
        <v/>
      </c>
      <c r="J8" s="13">
        <f>J6*J7</f>
        <v/>
      </c>
      <c r="K8" s="13">
        <f>K6*K7</f>
        <v/>
      </c>
      <c r="L8" s="13">
        <f>L6*L7</f>
        <v/>
      </c>
    </row>
    <row r="9">
      <c r="A9" t="inlineStr">
        <is>
          <t>SBC % revenue</t>
        </is>
      </c>
      <c r="C9" s="3" t="n">
        <v>0.006999999999999999</v>
      </c>
      <c r="D9" s="3" t="n">
        <v>0.006999999999999999</v>
      </c>
      <c r="E9" s="3" t="n">
        <v>0.006999999999999999</v>
      </c>
      <c r="F9" s="3" t="n">
        <v>0.006500000000000001</v>
      </c>
      <c r="G9" s="3" t="n">
        <v>0.006500000000000001</v>
      </c>
      <c r="H9" s="3" t="n">
        <v>0.006</v>
      </c>
      <c r="I9" s="3" t="n">
        <v>0.006</v>
      </c>
      <c r="J9" s="3" t="n">
        <v>0.006</v>
      </c>
      <c r="K9" s="3" t="n">
        <v>0.006</v>
      </c>
      <c r="L9" s="3" t="n">
        <v>0.006</v>
      </c>
    </row>
    <row r="10">
      <c r="A10" t="inlineStr">
        <is>
          <t>SBC (expensed)</t>
        </is>
      </c>
      <c r="C10" s="13">
        <f>-C6*C9</f>
        <v/>
      </c>
      <c r="D10" s="13">
        <f>-D6*D9</f>
        <v/>
      </c>
      <c r="E10" s="13">
        <f>-E6*E9</f>
        <v/>
      </c>
      <c r="F10" s="13">
        <f>-F6*F9</f>
        <v/>
      </c>
      <c r="G10" s="13">
        <f>-G6*G9</f>
        <v/>
      </c>
      <c r="H10" s="13">
        <f>-H6*H9</f>
        <v/>
      </c>
      <c r="I10" s="13">
        <f>-I6*I9</f>
        <v/>
      </c>
      <c r="J10" s="13">
        <f>-J6*J9</f>
        <v/>
      </c>
      <c r="K10" s="13">
        <f>-K6*K9</f>
        <v/>
      </c>
      <c r="L10" s="13">
        <f>-L6*L9</f>
        <v/>
      </c>
    </row>
    <row r="11">
      <c r="A11" t="inlineStr">
        <is>
          <t>Lease cost % revenue</t>
        </is>
      </c>
      <c r="C11" s="14">
        <f>Assumptions!$B$5</f>
        <v/>
      </c>
      <c r="D11" s="14">
        <f>Assumptions!$B$5</f>
        <v/>
      </c>
      <c r="E11" s="14">
        <f>Assumptions!$B$5</f>
        <v/>
      </c>
      <c r="F11" s="14">
        <f>Assumptions!$B$5</f>
        <v/>
      </c>
      <c r="G11" s="14">
        <f>Assumptions!$B$5</f>
        <v/>
      </c>
      <c r="H11" s="14">
        <f>Assumptions!$B$5</f>
        <v/>
      </c>
      <c r="I11" s="14">
        <f>Assumptions!$B$5</f>
        <v/>
      </c>
      <c r="J11" s="14">
        <f>Assumptions!$B$5</f>
        <v/>
      </c>
      <c r="K11" s="14">
        <f>Assumptions!$B$5</f>
        <v/>
      </c>
      <c r="L11" s="14">
        <f>Assumptions!$B$5</f>
        <v/>
      </c>
    </row>
    <row r="12">
      <c r="A12" t="inlineStr">
        <is>
          <t>Lease payments (principal + interest)</t>
        </is>
      </c>
      <c r="C12" s="13">
        <f>-C6*C11</f>
        <v/>
      </c>
      <c r="D12" s="13">
        <f>-D6*D11</f>
        <v/>
      </c>
      <c r="E12" s="13">
        <f>-E6*E11</f>
        <v/>
      </c>
      <c r="F12" s="13">
        <f>-F6*F11</f>
        <v/>
      </c>
      <c r="G12" s="13">
        <f>-G6*G11</f>
        <v/>
      </c>
      <c r="H12" s="13">
        <f>-H6*H11</f>
        <v/>
      </c>
      <c r="I12" s="13">
        <f>-I6*I11</f>
        <v/>
      </c>
      <c r="J12" s="13">
        <f>-J6*J11</f>
        <v/>
      </c>
      <c r="K12" s="13">
        <f>-K6*K11</f>
        <v/>
      </c>
      <c r="L12" s="13">
        <f>-L6*L11</f>
        <v/>
      </c>
    </row>
    <row r="13">
      <c r="A13" t="inlineStr">
        <is>
          <t>Owner EBITDA (after SBC and leases)</t>
        </is>
      </c>
      <c r="C13" s="13">
        <f>C8+C10+C12</f>
        <v/>
      </c>
      <c r="D13" s="13">
        <f>D8+D10+D12</f>
        <v/>
      </c>
      <c r="E13" s="13">
        <f>E8+E10+E12</f>
        <v/>
      </c>
      <c r="F13" s="13">
        <f>F8+F10+F12</f>
        <v/>
      </c>
      <c r="G13" s="13">
        <f>G8+G10+G12</f>
        <v/>
      </c>
      <c r="H13" s="13">
        <f>H8+H10+H12</f>
        <v/>
      </c>
      <c r="I13" s="13">
        <f>I8+I10+I12</f>
        <v/>
      </c>
      <c r="J13" s="13">
        <f>J8+J10+J12</f>
        <v/>
      </c>
      <c r="K13" s="13">
        <f>K8+K10+K12</f>
        <v/>
      </c>
      <c r="L13" s="13">
        <f>L8+L10+L12</f>
        <v/>
      </c>
    </row>
    <row r="14">
      <c r="A14" t="inlineStr">
        <is>
          <t>D&amp;A % revenue (ex ROU, ex acquired intangibles)</t>
        </is>
      </c>
      <c r="C14" s="3" t="n">
        <v>0.065</v>
      </c>
      <c r="D14" s="3" t="n">
        <v>0.06</v>
      </c>
      <c r="E14" s="3" t="n">
        <v>0.055</v>
      </c>
      <c r="F14" s="3" t="n">
        <v>0.05</v>
      </c>
      <c r="G14" s="3" t="n">
        <v>0.045</v>
      </c>
      <c r="H14" s="3" t="n">
        <v>0.04</v>
      </c>
      <c r="I14" s="3" t="n">
        <v>0.0375</v>
      </c>
      <c r="J14" s="3" t="n">
        <v>0.035</v>
      </c>
      <c r="K14" s="3" t="n">
        <v>0.035</v>
      </c>
      <c r="L14" s="3" t="n">
        <v>0.035</v>
      </c>
    </row>
    <row r="15">
      <c r="A15" t="inlineStr">
        <is>
          <t>D&amp;A</t>
        </is>
      </c>
      <c r="C15" s="13">
        <f>-C6*C14</f>
        <v/>
      </c>
      <c r="D15" s="13">
        <f>-D6*D14</f>
        <v/>
      </c>
      <c r="E15" s="13">
        <f>-E6*E14</f>
        <v/>
      </c>
      <c r="F15" s="13">
        <f>-F6*F14</f>
        <v/>
      </c>
      <c r="G15" s="13">
        <f>-G6*G14</f>
        <v/>
      </c>
      <c r="H15" s="13">
        <f>-H6*H14</f>
        <v/>
      </c>
      <c r="I15" s="13">
        <f>-I6*I14</f>
        <v/>
      </c>
      <c r="J15" s="13">
        <f>-J6*J14</f>
        <v/>
      </c>
      <c r="K15" s="13">
        <f>-K6*K14</f>
        <v/>
      </c>
      <c r="L15" s="13">
        <f>-L6*L14</f>
        <v/>
      </c>
    </row>
    <row r="16">
      <c r="A16" t="inlineStr">
        <is>
          <t>EBIT (SBC and leases expensed)</t>
        </is>
      </c>
      <c r="C16" s="13">
        <f>C13+C15</f>
        <v/>
      </c>
      <c r="D16" s="13">
        <f>D13+D15</f>
        <v/>
      </c>
      <c r="E16" s="13">
        <f>E13+E15</f>
        <v/>
      </c>
      <c r="F16" s="13">
        <f>F13+F15</f>
        <v/>
      </c>
      <c r="G16" s="13">
        <f>G13+G15</f>
        <v/>
      </c>
      <c r="H16" s="13">
        <f>H13+H15</f>
        <v/>
      </c>
      <c r="I16" s="13">
        <f>I13+I15</f>
        <v/>
      </c>
      <c r="J16" s="13">
        <f>J13+J15</f>
        <v/>
      </c>
      <c r="K16" s="13">
        <f>K13+K15</f>
        <v/>
      </c>
      <c r="L16" s="13">
        <f>L13+L15</f>
        <v/>
      </c>
    </row>
    <row r="17">
      <c r="A17" t="inlineStr">
        <is>
          <t>Cash tax rate (on positive EBIT)</t>
        </is>
      </c>
      <c r="C17" s="3" t="n">
        <v>0.3</v>
      </c>
      <c r="D17" s="3" t="n">
        <v>0.3</v>
      </c>
      <c r="E17" s="3" t="n">
        <v>0.28</v>
      </c>
      <c r="F17" s="3" t="n">
        <v>0.27</v>
      </c>
      <c r="G17" s="3" t="n">
        <v>0.26</v>
      </c>
      <c r="H17" s="3" t="n">
        <v>0.25</v>
      </c>
      <c r="I17" s="3" t="n">
        <v>0.25</v>
      </c>
      <c r="J17" s="3" t="n">
        <v>0.25</v>
      </c>
      <c r="K17" s="3" t="n">
        <v>0.25</v>
      </c>
      <c r="L17" s="3" t="n">
        <v>0.25</v>
      </c>
    </row>
    <row r="18">
      <c r="A18" t="inlineStr">
        <is>
          <t>Cash tax</t>
        </is>
      </c>
      <c r="C18" s="13">
        <f>-MAX(0,C16)*C17</f>
        <v/>
      </c>
      <c r="D18" s="13">
        <f>-MAX(0,D16)*D17</f>
        <v/>
      </c>
      <c r="E18" s="13">
        <f>-MAX(0,E16)*E17</f>
        <v/>
      </c>
      <c r="F18" s="13">
        <f>-MAX(0,F16)*F17</f>
        <v/>
      </c>
      <c r="G18" s="13">
        <f>-MAX(0,G16)*G17</f>
        <v/>
      </c>
      <c r="H18" s="13">
        <f>-MAX(0,H16)*H17</f>
        <v/>
      </c>
      <c r="I18" s="13">
        <f>-MAX(0,I16)*I17</f>
        <v/>
      </c>
      <c r="J18" s="13">
        <f>-MAX(0,J16)*J17</f>
        <v/>
      </c>
      <c r="K18" s="13">
        <f>-MAX(0,K16)*K17</f>
        <v/>
      </c>
      <c r="L18" s="13">
        <f>-MAX(0,L16)*L17</f>
        <v/>
      </c>
    </row>
    <row r="19">
      <c r="A19" t="inlineStr">
        <is>
          <t>NOPAT</t>
        </is>
      </c>
      <c r="C19" s="13">
        <f>C16+C18</f>
        <v/>
      </c>
      <c r="D19" s="13">
        <f>D16+D18</f>
        <v/>
      </c>
      <c r="E19" s="13">
        <f>E16+E18</f>
        <v/>
      </c>
      <c r="F19" s="13">
        <f>F16+F18</f>
        <v/>
      </c>
      <c r="G19" s="13">
        <f>G16+G18</f>
        <v/>
      </c>
      <c r="H19" s="13">
        <f>H16+H18</f>
        <v/>
      </c>
      <c r="I19" s="13">
        <f>I16+I18</f>
        <v/>
      </c>
      <c r="J19" s="13">
        <f>J16+J18</f>
        <v/>
      </c>
      <c r="K19" s="13">
        <f>K16+K18</f>
        <v/>
      </c>
      <c r="L19" s="13">
        <f>L16+L18</f>
        <v/>
      </c>
    </row>
    <row r="20">
      <c r="A20" t="inlineStr">
        <is>
          <t>add back D&amp;A</t>
        </is>
      </c>
      <c r="C20" s="13">
        <f>-C15</f>
        <v/>
      </c>
      <c r="D20" s="13">
        <f>-D15</f>
        <v/>
      </c>
      <c r="E20" s="13">
        <f>-E15</f>
        <v/>
      </c>
      <c r="F20" s="13">
        <f>-F15</f>
        <v/>
      </c>
      <c r="G20" s="13">
        <f>-G15</f>
        <v/>
      </c>
      <c r="H20" s="13">
        <f>-H15</f>
        <v/>
      </c>
      <c r="I20" s="13">
        <f>-I15</f>
        <v/>
      </c>
      <c r="J20" s="13">
        <f>-J15</f>
        <v/>
      </c>
      <c r="K20" s="13">
        <f>-K15</f>
        <v/>
      </c>
      <c r="L20" s="13">
        <f>-L15</f>
        <v/>
      </c>
    </row>
    <row r="21">
      <c r="A21" t="inlineStr">
        <is>
          <t>Capex % revenue</t>
        </is>
      </c>
      <c r="C21" s="3" t="n">
        <v>0.065</v>
      </c>
      <c r="D21" s="3" t="n">
        <v>0.06</v>
      </c>
      <c r="E21" s="3" t="n">
        <v>0.055</v>
      </c>
      <c r="F21" s="3" t="n">
        <v>0.05</v>
      </c>
      <c r="G21" s="3" t="n">
        <v>0.045</v>
      </c>
      <c r="H21" s="3" t="n">
        <v>0.04</v>
      </c>
      <c r="I21" s="3" t="n">
        <v>0.0375</v>
      </c>
      <c r="J21" s="3" t="n">
        <v>0.035</v>
      </c>
      <c r="K21" s="3" t="n">
        <v>0.035</v>
      </c>
      <c r="L21" s="3" t="n">
        <v>0.035</v>
      </c>
    </row>
    <row r="22">
      <c r="A22" t="inlineStr">
        <is>
          <t>Capex</t>
        </is>
      </c>
      <c r="C22" s="13">
        <f>-C6*C21</f>
        <v/>
      </c>
      <c r="D22" s="13">
        <f>-D6*D21</f>
        <v/>
      </c>
      <c r="E22" s="13">
        <f>-E6*E21</f>
        <v/>
      </c>
      <c r="F22" s="13">
        <f>-F6*F21</f>
        <v/>
      </c>
      <c r="G22" s="13">
        <f>-G6*G21</f>
        <v/>
      </c>
      <c r="H22" s="13">
        <f>-H6*H21</f>
        <v/>
      </c>
      <c r="I22" s="13">
        <f>-I6*I21</f>
        <v/>
      </c>
      <c r="J22" s="13">
        <f>-J6*J21</f>
        <v/>
      </c>
      <c r="K22" s="13">
        <f>-K6*K21</f>
        <v/>
      </c>
      <c r="L22" s="13">
        <f>-L6*L21</f>
        <v/>
      </c>
    </row>
    <row r="23">
      <c r="A23" t="inlineStr">
        <is>
          <t>Working capital (capture x revenue change)</t>
        </is>
      </c>
      <c r="C23" s="12">
        <f>Assumptions!$D$16*(C6-B6)</f>
        <v/>
      </c>
      <c r="D23" s="12">
        <f>Assumptions!$D$16*(D6-C6)</f>
        <v/>
      </c>
      <c r="E23" s="12">
        <f>Assumptions!$D$16*(E6-D6)</f>
        <v/>
      </c>
      <c r="F23" s="12">
        <f>Assumptions!$D$16*(F6-E6)</f>
        <v/>
      </c>
      <c r="G23" s="12">
        <f>Assumptions!$D$16*(G6-F6)</f>
        <v/>
      </c>
      <c r="H23" s="12">
        <f>Assumptions!$D$16*(H6-G6)</f>
        <v/>
      </c>
      <c r="I23" s="12">
        <f>Assumptions!$D$16*(I6-H6)</f>
        <v/>
      </c>
      <c r="J23" s="12">
        <f>Assumptions!$D$16*(J6-I6)</f>
        <v/>
      </c>
      <c r="K23" s="12">
        <f>Assumptions!$D$16*(K6-J6)</f>
        <v/>
      </c>
      <c r="L23" s="12">
        <f>Assumptions!$D$16*(L6-K6)</f>
        <v/>
      </c>
    </row>
    <row r="24">
      <c r="A24" s="1" t="inlineStr">
        <is>
          <t>Unlevered owner FCF</t>
        </is>
      </c>
      <c r="C24" s="13">
        <f>C19+C20+C22+C23</f>
        <v/>
      </c>
      <c r="D24" s="13">
        <f>D19+D20+D22+D23</f>
        <v/>
      </c>
      <c r="E24" s="13">
        <f>E19+E20+E22+E23</f>
        <v/>
      </c>
      <c r="F24" s="13">
        <f>F19+F20+F22+F23</f>
        <v/>
      </c>
      <c r="G24" s="13">
        <f>G19+G20+G22+G23</f>
        <v/>
      </c>
      <c r="H24" s="13">
        <f>H19+H20+H22+H23</f>
        <v/>
      </c>
      <c r="I24" s="13">
        <f>I19+I20+I22+I23</f>
        <v/>
      </c>
      <c r="J24" s="13">
        <f>J19+J20+J22+J23</f>
        <v/>
      </c>
      <c r="K24" s="13">
        <f>K19+K20+K22+K23</f>
        <v/>
      </c>
      <c r="L24" s="13">
        <f>L19+L20+L22+L23</f>
        <v/>
      </c>
    </row>
    <row r="25">
      <c r="A25" t="inlineStr">
        <is>
          <t>Discount factor</t>
        </is>
      </c>
      <c r="C25" s="15">
        <f>1/(1+Assumptions!$B$3)^C4</f>
        <v/>
      </c>
      <c r="D25" s="15">
        <f>1/(1+Assumptions!$B$3)^D4</f>
        <v/>
      </c>
      <c r="E25" s="15">
        <f>1/(1+Assumptions!$B$3)^E4</f>
        <v/>
      </c>
      <c r="F25" s="15">
        <f>1/(1+Assumptions!$B$3)^F4</f>
        <v/>
      </c>
      <c r="G25" s="15">
        <f>1/(1+Assumptions!$B$3)^G4</f>
        <v/>
      </c>
      <c r="H25" s="15">
        <f>1/(1+Assumptions!$B$3)^H4</f>
        <v/>
      </c>
      <c r="I25" s="15">
        <f>1/(1+Assumptions!$B$3)^I4</f>
        <v/>
      </c>
      <c r="J25" s="15">
        <f>1/(1+Assumptions!$B$3)^J4</f>
        <v/>
      </c>
      <c r="K25" s="15">
        <f>1/(1+Assumptions!$B$3)^K4</f>
        <v/>
      </c>
      <c r="L25" s="15">
        <f>1/(1+Assumptions!$B$3)^L4</f>
        <v/>
      </c>
    </row>
    <row r="26">
      <c r="A26" t="inlineStr">
        <is>
          <t>PV of FCF</t>
        </is>
      </c>
      <c r="C26" s="13">
        <f>C24*C25</f>
        <v/>
      </c>
      <c r="D26" s="13">
        <f>D24*D25</f>
        <v/>
      </c>
      <c r="E26" s="13">
        <f>E24*E25</f>
        <v/>
      </c>
      <c r="F26" s="13">
        <f>F24*F25</f>
        <v/>
      </c>
      <c r="G26" s="13">
        <f>G24*G25</f>
        <v/>
      </c>
      <c r="H26" s="13">
        <f>H24*H25</f>
        <v/>
      </c>
      <c r="I26" s="13">
        <f>I24*I25</f>
        <v/>
      </c>
      <c r="J26" s="13">
        <f>J24*J25</f>
        <v/>
      </c>
      <c r="K26" s="13">
        <f>K24*K25</f>
        <v/>
      </c>
      <c r="L26" s="13">
        <f>L24*L25</f>
        <v/>
      </c>
    </row>
    <row r="28">
      <c r="A28" t="inlineStr">
        <is>
          <t>Memo: FCF before SBC (company-style)</t>
        </is>
      </c>
      <c r="C28" s="13">
        <f>C24-C10</f>
        <v/>
      </c>
      <c r="D28" s="13">
        <f>D24-D10</f>
        <v/>
      </c>
      <c r="E28" s="13">
        <f>E24-E10</f>
        <v/>
      </c>
      <c r="F28" s="13">
        <f>F24-F10</f>
        <v/>
      </c>
      <c r="G28" s="13">
        <f>G24-G10</f>
        <v/>
      </c>
      <c r="H28" s="13">
        <f>H24-H10</f>
        <v/>
      </c>
      <c r="I28" s="13">
        <f>I24-I10</f>
        <v/>
      </c>
      <c r="J28" s="13">
        <f>J24-J10</f>
        <v/>
      </c>
      <c r="K28" s="13">
        <f>K24-K10</f>
        <v/>
      </c>
      <c r="L28" s="13">
        <f>L24-L10</f>
        <v/>
      </c>
    </row>
    <row r="29">
      <c r="A29" t="inlineStr">
        <is>
          <t>Memo: owner-FCF margin</t>
        </is>
      </c>
      <c r="C29" s="16">
        <f>C24/C6</f>
        <v/>
      </c>
      <c r="D29" s="16">
        <f>D24/D6</f>
        <v/>
      </c>
      <c r="E29" s="16">
        <f>E24/E6</f>
        <v/>
      </c>
      <c r="F29" s="16">
        <f>F24/F6</f>
        <v/>
      </c>
      <c r="G29" s="16">
        <f>G24/G6</f>
        <v/>
      </c>
      <c r="H29" s="16">
        <f>H24/H6</f>
        <v/>
      </c>
      <c r="I29" s="16">
        <f>I24/I6</f>
        <v/>
      </c>
      <c r="J29" s="16">
        <f>J24/J6</f>
        <v/>
      </c>
      <c r="K29" s="16">
        <f>K24/K6</f>
        <v/>
      </c>
      <c r="L29" s="16">
        <f>L24/L6</f>
        <v/>
      </c>
    </row>
    <row r="31">
      <c r="A31" t="inlineStr">
        <is>
          <t>Sum of PV of FCF</t>
        </is>
      </c>
      <c r="B31" s="13">
        <f>SUM(C26:L26)</f>
        <v/>
      </c>
    </row>
    <row r="32">
      <c r="A32" t="inlineStr">
        <is>
          <t>Terminal growth</t>
        </is>
      </c>
      <c r="B32" s="14">
        <f>Assumptions!B16</f>
        <v/>
      </c>
    </row>
    <row r="33">
      <c r="A33" t="inlineStr">
        <is>
          <t>Terminal FCF (FCF_10 x (1+g))</t>
        </is>
      </c>
      <c r="B33" s="13">
        <f>L24*(1+B32)</f>
        <v/>
      </c>
    </row>
    <row r="34">
      <c r="A34" t="inlineStr">
        <is>
          <t>Gordon TV</t>
        </is>
      </c>
      <c r="B34" s="12">
        <f>IF(Assumptions!B3&gt;B32,B33/(Assumptions!B3-B32),"n/a")</f>
        <v/>
      </c>
    </row>
    <row r="35">
      <c r="A35" t="inlineStr">
        <is>
          <t>Cap TV (cap x FCF_10)</t>
        </is>
      </c>
      <c r="B35" s="12">
        <f>Assumptions!B4*L24</f>
        <v/>
      </c>
    </row>
    <row r="36">
      <c r="A36" t="inlineStr">
        <is>
          <t>TV used = MAX(0, MIN(Gordon, cap))</t>
        </is>
      </c>
      <c r="B36" s="13">
        <f>MAX(0,MIN(IF(ISNUMBER(B34),B34,B35),B35))</f>
        <v/>
      </c>
    </row>
    <row r="37">
      <c r="A37" t="inlineStr">
        <is>
          <t>Implied exit multiple (TV / FCF_10)</t>
        </is>
      </c>
      <c r="B37" s="17">
        <f>IF(L24&gt;0,B36/L24,"n/a")</f>
        <v/>
      </c>
    </row>
    <row r="38">
      <c r="A38" t="inlineStr">
        <is>
          <t>PV of TV</t>
        </is>
      </c>
      <c r="B38" s="13">
        <f>B36*L25</f>
        <v/>
      </c>
    </row>
    <row r="39">
      <c r="A39" t="inlineStr">
        <is>
          <t>Enterprise value</t>
        </is>
      </c>
      <c r="B39" s="13">
        <f>B31+B38</f>
        <v/>
      </c>
    </row>
    <row r="40">
      <c r="A40" t="inlineStr">
        <is>
          <t>add net cash</t>
        </is>
      </c>
      <c r="B40" s="12">
        <f>Assumptions!B6</f>
        <v/>
      </c>
    </row>
    <row r="41">
      <c r="A41" t="inlineStr">
        <is>
          <t>Equity value US$m</t>
        </is>
      </c>
      <c r="B41" s="13">
        <f>B39+B40</f>
        <v/>
      </c>
    </row>
    <row r="42">
      <c r="A42" t="inlineStr">
        <is>
          <t>Diluted shares (m)</t>
        </is>
      </c>
      <c r="B42" s="15">
        <f>Assumptions!B7</f>
        <v/>
      </c>
    </row>
    <row r="43">
      <c r="A43" t="inlineStr">
        <is>
          <t>Value per share US$</t>
        </is>
      </c>
      <c r="B43" s="18">
        <f>B41/B42</f>
        <v/>
      </c>
    </row>
    <row r="44">
      <c r="A44" s="1" t="inlineStr">
        <is>
          <t>Value per share A$</t>
        </is>
      </c>
      <c r="B44" s="19">
        <f>B43*Assumptions!B10</f>
        <v/>
      </c>
    </row>
    <row r="45">
      <c r="A45" t="inlineStr">
        <is>
          <t>Upside vs price</t>
        </is>
      </c>
      <c r="B45" s="14">
        <f>B44/Assumptions!B8-1</f>
        <v/>
      </c>
    </row>
    <row r="47">
      <c r="A47" t="inlineStr">
        <is>
          <t>Street memo: PV of explicit SBC</t>
        </is>
      </c>
      <c r="B47" s="12">
        <f>SUMPRODUCT(-C10:L10/(1+Assumptions!B3)^C4:L4)</f>
        <v/>
      </c>
    </row>
    <row r="48">
      <c r="A48" t="inlineStr">
        <is>
          <t>Street memo: PV of terminal SBC</t>
        </is>
      </c>
      <c r="B48" s="12">
        <f>(-L10*(1+B32)/(Assumptions!B3-B32))*L25</f>
        <v/>
      </c>
    </row>
    <row r="49">
      <c r="A49" t="inlineStr">
        <is>
          <t>Street value per share A$</t>
        </is>
      </c>
      <c r="B49" s="20">
        <f>(B41+B47+B48)/B42*Assumptions!B10</f>
        <v/>
      </c>
    </row>
    <row r="50">
      <c r="A50" t="inlineStr">
        <is>
          <t>Terminal value % of EV</t>
        </is>
      </c>
      <c r="B50" s="16">
        <f>IF(B39&gt;0,B38/B39,"n/a")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BULL scenario -- USD millions; drivers in blue (rows 5, 7, 9, 14, 17, 21)</t>
        </is>
      </c>
    </row>
    <row r="3">
      <c r="A3" t="inlineStr">
        <is>
          <t>Year</t>
        </is>
      </c>
      <c r="B3" t="inlineStr">
        <is>
          <t>FY2025A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</t>
        </is>
      </c>
      <c r="C5" s="3" t="n">
        <v>0.24</v>
      </c>
      <c r="D5" s="3" t="n">
        <v>0.22</v>
      </c>
      <c r="E5" s="3" t="n">
        <v>0.18</v>
      </c>
      <c r="F5" s="3" t="n">
        <v>0.14</v>
      </c>
      <c r="G5" s="3" t="n">
        <v>0.11</v>
      </c>
      <c r="H5" s="3" t="n">
        <v>0.09</v>
      </c>
      <c r="I5" s="3" t="n">
        <v>0.07000000000000001</v>
      </c>
      <c r="J5" s="3" t="n">
        <v>0.06</v>
      </c>
      <c r="K5" s="3" t="n">
        <v>0.05</v>
      </c>
      <c r="L5" s="3" t="n">
        <v>0.04</v>
      </c>
    </row>
    <row r="6">
      <c r="A6" t="inlineStr">
        <is>
          <t>Revenue</t>
        </is>
      </c>
      <c r="B6" s="12">
        <f>Assumptions!B12</f>
        <v/>
      </c>
      <c r="C6" s="13">
        <f>B6*(1+C5)</f>
        <v/>
      </c>
      <c r="D6" s="13">
        <f>C6*(1+D5)</f>
        <v/>
      </c>
      <c r="E6" s="13">
        <f>D6*(1+E5)</f>
        <v/>
      </c>
      <c r="F6" s="13">
        <f>E6*(1+F5)</f>
        <v/>
      </c>
      <c r="G6" s="13">
        <f>F6*(1+G5)</f>
        <v/>
      </c>
      <c r="H6" s="13">
        <f>G6*(1+H5)</f>
        <v/>
      </c>
      <c r="I6" s="13">
        <f>H6*(1+I5)</f>
        <v/>
      </c>
      <c r="J6" s="13">
        <f>I6*(1+J5)</f>
        <v/>
      </c>
      <c r="K6" s="13">
        <f>J6*(1+K5)</f>
        <v/>
      </c>
      <c r="L6" s="13">
        <f>K6*(1+L5)</f>
        <v/>
      </c>
    </row>
    <row r="7">
      <c r="A7" t="inlineStr">
        <is>
          <t>Adj EBITDA margin (post-AASB16, statutory)</t>
        </is>
      </c>
      <c r="C7" s="3" t="n">
        <v>0.07000000000000001</v>
      </c>
      <c r="D7" s="3" t="n">
        <v>0.09</v>
      </c>
      <c r="E7" s="3" t="n">
        <v>0.11</v>
      </c>
      <c r="F7" s="3" t="n">
        <v>0.125</v>
      </c>
      <c r="G7" s="3" t="n">
        <v>0.135</v>
      </c>
      <c r="H7" s="3" t="n">
        <v>0.14</v>
      </c>
      <c r="I7" s="3" t="n">
        <v>0.145</v>
      </c>
      <c r="J7" s="3" t="n">
        <v>0.15</v>
      </c>
      <c r="K7" s="3" t="n">
        <v>0.15</v>
      </c>
      <c r="L7" s="3" t="n">
        <v>0.15</v>
      </c>
    </row>
    <row r="8">
      <c r="A8" t="inlineStr">
        <is>
          <t>Adjusted EBITDA</t>
        </is>
      </c>
      <c r="C8" s="13">
        <f>C6*C7</f>
        <v/>
      </c>
      <c r="D8" s="13">
        <f>D6*D7</f>
        <v/>
      </c>
      <c r="E8" s="13">
        <f>E6*E7</f>
        <v/>
      </c>
      <c r="F8" s="13">
        <f>F6*F7</f>
        <v/>
      </c>
      <c r="G8" s="13">
        <f>G6*G7</f>
        <v/>
      </c>
      <c r="H8" s="13">
        <f>H6*H7</f>
        <v/>
      </c>
      <c r="I8" s="13">
        <f>I6*I7</f>
        <v/>
      </c>
      <c r="J8" s="13">
        <f>J6*J7</f>
        <v/>
      </c>
      <c r="K8" s="13">
        <f>K6*K7</f>
        <v/>
      </c>
      <c r="L8" s="13">
        <f>L6*L7</f>
        <v/>
      </c>
    </row>
    <row r="9">
      <c r="A9" t="inlineStr">
        <is>
          <t>SBC % revenue</t>
        </is>
      </c>
      <c r="C9" s="3" t="n">
        <v>0.006999999999999999</v>
      </c>
      <c r="D9" s="3" t="n">
        <v>0.006999999999999999</v>
      </c>
      <c r="E9" s="3" t="n">
        <v>0.006999999999999999</v>
      </c>
      <c r="F9" s="3" t="n">
        <v>0.006500000000000001</v>
      </c>
      <c r="G9" s="3" t="n">
        <v>0.006500000000000001</v>
      </c>
      <c r="H9" s="3" t="n">
        <v>0.006</v>
      </c>
      <c r="I9" s="3" t="n">
        <v>0.006</v>
      </c>
      <c r="J9" s="3" t="n">
        <v>0.006</v>
      </c>
      <c r="K9" s="3" t="n">
        <v>0.006</v>
      </c>
      <c r="L9" s="3" t="n">
        <v>0.006</v>
      </c>
    </row>
    <row r="10">
      <c r="A10" t="inlineStr">
        <is>
          <t>SBC (expensed)</t>
        </is>
      </c>
      <c r="C10" s="13">
        <f>-C6*C9</f>
        <v/>
      </c>
      <c r="D10" s="13">
        <f>-D6*D9</f>
        <v/>
      </c>
      <c r="E10" s="13">
        <f>-E6*E9</f>
        <v/>
      </c>
      <c r="F10" s="13">
        <f>-F6*F9</f>
        <v/>
      </c>
      <c r="G10" s="13">
        <f>-G6*G9</f>
        <v/>
      </c>
      <c r="H10" s="13">
        <f>-H6*H9</f>
        <v/>
      </c>
      <c r="I10" s="13">
        <f>-I6*I9</f>
        <v/>
      </c>
      <c r="J10" s="13">
        <f>-J6*J9</f>
        <v/>
      </c>
      <c r="K10" s="13">
        <f>-K6*K9</f>
        <v/>
      </c>
      <c r="L10" s="13">
        <f>-L6*L9</f>
        <v/>
      </c>
    </row>
    <row r="11">
      <c r="A11" t="inlineStr">
        <is>
          <t>Lease cost % revenue</t>
        </is>
      </c>
      <c r="C11" s="14">
        <f>Assumptions!$B$5</f>
        <v/>
      </c>
      <c r="D11" s="14">
        <f>Assumptions!$B$5</f>
        <v/>
      </c>
      <c r="E11" s="14">
        <f>Assumptions!$B$5</f>
        <v/>
      </c>
      <c r="F11" s="14">
        <f>Assumptions!$B$5</f>
        <v/>
      </c>
      <c r="G11" s="14">
        <f>Assumptions!$B$5</f>
        <v/>
      </c>
      <c r="H11" s="14">
        <f>Assumptions!$B$5</f>
        <v/>
      </c>
      <c r="I11" s="14">
        <f>Assumptions!$B$5</f>
        <v/>
      </c>
      <c r="J11" s="14">
        <f>Assumptions!$B$5</f>
        <v/>
      </c>
      <c r="K11" s="14">
        <f>Assumptions!$B$5</f>
        <v/>
      </c>
      <c r="L11" s="14">
        <f>Assumptions!$B$5</f>
        <v/>
      </c>
    </row>
    <row r="12">
      <c r="A12" t="inlineStr">
        <is>
          <t>Lease payments (principal + interest)</t>
        </is>
      </c>
      <c r="C12" s="13">
        <f>-C6*C11</f>
        <v/>
      </c>
      <c r="D12" s="13">
        <f>-D6*D11</f>
        <v/>
      </c>
      <c r="E12" s="13">
        <f>-E6*E11</f>
        <v/>
      </c>
      <c r="F12" s="13">
        <f>-F6*F11</f>
        <v/>
      </c>
      <c r="G12" s="13">
        <f>-G6*G11</f>
        <v/>
      </c>
      <c r="H12" s="13">
        <f>-H6*H11</f>
        <v/>
      </c>
      <c r="I12" s="13">
        <f>-I6*I11</f>
        <v/>
      </c>
      <c r="J12" s="13">
        <f>-J6*J11</f>
        <v/>
      </c>
      <c r="K12" s="13">
        <f>-K6*K11</f>
        <v/>
      </c>
      <c r="L12" s="13">
        <f>-L6*L11</f>
        <v/>
      </c>
    </row>
    <row r="13">
      <c r="A13" t="inlineStr">
        <is>
          <t>Owner EBITDA (after SBC and leases)</t>
        </is>
      </c>
      <c r="C13" s="13">
        <f>C8+C10+C12</f>
        <v/>
      </c>
      <c r="D13" s="13">
        <f>D8+D10+D12</f>
        <v/>
      </c>
      <c r="E13" s="13">
        <f>E8+E10+E12</f>
        <v/>
      </c>
      <c r="F13" s="13">
        <f>F8+F10+F12</f>
        <v/>
      </c>
      <c r="G13" s="13">
        <f>G8+G10+G12</f>
        <v/>
      </c>
      <c r="H13" s="13">
        <f>H8+H10+H12</f>
        <v/>
      </c>
      <c r="I13" s="13">
        <f>I8+I10+I12</f>
        <v/>
      </c>
      <c r="J13" s="13">
        <f>J8+J10+J12</f>
        <v/>
      </c>
      <c r="K13" s="13">
        <f>K8+K10+K12</f>
        <v/>
      </c>
      <c r="L13" s="13">
        <f>L8+L10+L12</f>
        <v/>
      </c>
    </row>
    <row r="14">
      <c r="A14" t="inlineStr">
        <is>
          <t>D&amp;A % revenue (ex ROU, ex acquired intangibles)</t>
        </is>
      </c>
      <c r="C14" s="3" t="n">
        <v>0.065</v>
      </c>
      <c r="D14" s="3" t="n">
        <v>0.06</v>
      </c>
      <c r="E14" s="3" t="n">
        <v>0.055</v>
      </c>
      <c r="F14" s="3" t="n">
        <v>0.05</v>
      </c>
      <c r="G14" s="3" t="n">
        <v>0.045</v>
      </c>
      <c r="H14" s="3" t="n">
        <v>0.04</v>
      </c>
      <c r="I14" s="3" t="n">
        <v>0.0375</v>
      </c>
      <c r="J14" s="3" t="n">
        <v>0.035</v>
      </c>
      <c r="K14" s="3" t="n">
        <v>0.035</v>
      </c>
      <c r="L14" s="3" t="n">
        <v>0.035</v>
      </c>
    </row>
    <row r="15">
      <c r="A15" t="inlineStr">
        <is>
          <t>D&amp;A</t>
        </is>
      </c>
      <c r="C15" s="13">
        <f>-C6*C14</f>
        <v/>
      </c>
      <c r="D15" s="13">
        <f>-D6*D14</f>
        <v/>
      </c>
      <c r="E15" s="13">
        <f>-E6*E14</f>
        <v/>
      </c>
      <c r="F15" s="13">
        <f>-F6*F14</f>
        <v/>
      </c>
      <c r="G15" s="13">
        <f>-G6*G14</f>
        <v/>
      </c>
      <c r="H15" s="13">
        <f>-H6*H14</f>
        <v/>
      </c>
      <c r="I15" s="13">
        <f>-I6*I14</f>
        <v/>
      </c>
      <c r="J15" s="13">
        <f>-J6*J14</f>
        <v/>
      </c>
      <c r="K15" s="13">
        <f>-K6*K14</f>
        <v/>
      </c>
      <c r="L15" s="13">
        <f>-L6*L14</f>
        <v/>
      </c>
    </row>
    <row r="16">
      <c r="A16" t="inlineStr">
        <is>
          <t>EBIT (SBC and leases expensed)</t>
        </is>
      </c>
      <c r="C16" s="13">
        <f>C13+C15</f>
        <v/>
      </c>
      <c r="D16" s="13">
        <f>D13+D15</f>
        <v/>
      </c>
      <c r="E16" s="13">
        <f>E13+E15</f>
        <v/>
      </c>
      <c r="F16" s="13">
        <f>F13+F15</f>
        <v/>
      </c>
      <c r="G16" s="13">
        <f>G13+G15</f>
        <v/>
      </c>
      <c r="H16" s="13">
        <f>H13+H15</f>
        <v/>
      </c>
      <c r="I16" s="13">
        <f>I13+I15</f>
        <v/>
      </c>
      <c r="J16" s="13">
        <f>J13+J15</f>
        <v/>
      </c>
      <c r="K16" s="13">
        <f>K13+K15</f>
        <v/>
      </c>
      <c r="L16" s="13">
        <f>L13+L15</f>
        <v/>
      </c>
    </row>
    <row r="17">
      <c r="A17" t="inlineStr">
        <is>
          <t>Cash tax rate (on positive EBIT)</t>
        </is>
      </c>
      <c r="C17" s="3" t="n">
        <v>0.3</v>
      </c>
      <c r="D17" s="3" t="n">
        <v>0.3</v>
      </c>
      <c r="E17" s="3" t="n">
        <v>0.28</v>
      </c>
      <c r="F17" s="3" t="n">
        <v>0.27</v>
      </c>
      <c r="G17" s="3" t="n">
        <v>0.26</v>
      </c>
      <c r="H17" s="3" t="n">
        <v>0.25</v>
      </c>
      <c r="I17" s="3" t="n">
        <v>0.25</v>
      </c>
      <c r="J17" s="3" t="n">
        <v>0.25</v>
      </c>
      <c r="K17" s="3" t="n">
        <v>0.25</v>
      </c>
      <c r="L17" s="3" t="n">
        <v>0.25</v>
      </c>
    </row>
    <row r="18">
      <c r="A18" t="inlineStr">
        <is>
          <t>Cash tax</t>
        </is>
      </c>
      <c r="C18" s="13">
        <f>-MAX(0,C16)*C17</f>
        <v/>
      </c>
      <c r="D18" s="13">
        <f>-MAX(0,D16)*D17</f>
        <v/>
      </c>
      <c r="E18" s="13">
        <f>-MAX(0,E16)*E17</f>
        <v/>
      </c>
      <c r="F18" s="13">
        <f>-MAX(0,F16)*F17</f>
        <v/>
      </c>
      <c r="G18" s="13">
        <f>-MAX(0,G16)*G17</f>
        <v/>
      </c>
      <c r="H18" s="13">
        <f>-MAX(0,H16)*H17</f>
        <v/>
      </c>
      <c r="I18" s="13">
        <f>-MAX(0,I16)*I17</f>
        <v/>
      </c>
      <c r="J18" s="13">
        <f>-MAX(0,J16)*J17</f>
        <v/>
      </c>
      <c r="K18" s="13">
        <f>-MAX(0,K16)*K17</f>
        <v/>
      </c>
      <c r="L18" s="13">
        <f>-MAX(0,L16)*L17</f>
        <v/>
      </c>
    </row>
    <row r="19">
      <c r="A19" t="inlineStr">
        <is>
          <t>NOPAT</t>
        </is>
      </c>
      <c r="C19" s="13">
        <f>C16+C18</f>
        <v/>
      </c>
      <c r="D19" s="13">
        <f>D16+D18</f>
        <v/>
      </c>
      <c r="E19" s="13">
        <f>E16+E18</f>
        <v/>
      </c>
      <c r="F19" s="13">
        <f>F16+F18</f>
        <v/>
      </c>
      <c r="G19" s="13">
        <f>G16+G18</f>
        <v/>
      </c>
      <c r="H19" s="13">
        <f>H16+H18</f>
        <v/>
      </c>
      <c r="I19" s="13">
        <f>I16+I18</f>
        <v/>
      </c>
      <c r="J19" s="13">
        <f>J16+J18</f>
        <v/>
      </c>
      <c r="K19" s="13">
        <f>K16+K18</f>
        <v/>
      </c>
      <c r="L19" s="13">
        <f>L16+L18</f>
        <v/>
      </c>
    </row>
    <row r="20">
      <c r="A20" t="inlineStr">
        <is>
          <t>add back D&amp;A</t>
        </is>
      </c>
      <c r="C20" s="13">
        <f>-C15</f>
        <v/>
      </c>
      <c r="D20" s="13">
        <f>-D15</f>
        <v/>
      </c>
      <c r="E20" s="13">
        <f>-E15</f>
        <v/>
      </c>
      <c r="F20" s="13">
        <f>-F15</f>
        <v/>
      </c>
      <c r="G20" s="13">
        <f>-G15</f>
        <v/>
      </c>
      <c r="H20" s="13">
        <f>-H15</f>
        <v/>
      </c>
      <c r="I20" s="13">
        <f>-I15</f>
        <v/>
      </c>
      <c r="J20" s="13">
        <f>-J15</f>
        <v/>
      </c>
      <c r="K20" s="13">
        <f>-K15</f>
        <v/>
      </c>
      <c r="L20" s="13">
        <f>-L15</f>
        <v/>
      </c>
    </row>
    <row r="21">
      <c r="A21" t="inlineStr">
        <is>
          <t>Capex % revenue</t>
        </is>
      </c>
      <c r="C21" s="3" t="n">
        <v>0.065</v>
      </c>
      <c r="D21" s="3" t="n">
        <v>0.06</v>
      </c>
      <c r="E21" s="3" t="n">
        <v>0.055</v>
      </c>
      <c r="F21" s="3" t="n">
        <v>0.05</v>
      </c>
      <c r="G21" s="3" t="n">
        <v>0.045</v>
      </c>
      <c r="H21" s="3" t="n">
        <v>0.04</v>
      </c>
      <c r="I21" s="3" t="n">
        <v>0.0375</v>
      </c>
      <c r="J21" s="3" t="n">
        <v>0.035</v>
      </c>
      <c r="K21" s="3" t="n">
        <v>0.035</v>
      </c>
      <c r="L21" s="3" t="n">
        <v>0.035</v>
      </c>
    </row>
    <row r="22">
      <c r="A22" t="inlineStr">
        <is>
          <t>Capex</t>
        </is>
      </c>
      <c r="C22" s="13">
        <f>-C6*C21</f>
        <v/>
      </c>
      <c r="D22" s="13">
        <f>-D6*D21</f>
        <v/>
      </c>
      <c r="E22" s="13">
        <f>-E6*E21</f>
        <v/>
      </c>
      <c r="F22" s="13">
        <f>-F6*F21</f>
        <v/>
      </c>
      <c r="G22" s="13">
        <f>-G6*G21</f>
        <v/>
      </c>
      <c r="H22" s="13">
        <f>-H6*H21</f>
        <v/>
      </c>
      <c r="I22" s="13">
        <f>-I6*I21</f>
        <v/>
      </c>
      <c r="J22" s="13">
        <f>-J6*J21</f>
        <v/>
      </c>
      <c r="K22" s="13">
        <f>-K6*K21</f>
        <v/>
      </c>
      <c r="L22" s="13">
        <f>-L6*L21</f>
        <v/>
      </c>
    </row>
    <row r="23">
      <c r="A23" t="inlineStr">
        <is>
          <t>Working capital (capture x revenue change)</t>
        </is>
      </c>
      <c r="C23" s="12">
        <f>Assumptions!$D$17*(C6-B6)</f>
        <v/>
      </c>
      <c r="D23" s="12">
        <f>Assumptions!$D$17*(D6-C6)</f>
        <v/>
      </c>
      <c r="E23" s="12">
        <f>Assumptions!$D$17*(E6-D6)</f>
        <v/>
      </c>
      <c r="F23" s="12">
        <f>Assumptions!$D$17*(F6-E6)</f>
        <v/>
      </c>
      <c r="G23" s="12">
        <f>Assumptions!$D$17*(G6-F6)</f>
        <v/>
      </c>
      <c r="H23" s="12">
        <f>Assumptions!$D$17*(H6-G6)</f>
        <v/>
      </c>
      <c r="I23" s="12">
        <f>Assumptions!$D$17*(I6-H6)</f>
        <v/>
      </c>
      <c r="J23" s="12">
        <f>Assumptions!$D$17*(J6-I6)</f>
        <v/>
      </c>
      <c r="K23" s="12">
        <f>Assumptions!$D$17*(K6-J6)</f>
        <v/>
      </c>
      <c r="L23" s="12">
        <f>Assumptions!$D$17*(L6-K6)</f>
        <v/>
      </c>
    </row>
    <row r="24">
      <c r="A24" s="1" t="inlineStr">
        <is>
          <t>Unlevered owner FCF</t>
        </is>
      </c>
      <c r="C24" s="13">
        <f>C19+C20+C22+C23</f>
        <v/>
      </c>
      <c r="D24" s="13">
        <f>D19+D20+D22+D23</f>
        <v/>
      </c>
      <c r="E24" s="13">
        <f>E19+E20+E22+E23</f>
        <v/>
      </c>
      <c r="F24" s="13">
        <f>F19+F20+F22+F23</f>
        <v/>
      </c>
      <c r="G24" s="13">
        <f>G19+G20+G22+G23</f>
        <v/>
      </c>
      <c r="H24" s="13">
        <f>H19+H20+H22+H23</f>
        <v/>
      </c>
      <c r="I24" s="13">
        <f>I19+I20+I22+I23</f>
        <v/>
      </c>
      <c r="J24" s="13">
        <f>J19+J20+J22+J23</f>
        <v/>
      </c>
      <c r="K24" s="13">
        <f>K19+K20+K22+K23</f>
        <v/>
      </c>
      <c r="L24" s="13">
        <f>L19+L20+L22+L23</f>
        <v/>
      </c>
    </row>
    <row r="25">
      <c r="A25" t="inlineStr">
        <is>
          <t>Discount factor</t>
        </is>
      </c>
      <c r="C25" s="15">
        <f>1/(1+Assumptions!$B$3)^C4</f>
        <v/>
      </c>
      <c r="D25" s="15">
        <f>1/(1+Assumptions!$B$3)^D4</f>
        <v/>
      </c>
      <c r="E25" s="15">
        <f>1/(1+Assumptions!$B$3)^E4</f>
        <v/>
      </c>
      <c r="F25" s="15">
        <f>1/(1+Assumptions!$B$3)^F4</f>
        <v/>
      </c>
      <c r="G25" s="15">
        <f>1/(1+Assumptions!$B$3)^G4</f>
        <v/>
      </c>
      <c r="H25" s="15">
        <f>1/(1+Assumptions!$B$3)^H4</f>
        <v/>
      </c>
      <c r="I25" s="15">
        <f>1/(1+Assumptions!$B$3)^I4</f>
        <v/>
      </c>
      <c r="J25" s="15">
        <f>1/(1+Assumptions!$B$3)^J4</f>
        <v/>
      </c>
      <c r="K25" s="15">
        <f>1/(1+Assumptions!$B$3)^K4</f>
        <v/>
      </c>
      <c r="L25" s="15">
        <f>1/(1+Assumptions!$B$3)^L4</f>
        <v/>
      </c>
    </row>
    <row r="26">
      <c r="A26" t="inlineStr">
        <is>
          <t>PV of FCF</t>
        </is>
      </c>
      <c r="C26" s="13">
        <f>C24*C25</f>
        <v/>
      </c>
      <c r="D26" s="13">
        <f>D24*D25</f>
        <v/>
      </c>
      <c r="E26" s="13">
        <f>E24*E25</f>
        <v/>
      </c>
      <c r="F26" s="13">
        <f>F24*F25</f>
        <v/>
      </c>
      <c r="G26" s="13">
        <f>G24*G25</f>
        <v/>
      </c>
      <c r="H26" s="13">
        <f>H24*H25</f>
        <v/>
      </c>
      <c r="I26" s="13">
        <f>I24*I25</f>
        <v/>
      </c>
      <c r="J26" s="13">
        <f>J24*J25</f>
        <v/>
      </c>
      <c r="K26" s="13">
        <f>K24*K25</f>
        <v/>
      </c>
      <c r="L26" s="13">
        <f>L24*L25</f>
        <v/>
      </c>
    </row>
    <row r="28">
      <c r="A28" t="inlineStr">
        <is>
          <t>Memo: FCF before SBC (company-style)</t>
        </is>
      </c>
      <c r="C28" s="13">
        <f>C24-C10</f>
        <v/>
      </c>
      <c r="D28" s="13">
        <f>D24-D10</f>
        <v/>
      </c>
      <c r="E28" s="13">
        <f>E24-E10</f>
        <v/>
      </c>
      <c r="F28" s="13">
        <f>F24-F10</f>
        <v/>
      </c>
      <c r="G28" s="13">
        <f>G24-G10</f>
        <v/>
      </c>
      <c r="H28" s="13">
        <f>H24-H10</f>
        <v/>
      </c>
      <c r="I28" s="13">
        <f>I24-I10</f>
        <v/>
      </c>
      <c r="J28" s="13">
        <f>J24-J10</f>
        <v/>
      </c>
      <c r="K28" s="13">
        <f>K24-K10</f>
        <v/>
      </c>
      <c r="L28" s="13">
        <f>L24-L10</f>
        <v/>
      </c>
    </row>
    <row r="29">
      <c r="A29" t="inlineStr">
        <is>
          <t>Memo: owner-FCF margin</t>
        </is>
      </c>
      <c r="C29" s="16">
        <f>C24/C6</f>
        <v/>
      </c>
      <c r="D29" s="16">
        <f>D24/D6</f>
        <v/>
      </c>
      <c r="E29" s="16">
        <f>E24/E6</f>
        <v/>
      </c>
      <c r="F29" s="16">
        <f>F24/F6</f>
        <v/>
      </c>
      <c r="G29" s="16">
        <f>G24/G6</f>
        <v/>
      </c>
      <c r="H29" s="16">
        <f>H24/H6</f>
        <v/>
      </c>
      <c r="I29" s="16">
        <f>I24/I6</f>
        <v/>
      </c>
      <c r="J29" s="16">
        <f>J24/J6</f>
        <v/>
      </c>
      <c r="K29" s="16">
        <f>K24/K6</f>
        <v/>
      </c>
      <c r="L29" s="16">
        <f>L24/L6</f>
        <v/>
      </c>
    </row>
    <row r="31">
      <c r="A31" t="inlineStr">
        <is>
          <t>Sum of PV of FCF</t>
        </is>
      </c>
      <c r="B31" s="13">
        <f>SUM(C26:L26)</f>
        <v/>
      </c>
    </row>
    <row r="32">
      <c r="A32" t="inlineStr">
        <is>
          <t>Terminal growth</t>
        </is>
      </c>
      <c r="B32" s="14">
        <f>Assumptions!B17</f>
        <v/>
      </c>
    </row>
    <row r="33">
      <c r="A33" t="inlineStr">
        <is>
          <t>Terminal FCF (FCF_10 x (1+g))</t>
        </is>
      </c>
      <c r="B33" s="13">
        <f>L24*(1+B32)</f>
        <v/>
      </c>
    </row>
    <row r="34">
      <c r="A34" t="inlineStr">
        <is>
          <t>Gordon TV</t>
        </is>
      </c>
      <c r="B34" s="12">
        <f>IF(Assumptions!B3&gt;B32,B33/(Assumptions!B3-B32),"n/a")</f>
        <v/>
      </c>
    </row>
    <row r="35">
      <c r="A35" t="inlineStr">
        <is>
          <t>Cap TV (cap x FCF_10)</t>
        </is>
      </c>
      <c r="B35" s="12">
        <f>Assumptions!B4*L24</f>
        <v/>
      </c>
    </row>
    <row r="36">
      <c r="A36" t="inlineStr">
        <is>
          <t>TV used = MAX(0, MIN(Gordon, cap))</t>
        </is>
      </c>
      <c r="B36" s="13">
        <f>MAX(0,MIN(IF(ISNUMBER(B34),B34,B35),B35))</f>
        <v/>
      </c>
    </row>
    <row r="37">
      <c r="A37" t="inlineStr">
        <is>
          <t>Implied exit multiple (TV / FCF_10)</t>
        </is>
      </c>
      <c r="B37" s="17">
        <f>IF(L24&gt;0,B36/L24,"n/a")</f>
        <v/>
      </c>
    </row>
    <row r="38">
      <c r="A38" t="inlineStr">
        <is>
          <t>PV of TV</t>
        </is>
      </c>
      <c r="B38" s="13">
        <f>B36*L25</f>
        <v/>
      </c>
    </row>
    <row r="39">
      <c r="A39" t="inlineStr">
        <is>
          <t>Enterprise value</t>
        </is>
      </c>
      <c r="B39" s="13">
        <f>B31+B38</f>
        <v/>
      </c>
    </row>
    <row r="40">
      <c r="A40" t="inlineStr">
        <is>
          <t>add net cash</t>
        </is>
      </c>
      <c r="B40" s="12">
        <f>Assumptions!B6</f>
        <v/>
      </c>
    </row>
    <row r="41">
      <c r="A41" t="inlineStr">
        <is>
          <t>Equity value US$m</t>
        </is>
      </c>
      <c r="B41" s="13">
        <f>B39+B40</f>
        <v/>
      </c>
    </row>
    <row r="42">
      <c r="A42" t="inlineStr">
        <is>
          <t>Diluted shares (m)</t>
        </is>
      </c>
      <c r="B42" s="15">
        <f>Assumptions!B7</f>
        <v/>
      </c>
    </row>
    <row r="43">
      <c r="A43" t="inlineStr">
        <is>
          <t>Value per share US$</t>
        </is>
      </c>
      <c r="B43" s="18">
        <f>B41/B42</f>
        <v/>
      </c>
    </row>
    <row r="44">
      <c r="A44" s="1" t="inlineStr">
        <is>
          <t>Value per share A$</t>
        </is>
      </c>
      <c r="B44" s="19">
        <f>B43*Assumptions!B10</f>
        <v/>
      </c>
    </row>
    <row r="45">
      <c r="A45" t="inlineStr">
        <is>
          <t>Upside vs price</t>
        </is>
      </c>
      <c r="B45" s="14">
        <f>B44/Assumptions!B8-1</f>
        <v/>
      </c>
    </row>
    <row r="47">
      <c r="A47" t="inlineStr">
        <is>
          <t>Street memo: PV of explicit SBC</t>
        </is>
      </c>
      <c r="B47" s="12">
        <f>SUMPRODUCT(-C10:L10/(1+Assumptions!B3)^C4:L4)</f>
        <v/>
      </c>
    </row>
    <row r="48">
      <c r="A48" t="inlineStr">
        <is>
          <t>Street memo: PV of terminal SBC</t>
        </is>
      </c>
      <c r="B48" s="12">
        <f>(-L10*(1+B32)/(Assumptions!B3-B32))*L25</f>
        <v/>
      </c>
    </row>
    <row r="49">
      <c r="A49" t="inlineStr">
        <is>
          <t>Street value per share A$</t>
        </is>
      </c>
      <c r="B49" s="20">
        <f>(B41+B47+B48)/B42*Assumptions!B10</f>
        <v/>
      </c>
    </row>
    <row r="50">
      <c r="A50" t="inlineStr">
        <is>
          <t>Terminal value % of EV</t>
        </is>
      </c>
      <c r="B50" s="16">
        <f>IF(B39&gt;0,B38/B39,"n/a")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Reported FCF reconciled to owner FCF (USD millions, USD era only)</t>
        </is>
      </c>
    </row>
    <row r="3">
      <c r="A3" s="1" t="inlineStr">
        <is>
          <t>Line</t>
        </is>
      </c>
      <c r="B3" s="1" t="inlineStr">
        <is>
          <t>FY2022</t>
        </is>
      </c>
      <c r="C3" s="1" t="inlineStr">
        <is>
          <t>FY2023</t>
        </is>
      </c>
      <c r="D3" s="1" t="inlineStr">
        <is>
          <t>FY2024</t>
        </is>
      </c>
      <c r="E3" s="1" t="inlineStr">
        <is>
          <t>FY2025</t>
        </is>
      </c>
      <c r="F3" s="1" t="inlineStr">
        <is>
          <t>TTM Jun-26</t>
        </is>
      </c>
    </row>
    <row r="4">
      <c r="A4" t="inlineStr">
        <is>
          <t>Revenue</t>
        </is>
      </c>
      <c r="B4" s="2" t="n">
        <v>388.133</v>
      </c>
      <c r="C4" s="2" t="n">
        <v>273.012</v>
      </c>
      <c r="D4" s="2" t="n">
        <v>234.285</v>
      </c>
      <c r="E4" s="2" t="n">
        <v>230.774</v>
      </c>
      <c r="F4" s="2" t="n">
        <v>248.617</v>
      </c>
    </row>
    <row r="5">
      <c r="A5" t="inlineStr">
        <is>
          <t>Free cash flow (company definition: OCF - capex)</t>
        </is>
      </c>
      <c r="B5" s="2" t="n">
        <v>-9.702999999999999</v>
      </c>
      <c r="C5" s="2" t="n">
        <v>-42.792</v>
      </c>
      <c r="D5" s="2" t="n">
        <v>-13.511</v>
      </c>
      <c r="E5" s="2" t="n">
        <v>6.329</v>
      </c>
      <c r="F5" s="2" t="n">
        <v>-12.87</v>
      </c>
    </row>
    <row r="6">
      <c r="A6" t="inlineStr">
        <is>
          <t>less: SBC (no equity-award cash taxes disclosed)</t>
        </is>
      </c>
      <c r="B6" s="2" t="n">
        <v>1.492</v>
      </c>
      <c r="C6" s="2" t="n">
        <v>5.691</v>
      </c>
      <c r="D6" s="2" t="n">
        <v>4.077</v>
      </c>
      <c r="E6" s="2" t="n">
        <v>1.299</v>
      </c>
      <c r="F6" s="2" t="n">
        <v>1.839</v>
      </c>
    </row>
    <row r="7">
      <c r="A7" t="inlineStr">
        <is>
          <t>less: interest income</t>
        </is>
      </c>
      <c r="B7" s="2" t="n">
        <v>0.183</v>
      </c>
      <c r="C7" s="2" t="n">
        <v>0.371</v>
      </c>
      <c r="D7" s="2" t="n">
        <v>0.482</v>
      </c>
      <c r="E7" s="2" t="n">
        <v>0.773</v>
      </c>
      <c r="F7" s="2" t="n">
        <v>0.654</v>
      </c>
    </row>
    <row r="8">
      <c r="A8" t="inlineStr">
        <is>
          <t>less: lease payments (principal + interest)</t>
        </is>
      </c>
      <c r="B8" s="2" t="n">
        <v>4.508</v>
      </c>
      <c r="C8" s="2" t="n">
        <v>4.763</v>
      </c>
      <c r="D8" s="2" t="n">
        <v>4.398</v>
      </c>
      <c r="E8" s="2" t="n">
        <v>4.848</v>
      </c>
      <c r="F8" s="2" t="n">
        <v>5.129</v>
      </c>
    </row>
    <row r="9">
      <c r="A9" s="1" t="inlineStr">
        <is>
          <t>Owner FCF (equals FCF less the three deductions)</t>
        </is>
      </c>
      <c r="B9" s="21">
        <f>B5-B6-B7-B8</f>
        <v/>
      </c>
      <c r="C9" s="21">
        <f>C5-C6-C7-C8</f>
        <v/>
      </c>
      <c r="D9" s="21">
        <f>D5-D6-D7-D8</f>
        <v/>
      </c>
      <c r="E9" s="21">
        <f>E5-E6-E7-E8</f>
        <v/>
      </c>
      <c r="F9" s="21">
        <f>F5-F6-F7-F8</f>
        <v/>
      </c>
    </row>
    <row r="10">
      <c r="A10" t="inlineStr">
        <is>
          <t>Reported FCF margin</t>
        </is>
      </c>
      <c r="B10" s="10">
        <f>B5/B4</f>
        <v/>
      </c>
      <c r="C10" s="10">
        <f>C5/C4</f>
        <v/>
      </c>
      <c r="D10" s="10">
        <f>D5/D4</f>
        <v/>
      </c>
      <c r="E10" s="10">
        <f>E5/E4</f>
        <v/>
      </c>
      <c r="F10" s="10">
        <f>F5/F4</f>
        <v/>
      </c>
    </row>
    <row r="11">
      <c r="A11" t="inlineStr">
        <is>
          <t>Owner FCF margin</t>
        </is>
      </c>
      <c r="B11" s="10">
        <f>B9/B4</f>
        <v/>
      </c>
      <c r="C11" s="10">
        <f>C9/C4</f>
        <v/>
      </c>
      <c r="D11" s="10">
        <f>D9/D4</f>
        <v/>
      </c>
      <c r="E11" s="10">
        <f>E9/E4</f>
        <v/>
      </c>
      <c r="F11" s="10">
        <f>F9/F4</f>
        <v/>
      </c>
    </row>
    <row r="12">
      <c r="A12" t="inlineStr">
        <is>
          <t>Memo: receivables + contract assets change inside OCF (US$m, + = release)</t>
        </is>
      </c>
      <c r="D12" s="2" t="n">
        <v>0.967</v>
      </c>
      <c r="E12" s="2" t="n">
        <v>12.005</v>
      </c>
      <c r="F12" s="2" t="n">
        <v>-0.8</v>
      </c>
    </row>
    <row r="13">
      <c r="A13" t="inlineStr">
        <is>
          <t>Memo: cash tax paid</t>
        </is>
      </c>
      <c r="D13" s="2" t="n">
        <v>0.068</v>
      </c>
      <c r="E13" s="2" t="n">
        <v>0.222</v>
      </c>
      <c r="F13" s="2" t="n">
        <v>1.79</v>
      </c>
    </row>
    <row r="15" ht="45" customHeight="1">
      <c r="A15" s="22" t="inlineStr">
        <is>
          <t>Cash tax is near zero because US$104m of US and US$20m of China tax losses are unrecognised; the FY2025 near-breakeven owner FCF rests on a US$12.0m receivables release that reversed in H1 FY2026 (contract assets +US$12.8m). TTM columns are FY2025 + H1 FY2026 - H1 FY2025.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Valuation summary (per-share values in A$ unless marked)</t>
        </is>
      </c>
    </row>
    <row r="3">
      <c r="A3" s="1" t="inlineStr">
        <is>
          <t>Scenario</t>
        </is>
      </c>
      <c r="B3" s="1" t="inlineStr">
        <is>
          <t>Value/share A$</t>
        </is>
      </c>
      <c r="C3" s="1" t="inlineStr">
        <is>
          <t>Upside vs price</t>
        </is>
      </c>
      <c r="D3" s="1" t="inlineStr">
        <is>
          <t>Probability</t>
        </is>
      </c>
      <c r="E3" s="1" t="inlineStr">
        <is>
          <t>Street value/share A$</t>
        </is>
      </c>
      <c r="F3" s="1" t="inlineStr">
        <is>
          <t>Value/share US$</t>
        </is>
      </c>
      <c r="G3" s="1" t="inlineStr">
        <is>
          <t>TV bound</t>
        </is>
      </c>
    </row>
    <row r="4">
      <c r="A4" t="inlineStr">
        <is>
          <t>bear</t>
        </is>
      </c>
      <c r="B4" s="20">
        <f>DCF_Bear!B44</f>
        <v/>
      </c>
      <c r="C4" s="14">
        <f>DCF_Bear!B45</f>
        <v/>
      </c>
      <c r="D4" s="14">
        <f>Assumptions!C15</f>
        <v/>
      </c>
      <c r="E4" s="20">
        <f>DCF_Bear!B49</f>
        <v/>
      </c>
      <c r="F4" s="15">
        <f>DCF_Bear!B43</f>
        <v/>
      </c>
      <c r="G4" s="23">
        <f>IF(DCF_Bear!B36=0,"floor",IF(DCF_Bear!B35&lt;IF(ISNUMBER(DCF_Bear!B34),DCF_Bear!B34,DCF_Bear!B35),"cap","gordon"))</f>
        <v/>
      </c>
    </row>
    <row r="5">
      <c r="A5" t="inlineStr">
        <is>
          <t>base</t>
        </is>
      </c>
      <c r="B5" s="20">
        <f>DCF_Base!B44</f>
        <v/>
      </c>
      <c r="C5" s="14">
        <f>DCF_Base!B45</f>
        <v/>
      </c>
      <c r="D5" s="14">
        <f>Assumptions!C16</f>
        <v/>
      </c>
      <c r="E5" s="20">
        <f>DCF_Base!B49</f>
        <v/>
      </c>
      <c r="F5" s="15">
        <f>DCF_Base!B43</f>
        <v/>
      </c>
      <c r="G5" s="23">
        <f>IF(DCF_Base!B36=0,"floor",IF(DCF_Base!B35&lt;IF(ISNUMBER(DCF_Base!B34),DCF_Base!B34,DCF_Base!B35),"cap","gordon"))</f>
        <v/>
      </c>
    </row>
    <row r="6">
      <c r="A6" t="inlineStr">
        <is>
          <t>bull</t>
        </is>
      </c>
      <c r="B6" s="20">
        <f>DCF_Bull!B44</f>
        <v/>
      </c>
      <c r="C6" s="14">
        <f>DCF_Bull!B45</f>
        <v/>
      </c>
      <c r="D6" s="14">
        <f>Assumptions!C17</f>
        <v/>
      </c>
      <c r="E6" s="20">
        <f>DCF_Bull!B49</f>
        <v/>
      </c>
      <c r="F6" s="15">
        <f>DCF_Bull!B43</f>
        <v/>
      </c>
      <c r="G6" s="23">
        <f>IF(DCF_Bull!B36=0,"floor",IF(DCF_Bull!B35&lt;IF(ISNUMBER(DCF_Bull!B34),DCF_Bull!B34,DCF_Bull!B35),"cap","gordon"))</f>
        <v/>
      </c>
    </row>
    <row r="8">
      <c r="A8" t="inlineStr">
        <is>
          <t>Probability-weighted value A$</t>
        </is>
      </c>
      <c r="B8" s="19">
        <f>SUMPRODUCT(B4:B6,D4:D6)</f>
        <v/>
      </c>
    </row>
    <row r="9">
      <c r="A9" t="inlineStr">
        <is>
          <t>Margin of safety (1 - price/weighted)</t>
        </is>
      </c>
      <c r="B9" s="10">
        <f>1-Assumptions!B8/B8</f>
        <v/>
      </c>
    </row>
    <row r="10">
      <c r="A10" t="inlineStr">
        <is>
          <t>Street weighted value A$</t>
        </is>
      </c>
      <c r="B10" s="24">
        <f>SUMPRODUCT(E4:E6,D4:D6)</f>
        <v/>
      </c>
    </row>
    <row r="11">
      <c r="A11" t="inlineStr">
        <is>
          <t>Band position (price - house)/(street - house)</t>
        </is>
      </c>
      <c r="B11" s="10">
        <f>IF(ABS(B10-B8)&lt;0.0001,"n/a",(Assumptions!B8-B8)/(B10-B8))</f>
        <v/>
      </c>
    </row>
    <row r="12">
      <c r="A12" t="inlineStr">
        <is>
          <t>Current price A$</t>
        </is>
      </c>
      <c r="B12" s="20">
        <f>Assumptions!B8</f>
        <v/>
      </c>
    </row>
    <row r="14">
      <c r="A14" s="1" t="inlineStr">
        <is>
          <t>Required-return table (base case; TV rebuilt at each rate)</t>
        </is>
      </c>
    </row>
    <row r="15">
      <c r="A15" t="inlineStr">
        <is>
          <t>Required return</t>
        </is>
      </c>
      <c r="B15" t="inlineStr">
        <is>
          <t>Value/share A$</t>
        </is>
      </c>
    </row>
    <row r="16">
      <c r="A16" s="5" t="n">
        <v>0.09</v>
      </c>
      <c r="B16" s="24">
        <f>(SUMPRODUCT(DCF_Base!$C$24:$L$24/(1+$A16)^DCF_Base!$C$4:$L$4)+MAX(0,MIN(IF($A16&gt;Assumptions!$B$16,DCF_Base!$L$24*(1+Assumptions!$B$16)/($A16-Assumptions!$B$16),Assumptions!$B$4*DCF_Base!$L$24),Assumptions!$B$4*DCF_Base!$L$24))/(1+$A16)^10+Assumptions!$B$6)/Assumptions!$B$7*Assumptions!$B$10</f>
        <v/>
      </c>
    </row>
    <row r="17">
      <c r="A17" s="5" t="n">
        <v>0.1</v>
      </c>
      <c r="B17" s="24">
        <f>(SUMPRODUCT(DCF_Base!$C$24:$L$24/(1+$A17)^DCF_Base!$C$4:$L$4)+MAX(0,MIN(IF($A17&gt;Assumptions!$B$16,DCF_Base!$L$24*(1+Assumptions!$B$16)/($A17-Assumptions!$B$16),Assumptions!$B$4*DCF_Base!$L$24),Assumptions!$B$4*DCF_Base!$L$24))/(1+$A17)^10+Assumptions!$B$6)/Assumptions!$B$7*Assumptions!$B$10</f>
        <v/>
      </c>
    </row>
    <row r="18">
      <c r="A18" s="5" t="n">
        <v>0.11</v>
      </c>
      <c r="B18" s="24">
        <f>(SUMPRODUCT(DCF_Base!$C$24:$L$24/(1+$A18)^DCF_Base!$C$4:$L$4)+MAX(0,MIN(IF($A18&gt;Assumptions!$B$16,DCF_Base!$L$24*(1+Assumptions!$B$16)/($A18-Assumptions!$B$16),Assumptions!$B$4*DCF_Base!$L$24),Assumptions!$B$4*DCF_Base!$L$24))/(1+$A18)^10+Assumptions!$B$6)/Assumptions!$B$7*Assumptions!$B$10</f>
        <v/>
      </c>
    </row>
    <row r="19">
      <c r="A19" s="5" t="n">
        <v>0.12</v>
      </c>
      <c r="B19" s="24">
        <f>(SUMPRODUCT(DCF_Base!$C$24:$L$24/(1+$A19)^DCF_Base!$C$4:$L$4)+MAX(0,MIN(IF($A19&gt;Assumptions!$B$16,DCF_Base!$L$24*(1+Assumptions!$B$16)/($A19-Assumptions!$B$16),Assumptions!$B$4*DCF_Base!$L$24),Assumptions!$B$4*DCF_Base!$L$24))/(1+$A19)^10+Assumptions!$B$6)/Assumptions!$B$7*Assumptions!$B$10</f>
        <v/>
      </c>
      <c r="C19" t="inlineStr">
        <is>
          <t>WACC row: must equal DCF_Base!B44</t>
        </is>
      </c>
    </row>
    <row r="20">
      <c r="A20" s="5" t="n">
        <v>0.15</v>
      </c>
      <c r="B20" s="24">
        <f>(SUMPRODUCT(DCF_Base!$C$24:$L$24/(1+$A20)^DCF_Base!$C$4:$L$4)+MAX(0,MIN(IF($A20&gt;Assumptions!$B$16,DCF_Base!$L$24*(1+Assumptions!$B$16)/($A20-Assumptions!$B$16),Assumptions!$B$4*DCF_Base!$L$24),Assumptions!$B$4*DCF_Base!$L$24))/(1+$A20)^10+Assumptions!$B$6)/Assumptions!$B$7*Assumptions!$B$10</f>
        <v/>
      </c>
      <c r="C20" t="inlineStr">
        <is>
          <t>Hurdle row (15%): must equal base entry price below</t>
        </is>
      </c>
    </row>
    <row r="23">
      <c r="A23" s="1" t="inlineStr">
        <is>
          <t>15%-hurdle entry prices (TV rebuilt at the hurdle rate)</t>
        </is>
      </c>
    </row>
    <row r="24">
      <c r="A24" t="inlineStr">
        <is>
          <t>Scenario</t>
        </is>
      </c>
      <c r="B24" t="inlineStr">
        <is>
          <t>Entry price A$</t>
        </is>
      </c>
      <c r="C24" t="inlineStr">
        <is>
          <t>Probability</t>
        </is>
      </c>
      <c r="D24" t="inlineStr">
        <is>
          <t>Discount vs price</t>
        </is>
      </c>
    </row>
    <row r="25">
      <c r="A25" t="inlineStr">
        <is>
          <t>bear</t>
        </is>
      </c>
      <c r="B25" s="24">
        <f>(SUMPRODUCT(DCF_Bear!$C$24:$L$24/(1+Assumptions!$B$11)^DCF_Bear!$C$4:$L$4)+MAX(0,MIN(IF(Assumptions!$B$11&gt;Assumptions!$B$15,DCF_Bear!$L$24*(1+Assumptions!$B$15)/(Assumptions!$B$11-Assumptions!$B$15),Assumptions!$B$4*DCF_Bear!$L$24),Assumptions!$B$4*DCF_Bear!$L$24))/(1+Assumptions!$B$11)^10+Assumptions!$B$6)/Assumptions!$B$7*Assumptions!$B$10</f>
        <v/>
      </c>
      <c r="C25" s="10">
        <f>Assumptions!C15</f>
        <v/>
      </c>
      <c r="D25" s="10">
        <f>B25/Assumptions!$B$8-1</f>
        <v/>
      </c>
    </row>
    <row r="26">
      <c r="A26" t="inlineStr">
        <is>
          <t>base</t>
        </is>
      </c>
      <c r="B26" s="24">
        <f>(SUMPRODUCT(DCF_Base!$C$24:$L$24/(1+Assumptions!$B$11)^DCF_Base!$C$4:$L$4)+MAX(0,MIN(IF(Assumptions!$B$11&gt;Assumptions!$B$16,DCF_Base!$L$24*(1+Assumptions!$B$16)/(Assumptions!$B$11-Assumptions!$B$16),Assumptions!$B$4*DCF_Base!$L$24),Assumptions!$B$4*DCF_Base!$L$24))/(1+Assumptions!$B$11)^10+Assumptions!$B$6)/Assumptions!$B$7*Assumptions!$B$10</f>
        <v/>
      </c>
      <c r="C26" s="10">
        <f>Assumptions!C16</f>
        <v/>
      </c>
      <c r="D26" s="10">
        <f>B26/Assumptions!$B$8-1</f>
        <v/>
      </c>
    </row>
    <row r="27">
      <c r="A27" t="inlineStr">
        <is>
          <t>bull</t>
        </is>
      </c>
      <c r="B27" s="24">
        <f>(SUMPRODUCT(DCF_Bull!$C$24:$L$24/(1+Assumptions!$B$11)^DCF_Bull!$C$4:$L$4)+MAX(0,MIN(IF(Assumptions!$B$11&gt;Assumptions!$B$17,DCF_Bull!$L$24*(1+Assumptions!$B$17)/(Assumptions!$B$11-Assumptions!$B$17),Assumptions!$B$4*DCF_Bull!$L$24),Assumptions!$B$4*DCF_Bull!$L$24))/(1+Assumptions!$B$11)^10+Assumptions!$B$6)/Assumptions!$B$7*Assumptions!$B$10</f>
        <v/>
      </c>
      <c r="C27" s="10">
        <f>Assumptions!C17</f>
        <v/>
      </c>
      <c r="D27" s="10">
        <f>B27/Assumptions!$B$8-1</f>
        <v/>
      </c>
    </row>
    <row r="28">
      <c r="A28" s="1" t="inlineStr">
        <is>
          <t>Probability-weighted entry price A$ (buy-below)</t>
        </is>
      </c>
      <c r="B28" s="25">
        <f>SUMPRODUCT(B25:B27,C25:C27)</f>
        <v/>
      </c>
    </row>
    <row r="31">
      <c r="A31" s="1" t="inlineStr">
        <is>
          <t>Sensitivity: base-case value/share A$ -- rows WACC, columns terminal growth (TV re-capped at every cell)</t>
        </is>
      </c>
    </row>
    <row r="32">
      <c r="B32" s="5" t="n">
        <v>0.02</v>
      </c>
      <c r="C32" s="5" t="n">
        <v>0.025</v>
      </c>
      <c r="D32" s="5" t="n">
        <v>0.03</v>
      </c>
      <c r="E32" s="5" t="n">
        <v>0.035</v>
      </c>
      <c r="F32" s="5" t="n">
        <v>0.04</v>
      </c>
    </row>
    <row r="33">
      <c r="A33" s="5" t="n">
        <v>0.1</v>
      </c>
      <c r="B33" s="24">
        <f>(SUMPRODUCT(DCF_Base!$C$24:$L$24/(1+$A33)^DCF_Base!$C$4:$L$4)+MAX(0,MIN(IF($A33&gt;B$32,DCF_Base!$L$24*(1+B$32)/($A33-B$32),Assumptions!$B$4*DCF_Base!$L$24),Assumptions!$B$4*DCF_Base!$L$24))/(1+$A33)^10+Assumptions!$B$6)/Assumptions!$B$7*Assumptions!$B$10</f>
        <v/>
      </c>
      <c r="C33" s="24">
        <f>(SUMPRODUCT(DCF_Base!$C$24:$L$24/(1+$A33)^DCF_Base!$C$4:$L$4)+MAX(0,MIN(IF($A33&gt;C$32,DCF_Base!$L$24*(1+C$32)/($A33-C$32),Assumptions!$B$4*DCF_Base!$L$24),Assumptions!$B$4*DCF_Base!$L$24))/(1+$A33)^10+Assumptions!$B$6)/Assumptions!$B$7*Assumptions!$B$10</f>
        <v/>
      </c>
      <c r="D33" s="24">
        <f>(SUMPRODUCT(DCF_Base!$C$24:$L$24/(1+$A33)^DCF_Base!$C$4:$L$4)+MAX(0,MIN(IF($A33&gt;D$32,DCF_Base!$L$24*(1+D$32)/($A33-D$32),Assumptions!$B$4*DCF_Base!$L$24),Assumptions!$B$4*DCF_Base!$L$24))/(1+$A33)^10+Assumptions!$B$6)/Assumptions!$B$7*Assumptions!$B$10</f>
        <v/>
      </c>
      <c r="E33" s="24">
        <f>(SUMPRODUCT(DCF_Base!$C$24:$L$24/(1+$A33)^DCF_Base!$C$4:$L$4)+MAX(0,MIN(IF($A33&gt;E$32,DCF_Base!$L$24*(1+E$32)/($A33-E$32),Assumptions!$B$4*DCF_Base!$L$24),Assumptions!$B$4*DCF_Base!$L$24))/(1+$A33)^10+Assumptions!$B$6)/Assumptions!$B$7*Assumptions!$B$10</f>
        <v/>
      </c>
      <c r="F33" s="24">
        <f>(SUMPRODUCT(DCF_Base!$C$24:$L$24/(1+$A33)^DCF_Base!$C$4:$L$4)+MAX(0,MIN(IF($A33&gt;F$32,DCF_Base!$L$24*(1+F$32)/($A33-F$32),Assumptions!$B$4*DCF_Base!$L$24),Assumptions!$B$4*DCF_Base!$L$24))/(1+$A33)^10+Assumptions!$B$6)/Assumptions!$B$7*Assumptions!$B$10</f>
        <v/>
      </c>
    </row>
    <row r="34">
      <c r="A34" s="5" t="n">
        <v>0.11</v>
      </c>
      <c r="B34" s="24">
        <f>(SUMPRODUCT(DCF_Base!$C$24:$L$24/(1+$A34)^DCF_Base!$C$4:$L$4)+MAX(0,MIN(IF($A34&gt;B$32,DCF_Base!$L$24*(1+B$32)/($A34-B$32),Assumptions!$B$4*DCF_Base!$L$24),Assumptions!$B$4*DCF_Base!$L$24))/(1+$A34)^10+Assumptions!$B$6)/Assumptions!$B$7*Assumptions!$B$10</f>
        <v/>
      </c>
      <c r="C34" s="24">
        <f>(SUMPRODUCT(DCF_Base!$C$24:$L$24/(1+$A34)^DCF_Base!$C$4:$L$4)+MAX(0,MIN(IF($A34&gt;C$32,DCF_Base!$L$24*(1+C$32)/($A34-C$32),Assumptions!$B$4*DCF_Base!$L$24),Assumptions!$B$4*DCF_Base!$L$24))/(1+$A34)^10+Assumptions!$B$6)/Assumptions!$B$7*Assumptions!$B$10</f>
        <v/>
      </c>
      <c r="D34" s="24">
        <f>(SUMPRODUCT(DCF_Base!$C$24:$L$24/(1+$A34)^DCF_Base!$C$4:$L$4)+MAX(0,MIN(IF($A34&gt;D$32,DCF_Base!$L$24*(1+D$32)/($A34-D$32),Assumptions!$B$4*DCF_Base!$L$24),Assumptions!$B$4*DCF_Base!$L$24))/(1+$A34)^10+Assumptions!$B$6)/Assumptions!$B$7*Assumptions!$B$10</f>
        <v/>
      </c>
      <c r="E34" s="24">
        <f>(SUMPRODUCT(DCF_Base!$C$24:$L$24/(1+$A34)^DCF_Base!$C$4:$L$4)+MAX(0,MIN(IF($A34&gt;E$32,DCF_Base!$L$24*(1+E$32)/($A34-E$32),Assumptions!$B$4*DCF_Base!$L$24),Assumptions!$B$4*DCF_Base!$L$24))/(1+$A34)^10+Assumptions!$B$6)/Assumptions!$B$7*Assumptions!$B$10</f>
        <v/>
      </c>
      <c r="F34" s="24">
        <f>(SUMPRODUCT(DCF_Base!$C$24:$L$24/(1+$A34)^DCF_Base!$C$4:$L$4)+MAX(0,MIN(IF($A34&gt;F$32,DCF_Base!$L$24*(1+F$32)/($A34-F$32),Assumptions!$B$4*DCF_Base!$L$24),Assumptions!$B$4*DCF_Base!$L$24))/(1+$A34)^10+Assumptions!$B$6)/Assumptions!$B$7*Assumptions!$B$10</f>
        <v/>
      </c>
    </row>
    <row r="35">
      <c r="A35" s="5" t="n">
        <v>0.12</v>
      </c>
      <c r="B35" s="24">
        <f>(SUMPRODUCT(DCF_Base!$C$24:$L$24/(1+$A35)^DCF_Base!$C$4:$L$4)+MAX(0,MIN(IF($A35&gt;B$32,DCF_Base!$L$24*(1+B$32)/($A35-B$32),Assumptions!$B$4*DCF_Base!$L$24),Assumptions!$B$4*DCF_Base!$L$24))/(1+$A35)^10+Assumptions!$B$6)/Assumptions!$B$7*Assumptions!$B$10</f>
        <v/>
      </c>
      <c r="C35" s="24">
        <f>(SUMPRODUCT(DCF_Base!$C$24:$L$24/(1+$A35)^DCF_Base!$C$4:$L$4)+MAX(0,MIN(IF($A35&gt;C$32,DCF_Base!$L$24*(1+C$32)/($A35-C$32),Assumptions!$B$4*DCF_Base!$L$24),Assumptions!$B$4*DCF_Base!$L$24))/(1+$A35)^10+Assumptions!$B$6)/Assumptions!$B$7*Assumptions!$B$10</f>
        <v/>
      </c>
      <c r="D35" s="25">
        <f>(SUMPRODUCT(DCF_Base!$C$24:$L$24/(1+$A35)^DCF_Base!$C$4:$L$4)+MAX(0,MIN(IF($A35&gt;D$32,DCF_Base!$L$24*(1+D$32)/($A35-D$32),Assumptions!$B$4*DCF_Base!$L$24),Assumptions!$B$4*DCF_Base!$L$24))/(1+$A35)^10+Assumptions!$B$6)/Assumptions!$B$7*Assumptions!$B$10</f>
        <v/>
      </c>
      <c r="E35" s="24">
        <f>(SUMPRODUCT(DCF_Base!$C$24:$L$24/(1+$A35)^DCF_Base!$C$4:$L$4)+MAX(0,MIN(IF($A35&gt;E$32,DCF_Base!$L$24*(1+E$32)/($A35-E$32),Assumptions!$B$4*DCF_Base!$L$24),Assumptions!$B$4*DCF_Base!$L$24))/(1+$A35)^10+Assumptions!$B$6)/Assumptions!$B$7*Assumptions!$B$10</f>
        <v/>
      </c>
      <c r="F35" s="24">
        <f>(SUMPRODUCT(DCF_Base!$C$24:$L$24/(1+$A35)^DCF_Base!$C$4:$L$4)+MAX(0,MIN(IF($A35&gt;F$32,DCF_Base!$L$24*(1+F$32)/($A35-F$32),Assumptions!$B$4*DCF_Base!$L$24),Assumptions!$B$4*DCF_Base!$L$24))/(1+$A35)^10+Assumptions!$B$6)/Assumptions!$B$7*Assumptions!$B$10</f>
        <v/>
      </c>
    </row>
    <row r="36">
      <c r="A36" s="5" t="n">
        <v>0.13</v>
      </c>
      <c r="B36" s="24">
        <f>(SUMPRODUCT(DCF_Base!$C$24:$L$24/(1+$A36)^DCF_Base!$C$4:$L$4)+MAX(0,MIN(IF($A36&gt;B$32,DCF_Base!$L$24*(1+B$32)/($A36-B$32),Assumptions!$B$4*DCF_Base!$L$24),Assumptions!$B$4*DCF_Base!$L$24))/(1+$A36)^10+Assumptions!$B$6)/Assumptions!$B$7*Assumptions!$B$10</f>
        <v/>
      </c>
      <c r="C36" s="24">
        <f>(SUMPRODUCT(DCF_Base!$C$24:$L$24/(1+$A36)^DCF_Base!$C$4:$L$4)+MAX(0,MIN(IF($A36&gt;C$32,DCF_Base!$L$24*(1+C$32)/($A36-C$32),Assumptions!$B$4*DCF_Base!$L$24),Assumptions!$B$4*DCF_Base!$L$24))/(1+$A36)^10+Assumptions!$B$6)/Assumptions!$B$7*Assumptions!$B$10</f>
        <v/>
      </c>
      <c r="D36" s="24">
        <f>(SUMPRODUCT(DCF_Base!$C$24:$L$24/(1+$A36)^DCF_Base!$C$4:$L$4)+MAX(0,MIN(IF($A36&gt;D$32,DCF_Base!$L$24*(1+D$32)/($A36-D$32),Assumptions!$B$4*DCF_Base!$L$24),Assumptions!$B$4*DCF_Base!$L$24))/(1+$A36)^10+Assumptions!$B$6)/Assumptions!$B$7*Assumptions!$B$10</f>
        <v/>
      </c>
      <c r="E36" s="24">
        <f>(SUMPRODUCT(DCF_Base!$C$24:$L$24/(1+$A36)^DCF_Base!$C$4:$L$4)+MAX(0,MIN(IF($A36&gt;E$32,DCF_Base!$L$24*(1+E$32)/($A36-E$32),Assumptions!$B$4*DCF_Base!$L$24),Assumptions!$B$4*DCF_Base!$L$24))/(1+$A36)^10+Assumptions!$B$6)/Assumptions!$B$7*Assumptions!$B$10</f>
        <v/>
      </c>
      <c r="F36" s="24">
        <f>(SUMPRODUCT(DCF_Base!$C$24:$L$24/(1+$A36)^DCF_Base!$C$4:$L$4)+MAX(0,MIN(IF($A36&gt;F$32,DCF_Base!$L$24*(1+F$32)/($A36-F$32),Assumptions!$B$4*DCF_Base!$L$24),Assumptions!$B$4*DCF_Base!$L$24))/(1+$A36)^10+Assumptions!$B$6)/Assumptions!$B$7*Assumptions!$B$10</f>
        <v/>
      </c>
    </row>
    <row r="37">
      <c r="A37" s="5" t="n">
        <v>0.14</v>
      </c>
      <c r="B37" s="24">
        <f>(SUMPRODUCT(DCF_Base!$C$24:$L$24/(1+$A37)^DCF_Base!$C$4:$L$4)+MAX(0,MIN(IF($A37&gt;B$32,DCF_Base!$L$24*(1+B$32)/($A37-B$32),Assumptions!$B$4*DCF_Base!$L$24),Assumptions!$B$4*DCF_Base!$L$24))/(1+$A37)^10+Assumptions!$B$6)/Assumptions!$B$7*Assumptions!$B$10</f>
        <v/>
      </c>
      <c r="C37" s="24">
        <f>(SUMPRODUCT(DCF_Base!$C$24:$L$24/(1+$A37)^DCF_Base!$C$4:$L$4)+MAX(0,MIN(IF($A37&gt;C$32,DCF_Base!$L$24*(1+C$32)/($A37-C$32),Assumptions!$B$4*DCF_Base!$L$24),Assumptions!$B$4*DCF_Base!$L$24))/(1+$A37)^10+Assumptions!$B$6)/Assumptions!$B$7*Assumptions!$B$10</f>
        <v/>
      </c>
      <c r="D37" s="24">
        <f>(SUMPRODUCT(DCF_Base!$C$24:$L$24/(1+$A37)^DCF_Base!$C$4:$L$4)+MAX(0,MIN(IF($A37&gt;D$32,DCF_Base!$L$24*(1+D$32)/($A37-D$32),Assumptions!$B$4*DCF_Base!$L$24),Assumptions!$B$4*DCF_Base!$L$24))/(1+$A37)^10+Assumptions!$B$6)/Assumptions!$B$7*Assumptions!$B$10</f>
        <v/>
      </c>
      <c r="E37" s="24">
        <f>(SUMPRODUCT(DCF_Base!$C$24:$L$24/(1+$A37)^DCF_Base!$C$4:$L$4)+MAX(0,MIN(IF($A37&gt;E$32,DCF_Base!$L$24*(1+E$32)/($A37-E$32),Assumptions!$B$4*DCF_Base!$L$24),Assumptions!$B$4*DCF_Base!$L$24))/(1+$A37)^10+Assumptions!$B$6)/Assumptions!$B$7*Assumptions!$B$10</f>
        <v/>
      </c>
      <c r="F37" s="24">
        <f>(SUMPRODUCT(DCF_Base!$C$24:$L$24/(1+$A37)^DCF_Base!$C$4:$L$4)+MAX(0,MIN(IF($A37&gt;F$32,DCF_Base!$L$24*(1+F$32)/($A37-F$32),Assumptions!$B$4*DCF_Base!$L$24),Assumptions!$B$4*DCF_Base!$L$24))/(1+$A37)^10+Assumptions!$B$6)/Assumptions!$B$7*Assumptions!$B$10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2026-09-21T11:22:41Z</dcterms:created>
  <dcterms:modified xsi:type="dcterms:W3CDTF">2026-09-21T11:22:41Z</dcterms:modified>
</cp:coreProperties>
</file>