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<sst xmlns="http://schemas.openxmlformats.org/spreadsheetml/2006/main" count="362" uniqueCount="172">
  <si>
    <t xml:space="preserve">Ticker</t>
  </si>
  <si>
    <t xml:space="preserve">NTR.TO</t>
  </si>
  <si>
    <t xml:space="preserve">Company</t>
  </si>
  <si>
    <t xml:space="preserve">Nutrien Ltd.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</si>
  <si>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</si>
  <si>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</si>
  <si>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</si>
  <si>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</si>
  <si>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</si>
  <si>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</si>
  <si>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</si>
  <si>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</si>
  <si>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</si>
  <si>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</si>
  <si>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</si>
  <si>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</si>
  <si>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CAD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</si>
  <si>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</si>
  <si>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</si>
  <si>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</si>
  <si>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</si>
  <si>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</si>
  <si>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2026-10-10T09:28:14Z</t>
  </si>
  <si>
    <t xml:space="preserve">Drivers file</t>
  </si>
  <si>
    <t xml:space="preserve">NTR.TO_Drivers.json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</si>
  <si>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</si>
  <si>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</si>
  <si>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</si>
  <si>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Nutrien on mid-cycle, not on the year in hand. Adjusted EBITDA has ranged 3.5B-12.2B since the merger; the base case capitalizes the FY2023-25 average margin (~21% adjusted) on lowered capex guidance, with leases charged once as operating cost and the Jansen supply wave priced as a 2027 stall in the base and a price reset in the bear. Risk sits in the flows and the 25/50/25 weights, never in the 8% USD WACC.
key_risks_to_valuation: BHP Jansen Stage 1 (4.15 Mtpa) and Stage 2 (~8.5 Mtpa total) reset long-run potash pricing below the mid-cycle anchor; Natural gas cost sensitivity (~$180M EBITDA per $1/MMBtu) and reversal of the 2026 nitrogen tightness; Phosphate/Trinidad/Brazil Retail strategic review outcomes and sale prices; Terminal multiple: the 15x cap (12x bear) binds below Gordon at 8%/2.5%, so value is sensitive to the cap chosen for a cyclical; USD/CAD: values are USD economics converted at a dated spot rate</t>
  </si>
  <si>
    <t xml:space="preserve">Data sources</t>
  </si>
  <si>
    <t xml:space="preserve">price: Yahoo Finance chart API (NTR.TO, TSX, CAD) at inputs.price_as_of; 52-week range CAD 74.77-116.95; NYSE NTR and USDCAD=X used for the parity check in inputs.fx_note
financials: NTR.TO_Metrics.csv / core_metrics (USD millions, FY2018-FY2025 and quarters to Q2 2026); FY2025 Annual MD&amp;A (adjusted EBITDA and FCF reconciliations, lines ~1880-2006); FY2025 Financials (lease interest 65, lease principal 419); Q2 2026 MD&amp;A (2026 guidance as of 5-Aug-2026, balance sheet at 30-Jun-2026) and Financials (diluted shares, lease liabilities)
qualitative: NTR.TO_Analysis.json</t>
  </si>
  <si>
    <t xml:space="preserve">Scenario narrative: bear</t>
  </si>
  <si>
    <t xml:space="preserve">Jansen is the swing supplier the market fears: ~10% of global potash supply arriving low-cost from 2027 resets the potash price deck to the FY2024 level, nitrogen spreads compress as the 2026 disruption clears, US-China/US-Canada trade friction weighs on North American farm income and Brazil Retail credit stays tight. Revenue falls ~9% over FY2027-28 and margin bottoms at 17% (net), recovering only to 18%.</t>
  </si>
  <si>
    <t xml:space="preserve">Scenario narrative: base</t>
  </si>
  <si>
    <t xml:space="preserve">Mid-cycle Nutrien: a tight 2026 (record potash volumes, firm urea) does not become the new base. Revenue grows ~7.5% in FY2026 and stalls in FY2027 as BHP Jansen Stage 1 ramps, then grows 2-3% with Retail. Margin settles at the FY2023-25 average adjusted EBITDA margin (~21%, 20% after restructuring/ARO cash costs the company excludes), capex at the lowered ~$2.0B guide, cash tax at the guided 24-26% ETR. The FY2022 peak and FY2024 trough are both outside the anchor.</t>
  </si>
  <si>
    <t xml:space="preserve">Scenario narrative: bull</t>
  </si>
  <si>
    <t xml:space="preserve">The Saskatchewan cost position plus the world's largest ag retailer compound: potash demand growth absorbs Jansen and FSU supply without a price reset, Retail proprietary products keep expanding margin, and portfolio optimization (Phosphate, Trinidad, Brazil Retail exits; ~$200M savings) concentrates capital in the highest-return assets. Adjusted margin ~22.5%, revenue growth 3-4% early.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</si>
  <si>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</si>
  <si>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</si>
  <si>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</si>
  <si>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</si>
  <si>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</si>
  <si>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</si>
  <si>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</si>
  <si>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</si>
  <si>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</si>
  <si>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</si>
  <si>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</si>
  <si>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</si>
  <si>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</si>
  <si>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</si>
  <si>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</si>
  <si>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</si>
  <si>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</si>
  <si>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</si>
  <si>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</si>
  <si>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</si>
  <si>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</si>
  <si>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</si>
  <si>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</si>
  <si>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</si>
  <si>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</si>
  <si>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</si>
  <si>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</si>
  <si>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</si>
  <si>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CapexIntangibles</t>
  </si>
  <si>
    <t xml:space="preserve">CapexPPE</t>
  </si>
  <si>
    <t xml:space="preserve">InterestPaid</t>
  </si>
  <si>
    <t xml:space="preserve">LeasePrincipalPaid</t>
  </si>
  <si>
    <t xml:space="preserve">NetIncomeContinuing</t>
  </si>
  <si>
    <t xml:space="preserve">NetIncomeInclNCI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</si>
  <si>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</si>
  <si>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</si>
  <si>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</si>
  <si>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</si>
  <si>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</si>
  <si>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</si>
  <si>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</si>
  <si>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</si>
  <si>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</si>
  <si>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</si>
  <si>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</si>
  <si>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</si>
  <si>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</si>
  <si>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</si>
  <si>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</si>
  <si>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</si>
  <si>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</si>
  <si>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</si>
  <si>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</si>
  <si>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</si>
  <si>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</si>
  <si>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</si>
  <si>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</si>
  <si>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</si>
  <si>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</si>
  <si>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</si>
  <si>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</si>
  <si>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</si>
  <si>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</si>
  <si>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</si>
  <si>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</si>
  <si>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</si>
  <si>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</si>
  <si>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</si>
  <si>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</si>
  <si>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</si>
  <si>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</si>
  <si>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</si>
  <si>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</si>
  <si>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</si>
  <si>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</si>
  <si>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</si>
  <si>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</si>
  <si>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</si>
  <si>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</si>
  <si>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</si>
  <si>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NTR.TO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</si>
  <si>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</si>
  <si>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</si>
  <si>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</si>
  <si>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</si>
  <si>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</si>
  <si>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</si>
  <si>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</si>
  <si>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</si>
  <si>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</si>
  <si>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</si>
  <si>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</si>
  <si>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</si>
  <si>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</si>
  <si>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</si>
  <si>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</si>
  <si>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</si>
  <si>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</si>
  <si>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</si>
  <si>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</si>
  <si>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</si>
  <si>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</si>
  <si>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</si>
  <si>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</si>
  <si>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</si>
  <si>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</si>
  <si>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</si>
  <si>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</si>
  <si>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</si>
  <si>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</si>
  <si>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</si>
  <si>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NTR.TO owner-FCF component DCF: base case (millions, USD)</t>
  </si>
  <si>
    <t xml:space="preserve">NTR.TO owner-FCF component DCF: bull case (millions, USD)</t>
  </si>
  <si>
    <t xml:space="preserve">NTR.TO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</si>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</sst>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96.33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</row>
    <row r="2" customFormat="false" ht="15" hidden="false" customHeight="false" outlineLevel="0" collapsed="false">
      <c r="A2" s="0" t="s">
        <v>72</v>
      </c>
      <c r="B2" s="0" t="n">
        <v>19636</v>
      </c>
      <c r="C2" s="0" t="n">
        <v>14244</v>
      </c>
      <c r="D2" s="0" t="n">
        <v>5392</v>
      </c>
      <c r="E2" s="0" t="n">
        <v>27.5</v>
      </c>
      <c r="F2" s="0" t="n">
        <v>414</v>
      </c>
      <c r="G2" s="0" t="n">
        <v>2.1</v>
      </c>
      <c r="H2" s="0" t="n">
        <v>2006</v>
      </c>
      <c r="I2" s="0" t="n">
        <v>3573</v>
      </c>
      <c r="J2" s="0" t="n">
        <v>18.2</v>
      </c>
      <c r="K2" s="0" t="n">
        <v>5.72</v>
      </c>
      <c r="L2" s="0" t="n">
        <v>2052</v>
      </c>
      <c r="M2" s="0" t="n">
        <v>1405</v>
      </c>
      <c r="N2" s="0" t="n">
        <v>647</v>
      </c>
      <c r="O2" s="0" t="n">
        <v>24425</v>
      </c>
      <c r="P2" s="0" t="n">
        <v>45502</v>
      </c>
      <c r="Q2" s="0" t="n">
        <v>21077</v>
      </c>
      <c r="R2" s="0" t="n">
        <v>9223</v>
      </c>
      <c r="S2" s="0" t="n">
        <v>2314</v>
      </c>
      <c r="T2" s="0" t="n">
        <v>624.9</v>
      </c>
      <c r="U2" s="0" t="n">
        <v>116</v>
      </c>
      <c r="AA2" s="0" t="s">
        <v>18</v>
      </c>
      <c r="AB2" s="0" t="s">
        <v>14</v>
      </c>
      <c r="AC2" s="0" t="n">
        <v>5.72</v>
      </c>
      <c r="AE2" s="0" t="n">
        <v>1405</v>
      </c>
      <c r="AF2" s="0" t="n">
        <v>507</v>
      </c>
      <c r="AH2" s="0" t="n">
        <v>-31</v>
      </c>
      <c r="AI2" s="0" t="n">
        <v>3573</v>
      </c>
      <c r="AJ2" s="0" t="n">
        <v>24425</v>
      </c>
    </row>
    <row r="3" customFormat="false" ht="15" hidden="false" customHeight="false" outlineLevel="0" collapsed="false">
      <c r="A3" s="0" t="s">
        <v>73</v>
      </c>
      <c r="B3" s="0" t="n">
        <v>20023</v>
      </c>
      <c r="C3" s="0" t="n">
        <v>14582</v>
      </c>
      <c r="D3" s="0" t="n">
        <v>5441</v>
      </c>
      <c r="E3" s="0" t="n">
        <v>27.2</v>
      </c>
      <c r="F3" s="0" t="n">
        <v>1862</v>
      </c>
      <c r="G3" s="0" t="n">
        <v>9.3</v>
      </c>
      <c r="H3" s="0" t="n">
        <v>3661</v>
      </c>
      <c r="I3" s="0" t="n">
        <v>992</v>
      </c>
      <c r="J3" s="0" t="n">
        <v>5</v>
      </c>
      <c r="K3" s="0" t="n">
        <v>1.7</v>
      </c>
      <c r="L3" s="0" t="n">
        <v>3665</v>
      </c>
      <c r="M3" s="0" t="n">
        <v>1891</v>
      </c>
      <c r="N3" s="0" t="n">
        <v>1774</v>
      </c>
      <c r="O3" s="0" t="n">
        <v>22869</v>
      </c>
      <c r="P3" s="0" t="n">
        <v>46799</v>
      </c>
      <c r="Q3" s="0" t="n">
        <v>23930</v>
      </c>
      <c r="R3" s="0" t="n">
        <v>11104</v>
      </c>
      <c r="S3" s="0" t="n">
        <v>671</v>
      </c>
      <c r="T3" s="0" t="n">
        <v>583.102</v>
      </c>
      <c r="U3" s="0" t="n">
        <v>104</v>
      </c>
      <c r="AA3" s="0" t="s">
        <v>18</v>
      </c>
      <c r="AB3" s="0" t="s">
        <v>14</v>
      </c>
      <c r="AC3" s="0" t="n">
        <v>1.7</v>
      </c>
      <c r="AD3" s="0" t="n">
        <v>163</v>
      </c>
      <c r="AE3" s="0" t="n">
        <v>1728</v>
      </c>
      <c r="AF3" s="0" t="n">
        <v>505</v>
      </c>
      <c r="AG3" s="0" t="n">
        <v>234</v>
      </c>
      <c r="AH3" s="0" t="n">
        <v>992</v>
      </c>
      <c r="AI3" s="0" t="n">
        <v>992</v>
      </c>
      <c r="AJ3" s="0" t="n">
        <v>22869</v>
      </c>
    </row>
    <row r="4" customFormat="false" ht="15" hidden="false" customHeight="false" outlineLevel="0" collapsed="false">
      <c r="A4" s="0" t="s">
        <v>74</v>
      </c>
      <c r="B4" s="0" t="n">
        <v>20908</v>
      </c>
      <c r="C4" s="0" t="n">
        <v>15669</v>
      </c>
      <c r="D4" s="0" t="n">
        <v>5239</v>
      </c>
      <c r="E4" s="0" t="n">
        <v>25.1</v>
      </c>
      <c r="F4" s="0" t="n">
        <v>902</v>
      </c>
      <c r="G4" s="0" t="n">
        <v>4.3</v>
      </c>
      <c r="H4" s="0" t="n">
        <v>2891</v>
      </c>
      <c r="I4" s="0" t="n">
        <v>459</v>
      </c>
      <c r="J4" s="0" t="n">
        <v>2.2</v>
      </c>
      <c r="K4" s="0" t="n">
        <v>0.81</v>
      </c>
      <c r="L4" s="0" t="n">
        <v>3323</v>
      </c>
      <c r="M4" s="0" t="n">
        <v>1549</v>
      </c>
      <c r="N4" s="0" t="n">
        <v>1774</v>
      </c>
      <c r="O4" s="0" t="n">
        <v>22365</v>
      </c>
      <c r="P4" s="0" t="n">
        <v>47192</v>
      </c>
      <c r="Q4" s="0" t="n">
        <v>24827</v>
      </c>
      <c r="R4" s="0" t="n">
        <v>11360</v>
      </c>
      <c r="S4" s="0" t="n">
        <v>1454</v>
      </c>
      <c r="T4" s="0" t="n">
        <v>569.686</v>
      </c>
      <c r="U4" s="0" t="n">
        <v>69</v>
      </c>
      <c r="AA4" s="0" t="s">
        <v>18</v>
      </c>
      <c r="AB4" s="0" t="s">
        <v>14</v>
      </c>
      <c r="AC4" s="0" t="n">
        <v>0.81</v>
      </c>
      <c r="AD4" s="0" t="n">
        <v>126</v>
      </c>
      <c r="AE4" s="0" t="n">
        <v>1423</v>
      </c>
      <c r="AF4" s="0" t="n">
        <v>498</v>
      </c>
      <c r="AG4" s="0" t="n">
        <v>274</v>
      </c>
      <c r="AI4" s="0" t="n">
        <v>459</v>
      </c>
      <c r="AJ4" s="0" t="n">
        <v>22365</v>
      </c>
    </row>
    <row r="5" customFormat="false" ht="15" hidden="false" customHeight="false" outlineLevel="0" collapsed="false">
      <c r="A5" s="0" t="s">
        <v>75</v>
      </c>
      <c r="B5" s="0" t="n">
        <v>27712</v>
      </c>
      <c r="C5" s="0" t="n">
        <v>18303</v>
      </c>
      <c r="D5" s="0" t="n">
        <v>9409</v>
      </c>
      <c r="E5" s="0" t="n">
        <v>34</v>
      </c>
      <c r="F5" s="0" t="n">
        <v>4781</v>
      </c>
      <c r="G5" s="0" t="n">
        <v>17.3</v>
      </c>
      <c r="H5" s="0" t="n">
        <v>6732</v>
      </c>
      <c r="I5" s="0" t="n">
        <v>3153</v>
      </c>
      <c r="J5" s="0" t="n">
        <v>11.4</v>
      </c>
      <c r="K5" s="0" t="n">
        <v>5.52</v>
      </c>
      <c r="L5" s="0" t="n">
        <v>3886</v>
      </c>
      <c r="M5" s="0" t="n">
        <v>1783</v>
      </c>
      <c r="N5" s="0" t="n">
        <v>2103</v>
      </c>
      <c r="O5" s="0" t="n">
        <v>23652</v>
      </c>
      <c r="P5" s="0" t="n">
        <v>49954</v>
      </c>
      <c r="Q5" s="0" t="n">
        <v>26255</v>
      </c>
      <c r="R5" s="0" t="n">
        <v>10846</v>
      </c>
      <c r="S5" s="0" t="n">
        <v>499</v>
      </c>
      <c r="T5" s="0" t="n">
        <v>571.289</v>
      </c>
      <c r="U5" s="0" t="n">
        <v>198</v>
      </c>
      <c r="AA5" s="0" t="s">
        <v>18</v>
      </c>
      <c r="AB5" s="0" t="s">
        <v>14</v>
      </c>
      <c r="AC5" s="0" t="n">
        <v>5.53</v>
      </c>
      <c r="AF5" s="0" t="n">
        <v>491</v>
      </c>
      <c r="AG5" s="0" t="n">
        <v>320</v>
      </c>
      <c r="AI5" s="0" t="n">
        <v>3179</v>
      </c>
      <c r="AJ5" s="0" t="n">
        <v>23699</v>
      </c>
    </row>
    <row r="6" customFormat="false" ht="15" hidden="false" customHeight="false" outlineLevel="0" collapsed="false">
      <c r="A6" s="0" t="s">
        <v>76</v>
      </c>
      <c r="B6" s="0" t="n">
        <v>37884</v>
      </c>
      <c r="C6" s="0" t="n">
        <v>22460</v>
      </c>
      <c r="D6" s="0" t="n">
        <v>15424</v>
      </c>
      <c r="E6" s="0" t="n">
        <v>40.7</v>
      </c>
      <c r="F6" s="0" t="n">
        <v>10809</v>
      </c>
      <c r="G6" s="0" t="n">
        <v>28.5</v>
      </c>
      <c r="H6" s="0" t="n">
        <v>12821</v>
      </c>
      <c r="I6" s="0" t="n">
        <v>7660</v>
      </c>
      <c r="J6" s="0" t="n">
        <v>20.2</v>
      </c>
      <c r="K6" s="0" t="n">
        <v>14.18</v>
      </c>
      <c r="L6" s="0" t="n">
        <v>8110</v>
      </c>
      <c r="M6" s="0" t="n">
        <v>2438</v>
      </c>
      <c r="N6" s="0" t="n">
        <v>5672</v>
      </c>
      <c r="O6" s="0" t="n">
        <v>25818</v>
      </c>
      <c r="P6" s="0" t="n">
        <v>54586</v>
      </c>
      <c r="Q6" s="0" t="n">
        <v>28723</v>
      </c>
      <c r="R6" s="0" t="n">
        <v>11928</v>
      </c>
      <c r="S6" s="0" t="n">
        <v>901</v>
      </c>
      <c r="T6" s="0" t="n">
        <v>540.01</v>
      </c>
      <c r="U6" s="0" t="n">
        <v>63</v>
      </c>
      <c r="AA6" s="0" t="s">
        <v>18</v>
      </c>
      <c r="AB6" s="0" t="s">
        <v>14</v>
      </c>
      <c r="AC6" s="0" t="n">
        <v>14.22</v>
      </c>
      <c r="AF6" s="0" t="n">
        <v>482</v>
      </c>
      <c r="AG6" s="0" t="n">
        <v>341</v>
      </c>
      <c r="AI6" s="0" t="n">
        <v>7687</v>
      </c>
      <c r="AJ6" s="0" t="n">
        <v>25863</v>
      </c>
    </row>
    <row r="7" customFormat="false" ht="15" hidden="false" customHeight="false" outlineLevel="0" collapsed="false">
      <c r="A7" s="0" t="s">
        <v>77</v>
      </c>
      <c r="B7" s="0" t="n">
        <v>29056</v>
      </c>
      <c r="C7" s="0" t="n">
        <v>20582</v>
      </c>
      <c r="D7" s="0" t="n">
        <v>8474</v>
      </c>
      <c r="E7" s="0" t="n">
        <v>29.2</v>
      </c>
      <c r="F7" s="0" t="n">
        <v>2745</v>
      </c>
      <c r="G7" s="0" t="n">
        <v>9.4</v>
      </c>
      <c r="H7" s="0" t="n">
        <v>4914</v>
      </c>
      <c r="I7" s="0" t="n">
        <v>1258</v>
      </c>
      <c r="J7" s="0" t="n">
        <v>4.3</v>
      </c>
      <c r="K7" s="0" t="n">
        <v>2.53</v>
      </c>
      <c r="L7" s="0" t="n">
        <v>5066</v>
      </c>
      <c r="M7" s="0" t="n">
        <v>2671</v>
      </c>
      <c r="N7" s="0" t="n">
        <v>2395</v>
      </c>
      <c r="O7" s="0" t="n">
        <v>25156</v>
      </c>
      <c r="P7" s="0" t="n">
        <v>52749</v>
      </c>
      <c r="Q7" s="0" t="n">
        <v>27548</v>
      </c>
      <c r="R7" s="0" t="n">
        <v>12566</v>
      </c>
      <c r="S7" s="0" t="n">
        <v>941</v>
      </c>
      <c r="T7" s="0" t="n">
        <v>496.994</v>
      </c>
      <c r="U7" s="0" t="n">
        <v>-14</v>
      </c>
      <c r="AA7" s="0" t="s">
        <v>18</v>
      </c>
      <c r="AB7" s="0" t="s">
        <v>14</v>
      </c>
      <c r="AC7" s="0" t="n">
        <v>2.53</v>
      </c>
      <c r="AF7" s="0" t="n">
        <v>729</v>
      </c>
      <c r="AG7" s="0" t="n">
        <v>375</v>
      </c>
      <c r="AI7" s="0" t="n">
        <v>1282</v>
      </c>
      <c r="AJ7" s="0" t="n">
        <v>25201</v>
      </c>
    </row>
    <row r="8" customFormat="false" ht="15" hidden="false" customHeight="false" outlineLevel="0" collapsed="false">
      <c r="A8" s="0" t="s">
        <v>78</v>
      </c>
      <c r="B8" s="0" t="n">
        <v>25972</v>
      </c>
      <c r="C8" s="0" t="n">
        <v>18442</v>
      </c>
      <c r="D8" s="0" t="n">
        <v>7530</v>
      </c>
      <c r="E8" s="0" t="n">
        <v>29</v>
      </c>
      <c r="F8" s="0" t="n">
        <v>1856</v>
      </c>
      <c r="G8" s="0" t="n">
        <v>7.1</v>
      </c>
      <c r="H8" s="0" t="n">
        <v>4195</v>
      </c>
      <c r="I8" s="0" t="n">
        <v>674</v>
      </c>
      <c r="J8" s="0" t="n">
        <v>2.6</v>
      </c>
      <c r="K8" s="0" t="n">
        <v>1.36</v>
      </c>
      <c r="L8" s="0" t="n">
        <v>3535</v>
      </c>
      <c r="M8" s="0" t="n">
        <v>2154</v>
      </c>
      <c r="N8" s="0" t="n">
        <v>1381</v>
      </c>
      <c r="O8" s="0" t="n">
        <v>24407</v>
      </c>
      <c r="P8" s="0" t="n">
        <v>51840</v>
      </c>
      <c r="Q8" s="0" t="n">
        <v>27398</v>
      </c>
      <c r="R8" s="0" t="n">
        <v>12807</v>
      </c>
      <c r="S8" s="0" t="n">
        <v>853</v>
      </c>
      <c r="T8" s="0" t="n">
        <v>494.365</v>
      </c>
      <c r="U8" s="0" t="n">
        <v>37</v>
      </c>
      <c r="AA8" s="0" t="s">
        <v>18</v>
      </c>
      <c r="AB8" s="0" t="s">
        <v>14</v>
      </c>
      <c r="AC8" s="0" t="n">
        <v>1.36</v>
      </c>
      <c r="AF8" s="0" t="n">
        <v>740</v>
      </c>
      <c r="AG8" s="0" t="n">
        <v>402</v>
      </c>
      <c r="AI8" s="0" t="n">
        <v>700</v>
      </c>
      <c r="AJ8" s="0" t="n">
        <v>24442</v>
      </c>
    </row>
    <row r="9" customFormat="false" ht="15" hidden="false" customHeight="false" outlineLevel="0" collapsed="false">
      <c r="A9" s="0" t="s">
        <v>79</v>
      </c>
      <c r="B9" s="0" t="n">
        <v>26885</v>
      </c>
      <c r="C9" s="0" t="n">
        <v>18538</v>
      </c>
      <c r="D9" s="0" t="n">
        <v>8347</v>
      </c>
      <c r="E9" s="0" t="n">
        <v>31</v>
      </c>
      <c r="F9" s="0" t="n">
        <v>3736</v>
      </c>
      <c r="G9" s="0" t="n">
        <v>13.9</v>
      </c>
      <c r="H9" s="0" t="n">
        <v>6105</v>
      </c>
      <c r="I9" s="0" t="n">
        <v>2267</v>
      </c>
      <c r="J9" s="0" t="n">
        <v>8.4</v>
      </c>
      <c r="K9" s="0" t="n">
        <v>4.66</v>
      </c>
      <c r="L9" s="0" t="n">
        <v>4007</v>
      </c>
      <c r="M9" s="0" t="n">
        <v>2005</v>
      </c>
      <c r="N9" s="0" t="n">
        <v>2002</v>
      </c>
      <c r="O9" s="0" t="n">
        <v>25323</v>
      </c>
      <c r="P9" s="0" t="n">
        <v>52301</v>
      </c>
      <c r="Q9" s="0" t="n">
        <v>26936</v>
      </c>
      <c r="R9" s="0" t="n">
        <v>12019</v>
      </c>
      <c r="S9" s="0" t="n">
        <v>701</v>
      </c>
      <c r="T9" s="0" t="n">
        <v>486.518</v>
      </c>
      <c r="U9" s="0" t="n">
        <v>163</v>
      </c>
      <c r="AA9" s="0" t="s">
        <v>18</v>
      </c>
      <c r="AB9" s="0" t="s">
        <v>14</v>
      </c>
      <c r="AC9" s="0" t="n">
        <v>4.66</v>
      </c>
      <c r="AF9" s="0" t="n">
        <v>738</v>
      </c>
      <c r="AG9" s="0" t="n">
        <v>419</v>
      </c>
      <c r="AI9" s="0" t="n">
        <v>2297</v>
      </c>
      <c r="AJ9" s="0" t="n">
        <v>25365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96.33</v>
      </c>
    </row>
    <row r="3" customFormat="false" ht="15" hidden="false" customHeight="false" outlineLevel="0" collapsed="false">
      <c r="A3" s="0" t="s">
        <v>83</v>
      </c>
      <c r="B3" s="3" t="n">
        <v>479.824</v>
      </c>
    </row>
    <row r="4" customFormat="false" ht="15" hidden="false" customHeight="false" outlineLevel="0" collapsed="false">
      <c r="A4" s="0" t="s">
        <v>84</v>
      </c>
      <c r="B4" s="3" t="n">
        <v>10467</v>
      </c>
    </row>
    <row r="5" customFormat="false" ht="15" hidden="false" customHeight="false" outlineLevel="0" collapsed="false">
      <c r="A5" s="0" t="s">
        <v>85</v>
      </c>
      <c r="B5" s="3" t="n">
        <v>-36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26885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1.4254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5</v>
      </c>
      <c r="D13" s="3" t="n">
        <v>-6</v>
      </c>
      <c r="E13" s="3" t="n">
        <v>-3</v>
      </c>
      <c r="F13" s="3" t="n">
        <v>2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20</v>
      </c>
      <c r="D14" s="3" t="n">
        <v>18</v>
      </c>
      <c r="E14" s="3" t="n">
        <v>17</v>
      </c>
      <c r="F14" s="3" t="n">
        <v>17.5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105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106</v>
      </c>
      <c r="C16" s="3" t="n">
        <v>1.8</v>
      </c>
      <c r="D16" s="3" t="n">
        <v>1.8</v>
      </c>
      <c r="E16" s="3" t="n">
        <v>1.8</v>
      </c>
      <c r="F16" s="3" t="n">
        <v>1.8</v>
      </c>
      <c r="G16" s="3" t="n">
        <v>1.8</v>
      </c>
      <c r="H16" s="3" t="n">
        <v>1.8</v>
      </c>
      <c r="I16" s="3" t="n">
        <v>1.8</v>
      </c>
      <c r="J16" s="3" t="n">
        <v>1.8</v>
      </c>
      <c r="K16" s="3" t="n">
        <v>1.8</v>
      </c>
      <c r="L16" s="3" t="n">
        <v>1.8</v>
      </c>
    </row>
    <row r="17" customFormat="false" ht="15" hidden="false" customHeight="false" outlineLevel="0" collapsed="false">
      <c r="A17" s="0" t="s">
        <v>107</v>
      </c>
      <c r="C17" s="3" t="n">
        <v>7</v>
      </c>
      <c r="D17" s="3" t="n">
        <v>7.2</v>
      </c>
      <c r="E17" s="3" t="n">
        <v>7.4</v>
      </c>
      <c r="F17" s="3" t="n">
        <v>7.3</v>
      </c>
      <c r="G17" s="3" t="n">
        <v>7.2</v>
      </c>
      <c r="H17" s="3" t="n">
        <v>7.2</v>
      </c>
      <c r="I17" s="3" t="n">
        <v>7.2</v>
      </c>
      <c r="J17" s="3" t="n">
        <v>7.2</v>
      </c>
      <c r="K17" s="3" t="n">
        <v>7.2</v>
      </c>
      <c r="L17" s="3" t="n">
        <v>7.2</v>
      </c>
    </row>
    <row r="18" customFormat="false" ht="15" hidden="false" customHeight="false" outlineLevel="0" collapsed="false">
      <c r="A18" s="0" t="s">
        <v>108</v>
      </c>
      <c r="C18" s="3" t="n">
        <v>7</v>
      </c>
      <c r="D18" s="3" t="n">
        <v>7</v>
      </c>
      <c r="E18" s="3" t="n">
        <v>7</v>
      </c>
      <c r="F18" s="3" t="n">
        <v>7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109</v>
      </c>
      <c r="C19" s="3" t="n">
        <v>22</v>
      </c>
      <c r="D19" s="3" t="n">
        <v>24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110</v>
      </c>
      <c r="B20" s="3" t="n">
        <v>8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-10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7.5</v>
      </c>
      <c r="D27" s="3" t="n">
        <v>0.5</v>
      </c>
      <c r="E27" s="3" t="n">
        <v>2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21</v>
      </c>
      <c r="D28" s="3" t="n">
        <v>20.5</v>
      </c>
      <c r="E28" s="3" t="n">
        <v>20</v>
      </c>
      <c r="F28" s="3" t="n">
        <v>20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105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106</v>
      </c>
      <c r="C30" s="3" t="n">
        <v>1.8</v>
      </c>
      <c r="D30" s="3" t="n">
        <v>1.8</v>
      </c>
      <c r="E30" s="3" t="n">
        <v>1.8</v>
      </c>
      <c r="F30" s="3" t="n">
        <v>1.8</v>
      </c>
      <c r="G30" s="3" t="n">
        <v>1.8</v>
      </c>
      <c r="H30" s="3" t="n">
        <v>1.8</v>
      </c>
      <c r="I30" s="3" t="n">
        <v>1.8</v>
      </c>
      <c r="J30" s="3" t="n">
        <v>1.8</v>
      </c>
      <c r="K30" s="3" t="n">
        <v>1.8</v>
      </c>
      <c r="L30" s="3" t="n">
        <v>1.8</v>
      </c>
    </row>
    <row r="31" customFormat="false" ht="15" hidden="false" customHeight="false" outlineLevel="0" collapsed="false">
      <c r="A31" s="0" t="s">
        <v>107</v>
      </c>
      <c r="C31" s="3" t="n">
        <v>7</v>
      </c>
      <c r="D31" s="3" t="n">
        <v>7</v>
      </c>
      <c r="E31" s="3" t="n">
        <v>7</v>
      </c>
      <c r="F31" s="3" t="n">
        <v>7</v>
      </c>
      <c r="G31" s="3" t="n">
        <v>7</v>
      </c>
      <c r="H31" s="3" t="n">
        <v>7</v>
      </c>
      <c r="I31" s="3" t="n">
        <v>7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108</v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109</v>
      </c>
      <c r="C33" s="3" t="n">
        <v>22</v>
      </c>
      <c r="D33" s="3" t="n">
        <v>24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110</v>
      </c>
      <c r="B34" s="3" t="n">
        <v>8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-10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9</v>
      </c>
      <c r="D41" s="3" t="n">
        <v>4</v>
      </c>
      <c r="E41" s="3" t="n">
        <v>4</v>
      </c>
      <c r="F41" s="3" t="n">
        <v>3.5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104</v>
      </c>
      <c r="C42" s="3" t="n">
        <v>21.5</v>
      </c>
      <c r="D42" s="3" t="n">
        <v>21.5</v>
      </c>
      <c r="E42" s="3" t="n">
        <v>21.5</v>
      </c>
      <c r="F42" s="3" t="n">
        <v>21.5</v>
      </c>
      <c r="G42" s="3" t="n">
        <v>21.5</v>
      </c>
      <c r="H42" s="3" t="n">
        <v>21.5</v>
      </c>
      <c r="I42" s="3" t="n">
        <v>21.5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105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106</v>
      </c>
      <c r="C44" s="3" t="n">
        <v>1.8</v>
      </c>
      <c r="D44" s="3" t="n">
        <v>1.8</v>
      </c>
      <c r="E44" s="3" t="n">
        <v>1.8</v>
      </c>
      <c r="F44" s="3" t="n">
        <v>1.8</v>
      </c>
      <c r="G44" s="3" t="n">
        <v>1.8</v>
      </c>
      <c r="H44" s="3" t="n">
        <v>1.8</v>
      </c>
      <c r="I44" s="3" t="n">
        <v>1.8</v>
      </c>
      <c r="J44" s="3" t="n">
        <v>1.8</v>
      </c>
      <c r="K44" s="3" t="n">
        <v>1.8</v>
      </c>
      <c r="L44" s="3" t="n">
        <v>1.8</v>
      </c>
    </row>
    <row r="45" customFormat="false" ht="15" hidden="false" customHeight="false" outlineLevel="0" collapsed="false">
      <c r="A45" s="0" t="s">
        <v>107</v>
      </c>
      <c r="C45" s="3" t="n">
        <v>7</v>
      </c>
      <c r="D45" s="3" t="n">
        <v>7</v>
      </c>
      <c r="E45" s="3" t="n">
        <v>7</v>
      </c>
      <c r="F45" s="3" t="n">
        <v>7</v>
      </c>
      <c r="G45" s="3" t="n">
        <v>7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108</v>
      </c>
      <c r="C46" s="3" t="n">
        <v>7</v>
      </c>
      <c r="D46" s="3" t="n">
        <v>7</v>
      </c>
      <c r="E46" s="3" t="n">
        <v>7</v>
      </c>
      <c r="F46" s="3" t="n">
        <v>7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109</v>
      </c>
      <c r="C47" s="3" t="n">
        <v>22</v>
      </c>
      <c r="D47" s="3" t="n">
        <v>24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110</v>
      </c>
      <c r="B48" s="3" t="n">
        <v>8</v>
      </c>
    </row>
    <row r="49" customFormat="false" ht="15" hidden="false" customHeight="false" outlineLevel="0" collapsed="false">
      <c r="A49" s="0" t="s">
        <v>111</v>
      </c>
      <c r="B49" s="3" t="n">
        <v>2.5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-10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5</v>
      </c>
      <c r="D5" s="4" t="n">
        <f aca="false">Assumptions!D13</f>
        <v>-6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26885</v>
      </c>
      <c r="C6" s="0" t="n">
        <f aca="false">B6*(1+C5/100)</f>
        <v>28229.25</v>
      </c>
      <c r="D6" s="0" t="n">
        <f aca="false">C6*(1+D5/100)</f>
        <v>26535.495</v>
      </c>
      <c r="E6" s="0" t="n">
        <f aca="false">D6*(1+E5/100)</f>
        <v>25739.43015</v>
      </c>
      <c r="F6" s="0" t="n">
        <f aca="false">E6*(1+F5/100)</f>
        <v>26254.218753</v>
      </c>
      <c r="G6" s="0" t="n">
        <f aca="false">F6*(1+G5/100)</f>
        <v>27041.84531559</v>
      </c>
      <c r="H6" s="0" t="n">
        <f aca="false">G6*(1+H5/100)</f>
        <v>27853.1006750577</v>
      </c>
      <c r="I6" s="0" t="n">
        <f aca="false">H6*(1+I5/100)</f>
        <v>28549.4281919341</v>
      </c>
      <c r="J6" s="0" t="n">
        <f aca="false">I6*(1+J5/100)</f>
        <v>29120.4167557728</v>
      </c>
      <c r="K6" s="0" t="n">
        <f aca="false">J6*(1+K5/100)</f>
        <v>29702.8250908883</v>
      </c>
      <c r="L6" s="0" t="n">
        <f aca="false">K6*(1+L5/100)</f>
        <v>30296.8815927061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20</v>
      </c>
      <c r="D7" s="4" t="n">
        <f aca="false">Assumptions!D14</f>
        <v>18</v>
      </c>
      <c r="E7" s="4" t="n">
        <f aca="false">Assumptions!E14</f>
        <v>17</v>
      </c>
      <c r="F7" s="4" t="n">
        <f aca="false">Assumptions!F14</f>
        <v>17.5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5645.85</v>
      </c>
      <c r="D8" s="0" t="n">
        <f aca="false">D6*D7/100</f>
        <v>4776.3891</v>
      </c>
      <c r="E8" s="0" t="n">
        <f aca="false">E6*E7/100</f>
        <v>4375.7031255</v>
      </c>
      <c r="F8" s="0" t="n">
        <f aca="false">F6*F7/100</f>
        <v>4594.488281775</v>
      </c>
      <c r="G8" s="0" t="n">
        <f aca="false">G6*G7/100</f>
        <v>4867.5321568062</v>
      </c>
      <c r="H8" s="0" t="n">
        <f aca="false">H6*H7/100</f>
        <v>5013.55812151039</v>
      </c>
      <c r="I8" s="0" t="n">
        <f aca="false">I6*I7/100</f>
        <v>5138.89707454815</v>
      </c>
      <c r="J8" s="0" t="n">
        <f aca="false">J6*J7/100</f>
        <v>5241.67501603911</v>
      </c>
      <c r="K8" s="0" t="n">
        <f aca="false">K6*K7/100</f>
        <v>5346.50851635989</v>
      </c>
      <c r="L8" s="0" t="n">
        <f aca="false">L6*L7/100</f>
        <v>5453.43868668709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-112.917</v>
      </c>
      <c r="D10" s="0" t="n">
        <f aca="false">-D6*D9/100</f>
        <v>-106.14198</v>
      </c>
      <c r="E10" s="0" t="n">
        <f aca="false">-E6*E9/100</f>
        <v>-102.9577206</v>
      </c>
      <c r="F10" s="0" t="n">
        <f aca="false">-F6*F9/100</f>
        <v>-105.016875012</v>
      </c>
      <c r="G10" s="0" t="n">
        <f aca="false">-G6*G9/100</f>
        <v>-108.16738126236</v>
      </c>
      <c r="H10" s="0" t="n">
        <f aca="false">-H6*H9/100</f>
        <v>-111.412402700231</v>
      </c>
      <c r="I10" s="0" t="n">
        <f aca="false">-I6*I9/100</f>
        <v>-114.197712767737</v>
      </c>
      <c r="J10" s="0" t="n">
        <f aca="false">-J6*J9/100</f>
        <v>-116.481667023091</v>
      </c>
      <c r="K10" s="0" t="n">
        <f aca="false">-K6*K9/100</f>
        <v>-118.811300363553</v>
      </c>
      <c r="L10" s="0" t="n">
        <f aca="false">-L6*L9/100</f>
        <v>-121.187526370824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5024.8065</v>
      </c>
      <c r="D11" s="0" t="n">
        <f aca="false">D8+D10+D24</f>
        <v>4192.60821</v>
      </c>
      <c r="E11" s="0" t="n">
        <f aca="false">E8+E10+E24</f>
        <v>3809.4356622</v>
      </c>
      <c r="F11" s="0" t="n">
        <f aca="false">F8+F10+F24</f>
        <v>4016.895469209</v>
      </c>
      <c r="G11" s="0" t="n">
        <f aca="false">G8+G10+G24</f>
        <v>4272.61155986322</v>
      </c>
      <c r="H11" s="0" t="n">
        <f aca="false">H8+H10+H24</f>
        <v>4400.78990665912</v>
      </c>
      <c r="I11" s="0" t="n">
        <f aca="false">I8+I10+I24</f>
        <v>4510.80965432559</v>
      </c>
      <c r="J11" s="0" t="n">
        <f aca="false">J8+J10+J24</f>
        <v>4601.02584741211</v>
      </c>
      <c r="K11" s="0" t="n">
        <f aca="false">K8+K10+K24</f>
        <v>4693.04636436035</v>
      </c>
      <c r="L11" s="0" t="n">
        <f aca="false">L8+L10+L24</f>
        <v>4786.90729164756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-1976.0475</v>
      </c>
      <c r="D12" s="4" t="n">
        <f aca="false">-D6*Assumptions!D17/100</f>
        <v>-1910.55564</v>
      </c>
      <c r="E12" s="4" t="n">
        <f aca="false">-E6*Assumptions!E17/100</f>
        <v>-1904.7178311</v>
      </c>
      <c r="F12" s="4" t="n">
        <f aca="false">-F6*Assumptions!F17/100</f>
        <v>-1916.557968969</v>
      </c>
      <c r="G12" s="4" t="n">
        <f aca="false">-G6*Assumptions!G17/100</f>
        <v>-1947.01286272248</v>
      </c>
      <c r="H12" s="4" t="n">
        <f aca="false">-H6*Assumptions!H17/100</f>
        <v>-2005.42324860415</v>
      </c>
      <c r="I12" s="4" t="n">
        <f aca="false">-I6*Assumptions!I17/100</f>
        <v>-2055.55882981926</v>
      </c>
      <c r="J12" s="4" t="n">
        <f aca="false">-J6*Assumptions!J17/100</f>
        <v>-2096.67000641564</v>
      </c>
      <c r="K12" s="4" t="n">
        <f aca="false">-K6*Assumptions!K17/100</f>
        <v>-2138.60340654396</v>
      </c>
      <c r="L12" s="4" t="n">
        <f aca="false">-L6*Assumptions!L17/100</f>
        <v>-2181.37547467484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3048.759</v>
      </c>
      <c r="D13" s="0" t="n">
        <f aca="false">D11+D12</f>
        <v>2282.05257</v>
      </c>
      <c r="E13" s="0" t="n">
        <f aca="false">E11+E12</f>
        <v>1904.7178311</v>
      </c>
      <c r="F13" s="0" t="n">
        <f aca="false">F11+F12</f>
        <v>2100.33750024</v>
      </c>
      <c r="G13" s="0" t="n">
        <f aca="false">G11+G12</f>
        <v>2325.59869714074</v>
      </c>
      <c r="H13" s="0" t="n">
        <f aca="false">H11+H12</f>
        <v>2395.36665805496</v>
      </c>
      <c r="I13" s="0" t="n">
        <f aca="false">I11+I12</f>
        <v>2455.25082450634</v>
      </c>
      <c r="J13" s="0" t="n">
        <f aca="false">J11+J12</f>
        <v>2504.35584099646</v>
      </c>
      <c r="K13" s="0" t="n">
        <f aca="false">K11+K12</f>
        <v>2554.44295781639</v>
      </c>
      <c r="L13" s="0" t="n">
        <f aca="false">L11+L12</f>
        <v>2605.53181697272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22</v>
      </c>
      <c r="D14" s="4" t="n">
        <f aca="false">Assumptions!D19</f>
        <v>24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2378.03202</v>
      </c>
      <c r="D15" s="0" t="n">
        <f aca="false">D13-MAX(0,D13)*D14/100</f>
        <v>1734.3599532</v>
      </c>
      <c r="E15" s="0" t="n">
        <f aca="false">E13-MAX(0,E13)*E14/100</f>
        <v>1428.538373325</v>
      </c>
      <c r="F15" s="0" t="n">
        <f aca="false">F13-MAX(0,F13)*F14/100</f>
        <v>1575.25312518</v>
      </c>
      <c r="G15" s="0" t="n">
        <f aca="false">G13-MAX(0,G13)*G14/100</f>
        <v>1744.19902285555</v>
      </c>
      <c r="H15" s="0" t="n">
        <f aca="false">H13-MAX(0,H13)*H14/100</f>
        <v>1796.52499354122</v>
      </c>
      <c r="I15" s="0" t="n">
        <f aca="false">I13-MAX(0,I13)*I14/100</f>
        <v>1841.43811837975</v>
      </c>
      <c r="J15" s="0" t="n">
        <f aca="false">J13-MAX(0,J13)*J14/100</f>
        <v>1878.26688074735</v>
      </c>
      <c r="K15" s="0" t="n">
        <f aca="false">K13-MAX(0,K13)*K14/100</f>
        <v>1915.83221836229</v>
      </c>
      <c r="L15" s="0" t="n">
        <f aca="false">L13-MAX(0,L13)*L14/100</f>
        <v>1954.14886272954</v>
      </c>
    </row>
    <row r="16" customFormat="false" ht="15" hidden="false" customHeight="false" outlineLevel="0" collapsed="false">
      <c r="A16" s="0" t="s">
        <v>125</v>
      </c>
      <c r="C16" s="0" t="n">
        <f aca="false">-C12</f>
        <v>1976.0475</v>
      </c>
      <c r="D16" s="0" t="n">
        <f aca="false">-D12</f>
        <v>1910.55564</v>
      </c>
      <c r="E16" s="0" t="n">
        <f aca="false">-E12</f>
        <v>1904.7178311</v>
      </c>
      <c r="F16" s="0" t="n">
        <f aca="false">-F12</f>
        <v>1916.557968969</v>
      </c>
      <c r="G16" s="0" t="n">
        <f aca="false">-G12</f>
        <v>1947.01286272248</v>
      </c>
      <c r="H16" s="0" t="n">
        <f aca="false">-H12</f>
        <v>2005.42324860415</v>
      </c>
      <c r="I16" s="0" t="n">
        <f aca="false">-I12</f>
        <v>2055.55882981926</v>
      </c>
      <c r="J16" s="0" t="n">
        <f aca="false">-J12</f>
        <v>2096.67000641564</v>
      </c>
      <c r="K16" s="0" t="n">
        <f aca="false">-K12</f>
        <v>2138.60340654396</v>
      </c>
      <c r="L16" s="0" t="n">
        <f aca="false">-L12</f>
        <v>2181.37547467484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-1976.0475</v>
      </c>
      <c r="D17" s="4" t="n">
        <f aca="false">-D6*Assumptions!D18/100</f>
        <v>-1857.48465</v>
      </c>
      <c r="E17" s="4" t="n">
        <f aca="false">-E6*Assumptions!E18/100</f>
        <v>-1801.7601105</v>
      </c>
      <c r="F17" s="4" t="n">
        <f aca="false">-F6*Assumptions!F18/100</f>
        <v>-1837.79531271</v>
      </c>
      <c r="G17" s="4" t="n">
        <f aca="false">-G6*Assumptions!G18/100</f>
        <v>-1892.9291720913</v>
      </c>
      <c r="H17" s="4" t="n">
        <f aca="false">-H6*Assumptions!H18/100</f>
        <v>-1949.71704725404</v>
      </c>
      <c r="I17" s="4" t="n">
        <f aca="false">-I6*Assumptions!I18/100</f>
        <v>-1998.45997343539</v>
      </c>
      <c r="J17" s="4" t="n">
        <f aca="false">-J6*Assumptions!J18/100</f>
        <v>-2038.4291729041</v>
      </c>
      <c r="K17" s="4" t="n">
        <f aca="false">-K6*Assumptions!K18/100</f>
        <v>-2079.19775636218</v>
      </c>
      <c r="L17" s="4" t="n">
        <f aca="false">-L6*Assumptions!L18/100</f>
        <v>-2120.78171148942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-134.425</v>
      </c>
      <c r="D18" s="4" t="n">
        <f aca="false">(D6-C6)*Assumptions!$B$23/100</f>
        <v>169.3755</v>
      </c>
      <c r="E18" s="4" t="n">
        <f aca="false">(E6-D6)*Assumptions!$B$23/100</f>
        <v>79.6064850000003</v>
      </c>
      <c r="F18" s="4" t="n">
        <f aca="false">(F6-E6)*Assumptions!$B$23/100</f>
        <v>-51.4788603000001</v>
      </c>
      <c r="G18" s="4" t="n">
        <f aca="false">(G6-F6)*Assumptions!$B$23/100</f>
        <v>-78.7626562590001</v>
      </c>
      <c r="H18" s="4" t="n">
        <f aca="false">(H6-G6)*Assumptions!$B$23/100</f>
        <v>-81.1255359467701</v>
      </c>
      <c r="I18" s="4" t="n">
        <f aca="false">(I6-H6)*Assumptions!$B$23/100</f>
        <v>-69.6327516876441</v>
      </c>
      <c r="J18" s="4" t="n">
        <f aca="false">(J6-I6)*Assumptions!$B$23/100</f>
        <v>-57.0988563838684</v>
      </c>
      <c r="K18" s="4" t="n">
        <f aca="false">(K6-J6)*Assumptions!$B$23/100</f>
        <v>-58.2408335115459</v>
      </c>
      <c r="L18" s="4" t="n">
        <f aca="false">(L6-K6)*Assumptions!$B$23/100</f>
        <v>-59.4056501817766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2243.60702</v>
      </c>
      <c r="D19" s="0" t="n">
        <f aca="false">D15+D16+D17+D18</f>
        <v>1956.8064432</v>
      </c>
      <c r="E19" s="0" t="n">
        <f aca="false">E15+E16+E17+E18</f>
        <v>1611.102578925</v>
      </c>
      <c r="F19" s="0" t="n">
        <f aca="false">F15+F16+F17+F18</f>
        <v>1602.536921139</v>
      </c>
      <c r="G19" s="0" t="n">
        <f aca="false">G15+G16+G17+G18</f>
        <v>1719.52005722773</v>
      </c>
      <c r="H19" s="0" t="n">
        <f aca="false">H15+H16+H17+H18</f>
        <v>1771.10565894457</v>
      </c>
      <c r="I19" s="0" t="n">
        <f aca="false">I15+I16+I17+I18</f>
        <v>1828.90422307598</v>
      </c>
      <c r="J19" s="0" t="n">
        <f aca="false">J15+J16+J17+J18</f>
        <v>1879.40885787502</v>
      </c>
      <c r="K19" s="0" t="n">
        <f aca="false">K15+K16+K17+K18</f>
        <v>1916.99703503253</v>
      </c>
      <c r="L19" s="0" t="n">
        <f aca="false">L15+L16+L17+L18</f>
        <v>1955.33697573318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2077.41390740741</v>
      </c>
      <c r="D21" s="0" t="n">
        <f aca="false">D19*D20</f>
        <v>1677.64612757202</v>
      </c>
      <c r="E21" s="0" t="n">
        <f aca="false">E19*E20</f>
        <v>1278.94517074141</v>
      </c>
      <c r="F21" s="0" t="n">
        <f aca="false">F19*F20</f>
        <v>1177.91247724568</v>
      </c>
      <c r="G21" s="0" t="n">
        <f aca="false">G19*G20</f>
        <v>1170.27645791171</v>
      </c>
      <c r="H21" s="0" t="n">
        <f aca="false">H19*H20</f>
        <v>1116.09699226765</v>
      </c>
      <c r="I21" s="0" t="n">
        <f aca="false">I19*I20</f>
        <v>1067.14804801919</v>
      </c>
      <c r="J21" s="0" t="n">
        <f aca="false">J19*J20</f>
        <v>1015.38612716727</v>
      </c>
      <c r="K21" s="0" t="n">
        <f aca="false">K19*K20</f>
        <v>958.97578676909</v>
      </c>
      <c r="L21" s="0" t="n">
        <f aca="false">L19*L20</f>
        <v>905.699354170807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1.8</v>
      </c>
      <c r="D23" s="4" t="n">
        <f aca="false">Assumptions!D16</f>
        <v>1.8</v>
      </c>
      <c r="E23" s="4" t="n">
        <f aca="false">Assumptions!E16</f>
        <v>1.8</v>
      </c>
      <c r="F23" s="4" t="n">
        <f aca="false">Assumptions!F16</f>
        <v>1.8</v>
      </c>
      <c r="G23" s="4" t="n">
        <f aca="false">Assumptions!G16</f>
        <v>1.8</v>
      </c>
      <c r="H23" s="4" t="n">
        <f aca="false">Assumptions!H16</f>
        <v>1.8</v>
      </c>
      <c r="I23" s="4" t="n">
        <f aca="false">Assumptions!I16</f>
        <v>1.8</v>
      </c>
      <c r="J23" s="4" t="n">
        <f aca="false">Assumptions!J16</f>
        <v>1.8</v>
      </c>
      <c r="K23" s="4" t="n">
        <f aca="false">Assumptions!K16</f>
        <v>1.8</v>
      </c>
      <c r="L23" s="4" t="n">
        <f aca="false">Assumptions!L16</f>
        <v>1.8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-508.1265</v>
      </c>
      <c r="D24" s="0" t="n">
        <f aca="false">-D6*D23/100</f>
        <v>-477.63891</v>
      </c>
      <c r="E24" s="0" t="n">
        <f aca="false">-E6*E23/100</f>
        <v>-463.3097427</v>
      </c>
      <c r="F24" s="0" t="n">
        <f aca="false">-F6*F23/100</f>
        <v>-472.575937554</v>
      </c>
      <c r="G24" s="0" t="n">
        <f aca="false">-G6*G23/100</f>
        <v>-486.75321568062</v>
      </c>
      <c r="H24" s="0" t="n">
        <f aca="false">-H6*H23/100</f>
        <v>-501.355812151039</v>
      </c>
      <c r="I24" s="0" t="n">
        <f aca="false">-I6*I23/100</f>
        <v>-513.889707454815</v>
      </c>
      <c r="J24" s="0" t="n">
        <f aca="false">-J6*J23/100</f>
        <v>-524.167501603911</v>
      </c>
      <c r="K24" s="0" t="n">
        <f aca="false">-K6*K23/100</f>
        <v>-534.650851635989</v>
      </c>
      <c r="L24" s="0" t="n">
        <f aca="false">-L6*L23/100</f>
        <v>-545.343868668709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12445.5004492722</v>
      </c>
    </row>
    <row r="31" customFormat="false" ht="15" hidden="false" customHeight="false" outlineLevel="0" collapsed="false">
      <c r="A31" s="0" t="s">
        <v>134</v>
      </c>
      <c r="B31" s="0" t="n">
        <f aca="false">L19</f>
        <v>1955.33697573318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33240.728587464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23464.0437087981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23464.0437087981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10868.3922500497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23313.8926993219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12810.8926993219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38.0569676665058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-0.604931302122851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743.432920555818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954.265641884964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43.1002742349623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15341.8747326757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7.86112969846744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7.5</v>
      </c>
      <c r="D5" s="4" t="n">
        <f aca="false">Assumptions!D27</f>
        <v>0.5</v>
      </c>
      <c r="E5" s="4" t="n">
        <f aca="false">Assumptions!E27</f>
        <v>2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26885</v>
      </c>
      <c r="C6" s="0" t="n">
        <f aca="false">B6*(1+C5/100)</f>
        <v>28901.375</v>
      </c>
      <c r="D6" s="0" t="n">
        <f aca="false">C6*(1+D5/100)</f>
        <v>29045.881875</v>
      </c>
      <c r="E6" s="0" t="n">
        <f aca="false">D6*(1+E5/100)</f>
        <v>29626.7995125</v>
      </c>
      <c r="F6" s="0" t="n">
        <f aca="false">E6*(1+F5/100)</f>
        <v>30515.603497875</v>
      </c>
      <c r="G6" s="0" t="n">
        <f aca="false">F6*(1+G5/100)</f>
        <v>31431.0716028112</v>
      </c>
      <c r="H6" s="0" t="n">
        <f aca="false">G6*(1+H5/100)</f>
        <v>32374.0037508956</v>
      </c>
      <c r="I6" s="0" t="n">
        <f aca="false">H6*(1+I5/100)</f>
        <v>33183.353844668</v>
      </c>
      <c r="J6" s="0" t="n">
        <f aca="false">I6*(1+J5/100)</f>
        <v>34012.9376907847</v>
      </c>
      <c r="K6" s="0" t="n">
        <f aca="false">J6*(1+K5/100)</f>
        <v>34863.2611330543</v>
      </c>
      <c r="L6" s="0" t="n">
        <f aca="false">K6*(1+L5/100)</f>
        <v>35734.8426613806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21</v>
      </c>
      <c r="D7" s="4" t="n">
        <f aca="false">Assumptions!D28</f>
        <v>20.5</v>
      </c>
      <c r="E7" s="4" t="n">
        <f aca="false">Assumptions!E28</f>
        <v>20</v>
      </c>
      <c r="F7" s="4" t="n">
        <f aca="false">Assumptions!F28</f>
        <v>20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6069.28875</v>
      </c>
      <c r="D8" s="0" t="n">
        <f aca="false">D6*D7/100</f>
        <v>5954.405784375</v>
      </c>
      <c r="E8" s="0" t="n">
        <f aca="false">E6*E7/100</f>
        <v>5925.3599025</v>
      </c>
      <c r="F8" s="0" t="n">
        <f aca="false">F6*F7/100</f>
        <v>6103.120699575</v>
      </c>
      <c r="G8" s="0" t="n">
        <f aca="false">G6*G7/100</f>
        <v>6286.21432056225</v>
      </c>
      <c r="H8" s="0" t="n">
        <f aca="false">H6*H7/100</f>
        <v>6474.80075017912</v>
      </c>
      <c r="I8" s="0" t="n">
        <f aca="false">I6*I7/100</f>
        <v>6636.67076893359</v>
      </c>
      <c r="J8" s="0" t="n">
        <f aca="false">J6*J7/100</f>
        <v>6802.58753815693</v>
      </c>
      <c r="K8" s="0" t="n">
        <f aca="false">K6*K7/100</f>
        <v>6972.65222661086</v>
      </c>
      <c r="L8" s="0" t="n">
        <f aca="false">L6*L7/100</f>
        <v>7146.96853227613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-115.6055</v>
      </c>
      <c r="D10" s="0" t="n">
        <f aca="false">-D6*D9/100</f>
        <v>-116.1835275</v>
      </c>
      <c r="E10" s="0" t="n">
        <f aca="false">-E6*E9/100</f>
        <v>-118.50719805</v>
      </c>
      <c r="F10" s="0" t="n">
        <f aca="false">-F6*F9/100</f>
        <v>-122.0624139915</v>
      </c>
      <c r="G10" s="0" t="n">
        <f aca="false">-G6*G9/100</f>
        <v>-125.724286411245</v>
      </c>
      <c r="H10" s="0" t="n">
        <f aca="false">-H6*H9/100</f>
        <v>-129.496015003582</v>
      </c>
      <c r="I10" s="0" t="n">
        <f aca="false">-I6*I9/100</f>
        <v>-132.733415378672</v>
      </c>
      <c r="J10" s="0" t="n">
        <f aca="false">-J6*J9/100</f>
        <v>-136.051750763139</v>
      </c>
      <c r="K10" s="0" t="n">
        <f aca="false">-K6*K9/100</f>
        <v>-139.453044532217</v>
      </c>
      <c r="L10" s="0" t="n">
        <f aca="false">-L6*L9/100</f>
        <v>-142.939370645523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5433.4585</v>
      </c>
      <c r="D11" s="0" t="n">
        <f aca="false">D8+D10+D24</f>
        <v>5315.396383125</v>
      </c>
      <c r="E11" s="0" t="n">
        <f aca="false">E8+E10+E24</f>
        <v>5273.570313225</v>
      </c>
      <c r="F11" s="0" t="n">
        <f aca="false">F8+F10+F24</f>
        <v>5431.77742262175</v>
      </c>
      <c r="G11" s="0" t="n">
        <f aca="false">G8+G10+G24</f>
        <v>5594.7307453004</v>
      </c>
      <c r="H11" s="0" t="n">
        <f aca="false">H8+H10+H24</f>
        <v>5762.57266765941</v>
      </c>
      <c r="I11" s="0" t="n">
        <f aca="false">I8+I10+I24</f>
        <v>5906.6369843509</v>
      </c>
      <c r="J11" s="0" t="n">
        <f aca="false">J8+J10+J24</f>
        <v>6054.30290895967</v>
      </c>
      <c r="K11" s="0" t="n">
        <f aca="false">K8+K10+K24</f>
        <v>6205.66048168366</v>
      </c>
      <c r="L11" s="0" t="n">
        <f aca="false">L8+L10+L24</f>
        <v>6360.80199372575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-2023.09625</v>
      </c>
      <c r="D12" s="4" t="n">
        <f aca="false">-D6*Assumptions!D31/100</f>
        <v>-2033.21173125</v>
      </c>
      <c r="E12" s="4" t="n">
        <f aca="false">-E6*Assumptions!E31/100</f>
        <v>-2073.875965875</v>
      </c>
      <c r="F12" s="4" t="n">
        <f aca="false">-F6*Assumptions!F31/100</f>
        <v>-2136.09224485125</v>
      </c>
      <c r="G12" s="4" t="n">
        <f aca="false">-G6*Assumptions!G31/100</f>
        <v>-2200.17501219679</v>
      </c>
      <c r="H12" s="4" t="n">
        <f aca="false">-H6*Assumptions!H31/100</f>
        <v>-2266.18026256269</v>
      </c>
      <c r="I12" s="4" t="n">
        <f aca="false">-I6*Assumptions!I31/100</f>
        <v>-2322.83476912676</v>
      </c>
      <c r="J12" s="4" t="n">
        <f aca="false">-J6*Assumptions!J31/100</f>
        <v>-2380.90563835493</v>
      </c>
      <c r="K12" s="4" t="n">
        <f aca="false">-K6*Assumptions!K31/100</f>
        <v>-2440.4282793138</v>
      </c>
      <c r="L12" s="4" t="n">
        <f aca="false">-L6*Assumptions!L31/100</f>
        <v>-2501.43898629664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3410.36225</v>
      </c>
      <c r="D13" s="0" t="n">
        <f aca="false">D11+D12</f>
        <v>3282.184651875</v>
      </c>
      <c r="E13" s="0" t="n">
        <f aca="false">E11+E12</f>
        <v>3199.69434735</v>
      </c>
      <c r="F13" s="0" t="n">
        <f aca="false">F11+F12</f>
        <v>3295.6851777705</v>
      </c>
      <c r="G13" s="0" t="n">
        <f aca="false">G11+G12</f>
        <v>3394.55573310361</v>
      </c>
      <c r="H13" s="0" t="n">
        <f aca="false">H11+H12</f>
        <v>3496.39240509672</v>
      </c>
      <c r="I13" s="0" t="n">
        <f aca="false">I11+I12</f>
        <v>3583.80221522414</v>
      </c>
      <c r="J13" s="0" t="n">
        <f aca="false">J11+J12</f>
        <v>3673.39727060474</v>
      </c>
      <c r="K13" s="0" t="n">
        <f aca="false">K11+K12</f>
        <v>3765.23220236986</v>
      </c>
      <c r="L13" s="0" t="n">
        <f aca="false">L11+L12</f>
        <v>3859.36300742911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22</v>
      </c>
      <c r="D14" s="4" t="n">
        <f aca="false">Assumptions!D33</f>
        <v>24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2660.082555</v>
      </c>
      <c r="D15" s="0" t="n">
        <f aca="false">D13-MAX(0,D13)*D14/100</f>
        <v>2494.460335425</v>
      </c>
      <c r="E15" s="0" t="n">
        <f aca="false">E13-MAX(0,E13)*E14/100</f>
        <v>2399.7707605125</v>
      </c>
      <c r="F15" s="0" t="n">
        <f aca="false">F13-MAX(0,F13)*F14/100</f>
        <v>2471.76388332787</v>
      </c>
      <c r="G15" s="0" t="n">
        <f aca="false">G13-MAX(0,G13)*G14/100</f>
        <v>2545.91679982771</v>
      </c>
      <c r="H15" s="0" t="n">
        <f aca="false">H13-MAX(0,H13)*H14/100</f>
        <v>2622.29430382254</v>
      </c>
      <c r="I15" s="0" t="n">
        <f aca="false">I13-MAX(0,I13)*I14/100</f>
        <v>2687.85166141811</v>
      </c>
      <c r="J15" s="0" t="n">
        <f aca="false">J13-MAX(0,J13)*J14/100</f>
        <v>2755.04795295356</v>
      </c>
      <c r="K15" s="0" t="n">
        <f aca="false">K13-MAX(0,K13)*K14/100</f>
        <v>2823.9241517774</v>
      </c>
      <c r="L15" s="0" t="n">
        <f aca="false">L13-MAX(0,L13)*L14/100</f>
        <v>2894.52225557183</v>
      </c>
    </row>
    <row r="16" customFormat="false" ht="15" hidden="false" customHeight="false" outlineLevel="0" collapsed="false">
      <c r="A16" s="0" t="s">
        <v>125</v>
      </c>
      <c r="C16" s="0" t="n">
        <f aca="false">-C12</f>
        <v>2023.09625</v>
      </c>
      <c r="D16" s="0" t="n">
        <f aca="false">-D12</f>
        <v>2033.21173125</v>
      </c>
      <c r="E16" s="0" t="n">
        <f aca="false">-E12</f>
        <v>2073.875965875</v>
      </c>
      <c r="F16" s="0" t="n">
        <f aca="false">-F12</f>
        <v>2136.09224485125</v>
      </c>
      <c r="G16" s="0" t="n">
        <f aca="false">-G12</f>
        <v>2200.17501219679</v>
      </c>
      <c r="H16" s="0" t="n">
        <f aca="false">-H12</f>
        <v>2266.18026256269</v>
      </c>
      <c r="I16" s="0" t="n">
        <f aca="false">-I12</f>
        <v>2322.83476912676</v>
      </c>
      <c r="J16" s="0" t="n">
        <f aca="false">-J12</f>
        <v>2380.90563835493</v>
      </c>
      <c r="K16" s="0" t="n">
        <f aca="false">-K12</f>
        <v>2440.4282793138</v>
      </c>
      <c r="L16" s="0" t="n">
        <f aca="false">-L12</f>
        <v>2501.43898629664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-2023.09625</v>
      </c>
      <c r="D17" s="4" t="n">
        <f aca="false">-D6*Assumptions!D32/100</f>
        <v>-2033.21173125</v>
      </c>
      <c r="E17" s="4" t="n">
        <f aca="false">-E6*Assumptions!E32/100</f>
        <v>-2073.875965875</v>
      </c>
      <c r="F17" s="4" t="n">
        <f aca="false">-F6*Assumptions!F32/100</f>
        <v>-2136.09224485125</v>
      </c>
      <c r="G17" s="4" t="n">
        <f aca="false">-G6*Assumptions!G32/100</f>
        <v>-2200.17501219679</v>
      </c>
      <c r="H17" s="4" t="n">
        <f aca="false">-H6*Assumptions!H32/100</f>
        <v>-2266.18026256269</v>
      </c>
      <c r="I17" s="4" t="n">
        <f aca="false">-I6*Assumptions!I32/100</f>
        <v>-2322.83476912676</v>
      </c>
      <c r="J17" s="4" t="n">
        <f aca="false">-J6*Assumptions!J32/100</f>
        <v>-2380.90563835493</v>
      </c>
      <c r="K17" s="4" t="n">
        <f aca="false">-K6*Assumptions!K32/100</f>
        <v>-2440.4282793138</v>
      </c>
      <c r="L17" s="4" t="n">
        <f aca="false">-L6*Assumptions!L32/100</f>
        <v>-2501.43898629664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-201.6375</v>
      </c>
      <c r="D18" s="4" t="n">
        <f aca="false">(D6-C6)*Assumptions!$B$37/100</f>
        <v>-14.4506874999996</v>
      </c>
      <c r="E18" s="4" t="n">
        <f aca="false">(E6-D6)*Assumptions!$B$37/100</f>
        <v>-58.0917637499999</v>
      </c>
      <c r="F18" s="4" t="n">
        <f aca="false">(F6-E6)*Assumptions!$B$37/100</f>
        <v>-88.8803985375002</v>
      </c>
      <c r="G18" s="4" t="n">
        <f aca="false">(G6-F6)*Assumptions!$B$37/100</f>
        <v>-91.5468104936252</v>
      </c>
      <c r="H18" s="4" t="n">
        <f aca="false">(H6-G6)*Assumptions!$B$37/100</f>
        <v>-94.2932148084339</v>
      </c>
      <c r="I18" s="4" t="n">
        <f aca="false">(I6-H6)*Assumptions!$B$37/100</f>
        <v>-80.9350093772387</v>
      </c>
      <c r="J18" s="4" t="n">
        <f aca="false">(J6-I6)*Assumptions!$B$37/100</f>
        <v>-82.9583846116693</v>
      </c>
      <c r="K18" s="4" t="n">
        <f aca="false">(K6-J6)*Assumptions!$B$37/100</f>
        <v>-85.0323442269611</v>
      </c>
      <c r="L18" s="4" t="n">
        <f aca="false">(L6-K6)*Assumptions!$B$37/100</f>
        <v>-87.1581528326351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2458.445055</v>
      </c>
      <c r="D19" s="0" t="n">
        <f aca="false">D15+D16+D17+D18</f>
        <v>2480.009647925</v>
      </c>
      <c r="E19" s="0" t="n">
        <f aca="false">E15+E16+E17+E18</f>
        <v>2341.6789967625</v>
      </c>
      <c r="F19" s="0" t="n">
        <f aca="false">F15+F16+F17+F18</f>
        <v>2382.88348479037</v>
      </c>
      <c r="G19" s="0" t="n">
        <f aca="false">G15+G16+G17+G18</f>
        <v>2454.36998933409</v>
      </c>
      <c r="H19" s="0" t="n">
        <f aca="false">H15+H16+H17+H18</f>
        <v>2528.00108901411</v>
      </c>
      <c r="I19" s="0" t="n">
        <f aca="false">I15+I16+I17+I18</f>
        <v>2606.91665204087</v>
      </c>
      <c r="J19" s="0" t="n">
        <f aca="false">J15+J16+J17+J18</f>
        <v>2672.08956834189</v>
      </c>
      <c r="K19" s="0" t="n">
        <f aca="false">K15+K16+K17+K18</f>
        <v>2738.89180755044</v>
      </c>
      <c r="L19" s="0" t="n">
        <f aca="false">L15+L16+L17+L18</f>
        <v>2807.3641027392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2276.33801388889</v>
      </c>
      <c r="D21" s="0" t="n">
        <f aca="false">D19*D20</f>
        <v>2126.20854588906</v>
      </c>
      <c r="E21" s="0" t="n">
        <f aca="false">E19*E20</f>
        <v>1858.90028574984</v>
      </c>
      <c r="F21" s="0" t="n">
        <f aca="false">F19*F20</f>
        <v>1751.49049705657</v>
      </c>
      <c r="G21" s="0" t="n">
        <f aca="false">G19*G20</f>
        <v>1670.40297404469</v>
      </c>
      <c r="H21" s="0" t="n">
        <f aca="false">H19*H20</f>
        <v>1593.0695030241</v>
      </c>
      <c r="I21" s="0" t="n">
        <f aca="false">I19*I20</f>
        <v>1521.11082771476</v>
      </c>
      <c r="J21" s="0" t="n">
        <f aca="false">J19*J20</f>
        <v>1443.64685037744</v>
      </c>
      <c r="K21" s="0" t="n">
        <f aca="false">K19*K20</f>
        <v>1370.12779781192</v>
      </c>
      <c r="L21" s="0" t="n">
        <f aca="false">L19*L20</f>
        <v>1300.3527710715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1.8</v>
      </c>
      <c r="D23" s="4" t="n">
        <f aca="false">Assumptions!D30</f>
        <v>1.8</v>
      </c>
      <c r="E23" s="4" t="n">
        <f aca="false">Assumptions!E30</f>
        <v>1.8</v>
      </c>
      <c r="F23" s="4" t="n">
        <f aca="false">Assumptions!F30</f>
        <v>1.8</v>
      </c>
      <c r="G23" s="4" t="n">
        <f aca="false">Assumptions!G30</f>
        <v>1.8</v>
      </c>
      <c r="H23" s="4" t="n">
        <f aca="false">Assumptions!H30</f>
        <v>1.8</v>
      </c>
      <c r="I23" s="4" t="n">
        <f aca="false">Assumptions!I30</f>
        <v>1.8</v>
      </c>
      <c r="J23" s="4" t="n">
        <f aca="false">Assumptions!J30</f>
        <v>1.8</v>
      </c>
      <c r="K23" s="4" t="n">
        <f aca="false">Assumptions!K30</f>
        <v>1.8</v>
      </c>
      <c r="L23" s="4" t="n">
        <f aca="false">Assumptions!L30</f>
        <v>1.8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-520.22475</v>
      </c>
      <c r="D24" s="0" t="n">
        <f aca="false">-D6*D23/100</f>
        <v>-522.82587375</v>
      </c>
      <c r="E24" s="0" t="n">
        <f aca="false">-E6*E23/100</f>
        <v>-533.282391225</v>
      </c>
      <c r="F24" s="0" t="n">
        <f aca="false">-F6*F23/100</f>
        <v>-549.28086296175</v>
      </c>
      <c r="G24" s="0" t="n">
        <f aca="false">-G6*G23/100</f>
        <v>-565.759288850603</v>
      </c>
      <c r="H24" s="0" t="n">
        <f aca="false">-H6*H23/100</f>
        <v>-582.732067516121</v>
      </c>
      <c r="I24" s="0" t="n">
        <f aca="false">-I6*I23/100</f>
        <v>-597.300369204024</v>
      </c>
      <c r="J24" s="0" t="n">
        <f aca="false">-J6*J23/100</f>
        <v>-612.232878434124</v>
      </c>
      <c r="K24" s="0" t="n">
        <f aca="false">-K6*K23/100</f>
        <v>-627.538700394977</v>
      </c>
      <c r="L24" s="0" t="n">
        <f aca="false">-L6*L23/100</f>
        <v>-643.227167904851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16911.6480666288</v>
      </c>
    </row>
    <row r="31" customFormat="false" ht="15" hidden="false" customHeight="false" outlineLevel="0" collapsed="false">
      <c r="A31" s="0" t="s">
        <v>134</v>
      </c>
      <c r="B31" s="0" t="n">
        <f aca="false">L19</f>
        <v>2807.3641027392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52319.0582783214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42110.4615410879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42110.4615410879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19505.2915660725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36416.9396327012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25913.9396327012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76.981829905241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-0.200853006277993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844.538450864037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1233.88727846868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83.1561522288239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23020.3856424614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22.9979120714883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9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26885</v>
      </c>
      <c r="C6" s="0" t="n">
        <f aca="false">B6*(1+C5/100)</f>
        <v>29304.65</v>
      </c>
      <c r="D6" s="0" t="n">
        <f aca="false">C6*(1+D5/100)</f>
        <v>30476.836</v>
      </c>
      <c r="E6" s="0" t="n">
        <f aca="false">D6*(1+E5/100)</f>
        <v>31695.90944</v>
      </c>
      <c r="F6" s="0" t="n">
        <f aca="false">E6*(1+F5/100)</f>
        <v>32805.2662704</v>
      </c>
      <c r="G6" s="0" t="n">
        <f aca="false">F6*(1+G5/100)</f>
        <v>33953.450589864</v>
      </c>
      <c r="H6" s="0" t="n">
        <f aca="false">G6*(1+H5/100)</f>
        <v>34972.0541075599</v>
      </c>
      <c r="I6" s="0" t="n">
        <f aca="false">H6*(1+I5/100)</f>
        <v>36021.2157307867</v>
      </c>
      <c r="J6" s="0" t="n">
        <f aca="false">I6*(1+J5/100)</f>
        <v>36921.7461240564</v>
      </c>
      <c r="K6" s="0" t="n">
        <f aca="false">J6*(1+K5/100)</f>
        <v>37844.7897771578</v>
      </c>
      <c r="L6" s="0" t="n">
        <f aca="false">K6*(1+L5/100)</f>
        <v>38790.9095215867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21.5</v>
      </c>
      <c r="D7" s="4" t="n">
        <f aca="false">Assumptions!D42</f>
        <v>21.5</v>
      </c>
      <c r="E7" s="4" t="n">
        <f aca="false">Assumptions!E42</f>
        <v>21.5</v>
      </c>
      <c r="F7" s="4" t="n">
        <f aca="false">Assumptions!F42</f>
        <v>21.5</v>
      </c>
      <c r="G7" s="4" t="n">
        <f aca="false">Assumptions!G42</f>
        <v>21.5</v>
      </c>
      <c r="H7" s="4" t="n">
        <f aca="false">Assumptions!H42</f>
        <v>21.5</v>
      </c>
      <c r="I7" s="4" t="n">
        <f aca="false">Assumptions!I42</f>
        <v>21.5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6300.49975</v>
      </c>
      <c r="D8" s="0" t="n">
        <f aca="false">D6*D7/100</f>
        <v>6552.51974</v>
      </c>
      <c r="E8" s="0" t="n">
        <f aca="false">E6*E7/100</f>
        <v>6814.6205296</v>
      </c>
      <c r="F8" s="0" t="n">
        <f aca="false">F6*F7/100</f>
        <v>7053.132248136</v>
      </c>
      <c r="G8" s="0" t="n">
        <f aca="false">G6*G7/100</f>
        <v>7299.99187682076</v>
      </c>
      <c r="H8" s="0" t="n">
        <f aca="false">H6*H7/100</f>
        <v>7518.99163312538</v>
      </c>
      <c r="I8" s="0" t="n">
        <f aca="false">I6*I7/100</f>
        <v>7744.56138211915</v>
      </c>
      <c r="J8" s="0" t="n">
        <f aca="false">J6*J7/100</f>
        <v>7938.17541667212</v>
      </c>
      <c r="K8" s="0" t="n">
        <f aca="false">K6*K7/100</f>
        <v>8136.62980208892</v>
      </c>
      <c r="L8" s="0" t="n">
        <f aca="false">L6*L7/100</f>
        <v>8340.04554714115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-117.2186</v>
      </c>
      <c r="D10" s="0" t="n">
        <f aca="false">-D6*D9/100</f>
        <v>-121.907344</v>
      </c>
      <c r="E10" s="0" t="n">
        <f aca="false">-E6*E9/100</f>
        <v>-126.78363776</v>
      </c>
      <c r="F10" s="0" t="n">
        <f aca="false">-F6*F9/100</f>
        <v>-131.2210650816</v>
      </c>
      <c r="G10" s="0" t="n">
        <f aca="false">-G6*G9/100</f>
        <v>-135.813802359456</v>
      </c>
      <c r="H10" s="0" t="n">
        <f aca="false">-H6*H9/100</f>
        <v>-139.88821643024</v>
      </c>
      <c r="I10" s="0" t="n">
        <f aca="false">-I6*I9/100</f>
        <v>-144.084862923147</v>
      </c>
      <c r="J10" s="0" t="n">
        <f aca="false">-J6*J9/100</f>
        <v>-147.686984496226</v>
      </c>
      <c r="K10" s="0" t="n">
        <f aca="false">-K6*K9/100</f>
        <v>-151.379159108631</v>
      </c>
      <c r="L10" s="0" t="n">
        <f aca="false">-L6*L9/100</f>
        <v>-155.163638086347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5655.79745</v>
      </c>
      <c r="D11" s="0" t="n">
        <f aca="false">D8+D10+D24</f>
        <v>5882.029348</v>
      </c>
      <c r="E11" s="0" t="n">
        <f aca="false">E8+E10+E24</f>
        <v>6117.31052192</v>
      </c>
      <c r="F11" s="0" t="n">
        <f aca="false">F8+F10+F24</f>
        <v>6331.4163901872</v>
      </c>
      <c r="G11" s="0" t="n">
        <f aca="false">G8+G10+G24</f>
        <v>6553.01596384375</v>
      </c>
      <c r="H11" s="0" t="n">
        <f aca="false">H8+H10+H24</f>
        <v>6749.60644275906</v>
      </c>
      <c r="I11" s="0" t="n">
        <f aca="false">I8+I10+I24</f>
        <v>6952.09463604184</v>
      </c>
      <c r="J11" s="0" t="n">
        <f aca="false">J8+J10+J24</f>
        <v>7125.89700194288</v>
      </c>
      <c r="K11" s="0" t="n">
        <f aca="false">K8+K10+K24</f>
        <v>7304.04442699145</v>
      </c>
      <c r="L11" s="0" t="n">
        <f aca="false">L8+L10+L24</f>
        <v>7486.64553766624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-2051.3255</v>
      </c>
      <c r="D12" s="4" t="n">
        <f aca="false">-D6*Assumptions!D45/100</f>
        <v>-2133.37852</v>
      </c>
      <c r="E12" s="4" t="n">
        <f aca="false">-E6*Assumptions!E45/100</f>
        <v>-2218.7136608</v>
      </c>
      <c r="F12" s="4" t="n">
        <f aca="false">-F6*Assumptions!F45/100</f>
        <v>-2296.368638928</v>
      </c>
      <c r="G12" s="4" t="n">
        <f aca="false">-G6*Assumptions!G45/100</f>
        <v>-2376.74154129048</v>
      </c>
      <c r="H12" s="4" t="n">
        <f aca="false">-H6*Assumptions!H45/100</f>
        <v>-2448.04378752919</v>
      </c>
      <c r="I12" s="4" t="n">
        <f aca="false">-I6*Assumptions!I45/100</f>
        <v>-2521.48510115507</v>
      </c>
      <c r="J12" s="4" t="n">
        <f aca="false">-J6*Assumptions!J45/100</f>
        <v>-2584.52222868395</v>
      </c>
      <c r="K12" s="4" t="n">
        <f aca="false">-K6*Assumptions!K45/100</f>
        <v>-2649.13528440105</v>
      </c>
      <c r="L12" s="4" t="n">
        <f aca="false">-L6*Assumptions!L45/100</f>
        <v>-2715.36366651107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3604.47195</v>
      </c>
      <c r="D13" s="0" t="n">
        <f aca="false">D11+D12</f>
        <v>3748.650828</v>
      </c>
      <c r="E13" s="0" t="n">
        <f aca="false">E11+E12</f>
        <v>3898.59686112</v>
      </c>
      <c r="F13" s="0" t="n">
        <f aca="false">F11+F12</f>
        <v>4035.0477512592</v>
      </c>
      <c r="G13" s="0" t="n">
        <f aca="false">G11+G12</f>
        <v>4176.27442255327</v>
      </c>
      <c r="H13" s="0" t="n">
        <f aca="false">H11+H12</f>
        <v>4301.56265522987</v>
      </c>
      <c r="I13" s="0" t="n">
        <f aca="false">I11+I12</f>
        <v>4430.60953488677</v>
      </c>
      <c r="J13" s="0" t="n">
        <f aca="false">J11+J12</f>
        <v>4541.37477325893</v>
      </c>
      <c r="K13" s="0" t="n">
        <f aca="false">K11+K12</f>
        <v>4654.90914259041</v>
      </c>
      <c r="L13" s="0" t="n">
        <f aca="false">L11+L12</f>
        <v>4771.28187115517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22</v>
      </c>
      <c r="D14" s="4" t="n">
        <f aca="false">Assumptions!D47</f>
        <v>24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2811.488121</v>
      </c>
      <c r="D15" s="0" t="n">
        <f aca="false">D13-MAX(0,D13)*D14/100</f>
        <v>2848.97462928</v>
      </c>
      <c r="E15" s="0" t="n">
        <f aca="false">E13-MAX(0,E13)*E14/100</f>
        <v>2923.94764584</v>
      </c>
      <c r="F15" s="0" t="n">
        <f aca="false">F13-MAX(0,F13)*F14/100</f>
        <v>3026.2858134444</v>
      </c>
      <c r="G15" s="0" t="n">
        <f aca="false">G13-MAX(0,G13)*G14/100</f>
        <v>3132.20581691496</v>
      </c>
      <c r="H15" s="0" t="n">
        <f aca="false">H13-MAX(0,H13)*H14/100</f>
        <v>3226.1719914224</v>
      </c>
      <c r="I15" s="0" t="n">
        <f aca="false">I13-MAX(0,I13)*I14/100</f>
        <v>3322.95715116507</v>
      </c>
      <c r="J15" s="0" t="n">
        <f aca="false">J13-MAX(0,J13)*J14/100</f>
        <v>3406.0310799442</v>
      </c>
      <c r="K15" s="0" t="n">
        <f aca="false">K13-MAX(0,K13)*K14/100</f>
        <v>3491.18185694281</v>
      </c>
      <c r="L15" s="0" t="n">
        <f aca="false">L13-MAX(0,L13)*L14/100</f>
        <v>3578.46140336638</v>
      </c>
    </row>
    <row r="16" customFormat="false" ht="15" hidden="false" customHeight="false" outlineLevel="0" collapsed="false">
      <c r="A16" s="0" t="s">
        <v>125</v>
      </c>
      <c r="C16" s="0" t="n">
        <f aca="false">-C12</f>
        <v>2051.3255</v>
      </c>
      <c r="D16" s="0" t="n">
        <f aca="false">-D12</f>
        <v>2133.37852</v>
      </c>
      <c r="E16" s="0" t="n">
        <f aca="false">-E12</f>
        <v>2218.7136608</v>
      </c>
      <c r="F16" s="0" t="n">
        <f aca="false">-F12</f>
        <v>2296.368638928</v>
      </c>
      <c r="G16" s="0" t="n">
        <f aca="false">-G12</f>
        <v>2376.74154129048</v>
      </c>
      <c r="H16" s="0" t="n">
        <f aca="false">-H12</f>
        <v>2448.04378752919</v>
      </c>
      <c r="I16" s="0" t="n">
        <f aca="false">-I12</f>
        <v>2521.48510115507</v>
      </c>
      <c r="J16" s="0" t="n">
        <f aca="false">-J12</f>
        <v>2584.52222868395</v>
      </c>
      <c r="K16" s="0" t="n">
        <f aca="false">-K12</f>
        <v>2649.13528440105</v>
      </c>
      <c r="L16" s="0" t="n">
        <f aca="false">-L12</f>
        <v>2715.36366651107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-2051.3255</v>
      </c>
      <c r="D17" s="4" t="n">
        <f aca="false">-D6*Assumptions!D46/100</f>
        <v>-2133.37852</v>
      </c>
      <c r="E17" s="4" t="n">
        <f aca="false">-E6*Assumptions!E46/100</f>
        <v>-2218.7136608</v>
      </c>
      <c r="F17" s="4" t="n">
        <f aca="false">-F6*Assumptions!F46/100</f>
        <v>-2296.368638928</v>
      </c>
      <c r="G17" s="4" t="n">
        <f aca="false">-G6*Assumptions!G46/100</f>
        <v>-2376.74154129048</v>
      </c>
      <c r="H17" s="4" t="n">
        <f aca="false">-H6*Assumptions!H46/100</f>
        <v>-2448.04378752919</v>
      </c>
      <c r="I17" s="4" t="n">
        <f aca="false">-I6*Assumptions!I46/100</f>
        <v>-2521.48510115507</v>
      </c>
      <c r="J17" s="4" t="n">
        <f aca="false">-J6*Assumptions!J46/100</f>
        <v>-2584.52222868395</v>
      </c>
      <c r="K17" s="4" t="n">
        <f aca="false">-K6*Assumptions!K46/100</f>
        <v>-2649.13528440105</v>
      </c>
      <c r="L17" s="4" t="n">
        <f aca="false">-L6*Assumptions!L46/100</f>
        <v>-2715.36366651107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-241.965</v>
      </c>
      <c r="D18" s="4" t="n">
        <f aca="false">(D6-C6)*Assumptions!$B$51/100</f>
        <v>-117.2186</v>
      </c>
      <c r="E18" s="4" t="n">
        <f aca="false">(E6-D6)*Assumptions!$B$51/100</f>
        <v>-121.907344</v>
      </c>
      <c r="F18" s="4" t="n">
        <f aca="false">(F6-E6)*Assumptions!$B$51/100</f>
        <v>-110.93568304</v>
      </c>
      <c r="G18" s="4" t="n">
        <f aca="false">(G6-F6)*Assumptions!$B$51/100</f>
        <v>-114.8184319464</v>
      </c>
      <c r="H18" s="4" t="n">
        <f aca="false">(H6-G6)*Assumptions!$B$51/100</f>
        <v>-101.860351769592</v>
      </c>
      <c r="I18" s="4" t="n">
        <f aca="false">(I6-H6)*Assumptions!$B$51/100</f>
        <v>-104.91616232268</v>
      </c>
      <c r="J18" s="4" t="n">
        <f aca="false">(J6-I6)*Assumptions!$B$51/100</f>
        <v>-90.0530393269662</v>
      </c>
      <c r="K18" s="4" t="n">
        <f aca="false">(K6-J6)*Assumptions!$B$51/100</f>
        <v>-92.3043653101406</v>
      </c>
      <c r="L18" s="4" t="n">
        <f aca="false">(L6-K6)*Assumptions!$B$51/100</f>
        <v>-94.6119744428943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2569.523121</v>
      </c>
      <c r="D19" s="0" t="n">
        <f aca="false">D15+D16+D17+D18</f>
        <v>2731.75602928</v>
      </c>
      <c r="E19" s="0" t="n">
        <f aca="false">E15+E16+E17+E18</f>
        <v>2802.04030184</v>
      </c>
      <c r="F19" s="0" t="n">
        <f aca="false">F15+F16+F17+F18</f>
        <v>2915.3501304044</v>
      </c>
      <c r="G19" s="0" t="n">
        <f aca="false">G15+G16+G17+G18</f>
        <v>3017.38738496856</v>
      </c>
      <c r="H19" s="0" t="n">
        <f aca="false">H15+H16+H17+H18</f>
        <v>3124.31163965281</v>
      </c>
      <c r="I19" s="0" t="n">
        <f aca="false">I15+I16+I17+I18</f>
        <v>3218.04098884239</v>
      </c>
      <c r="J19" s="0" t="n">
        <f aca="false">J15+J16+J17+J18</f>
        <v>3315.97804061723</v>
      </c>
      <c r="K19" s="0" t="n">
        <f aca="false">K15+K16+K17+K18</f>
        <v>3398.87749163266</v>
      </c>
      <c r="L19" s="0" t="n">
        <f aca="false">L15+L16+L17+L18</f>
        <v>3483.84942892348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2379.188075</v>
      </c>
      <c r="D21" s="0" t="n">
        <f aca="false">D19*D20</f>
        <v>2342.0404914952</v>
      </c>
      <c r="E21" s="0" t="n">
        <f aca="false">E19*E20</f>
        <v>2224.34993223848</v>
      </c>
      <c r="F21" s="0" t="n">
        <f aca="false">F19*F20</f>
        <v>2142.86937720127</v>
      </c>
      <c r="G21" s="0" t="n">
        <f aca="false">G19*G20</f>
        <v>2053.58315315121</v>
      </c>
      <c r="H21" s="0" t="n">
        <f aca="false">H19*H20</f>
        <v>1968.84630022655</v>
      </c>
      <c r="I21" s="0" t="n">
        <f aca="false">I19*I20</f>
        <v>1877.6960085494</v>
      </c>
      <c r="J21" s="0" t="n">
        <f aca="false">J19*J20</f>
        <v>1791.51975703732</v>
      </c>
      <c r="K21" s="0" t="n">
        <f aca="false">K19*K20</f>
        <v>1700.2849545956</v>
      </c>
      <c r="L21" s="0" t="n">
        <f aca="false">L19*L20</f>
        <v>1613.6963689449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1.8</v>
      </c>
      <c r="D23" s="4" t="n">
        <f aca="false">Assumptions!D44</f>
        <v>1.8</v>
      </c>
      <c r="E23" s="4" t="n">
        <f aca="false">Assumptions!E44</f>
        <v>1.8</v>
      </c>
      <c r="F23" s="4" t="n">
        <f aca="false">Assumptions!F44</f>
        <v>1.8</v>
      </c>
      <c r="G23" s="4" t="n">
        <f aca="false">Assumptions!G44</f>
        <v>1.8</v>
      </c>
      <c r="H23" s="4" t="n">
        <f aca="false">Assumptions!H44</f>
        <v>1.8</v>
      </c>
      <c r="I23" s="4" t="n">
        <f aca="false">Assumptions!I44</f>
        <v>1.8</v>
      </c>
      <c r="J23" s="4" t="n">
        <f aca="false">Assumptions!J44</f>
        <v>1.8</v>
      </c>
      <c r="K23" s="4" t="n">
        <f aca="false">Assumptions!K44</f>
        <v>1.8</v>
      </c>
      <c r="L23" s="4" t="n">
        <f aca="false">Assumptions!L44</f>
        <v>1.8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-527.4837</v>
      </c>
      <c r="D24" s="0" t="n">
        <f aca="false">-D6*D23/100</f>
        <v>-548.583048</v>
      </c>
      <c r="E24" s="0" t="n">
        <f aca="false">-E6*E23/100</f>
        <v>-570.52636992</v>
      </c>
      <c r="F24" s="0" t="n">
        <f aca="false">-F6*F23/100</f>
        <v>-590.4947928672</v>
      </c>
      <c r="G24" s="0" t="n">
        <f aca="false">-G6*G23/100</f>
        <v>-611.162110617552</v>
      </c>
      <c r="H24" s="0" t="n">
        <f aca="false">-H6*H23/100</f>
        <v>-629.496973936079</v>
      </c>
      <c r="I24" s="0" t="n">
        <f aca="false">-I6*I23/100</f>
        <v>-648.381883154161</v>
      </c>
      <c r="J24" s="0" t="n">
        <f aca="false">-J6*J23/100</f>
        <v>-664.591430233015</v>
      </c>
      <c r="K24" s="0" t="n">
        <f aca="false">-K6*K23/100</f>
        <v>-681.20621598884</v>
      </c>
      <c r="L24" s="0" t="n">
        <f aca="false">-L6*L23/100</f>
        <v>-698.236371388561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20094.0744184399</v>
      </c>
    </row>
    <row r="31" customFormat="false" ht="15" hidden="false" customHeight="false" outlineLevel="0" collapsed="false">
      <c r="A31" s="0" t="s">
        <v>134</v>
      </c>
      <c r="B31" s="0" t="n">
        <f aca="false">L19</f>
        <v>3483.84942892348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64926.2848117558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52257.7414338522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52257.7414338522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24205.4455341735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44299.5199526135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33796.5199526135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100.398395120826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0.0422339366845848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902.194746360553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1339.41011668823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107.057469222559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28567.5653171725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33.6865041879889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38.0569676665058</v>
      </c>
      <c r="C4" s="0" t="n">
        <f aca="false">B4/Assumptions!$B$2-1</f>
        <v>-0.604931302122851</v>
      </c>
      <c r="D4" s="4" t="n">
        <f aca="false">Assumptions!$B$24</f>
        <v>0.25</v>
      </c>
      <c r="E4" s="4" t="n">
        <f aca="false">DCF_Bear!$B$43</f>
        <v>43.1002742349623</v>
      </c>
      <c r="F4" s="4" t="n">
        <f aca="false">DCF_Bear!$B$47</f>
        <v>7.86112969846744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76.981829905241</v>
      </c>
      <c r="C5" s="0" t="n">
        <f aca="false">B5/Assumptions!$B$2-1</f>
        <v>-0.200853006277993</v>
      </c>
      <c r="D5" s="4" t="n">
        <f aca="false">Assumptions!$B$38</f>
        <v>0.5</v>
      </c>
      <c r="E5" s="4" t="n">
        <f aca="false">DCF_Base!$B$43</f>
        <v>83.1561522288239</v>
      </c>
      <c r="F5" s="4" t="n">
        <f aca="false">DCF_Base!$B$47</f>
        <v>22.9979120714883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100.398395120826</v>
      </c>
      <c r="C6" s="0" t="n">
        <f aca="false">B6/Assumptions!$B$2-1</f>
        <v>0.0422339366845848</v>
      </c>
      <c r="D6" s="4" t="n">
        <f aca="false">Assumptions!$B$52</f>
        <v>0.25</v>
      </c>
      <c r="E6" s="4" t="n">
        <f aca="false">DCF_Bull!$B$43</f>
        <v>107.057469222559</v>
      </c>
      <c r="F6" s="4" t="n">
        <f aca="false">DCF_Bull!$B$47</f>
        <v>33.6865041879889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73.1047556494534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79.1175119787922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-0.317698132552615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386.266182735876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21.8858645073582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76.981829905241</v>
      </c>
      <c r="C15" s="3" t="n">
        <v>8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69.6343684032958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58.6406972203849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48.160210920693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39.8849471645899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22.9979120714883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93.8926756093125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93.8926756093125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93.8926756093125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93.8926756093125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93.8926756093125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85.0412956762765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85.0412956762765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85.0412956762765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85.0412956762765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85.0412956762765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76.981829905241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76.981829905241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76.981829905241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76.981829905241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76.981829905241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64.4675883733506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68.1245950179222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69.6343684032958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69.6343684032958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69.6343684032958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53.0926624470288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55.6933037470395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58.6406972203849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62.0091469042083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62.9278149997965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2026-10-10T09:28:14Z</dcterms:created>
  <dc:creator>openpyxl</dc:creator>
  <dc:description/>
  <dc:language>en-NZ</dc:language>
  <cp:lastModifiedBy/>
  <dcterms:modified xsi:type="dcterms:W3CDTF">2026-10-10T09:28:14Z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