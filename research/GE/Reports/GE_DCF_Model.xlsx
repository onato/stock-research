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<sst xmlns="http://schemas.openxmlformats.org/spreadsheetml/2006/main" count="389" uniqueCount="174">
  <si>
    <t xml:space="preserve">Ticker</t>
  </si>
  <si>
    <t xml:space="preserve">GE</t>
  </si>
  <si>
    <t xml:space="preserve">Company</t>
  </si>
  <si>
    <t xml:space="preserve">GE Aerospace (General Electric Company)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</si>
  <si>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</si>
  <si>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</si>
  <si>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</si>
  <si>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</si>
  <si>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2026-09-25T20:00:03Z regular close (Friday session; valuation dated the following Monday, no after-hours print)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</si>
  <si>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</si>
  <si>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</si>
  <si>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</si>
  <si>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</si>
  <si>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</si>
  <si>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</si>
  <si>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</si>
  <si>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</si>
  <si>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</si>
  <si>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</si>
  <si>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</si>
  <si>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</si>
  <si>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2026-09-28T08:39:32Z</t>
  </si>
  <si>
    <t xml:space="preserve">Drivers file</t>
  </si>
  <si>
    <t xml:space="preserve">GE_Drivers.json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</si>
  <si>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</si>
  <si>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</si>
  <si>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</si>
  <si>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GE Aerospace is valued as a pure-play jet-engine franchise from FY2025 forward; nothing before the 2023/2024 spinoffs is used except the restated continuing-operations revenue and FCF series. The engine is the house owner-FCF component build: adjusted revenue compounds from FY2026 guidance, pre-SBC EBITDA margin expands with services mix, SBC (0.75% of revenue) is expensed and the diluted count held flat, cash tax ramps to statutory, and the run-off insurance book is carried at zero outside the flows. A single 9% USD WACC is used across scenarios; risk is charged in the scenario flows and the 20/50/30 weighting. The market price embeds a lower discount rate and a longer runway than the base case -- the required-return table shows what return today's price implies.
key_risks_to_valuation: Boeing/Airbus production-rate dependency: GE cannot ship more LEAPs than the airframers absorb; a MAX disruption throttles both equipment revenue and the later aftermarket ramp; LEAP durability: time-on-wing shortfalls in harsh-environment fleets keep shop-visit, AOG and warranty costs elevated until the HPT-blade kit fully cuts over (early 2027); slippage would hit the margin path directly; Supply chain and labour (forgings, castings, superalloys) cap the delivery ramp -- management's stated binding constraint for 2027; Flight-hour cyclicality: ~70% of revenue is aftermarket, which is resilient but ultimately tracks global utilisation; a recession or fuel shock hits the high-margin leg; Legacy liabilities: run-off long-term-care insurance reserves (carried at zero here) and residual pension obligations can create cash calls unrelated to aerospace; Valuation duration: ~60% of base-case value is terminal; each 1pp on WACC moves value by roughly a fifth, and the market price implies a discount rate well below 9%; Tax: cash tax rate rises from ~15% toward 21% as attributes are consumed; a slower ramp is modest upside, a faster one modest downside; Tariffs, export controls and rare-earth sourcing rules add cost and contract friction across a global supplier base</t>
  </si>
  <si>
    <t xml:space="preserve">Data sources</t>
  </si>
  <si>
    <t xml:space="preserve">price: Yahoo Finance chart API at inputs.price_as_of (regular close); 52-week range 268.91-388.84
financials: SEC XBRL companyfacts (CIK 0000040545): FY2025 10-K filed 2026-01-29 (revenue, SBC, D&amp;A, intangible amortisation, interest income, income tax provision, share repurchases) and Q2 2026 10-Q filed 2026-07-16 (cash incl. restricted, total borrowings, NCI, shares outstanding, diluted weighted shares); research/GE/Reports/GE_Metrics.csv for the restated FY2022-FY2025 series
qualitative: research/GE/Reports/GE_Analysis.json (2026-09-28): FY2025 results, FY2026 guidance raised at Q2 2026, $20B buyback, durability roadmap, supply-chain commentary</t>
  </si>
  <si>
    <t xml:space="preserve">Scenario narrative: bear</t>
  </si>
  <si>
    <t xml:space="preserve">The Boeing/Airbus dependency bites: a renewed 737 MAX production disruption or a demand shock (recession, fuel spike, geopolitical closure of a major market) stalls LEAP deliveries and, more importantly, flight hours -- and it is the flight-hour-driven aftermarket that carries GE's margin. Revenue growth collapses to 4%/2%/3% in FY2027-29 after a guided FY2026, while LEAP durability shortfalls in harsh-environment fleets keep unplanned removals, AOG compensation and warranty accruals elevated through a delayed kit cutover, pushing pre-SBC EBITDA margin down to 22% before a slow recovery to 24%. Inventory built for the ramp is stranded (working capital consumes 5% of incremental revenue) and capex stays at 3% to hold capacity. Long-term-care reserve strengthening in the run-off insurance book is the tail risk that would turn the zero-valued bridge item into a cash call. Terminal growth 2.5% and a 16x cap reflect a cyclical rather than a compounder exit.</t>
  </si>
  <si>
    <t xml:space="preserve">Scenario narrative: base</t>
  </si>
  <si>
    <t xml:space="preserve">GE Aerospace delivers FY2026 as guided (adjusted revenue ~+18%, operating profit ~$10.65B, FCF ~$9B), then growth steps down to low-double-digit in FY2027 because forgings, castings and labour -- not demand -- gate how fast LEAP output can rise toward Boeing's 47/month and Airbus's 70+/month. Services (~70% of revenue) keep compounding on a ~50,000-engine commercial and ~30,000-engine military installed base, so mix lifts pre-SBC EBITDA margin about 50bp a year from 24.7% to 28% by year 9; LEAP equipment margins improve toward breakeven as the fleet matures (the CFM56 pattern) and the durability-kit cutover in early 2027 gradually removes unplanned shop-visit and warranty cost. Cash tax ramps from 15% to 21% as attributes are used. Defense grows with allied budgets but is the smaller, lower-margin leg. The count is held flat; in practice the $20B buyback is shrinking it, which is unmodelled upside.</t>
  </si>
  <si>
    <t xml:space="preserve">Scenario narrative: bull</t>
  </si>
  <si>
    <t xml:space="preserve">Supply chain unlocks faster than management has signalled: LEAP deliveries track the airframers' rate targets in 2027-28, widebody GEnx/GE9X volume rises with 787/777X, and the durability kit restores CFM56-class time-on-wing so the LEAP aftermarket matures into the highest-margin annuity in aerospace. Revenue compounds 14%/12%/10% in years 2-4 and pre-SBC EBITDA margin reaches 30% by year 9 (about 26.5% operating), with progress collections on a record backlog adding a small working-capital tailwind. Defense orders (+19% FY2025, +12% Q2 2026) provide a second engine. Next-generation programmes (CFM RISE open fan, adaptive-cycle military) extend the duopoly into the 2030s. Same 9% WACC and 20x cap as base: the upside is in the flows, not a cheaper discount rate.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</si>
  <si>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</si>
  <si>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</si>
  <si>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</si>
  <si>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</si>
  <si>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</si>
  <si>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</si>
  <si>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</si>
  <si>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</si>
  <si>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</si>
  <si>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</si>
  <si>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</si>
  <si>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</si>
  <si>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</si>
  <si>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</si>
  <si>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</si>
  <si>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</si>
  <si>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</si>
  <si>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</si>
  <si>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</si>
  <si>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</si>
  <si>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</si>
  <si>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</si>
  <si>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</si>
  <si>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</si>
  <si>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</si>
  <si>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</si>
  <si>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</si>
  <si>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</si>
  <si>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</si>
  <si>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</si>
  <si>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</si>
  <si>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</si>
  <si>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</si>
  <si>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</si>
  <si>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</si>
  <si>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</si>
  <si>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</si>
  <si>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</si>
  <si>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</si>
  <si>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</si>
  <si>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</si>
  <si>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</si>
  <si>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</si>
  <si>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</si>
  <si>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</si>
  <si>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</si>
  <si>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</si>
  <si>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</si>
  <si>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</si>
  <si>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</si>
  <si>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</si>
  <si>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</si>
  <si>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</si>
  <si>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</si>
  <si>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</si>
  <si>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</si>
  <si>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</si>
  <si>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</si>
  <si>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</si>
  <si>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</si>
  <si>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</si>
  <si>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</si>
  <si>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</si>
  <si>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</si>
  <si>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</si>
  <si>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</si>
  <si>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</si>
  <si>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</si>
  <si>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</si>
  <si>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</si>
  <si>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</si>
  <si>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</si>
  <si>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</si>
  <si>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</si>
  <si>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</si>
  <si>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</si>
  <si>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</si>
  <si>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</si>
  <si>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</si>
  <si>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</si>
  <si>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</si>
  <si>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</si>
  <si>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</si>
  <si>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</si>
  <si>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GE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</si>
  <si>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</si>
  <si>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</si>
  <si>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</si>
  <si>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</si>
  <si>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</si>
  <si>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</si>
  <si>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</si>
  <si>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</si>
  <si>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</si>
  <si>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</si>
  <si>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</si>
  <si>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</si>
  <si>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</si>
  <si>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</si>
  <si>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</si>
  <si>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</si>
  <si>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</si>
  <si>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</si>
  <si>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</si>
  <si>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</si>
  <si>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</si>
  <si>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</si>
  <si>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</si>
  <si>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</si>
  <si>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</si>
  <si>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</si>
  <si>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</si>
  <si>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</si>
  <si>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</si>
  <si>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</si>
  <si>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GE owner-FCF component DCF: base case (millions, USD)</t>
  </si>
  <si>
    <t xml:space="preserve">GE owner-FCF component DCF: bull case (millions, USD)</t>
  </si>
  <si>
    <t xml:space="preserve">GE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</si>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</sst>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327.09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111509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169964</v>
      </c>
      <c r="F3" s="0" t="n">
        <v>25614</v>
      </c>
      <c r="G3" s="0" t="n">
        <v>15.0702501706244</v>
      </c>
      <c r="H3" s="0" t="n">
        <v>35889</v>
      </c>
      <c r="I3" s="0" t="n">
        <v>23124</v>
      </c>
      <c r="J3" s="0" t="n">
        <v>13.6052340495634</v>
      </c>
      <c r="K3" s="0" t="n">
        <v>2.18</v>
      </c>
      <c r="L3" s="0" t="n">
        <v>43322</v>
      </c>
      <c r="M3" s="0" t="n">
        <v>17803</v>
      </c>
      <c r="N3" s="0" t="n">
        <v>25519</v>
      </c>
      <c r="O3" s="0" t="n">
        <v>123563</v>
      </c>
      <c r="S3" s="0" t="n">
        <v>15731</v>
      </c>
      <c r="V3" s="0" t="n">
        <v>1.15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179769</v>
      </c>
      <c r="F4" s="0" t="n">
        <v>21850</v>
      </c>
      <c r="G4" s="0" t="n">
        <v>12.1544871473947</v>
      </c>
      <c r="H4" s="0" t="n">
        <v>33331</v>
      </c>
      <c r="I4" s="0" t="n">
        <v>18051</v>
      </c>
      <c r="J4" s="0" t="n">
        <v>10.0412195651086</v>
      </c>
      <c r="K4" s="0" t="n">
        <v>1.72</v>
      </c>
      <c r="L4" s="0" t="n">
        <v>48653</v>
      </c>
      <c r="M4" s="0" t="n">
        <v>16010</v>
      </c>
      <c r="N4" s="0" t="n">
        <v>32643</v>
      </c>
      <c r="O4" s="0" t="n">
        <v>113612</v>
      </c>
      <c r="P4" s="0" t="n">
        <v>797769</v>
      </c>
      <c r="Q4" s="0" t="n">
        <v>684157</v>
      </c>
      <c r="R4" s="0" t="n">
        <v>322847</v>
      </c>
      <c r="S4" s="0" t="n">
        <v>48112</v>
      </c>
      <c r="T4" s="0" t="n">
        <v>10536.897</v>
      </c>
      <c r="V4" s="0" t="n">
        <v>1.24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154396</v>
      </c>
      <c r="F5" s="0" t="n">
        <v>15605</v>
      </c>
      <c r="G5" s="0" t="n">
        <v>10.1071271276458</v>
      </c>
      <c r="H5" s="0" t="n">
        <v>26222</v>
      </c>
      <c r="I5" s="0" t="n">
        <v>11225</v>
      </c>
      <c r="J5" s="0" t="n">
        <v>7.27026606906915</v>
      </c>
      <c r="K5" s="0" t="n">
        <v>1.01</v>
      </c>
      <c r="L5" s="0" t="n">
        <v>24417</v>
      </c>
      <c r="M5" s="0" t="n">
        <v>8636</v>
      </c>
      <c r="N5" s="0" t="n">
        <v>15781</v>
      </c>
      <c r="O5" s="0" t="n">
        <v>125136</v>
      </c>
      <c r="P5" s="0" t="n">
        <v>781949</v>
      </c>
      <c r="Q5" s="0" t="n">
        <v>656765</v>
      </c>
      <c r="R5" s="0" t="n">
        <v>342013</v>
      </c>
      <c r="S5" s="0" t="n">
        <v>70479</v>
      </c>
      <c r="T5" s="0" t="n">
        <v>10663.075</v>
      </c>
      <c r="V5" s="0" t="n">
        <v>0.61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148875</v>
      </c>
      <c r="F6" s="0" t="n">
        <v>17250</v>
      </c>
      <c r="G6" s="0" t="n">
        <v>11.5869017632242</v>
      </c>
      <c r="H6" s="0" t="n">
        <v>27036</v>
      </c>
      <c r="I6" s="0" t="n">
        <v>12179</v>
      </c>
      <c r="J6" s="0" t="n">
        <v>8.18068849706129</v>
      </c>
      <c r="K6" s="0" t="n">
        <v>1.06</v>
      </c>
      <c r="L6" s="0" t="n">
        <v>36124</v>
      </c>
      <c r="M6" s="0" t="n">
        <v>9800</v>
      </c>
      <c r="N6" s="0" t="n">
        <v>26324</v>
      </c>
      <c r="O6" s="0" t="n">
        <v>124198</v>
      </c>
      <c r="P6" s="0" t="n">
        <v>748491</v>
      </c>
      <c r="Q6" s="0" t="n">
        <v>623595</v>
      </c>
      <c r="R6" s="0" t="n">
        <v>311778</v>
      </c>
      <c r="S6" s="0" t="n">
        <v>78943</v>
      </c>
      <c r="T6" s="0" t="n">
        <v>10615.376</v>
      </c>
      <c r="V6" s="0" t="n">
        <v>0.46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110062</v>
      </c>
      <c r="F7" s="0" t="n">
        <v>20652</v>
      </c>
      <c r="G7" s="0" t="n">
        <v>18.763969399066</v>
      </c>
      <c r="H7" s="0" t="n">
        <v>31382</v>
      </c>
      <c r="I7" s="0" t="n">
        <v>14443</v>
      </c>
      <c r="J7" s="0" t="n">
        <v>13.1226036234123</v>
      </c>
      <c r="K7" s="0" t="n">
        <v>1.24</v>
      </c>
      <c r="L7" s="0" t="n">
        <v>33359</v>
      </c>
      <c r="M7" s="0" t="n">
        <v>12637</v>
      </c>
      <c r="N7" s="0" t="n">
        <v>20722</v>
      </c>
      <c r="O7" s="0" t="n">
        <v>118134</v>
      </c>
      <c r="P7" s="0" t="n">
        <v>718003</v>
      </c>
      <c r="Q7" s="0" t="n">
        <v>600055</v>
      </c>
      <c r="R7" s="0" t="n">
        <v>278499</v>
      </c>
      <c r="S7" s="0" t="n">
        <v>84501</v>
      </c>
      <c r="T7" s="0" t="n">
        <v>10573.017</v>
      </c>
      <c r="V7" s="0" t="n">
        <v>0.61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112588</v>
      </c>
      <c r="F8" s="0" t="n">
        <v>22887</v>
      </c>
      <c r="G8" s="0" t="n">
        <v>20.3280989092976</v>
      </c>
      <c r="H8" s="0" t="n">
        <v>33691</v>
      </c>
      <c r="I8" s="0" t="n">
        <v>13864</v>
      </c>
      <c r="J8" s="0" t="n">
        <v>12.3139233310832</v>
      </c>
      <c r="K8" s="0" t="n">
        <v>1.29</v>
      </c>
      <c r="L8" s="0" t="n">
        <v>31331</v>
      </c>
      <c r="M8" s="0" t="n">
        <v>15119</v>
      </c>
      <c r="N8" s="0" t="n">
        <v>16212</v>
      </c>
      <c r="O8" s="0" t="n">
        <v>128470</v>
      </c>
      <c r="P8" s="0" t="n">
        <v>684999</v>
      </c>
      <c r="Q8" s="0" t="n">
        <v>556529</v>
      </c>
      <c r="R8" s="0" t="n">
        <v>236084</v>
      </c>
      <c r="T8" s="0" t="n">
        <v>10564</v>
      </c>
      <c r="V8" s="0" t="n">
        <v>0.7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113245</v>
      </c>
      <c r="I9" s="0" t="n">
        <v>13355</v>
      </c>
      <c r="J9" s="0" t="n">
        <v>11.7930151441565</v>
      </c>
      <c r="K9" s="0" t="n">
        <v>1.28</v>
      </c>
      <c r="L9" s="0" t="n">
        <v>28510</v>
      </c>
      <c r="M9" s="0" t="n">
        <v>6754</v>
      </c>
      <c r="N9" s="0" t="n">
        <v>21756</v>
      </c>
      <c r="O9" s="0" t="n">
        <v>136783</v>
      </c>
      <c r="P9" s="0" t="n">
        <v>663247</v>
      </c>
      <c r="Q9" s="0" t="n">
        <v>519777</v>
      </c>
      <c r="R9" s="0" t="n">
        <v>221665</v>
      </c>
      <c r="T9" s="0" t="n">
        <v>10289</v>
      </c>
      <c r="V9" s="0" t="n">
        <v>0.79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117184</v>
      </c>
      <c r="I10" s="0" t="n">
        <v>15345</v>
      </c>
      <c r="J10" s="0" t="n">
        <v>13.0947910977608</v>
      </c>
      <c r="K10" s="0" t="n">
        <v>1.51</v>
      </c>
      <c r="L10" s="0" t="n">
        <v>27709</v>
      </c>
      <c r="M10" s="0" t="n">
        <v>7134</v>
      </c>
      <c r="N10" s="0" t="n">
        <v>20575</v>
      </c>
      <c r="O10" s="0" t="n">
        <v>136833</v>
      </c>
      <c r="P10" s="0" t="n">
        <v>653931</v>
      </c>
      <c r="Q10" s="0" t="n">
        <v>518023</v>
      </c>
      <c r="R10" s="0" t="n">
        <v>198653</v>
      </c>
      <c r="T10" s="0" t="n">
        <v>10123</v>
      </c>
      <c r="V10" s="0" t="n">
        <v>0.89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117386</v>
      </c>
      <c r="I11" s="0" t="n">
        <v>-6126</v>
      </c>
      <c r="J11" s="0" t="n">
        <v>-5.21868025147803</v>
      </c>
      <c r="K11" s="0" t="n">
        <v>-0.62</v>
      </c>
      <c r="L11" s="0" t="n">
        <v>19891</v>
      </c>
      <c r="M11" s="0" t="n">
        <v>7309</v>
      </c>
      <c r="N11" s="0" t="n">
        <v>12582</v>
      </c>
      <c r="O11" s="0" t="n">
        <v>100138</v>
      </c>
      <c r="P11" s="0" t="n">
        <v>493071</v>
      </c>
      <c r="Q11" s="0" t="n">
        <v>389961</v>
      </c>
      <c r="R11" s="0" t="n">
        <v>144659</v>
      </c>
      <c r="S11" s="0" t="n">
        <v>70483</v>
      </c>
      <c r="T11" s="0" t="n">
        <v>10016</v>
      </c>
      <c r="V11" s="0" t="n">
        <v>0.92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119469</v>
      </c>
      <c r="I12" s="0" t="n">
        <v>7500</v>
      </c>
      <c r="J12" s="0" t="n">
        <v>6.27777917283982</v>
      </c>
      <c r="K12" s="0" t="n">
        <v>0.76</v>
      </c>
      <c r="L12" s="0" t="n">
        <v>1160</v>
      </c>
      <c r="M12" s="0" t="n">
        <v>7199</v>
      </c>
      <c r="N12" s="0" t="n">
        <v>-6039</v>
      </c>
      <c r="O12" s="0" t="n">
        <v>71825</v>
      </c>
      <c r="P12" s="0" t="n">
        <v>359122</v>
      </c>
      <c r="Q12" s="0" t="n">
        <v>284668</v>
      </c>
      <c r="R12" s="0" t="n">
        <v>105080</v>
      </c>
      <c r="S12" s="0" t="n">
        <v>48129</v>
      </c>
      <c r="T12" s="0" t="n">
        <v>9130</v>
      </c>
      <c r="V12" s="0" t="n">
        <v>0.93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99279</v>
      </c>
      <c r="I13" s="0" t="n">
        <v>-8849</v>
      </c>
      <c r="J13" s="0" t="n">
        <v>-8.91326463804027</v>
      </c>
      <c r="K13" s="0" t="n">
        <v>-1.03</v>
      </c>
      <c r="L13" s="0" t="n">
        <v>6554</v>
      </c>
      <c r="M13" s="0" t="n">
        <v>6642</v>
      </c>
      <c r="N13" s="0" t="n">
        <v>-88</v>
      </c>
      <c r="O13" s="0" t="n">
        <v>73499</v>
      </c>
      <c r="P13" s="0" t="n">
        <v>369245</v>
      </c>
      <c r="Q13" s="0" t="n">
        <v>292355</v>
      </c>
      <c r="R13" s="0" t="n">
        <v>108575</v>
      </c>
      <c r="S13" s="0" t="n">
        <v>43299</v>
      </c>
      <c r="T13" s="0" t="n">
        <v>8687</v>
      </c>
      <c r="V13" s="0" t="n">
        <v>0.84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97012</v>
      </c>
      <c r="C14" s="0" t="n">
        <v>72818</v>
      </c>
      <c r="I14" s="0" t="n">
        <v>-22443</v>
      </c>
      <c r="J14" s="0" t="n">
        <v>-23.1342514328124</v>
      </c>
      <c r="K14" s="0" t="n">
        <v>-2.62</v>
      </c>
      <c r="L14" s="0" t="n">
        <v>4978</v>
      </c>
      <c r="M14" s="0" t="n">
        <v>6627</v>
      </c>
      <c r="N14" s="0" t="n">
        <v>-1649</v>
      </c>
      <c r="O14" s="0" t="n">
        <v>51481</v>
      </c>
      <c r="P14" s="0" t="n">
        <v>311072</v>
      </c>
      <c r="Q14" s="0" t="n">
        <v>259591</v>
      </c>
      <c r="R14" s="0" t="n">
        <v>88949</v>
      </c>
      <c r="T14" s="0" t="n">
        <v>8702.227</v>
      </c>
      <c r="U14" s="0" t="n">
        <v>336</v>
      </c>
      <c r="V14" s="0" t="n">
        <v>0.37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90221</v>
      </c>
      <c r="C15" s="0" t="n">
        <v>66911</v>
      </c>
      <c r="I15" s="0" t="n">
        <v>-4979</v>
      </c>
      <c r="J15" s="0" t="n">
        <v>-5.51867081943228</v>
      </c>
      <c r="K15" s="0" t="n">
        <v>-4.99</v>
      </c>
      <c r="L15" s="0" t="n">
        <v>8734</v>
      </c>
      <c r="M15" s="0" t="n">
        <v>2216</v>
      </c>
      <c r="N15" s="0" t="n">
        <v>6518</v>
      </c>
      <c r="O15" s="0" t="n">
        <v>29861</v>
      </c>
      <c r="P15" s="0" t="n">
        <v>265177</v>
      </c>
      <c r="Q15" s="0" t="n">
        <v>235316</v>
      </c>
      <c r="R15" s="0" t="n">
        <v>67241</v>
      </c>
      <c r="T15" s="0" t="n">
        <v>8738.434</v>
      </c>
      <c r="U15" s="0" t="n">
        <v>400</v>
      </c>
      <c r="V15" s="0" t="n">
        <v>0.32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75833</v>
      </c>
      <c r="C16" s="0" t="n">
        <v>60421</v>
      </c>
      <c r="I16" s="0" t="n">
        <v>5704</v>
      </c>
      <c r="J16" s="0" t="n">
        <v>7.52179130457716</v>
      </c>
      <c r="K16" s="0" t="n">
        <v>4.63</v>
      </c>
      <c r="L16" s="0" t="n">
        <v>3568</v>
      </c>
      <c r="M16" s="0" t="n">
        <v>1579</v>
      </c>
      <c r="N16" s="0" t="n">
        <v>1989</v>
      </c>
      <c r="O16" s="0" t="n">
        <v>37073</v>
      </c>
      <c r="P16" s="0" t="n">
        <v>256211</v>
      </c>
      <c r="Q16" s="0" t="n">
        <v>219138</v>
      </c>
      <c r="R16" s="0" t="n">
        <v>74902</v>
      </c>
      <c r="T16" s="0" t="n">
        <v>1095.686581</v>
      </c>
      <c r="U16" s="0" t="n">
        <v>353</v>
      </c>
      <c r="V16" s="0" t="n">
        <v>0.32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56469</v>
      </c>
      <c r="I17" s="0" t="n">
        <v>-6408</v>
      </c>
      <c r="J17" s="0" t="n">
        <v>-11.3478191574138</v>
      </c>
      <c r="K17" s="0" t="n">
        <v>-6</v>
      </c>
      <c r="L17" s="0" t="n">
        <v>3481</v>
      </c>
      <c r="M17" s="0" t="n">
        <v>1113</v>
      </c>
      <c r="N17" s="0" t="n">
        <v>2368</v>
      </c>
      <c r="O17" s="0" t="n">
        <v>33346</v>
      </c>
      <c r="P17" s="0" t="n">
        <v>198874</v>
      </c>
      <c r="Q17" s="0" t="n">
        <v>157262</v>
      </c>
      <c r="R17" s="0" t="n">
        <v>35185</v>
      </c>
      <c r="T17" s="0" t="n">
        <v>1099.027213</v>
      </c>
      <c r="U17" s="0" t="n">
        <v>305</v>
      </c>
      <c r="V17" s="0" t="n">
        <v>0.32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29139</v>
      </c>
      <c r="I18" s="0" t="n">
        <v>403</v>
      </c>
      <c r="J18" s="0" t="n">
        <v>1.38302618483819</v>
      </c>
      <c r="K18" s="0" t="n">
        <v>-0.06</v>
      </c>
      <c r="L18" s="0" t="n">
        <v>5917</v>
      </c>
      <c r="M18" s="0" t="n">
        <v>662</v>
      </c>
      <c r="N18" s="0" t="n">
        <v>5255</v>
      </c>
      <c r="O18" s="0" t="n">
        <v>34930</v>
      </c>
      <c r="P18" s="0" t="n">
        <v>188851</v>
      </c>
      <c r="Q18" s="0" t="n">
        <v>153938</v>
      </c>
      <c r="R18" s="0" t="n">
        <v>24059</v>
      </c>
      <c r="T18" s="0" t="n">
        <v>1101</v>
      </c>
      <c r="U18" s="0" t="n">
        <v>143</v>
      </c>
      <c r="V18" s="0" t="n">
        <v>0.32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35348</v>
      </c>
      <c r="I19" s="0" t="n">
        <v>9482</v>
      </c>
      <c r="J19" s="0" t="n">
        <v>26.8247142695485</v>
      </c>
      <c r="K19" s="0" t="n">
        <v>8.44</v>
      </c>
      <c r="L19" s="0" t="n">
        <v>5189</v>
      </c>
      <c r="M19" s="0" t="n">
        <v>862</v>
      </c>
      <c r="N19" s="0" t="n">
        <v>4327</v>
      </c>
      <c r="O19" s="0" t="n">
        <v>28605</v>
      </c>
      <c r="P19" s="0" t="n">
        <v>173300</v>
      </c>
      <c r="Q19" s="0" t="n">
        <v>144695</v>
      </c>
      <c r="R19" s="0" t="n">
        <v>20525</v>
      </c>
      <c r="T19" s="0" t="n">
        <v>1099</v>
      </c>
      <c r="U19" s="0" t="n">
        <v>192</v>
      </c>
      <c r="V19" s="0" t="n">
        <v>0.32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38702</v>
      </c>
      <c r="I20" s="0" t="n">
        <v>6566</v>
      </c>
      <c r="J20" s="0" t="n">
        <v>16.9655314970803</v>
      </c>
      <c r="K20" s="0" t="n">
        <v>6.04</v>
      </c>
      <c r="L20" s="0" t="n">
        <v>4710</v>
      </c>
      <c r="M20" s="0" t="n">
        <v>1032</v>
      </c>
      <c r="N20" s="0" t="n">
        <v>3678</v>
      </c>
      <c r="O20" s="0" t="n">
        <v>19564</v>
      </c>
      <c r="P20" s="0" t="n">
        <v>123140</v>
      </c>
      <c r="Q20" s="0" t="n">
        <v>103576</v>
      </c>
      <c r="R20" s="0" t="n">
        <v>19273</v>
      </c>
      <c r="T20" s="0" t="n">
        <v>1094</v>
      </c>
      <c r="U20" s="0" t="n">
        <v>286</v>
      </c>
      <c r="V20" s="0" t="n">
        <v>1.12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45855</v>
      </c>
      <c r="I21" s="0" t="n">
        <v>8704</v>
      </c>
      <c r="J21" s="0" t="n">
        <v>18.9815723476175</v>
      </c>
      <c r="K21" s="0" t="n">
        <v>8.2</v>
      </c>
      <c r="L21" s="0" t="n">
        <v>8537</v>
      </c>
      <c r="M21" s="0" t="n">
        <v>1273</v>
      </c>
      <c r="N21" s="0" t="n">
        <v>7264</v>
      </c>
      <c r="O21" s="0" t="n">
        <v>18898</v>
      </c>
      <c r="P21" s="0" t="n">
        <v>130169</v>
      </c>
      <c r="Q21" s="0" t="n">
        <v>111271</v>
      </c>
      <c r="R21" s="0" t="n">
        <v>22155</v>
      </c>
      <c r="T21" s="0" t="n">
        <v>1068</v>
      </c>
      <c r="U21" s="0" t="n">
        <v>325</v>
      </c>
      <c r="V21" s="0" t="n">
        <v>1.44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327.09</v>
      </c>
    </row>
    <row r="3" customFormat="false" ht="15" hidden="false" customHeight="false" outlineLevel="0" collapsed="false">
      <c r="A3" s="0" t="s">
        <v>86</v>
      </c>
      <c r="B3" s="3" t="n">
        <v>1045</v>
      </c>
    </row>
    <row r="4" customFormat="false" ht="15" hidden="false" customHeight="false" outlineLevel="0" collapsed="false">
      <c r="A4" s="0" t="s">
        <v>87</v>
      </c>
      <c r="B4" s="3" t="n">
        <v>9812</v>
      </c>
    </row>
    <row r="5" customFormat="false" ht="15" hidden="false" customHeight="false" outlineLevel="0" collapsed="false">
      <c r="A5" s="0" t="s">
        <v>88</v>
      </c>
      <c r="B5" s="3" t="n">
        <v>-227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42300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15</v>
      </c>
      <c r="D13" s="3" t="n">
        <v>4</v>
      </c>
      <c r="E13" s="3" t="n">
        <v>2</v>
      </c>
      <c r="F13" s="3" t="n">
        <v>3</v>
      </c>
      <c r="G13" s="3" t="n">
        <v>4</v>
      </c>
      <c r="H13" s="3" t="n">
        <v>4</v>
      </c>
      <c r="I13" s="3" t="n">
        <v>3.5</v>
      </c>
      <c r="J13" s="3" t="n">
        <v>3</v>
      </c>
      <c r="K13" s="3" t="n">
        <v>3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24</v>
      </c>
      <c r="D14" s="3" t="n">
        <v>22.5</v>
      </c>
      <c r="E14" s="3" t="n">
        <v>22</v>
      </c>
      <c r="F14" s="3" t="n">
        <v>22.5</v>
      </c>
      <c r="G14" s="3" t="n">
        <v>23</v>
      </c>
      <c r="H14" s="3" t="n">
        <v>23.5</v>
      </c>
      <c r="I14" s="3" t="n">
        <v>24</v>
      </c>
      <c r="J14" s="3" t="n">
        <v>24</v>
      </c>
      <c r="K14" s="3" t="n">
        <v>24</v>
      </c>
      <c r="L14" s="3" t="n">
        <v>24</v>
      </c>
    </row>
    <row r="15" customFormat="false" ht="15" hidden="false" customHeight="false" outlineLevel="0" collapsed="false">
      <c r="A15" s="0" t="s">
        <v>108</v>
      </c>
      <c r="C15" s="3" t="n">
        <v>0.75</v>
      </c>
      <c r="D15" s="3" t="n">
        <v>0.75</v>
      </c>
      <c r="E15" s="3" t="n">
        <v>0.75</v>
      </c>
      <c r="F15" s="3" t="n">
        <v>0.75</v>
      </c>
      <c r="G15" s="3" t="n">
        <v>0.75</v>
      </c>
      <c r="H15" s="3" t="n">
        <v>0.75</v>
      </c>
      <c r="I15" s="3" t="n">
        <v>0.75</v>
      </c>
      <c r="J15" s="3" t="n">
        <v>0.75</v>
      </c>
      <c r="K15" s="3" t="n">
        <v>0.75</v>
      </c>
      <c r="L15" s="3" t="n">
        <v>0.75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2.7</v>
      </c>
      <c r="D17" s="3" t="n">
        <v>2.7</v>
      </c>
      <c r="E17" s="3" t="n">
        <v>2.7</v>
      </c>
      <c r="F17" s="3" t="n">
        <v>2.7</v>
      </c>
      <c r="G17" s="3" t="n">
        <v>2.7</v>
      </c>
      <c r="H17" s="3" t="n">
        <v>2.7</v>
      </c>
      <c r="I17" s="3" t="n">
        <v>2.7</v>
      </c>
      <c r="J17" s="3" t="n">
        <v>2.7</v>
      </c>
      <c r="K17" s="3" t="n">
        <v>2.7</v>
      </c>
      <c r="L17" s="3" t="n">
        <v>2.7</v>
      </c>
    </row>
    <row r="18" customFormat="false" ht="15" hidden="false" customHeight="false" outlineLevel="0" collapsed="false">
      <c r="A18" s="0" t="s">
        <v>111</v>
      </c>
      <c r="C18" s="3" t="n">
        <v>3</v>
      </c>
      <c r="D18" s="3" t="n">
        <v>3</v>
      </c>
      <c r="E18" s="3" t="n">
        <v>3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112</v>
      </c>
      <c r="C19" s="3" t="n">
        <v>15</v>
      </c>
      <c r="D19" s="3" t="n">
        <v>16</v>
      </c>
      <c r="E19" s="3" t="n">
        <v>17</v>
      </c>
      <c r="F19" s="3" t="n">
        <v>18</v>
      </c>
      <c r="G19" s="3" t="n">
        <v>19</v>
      </c>
      <c r="H19" s="3" t="n">
        <v>20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16</v>
      </c>
    </row>
    <row r="23" customFormat="false" ht="15" hidden="false" customHeight="false" outlineLevel="0" collapsed="false">
      <c r="A23" s="0" t="s">
        <v>116</v>
      </c>
      <c r="B23" s="3" t="n">
        <v>-5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18</v>
      </c>
      <c r="D27" s="3" t="n">
        <v>11</v>
      </c>
      <c r="E27" s="3" t="n">
        <v>9</v>
      </c>
      <c r="F27" s="3" t="n">
        <v>8</v>
      </c>
      <c r="G27" s="3" t="n">
        <v>7</v>
      </c>
      <c r="H27" s="3" t="n">
        <v>6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107</v>
      </c>
      <c r="C28" s="3" t="n">
        <v>24.7</v>
      </c>
      <c r="D28" s="3" t="n">
        <v>25.2</v>
      </c>
      <c r="E28" s="3" t="n">
        <v>25.7</v>
      </c>
      <c r="F28" s="3" t="n">
        <v>26.2</v>
      </c>
      <c r="G28" s="3" t="n">
        <v>26.7</v>
      </c>
      <c r="H28" s="3" t="n">
        <v>27.1</v>
      </c>
      <c r="I28" s="3" t="n">
        <v>27.4</v>
      </c>
      <c r="J28" s="3" t="n">
        <v>27.7</v>
      </c>
      <c r="K28" s="3" t="n">
        <v>28</v>
      </c>
      <c r="L28" s="3" t="n">
        <v>28</v>
      </c>
    </row>
    <row r="29" customFormat="false" ht="15" hidden="false" customHeight="false" outlineLevel="0" collapsed="false">
      <c r="A29" s="0" t="s">
        <v>108</v>
      </c>
      <c r="C29" s="3" t="n">
        <v>0.75</v>
      </c>
      <c r="D29" s="3" t="n">
        <v>0.75</v>
      </c>
      <c r="E29" s="3" t="n">
        <v>0.75</v>
      </c>
      <c r="F29" s="3" t="n">
        <v>0.75</v>
      </c>
      <c r="G29" s="3" t="n">
        <v>0.75</v>
      </c>
      <c r="H29" s="3" t="n">
        <v>0.75</v>
      </c>
      <c r="I29" s="3" t="n">
        <v>0.75</v>
      </c>
      <c r="J29" s="3" t="n">
        <v>0.75</v>
      </c>
      <c r="K29" s="3" t="n">
        <v>0.75</v>
      </c>
      <c r="L29" s="3" t="n">
        <v>0.75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2.7</v>
      </c>
      <c r="D31" s="3" t="n">
        <v>2.7</v>
      </c>
      <c r="E31" s="3" t="n">
        <v>2.7</v>
      </c>
      <c r="F31" s="3" t="n">
        <v>2.7</v>
      </c>
      <c r="G31" s="3" t="n">
        <v>2.7</v>
      </c>
      <c r="H31" s="3" t="n">
        <v>2.7</v>
      </c>
      <c r="I31" s="3" t="n">
        <v>2.7</v>
      </c>
      <c r="J31" s="3" t="n">
        <v>2.7</v>
      </c>
      <c r="K31" s="3" t="n">
        <v>2.7</v>
      </c>
      <c r="L31" s="3" t="n">
        <v>2.7</v>
      </c>
    </row>
    <row r="32" customFormat="false" ht="15" hidden="false" customHeight="false" outlineLevel="0" collapsed="false">
      <c r="A32" s="0" t="s">
        <v>111</v>
      </c>
      <c r="C32" s="3" t="n">
        <v>3</v>
      </c>
      <c r="D32" s="3" t="n">
        <v>3</v>
      </c>
      <c r="E32" s="3" t="n">
        <v>3</v>
      </c>
      <c r="F32" s="3" t="n">
        <v>2.9</v>
      </c>
      <c r="G32" s="3" t="n">
        <v>2.8</v>
      </c>
      <c r="H32" s="3" t="n">
        <v>2.7</v>
      </c>
      <c r="I32" s="3" t="n">
        <v>2.7</v>
      </c>
      <c r="J32" s="3" t="n">
        <v>2.7</v>
      </c>
      <c r="K32" s="3" t="n">
        <v>2.7</v>
      </c>
      <c r="L32" s="3" t="n">
        <v>2.7</v>
      </c>
    </row>
    <row r="33" customFormat="false" ht="15" hidden="false" customHeight="false" outlineLevel="0" collapsed="false">
      <c r="A33" s="0" t="s">
        <v>112</v>
      </c>
      <c r="C33" s="3" t="n">
        <v>15</v>
      </c>
      <c r="D33" s="3" t="n">
        <v>16</v>
      </c>
      <c r="E33" s="3" t="n">
        <v>17</v>
      </c>
      <c r="F33" s="3" t="n">
        <v>18</v>
      </c>
      <c r="G33" s="3" t="n">
        <v>19</v>
      </c>
      <c r="H33" s="3" t="n">
        <v>20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20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20</v>
      </c>
      <c r="D41" s="3" t="n">
        <v>14</v>
      </c>
      <c r="E41" s="3" t="n">
        <v>12</v>
      </c>
      <c r="F41" s="3" t="n">
        <v>10</v>
      </c>
      <c r="G41" s="3" t="n">
        <v>9</v>
      </c>
      <c r="H41" s="3" t="n">
        <v>8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107</v>
      </c>
      <c r="C42" s="3" t="n">
        <v>25</v>
      </c>
      <c r="D42" s="3" t="n">
        <v>25.8</v>
      </c>
      <c r="E42" s="3" t="n">
        <v>26.6</v>
      </c>
      <c r="F42" s="3" t="n">
        <v>27.4</v>
      </c>
      <c r="G42" s="3" t="n">
        <v>28.2</v>
      </c>
      <c r="H42" s="3" t="n">
        <v>28.8</v>
      </c>
      <c r="I42" s="3" t="n">
        <v>29.3</v>
      </c>
      <c r="J42" s="3" t="n">
        <v>29.7</v>
      </c>
      <c r="K42" s="3" t="n">
        <v>30</v>
      </c>
      <c r="L42" s="3" t="n">
        <v>30</v>
      </c>
    </row>
    <row r="43" customFormat="false" ht="15" hidden="false" customHeight="false" outlineLevel="0" collapsed="false">
      <c r="A43" s="0" t="s">
        <v>108</v>
      </c>
      <c r="C43" s="3" t="n">
        <v>0.75</v>
      </c>
      <c r="D43" s="3" t="n">
        <v>0.75</v>
      </c>
      <c r="E43" s="3" t="n">
        <v>0.75</v>
      </c>
      <c r="F43" s="3" t="n">
        <v>0.75</v>
      </c>
      <c r="G43" s="3" t="n">
        <v>0.75</v>
      </c>
      <c r="H43" s="3" t="n">
        <v>0.75</v>
      </c>
      <c r="I43" s="3" t="n">
        <v>0.75</v>
      </c>
      <c r="J43" s="3" t="n">
        <v>0.75</v>
      </c>
      <c r="K43" s="3" t="n">
        <v>0.75</v>
      </c>
      <c r="L43" s="3" t="n">
        <v>0.75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2.7</v>
      </c>
      <c r="D45" s="3" t="n">
        <v>2.7</v>
      </c>
      <c r="E45" s="3" t="n">
        <v>2.7</v>
      </c>
      <c r="F45" s="3" t="n">
        <v>2.7</v>
      </c>
      <c r="G45" s="3" t="n">
        <v>2.7</v>
      </c>
      <c r="H45" s="3" t="n">
        <v>2.7</v>
      </c>
      <c r="I45" s="3" t="n">
        <v>2.7</v>
      </c>
      <c r="J45" s="3" t="n">
        <v>2.7</v>
      </c>
      <c r="K45" s="3" t="n">
        <v>2.7</v>
      </c>
      <c r="L45" s="3" t="n">
        <v>2.7</v>
      </c>
    </row>
    <row r="46" customFormat="false" ht="15" hidden="false" customHeight="false" outlineLevel="0" collapsed="false">
      <c r="A46" s="0" t="s">
        <v>111</v>
      </c>
      <c r="C46" s="3" t="n">
        <v>3</v>
      </c>
      <c r="D46" s="3" t="n">
        <v>3</v>
      </c>
      <c r="E46" s="3" t="n">
        <v>3</v>
      </c>
      <c r="F46" s="3" t="n">
        <v>2.9</v>
      </c>
      <c r="G46" s="3" t="n">
        <v>2.8</v>
      </c>
      <c r="H46" s="3" t="n">
        <v>2.7</v>
      </c>
      <c r="I46" s="3" t="n">
        <v>2.7</v>
      </c>
      <c r="J46" s="3" t="n">
        <v>2.7</v>
      </c>
      <c r="K46" s="3" t="n">
        <v>2.7</v>
      </c>
      <c r="L46" s="3" t="n">
        <v>2.7</v>
      </c>
    </row>
    <row r="47" customFormat="false" ht="15" hidden="false" customHeight="false" outlineLevel="0" collapsed="false">
      <c r="A47" s="0" t="s">
        <v>112</v>
      </c>
      <c r="C47" s="3" t="n">
        <v>15</v>
      </c>
      <c r="D47" s="3" t="n">
        <v>16</v>
      </c>
      <c r="E47" s="3" t="n">
        <v>17</v>
      </c>
      <c r="F47" s="3" t="n">
        <v>18</v>
      </c>
      <c r="G47" s="3" t="n">
        <v>19</v>
      </c>
      <c r="H47" s="3" t="n">
        <v>20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20</v>
      </c>
    </row>
    <row r="51" customFormat="false" ht="15" hidden="false" customHeight="false" outlineLevel="0" collapsed="false">
      <c r="A51" s="0" t="s">
        <v>116</v>
      </c>
      <c r="B51" s="3" t="n">
        <v>3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15</v>
      </c>
      <c r="D5" s="4" t="n">
        <f aca="false">Assumptions!D13</f>
        <v>4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4</v>
      </c>
      <c r="H5" s="4" t="n">
        <f aca="false">Assumptions!H13</f>
        <v>4</v>
      </c>
      <c r="I5" s="4" t="n">
        <f aca="false">Assumptions!I13</f>
        <v>3.5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42300</v>
      </c>
      <c r="C6" s="0" t="n">
        <f aca="false">B6*(1+C5/100)</f>
        <v>48645</v>
      </c>
      <c r="D6" s="0" t="n">
        <f aca="false">C6*(1+D5/100)</f>
        <v>50590.8</v>
      </c>
      <c r="E6" s="0" t="n">
        <f aca="false">D6*(1+E5/100)</f>
        <v>51602.616</v>
      </c>
      <c r="F6" s="0" t="n">
        <f aca="false">E6*(1+F5/100)</f>
        <v>53150.69448</v>
      </c>
      <c r="G6" s="0" t="n">
        <f aca="false">F6*(1+G5/100)</f>
        <v>55276.7222592</v>
      </c>
      <c r="H6" s="0" t="n">
        <f aca="false">G6*(1+H5/100)</f>
        <v>57487.791149568</v>
      </c>
      <c r="I6" s="0" t="n">
        <f aca="false">H6*(1+I5/100)</f>
        <v>59499.8638398029</v>
      </c>
      <c r="J6" s="0" t="n">
        <f aca="false">I6*(1+J5/100)</f>
        <v>61284.859754997</v>
      </c>
      <c r="K6" s="0" t="n">
        <f aca="false">J6*(1+K5/100)</f>
        <v>63123.4055476469</v>
      </c>
      <c r="L6" s="0" t="n">
        <f aca="false">K6*(1+L5/100)</f>
        <v>64701.490686338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24</v>
      </c>
      <c r="D7" s="4" t="n">
        <f aca="false">Assumptions!D14</f>
        <v>22.5</v>
      </c>
      <c r="E7" s="4" t="n">
        <f aca="false">Assumptions!E14</f>
        <v>22</v>
      </c>
      <c r="F7" s="4" t="n">
        <f aca="false">Assumptions!F14</f>
        <v>22.5</v>
      </c>
      <c r="G7" s="4" t="n">
        <f aca="false">Assumptions!G14</f>
        <v>23</v>
      </c>
      <c r="H7" s="4" t="n">
        <f aca="false">Assumptions!H14</f>
        <v>23.5</v>
      </c>
      <c r="I7" s="4" t="n">
        <f aca="false">Assumptions!I14</f>
        <v>24</v>
      </c>
      <c r="J7" s="4" t="n">
        <f aca="false">Assumptions!J14</f>
        <v>24</v>
      </c>
      <c r="K7" s="4" t="n">
        <f aca="false">Assumptions!K14</f>
        <v>24</v>
      </c>
      <c r="L7" s="4" t="n">
        <f aca="false">Assumptions!L14</f>
        <v>24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11674.8</v>
      </c>
      <c r="D8" s="0" t="n">
        <f aca="false">D6*D7/100</f>
        <v>11382.93</v>
      </c>
      <c r="E8" s="0" t="n">
        <f aca="false">E6*E7/100</f>
        <v>11352.57552</v>
      </c>
      <c r="F8" s="0" t="n">
        <f aca="false">F6*F7/100</f>
        <v>11958.906258</v>
      </c>
      <c r="G8" s="0" t="n">
        <f aca="false">G6*G7/100</f>
        <v>12713.646119616</v>
      </c>
      <c r="H8" s="0" t="n">
        <f aca="false">H6*H7/100</f>
        <v>13509.6309201485</v>
      </c>
      <c r="I8" s="0" t="n">
        <f aca="false">I6*I7/100</f>
        <v>14279.9673215527</v>
      </c>
      <c r="J8" s="0" t="n">
        <f aca="false">J6*J7/100</f>
        <v>14708.3663411993</v>
      </c>
      <c r="K8" s="0" t="n">
        <f aca="false">K6*K7/100</f>
        <v>15149.6173314353</v>
      </c>
      <c r="L8" s="0" t="n">
        <f aca="false">L6*L7/100</f>
        <v>15528.3577647211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0.75</v>
      </c>
      <c r="D9" s="4" t="n">
        <f aca="false">Assumptions!D15</f>
        <v>0.75</v>
      </c>
      <c r="E9" s="4" t="n">
        <f aca="false">Assumptions!E15</f>
        <v>0.75</v>
      </c>
      <c r="F9" s="4" t="n">
        <f aca="false">Assumptions!F15</f>
        <v>0.75</v>
      </c>
      <c r="G9" s="4" t="n">
        <f aca="false">Assumptions!G15</f>
        <v>0.75</v>
      </c>
      <c r="H9" s="4" t="n">
        <f aca="false">Assumptions!H15</f>
        <v>0.75</v>
      </c>
      <c r="I9" s="4" t="n">
        <f aca="false">Assumptions!I15</f>
        <v>0.75</v>
      </c>
      <c r="J9" s="4" t="n">
        <f aca="false">Assumptions!J15</f>
        <v>0.75</v>
      </c>
      <c r="K9" s="4" t="n">
        <f aca="false">Assumptions!K15</f>
        <v>0.75</v>
      </c>
      <c r="L9" s="4" t="n">
        <f aca="false">Assumptions!L15</f>
        <v>0.75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-364.8375</v>
      </c>
      <c r="D10" s="0" t="n">
        <f aca="false">-D6*D9/100</f>
        <v>-379.431</v>
      </c>
      <c r="E10" s="0" t="n">
        <f aca="false">-E6*E9/100</f>
        <v>-387.01962</v>
      </c>
      <c r="F10" s="0" t="n">
        <f aca="false">-F6*F9/100</f>
        <v>-398.6302086</v>
      </c>
      <c r="G10" s="0" t="n">
        <f aca="false">-G6*G9/100</f>
        <v>-414.575416944</v>
      </c>
      <c r="H10" s="0" t="n">
        <f aca="false">-H6*H9/100</f>
        <v>-431.15843362176</v>
      </c>
      <c r="I10" s="0" t="n">
        <f aca="false">-I6*I9/100</f>
        <v>-446.248978798522</v>
      </c>
      <c r="J10" s="0" t="n">
        <f aca="false">-J6*J9/100</f>
        <v>-459.636448162477</v>
      </c>
      <c r="K10" s="0" t="n">
        <f aca="false">-K6*K9/100</f>
        <v>-473.425541607352</v>
      </c>
      <c r="L10" s="0" t="n">
        <f aca="false">-L6*L9/100</f>
        <v>-485.261180147535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11309.9625</v>
      </c>
      <c r="D11" s="0" t="n">
        <f aca="false">D8+D10+D24</f>
        <v>11003.499</v>
      </c>
      <c r="E11" s="0" t="n">
        <f aca="false">E8+E10+E24</f>
        <v>10965.5559</v>
      </c>
      <c r="F11" s="0" t="n">
        <f aca="false">F8+F10+F24</f>
        <v>11560.2760494</v>
      </c>
      <c r="G11" s="0" t="n">
        <f aca="false">G8+G10+G24</f>
        <v>12299.070702672</v>
      </c>
      <c r="H11" s="0" t="n">
        <f aca="false">H8+H10+H24</f>
        <v>13078.4724865267</v>
      </c>
      <c r="I11" s="0" t="n">
        <f aca="false">I8+I10+I24</f>
        <v>13833.7183427542</v>
      </c>
      <c r="J11" s="0" t="n">
        <f aca="false">J8+J10+J24</f>
        <v>14248.7298930368</v>
      </c>
      <c r="K11" s="0" t="n">
        <f aca="false">K8+K10+K24</f>
        <v>14676.1917898279</v>
      </c>
      <c r="L11" s="0" t="n">
        <f aca="false">L8+L10+L24</f>
        <v>15043.0965845736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-1313.415</v>
      </c>
      <c r="D12" s="4" t="n">
        <f aca="false">-D6*Assumptions!D17/100</f>
        <v>-1365.9516</v>
      </c>
      <c r="E12" s="4" t="n">
        <f aca="false">-E6*Assumptions!E17/100</f>
        <v>-1393.270632</v>
      </c>
      <c r="F12" s="4" t="n">
        <f aca="false">-F6*Assumptions!F17/100</f>
        <v>-1435.06875096</v>
      </c>
      <c r="G12" s="4" t="n">
        <f aca="false">-G6*Assumptions!G17/100</f>
        <v>-1492.4715009984</v>
      </c>
      <c r="H12" s="4" t="n">
        <f aca="false">-H6*Assumptions!H17/100</f>
        <v>-1552.17036103834</v>
      </c>
      <c r="I12" s="4" t="n">
        <f aca="false">-I6*Assumptions!I17/100</f>
        <v>-1606.49632367468</v>
      </c>
      <c r="J12" s="4" t="n">
        <f aca="false">-J6*Assumptions!J17/100</f>
        <v>-1654.69121338492</v>
      </c>
      <c r="K12" s="4" t="n">
        <f aca="false">-K6*Assumptions!K17/100</f>
        <v>-1704.33194978647</v>
      </c>
      <c r="L12" s="4" t="n">
        <f aca="false">-L6*Assumptions!L17/100</f>
        <v>-1746.94024853113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9996.5475</v>
      </c>
      <c r="D13" s="0" t="n">
        <f aca="false">D11+D12</f>
        <v>9637.5474</v>
      </c>
      <c r="E13" s="0" t="n">
        <f aca="false">E11+E12</f>
        <v>9572.285268</v>
      </c>
      <c r="F13" s="0" t="n">
        <f aca="false">F11+F12</f>
        <v>10125.20729844</v>
      </c>
      <c r="G13" s="0" t="n">
        <f aca="false">G11+G12</f>
        <v>10806.5992016736</v>
      </c>
      <c r="H13" s="0" t="n">
        <f aca="false">H11+H12</f>
        <v>11526.3021254884</v>
      </c>
      <c r="I13" s="0" t="n">
        <f aca="false">I11+I12</f>
        <v>12227.2220190795</v>
      </c>
      <c r="J13" s="0" t="n">
        <f aca="false">J11+J12</f>
        <v>12594.0386796519</v>
      </c>
      <c r="K13" s="0" t="n">
        <f aca="false">K11+K12</f>
        <v>12971.8598400414</v>
      </c>
      <c r="L13" s="0" t="n">
        <f aca="false">L11+L12</f>
        <v>13296.1563360425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15</v>
      </c>
      <c r="D14" s="4" t="n">
        <f aca="false">Assumptions!D19</f>
        <v>16</v>
      </c>
      <c r="E14" s="4" t="n">
        <f aca="false">Assumptions!E19</f>
        <v>17</v>
      </c>
      <c r="F14" s="4" t="n">
        <f aca="false">Assumptions!F19</f>
        <v>18</v>
      </c>
      <c r="G14" s="4" t="n">
        <f aca="false">Assumptions!G19</f>
        <v>19</v>
      </c>
      <c r="H14" s="4" t="n">
        <f aca="false">Assumptions!H19</f>
        <v>20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8497.065375</v>
      </c>
      <c r="D15" s="0" t="n">
        <f aca="false">D13-MAX(0,D13)*D14/100</f>
        <v>8095.539816</v>
      </c>
      <c r="E15" s="0" t="n">
        <f aca="false">E13-MAX(0,E13)*E14/100</f>
        <v>7944.99677244</v>
      </c>
      <c r="F15" s="0" t="n">
        <f aca="false">F13-MAX(0,F13)*F14/100</f>
        <v>8302.6699847208</v>
      </c>
      <c r="G15" s="0" t="n">
        <f aca="false">G13-MAX(0,G13)*G14/100</f>
        <v>8753.34535335562</v>
      </c>
      <c r="H15" s="0" t="n">
        <f aca="false">H13-MAX(0,H13)*H14/100</f>
        <v>9221.04170039071</v>
      </c>
      <c r="I15" s="0" t="n">
        <f aca="false">I13-MAX(0,I13)*I14/100</f>
        <v>9659.5053950728</v>
      </c>
      <c r="J15" s="0" t="n">
        <f aca="false">J13-MAX(0,J13)*J14/100</f>
        <v>9949.29055692499</v>
      </c>
      <c r="K15" s="0" t="n">
        <f aca="false">K13-MAX(0,K13)*K14/100</f>
        <v>10247.7692736327</v>
      </c>
      <c r="L15" s="0" t="n">
        <f aca="false">L13-MAX(0,L13)*L14/100</f>
        <v>10503.9635054736</v>
      </c>
    </row>
    <row r="16" customFormat="false" ht="15" hidden="false" customHeight="false" outlineLevel="0" collapsed="false">
      <c r="A16" s="0" t="s">
        <v>128</v>
      </c>
      <c r="C16" s="0" t="n">
        <f aca="false">-C12</f>
        <v>1313.415</v>
      </c>
      <c r="D16" s="0" t="n">
        <f aca="false">-D12</f>
        <v>1365.9516</v>
      </c>
      <c r="E16" s="0" t="n">
        <f aca="false">-E12</f>
        <v>1393.270632</v>
      </c>
      <c r="F16" s="0" t="n">
        <f aca="false">-F12</f>
        <v>1435.06875096</v>
      </c>
      <c r="G16" s="0" t="n">
        <f aca="false">-G12</f>
        <v>1492.4715009984</v>
      </c>
      <c r="H16" s="0" t="n">
        <f aca="false">-H12</f>
        <v>1552.17036103834</v>
      </c>
      <c r="I16" s="0" t="n">
        <f aca="false">-I12</f>
        <v>1606.49632367468</v>
      </c>
      <c r="J16" s="0" t="n">
        <f aca="false">-J12</f>
        <v>1654.69121338492</v>
      </c>
      <c r="K16" s="0" t="n">
        <f aca="false">-K12</f>
        <v>1704.33194978647</v>
      </c>
      <c r="L16" s="0" t="n">
        <f aca="false">-L12</f>
        <v>1746.94024853113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-1459.35</v>
      </c>
      <c r="D17" s="4" t="n">
        <f aca="false">-D6*Assumptions!D18/100</f>
        <v>-1517.724</v>
      </c>
      <c r="E17" s="4" t="n">
        <f aca="false">-E6*Assumptions!E18/100</f>
        <v>-1548.07848</v>
      </c>
      <c r="F17" s="4" t="n">
        <f aca="false">-F6*Assumptions!F18/100</f>
        <v>-1594.5208344</v>
      </c>
      <c r="G17" s="4" t="n">
        <f aca="false">-G6*Assumptions!G18/100</f>
        <v>-1658.301667776</v>
      </c>
      <c r="H17" s="4" t="n">
        <f aca="false">-H6*Assumptions!H18/100</f>
        <v>-1724.63373448704</v>
      </c>
      <c r="I17" s="4" t="n">
        <f aca="false">-I6*Assumptions!I18/100</f>
        <v>-1784.99591519409</v>
      </c>
      <c r="J17" s="4" t="n">
        <f aca="false">-J6*Assumptions!J18/100</f>
        <v>-1838.54579264991</v>
      </c>
      <c r="K17" s="4" t="n">
        <f aca="false">-K6*Assumptions!K18/100</f>
        <v>-1893.70216642941</v>
      </c>
      <c r="L17" s="4" t="n">
        <f aca="false">-L6*Assumptions!L18/100</f>
        <v>-1941.04472059014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-317.25</v>
      </c>
      <c r="D18" s="4" t="n">
        <f aca="false">(D6-C6)*Assumptions!$B$23/100</f>
        <v>-97.2900000000002</v>
      </c>
      <c r="E18" s="4" t="n">
        <f aca="false">(E6-D6)*Assumptions!$B$23/100</f>
        <v>-50.5907999999999</v>
      </c>
      <c r="F18" s="4" t="n">
        <f aca="false">(F6-E6)*Assumptions!$B$23/100</f>
        <v>-77.4039240000002</v>
      </c>
      <c r="G18" s="4" t="n">
        <f aca="false">(G6-F6)*Assumptions!$B$23/100</f>
        <v>-106.30138896</v>
      </c>
      <c r="H18" s="4" t="n">
        <f aca="false">(H6-G6)*Assumptions!$B$23/100</f>
        <v>-110.5534445184</v>
      </c>
      <c r="I18" s="4" t="n">
        <f aca="false">(I6-H6)*Assumptions!$B$23/100</f>
        <v>-100.603634511744</v>
      </c>
      <c r="J18" s="4" t="n">
        <f aca="false">(J6-I6)*Assumptions!$B$23/100</f>
        <v>-89.2497957597043</v>
      </c>
      <c r="K18" s="4" t="n">
        <f aca="false">(K6-J6)*Assumptions!$B$23/100</f>
        <v>-91.9272896324954</v>
      </c>
      <c r="L18" s="4" t="n">
        <f aca="false">(L6-K6)*Assumptions!$B$23/100</f>
        <v>-78.9042569345584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8033.880375</v>
      </c>
      <c r="D19" s="0" t="n">
        <f aca="false">D15+D16+D17+D18</f>
        <v>7846.477416</v>
      </c>
      <c r="E19" s="0" t="n">
        <f aca="false">E15+E16+E17+E18</f>
        <v>7739.59812444</v>
      </c>
      <c r="F19" s="0" t="n">
        <f aca="false">F15+F16+F17+F18</f>
        <v>8065.8139772808</v>
      </c>
      <c r="G19" s="0" t="n">
        <f aca="false">G15+G16+G17+G18</f>
        <v>8481.21379761802</v>
      </c>
      <c r="H19" s="0" t="n">
        <f aca="false">H15+H16+H17+H18</f>
        <v>8938.02488242361</v>
      </c>
      <c r="I19" s="0" t="n">
        <f aca="false">I15+I16+I17+I18</f>
        <v>9380.40216904165</v>
      </c>
      <c r="J19" s="0" t="n">
        <f aca="false">J15+J16+J17+J18</f>
        <v>9676.18618190029</v>
      </c>
      <c r="K19" s="0" t="n">
        <f aca="false">K15+K16+K17+K18</f>
        <v>9966.4717673573</v>
      </c>
      <c r="L19" s="0" t="n">
        <f aca="false">L15+L16+L17+L18</f>
        <v>10230.95477648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7370.53245412844</v>
      </c>
      <c r="D21" s="0" t="n">
        <f aca="false">D19*D20</f>
        <v>6604.22305866509</v>
      </c>
      <c r="E21" s="0" t="n">
        <f aca="false">E19*E20</f>
        <v>5976.38981400416</v>
      </c>
      <c r="F21" s="0" t="n">
        <f aca="false">F19*F20</f>
        <v>5714.02596926776</v>
      </c>
      <c r="G21" s="0" t="n">
        <f aca="false">G19*G20</f>
        <v>5512.20704097853</v>
      </c>
      <c r="H21" s="0" t="n">
        <f aca="false">H19*H20</f>
        <v>5329.45220422264</v>
      </c>
      <c r="I21" s="0" t="n">
        <f aca="false">I19*I20</f>
        <v>5131.40121686831</v>
      </c>
      <c r="J21" s="0" t="n">
        <f aca="false">J19*J20</f>
        <v>4856.15156053134</v>
      </c>
      <c r="K21" s="0" t="n">
        <f aca="false">K19*K20</f>
        <v>4588.84046545622</v>
      </c>
      <c r="L21" s="0" t="n">
        <f aca="false">L19*L20</f>
        <v>4321.66586244621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55404.8896465687</v>
      </c>
    </row>
    <row r="31" customFormat="false" ht="15" hidden="false" customHeight="false" outlineLevel="0" collapsed="false">
      <c r="A31" s="0" t="s">
        <v>137</v>
      </c>
      <c r="B31" s="0" t="n">
        <f aca="false">L19</f>
        <v>10230.95477648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161334.286859877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163695.27642368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161334.286859877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68149.346292421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123554.23593899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113515.23593899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108.627020037311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-0.667898682205782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2659.60123802236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3232.37008965856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114.265270111647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83893.8291671358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51.1486452375048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18</v>
      </c>
      <c r="D5" s="4" t="n">
        <f aca="false">Assumptions!D27</f>
        <v>11</v>
      </c>
      <c r="E5" s="4" t="n">
        <f aca="false">Assumptions!E27</f>
        <v>9</v>
      </c>
      <c r="F5" s="4" t="n">
        <f aca="false">Assumptions!F27</f>
        <v>8</v>
      </c>
      <c r="G5" s="4" t="n">
        <f aca="false">Assumptions!G27</f>
        <v>7</v>
      </c>
      <c r="H5" s="4" t="n">
        <f aca="false">Assumptions!H27</f>
        <v>6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42300</v>
      </c>
      <c r="C6" s="0" t="n">
        <f aca="false">B6*(1+C5/100)</f>
        <v>49914</v>
      </c>
      <c r="D6" s="0" t="n">
        <f aca="false">C6*(1+D5/100)</f>
        <v>55404.54</v>
      </c>
      <c r="E6" s="0" t="n">
        <f aca="false">D6*(1+E5/100)</f>
        <v>60390.9486</v>
      </c>
      <c r="F6" s="0" t="n">
        <f aca="false">E6*(1+F5/100)</f>
        <v>65222.224488</v>
      </c>
      <c r="G6" s="0" t="n">
        <f aca="false">F6*(1+G5/100)</f>
        <v>69787.78020216</v>
      </c>
      <c r="H6" s="0" t="n">
        <f aca="false">G6*(1+H5/100)</f>
        <v>73975.0470142896</v>
      </c>
      <c r="I6" s="0" t="n">
        <f aca="false">H6*(1+I5/100)</f>
        <v>77673.7993650041</v>
      </c>
      <c r="J6" s="0" t="n">
        <f aca="false">I6*(1+J5/100)</f>
        <v>81169.1203364293</v>
      </c>
      <c r="K6" s="0" t="n">
        <f aca="false">J6*(1+K5/100)</f>
        <v>84415.8851498865</v>
      </c>
      <c r="L6" s="0" t="n">
        <f aca="false">K6*(1+L5/100)</f>
        <v>87370.4411301325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24.7</v>
      </c>
      <c r="D7" s="4" t="n">
        <f aca="false">Assumptions!D28</f>
        <v>25.2</v>
      </c>
      <c r="E7" s="4" t="n">
        <f aca="false">Assumptions!E28</f>
        <v>25.7</v>
      </c>
      <c r="F7" s="4" t="n">
        <f aca="false">Assumptions!F28</f>
        <v>26.2</v>
      </c>
      <c r="G7" s="4" t="n">
        <f aca="false">Assumptions!G28</f>
        <v>26.7</v>
      </c>
      <c r="H7" s="4" t="n">
        <f aca="false">Assumptions!H28</f>
        <v>27.1</v>
      </c>
      <c r="I7" s="4" t="n">
        <f aca="false">Assumptions!I28</f>
        <v>27.4</v>
      </c>
      <c r="J7" s="4" t="n">
        <f aca="false">Assumptions!J28</f>
        <v>27.7</v>
      </c>
      <c r="K7" s="4" t="n">
        <f aca="false">Assumptions!K28</f>
        <v>28</v>
      </c>
      <c r="L7" s="4" t="n">
        <f aca="false">Assumptions!L28</f>
        <v>28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12328.758</v>
      </c>
      <c r="D8" s="0" t="n">
        <f aca="false">D6*D7/100</f>
        <v>13961.94408</v>
      </c>
      <c r="E8" s="0" t="n">
        <f aca="false">E6*E7/100</f>
        <v>15520.4737902</v>
      </c>
      <c r="F8" s="0" t="n">
        <f aca="false">F6*F7/100</f>
        <v>17088.222815856</v>
      </c>
      <c r="G8" s="0" t="n">
        <f aca="false">G6*G7/100</f>
        <v>18633.3373139767</v>
      </c>
      <c r="H8" s="0" t="n">
        <f aca="false">H6*H7/100</f>
        <v>20047.2377408725</v>
      </c>
      <c r="I8" s="0" t="n">
        <f aca="false">I6*I7/100</f>
        <v>21282.6210260111</v>
      </c>
      <c r="J8" s="0" t="n">
        <f aca="false">J6*J7/100</f>
        <v>22483.8463331909</v>
      </c>
      <c r="K8" s="0" t="n">
        <f aca="false">K6*K7/100</f>
        <v>23636.4478419682</v>
      </c>
      <c r="L8" s="0" t="n">
        <f aca="false">L6*L7/100</f>
        <v>24463.7235164371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0.75</v>
      </c>
      <c r="D9" s="4" t="n">
        <f aca="false">Assumptions!D29</f>
        <v>0.75</v>
      </c>
      <c r="E9" s="4" t="n">
        <f aca="false">Assumptions!E29</f>
        <v>0.75</v>
      </c>
      <c r="F9" s="4" t="n">
        <f aca="false">Assumptions!F29</f>
        <v>0.75</v>
      </c>
      <c r="G9" s="4" t="n">
        <f aca="false">Assumptions!G29</f>
        <v>0.75</v>
      </c>
      <c r="H9" s="4" t="n">
        <f aca="false">Assumptions!H29</f>
        <v>0.75</v>
      </c>
      <c r="I9" s="4" t="n">
        <f aca="false">Assumptions!I29</f>
        <v>0.75</v>
      </c>
      <c r="J9" s="4" t="n">
        <f aca="false">Assumptions!J29</f>
        <v>0.75</v>
      </c>
      <c r="K9" s="4" t="n">
        <f aca="false">Assumptions!K29</f>
        <v>0.75</v>
      </c>
      <c r="L9" s="4" t="n">
        <f aca="false">Assumptions!L29</f>
        <v>0.75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-374.355</v>
      </c>
      <c r="D10" s="0" t="n">
        <f aca="false">-D6*D9/100</f>
        <v>-415.53405</v>
      </c>
      <c r="E10" s="0" t="n">
        <f aca="false">-E6*E9/100</f>
        <v>-452.9321145</v>
      </c>
      <c r="F10" s="0" t="n">
        <f aca="false">-F6*F9/100</f>
        <v>-489.16668366</v>
      </c>
      <c r="G10" s="0" t="n">
        <f aca="false">-G6*G9/100</f>
        <v>-523.4083515162</v>
      </c>
      <c r="H10" s="0" t="n">
        <f aca="false">-H6*H9/100</f>
        <v>-554.812852607172</v>
      </c>
      <c r="I10" s="0" t="n">
        <f aca="false">-I6*I9/100</f>
        <v>-582.553495237531</v>
      </c>
      <c r="J10" s="0" t="n">
        <f aca="false">-J6*J9/100</f>
        <v>-608.76840252322</v>
      </c>
      <c r="K10" s="0" t="n">
        <f aca="false">-K6*K9/100</f>
        <v>-633.119138624149</v>
      </c>
      <c r="L10" s="0" t="n">
        <f aca="false">-L6*L9/100</f>
        <v>-655.278308475994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11954.403</v>
      </c>
      <c r="D11" s="0" t="n">
        <f aca="false">D8+D10+D24</f>
        <v>13546.41003</v>
      </c>
      <c r="E11" s="0" t="n">
        <f aca="false">E8+E10+E24</f>
        <v>15067.5416757</v>
      </c>
      <c r="F11" s="0" t="n">
        <f aca="false">F8+F10+F24</f>
        <v>16599.056132196</v>
      </c>
      <c r="G11" s="0" t="n">
        <f aca="false">G8+G10+G24</f>
        <v>18109.9289624605</v>
      </c>
      <c r="H11" s="0" t="n">
        <f aca="false">H8+H10+H24</f>
        <v>19492.4248882653</v>
      </c>
      <c r="I11" s="0" t="n">
        <f aca="false">I8+I10+I24</f>
        <v>20700.0675307736</v>
      </c>
      <c r="J11" s="0" t="n">
        <f aca="false">J8+J10+J24</f>
        <v>21875.0779306677</v>
      </c>
      <c r="K11" s="0" t="n">
        <f aca="false">K8+K10+K24</f>
        <v>23003.3287033441</v>
      </c>
      <c r="L11" s="0" t="n">
        <f aca="false">L8+L10+L24</f>
        <v>23808.4452079611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-1347.678</v>
      </c>
      <c r="D12" s="4" t="n">
        <f aca="false">-D6*Assumptions!D31/100</f>
        <v>-1495.92258</v>
      </c>
      <c r="E12" s="4" t="n">
        <f aca="false">-E6*Assumptions!E31/100</f>
        <v>-1630.5556122</v>
      </c>
      <c r="F12" s="4" t="n">
        <f aca="false">-F6*Assumptions!F31/100</f>
        <v>-1761.000061176</v>
      </c>
      <c r="G12" s="4" t="n">
        <f aca="false">-G6*Assumptions!G31/100</f>
        <v>-1884.27006545832</v>
      </c>
      <c r="H12" s="4" t="n">
        <f aca="false">-H6*Assumptions!H31/100</f>
        <v>-1997.32626938582</v>
      </c>
      <c r="I12" s="4" t="n">
        <f aca="false">-I6*Assumptions!I31/100</f>
        <v>-2097.19258285511</v>
      </c>
      <c r="J12" s="4" t="n">
        <f aca="false">-J6*Assumptions!J31/100</f>
        <v>-2191.56624908359</v>
      </c>
      <c r="K12" s="4" t="n">
        <f aca="false">-K6*Assumptions!K31/100</f>
        <v>-2279.22889904693</v>
      </c>
      <c r="L12" s="4" t="n">
        <f aca="false">-L6*Assumptions!L31/100</f>
        <v>-2359.00191051358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10606.725</v>
      </c>
      <c r="D13" s="0" t="n">
        <f aca="false">D11+D12</f>
        <v>12050.48745</v>
      </c>
      <c r="E13" s="0" t="n">
        <f aca="false">E11+E12</f>
        <v>13436.9860635</v>
      </c>
      <c r="F13" s="0" t="n">
        <f aca="false">F11+F12</f>
        <v>14838.05607102</v>
      </c>
      <c r="G13" s="0" t="n">
        <f aca="false">G11+G12</f>
        <v>16225.6588970022</v>
      </c>
      <c r="H13" s="0" t="n">
        <f aca="false">H11+H12</f>
        <v>17495.0986188795</v>
      </c>
      <c r="I13" s="0" t="n">
        <f aca="false">I11+I12</f>
        <v>18602.8749479185</v>
      </c>
      <c r="J13" s="0" t="n">
        <f aca="false">J11+J12</f>
        <v>19683.5116815841</v>
      </c>
      <c r="K13" s="0" t="n">
        <f aca="false">K11+K12</f>
        <v>20724.0998042971</v>
      </c>
      <c r="L13" s="0" t="n">
        <f aca="false">L11+L12</f>
        <v>21449.4432974475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15</v>
      </c>
      <c r="D14" s="4" t="n">
        <f aca="false">Assumptions!D33</f>
        <v>16</v>
      </c>
      <c r="E14" s="4" t="n">
        <f aca="false">Assumptions!E33</f>
        <v>17</v>
      </c>
      <c r="F14" s="4" t="n">
        <f aca="false">Assumptions!F33</f>
        <v>18</v>
      </c>
      <c r="G14" s="4" t="n">
        <f aca="false">Assumptions!G33</f>
        <v>19</v>
      </c>
      <c r="H14" s="4" t="n">
        <f aca="false">Assumptions!H33</f>
        <v>20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9015.71625</v>
      </c>
      <c r="D15" s="0" t="n">
        <f aca="false">D13-MAX(0,D13)*D14/100</f>
        <v>10122.409458</v>
      </c>
      <c r="E15" s="0" t="n">
        <f aca="false">E13-MAX(0,E13)*E14/100</f>
        <v>11152.698432705</v>
      </c>
      <c r="F15" s="0" t="n">
        <f aca="false">F13-MAX(0,F13)*F14/100</f>
        <v>12167.2059782364</v>
      </c>
      <c r="G15" s="0" t="n">
        <f aca="false">G13-MAX(0,G13)*G14/100</f>
        <v>13142.7837065718</v>
      </c>
      <c r="H15" s="0" t="n">
        <f aca="false">H13-MAX(0,H13)*H14/100</f>
        <v>13996.0788951036</v>
      </c>
      <c r="I15" s="0" t="n">
        <f aca="false">I13-MAX(0,I13)*I14/100</f>
        <v>14696.2712088556</v>
      </c>
      <c r="J15" s="0" t="n">
        <f aca="false">J13-MAX(0,J13)*J14/100</f>
        <v>15549.9742284514</v>
      </c>
      <c r="K15" s="0" t="n">
        <f aca="false">K13-MAX(0,K13)*K14/100</f>
        <v>16372.0388453947</v>
      </c>
      <c r="L15" s="0" t="n">
        <f aca="false">L13-MAX(0,L13)*L14/100</f>
        <v>16945.0602049835</v>
      </c>
    </row>
    <row r="16" customFormat="false" ht="15" hidden="false" customHeight="false" outlineLevel="0" collapsed="false">
      <c r="A16" s="0" t="s">
        <v>128</v>
      </c>
      <c r="C16" s="0" t="n">
        <f aca="false">-C12</f>
        <v>1347.678</v>
      </c>
      <c r="D16" s="0" t="n">
        <f aca="false">-D12</f>
        <v>1495.92258</v>
      </c>
      <c r="E16" s="0" t="n">
        <f aca="false">-E12</f>
        <v>1630.5556122</v>
      </c>
      <c r="F16" s="0" t="n">
        <f aca="false">-F12</f>
        <v>1761.000061176</v>
      </c>
      <c r="G16" s="0" t="n">
        <f aca="false">-G12</f>
        <v>1884.27006545832</v>
      </c>
      <c r="H16" s="0" t="n">
        <f aca="false">-H12</f>
        <v>1997.32626938582</v>
      </c>
      <c r="I16" s="0" t="n">
        <f aca="false">-I12</f>
        <v>2097.19258285511</v>
      </c>
      <c r="J16" s="0" t="n">
        <f aca="false">-J12</f>
        <v>2191.56624908359</v>
      </c>
      <c r="K16" s="0" t="n">
        <f aca="false">-K12</f>
        <v>2279.22889904693</v>
      </c>
      <c r="L16" s="0" t="n">
        <f aca="false">-L12</f>
        <v>2359.00191051358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-1497.42</v>
      </c>
      <c r="D17" s="4" t="n">
        <f aca="false">-D6*Assumptions!D32/100</f>
        <v>-1662.1362</v>
      </c>
      <c r="E17" s="4" t="n">
        <f aca="false">-E6*Assumptions!E32/100</f>
        <v>-1811.728458</v>
      </c>
      <c r="F17" s="4" t="n">
        <f aca="false">-F6*Assumptions!F32/100</f>
        <v>-1891.444510152</v>
      </c>
      <c r="G17" s="4" t="n">
        <f aca="false">-G6*Assumptions!G32/100</f>
        <v>-1954.05784566048</v>
      </c>
      <c r="H17" s="4" t="n">
        <f aca="false">-H6*Assumptions!H32/100</f>
        <v>-1997.32626938582</v>
      </c>
      <c r="I17" s="4" t="n">
        <f aca="false">-I6*Assumptions!I32/100</f>
        <v>-2097.19258285511</v>
      </c>
      <c r="J17" s="4" t="n">
        <f aca="false">-J6*Assumptions!J32/100</f>
        <v>-2191.56624908359</v>
      </c>
      <c r="K17" s="4" t="n">
        <f aca="false">-K6*Assumptions!K32/100</f>
        <v>-2279.22889904693</v>
      </c>
      <c r="L17" s="4" t="n">
        <f aca="false">-L6*Assumptions!L32/100</f>
        <v>-2359.00191051358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8865.97425</v>
      </c>
      <c r="D19" s="0" t="n">
        <f aca="false">D15+D16+D17+D18</f>
        <v>9956.195838</v>
      </c>
      <c r="E19" s="0" t="n">
        <f aca="false">E15+E16+E17+E18</f>
        <v>10971.525586905</v>
      </c>
      <c r="F19" s="0" t="n">
        <f aca="false">F15+F16+F17+F18</f>
        <v>12036.7615292604</v>
      </c>
      <c r="G19" s="0" t="n">
        <f aca="false">G15+G16+G17+G18</f>
        <v>13072.9959263696</v>
      </c>
      <c r="H19" s="0" t="n">
        <f aca="false">H15+H16+H17+H18</f>
        <v>13996.0788951036</v>
      </c>
      <c r="I19" s="0" t="n">
        <f aca="false">I15+I16+I17+I18</f>
        <v>14696.2712088556</v>
      </c>
      <c r="J19" s="0" t="n">
        <f aca="false">J15+J16+J17+J18</f>
        <v>15549.9742284514</v>
      </c>
      <c r="K19" s="0" t="n">
        <f aca="false">K15+K16+K17+K18</f>
        <v>16372.0388453947</v>
      </c>
      <c r="L19" s="0" t="n">
        <f aca="false">L15+L16+L17+L18</f>
        <v>16945.0602049835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8133.92133027523</v>
      </c>
      <c r="D21" s="0" t="n">
        <f aca="false">D19*D20</f>
        <v>8379.93084588839</v>
      </c>
      <c r="E21" s="0" t="n">
        <f aca="false">E19*E20</f>
        <v>8472.03080927531</v>
      </c>
      <c r="F21" s="0" t="n">
        <f aca="false">F19*F20</f>
        <v>8527.14532690774</v>
      </c>
      <c r="G21" s="0" t="n">
        <f aca="false">G19*G20</f>
        <v>8496.55036549803</v>
      </c>
      <c r="H21" s="0" t="n">
        <f aca="false">H19*H20</f>
        <v>8345.40454957403</v>
      </c>
      <c r="I21" s="0" t="n">
        <f aca="false">I19*I20</f>
        <v>8039.36362274891</v>
      </c>
      <c r="J21" s="0" t="n">
        <f aca="false">J19*J20</f>
        <v>7804.00771504035</v>
      </c>
      <c r="K21" s="0" t="n">
        <f aca="false">K19*K20</f>
        <v>7538.14149173972</v>
      </c>
      <c r="L21" s="0" t="n">
        <f aca="false">L19*L20</f>
        <v>7157.77655408313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80894.2726110308</v>
      </c>
    </row>
    <row r="31" customFormat="false" ht="15" hidden="false" customHeight="false" outlineLevel="0" collapsed="false">
      <c r="A31" s="0" t="s">
        <v>137</v>
      </c>
      <c r="B31" s="0" t="n">
        <f aca="false">L19</f>
        <v>16945.0602049835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290890.200185551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338901.204099671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290890.200185551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122875.164178427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203769.436789458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193730.436789458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185.387977788955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-0.433220282524826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3252.97197299709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4751.67563658874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193.047927654587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145445.100092775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83.4907728530348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20</v>
      </c>
      <c r="D5" s="4" t="n">
        <f aca="false">Assumptions!D41</f>
        <v>14</v>
      </c>
      <c r="E5" s="4" t="n">
        <f aca="false">Assumptions!E41</f>
        <v>12</v>
      </c>
      <c r="F5" s="4" t="n">
        <f aca="false">Assumptions!F41</f>
        <v>10</v>
      </c>
      <c r="G5" s="4" t="n">
        <f aca="false">Assumptions!G41</f>
        <v>9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42300</v>
      </c>
      <c r="C6" s="0" t="n">
        <f aca="false">B6*(1+C5/100)</f>
        <v>50760</v>
      </c>
      <c r="D6" s="0" t="n">
        <f aca="false">C6*(1+D5/100)</f>
        <v>57866.4</v>
      </c>
      <c r="E6" s="0" t="n">
        <f aca="false">D6*(1+E5/100)</f>
        <v>64810.368</v>
      </c>
      <c r="F6" s="0" t="n">
        <f aca="false">E6*(1+F5/100)</f>
        <v>71291.4048</v>
      </c>
      <c r="G6" s="0" t="n">
        <f aca="false">F6*(1+G5/100)</f>
        <v>77707.631232</v>
      </c>
      <c r="H6" s="0" t="n">
        <f aca="false">G6*(1+H5/100)</f>
        <v>83924.24173056</v>
      </c>
      <c r="I6" s="0" t="n">
        <f aca="false">H6*(1+I5/100)</f>
        <v>89798.9386516993</v>
      </c>
      <c r="J6" s="0" t="n">
        <f aca="false">I6*(1+J5/100)</f>
        <v>95186.8749708012</v>
      </c>
      <c r="K6" s="0" t="n">
        <f aca="false">J6*(1+K5/100)</f>
        <v>99946.2187193413</v>
      </c>
      <c r="L6" s="0" t="n">
        <f aca="false">K6*(1+L5/100)</f>
        <v>103944.067468115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25</v>
      </c>
      <c r="D7" s="4" t="n">
        <f aca="false">Assumptions!D42</f>
        <v>25.8</v>
      </c>
      <c r="E7" s="4" t="n">
        <f aca="false">Assumptions!E42</f>
        <v>26.6</v>
      </c>
      <c r="F7" s="4" t="n">
        <f aca="false">Assumptions!F42</f>
        <v>27.4</v>
      </c>
      <c r="G7" s="4" t="n">
        <f aca="false">Assumptions!G42</f>
        <v>28.2</v>
      </c>
      <c r="H7" s="4" t="n">
        <f aca="false">Assumptions!H42</f>
        <v>28.8</v>
      </c>
      <c r="I7" s="4" t="n">
        <f aca="false">Assumptions!I42</f>
        <v>29.3</v>
      </c>
      <c r="J7" s="4" t="n">
        <f aca="false">Assumptions!J42</f>
        <v>29.7</v>
      </c>
      <c r="K7" s="4" t="n">
        <f aca="false">Assumptions!K42</f>
        <v>30</v>
      </c>
      <c r="L7" s="4" t="n">
        <f aca="false">Assumptions!L42</f>
        <v>30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12690</v>
      </c>
      <c r="D8" s="0" t="n">
        <f aca="false">D6*D7/100</f>
        <v>14929.5312</v>
      </c>
      <c r="E8" s="0" t="n">
        <f aca="false">E6*E7/100</f>
        <v>17239.557888</v>
      </c>
      <c r="F8" s="0" t="n">
        <f aca="false">F6*F7/100</f>
        <v>19533.8449152</v>
      </c>
      <c r="G8" s="0" t="n">
        <f aca="false">G6*G7/100</f>
        <v>21913.552007424</v>
      </c>
      <c r="H8" s="0" t="n">
        <f aca="false">H6*H7/100</f>
        <v>24170.1816184013</v>
      </c>
      <c r="I8" s="0" t="n">
        <f aca="false">I6*I7/100</f>
        <v>26311.0890249479</v>
      </c>
      <c r="J8" s="0" t="n">
        <f aca="false">J6*J7/100</f>
        <v>28270.501866328</v>
      </c>
      <c r="K8" s="0" t="n">
        <f aca="false">K6*K7/100</f>
        <v>29983.8656158024</v>
      </c>
      <c r="L8" s="0" t="n">
        <f aca="false">L6*L7/100</f>
        <v>31183.2202404345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0.75</v>
      </c>
      <c r="D9" s="4" t="n">
        <f aca="false">Assumptions!D43</f>
        <v>0.75</v>
      </c>
      <c r="E9" s="4" t="n">
        <f aca="false">Assumptions!E43</f>
        <v>0.75</v>
      </c>
      <c r="F9" s="4" t="n">
        <f aca="false">Assumptions!F43</f>
        <v>0.75</v>
      </c>
      <c r="G9" s="4" t="n">
        <f aca="false">Assumptions!G43</f>
        <v>0.75</v>
      </c>
      <c r="H9" s="4" t="n">
        <f aca="false">Assumptions!H43</f>
        <v>0.75</v>
      </c>
      <c r="I9" s="4" t="n">
        <f aca="false">Assumptions!I43</f>
        <v>0.75</v>
      </c>
      <c r="J9" s="4" t="n">
        <f aca="false">Assumptions!J43</f>
        <v>0.75</v>
      </c>
      <c r="K9" s="4" t="n">
        <f aca="false">Assumptions!K43</f>
        <v>0.75</v>
      </c>
      <c r="L9" s="4" t="n">
        <f aca="false">Assumptions!L43</f>
        <v>0.75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-380.7</v>
      </c>
      <c r="D10" s="0" t="n">
        <f aca="false">-D6*D9/100</f>
        <v>-433.998</v>
      </c>
      <c r="E10" s="0" t="n">
        <f aca="false">-E6*E9/100</f>
        <v>-486.07776</v>
      </c>
      <c r="F10" s="0" t="n">
        <f aca="false">-F6*F9/100</f>
        <v>-534.685536</v>
      </c>
      <c r="G10" s="0" t="n">
        <f aca="false">-G6*G9/100</f>
        <v>-582.80723424</v>
      </c>
      <c r="H10" s="0" t="n">
        <f aca="false">-H6*H9/100</f>
        <v>-629.4318129792</v>
      </c>
      <c r="I10" s="0" t="n">
        <f aca="false">-I6*I9/100</f>
        <v>-673.492039887745</v>
      </c>
      <c r="J10" s="0" t="n">
        <f aca="false">-J6*J9/100</f>
        <v>-713.901562281009</v>
      </c>
      <c r="K10" s="0" t="n">
        <f aca="false">-K6*K9/100</f>
        <v>-749.59664039506</v>
      </c>
      <c r="L10" s="0" t="n">
        <f aca="false">-L6*L9/100</f>
        <v>-779.580506010862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12309.3</v>
      </c>
      <c r="D11" s="0" t="n">
        <f aca="false">D8+D10+D24</f>
        <v>14495.5332</v>
      </c>
      <c r="E11" s="0" t="n">
        <f aca="false">E8+E10+E24</f>
        <v>16753.480128</v>
      </c>
      <c r="F11" s="0" t="n">
        <f aca="false">F8+F10+F24</f>
        <v>18999.1593792</v>
      </c>
      <c r="G11" s="0" t="n">
        <f aca="false">G8+G10+G24</f>
        <v>21330.744773184</v>
      </c>
      <c r="H11" s="0" t="n">
        <f aca="false">H8+H10+H24</f>
        <v>23540.7498054221</v>
      </c>
      <c r="I11" s="0" t="n">
        <f aca="false">I8+I10+I24</f>
        <v>25637.5969850601</v>
      </c>
      <c r="J11" s="0" t="n">
        <f aca="false">J8+J10+J24</f>
        <v>27556.600304047</v>
      </c>
      <c r="K11" s="0" t="n">
        <f aca="false">K8+K10+K24</f>
        <v>29234.2689754073</v>
      </c>
      <c r="L11" s="0" t="n">
        <f aca="false">L8+L10+L24</f>
        <v>30403.6397344236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-1370.52</v>
      </c>
      <c r="D12" s="4" t="n">
        <f aca="false">-D6*Assumptions!D45/100</f>
        <v>-1562.3928</v>
      </c>
      <c r="E12" s="4" t="n">
        <f aca="false">-E6*Assumptions!E45/100</f>
        <v>-1749.879936</v>
      </c>
      <c r="F12" s="4" t="n">
        <f aca="false">-F6*Assumptions!F45/100</f>
        <v>-1924.8679296</v>
      </c>
      <c r="G12" s="4" t="n">
        <f aca="false">-G6*Assumptions!G45/100</f>
        <v>-2098.106043264</v>
      </c>
      <c r="H12" s="4" t="n">
        <f aca="false">-H6*Assumptions!H45/100</f>
        <v>-2265.95452672512</v>
      </c>
      <c r="I12" s="4" t="n">
        <f aca="false">-I6*Assumptions!I45/100</f>
        <v>-2424.57134359588</v>
      </c>
      <c r="J12" s="4" t="n">
        <f aca="false">-J6*Assumptions!J45/100</f>
        <v>-2570.04562421163</v>
      </c>
      <c r="K12" s="4" t="n">
        <f aca="false">-K6*Assumptions!K45/100</f>
        <v>-2698.54790542221</v>
      </c>
      <c r="L12" s="4" t="n">
        <f aca="false">-L6*Assumptions!L45/100</f>
        <v>-2806.4898216391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10938.78</v>
      </c>
      <c r="D13" s="0" t="n">
        <f aca="false">D11+D12</f>
        <v>12933.1404</v>
      </c>
      <c r="E13" s="0" t="n">
        <f aca="false">E11+E12</f>
        <v>15003.600192</v>
      </c>
      <c r="F13" s="0" t="n">
        <f aca="false">F11+F12</f>
        <v>17074.2914496</v>
      </c>
      <c r="G13" s="0" t="n">
        <f aca="false">G11+G12</f>
        <v>19232.63872992</v>
      </c>
      <c r="H13" s="0" t="n">
        <f aca="false">H11+H12</f>
        <v>21274.795278697</v>
      </c>
      <c r="I13" s="0" t="n">
        <f aca="false">I11+I12</f>
        <v>23213.0256414643</v>
      </c>
      <c r="J13" s="0" t="n">
        <f aca="false">J11+J12</f>
        <v>24986.5546798353</v>
      </c>
      <c r="K13" s="0" t="n">
        <f aca="false">K11+K12</f>
        <v>26535.7210699851</v>
      </c>
      <c r="L13" s="0" t="n">
        <f aca="false">L11+L12</f>
        <v>27597.1499127845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15</v>
      </c>
      <c r="D14" s="4" t="n">
        <f aca="false">Assumptions!D47</f>
        <v>16</v>
      </c>
      <c r="E14" s="4" t="n">
        <f aca="false">Assumptions!E47</f>
        <v>17</v>
      </c>
      <c r="F14" s="4" t="n">
        <f aca="false">Assumptions!F47</f>
        <v>18</v>
      </c>
      <c r="G14" s="4" t="n">
        <f aca="false">Assumptions!G47</f>
        <v>19</v>
      </c>
      <c r="H14" s="4" t="n">
        <f aca="false">Assumptions!H47</f>
        <v>20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9297.963</v>
      </c>
      <c r="D15" s="0" t="n">
        <f aca="false">D13-MAX(0,D13)*D14/100</f>
        <v>10863.837936</v>
      </c>
      <c r="E15" s="0" t="n">
        <f aca="false">E13-MAX(0,E13)*E14/100</f>
        <v>12452.98815936</v>
      </c>
      <c r="F15" s="0" t="n">
        <f aca="false">F13-MAX(0,F13)*F14/100</f>
        <v>14000.918988672</v>
      </c>
      <c r="G15" s="0" t="n">
        <f aca="false">G13-MAX(0,G13)*G14/100</f>
        <v>15578.4373712352</v>
      </c>
      <c r="H15" s="0" t="n">
        <f aca="false">H13-MAX(0,H13)*H14/100</f>
        <v>17019.8362229576</v>
      </c>
      <c r="I15" s="0" t="n">
        <f aca="false">I13-MAX(0,I13)*I14/100</f>
        <v>18338.2902567568</v>
      </c>
      <c r="J15" s="0" t="n">
        <f aca="false">J13-MAX(0,J13)*J14/100</f>
        <v>19739.3781970699</v>
      </c>
      <c r="K15" s="0" t="n">
        <f aca="false">K13-MAX(0,K13)*K14/100</f>
        <v>20963.2196452882</v>
      </c>
      <c r="L15" s="0" t="n">
        <f aca="false">L13-MAX(0,L13)*L14/100</f>
        <v>21801.7484310998</v>
      </c>
    </row>
    <row r="16" customFormat="false" ht="15" hidden="false" customHeight="false" outlineLevel="0" collapsed="false">
      <c r="A16" s="0" t="s">
        <v>128</v>
      </c>
      <c r="C16" s="0" t="n">
        <f aca="false">-C12</f>
        <v>1370.52</v>
      </c>
      <c r="D16" s="0" t="n">
        <f aca="false">-D12</f>
        <v>1562.3928</v>
      </c>
      <c r="E16" s="0" t="n">
        <f aca="false">-E12</f>
        <v>1749.879936</v>
      </c>
      <c r="F16" s="0" t="n">
        <f aca="false">-F12</f>
        <v>1924.8679296</v>
      </c>
      <c r="G16" s="0" t="n">
        <f aca="false">-G12</f>
        <v>2098.106043264</v>
      </c>
      <c r="H16" s="0" t="n">
        <f aca="false">-H12</f>
        <v>2265.95452672512</v>
      </c>
      <c r="I16" s="0" t="n">
        <f aca="false">-I12</f>
        <v>2424.57134359588</v>
      </c>
      <c r="J16" s="0" t="n">
        <f aca="false">-J12</f>
        <v>2570.04562421163</v>
      </c>
      <c r="K16" s="0" t="n">
        <f aca="false">-K12</f>
        <v>2698.54790542221</v>
      </c>
      <c r="L16" s="0" t="n">
        <f aca="false">-L12</f>
        <v>2806.4898216391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-1522.8</v>
      </c>
      <c r="D17" s="4" t="n">
        <f aca="false">-D6*Assumptions!D46/100</f>
        <v>-1735.992</v>
      </c>
      <c r="E17" s="4" t="n">
        <f aca="false">-E6*Assumptions!E46/100</f>
        <v>-1944.31104</v>
      </c>
      <c r="F17" s="4" t="n">
        <f aca="false">-F6*Assumptions!F46/100</f>
        <v>-2067.4507392</v>
      </c>
      <c r="G17" s="4" t="n">
        <f aca="false">-G6*Assumptions!G46/100</f>
        <v>-2175.813674496</v>
      </c>
      <c r="H17" s="4" t="n">
        <f aca="false">-H6*Assumptions!H46/100</f>
        <v>-2265.95452672512</v>
      </c>
      <c r="I17" s="4" t="n">
        <f aca="false">-I6*Assumptions!I46/100</f>
        <v>-2424.57134359588</v>
      </c>
      <c r="J17" s="4" t="n">
        <f aca="false">-J6*Assumptions!J46/100</f>
        <v>-2570.04562421163</v>
      </c>
      <c r="K17" s="4" t="n">
        <f aca="false">-K6*Assumptions!K46/100</f>
        <v>-2698.54790542221</v>
      </c>
      <c r="L17" s="4" t="n">
        <f aca="false">-L6*Assumptions!L46/100</f>
        <v>-2806.4898216391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253.8</v>
      </c>
      <c r="D18" s="4" t="n">
        <f aca="false">(D6-C6)*Assumptions!$B$51/100</f>
        <v>213.192</v>
      </c>
      <c r="E18" s="4" t="n">
        <f aca="false">(E6-D6)*Assumptions!$B$51/100</f>
        <v>208.31904</v>
      </c>
      <c r="F18" s="4" t="n">
        <f aca="false">(F6-E6)*Assumptions!$B$51/100</f>
        <v>194.431104</v>
      </c>
      <c r="G18" s="4" t="n">
        <f aca="false">(G6-F6)*Assumptions!$B$51/100</f>
        <v>192.48679296</v>
      </c>
      <c r="H18" s="4" t="n">
        <f aca="false">(H6-G6)*Assumptions!$B$51/100</f>
        <v>186.4983149568</v>
      </c>
      <c r="I18" s="4" t="n">
        <f aca="false">(I6-H6)*Assumptions!$B$51/100</f>
        <v>176.240907634176</v>
      </c>
      <c r="J18" s="4" t="n">
        <f aca="false">(J6-I6)*Assumptions!$B$51/100</f>
        <v>161.638089573059</v>
      </c>
      <c r="K18" s="4" t="n">
        <f aca="false">(K6-J6)*Assumptions!$B$51/100</f>
        <v>142.780312456202</v>
      </c>
      <c r="L18" s="4" t="n">
        <f aca="false">(L6-K6)*Assumptions!$B$51/100</f>
        <v>119.93546246321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9399.483</v>
      </c>
      <c r="D19" s="0" t="n">
        <f aca="false">D15+D16+D17+D18</f>
        <v>10903.430736</v>
      </c>
      <c r="E19" s="0" t="n">
        <f aca="false">E15+E16+E17+E18</f>
        <v>12466.87609536</v>
      </c>
      <c r="F19" s="0" t="n">
        <f aca="false">F15+F16+F17+F18</f>
        <v>14052.767283072</v>
      </c>
      <c r="G19" s="0" t="n">
        <f aca="false">G15+G16+G17+G18</f>
        <v>15693.2165329632</v>
      </c>
      <c r="H19" s="0" t="n">
        <f aca="false">H15+H16+H17+H18</f>
        <v>17206.3345379144</v>
      </c>
      <c r="I19" s="0" t="n">
        <f aca="false">I15+I16+I17+I18</f>
        <v>18514.5311643909</v>
      </c>
      <c r="J19" s="0" t="n">
        <f aca="false">J15+J16+J17+J18</f>
        <v>19901.016286643</v>
      </c>
      <c r="K19" s="0" t="n">
        <f aca="false">K15+K16+K17+K18</f>
        <v>21105.9999577444</v>
      </c>
      <c r="L19" s="0" t="n">
        <f aca="false">L15+L16+L17+L18</f>
        <v>21921.683893563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8623.37889908257</v>
      </c>
      <c r="D21" s="0" t="n">
        <f aca="false">D19*D20</f>
        <v>9177.19950845889</v>
      </c>
      <c r="E21" s="0" t="n">
        <f aca="false">E19*E20</f>
        <v>9626.71576880518</v>
      </c>
      <c r="F21" s="0" t="n">
        <f aca="false">F19*F20</f>
        <v>9955.33462856037</v>
      </c>
      <c r="G21" s="0" t="n">
        <f aca="false">G19*G20</f>
        <v>10199.5139767489</v>
      </c>
      <c r="H21" s="0" t="n">
        <f aca="false">H19*H20</f>
        <v>10259.5751003117</v>
      </c>
      <c r="I21" s="0" t="n">
        <f aca="false">I19*I20</f>
        <v>10128.0825741407</v>
      </c>
      <c r="J21" s="0" t="n">
        <f aca="false">J19*J20</f>
        <v>9987.64900548467</v>
      </c>
      <c r="K21" s="0" t="n">
        <f aca="false">K19*K20</f>
        <v>9717.78869501541</v>
      </c>
      <c r="L21" s="0" t="n">
        <f aca="false">L19*L20</f>
        <v>9259.95618199216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96935.1943386005</v>
      </c>
    </row>
    <row r="31" customFormat="false" ht="15" hidden="false" customHeight="false" outlineLevel="0" collapsed="false">
      <c r="A31" s="0" t="s">
        <v>137</v>
      </c>
      <c r="B31" s="0" t="n">
        <f aca="false">L19</f>
        <v>21921.683893563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376322.240172831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438433.67787126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376322.240172831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158962.581124199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255897.775462799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245858.775462799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235.271555466794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-0.28071308977103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3623.91843484382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5653.03879169539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244.149026496975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188161.120086416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104.542451558942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108.627020037311</v>
      </c>
      <c r="C4" s="0" t="n">
        <f aca="false">B4/Assumptions!$B$2-1</f>
        <v>-0.667898682205782</v>
      </c>
      <c r="D4" s="4" t="n">
        <f aca="false">Assumptions!$B$24</f>
        <v>0.2</v>
      </c>
      <c r="E4" s="4" t="n">
        <f aca="false">DCF_Bear!$B$43</f>
        <v>114.265270111647</v>
      </c>
      <c r="F4" s="4" t="n">
        <f aca="false">DCF_Bear!$B$47</f>
        <v>51.1486452375048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185.387977788955</v>
      </c>
      <c r="C5" s="0" t="n">
        <f aca="false">B5/Assumptions!$B$2-1</f>
        <v>-0.433220282524826</v>
      </c>
      <c r="D5" s="4" t="n">
        <f aca="false">Assumptions!$B$38</f>
        <v>0.5</v>
      </c>
      <c r="E5" s="4" t="n">
        <f aca="false">DCF_Base!$B$43</f>
        <v>193.047927654587</v>
      </c>
      <c r="F5" s="4" t="n">
        <f aca="false">DCF_Base!$B$47</f>
        <v>83.4907728530348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235.271555466794</v>
      </c>
      <c r="C6" s="0" t="n">
        <f aca="false">B6/Assumptions!$B$2-1</f>
        <v>-0.28071308977103</v>
      </c>
      <c r="D6" s="4" t="n">
        <f aca="false">Assumptions!$B$52</f>
        <v>0.3</v>
      </c>
      <c r="E6" s="4" t="n">
        <f aca="false">DCF_Bull!$B$43</f>
        <v>244.149026496975</v>
      </c>
      <c r="F6" s="4" t="n">
        <f aca="false">DCF_Bull!$B$47</f>
        <v>104.542451558942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185.000859541978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192.621725798715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-0.768045839407474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1864.47492543777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83.337850941701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185.387977788955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156.107763859724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134.211274789203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117.233509020833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83.4907728530348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240.890694183277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240.890694183277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240.890694183277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240.890694183277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240.890694183277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199.450437507796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211.740924481152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221.982996958948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221.982996958948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221.982996958948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167.611772630717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175.816175011442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185.387977788955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196.700108344197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204.795027457123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143.82758669617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149.558336039162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156.107763859724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163.664795960373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172.48133341113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125.407123024631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129.550253266782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134.211274789203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139.493765847947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145.530898486511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2026-09-28T08:39:32Z</dcterms:created>
  <dc:creator>openpyxl</dc:creator>
  <dc:description/>
  <dc:language>en-NZ</dc:language>
  <cp:lastModifiedBy/>
  <dcterms:modified xsi:type="dcterms:W3CDTF">2026-09-28T08:39:32Z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