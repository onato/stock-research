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<sst xmlns="http://schemas.openxmlformats.org/spreadsheetml/2006/main" count="361" uniqueCount="166">
  <si>
    <t xml:space="preserve">Ticker</t>
  </si>
  <si>
    <t xml:space="preserve">S68.SI</t>
  </si>
  <si>
    <t xml:space="preserve">Company</t>
  </si>
  <si>
    <t xml:space="preserve">Singapore Exchange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</si>
  <si>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</si>
  <si>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</si>
  <si>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</si>
  <si>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</si>
  <si>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2026-10-23T09:06:51Z (SGX regular close, Yahoo chart API)</t>
  </si>
  <si>
    <t xml:space="preserve">Balance sheet date</t>
  </si>
  <si>
    <t xml:space="preserve">2025-06-30</t>
  </si>
  <si>
    <t xml:space="preserve">Model</t>
  </si>
  <si>
    <t xml:space="preserve">owner_fcf_dcf_component</t>
  </si>
  <si>
    <t xml:space="preserve">Currency (model)</t>
  </si>
  <si>
    <t xml:space="preserve">SGD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</si>
  <si>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</si>
  <si>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</si>
  <si>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</si>
  <si>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</si>
  <si>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</si>
  <si>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</si>
  <si>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2026-10-24T07:13:46Z</t>
  </si>
  <si>
    <t xml:space="preserve">Drivers file</t>
  </si>
  <si>
    <t xml:space="preserve">S68.SI_Drivers.json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</si>
  <si>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</si>
  <si>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</si>
  <si>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</si>
  <si>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SGX is valued as an operating fee business on owner FCF at an SGD cost of equity of 7%, with its surplus investment portfolio (cash, bonds, FVPL/FVOCI securities) added at fair value and its clearing-fund contributions excluded as encumbered. The terminal value is capped at 20x FCF, which binds in every scenario because Gordon at 7%/2.5% is ~22.8x. Even the bull case sits below the market price: the price implies either sustained high-single-digit growth beyond the bull path or a discount rate well below 7% (see required_return_table).
key_risks_to_valuation: Corpus stale: FY2026 results (June 2026 year-end) and the Dec-2025 balance sheet are not extracted; FY2026 is modelled, not observed; Treasury income on margin collateral (S$126m net FY2025, ~9% of revenue) is directly exposed to SGD/USD short rates; Derivatives volumes (equity index, FX, commodities) are cyclical and FY2025 was a record year; Competition in Asian index futures (HKEX MSCI China A50, NSE IX GIFT City) and regulatory fee pressure from MAS; Unquoted FVPL debt securities (S$449m) and FVOCI equity stakes (S$184m) are carried at fair value in the bridge without haircut</t>
  </si>
  <si>
    <t xml:space="preserve">Data sources</t>
  </si>
  <si>
    <t xml:space="preserve">price: Yahoo Finance chart API at inputs.price_as_of; 52-week range 16.23-25.69
financials: research/S68.SI/Reports/S68.SI_Metrics.csv (FY2016-FY2025) and SGX Annual Report FY2025 (balance sheet, cash-flow statement, notes 7-11, 15, 16, 26, 35, 36)
qualitative: SGX Annual Report FY2025 CEO letter and FY2026 business priorities (dividend +0.25c per quarter per year FY2026-FY2028); S68.SI_Analysis.json was not yet available at build time</t>
  </si>
  <si>
    <t xml:space="preserve">Scenario narrative: bear</t>
  </si>
  <si>
    <t xml:space="preserve">Volume mean reversion plus rate cuts: FY2025's record derivatives volumes and the treasury-income spread both normalise, competition in Asian index futures limits pricing, revenue roughly flat for two years then ~3%, margin 58%.</t>
  </si>
  <si>
    <t xml:space="preserve">Scenario narrative: base</t>
  </si>
  <si>
    <t xml:space="preserve">Mid-single-digit compounding of a regulated-monopoly fee stream: Singapore listing/trading/clearing plus a global multi-asset derivatives franchise (equity index, FX, commodities). FY2026 benefits from strong 2025 equities activity; growth then fades from ~6% to 3% with pre-SBC EBITDA margin ~62%. Treasury income drifts lower with rates but volume growth offsets it.</t>
  </si>
  <si>
    <t xml:space="preserve">Scenario narrative: bull</t>
  </si>
  <si>
    <t xml:space="preserve">Equity-market reform succeeds and FX becomes a second growth leg: revenue 7-11% early, margin to 65% on operating leverage,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</si>
  <si>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</si>
  <si>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</si>
  <si>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</si>
  <si>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</si>
  <si>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</si>
  <si>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</si>
  <si>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</si>
  <si>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</si>
  <si>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</si>
  <si>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</si>
  <si>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</si>
  <si>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</si>
  <si>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</si>
  <si>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</si>
  <si>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</si>
  <si>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</si>
  <si>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</si>
  <si>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</si>
  <si>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</si>
  <si>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</si>
  <si>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</si>
  <si>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</si>
  <si>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</si>
  <si>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</si>
  <si>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</si>
  <si>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</si>
  <si>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</si>
  <si>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NetRevenue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</si>
  <si>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</si>
  <si>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</si>
  <si>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</si>
  <si>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</si>
  <si>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</si>
  <si>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</si>
  <si>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</si>
  <si>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</si>
  <si>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</si>
  <si>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</si>
  <si>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</si>
  <si>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</si>
  <si>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</si>
  <si>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</si>
  <si>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</si>
  <si>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</si>
  <si>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</si>
  <si>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</si>
  <si>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</si>
  <si>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</si>
  <si>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SGD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</si>
  <si>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</si>
  <si>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</si>
  <si>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</si>
  <si>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</si>
  <si>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</si>
  <si>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</si>
  <si>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</si>
  <si>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</si>
  <si>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</si>
  <si>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</si>
  <si>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</si>
  <si>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</si>
  <si>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</si>
  <si>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</si>
  <si>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</si>
  <si>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</si>
  <si>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</si>
  <si>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</si>
  <si>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</si>
  <si>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</si>
  <si>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</si>
  <si>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</si>
  <si>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</si>
  <si>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</si>
  <si>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</si>
  <si>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</si>
  <si>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S68.SI owner-FCF component DCF: bear case (millions, SGD)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</si>
  <si>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</si>
  <si>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</si>
  <si>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</si>
  <si>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</si>
  <si>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</si>
  <si>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</si>
  <si>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</si>
  <si>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</si>
  <si>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</si>
  <si>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</si>
  <si>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</si>
  <si>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</si>
  <si>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</si>
  <si>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</si>
  <si>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</si>
  <si>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</si>
  <si>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</si>
  <si>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</si>
  <si>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</si>
  <si>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</si>
  <si>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</si>
  <si>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</si>
  <si>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</si>
  <si>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</si>
  <si>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</si>
  <si>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</si>
  <si>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</si>
  <si>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</si>
  <si>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</si>
  <si>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</si>
  <si>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S68.SI owner-FCF component DCF: base case (millions, SGD)</t>
  </si>
  <si>
    <t xml:space="preserve">S68.SI owner-FCF component DCF: bull case (millions, SGD)</t>
  </si>
  <si>
    <t xml:space="preserve">S68.SI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</si>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</sst>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20.77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818.109</v>
      </c>
      <c r="F2" s="0" t="n">
        <v>409.14</v>
      </c>
      <c r="G2" s="0" t="n">
        <v>50</v>
      </c>
      <c r="H2" s="0" t="n">
        <v>468.995</v>
      </c>
      <c r="I2" s="0" t="n">
        <v>349.017</v>
      </c>
      <c r="J2" s="0" t="n">
        <v>42.7</v>
      </c>
      <c r="K2" s="0" t="n">
        <v>0.326</v>
      </c>
      <c r="L2" s="0" t="n">
        <v>423.47</v>
      </c>
      <c r="M2" s="0" t="n">
        <v>73.847</v>
      </c>
      <c r="N2" s="0" t="n">
        <v>349.623</v>
      </c>
      <c r="O2" s="0" t="n">
        <v>989.581</v>
      </c>
      <c r="P2" s="0" t="n">
        <v>2105.484</v>
      </c>
      <c r="Q2" s="0" t="n">
        <v>1115.903</v>
      </c>
      <c r="R2" s="0" t="n">
        <v>0</v>
      </c>
      <c r="S2" s="0" t="n">
        <v>866.306</v>
      </c>
      <c r="T2" s="0" t="n">
        <v>1070.6</v>
      </c>
      <c r="U2" s="0" t="n">
        <v>7.903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800.814</v>
      </c>
      <c r="F3" s="0" t="n">
        <v>401.817</v>
      </c>
      <c r="G3" s="0" t="n">
        <v>50.2</v>
      </c>
      <c r="H3" s="0" t="n">
        <v>459.511</v>
      </c>
      <c r="I3" s="0" t="n">
        <v>339.692</v>
      </c>
      <c r="J3" s="0" t="n">
        <v>42.4</v>
      </c>
      <c r="K3" s="0" t="n">
        <v>0.317</v>
      </c>
      <c r="L3" s="0" t="n">
        <v>377.749</v>
      </c>
      <c r="M3" s="0" t="n">
        <v>60.126</v>
      </c>
      <c r="N3" s="0" t="n">
        <v>317.623</v>
      </c>
      <c r="O3" s="0" t="n">
        <v>1032.533</v>
      </c>
      <c r="P3" s="0" t="n">
        <v>2041.211</v>
      </c>
      <c r="Q3" s="0" t="n">
        <v>1008.678</v>
      </c>
      <c r="R3" s="0" t="n">
        <v>0</v>
      </c>
      <c r="S3" s="0" t="n">
        <v>796.392</v>
      </c>
      <c r="T3" s="0" t="n">
        <v>1071.6</v>
      </c>
      <c r="U3" s="0" t="n">
        <v>8.653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844.678</v>
      </c>
      <c r="F4" s="0" t="n">
        <v>424.896</v>
      </c>
      <c r="G4" s="0" t="n">
        <v>50.3</v>
      </c>
      <c r="H4" s="0" t="n">
        <v>485.734</v>
      </c>
      <c r="I4" s="0" t="n">
        <v>363.2</v>
      </c>
      <c r="J4" s="0" t="n">
        <v>43</v>
      </c>
      <c r="K4" s="0" t="n">
        <v>0.339</v>
      </c>
      <c r="L4" s="0" t="n">
        <v>426.818</v>
      </c>
      <c r="M4" s="0" t="n">
        <v>78.559</v>
      </c>
      <c r="N4" s="0" t="n">
        <v>348.259</v>
      </c>
      <c r="O4" s="0" t="n">
        <v>1096.232</v>
      </c>
      <c r="P4" s="0" t="n">
        <v>2114.938</v>
      </c>
      <c r="Q4" s="0" t="n">
        <v>1018.706</v>
      </c>
      <c r="R4" s="0" t="n">
        <v>0</v>
      </c>
      <c r="S4" s="0" t="n">
        <v>831.587</v>
      </c>
      <c r="T4" s="0" t="n">
        <v>1071.4</v>
      </c>
      <c r="U4" s="0" t="n">
        <v>10.926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909.808</v>
      </c>
      <c r="F5" s="0" t="n">
        <v>461.017</v>
      </c>
      <c r="G5" s="0" t="n">
        <v>50.7</v>
      </c>
      <c r="H5" s="0" t="n">
        <v>523.529</v>
      </c>
      <c r="I5" s="0" t="n">
        <v>391.098</v>
      </c>
      <c r="J5" s="0" t="n">
        <v>43</v>
      </c>
      <c r="K5" s="0" t="n">
        <v>0.365</v>
      </c>
      <c r="L5" s="0" t="n">
        <v>417.468</v>
      </c>
      <c r="M5" s="0" t="n">
        <v>47.347</v>
      </c>
      <c r="N5" s="0" t="n">
        <v>370.121</v>
      </c>
      <c r="O5" s="0" t="n">
        <v>1090.849</v>
      </c>
      <c r="P5" s="0" t="n">
        <v>2132.288</v>
      </c>
      <c r="Q5" s="0" t="n">
        <v>1041.439</v>
      </c>
      <c r="R5" s="0" t="n">
        <v>0</v>
      </c>
      <c r="S5" s="0" t="n">
        <v>666.67</v>
      </c>
      <c r="T5" s="0" t="n">
        <v>1071.5</v>
      </c>
      <c r="U5" s="0" t="n">
        <v>10.485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1052.698</v>
      </c>
      <c r="F6" s="0" t="n">
        <v>565.794</v>
      </c>
      <c r="G6" s="0" t="n">
        <v>53.7</v>
      </c>
      <c r="H6" s="0" t="n">
        <v>655.656</v>
      </c>
      <c r="I6" s="0" t="n">
        <v>471.815</v>
      </c>
      <c r="J6" s="0" t="n">
        <v>44.8</v>
      </c>
      <c r="K6" s="0" t="n">
        <v>0.441</v>
      </c>
      <c r="L6" s="0" t="n">
        <v>624.171</v>
      </c>
      <c r="M6" s="0" t="n">
        <v>34.626</v>
      </c>
      <c r="N6" s="0" t="n">
        <v>589.545</v>
      </c>
      <c r="O6" s="0" t="n">
        <v>1244.848</v>
      </c>
      <c r="P6" s="0" t="n">
        <v>2679.488</v>
      </c>
      <c r="Q6" s="0" t="n">
        <v>1430.205</v>
      </c>
      <c r="R6" s="0" t="n">
        <v>304.071</v>
      </c>
      <c r="S6" s="0" t="n">
        <v>907.378</v>
      </c>
      <c r="T6" s="0" t="n">
        <v>1069.9</v>
      </c>
      <c r="U6" s="0" t="n">
        <v>14.934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1055.953</v>
      </c>
      <c r="F7" s="0" t="n">
        <v>530.714</v>
      </c>
      <c r="G7" s="0" t="n">
        <v>50.3</v>
      </c>
      <c r="H7" s="0" t="n">
        <v>625.237</v>
      </c>
      <c r="I7" s="0" t="n">
        <v>445.406</v>
      </c>
      <c r="J7" s="0" t="n">
        <v>42.2</v>
      </c>
      <c r="K7" s="0" t="n">
        <v>0.416</v>
      </c>
      <c r="L7" s="0" t="n">
        <v>552.938</v>
      </c>
      <c r="M7" s="0" t="n">
        <v>45.283</v>
      </c>
      <c r="N7" s="0" t="n">
        <v>507.655</v>
      </c>
      <c r="O7" s="0" t="n">
        <v>1384.909</v>
      </c>
      <c r="P7" s="0" t="n">
        <v>3022.55</v>
      </c>
      <c r="Q7" s="0" t="n">
        <v>1632.782</v>
      </c>
      <c r="R7" s="0" t="n">
        <v>467.761</v>
      </c>
      <c r="S7" s="0" t="n">
        <v>1060.029</v>
      </c>
      <c r="T7" s="0" t="n">
        <v>1070.7</v>
      </c>
      <c r="U7" s="0" t="n">
        <v>17.883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1099.041</v>
      </c>
      <c r="F8" s="0" t="n">
        <v>537.448</v>
      </c>
      <c r="G8" s="0" t="n">
        <v>48.9</v>
      </c>
      <c r="H8" s="0" t="n">
        <v>634.106</v>
      </c>
      <c r="I8" s="0" t="n">
        <v>451.398</v>
      </c>
      <c r="J8" s="0" t="n">
        <v>41.1</v>
      </c>
      <c r="K8" s="0" t="n">
        <v>0.422</v>
      </c>
      <c r="L8" s="0" t="n">
        <v>583.527</v>
      </c>
      <c r="M8" s="0" t="n">
        <v>44.15</v>
      </c>
      <c r="N8" s="0" t="n">
        <v>539.377</v>
      </c>
      <c r="O8" s="0" t="n">
        <v>1544.408</v>
      </c>
      <c r="P8" s="0" t="n">
        <v>3848.2</v>
      </c>
      <c r="Q8" s="0" t="n">
        <v>2298.735</v>
      </c>
      <c r="R8" s="0" t="n">
        <v>735.793</v>
      </c>
      <c r="S8" s="0" t="n">
        <v>997.747</v>
      </c>
      <c r="T8" s="0" t="n">
        <v>1069.7</v>
      </c>
      <c r="U8" s="0" t="n">
        <v>14.98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1194.408</v>
      </c>
      <c r="F9" s="0" t="n">
        <v>589.543</v>
      </c>
      <c r="G9" s="0" t="n">
        <v>49.4</v>
      </c>
      <c r="H9" s="0" t="n">
        <v>687.865</v>
      </c>
      <c r="I9" s="0" t="n">
        <v>570.895</v>
      </c>
      <c r="J9" s="0" t="n">
        <v>47.8</v>
      </c>
      <c r="K9" s="0" t="n">
        <v>0.534</v>
      </c>
      <c r="L9" s="0" t="n">
        <v>446.698</v>
      </c>
      <c r="M9" s="0" t="n">
        <v>54.304</v>
      </c>
      <c r="N9" s="0" t="n">
        <v>392.394</v>
      </c>
      <c r="O9" s="0" t="n">
        <v>1700.902</v>
      </c>
      <c r="P9" s="0" t="n">
        <v>3781.339</v>
      </c>
      <c r="Q9" s="0" t="n">
        <v>2077.73</v>
      </c>
      <c r="R9" s="0" t="n">
        <v>691.923</v>
      </c>
      <c r="S9" s="0" t="n">
        <v>1033.183</v>
      </c>
      <c r="T9" s="0" t="n">
        <v>1069.1</v>
      </c>
      <c r="U9" s="0" t="n">
        <v>17.874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1231.675</v>
      </c>
      <c r="F10" s="0" t="n">
        <v>606.382</v>
      </c>
      <c r="G10" s="0" t="n">
        <v>49.2</v>
      </c>
      <c r="H10" s="0" t="n">
        <v>702.235</v>
      </c>
      <c r="I10" s="0" t="n">
        <v>597.907</v>
      </c>
      <c r="J10" s="0" t="n">
        <v>48.5</v>
      </c>
      <c r="K10" s="0" t="n">
        <v>0.559</v>
      </c>
      <c r="L10" s="0" t="n">
        <v>615.798</v>
      </c>
      <c r="M10" s="0" t="n">
        <v>64.569</v>
      </c>
      <c r="N10" s="0" t="n">
        <v>551.229</v>
      </c>
      <c r="O10" s="0" t="n">
        <v>1959.846</v>
      </c>
      <c r="P10" s="0" t="n">
        <v>3984.962</v>
      </c>
      <c r="Q10" s="0" t="n">
        <v>2023.787</v>
      </c>
      <c r="R10" s="0" t="n">
        <v>643.086</v>
      </c>
      <c r="S10" s="0" t="n">
        <v>998.111</v>
      </c>
      <c r="T10" s="0" t="n">
        <v>1069.6</v>
      </c>
      <c r="U10" s="0" t="n">
        <v>20.978</v>
      </c>
      <c r="AA10" s="0" t="s">
        <v>17</v>
      </c>
      <c r="AB10" s="0" t="s">
        <v>14</v>
      </c>
      <c r="AC10" s="0" t="n">
        <v>1162.028</v>
      </c>
    </row>
    <row r="11" customFormat="false" ht="15" hidden="false" customHeight="false" outlineLevel="0" collapsed="false">
      <c r="A11" s="0" t="s">
        <v>73</v>
      </c>
      <c r="B11" s="0" t="n">
        <v>1370.625</v>
      </c>
      <c r="F11" s="0" t="n">
        <v>742.843</v>
      </c>
      <c r="G11" s="0" t="n">
        <v>54.2</v>
      </c>
      <c r="H11" s="0" t="n">
        <v>827.759</v>
      </c>
      <c r="I11" s="0" t="n">
        <v>647.983</v>
      </c>
      <c r="J11" s="0" t="n">
        <v>47.3</v>
      </c>
      <c r="K11" s="0" t="n">
        <v>0.606</v>
      </c>
      <c r="L11" s="0" t="n">
        <v>841.67</v>
      </c>
      <c r="M11" s="0" t="n">
        <v>68.112</v>
      </c>
      <c r="N11" s="0" t="n">
        <v>773.558</v>
      </c>
      <c r="O11" s="0" t="n">
        <v>2199.921</v>
      </c>
      <c r="P11" s="0" t="n">
        <v>4143.988</v>
      </c>
      <c r="Q11" s="0" t="n">
        <v>1944.067</v>
      </c>
      <c r="R11" s="0" t="n">
        <v>622.904</v>
      </c>
      <c r="S11" s="0" t="n">
        <v>1129.979</v>
      </c>
      <c r="T11" s="0" t="n">
        <v>1069.3</v>
      </c>
      <c r="U11" s="0" t="n">
        <v>17.74</v>
      </c>
      <c r="AA11" s="0" t="s">
        <v>17</v>
      </c>
      <c r="AB11" s="0" t="s">
        <v>14</v>
      </c>
      <c r="AC11" s="0" t="n">
        <v>1298.167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20.77</v>
      </c>
    </row>
    <row r="3" customFormat="false" ht="15" hidden="false" customHeight="false" outlineLevel="0" collapsed="false">
      <c r="A3" s="0" t="s">
        <v>77</v>
      </c>
      <c r="B3" s="3" t="n">
        <v>1075.2</v>
      </c>
    </row>
    <row r="4" customFormat="false" ht="15" hidden="false" customHeight="false" outlineLevel="0" collapsed="false">
      <c r="A4" s="0" t="s">
        <v>78</v>
      </c>
      <c r="B4" s="3" t="n">
        <v>-674</v>
      </c>
    </row>
    <row r="5" customFormat="false" ht="15" hidden="false" customHeight="false" outlineLevel="0" collapsed="false">
      <c r="A5" s="0" t="s">
        <v>79</v>
      </c>
      <c r="B5" s="3" t="n">
        <v>678.8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1370.625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2</v>
      </c>
      <c r="D13" s="3" t="n">
        <v>0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60</v>
      </c>
      <c r="D14" s="3" t="n">
        <v>59</v>
      </c>
      <c r="E14" s="3" t="n">
        <v>58.5</v>
      </c>
      <c r="F14" s="3" t="n">
        <v>58</v>
      </c>
      <c r="G14" s="3" t="n">
        <v>58</v>
      </c>
      <c r="H14" s="3" t="n">
        <v>58</v>
      </c>
      <c r="I14" s="3" t="n">
        <v>58</v>
      </c>
      <c r="J14" s="3" t="n">
        <v>58</v>
      </c>
      <c r="K14" s="3" t="n">
        <v>58</v>
      </c>
      <c r="L14" s="3" t="n">
        <v>58</v>
      </c>
    </row>
    <row r="15" customFormat="false" ht="15" hidden="false" customHeight="false" outlineLevel="0" collapsed="false">
      <c r="A15" s="0" t="s">
        <v>99</v>
      </c>
      <c r="C15" s="3" t="n">
        <v>1.3</v>
      </c>
      <c r="D15" s="3" t="n">
        <v>1.3</v>
      </c>
      <c r="E15" s="3" t="n">
        <v>1.3</v>
      </c>
      <c r="F15" s="3" t="n">
        <v>1.3</v>
      </c>
      <c r="G15" s="3" t="n">
        <v>1.3</v>
      </c>
      <c r="H15" s="3" t="n">
        <v>1.3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100</v>
      </c>
      <c r="C16" s="3" t="n">
        <v>1.9</v>
      </c>
      <c r="D16" s="3" t="n">
        <v>1.9</v>
      </c>
      <c r="E16" s="3" t="n">
        <v>1.9</v>
      </c>
      <c r="F16" s="3" t="n">
        <v>1.9</v>
      </c>
      <c r="G16" s="3" t="n">
        <v>1.9</v>
      </c>
      <c r="H16" s="3" t="n">
        <v>1.9</v>
      </c>
      <c r="I16" s="3" t="n">
        <v>1.9</v>
      </c>
      <c r="J16" s="3" t="n">
        <v>1.9</v>
      </c>
      <c r="K16" s="3" t="n">
        <v>1.9</v>
      </c>
      <c r="L16" s="3" t="n">
        <v>1.9</v>
      </c>
    </row>
    <row r="17" customFormat="false" ht="15" hidden="false" customHeight="false" outlineLevel="0" collapsed="false">
      <c r="A17" s="0" t="s">
        <v>101</v>
      </c>
      <c r="C17" s="3" t="n">
        <v>4.9</v>
      </c>
      <c r="D17" s="3" t="n">
        <v>5</v>
      </c>
      <c r="E17" s="3" t="n">
        <v>5</v>
      </c>
      <c r="F17" s="3" t="n">
        <v>5</v>
      </c>
      <c r="G17" s="3" t="n">
        <v>5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102</v>
      </c>
      <c r="C18" s="3" t="n">
        <v>5.4</v>
      </c>
      <c r="D18" s="3" t="n">
        <v>5.5</v>
      </c>
      <c r="E18" s="3" t="n">
        <v>5.5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103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20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8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61.5</v>
      </c>
      <c r="D28" s="3" t="n">
        <v>61.7</v>
      </c>
      <c r="E28" s="3" t="n">
        <v>61.9</v>
      </c>
      <c r="F28" s="3" t="n">
        <v>62.1</v>
      </c>
      <c r="G28" s="3" t="n">
        <v>62.3</v>
      </c>
      <c r="H28" s="3" t="n">
        <v>62.5</v>
      </c>
      <c r="I28" s="3" t="n">
        <v>62.5</v>
      </c>
      <c r="J28" s="3" t="n">
        <v>62.5</v>
      </c>
      <c r="K28" s="3" t="n">
        <v>62.5</v>
      </c>
      <c r="L28" s="3" t="n">
        <v>62.5</v>
      </c>
    </row>
    <row r="29" customFormat="false" ht="15" hidden="false" customHeight="false" outlineLevel="0" collapsed="false">
      <c r="A29" s="0" t="s">
        <v>99</v>
      </c>
      <c r="C29" s="3" t="n">
        <v>1.3</v>
      </c>
      <c r="D29" s="3" t="n">
        <v>1.3</v>
      </c>
      <c r="E29" s="3" t="n">
        <v>1.3</v>
      </c>
      <c r="F29" s="3" t="n">
        <v>1.25</v>
      </c>
      <c r="G29" s="3" t="n">
        <v>1.25</v>
      </c>
      <c r="H29" s="3" t="n">
        <v>1.2</v>
      </c>
      <c r="I29" s="3" t="n">
        <v>1.2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100</v>
      </c>
      <c r="C30" s="3" t="n">
        <v>1.8</v>
      </c>
      <c r="D30" s="3" t="n">
        <v>1.8</v>
      </c>
      <c r="E30" s="3" t="n">
        <v>1.7</v>
      </c>
      <c r="F30" s="3" t="n">
        <v>1.7</v>
      </c>
      <c r="G30" s="3" t="n">
        <v>1.7</v>
      </c>
      <c r="H30" s="3" t="n">
        <v>1.7</v>
      </c>
      <c r="I30" s="3" t="n">
        <v>1.7</v>
      </c>
      <c r="J30" s="3" t="n">
        <v>1.7</v>
      </c>
      <c r="K30" s="3" t="n">
        <v>1.7</v>
      </c>
      <c r="L30" s="3" t="n">
        <v>1.7</v>
      </c>
    </row>
    <row r="31" customFormat="false" ht="15" hidden="false" customHeight="false" outlineLevel="0" collapsed="false">
      <c r="A31" s="0" t="s">
        <v>101</v>
      </c>
      <c r="C31" s="3" t="n">
        <v>4.8</v>
      </c>
      <c r="D31" s="3" t="n">
        <v>4.8</v>
      </c>
      <c r="E31" s="3" t="n">
        <v>4.8</v>
      </c>
      <c r="F31" s="3" t="n">
        <v>4.8</v>
      </c>
      <c r="G31" s="3" t="n">
        <v>4.7</v>
      </c>
      <c r="H31" s="3" t="n">
        <v>4.7</v>
      </c>
      <c r="I31" s="3" t="n">
        <v>4.7</v>
      </c>
      <c r="J31" s="3" t="n">
        <v>4.7</v>
      </c>
      <c r="K31" s="3" t="n">
        <v>4.7</v>
      </c>
      <c r="L31" s="3" t="n">
        <v>4.7</v>
      </c>
    </row>
    <row r="32" customFormat="false" ht="15" hidden="false" customHeight="false" outlineLevel="0" collapsed="false">
      <c r="A32" s="0" t="s">
        <v>102</v>
      </c>
      <c r="C32" s="3" t="n">
        <v>5.2</v>
      </c>
      <c r="D32" s="3" t="n">
        <v>5.2</v>
      </c>
      <c r="E32" s="3" t="n">
        <v>5.1</v>
      </c>
      <c r="F32" s="3" t="n">
        <v>5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103</v>
      </c>
      <c r="C33" s="3" t="n">
        <v>17</v>
      </c>
      <c r="D33" s="3" t="n">
        <v>17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20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11</v>
      </c>
      <c r="D41" s="3" t="n">
        <v>9</v>
      </c>
      <c r="E41" s="3" t="n">
        <v>8</v>
      </c>
      <c r="F41" s="3" t="n">
        <v>7.5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62.5</v>
      </c>
      <c r="D42" s="3" t="n">
        <v>63</v>
      </c>
      <c r="E42" s="3" t="n">
        <v>63.5</v>
      </c>
      <c r="F42" s="3" t="n">
        <v>64</v>
      </c>
      <c r="G42" s="3" t="n">
        <v>64.5</v>
      </c>
      <c r="H42" s="3" t="n">
        <v>65</v>
      </c>
      <c r="I42" s="3" t="n">
        <v>65</v>
      </c>
      <c r="J42" s="3" t="n">
        <v>65</v>
      </c>
      <c r="K42" s="3" t="n">
        <v>65</v>
      </c>
      <c r="L42" s="3" t="n">
        <v>65</v>
      </c>
    </row>
    <row r="43" customFormat="false" ht="15" hidden="false" customHeight="false" outlineLevel="0" collapsed="false">
      <c r="A43" s="0" t="s">
        <v>99</v>
      </c>
      <c r="C43" s="3" t="n">
        <v>1.3</v>
      </c>
      <c r="D43" s="3" t="n">
        <v>1.3</v>
      </c>
      <c r="E43" s="3" t="n">
        <v>1.3</v>
      </c>
      <c r="F43" s="3" t="n">
        <v>1.25</v>
      </c>
      <c r="G43" s="3" t="n">
        <v>1.25</v>
      </c>
      <c r="H43" s="3" t="n">
        <v>1.2</v>
      </c>
      <c r="I43" s="3" t="n">
        <v>1.2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100</v>
      </c>
      <c r="C44" s="3" t="n">
        <v>1.8</v>
      </c>
      <c r="D44" s="3" t="n">
        <v>1.7</v>
      </c>
      <c r="E44" s="3" t="n">
        <v>1.6</v>
      </c>
      <c r="F44" s="3" t="n">
        <v>1.6</v>
      </c>
      <c r="G44" s="3" t="n">
        <v>1.5</v>
      </c>
      <c r="H44" s="3" t="n">
        <v>1.5</v>
      </c>
      <c r="I44" s="3" t="n">
        <v>1.5</v>
      </c>
      <c r="J44" s="3" t="n">
        <v>1.5</v>
      </c>
      <c r="K44" s="3" t="n">
        <v>1.5</v>
      </c>
      <c r="L44" s="3" t="n">
        <v>1.5</v>
      </c>
    </row>
    <row r="45" customFormat="false" ht="15" hidden="false" customHeight="false" outlineLevel="0" collapsed="false">
      <c r="A45" s="0" t="s">
        <v>101</v>
      </c>
      <c r="C45" s="3" t="n">
        <v>4.8</v>
      </c>
      <c r="D45" s="3" t="n">
        <v>4.7</v>
      </c>
      <c r="E45" s="3" t="n">
        <v>4.6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102</v>
      </c>
      <c r="C46" s="3" t="n">
        <v>5.2</v>
      </c>
      <c r="D46" s="3" t="n">
        <v>5</v>
      </c>
      <c r="E46" s="3" t="n">
        <v>4.9</v>
      </c>
      <c r="F46" s="3" t="n">
        <v>4.8</v>
      </c>
      <c r="G46" s="3" t="n">
        <v>4.8</v>
      </c>
      <c r="H46" s="3" t="n">
        <v>4.8</v>
      </c>
      <c r="I46" s="3" t="n">
        <v>4.8</v>
      </c>
      <c r="J46" s="3" t="n">
        <v>4.8</v>
      </c>
      <c r="K46" s="3" t="n">
        <v>4.8</v>
      </c>
      <c r="L46" s="3" t="n">
        <v>4.8</v>
      </c>
    </row>
    <row r="47" customFormat="false" ht="15" hidden="false" customHeight="false" outlineLevel="0" collapsed="false">
      <c r="A47" s="0" t="s">
        <v>103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1370.625</v>
      </c>
      <c r="C6" s="0" t="n">
        <f aca="false">B6*(1+C5/100)</f>
        <v>1398.0375</v>
      </c>
      <c r="D6" s="0" t="n">
        <f aca="false">C6*(1+D5/100)</f>
        <v>1398.0375</v>
      </c>
      <c r="E6" s="0" t="n">
        <f aca="false">D6*(1+E5/100)</f>
        <v>1432.9884375</v>
      </c>
      <c r="F6" s="0" t="n">
        <f aca="false">E6*(1+F5/100)</f>
        <v>1475.978090625</v>
      </c>
      <c r="G6" s="0" t="n">
        <f aca="false">F6*(1+G5/100)</f>
        <v>1520.25743334375</v>
      </c>
      <c r="H6" s="0" t="n">
        <f aca="false">G6*(1+H5/100)</f>
        <v>1565.86515634406</v>
      </c>
      <c r="I6" s="0" t="n">
        <f aca="false">H6*(1+I5/100)</f>
        <v>1612.84111103438</v>
      </c>
      <c r="J6" s="0" t="n">
        <f aca="false">I6*(1+J5/100)</f>
        <v>1653.16213881024</v>
      </c>
      <c r="K6" s="0" t="n">
        <f aca="false">J6*(1+K5/100)</f>
        <v>1694.4911922805</v>
      </c>
      <c r="L6" s="0" t="n">
        <f aca="false">K6*(1+L5/100)</f>
        <v>1736.85347208751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60</v>
      </c>
      <c r="D7" s="4" t="n">
        <f aca="false">Assumptions!D14</f>
        <v>59</v>
      </c>
      <c r="E7" s="4" t="n">
        <f aca="false">Assumptions!E14</f>
        <v>58.5</v>
      </c>
      <c r="F7" s="4" t="n">
        <f aca="false">Assumptions!F14</f>
        <v>58</v>
      </c>
      <c r="G7" s="4" t="n">
        <f aca="false">Assumptions!G14</f>
        <v>58</v>
      </c>
      <c r="H7" s="4" t="n">
        <f aca="false">Assumptions!H14</f>
        <v>58</v>
      </c>
      <c r="I7" s="4" t="n">
        <f aca="false">Assumptions!I14</f>
        <v>58</v>
      </c>
      <c r="J7" s="4" t="n">
        <f aca="false">Assumptions!J14</f>
        <v>58</v>
      </c>
      <c r="K7" s="4" t="n">
        <f aca="false">Assumptions!K14</f>
        <v>58</v>
      </c>
      <c r="L7" s="4" t="n">
        <f aca="false">Assumptions!L14</f>
        <v>58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838.8225</v>
      </c>
      <c r="D8" s="0" t="n">
        <f aca="false">D6*D7/100</f>
        <v>824.842125</v>
      </c>
      <c r="E8" s="0" t="n">
        <f aca="false">E6*E7/100</f>
        <v>838.2982359375</v>
      </c>
      <c r="F8" s="0" t="n">
        <f aca="false">F6*F7/100</f>
        <v>856.0672925625</v>
      </c>
      <c r="G8" s="0" t="n">
        <f aca="false">G6*G7/100</f>
        <v>881.749311339375</v>
      </c>
      <c r="H8" s="0" t="n">
        <f aca="false">H6*H7/100</f>
        <v>908.201790679556</v>
      </c>
      <c r="I8" s="0" t="n">
        <f aca="false">I6*I7/100</f>
        <v>935.447844399943</v>
      </c>
      <c r="J8" s="0" t="n">
        <f aca="false">J6*J7/100</f>
        <v>958.834040509942</v>
      </c>
      <c r="K8" s="0" t="n">
        <f aca="false">K6*K7/100</f>
        <v>982.80489152269</v>
      </c>
      <c r="L8" s="0" t="n">
        <f aca="false">L6*L7/100</f>
        <v>1007.37501381076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1.3</v>
      </c>
      <c r="D9" s="4" t="n">
        <f aca="false">Assumptions!D15</f>
        <v>1.3</v>
      </c>
      <c r="E9" s="4" t="n">
        <f aca="false">Assumptions!E15</f>
        <v>1.3</v>
      </c>
      <c r="F9" s="4" t="n">
        <f aca="false">Assumptions!F15</f>
        <v>1.3</v>
      </c>
      <c r="G9" s="4" t="n">
        <f aca="false">Assumptions!G15</f>
        <v>1.3</v>
      </c>
      <c r="H9" s="4" t="n">
        <f aca="false">Assumptions!H15</f>
        <v>1.3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-18.1744875</v>
      </c>
      <c r="D10" s="0" t="n">
        <f aca="false">-D6*D9/100</f>
        <v>-18.1744875</v>
      </c>
      <c r="E10" s="0" t="n">
        <f aca="false">-E6*E9/100</f>
        <v>-18.6288496875</v>
      </c>
      <c r="F10" s="0" t="n">
        <f aca="false">-F6*F9/100</f>
        <v>-19.187715178125</v>
      </c>
      <c r="G10" s="0" t="n">
        <f aca="false">-G6*G9/100</f>
        <v>-19.7633466334688</v>
      </c>
      <c r="H10" s="0" t="n">
        <f aca="false">-H6*H9/100</f>
        <v>-20.3562470324728</v>
      </c>
      <c r="I10" s="0" t="n">
        <f aca="false">-I6*I9/100</f>
        <v>-20.966934443447</v>
      </c>
      <c r="J10" s="0" t="n">
        <f aca="false">-J6*J9/100</f>
        <v>-21.4911078045332</v>
      </c>
      <c r="K10" s="0" t="n">
        <f aca="false">-K6*K9/100</f>
        <v>-22.0283854996465</v>
      </c>
      <c r="L10" s="0" t="n">
        <f aca="false">-L6*L9/100</f>
        <v>-22.5790951371377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794.0853</v>
      </c>
      <c r="D11" s="0" t="n">
        <f aca="false">D8+D10+D24</f>
        <v>780.104925</v>
      </c>
      <c r="E11" s="0" t="n">
        <f aca="false">E8+E10+E24</f>
        <v>792.4426059375</v>
      </c>
      <c r="F11" s="0" t="n">
        <f aca="false">F8+F10+F24</f>
        <v>808.8359936625</v>
      </c>
      <c r="G11" s="0" t="n">
        <f aca="false">G8+G10+G24</f>
        <v>833.101073472375</v>
      </c>
      <c r="H11" s="0" t="n">
        <f aca="false">H8+H10+H24</f>
        <v>858.094105676546</v>
      </c>
      <c r="I11" s="0" t="n">
        <f aca="false">I8+I10+I24</f>
        <v>883.836928846843</v>
      </c>
      <c r="J11" s="0" t="n">
        <f aca="false">J8+J10+J24</f>
        <v>905.932852068014</v>
      </c>
      <c r="K11" s="0" t="n">
        <f aca="false">K8+K10+K24</f>
        <v>928.581173369714</v>
      </c>
      <c r="L11" s="0" t="n">
        <f aca="false">L8+L10+L24</f>
        <v>951.795702703957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-68.5038375</v>
      </c>
      <c r="D12" s="4" t="n">
        <f aca="false">-D6*Assumptions!D17/100</f>
        <v>-69.901875</v>
      </c>
      <c r="E12" s="4" t="n">
        <f aca="false">-E6*Assumptions!E17/100</f>
        <v>-71.649421875</v>
      </c>
      <c r="F12" s="4" t="n">
        <f aca="false">-F6*Assumptions!F17/100</f>
        <v>-73.79890453125</v>
      </c>
      <c r="G12" s="4" t="n">
        <f aca="false">-G6*Assumptions!G17/100</f>
        <v>-76.0128716671875</v>
      </c>
      <c r="H12" s="4" t="n">
        <f aca="false">-H6*Assumptions!H17/100</f>
        <v>-78.2932578172031</v>
      </c>
      <c r="I12" s="4" t="n">
        <f aca="false">-I6*Assumptions!I17/100</f>
        <v>-80.6420555517192</v>
      </c>
      <c r="J12" s="4" t="n">
        <f aca="false">-J6*Assumptions!J17/100</f>
        <v>-82.6581069405122</v>
      </c>
      <c r="K12" s="4" t="n">
        <f aca="false">-K6*Assumptions!K17/100</f>
        <v>-84.724559614025</v>
      </c>
      <c r="L12" s="4" t="n">
        <f aca="false">-L6*Assumptions!L17/100</f>
        <v>-86.8426736043756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725.5814625</v>
      </c>
      <c r="D13" s="0" t="n">
        <f aca="false">D11+D12</f>
        <v>710.20305</v>
      </c>
      <c r="E13" s="0" t="n">
        <f aca="false">E11+E12</f>
        <v>720.7931840625</v>
      </c>
      <c r="F13" s="0" t="n">
        <f aca="false">F11+F12</f>
        <v>735.03708913125</v>
      </c>
      <c r="G13" s="0" t="n">
        <f aca="false">G11+G12</f>
        <v>757.088201805188</v>
      </c>
      <c r="H13" s="0" t="n">
        <f aca="false">H11+H12</f>
        <v>779.800847859343</v>
      </c>
      <c r="I13" s="0" t="n">
        <f aca="false">I11+I12</f>
        <v>803.194873295123</v>
      </c>
      <c r="J13" s="0" t="n">
        <f aca="false">J11+J12</f>
        <v>823.274745127502</v>
      </c>
      <c r="K13" s="0" t="n">
        <f aca="false">K11+K12</f>
        <v>843.856613755689</v>
      </c>
      <c r="L13" s="0" t="n">
        <f aca="false">L11+L12</f>
        <v>864.953029099581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602.232613875</v>
      </c>
      <c r="D15" s="0" t="n">
        <f aca="false">D13-MAX(0,D13)*D14/100</f>
        <v>589.4685315</v>
      </c>
      <c r="E15" s="0" t="n">
        <f aca="false">E13-MAX(0,E13)*E14/100</f>
        <v>598.258342771875</v>
      </c>
      <c r="F15" s="0" t="n">
        <f aca="false">F13-MAX(0,F13)*F14/100</f>
        <v>610.080783978938</v>
      </c>
      <c r="G15" s="0" t="n">
        <f aca="false">G13-MAX(0,G13)*G14/100</f>
        <v>628.383207498306</v>
      </c>
      <c r="H15" s="0" t="n">
        <f aca="false">H13-MAX(0,H13)*H14/100</f>
        <v>647.234703723255</v>
      </c>
      <c r="I15" s="0" t="n">
        <f aca="false">I13-MAX(0,I13)*I14/100</f>
        <v>666.651744834952</v>
      </c>
      <c r="J15" s="0" t="n">
        <f aca="false">J13-MAX(0,J13)*J14/100</f>
        <v>683.318038455826</v>
      </c>
      <c r="K15" s="0" t="n">
        <f aca="false">K13-MAX(0,K13)*K14/100</f>
        <v>700.400989417222</v>
      </c>
      <c r="L15" s="0" t="n">
        <f aca="false">L13-MAX(0,L13)*L14/100</f>
        <v>717.911014152652</v>
      </c>
    </row>
    <row r="16" customFormat="false" ht="15" hidden="false" customHeight="false" outlineLevel="0" collapsed="false">
      <c r="A16" s="0" t="s">
        <v>119</v>
      </c>
      <c r="C16" s="0" t="n">
        <f aca="false">-C12</f>
        <v>68.5038375</v>
      </c>
      <c r="D16" s="0" t="n">
        <f aca="false">-D12</f>
        <v>69.901875</v>
      </c>
      <c r="E16" s="0" t="n">
        <f aca="false">-E12</f>
        <v>71.649421875</v>
      </c>
      <c r="F16" s="0" t="n">
        <f aca="false">-F12</f>
        <v>73.79890453125</v>
      </c>
      <c r="G16" s="0" t="n">
        <f aca="false">-G12</f>
        <v>76.0128716671875</v>
      </c>
      <c r="H16" s="0" t="n">
        <f aca="false">-H12</f>
        <v>78.2932578172031</v>
      </c>
      <c r="I16" s="0" t="n">
        <f aca="false">-I12</f>
        <v>80.6420555517192</v>
      </c>
      <c r="J16" s="0" t="n">
        <f aca="false">-J12</f>
        <v>82.6581069405122</v>
      </c>
      <c r="K16" s="0" t="n">
        <f aca="false">-K12</f>
        <v>84.724559614025</v>
      </c>
      <c r="L16" s="0" t="n">
        <f aca="false">-L12</f>
        <v>86.8426736043756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-75.494025</v>
      </c>
      <c r="D17" s="4" t="n">
        <f aca="false">-D6*Assumptions!D18/100</f>
        <v>-76.8920625</v>
      </c>
      <c r="E17" s="4" t="n">
        <f aca="false">-E6*Assumptions!E18/100</f>
        <v>-78.8143640625</v>
      </c>
      <c r="F17" s="4" t="n">
        <f aca="false">-F6*Assumptions!F18/100</f>
        <v>-81.178794984375</v>
      </c>
      <c r="G17" s="4" t="n">
        <f aca="false">-G6*Assumptions!G18/100</f>
        <v>-83.6141588339063</v>
      </c>
      <c r="H17" s="4" t="n">
        <f aca="false">-H6*Assumptions!H18/100</f>
        <v>-86.1225835989234</v>
      </c>
      <c r="I17" s="4" t="n">
        <f aca="false">-I6*Assumptions!I18/100</f>
        <v>-88.7062611068912</v>
      </c>
      <c r="J17" s="4" t="n">
        <f aca="false">-J6*Assumptions!J18/100</f>
        <v>-90.9239176345634</v>
      </c>
      <c r="K17" s="4" t="n">
        <f aca="false">-K6*Assumptions!K18/100</f>
        <v>-93.1970155754275</v>
      </c>
      <c r="L17" s="4" t="n">
        <f aca="false">-L6*Assumptions!L18/100</f>
        <v>-95.5269409648132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595.242426375</v>
      </c>
      <c r="D19" s="0" t="n">
        <f aca="false">D15+D16+D17+D18</f>
        <v>582.478344</v>
      </c>
      <c r="E19" s="0" t="n">
        <f aca="false">E15+E16+E17+E18</f>
        <v>591.093400584375</v>
      </c>
      <c r="F19" s="0" t="n">
        <f aca="false">F15+F16+F17+F18</f>
        <v>602.700893525812</v>
      </c>
      <c r="G19" s="0" t="n">
        <f aca="false">G15+G16+G17+G18</f>
        <v>620.781920331587</v>
      </c>
      <c r="H19" s="0" t="n">
        <f aca="false">H15+H16+H17+H18</f>
        <v>639.405377941535</v>
      </c>
      <c r="I19" s="0" t="n">
        <f aca="false">I15+I16+I17+I18</f>
        <v>658.587539279781</v>
      </c>
      <c r="J19" s="0" t="n">
        <f aca="false">J15+J16+J17+J18</f>
        <v>675.052227761775</v>
      </c>
      <c r="K19" s="0" t="n">
        <f aca="false">K15+K16+K17+K18</f>
        <v>691.928533455819</v>
      </c>
      <c r="L19" s="0" t="n">
        <f aca="false">L15+L16+L17+L18</f>
        <v>709.226746792215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556.301333060748</v>
      </c>
      <c r="D21" s="0" t="n">
        <f aca="false">D19*D20</f>
        <v>508.759144030046</v>
      </c>
      <c r="E21" s="0" t="n">
        <f aca="false">E19*E20</f>
        <v>482.508287941219</v>
      </c>
      <c r="F21" s="0" t="n">
        <f aca="false">F19*F20</f>
        <v>459.797625967608</v>
      </c>
      <c r="G21" s="0" t="n">
        <f aca="false">G19*G20</f>
        <v>442.608929669753</v>
      </c>
      <c r="H21" s="0" t="n">
        <f aca="false">H19*H20</f>
        <v>426.0628014578</v>
      </c>
      <c r="I21" s="0" t="n">
        <f aca="false">I19*I20</f>
        <v>410.135220094891</v>
      </c>
      <c r="J21" s="0" t="n">
        <f aca="false">J19*J20</f>
        <v>392.886542614265</v>
      </c>
      <c r="K21" s="0" t="n">
        <f aca="false">K19*K20</f>
        <v>376.363276803385</v>
      </c>
      <c r="L21" s="0" t="n">
        <f aca="false">L19*L20</f>
        <v>360.534914694831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1.9</v>
      </c>
      <c r="D23" s="4" t="n">
        <f aca="false">Assumptions!D16</f>
        <v>1.9</v>
      </c>
      <c r="E23" s="4" t="n">
        <f aca="false">Assumptions!E16</f>
        <v>1.9</v>
      </c>
      <c r="F23" s="4" t="n">
        <f aca="false">Assumptions!F16</f>
        <v>1.9</v>
      </c>
      <c r="G23" s="4" t="n">
        <f aca="false">Assumptions!G16</f>
        <v>1.9</v>
      </c>
      <c r="H23" s="4" t="n">
        <f aca="false">Assumptions!H16</f>
        <v>1.9</v>
      </c>
      <c r="I23" s="4" t="n">
        <f aca="false">Assumptions!I16</f>
        <v>1.9</v>
      </c>
      <c r="J23" s="4" t="n">
        <f aca="false">Assumptions!J16</f>
        <v>1.9</v>
      </c>
      <c r="K23" s="4" t="n">
        <f aca="false">Assumptions!K16</f>
        <v>1.9</v>
      </c>
      <c r="L23" s="4" t="n">
        <f aca="false">Assumptions!L16</f>
        <v>1.9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-26.5627125</v>
      </c>
      <c r="D24" s="0" t="n">
        <f aca="false">-D6*D23/100</f>
        <v>-26.5627125</v>
      </c>
      <c r="E24" s="0" t="n">
        <f aca="false">-E6*E23/100</f>
        <v>-27.2267803125</v>
      </c>
      <c r="F24" s="0" t="n">
        <f aca="false">-F6*F23/100</f>
        <v>-28.043583721875</v>
      </c>
      <c r="G24" s="0" t="n">
        <f aca="false">-G6*G23/100</f>
        <v>-28.8848912335313</v>
      </c>
      <c r="H24" s="0" t="n">
        <f aca="false">-H6*H23/100</f>
        <v>-29.7514379705372</v>
      </c>
      <c r="I24" s="0" t="n">
        <f aca="false">-I6*I23/100</f>
        <v>-30.6439811096533</v>
      </c>
      <c r="J24" s="0" t="n">
        <f aca="false">-J6*J23/100</f>
        <v>-31.4100806373946</v>
      </c>
      <c r="K24" s="0" t="n">
        <f aca="false">-K6*K23/100</f>
        <v>-32.1953326533295</v>
      </c>
      <c r="L24" s="0" t="n">
        <f aca="false">-L6*L23/100</f>
        <v>-33.0002159696627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4415.95807633455</v>
      </c>
    </row>
    <row r="31" customFormat="false" ht="15" hidden="false" customHeight="false" outlineLevel="0" collapsed="false">
      <c r="A31" s="0" t="s">
        <v>128</v>
      </c>
      <c r="B31" s="0" t="n">
        <f aca="false">L19</f>
        <v>709.226746792215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14468.2256345612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14184.5349358443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14184.5349358443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7210.69829389662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11626.6563702312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12979.4563702312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12.0716670110037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-0.418793114540025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139.385152620109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234.15256741213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12.4190793250218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5564.70216713892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5.43613449273496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8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1370.625</v>
      </c>
      <c r="C6" s="0" t="n">
        <f aca="false">B6*(1+C5/100)</f>
        <v>1480.275</v>
      </c>
      <c r="D6" s="0" t="n">
        <f aca="false">C6*(1+D5/100)</f>
        <v>1569.0915</v>
      </c>
      <c r="E6" s="0" t="n">
        <f aca="false">D6*(1+E5/100)</f>
        <v>1663.23699</v>
      </c>
      <c r="F6" s="0" t="n">
        <f aca="false">E6*(1+F5/100)</f>
        <v>1754.71502445</v>
      </c>
      <c r="G6" s="0" t="n">
        <f aca="false">F6*(1+G5/100)</f>
        <v>1842.4507756725</v>
      </c>
      <c r="H6" s="0" t="n">
        <f aca="false">G6*(1+H5/100)</f>
        <v>1934.57331445613</v>
      </c>
      <c r="I6" s="0" t="n">
        <f aca="false">H6*(1+I5/100)</f>
        <v>2021.62911360665</v>
      </c>
      <c r="J6" s="0" t="n">
        <f aca="false">I6*(1+J5/100)</f>
        <v>2102.49427815092</v>
      </c>
      <c r="K6" s="0" t="n">
        <f aca="false">J6*(1+K5/100)</f>
        <v>2176.0815778862</v>
      </c>
      <c r="L6" s="0" t="n">
        <f aca="false">K6*(1+L5/100)</f>
        <v>2241.36402522279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61.5</v>
      </c>
      <c r="D7" s="4" t="n">
        <f aca="false">Assumptions!D28</f>
        <v>61.7</v>
      </c>
      <c r="E7" s="4" t="n">
        <f aca="false">Assumptions!E28</f>
        <v>61.9</v>
      </c>
      <c r="F7" s="4" t="n">
        <f aca="false">Assumptions!F28</f>
        <v>62.1</v>
      </c>
      <c r="G7" s="4" t="n">
        <f aca="false">Assumptions!G28</f>
        <v>62.3</v>
      </c>
      <c r="H7" s="4" t="n">
        <f aca="false">Assumptions!H28</f>
        <v>62.5</v>
      </c>
      <c r="I7" s="4" t="n">
        <f aca="false">Assumptions!I28</f>
        <v>62.5</v>
      </c>
      <c r="J7" s="4" t="n">
        <f aca="false">Assumptions!J28</f>
        <v>62.5</v>
      </c>
      <c r="K7" s="4" t="n">
        <f aca="false">Assumptions!K28</f>
        <v>62.5</v>
      </c>
      <c r="L7" s="4" t="n">
        <f aca="false">Assumptions!L28</f>
        <v>62.5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910.369125</v>
      </c>
      <c r="D8" s="0" t="n">
        <f aca="false">D6*D7/100</f>
        <v>968.1294555</v>
      </c>
      <c r="E8" s="0" t="n">
        <f aca="false">E6*E7/100</f>
        <v>1029.54369681</v>
      </c>
      <c r="F8" s="0" t="n">
        <f aca="false">F6*F7/100</f>
        <v>1089.67803018345</v>
      </c>
      <c r="G8" s="0" t="n">
        <f aca="false">G6*G7/100</f>
        <v>1147.84683324397</v>
      </c>
      <c r="H8" s="0" t="n">
        <f aca="false">H6*H7/100</f>
        <v>1209.10832153508</v>
      </c>
      <c r="I8" s="0" t="n">
        <f aca="false">I6*I7/100</f>
        <v>1263.51819600416</v>
      </c>
      <c r="J8" s="0" t="n">
        <f aca="false">J6*J7/100</f>
        <v>1314.05892384432</v>
      </c>
      <c r="K8" s="0" t="n">
        <f aca="false">K6*K7/100</f>
        <v>1360.05098617887</v>
      </c>
      <c r="L8" s="0" t="n">
        <f aca="false">L6*L7/100</f>
        <v>1400.85251576424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1.3</v>
      </c>
      <c r="D9" s="4" t="n">
        <f aca="false">Assumptions!D29</f>
        <v>1.3</v>
      </c>
      <c r="E9" s="4" t="n">
        <f aca="false">Assumptions!E29</f>
        <v>1.3</v>
      </c>
      <c r="F9" s="4" t="n">
        <f aca="false">Assumptions!F29</f>
        <v>1.25</v>
      </c>
      <c r="G9" s="4" t="n">
        <f aca="false">Assumptions!G29</f>
        <v>1.25</v>
      </c>
      <c r="H9" s="4" t="n">
        <f aca="false">Assumptions!H29</f>
        <v>1.2</v>
      </c>
      <c r="I9" s="4" t="n">
        <f aca="false">Assumptions!I29</f>
        <v>1.2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-19.243575</v>
      </c>
      <c r="D10" s="0" t="n">
        <f aca="false">-D6*D9/100</f>
        <v>-20.3981895</v>
      </c>
      <c r="E10" s="0" t="n">
        <f aca="false">-E6*E9/100</f>
        <v>-21.62208087</v>
      </c>
      <c r="F10" s="0" t="n">
        <f aca="false">-F6*F9/100</f>
        <v>-21.933937805625</v>
      </c>
      <c r="G10" s="0" t="n">
        <f aca="false">-G6*G9/100</f>
        <v>-23.0306346959063</v>
      </c>
      <c r="H10" s="0" t="n">
        <f aca="false">-H6*H9/100</f>
        <v>-23.2148797734735</v>
      </c>
      <c r="I10" s="0" t="n">
        <f aca="false">-I6*I9/100</f>
        <v>-24.2595493632798</v>
      </c>
      <c r="J10" s="0" t="n">
        <f aca="false">-J6*J9/100</f>
        <v>-25.229931337811</v>
      </c>
      <c r="K10" s="0" t="n">
        <f aca="false">-K6*K9/100</f>
        <v>-26.1129789346344</v>
      </c>
      <c r="L10" s="0" t="n">
        <f aca="false">-L6*L9/100</f>
        <v>-26.8963683026734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864.4806</v>
      </c>
      <c r="D11" s="0" t="n">
        <f aca="false">D8+D10+D24</f>
        <v>919.487619</v>
      </c>
      <c r="E11" s="0" t="n">
        <f aca="false">E8+E10+E24</f>
        <v>979.64658711</v>
      </c>
      <c r="F11" s="0" t="n">
        <f aca="false">F8+F10+F24</f>
        <v>1037.91393696218</v>
      </c>
      <c r="G11" s="0" t="n">
        <f aca="false">G8+G10+G24</f>
        <v>1093.49453536163</v>
      </c>
      <c r="H11" s="0" t="n">
        <f aca="false">H8+H10+H24</f>
        <v>1153.00569541585</v>
      </c>
      <c r="I11" s="0" t="n">
        <f aca="false">I8+I10+I24</f>
        <v>1204.89095170956</v>
      </c>
      <c r="J11" s="0" t="n">
        <f aca="false">J8+J10+J24</f>
        <v>1253.08658977795</v>
      </c>
      <c r="K11" s="0" t="n">
        <f aca="false">K8+K10+K24</f>
        <v>1296.94462042017</v>
      </c>
      <c r="L11" s="0" t="n">
        <f aca="false">L8+L10+L24</f>
        <v>1335.85295903278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-71.0532</v>
      </c>
      <c r="D12" s="4" t="n">
        <f aca="false">-D6*Assumptions!D31/100</f>
        <v>-75.316392</v>
      </c>
      <c r="E12" s="4" t="n">
        <f aca="false">-E6*Assumptions!E31/100</f>
        <v>-79.83537552</v>
      </c>
      <c r="F12" s="4" t="n">
        <f aca="false">-F6*Assumptions!F31/100</f>
        <v>-84.2263211736</v>
      </c>
      <c r="G12" s="4" t="n">
        <f aca="false">-G6*Assumptions!G31/100</f>
        <v>-86.5951864566075</v>
      </c>
      <c r="H12" s="4" t="n">
        <f aca="false">-H6*Assumptions!H31/100</f>
        <v>-90.9249457794379</v>
      </c>
      <c r="I12" s="4" t="n">
        <f aca="false">-I6*Assumptions!I31/100</f>
        <v>-95.0165683395126</v>
      </c>
      <c r="J12" s="4" t="n">
        <f aca="false">-J6*Assumptions!J31/100</f>
        <v>-98.8172310730931</v>
      </c>
      <c r="K12" s="4" t="n">
        <f aca="false">-K6*Assumptions!K31/100</f>
        <v>-102.275834160651</v>
      </c>
      <c r="L12" s="4" t="n">
        <f aca="false">-L6*Assumptions!L31/100</f>
        <v>-105.344109185471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793.4274</v>
      </c>
      <c r="D13" s="0" t="n">
        <f aca="false">D11+D12</f>
        <v>844.171227</v>
      </c>
      <c r="E13" s="0" t="n">
        <f aca="false">E11+E12</f>
        <v>899.81121159</v>
      </c>
      <c r="F13" s="0" t="n">
        <f aca="false">F11+F12</f>
        <v>953.687615788575</v>
      </c>
      <c r="G13" s="0" t="n">
        <f aca="false">G11+G12</f>
        <v>1006.89934890502</v>
      </c>
      <c r="H13" s="0" t="n">
        <f aca="false">H11+H12</f>
        <v>1062.08074963641</v>
      </c>
      <c r="I13" s="0" t="n">
        <f aca="false">I11+I12</f>
        <v>1109.87438337005</v>
      </c>
      <c r="J13" s="0" t="n">
        <f aca="false">J11+J12</f>
        <v>1154.26935870485</v>
      </c>
      <c r="K13" s="0" t="n">
        <f aca="false">K11+K12</f>
        <v>1194.66878625952</v>
      </c>
      <c r="L13" s="0" t="n">
        <f aca="false">L11+L12</f>
        <v>1230.50884984731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658.544742</v>
      </c>
      <c r="D15" s="0" t="n">
        <f aca="false">D13-MAX(0,D13)*D14/100</f>
        <v>700.66211841</v>
      </c>
      <c r="E15" s="0" t="n">
        <f aca="false">E13-MAX(0,E13)*E14/100</f>
        <v>746.8433056197</v>
      </c>
      <c r="F15" s="0" t="n">
        <f aca="false">F13-MAX(0,F13)*F14/100</f>
        <v>791.560721104517</v>
      </c>
      <c r="G15" s="0" t="n">
        <f aca="false">G13-MAX(0,G13)*G14/100</f>
        <v>835.726459591168</v>
      </c>
      <c r="H15" s="0" t="n">
        <f aca="false">H13-MAX(0,H13)*H14/100</f>
        <v>881.527022198223</v>
      </c>
      <c r="I15" s="0" t="n">
        <f aca="false">I13-MAX(0,I13)*I14/100</f>
        <v>921.195738197143</v>
      </c>
      <c r="J15" s="0" t="n">
        <f aca="false">J13-MAX(0,J13)*J14/100</f>
        <v>958.043567725028</v>
      </c>
      <c r="K15" s="0" t="n">
        <f aca="false">K13-MAX(0,K13)*K14/100</f>
        <v>991.575092595404</v>
      </c>
      <c r="L15" s="0" t="n">
        <f aca="false">L13-MAX(0,L13)*L14/100</f>
        <v>1021.32234537327</v>
      </c>
    </row>
    <row r="16" customFormat="false" ht="15" hidden="false" customHeight="false" outlineLevel="0" collapsed="false">
      <c r="A16" s="0" t="s">
        <v>119</v>
      </c>
      <c r="C16" s="0" t="n">
        <f aca="false">-C12</f>
        <v>71.0532</v>
      </c>
      <c r="D16" s="0" t="n">
        <f aca="false">-D12</f>
        <v>75.316392</v>
      </c>
      <c r="E16" s="0" t="n">
        <f aca="false">-E12</f>
        <v>79.83537552</v>
      </c>
      <c r="F16" s="0" t="n">
        <f aca="false">-F12</f>
        <v>84.2263211736</v>
      </c>
      <c r="G16" s="0" t="n">
        <f aca="false">-G12</f>
        <v>86.5951864566075</v>
      </c>
      <c r="H16" s="0" t="n">
        <f aca="false">-H12</f>
        <v>90.9249457794379</v>
      </c>
      <c r="I16" s="0" t="n">
        <f aca="false">-I12</f>
        <v>95.0165683395126</v>
      </c>
      <c r="J16" s="0" t="n">
        <f aca="false">-J12</f>
        <v>98.8172310730931</v>
      </c>
      <c r="K16" s="0" t="n">
        <f aca="false">-K12</f>
        <v>102.275834160651</v>
      </c>
      <c r="L16" s="0" t="n">
        <f aca="false">-L12</f>
        <v>105.344109185471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-76.9743</v>
      </c>
      <c r="D17" s="4" t="n">
        <f aca="false">-D6*Assumptions!D32/100</f>
        <v>-81.592758</v>
      </c>
      <c r="E17" s="4" t="n">
        <f aca="false">-E6*Assumptions!E32/100</f>
        <v>-84.82508649</v>
      </c>
      <c r="F17" s="4" t="n">
        <f aca="false">-F6*Assumptions!F32/100</f>
        <v>-87.7357512225</v>
      </c>
      <c r="G17" s="4" t="n">
        <f aca="false">-G6*Assumptions!G32/100</f>
        <v>-92.122538783625</v>
      </c>
      <c r="H17" s="4" t="n">
        <f aca="false">-H6*Assumptions!H32/100</f>
        <v>-96.7286657228063</v>
      </c>
      <c r="I17" s="4" t="n">
        <f aca="false">-I6*Assumptions!I32/100</f>
        <v>-101.081455680333</v>
      </c>
      <c r="J17" s="4" t="n">
        <f aca="false">-J6*Assumptions!J32/100</f>
        <v>-105.124713907546</v>
      </c>
      <c r="K17" s="4" t="n">
        <f aca="false">-K6*Assumptions!K32/100</f>
        <v>-108.80407889431</v>
      </c>
      <c r="L17" s="4" t="n">
        <f aca="false">-L6*Assumptions!L32/100</f>
        <v>-112.068201261139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652.623642</v>
      </c>
      <c r="D19" s="0" t="n">
        <f aca="false">D15+D16+D17+D18</f>
        <v>694.38575241</v>
      </c>
      <c r="E19" s="0" t="n">
        <f aca="false">E15+E16+E17+E18</f>
        <v>741.8535946497</v>
      </c>
      <c r="F19" s="0" t="n">
        <f aca="false">F15+F16+F17+F18</f>
        <v>788.051291055617</v>
      </c>
      <c r="G19" s="0" t="n">
        <f aca="false">G15+G16+G17+G18</f>
        <v>830.19910726415</v>
      </c>
      <c r="H19" s="0" t="n">
        <f aca="false">H15+H16+H17+H18</f>
        <v>875.723302254854</v>
      </c>
      <c r="I19" s="0" t="n">
        <f aca="false">I15+I16+I17+I18</f>
        <v>915.130850856323</v>
      </c>
      <c r="J19" s="0" t="n">
        <f aca="false">J15+J16+J17+J18</f>
        <v>951.736084890576</v>
      </c>
      <c r="K19" s="0" t="n">
        <f aca="false">K15+K16+K17+K18</f>
        <v>985.046847861746</v>
      </c>
      <c r="L19" s="0" t="n">
        <f aca="false">L15+L16+L17+L18</f>
        <v>1014.5982532976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609.928637383178</v>
      </c>
      <c r="D21" s="0" t="n">
        <f aca="false">D19*D20</f>
        <v>606.503408516028</v>
      </c>
      <c r="E21" s="0" t="n">
        <f aca="false">E19*E20</f>
        <v>605.573514276397</v>
      </c>
      <c r="F21" s="0" t="n">
        <f aca="false">F19*F20</f>
        <v>601.200556794201</v>
      </c>
      <c r="G21" s="0" t="n">
        <f aca="false">G19*G20</f>
        <v>591.920489699019</v>
      </c>
      <c r="H21" s="0" t="n">
        <f aca="false">H19*H20</f>
        <v>583.53141267244</v>
      </c>
      <c r="I21" s="0" t="n">
        <f aca="false">I19*I20</f>
        <v>569.897501161401</v>
      </c>
      <c r="J21" s="0" t="n">
        <f aca="false">J19*J20</f>
        <v>553.919066549399</v>
      </c>
      <c r="K21" s="0" t="n">
        <f aca="false">K19*K20</f>
        <v>535.800218578157</v>
      </c>
      <c r="L21" s="0" t="n">
        <f aca="false">L19*L20</f>
        <v>515.770303864955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1.8</v>
      </c>
      <c r="D23" s="4" t="n">
        <f aca="false">Assumptions!D30</f>
        <v>1.8</v>
      </c>
      <c r="E23" s="4" t="n">
        <f aca="false">Assumptions!E30</f>
        <v>1.7</v>
      </c>
      <c r="F23" s="4" t="n">
        <f aca="false">Assumptions!F30</f>
        <v>1.7</v>
      </c>
      <c r="G23" s="4" t="n">
        <f aca="false">Assumptions!G30</f>
        <v>1.7</v>
      </c>
      <c r="H23" s="4" t="n">
        <f aca="false">Assumptions!H30</f>
        <v>1.7</v>
      </c>
      <c r="I23" s="4" t="n">
        <f aca="false">Assumptions!I30</f>
        <v>1.7</v>
      </c>
      <c r="J23" s="4" t="n">
        <f aca="false">Assumptions!J30</f>
        <v>1.7</v>
      </c>
      <c r="K23" s="4" t="n">
        <f aca="false">Assumptions!K30</f>
        <v>1.7</v>
      </c>
      <c r="L23" s="4" t="n">
        <f aca="false">Assumptions!L30</f>
        <v>1.7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-26.64495</v>
      </c>
      <c r="D24" s="0" t="n">
        <f aca="false">-D6*D23/100</f>
        <v>-28.243647</v>
      </c>
      <c r="E24" s="0" t="n">
        <f aca="false">-E6*E23/100</f>
        <v>-28.27502883</v>
      </c>
      <c r="F24" s="0" t="n">
        <f aca="false">-F6*F23/100</f>
        <v>-29.83015541565</v>
      </c>
      <c r="G24" s="0" t="n">
        <f aca="false">-G6*G23/100</f>
        <v>-31.3216631864325</v>
      </c>
      <c r="H24" s="0" t="n">
        <f aca="false">-H6*H23/100</f>
        <v>-32.8877463457541</v>
      </c>
      <c r="I24" s="0" t="n">
        <f aca="false">-I6*I23/100</f>
        <v>-34.3676949313131</v>
      </c>
      <c r="J24" s="0" t="n">
        <f aca="false">-J6*J23/100</f>
        <v>-35.7424027285656</v>
      </c>
      <c r="K24" s="0" t="n">
        <f aca="false">-K6*K23/100</f>
        <v>-36.9933868240654</v>
      </c>
      <c r="L24" s="0" t="n">
        <f aca="false">-L6*L23/100</f>
        <v>-38.1031884287874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5774.04510949517</v>
      </c>
    </row>
    <row r="31" customFormat="false" ht="15" hidden="false" customHeight="false" outlineLevel="0" collapsed="false">
      <c r="A31" s="0" t="s">
        <v>128</v>
      </c>
      <c r="B31" s="0" t="n">
        <f aca="false">L19</f>
        <v>1014.5982532976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23110.2935473342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20291.965065952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20291.965065952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10315.4060772991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16089.4511867943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17442.2511867943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16.222331832956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-0.218953691239481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159.742309926848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311.434856274448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16.6605546437831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8319.7056770403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6.89874039114765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11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7.5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1370.625</v>
      </c>
      <c r="C6" s="0" t="n">
        <f aca="false">B6*(1+C5/100)</f>
        <v>1521.39375</v>
      </c>
      <c r="D6" s="0" t="n">
        <f aca="false">C6*(1+D5/100)</f>
        <v>1658.3191875</v>
      </c>
      <c r="E6" s="0" t="n">
        <f aca="false">D6*(1+E5/100)</f>
        <v>1790.9847225</v>
      </c>
      <c r="F6" s="0" t="n">
        <f aca="false">E6*(1+F5/100)</f>
        <v>1925.3085766875</v>
      </c>
      <c r="G6" s="0" t="n">
        <f aca="false">F6*(1+G5/100)</f>
        <v>2060.08017705563</v>
      </c>
      <c r="H6" s="0" t="n">
        <f aca="false">G6*(1+H5/100)</f>
        <v>2193.98538856424</v>
      </c>
      <c r="I6" s="0" t="n">
        <f aca="false">H6*(1+I5/100)</f>
        <v>2325.6245118781</v>
      </c>
      <c r="J6" s="0" t="n">
        <f aca="false">I6*(1+J5/100)</f>
        <v>2441.905737472</v>
      </c>
      <c r="K6" s="0" t="n">
        <f aca="false">J6*(1+K5/100)</f>
        <v>2539.58196697088</v>
      </c>
      <c r="L6" s="0" t="n">
        <f aca="false">K6*(1+L5/100)</f>
        <v>2628.46733581486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62.5</v>
      </c>
      <c r="D7" s="4" t="n">
        <f aca="false">Assumptions!D42</f>
        <v>63</v>
      </c>
      <c r="E7" s="4" t="n">
        <f aca="false">Assumptions!E42</f>
        <v>63.5</v>
      </c>
      <c r="F7" s="4" t="n">
        <f aca="false">Assumptions!F42</f>
        <v>64</v>
      </c>
      <c r="G7" s="4" t="n">
        <f aca="false">Assumptions!G42</f>
        <v>64.5</v>
      </c>
      <c r="H7" s="4" t="n">
        <f aca="false">Assumptions!H42</f>
        <v>65</v>
      </c>
      <c r="I7" s="4" t="n">
        <f aca="false">Assumptions!I42</f>
        <v>65</v>
      </c>
      <c r="J7" s="4" t="n">
        <f aca="false">Assumptions!J42</f>
        <v>65</v>
      </c>
      <c r="K7" s="4" t="n">
        <f aca="false">Assumptions!K42</f>
        <v>65</v>
      </c>
      <c r="L7" s="4" t="n">
        <f aca="false">Assumptions!L42</f>
        <v>65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950.87109375</v>
      </c>
      <c r="D8" s="0" t="n">
        <f aca="false">D6*D7/100</f>
        <v>1044.741088125</v>
      </c>
      <c r="E8" s="0" t="n">
        <f aca="false">E6*E7/100</f>
        <v>1137.2752987875</v>
      </c>
      <c r="F8" s="0" t="n">
        <f aca="false">F6*F7/100</f>
        <v>1232.19748908</v>
      </c>
      <c r="G8" s="0" t="n">
        <f aca="false">G6*G7/100</f>
        <v>1328.75171420088</v>
      </c>
      <c r="H8" s="0" t="n">
        <f aca="false">H6*H7/100</f>
        <v>1426.09050256676</v>
      </c>
      <c r="I8" s="0" t="n">
        <f aca="false">I6*I7/100</f>
        <v>1511.65593272076</v>
      </c>
      <c r="J8" s="0" t="n">
        <f aca="false">J6*J7/100</f>
        <v>1587.2387293568</v>
      </c>
      <c r="K8" s="0" t="n">
        <f aca="false">K6*K7/100</f>
        <v>1650.72827853107</v>
      </c>
      <c r="L8" s="0" t="n">
        <f aca="false">L6*L7/100</f>
        <v>1708.50376827966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1.3</v>
      </c>
      <c r="D9" s="4" t="n">
        <f aca="false">Assumptions!D43</f>
        <v>1.3</v>
      </c>
      <c r="E9" s="4" t="n">
        <f aca="false">Assumptions!E43</f>
        <v>1.3</v>
      </c>
      <c r="F9" s="4" t="n">
        <f aca="false">Assumptions!F43</f>
        <v>1.25</v>
      </c>
      <c r="G9" s="4" t="n">
        <f aca="false">Assumptions!G43</f>
        <v>1.25</v>
      </c>
      <c r="H9" s="4" t="n">
        <f aca="false">Assumptions!H43</f>
        <v>1.2</v>
      </c>
      <c r="I9" s="4" t="n">
        <f aca="false">Assumptions!I43</f>
        <v>1.2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-19.77811875</v>
      </c>
      <c r="D10" s="0" t="n">
        <f aca="false">-D6*D9/100</f>
        <v>-21.5581494375</v>
      </c>
      <c r="E10" s="0" t="n">
        <f aca="false">-E6*E9/100</f>
        <v>-23.2828013925</v>
      </c>
      <c r="F10" s="0" t="n">
        <f aca="false">-F6*F9/100</f>
        <v>-24.0663572085938</v>
      </c>
      <c r="G10" s="0" t="n">
        <f aca="false">-G6*G9/100</f>
        <v>-25.7510022131953</v>
      </c>
      <c r="H10" s="0" t="n">
        <f aca="false">-H6*H9/100</f>
        <v>-26.3278246627709</v>
      </c>
      <c r="I10" s="0" t="n">
        <f aca="false">-I6*I9/100</f>
        <v>-27.9074941425371</v>
      </c>
      <c r="J10" s="0" t="n">
        <f aca="false">-J6*J9/100</f>
        <v>-29.302868849664</v>
      </c>
      <c r="K10" s="0" t="n">
        <f aca="false">-K6*K9/100</f>
        <v>-30.4749836036506</v>
      </c>
      <c r="L10" s="0" t="n">
        <f aca="false">-L6*L9/100</f>
        <v>-31.5416080297783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903.7078875</v>
      </c>
      <c r="D11" s="0" t="n">
        <f aca="false">D8+D10+D24</f>
        <v>994.9915125</v>
      </c>
      <c r="E11" s="0" t="n">
        <f aca="false">E8+E10+E24</f>
        <v>1085.336741835</v>
      </c>
      <c r="F11" s="0" t="n">
        <f aca="false">F8+F10+F24</f>
        <v>1177.32619464441</v>
      </c>
      <c r="G11" s="0" t="n">
        <f aca="false">G8+G10+G24</f>
        <v>1272.09950933185</v>
      </c>
      <c r="H11" s="0" t="n">
        <f aca="false">H8+H10+H24</f>
        <v>1366.85289707552</v>
      </c>
      <c r="I11" s="0" t="n">
        <f aca="false">I8+I10+I24</f>
        <v>1448.86407090005</v>
      </c>
      <c r="J11" s="0" t="n">
        <f aca="false">J8+J10+J24</f>
        <v>1521.30727444506</v>
      </c>
      <c r="K11" s="0" t="n">
        <f aca="false">K8+K10+K24</f>
        <v>1582.15956542286</v>
      </c>
      <c r="L11" s="0" t="n">
        <f aca="false">L8+L10+L24</f>
        <v>1637.53515021266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-73.0269</v>
      </c>
      <c r="D12" s="4" t="n">
        <f aca="false">-D6*Assumptions!D45/100</f>
        <v>-77.9410018125</v>
      </c>
      <c r="E12" s="4" t="n">
        <f aca="false">-E6*Assumptions!E45/100</f>
        <v>-82.385297235</v>
      </c>
      <c r="F12" s="4" t="n">
        <f aca="false">-F6*Assumptions!F45/100</f>
        <v>-86.6388859509375</v>
      </c>
      <c r="G12" s="4" t="n">
        <f aca="false">-G6*Assumptions!G45/100</f>
        <v>-92.7036079675032</v>
      </c>
      <c r="H12" s="4" t="n">
        <f aca="false">-H6*Assumptions!H45/100</f>
        <v>-98.7293424853908</v>
      </c>
      <c r="I12" s="4" t="n">
        <f aca="false">-I6*Assumptions!I45/100</f>
        <v>-104.653103034514</v>
      </c>
      <c r="J12" s="4" t="n">
        <f aca="false">-J6*Assumptions!J45/100</f>
        <v>-109.88575818624</v>
      </c>
      <c r="K12" s="4" t="n">
        <f aca="false">-K6*Assumptions!K45/100</f>
        <v>-114.28118851369</v>
      </c>
      <c r="L12" s="4" t="n">
        <f aca="false">-L6*Assumptions!L45/100</f>
        <v>-118.281030111669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830.6809875</v>
      </c>
      <c r="D13" s="0" t="n">
        <f aca="false">D11+D12</f>
        <v>917.0505106875</v>
      </c>
      <c r="E13" s="0" t="n">
        <f aca="false">E11+E12</f>
        <v>1002.9514446</v>
      </c>
      <c r="F13" s="0" t="n">
        <f aca="false">F11+F12</f>
        <v>1090.68730869347</v>
      </c>
      <c r="G13" s="0" t="n">
        <f aca="false">G11+G12</f>
        <v>1179.39590136435</v>
      </c>
      <c r="H13" s="0" t="n">
        <f aca="false">H11+H12</f>
        <v>1268.12355459013</v>
      </c>
      <c r="I13" s="0" t="n">
        <f aca="false">I11+I12</f>
        <v>1344.21096786554</v>
      </c>
      <c r="J13" s="0" t="n">
        <f aca="false">J11+J12</f>
        <v>1411.42151625882</v>
      </c>
      <c r="K13" s="0" t="n">
        <f aca="false">K11+K12</f>
        <v>1467.87837690917</v>
      </c>
      <c r="L13" s="0" t="n">
        <f aca="false">L11+L12</f>
        <v>1519.25412010099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689.465219625</v>
      </c>
      <c r="D15" s="0" t="n">
        <f aca="false">D13-MAX(0,D13)*D14/100</f>
        <v>761.151923870625</v>
      </c>
      <c r="E15" s="0" t="n">
        <f aca="false">E13-MAX(0,E13)*E14/100</f>
        <v>832.449699018</v>
      </c>
      <c r="F15" s="0" t="n">
        <f aca="false">F13-MAX(0,F13)*F14/100</f>
        <v>905.270466215579</v>
      </c>
      <c r="G15" s="0" t="n">
        <f aca="false">G13-MAX(0,G13)*G14/100</f>
        <v>978.898598132407</v>
      </c>
      <c r="H15" s="0" t="n">
        <f aca="false">H13-MAX(0,H13)*H14/100</f>
        <v>1052.54255030981</v>
      </c>
      <c r="I15" s="0" t="n">
        <f aca="false">I13-MAX(0,I13)*I14/100</f>
        <v>1115.6951033284</v>
      </c>
      <c r="J15" s="0" t="n">
        <f aca="false">J13-MAX(0,J13)*J14/100</f>
        <v>1171.47985849482</v>
      </c>
      <c r="K15" s="0" t="n">
        <f aca="false">K13-MAX(0,K13)*K14/100</f>
        <v>1218.33905283461</v>
      </c>
      <c r="L15" s="0" t="n">
        <f aca="false">L13-MAX(0,L13)*L14/100</f>
        <v>1260.98091968382</v>
      </c>
    </row>
    <row r="16" customFormat="false" ht="15" hidden="false" customHeight="false" outlineLevel="0" collapsed="false">
      <c r="A16" s="0" t="s">
        <v>119</v>
      </c>
      <c r="C16" s="0" t="n">
        <f aca="false">-C12</f>
        <v>73.0269</v>
      </c>
      <c r="D16" s="0" t="n">
        <f aca="false">-D12</f>
        <v>77.9410018125</v>
      </c>
      <c r="E16" s="0" t="n">
        <f aca="false">-E12</f>
        <v>82.385297235</v>
      </c>
      <c r="F16" s="0" t="n">
        <f aca="false">-F12</f>
        <v>86.6388859509375</v>
      </c>
      <c r="G16" s="0" t="n">
        <f aca="false">-G12</f>
        <v>92.7036079675032</v>
      </c>
      <c r="H16" s="0" t="n">
        <f aca="false">-H12</f>
        <v>98.7293424853908</v>
      </c>
      <c r="I16" s="0" t="n">
        <f aca="false">-I12</f>
        <v>104.653103034514</v>
      </c>
      <c r="J16" s="0" t="n">
        <f aca="false">-J12</f>
        <v>109.88575818624</v>
      </c>
      <c r="K16" s="0" t="n">
        <f aca="false">-K12</f>
        <v>114.28118851369</v>
      </c>
      <c r="L16" s="0" t="n">
        <f aca="false">-L12</f>
        <v>118.281030111669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-79.112475</v>
      </c>
      <c r="D17" s="4" t="n">
        <f aca="false">-D6*Assumptions!D46/100</f>
        <v>-82.915959375</v>
      </c>
      <c r="E17" s="4" t="n">
        <f aca="false">-E6*Assumptions!E46/100</f>
        <v>-87.7582514025</v>
      </c>
      <c r="F17" s="4" t="n">
        <f aca="false">-F6*Assumptions!F46/100</f>
        <v>-92.414811681</v>
      </c>
      <c r="G17" s="4" t="n">
        <f aca="false">-G6*Assumptions!G46/100</f>
        <v>-98.88384849867</v>
      </c>
      <c r="H17" s="4" t="n">
        <f aca="false">-H6*Assumptions!H46/100</f>
        <v>-105.311298651084</v>
      </c>
      <c r="I17" s="4" t="n">
        <f aca="false">-I6*Assumptions!I46/100</f>
        <v>-111.629976570149</v>
      </c>
      <c r="J17" s="4" t="n">
        <f aca="false">-J6*Assumptions!J46/100</f>
        <v>-117.211475398656</v>
      </c>
      <c r="K17" s="4" t="n">
        <f aca="false">-K6*Assumptions!K46/100</f>
        <v>-121.899934414602</v>
      </c>
      <c r="L17" s="4" t="n">
        <f aca="false">-L6*Assumptions!L46/100</f>
        <v>-126.166432119113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683.379644625</v>
      </c>
      <c r="D19" s="0" t="n">
        <f aca="false">D15+D16+D17+D18</f>
        <v>756.176966308125</v>
      </c>
      <c r="E19" s="0" t="n">
        <f aca="false">E15+E16+E17+E18</f>
        <v>827.0767448505</v>
      </c>
      <c r="F19" s="0" t="n">
        <f aca="false">F15+F16+F17+F18</f>
        <v>899.494540485517</v>
      </c>
      <c r="G19" s="0" t="n">
        <f aca="false">G15+G16+G17+G18</f>
        <v>972.71835760124</v>
      </c>
      <c r="H19" s="0" t="n">
        <f aca="false">H15+H16+H17+H18</f>
        <v>1045.96059414412</v>
      </c>
      <c r="I19" s="0" t="n">
        <f aca="false">I15+I16+I17+I18</f>
        <v>1108.71822979276</v>
      </c>
      <c r="J19" s="0" t="n">
        <f aca="false">J15+J16+J17+J18</f>
        <v>1164.1541412824</v>
      </c>
      <c r="K19" s="0" t="n">
        <f aca="false">K15+K16+K17+K18</f>
        <v>1210.7203069337</v>
      </c>
      <c r="L19" s="0" t="n">
        <f aca="false">L15+L16+L17+L18</f>
        <v>1253.09551767638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638.672565070094</v>
      </c>
      <c r="D21" s="0" t="n">
        <f aca="false">D19*D20</f>
        <v>660.474247801664</v>
      </c>
      <c r="E21" s="0" t="n">
        <f aca="false">E19*E20</f>
        <v>675.14099084726</v>
      </c>
      <c r="F21" s="0" t="n">
        <f aca="false">F19*F20</f>
        <v>686.22007819929</v>
      </c>
      <c r="G21" s="0" t="n">
        <f aca="false">G19*G20</f>
        <v>693.534745499737</v>
      </c>
      <c r="H21" s="0" t="n">
        <f aca="false">H19*H20</f>
        <v>696.967708326431</v>
      </c>
      <c r="I21" s="0" t="n">
        <f aca="false">I19*I20</f>
        <v>690.453991426184</v>
      </c>
      <c r="J21" s="0" t="n">
        <f aca="false">J19*J20</f>
        <v>677.548309343452</v>
      </c>
      <c r="K21" s="0" t="n">
        <f aca="false">K19*K20</f>
        <v>658.551627773074</v>
      </c>
      <c r="L21" s="0" t="n">
        <f aca="false">L19*L20</f>
        <v>637.010219387974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1.8</v>
      </c>
      <c r="D23" s="4" t="n">
        <f aca="false">Assumptions!D44</f>
        <v>1.7</v>
      </c>
      <c r="E23" s="4" t="n">
        <f aca="false">Assumptions!E44</f>
        <v>1.6</v>
      </c>
      <c r="F23" s="4" t="n">
        <f aca="false">Assumptions!F44</f>
        <v>1.6</v>
      </c>
      <c r="G23" s="4" t="n">
        <f aca="false">Assumptions!G44</f>
        <v>1.5</v>
      </c>
      <c r="H23" s="4" t="n">
        <f aca="false">Assumptions!H44</f>
        <v>1.5</v>
      </c>
      <c r="I23" s="4" t="n">
        <f aca="false">Assumptions!I44</f>
        <v>1.5</v>
      </c>
      <c r="J23" s="4" t="n">
        <f aca="false">Assumptions!J44</f>
        <v>1.5</v>
      </c>
      <c r="K23" s="4" t="n">
        <f aca="false">Assumptions!K44</f>
        <v>1.5</v>
      </c>
      <c r="L23" s="4" t="n">
        <f aca="false">Assumptions!L44</f>
        <v>1.5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-27.3850875</v>
      </c>
      <c r="D24" s="0" t="n">
        <f aca="false">-D6*D23/100</f>
        <v>-28.1914261875</v>
      </c>
      <c r="E24" s="0" t="n">
        <f aca="false">-E6*E23/100</f>
        <v>-28.65575556</v>
      </c>
      <c r="F24" s="0" t="n">
        <f aca="false">-F6*F23/100</f>
        <v>-30.804937227</v>
      </c>
      <c r="G24" s="0" t="n">
        <f aca="false">-G6*G23/100</f>
        <v>-30.9012026558344</v>
      </c>
      <c r="H24" s="0" t="n">
        <f aca="false">-H6*H23/100</f>
        <v>-32.9097808284636</v>
      </c>
      <c r="I24" s="0" t="n">
        <f aca="false">-I6*I23/100</f>
        <v>-34.8843676781714</v>
      </c>
      <c r="J24" s="0" t="n">
        <f aca="false">-J6*J23/100</f>
        <v>-36.62858606208</v>
      </c>
      <c r="K24" s="0" t="n">
        <f aca="false">-K6*K23/100</f>
        <v>-38.0937295045632</v>
      </c>
      <c r="L24" s="0" t="n">
        <f aca="false">-L6*L23/100</f>
        <v>-39.4270100372229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6714.57448367516</v>
      </c>
    </row>
    <row r="31" customFormat="false" ht="15" hidden="false" customHeight="false" outlineLevel="0" collapsed="false">
      <c r="A31" s="0" t="s">
        <v>128</v>
      </c>
      <c r="B31" s="0" t="n">
        <f aca="false">L19</f>
        <v>1253.09551767638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32267.2095801667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25061.9103535275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25061.9103535275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12740.2043877595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19454.7788714346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20807.5788714346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19.3522868967956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-0.0682577324604911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177.627652945732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412.87946845426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19.901493668931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10755.7365267222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8.01959790366565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12.0716670110037</v>
      </c>
      <c r="C4" s="0" t="n">
        <f aca="false">B4/Assumptions!$B$2-1</f>
        <v>-0.418793114540025</v>
      </c>
      <c r="D4" s="4" t="n">
        <f aca="false">Assumptions!$B$24</f>
        <v>0.2</v>
      </c>
      <c r="E4" s="4" t="n">
        <f aca="false">DCF_Bear!$B$43</f>
        <v>12.4190793250218</v>
      </c>
      <c r="F4" s="4" t="n">
        <f aca="false">DCF_Bear!$B$47</f>
        <v>5.43613449273496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16.222331832956</v>
      </c>
      <c r="C5" s="0" t="n">
        <f aca="false">B5/Assumptions!$B$2-1</f>
        <v>-0.218953691239481</v>
      </c>
      <c r="D5" s="4" t="n">
        <f aca="false">Assumptions!$B$38</f>
        <v>0.55</v>
      </c>
      <c r="E5" s="4" t="n">
        <f aca="false">DCF_Base!$B$43</f>
        <v>16.6605546437831</v>
      </c>
      <c r="F5" s="4" t="n">
        <f aca="false">DCF_Base!$B$47</f>
        <v>6.89874039114765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19.3522868967956</v>
      </c>
      <c r="C6" s="0" t="n">
        <f aca="false">B6/Assumptions!$B$2-1</f>
        <v>-0.0682577324604911</v>
      </c>
      <c r="D6" s="4" t="n">
        <f aca="false">Assumptions!$B$52</f>
        <v>0.25</v>
      </c>
      <c r="E6" s="4" t="n">
        <f aca="false">DCF_Bull!$B$43</f>
        <v>19.901493668931</v>
      </c>
      <c r="F6" s="4" t="n">
        <f aca="false">DCF_Bull!$B$47</f>
        <v>8.01959790366565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16.1746876345254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16.6224943363178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-0.284105169095552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1026.18213329134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6.88643358959461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16.222331832956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12.4140199113612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10.8760516419162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9.70224741877553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8.77747251242305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6.89874039114765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18.7938977193727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18.7938977193727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18.7938977193727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18.7938977193727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18.7938977193727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17.4456460656874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17.4456460656874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17.4456460656874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17.4456460656874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17.4456460656874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15.4809817952713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16.222331832956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16.222331832956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16.222331832956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16.222331832956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13.194612702041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13.799809264476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14.5150415655356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15.1110684830852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15.1110684830852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11.522785897192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11.9365731180563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12.4140199113612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12.971041170217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13.629339021592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2026-10-24T07:13:46Z</dcterms:created>
  <dc:creator>openpyxl</dc:creator>
  <dc:description/>
  <dc:language>en-NZ</dc:language>
  <cp:lastModifiedBy/>
  <dcterms:modified xsi:type="dcterms:W3CDTF">2026-10-24T07:13:46Z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