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<sst xmlns="http://schemas.openxmlformats.org/spreadsheetml/2006/main" count="390" uniqueCount="175">
  <si>
    <t xml:space="preserve">Ticker</t>
  </si>
  <si>
    <t xml:space="preserve">T</t>
  </si>
  <si>
    <t xml:space="preserve">Company</t>
  </si>
  <si>
    <t xml:space="preserve">AT&amp;T Inc.</t>
  </si>
  <si>
    <t xml:space="preserve">Valuation date</t>
  </si>
  <si>
    <t xml:space="preserve">2026-10-02</t>
  </si>
  <si>
    <t xml:space="preserve">Current price</t>
  </si>
  <si>
    <t xml:space="preserve">Price as of</t>
  </si>
  <si>
    <t xml:space="preserve">2026-10-01T20:03:15Z regular close (Yahoo Finance chart API)</t>
  </si>
  <si>
    <t xml:space="preserve">Balance sheet date</t>
  </si>
  <si>
    <t xml:space="preserve">2026-06-30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</si>
  <si>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</si>
  <si>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</si>
  <si>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</si>
  <si>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</si>
  <si>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</si>
  <si>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</si>
  <si>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</si>
  <si>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</si>
  <si>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</si>
  <si>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</si>
  <si>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2026-10-02T09:24:14Z</t>
  </si>
  <si>
    <t xml:space="preserve">Drivers file</t>
  </si>
  <si>
    <t xml:space="preserve">T_Drivers.json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</si>
  <si>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</si>
  <si>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</si>
  <si>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</si>
  <si>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Owner-FCF DCF on an unlevered basis at a 7% USD WACC, with every cost an owner actually bears charged once: SBC in the flows, vendor-financing payments inside capital investment, a normalised spectrum charge for the purchases AT&amp;T's own FCF definition leaves out, the EchoStar cash in the bridge, preferred-like NCI and postemployment obligations deducted at book. The ~$18B 'FCF' headline is levered and excludes spectrum; it is not the owner's cash.
key_risks_to_valuation: Terminal value is capped at 12-15x terminal FCF; at a 7% WACC Gordon would be ~20x, so the cap is doing real work and the value is sensitive to it.; Spectrum normalisation (1-2.5pp of revenue) is judgment; each 1pp of revenue is ~$1.3B/yr, roughly $2.5-3/share.; Equity is ~half of EV; each 1% change in EV moves equity value ~2%.; Cash-tax ramp: if 100% bonus depreciation persists and capex stays above D&amp;A, the 22% terminal cash rate is conservative.; Debt figure: Metrics.csv TotalDebt double-counts the current portion; this build uses XBRL book debt (~$134.6B) - using the CSV figure would understate value by ~$1.35/share.</t>
  </si>
  <si>
    <t xml:space="preserve">Data sources</t>
  </si>
  <si>
    <t xml:space="preserve">price: Yahoo Finance chart API at inputs.price_as_of; 52-week range 19.89-29.44
financials: research/T/Reports/T_Metrics.csv (SEC XBRL); SEC companyfacts CIK 0000732717 for MinorityInterest, LongTermDebt/DebtCurrent, DebtInstrumentCarryingAmount, InterestCostsIncurred, IncomeTaxesPaidNet, D&amp;A, diluted shares, buybacks
qualitative: research/T/Reports/T_Analysis.json (2026-10-02): FY2026 guidance, EchoStar close 2026-07-28, Lumen fiber close Feb-2026, copper retirement</t>
  </si>
  <si>
    <t xml:space="preserve">Scenario narrative: bear</t>
  </si>
  <si>
    <t xml:space="preserve">Wireless reverts to a promotional share fight (T-Mobile momentum, Verizon-Frontier convergence, Boost riding AT&amp;T's own network as a hybrid MNO), legacy Business Wireline goes EBITDA-negative after 2027 as management itself warned and copper retirement is slowed by state carrier-of-last-resort disputes, and Starlink direct-to-cell plus fixed wireless erode rural fiber returns. Revenue grows ~1%, margin stalls near 36%, and capex never comes down because spectrum (an expensive upper C-band auction) and capacity spend replace fiber spend. Leverage near 3x keeps the refinancing bill high but solvency is not in question.</t>
  </si>
  <si>
    <t xml:space="preserve">Scenario narrative: base</t>
  </si>
  <si>
    <t xml:space="preserve">Management's multi-year framework roughly delivered: low-single-digit service revenue growth, adjusted EBITDA +3.5% in 2026 accelerating to ~5% by 2028 as legacy copper is decommissioned and fiber penetration scales toward 60M passings, then a plateau at a 38.5% margin. Capital investment stays at ~$23-24B through the build, then network capex fades while a recurring spectrum charge (~1.5% of revenue) replaces the EchoStar-type lumps. Cash taxes rise from the OBBBA-depressed ~3% to a normal 22%. Wireless share holds near the improved Q2-26 run-rate (432K postpaid phone adds, 0.86% churn) without T-Mobile or Verizon starting a price war.</t>
  </si>
  <si>
    <t xml:space="preserve">Scenario narrative: bull</t>
  </si>
  <si>
    <t xml:space="preserve">Convergence proves a structural margin lever: 42-45% bundle attach compounds as fiber reaches 60M+ passings, churn stays sub-0.9%, EchoStar spectrum lets AT&amp;T take share at lower incremental capex, and the Business Wireline copper drag disappears faster than guided once California-style carrier-of-last-resort obligations fall away. Revenue grows ~3.5% mid-decade, EBITDA margin reaches 40%, network capex settles near 14.5% with JV partners (Gigapower, Forged Fiber 37) carrying part of the build, and spectrum needs stay modest.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</si>
  <si>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</si>
  <si>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</si>
  <si>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</si>
  <si>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</si>
  <si>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</si>
  <si>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</si>
  <si>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</si>
  <si>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</si>
  <si>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</si>
  <si>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</si>
  <si>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</si>
  <si>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</si>
  <si>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</si>
  <si>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</si>
  <si>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</si>
  <si>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</si>
  <si>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</si>
  <si>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</si>
  <si>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</si>
  <si>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</si>
  <si>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</si>
  <si>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</si>
  <si>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</si>
  <si>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</si>
  <si>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</si>
  <si>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</si>
  <si>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</si>
  <si>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FY2006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</si>
  <si>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</si>
  <si>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</si>
  <si>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</si>
  <si>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</si>
  <si>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</si>
  <si>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</si>
  <si>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</si>
  <si>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</si>
  <si>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</si>
  <si>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</si>
  <si>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</si>
  <si>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</si>
  <si>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</si>
  <si>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</si>
  <si>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</si>
  <si>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</si>
  <si>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</si>
  <si>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</si>
  <si>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</si>
  <si>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</si>
  <si>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</si>
  <si>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</si>
  <si>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</si>
  <si>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</si>
  <si>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</si>
  <si>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</si>
  <si>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</si>
  <si>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</si>
  <si>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</si>
  <si>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</si>
  <si>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</si>
  <si>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</si>
  <si>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FY2026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</si>
  <si>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</si>
  <si>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</si>
  <si>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</si>
  <si>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</si>
  <si>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</si>
  <si>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</si>
  <si>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</si>
  <si>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</si>
  <si>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</si>
  <si>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</si>
  <si>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</si>
  <si>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</si>
  <si>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</si>
  <si>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</si>
  <si>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</si>
  <si>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</si>
  <si>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</si>
  <si>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</si>
  <si>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</si>
  <si>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</si>
  <si>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</si>
  <si>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</si>
  <si>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</si>
  <si>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T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</si>
  <si>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</si>
  <si>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</si>
  <si>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</si>
  <si>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</si>
  <si>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</si>
  <si>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</si>
  <si>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</si>
  <si>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</si>
  <si>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</si>
  <si>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</si>
  <si>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</si>
  <si>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</si>
  <si>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</si>
  <si>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</si>
  <si>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</si>
  <si>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</si>
  <si>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</si>
  <si>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</si>
  <si>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</si>
  <si>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</si>
  <si>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</si>
  <si>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</si>
  <si>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</si>
  <si>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</si>
  <si>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</si>
  <si>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</si>
  <si>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</si>
  <si>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</si>
  <si>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</si>
  <si>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</si>
  <si>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T owner-FCF component DCF: base case (millions, USD)</t>
  </si>
  <si>
    <t xml:space="preserve">T owner-FCF component DCF: bull case (millions, USD)</t>
  </si>
  <si>
    <t xml:space="preserve">T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</si>
  <si>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</si>
  <si>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</si>
  <si>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</si>
  <si>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</si>
  <si>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</si>
  <si>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</si>
  <si>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</si>
  <si>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</si>
  <si>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</si>
  <si>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</si>
  <si>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</si>
  <si>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</si>
  <si>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</si>
  <si>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</si>
  <si>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7%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</si>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</sst>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24.3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115926</v>
      </c>
      <c r="S2" s="0" t="n">
        <v>2418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118928</v>
      </c>
      <c r="C3" s="0" t="n">
        <v>46801</v>
      </c>
      <c r="F3" s="0" t="n">
        <v>20404</v>
      </c>
      <c r="G3" s="0" t="n">
        <v>17.1565989506256</v>
      </c>
      <c r="H3" s="0" t="n">
        <v>41981</v>
      </c>
      <c r="I3" s="0" t="n">
        <v>12147</v>
      </c>
      <c r="J3" s="0" t="n">
        <v>10.213742768734</v>
      </c>
      <c r="K3" s="0" t="n">
        <v>1.95</v>
      </c>
      <c r="L3" s="0" t="n">
        <v>34242</v>
      </c>
      <c r="M3" s="0" t="n">
        <v>17717</v>
      </c>
      <c r="N3" s="0" t="n">
        <v>16525</v>
      </c>
      <c r="O3" s="0" t="n">
        <v>115256</v>
      </c>
      <c r="S3" s="0" t="n">
        <v>1905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123443</v>
      </c>
      <c r="C4" s="0" t="n">
        <v>56688</v>
      </c>
      <c r="F4" s="0" t="n">
        <v>-1690</v>
      </c>
      <c r="G4" s="0" t="n">
        <v>-1.36905292321152</v>
      </c>
      <c r="H4" s="0" t="n">
        <v>17983</v>
      </c>
      <c r="I4" s="0" t="n">
        <v>13128</v>
      </c>
      <c r="J4" s="0" t="n">
        <v>10.6348679147461</v>
      </c>
      <c r="K4" s="0" t="n">
        <v>2.17</v>
      </c>
      <c r="L4" s="0" t="n">
        <v>33610</v>
      </c>
      <c r="M4" s="0" t="n">
        <v>19631</v>
      </c>
      <c r="N4" s="0" t="n">
        <v>13979</v>
      </c>
      <c r="O4" s="0" t="n">
        <v>96364</v>
      </c>
      <c r="P4" s="0" t="n">
        <v>265245</v>
      </c>
      <c r="R4" s="0" t="n">
        <v>74991</v>
      </c>
      <c r="S4" s="0" t="n">
        <v>1727</v>
      </c>
      <c r="T4" s="0" t="n">
        <v>5958</v>
      </c>
      <c r="V4" s="0" t="n">
        <v>1.61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122513</v>
      </c>
      <c r="C5" s="0" t="n">
        <v>50639</v>
      </c>
      <c r="F5" s="0" t="n">
        <v>21000</v>
      </c>
      <c r="G5" s="0" t="n">
        <v>17.1410380939166</v>
      </c>
      <c r="H5" s="0" t="n">
        <v>40515</v>
      </c>
      <c r="I5" s="0" t="n">
        <v>12447</v>
      </c>
      <c r="J5" s="0" t="n">
        <v>10.1597381502371</v>
      </c>
      <c r="K5" s="0" t="n">
        <v>2.06</v>
      </c>
      <c r="L5" s="0" t="n">
        <v>34405</v>
      </c>
      <c r="M5" s="0" t="n">
        <v>16554</v>
      </c>
      <c r="N5" s="0" t="n">
        <v>17851</v>
      </c>
      <c r="O5" s="0" t="n">
        <v>101989</v>
      </c>
      <c r="P5" s="0" t="n">
        <v>268312</v>
      </c>
      <c r="R5" s="0" t="n">
        <v>79409</v>
      </c>
      <c r="S5" s="0" t="n">
        <v>3277</v>
      </c>
      <c r="T5" s="0" t="n">
        <v>5924</v>
      </c>
      <c r="V5" s="0" t="n">
        <v>1.65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124280</v>
      </c>
      <c r="C6" s="0" t="n">
        <v>50257</v>
      </c>
      <c r="F6" s="0" t="n">
        <v>19573</v>
      </c>
      <c r="G6" s="0" t="n">
        <v>15.7491149018346</v>
      </c>
      <c r="H6" s="0" t="n">
        <v>38952</v>
      </c>
      <c r="I6" s="0" t="n">
        <v>20179</v>
      </c>
      <c r="J6" s="0" t="n">
        <v>16.2367235275185</v>
      </c>
      <c r="K6" s="0" t="n">
        <v>3.36</v>
      </c>
      <c r="L6" s="0" t="n">
        <v>35222</v>
      </c>
      <c r="M6" s="0" t="n">
        <v>19530</v>
      </c>
      <c r="N6" s="0" t="n">
        <v>15692</v>
      </c>
      <c r="O6" s="0" t="n">
        <v>111950</v>
      </c>
      <c r="P6" s="0" t="n">
        <v>269391</v>
      </c>
      <c r="R6" s="0" t="n">
        <v>71711</v>
      </c>
      <c r="S6" s="0" t="n">
        <v>1201</v>
      </c>
      <c r="T6" s="0" t="n">
        <v>5938</v>
      </c>
      <c r="U6" s="0" t="n">
        <v>513</v>
      </c>
      <c r="V6" s="0" t="n">
        <v>1.69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126723</v>
      </c>
      <c r="C7" s="0" t="n">
        <v>54904</v>
      </c>
      <c r="F7" s="0" t="n">
        <v>9218</v>
      </c>
      <c r="G7" s="0" t="n">
        <v>7.2741333459593</v>
      </c>
      <c r="H7" s="0" t="n">
        <v>27595</v>
      </c>
      <c r="I7" s="0" t="n">
        <v>4184</v>
      </c>
      <c r="J7" s="0" t="n">
        <v>3.30168951176977</v>
      </c>
      <c r="K7" s="0" t="n">
        <v>0.66</v>
      </c>
      <c r="L7" s="0" t="n">
        <v>34743</v>
      </c>
      <c r="M7" s="0" t="n">
        <v>20110</v>
      </c>
      <c r="N7" s="0" t="n">
        <v>14633</v>
      </c>
      <c r="O7" s="0" t="n">
        <v>105797</v>
      </c>
      <c r="P7" s="0" t="n">
        <v>270442</v>
      </c>
      <c r="R7" s="0" t="n">
        <v>64753</v>
      </c>
      <c r="S7" s="0" t="n">
        <v>3045</v>
      </c>
      <c r="T7" s="0" t="n">
        <v>5950</v>
      </c>
      <c r="U7" s="0" t="n">
        <v>489</v>
      </c>
      <c r="V7" s="0" t="n">
        <v>1.73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127434</v>
      </c>
      <c r="C8" s="0" t="n">
        <v>55228</v>
      </c>
      <c r="F8" s="0" t="n">
        <v>12997</v>
      </c>
      <c r="G8" s="0" t="n">
        <v>10.1990049751244</v>
      </c>
      <c r="H8" s="0" t="n">
        <v>31140</v>
      </c>
      <c r="I8" s="0" t="n">
        <v>7539</v>
      </c>
      <c r="J8" s="0" t="n">
        <v>5.9160035783229</v>
      </c>
      <c r="K8" s="0" t="n">
        <v>1.25</v>
      </c>
      <c r="L8" s="0" t="n">
        <v>39176</v>
      </c>
      <c r="M8" s="0" t="n">
        <v>19465</v>
      </c>
      <c r="N8" s="0" t="n">
        <v>19711</v>
      </c>
      <c r="O8" s="0" t="n">
        <v>95653</v>
      </c>
      <c r="P8" s="0" t="n">
        <v>272315</v>
      </c>
      <c r="R8" s="0" t="n">
        <v>69844</v>
      </c>
      <c r="S8" s="0" t="n">
        <v>4868</v>
      </c>
      <c r="T8" s="0" t="n">
        <v>5821</v>
      </c>
      <c r="U8" s="0" t="n">
        <v>511</v>
      </c>
      <c r="V8" s="0" t="n">
        <v>1.77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128752</v>
      </c>
      <c r="C9" s="0" t="n">
        <v>51464</v>
      </c>
      <c r="F9" s="0" t="n">
        <v>30752</v>
      </c>
      <c r="G9" s="0" t="n">
        <v>23.8846775195725</v>
      </c>
      <c r="H9" s="0" t="n">
        <v>49147</v>
      </c>
      <c r="I9" s="0" t="n">
        <v>18722</v>
      </c>
      <c r="J9" s="0" t="n">
        <v>14.541133341618</v>
      </c>
      <c r="K9" s="0" t="n">
        <v>3.42</v>
      </c>
      <c r="L9" s="0" t="n">
        <v>34796</v>
      </c>
      <c r="M9" s="0" t="n">
        <v>20944</v>
      </c>
      <c r="N9" s="0" t="n">
        <v>13852</v>
      </c>
      <c r="O9" s="0" t="n">
        <v>94610</v>
      </c>
      <c r="P9" s="0" t="n">
        <v>277787</v>
      </c>
      <c r="Q9" s="0" t="n">
        <v>186813</v>
      </c>
      <c r="R9" s="0" t="n">
        <v>74788</v>
      </c>
      <c r="S9" s="0" t="n">
        <v>3339</v>
      </c>
      <c r="T9" s="0" t="n">
        <v>5385</v>
      </c>
      <c r="U9" s="0" t="n">
        <v>458</v>
      </c>
      <c r="V9" s="0" t="n">
        <v>1.81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132447</v>
      </c>
      <c r="C10" s="0" t="n">
        <v>60611</v>
      </c>
      <c r="F10" s="0" t="n">
        <v>12212</v>
      </c>
      <c r="G10" s="0" t="n">
        <v>9.22029189034104</v>
      </c>
      <c r="H10" s="0" t="n">
        <v>30485</v>
      </c>
      <c r="I10" s="0" t="n">
        <v>6736</v>
      </c>
      <c r="J10" s="0" t="n">
        <v>5.08580790806889</v>
      </c>
      <c r="K10" s="0" t="n">
        <v>1.24</v>
      </c>
      <c r="L10" s="0" t="n">
        <v>31338</v>
      </c>
      <c r="M10" s="0" t="n">
        <v>21199</v>
      </c>
      <c r="N10" s="0" t="n">
        <v>10139</v>
      </c>
      <c r="O10" s="0" t="n">
        <v>90270</v>
      </c>
      <c r="P10" s="0" t="n">
        <v>296834</v>
      </c>
      <c r="Q10" s="0" t="n">
        <v>206564</v>
      </c>
      <c r="R10" s="0" t="n">
        <v>81834</v>
      </c>
      <c r="S10" s="0" t="n">
        <v>8603</v>
      </c>
      <c r="T10" s="0" t="n">
        <v>5221</v>
      </c>
      <c r="U10" s="0" t="n">
        <v>318</v>
      </c>
      <c r="V10" s="0" t="n">
        <v>1.81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146801</v>
      </c>
      <c r="F11" s="0" t="n">
        <v>24785</v>
      </c>
      <c r="G11" s="0" t="n">
        <v>16.8833999768394</v>
      </c>
      <c r="H11" s="0" t="n">
        <v>46801</v>
      </c>
      <c r="I11" s="0" t="n">
        <v>13687</v>
      </c>
      <c r="J11" s="0" t="n">
        <v>9.32350597066778</v>
      </c>
      <c r="K11" s="0" t="n">
        <v>2.37</v>
      </c>
      <c r="L11" s="0" t="n">
        <v>35880</v>
      </c>
      <c r="M11" s="0" t="n">
        <v>19218</v>
      </c>
      <c r="N11" s="0" t="n">
        <v>16662</v>
      </c>
      <c r="O11" s="0" t="n">
        <v>123640</v>
      </c>
      <c r="P11" s="0" t="n">
        <v>402672</v>
      </c>
      <c r="Q11" s="0" t="n">
        <v>279032</v>
      </c>
      <c r="R11" s="0" t="n">
        <v>126151</v>
      </c>
      <c r="S11" s="0" t="n">
        <v>5121</v>
      </c>
      <c r="T11" s="0" t="n">
        <v>5646</v>
      </c>
      <c r="U11" s="0" t="n">
        <v>451</v>
      </c>
      <c r="V11" s="0" t="n">
        <v>1.89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163786</v>
      </c>
      <c r="F12" s="0" t="n">
        <v>23543</v>
      </c>
      <c r="G12" s="0" t="n">
        <v>14.3742444409168</v>
      </c>
      <c r="H12" s="0" t="n">
        <v>49390</v>
      </c>
      <c r="I12" s="0" t="n">
        <v>13333</v>
      </c>
      <c r="J12" s="0" t="n">
        <v>8.14050040907037</v>
      </c>
      <c r="K12" s="0" t="n">
        <v>2.1</v>
      </c>
      <c r="L12" s="0" t="n">
        <v>38442</v>
      </c>
      <c r="M12" s="0" t="n">
        <v>21516</v>
      </c>
      <c r="N12" s="0" t="n">
        <v>16926</v>
      </c>
      <c r="O12" s="0" t="n">
        <v>124110</v>
      </c>
      <c r="P12" s="0" t="n">
        <v>403821</v>
      </c>
      <c r="R12" s="0" t="n">
        <v>123513</v>
      </c>
      <c r="S12" s="0" t="n">
        <v>5788</v>
      </c>
      <c r="T12" s="0" t="n">
        <v>6189</v>
      </c>
      <c r="U12" s="0" t="n">
        <v>653</v>
      </c>
      <c r="V12" s="0" t="n">
        <v>1.93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160546</v>
      </c>
      <c r="F13" s="0" t="n">
        <v>19970</v>
      </c>
      <c r="G13" s="0" t="n">
        <v>12.4388025861747</v>
      </c>
      <c r="H13" s="0" t="n">
        <v>44357</v>
      </c>
      <c r="I13" s="0" t="n">
        <v>29847</v>
      </c>
      <c r="J13" s="0" t="n">
        <v>18.5909334396372</v>
      </c>
      <c r="K13" s="0" t="n">
        <v>4.77</v>
      </c>
      <c r="L13" s="0" t="n">
        <v>38010</v>
      </c>
      <c r="M13" s="0" t="n">
        <v>20647</v>
      </c>
      <c r="N13" s="0" t="n">
        <v>17363</v>
      </c>
      <c r="O13" s="0" t="n">
        <v>142007</v>
      </c>
      <c r="P13" s="0" t="n">
        <v>444097</v>
      </c>
      <c r="R13" s="0" t="n">
        <v>164346</v>
      </c>
      <c r="S13" s="0" t="n">
        <v>50498</v>
      </c>
      <c r="T13" s="0" t="n">
        <v>6183</v>
      </c>
      <c r="U13" s="0" t="n">
        <v>480</v>
      </c>
      <c r="V13" s="0" t="n">
        <v>1.97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170756</v>
      </c>
      <c r="F14" s="0" t="n">
        <v>26096</v>
      </c>
      <c r="G14" s="0" t="n">
        <v>15.2826255007145</v>
      </c>
      <c r="H14" s="0" t="n">
        <v>54526</v>
      </c>
      <c r="I14" s="0" t="n">
        <v>19953</v>
      </c>
      <c r="J14" s="0" t="n">
        <v>11.6850945208368</v>
      </c>
      <c r="K14" s="0" t="n">
        <v>2.85</v>
      </c>
      <c r="L14" s="0" t="n">
        <v>43602</v>
      </c>
      <c r="M14" s="0" t="n">
        <v>21251</v>
      </c>
      <c r="N14" s="0" t="n">
        <v>22351</v>
      </c>
      <c r="O14" s="0" t="n">
        <v>193884</v>
      </c>
      <c r="P14" s="0" t="n">
        <v>531864</v>
      </c>
      <c r="R14" s="0" t="n">
        <v>176505</v>
      </c>
      <c r="S14" s="0" t="n">
        <v>5204</v>
      </c>
      <c r="T14" s="0" t="n">
        <v>6806</v>
      </c>
      <c r="U14" s="0" t="n">
        <v>463</v>
      </c>
      <c r="V14" s="0" t="n">
        <v>2.01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181193</v>
      </c>
      <c r="F15" s="0" t="n">
        <v>27955</v>
      </c>
      <c r="G15" s="0" t="n">
        <v>15.428300210273</v>
      </c>
      <c r="H15" s="0" t="n">
        <v>56172</v>
      </c>
      <c r="I15" s="0" t="n">
        <v>14975</v>
      </c>
      <c r="J15" s="0" t="n">
        <v>8.26466806112819</v>
      </c>
      <c r="K15" s="0" t="n">
        <v>1.9</v>
      </c>
      <c r="L15" s="0" t="n">
        <v>48668</v>
      </c>
      <c r="M15" s="0" t="n">
        <v>19635</v>
      </c>
      <c r="N15" s="0" t="n">
        <v>29033</v>
      </c>
      <c r="O15" s="0" t="n">
        <v>201934</v>
      </c>
      <c r="P15" s="0" t="n">
        <v>551669</v>
      </c>
      <c r="R15" s="0" t="n">
        <v>172947</v>
      </c>
      <c r="S15" s="0" t="n">
        <v>9702</v>
      </c>
      <c r="T15" s="0" t="n">
        <v>7348</v>
      </c>
      <c r="U15" s="0" t="n">
        <v>819</v>
      </c>
      <c r="V15" s="0" t="n">
        <v>2.05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143050</v>
      </c>
      <c r="F16" s="0" t="n">
        <v>8372</v>
      </c>
      <c r="G16" s="0" t="n">
        <v>5.85249912617966</v>
      </c>
      <c r="H16" s="0" t="n">
        <v>30895</v>
      </c>
      <c r="I16" s="0" t="n">
        <v>-5176</v>
      </c>
      <c r="J16" s="0" t="n">
        <v>-3.61831527437959</v>
      </c>
      <c r="K16" s="0" t="n">
        <v>-0.75</v>
      </c>
      <c r="L16" s="0" t="n">
        <v>43130</v>
      </c>
      <c r="M16" s="0" t="n">
        <v>14690</v>
      </c>
      <c r="N16" s="0" t="n">
        <v>28440</v>
      </c>
      <c r="O16" s="0" t="n">
        <v>179240</v>
      </c>
      <c r="P16" s="0" t="n">
        <v>525761</v>
      </c>
      <c r="R16" s="0" t="n">
        <v>158679</v>
      </c>
      <c r="S16" s="0" t="n">
        <v>7924</v>
      </c>
      <c r="T16" s="0" t="n">
        <v>7466</v>
      </c>
      <c r="U16" s="0" t="n">
        <v>422</v>
      </c>
      <c r="V16" s="0" t="n">
        <v>2.08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134038</v>
      </c>
      <c r="F17" s="0" t="n">
        <v>25897</v>
      </c>
      <c r="G17" s="0" t="n">
        <v>19.3206404154046</v>
      </c>
      <c r="H17" s="0" t="n">
        <v>43749</v>
      </c>
      <c r="I17" s="0" t="n">
        <v>21479</v>
      </c>
      <c r="J17" s="0" t="n">
        <v>16.0245601993465</v>
      </c>
      <c r="K17" s="0" t="n">
        <v>2.77</v>
      </c>
      <c r="L17" s="0" t="n">
        <v>41957</v>
      </c>
      <c r="M17" s="0" t="n">
        <v>15545</v>
      </c>
      <c r="N17" s="0" t="n">
        <v>26412</v>
      </c>
      <c r="O17" s="0" t="n">
        <v>183855</v>
      </c>
      <c r="P17" s="0" t="n">
        <v>551622</v>
      </c>
      <c r="R17" s="0" t="n">
        <v>192096</v>
      </c>
      <c r="S17" s="0" t="n">
        <v>19223</v>
      </c>
      <c r="T17" s="0" t="n">
        <v>7503</v>
      </c>
      <c r="U17" s="0" t="n">
        <v>447</v>
      </c>
      <c r="V17" s="0" t="n">
        <v>2.08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120741</v>
      </c>
      <c r="F18" s="0" t="n">
        <v>-4587</v>
      </c>
      <c r="G18" s="0" t="n">
        <v>-3.79904092230477</v>
      </c>
      <c r="H18" s="0" t="n">
        <v>13434</v>
      </c>
      <c r="I18" s="0" t="n">
        <v>-8524</v>
      </c>
      <c r="J18" s="0" t="n">
        <v>-7.05973944227727</v>
      </c>
      <c r="K18" s="0" t="n">
        <v>-1.13</v>
      </c>
      <c r="M18" s="0" t="n">
        <v>19626</v>
      </c>
      <c r="O18" s="0" t="n">
        <v>106457</v>
      </c>
      <c r="P18" s="0" t="n">
        <v>402853</v>
      </c>
      <c r="R18" s="0" t="n">
        <v>140674</v>
      </c>
      <c r="S18" s="0" t="n">
        <v>3701</v>
      </c>
      <c r="T18" s="0" t="n">
        <v>7587</v>
      </c>
      <c r="U18" s="0" t="n">
        <v>518</v>
      </c>
      <c r="V18" s="0" t="n">
        <v>1.11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122428</v>
      </c>
      <c r="F19" s="0" t="n">
        <v>23461</v>
      </c>
      <c r="G19" s="0" t="n">
        <v>19.1630999444572</v>
      </c>
      <c r="H19" s="0" t="n">
        <v>42238</v>
      </c>
      <c r="I19" s="0" t="n">
        <v>15623</v>
      </c>
      <c r="J19" s="0" t="n">
        <v>12.7609697128108</v>
      </c>
      <c r="K19" s="0" t="n">
        <v>1.97</v>
      </c>
      <c r="L19" s="0" t="n">
        <v>38314</v>
      </c>
      <c r="M19" s="0" t="n">
        <v>17853</v>
      </c>
      <c r="N19" s="0" t="n">
        <v>20461</v>
      </c>
      <c r="O19" s="0" t="n">
        <v>117442</v>
      </c>
      <c r="P19" s="0" t="n">
        <v>407060</v>
      </c>
      <c r="R19" s="0" t="n">
        <v>142879</v>
      </c>
      <c r="S19" s="0" t="n">
        <v>6722</v>
      </c>
      <c r="T19" s="0" t="n">
        <v>7258</v>
      </c>
      <c r="U19" s="0" t="n">
        <v>479</v>
      </c>
      <c r="V19" s="0" t="n">
        <v>1.11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122336</v>
      </c>
      <c r="F20" s="0" t="n">
        <v>19049</v>
      </c>
      <c r="G20" s="0" t="n">
        <v>15.5710502223385</v>
      </c>
      <c r="H20" s="0" t="n">
        <v>39629</v>
      </c>
      <c r="I20" s="0" t="n">
        <v>12253</v>
      </c>
      <c r="J20" s="0" t="n">
        <v>10.015857964949</v>
      </c>
      <c r="K20" s="0" t="n">
        <v>1.49</v>
      </c>
      <c r="L20" s="0" t="n">
        <v>38771</v>
      </c>
      <c r="M20" s="0" t="n">
        <v>20263</v>
      </c>
      <c r="N20" s="0" t="n">
        <v>18508</v>
      </c>
      <c r="O20" s="0" t="n">
        <v>118245</v>
      </c>
      <c r="P20" s="0" t="n">
        <v>394795</v>
      </c>
      <c r="R20" s="0" t="n">
        <v>127205</v>
      </c>
      <c r="S20" s="0" t="n">
        <v>3298</v>
      </c>
      <c r="T20" s="0" t="n">
        <v>7204</v>
      </c>
      <c r="U20" s="0" t="n">
        <v>505</v>
      </c>
      <c r="V20" s="0" t="n">
        <v>1.11</v>
      </c>
      <c r="AA20" s="0" t="s">
        <v>17</v>
      </c>
      <c r="AB20" s="0" t="s">
        <v>14</v>
      </c>
    </row>
    <row r="21" customFormat="false" ht="15" hidden="false" customHeight="false" outlineLevel="0" collapsed="false">
      <c r="A21" s="0" t="s">
        <v>82</v>
      </c>
      <c r="B21" s="0" t="n">
        <v>125648</v>
      </c>
      <c r="F21" s="0" t="n">
        <v>24162</v>
      </c>
      <c r="G21" s="0" t="n">
        <v>19.2299121354896</v>
      </c>
      <c r="H21" s="0" t="n">
        <v>45048</v>
      </c>
      <c r="I21" s="0" t="n">
        <v>23386</v>
      </c>
      <c r="J21" s="0" t="n">
        <v>18.61231376544</v>
      </c>
      <c r="K21" s="0" t="n">
        <v>3.04</v>
      </c>
      <c r="L21" s="0" t="n">
        <v>40284</v>
      </c>
      <c r="M21" s="0" t="n">
        <v>20842</v>
      </c>
      <c r="N21" s="0" t="n">
        <v>19442</v>
      </c>
      <c r="O21" s="0" t="n">
        <v>126491</v>
      </c>
      <c r="P21" s="0" t="n">
        <v>420198</v>
      </c>
      <c r="R21" s="0" t="n">
        <v>143729</v>
      </c>
      <c r="S21" s="0" t="n">
        <v>18234</v>
      </c>
      <c r="T21" s="0" t="n">
        <v>7179</v>
      </c>
      <c r="U21" s="0" t="n">
        <v>536</v>
      </c>
      <c r="V21" s="0" t="n">
        <v>1.11</v>
      </c>
      <c r="AA21" s="0" t="s">
        <v>17</v>
      </c>
      <c r="AB21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83</v>
      </c>
      <c r="B1" s="2" t="s">
        <v>84</v>
      </c>
    </row>
    <row r="2" customFormat="false" ht="15" hidden="false" customHeight="false" outlineLevel="0" collapsed="false">
      <c r="A2" s="0" t="s">
        <v>85</v>
      </c>
      <c r="B2" s="3" t="n">
        <v>24.3</v>
      </c>
    </row>
    <row r="3" customFormat="false" ht="15" hidden="false" customHeight="false" outlineLevel="0" collapsed="false">
      <c r="A3" s="0" t="s">
        <v>86</v>
      </c>
      <c r="B3" s="3" t="n">
        <v>6946</v>
      </c>
    </row>
    <row r="4" customFormat="false" ht="15" hidden="false" customHeight="false" outlineLevel="0" collapsed="false">
      <c r="A4" s="0" t="s">
        <v>87</v>
      </c>
      <c r="B4" s="3" t="n">
        <v>117061</v>
      </c>
    </row>
    <row r="5" customFormat="false" ht="15" hidden="false" customHeight="false" outlineLevel="0" collapsed="false">
      <c r="A5" s="0" t="s">
        <v>88</v>
      </c>
      <c r="B5" s="3" t="n">
        <v>-45626</v>
      </c>
    </row>
    <row r="6" customFormat="false" ht="15" hidden="false" customHeight="false" outlineLevel="0" collapsed="false">
      <c r="A6" s="0" t="s">
        <v>89</v>
      </c>
      <c r="B6" s="3" t="n">
        <v>15</v>
      </c>
    </row>
    <row r="7" customFormat="false" ht="15" hidden="false" customHeight="false" outlineLevel="0" collapsed="false">
      <c r="A7" s="0" t="s">
        <v>90</v>
      </c>
      <c r="B7" s="3" t="n">
        <v>125648</v>
      </c>
    </row>
    <row r="8" customFormat="false" ht="15" hidden="false" customHeight="false" outlineLevel="0" collapsed="false">
      <c r="A8" s="0" t="s">
        <v>91</v>
      </c>
      <c r="B8" s="3" t="s">
        <v>82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1.5</v>
      </c>
      <c r="D13" s="3" t="n">
        <v>1</v>
      </c>
      <c r="E13" s="3" t="n">
        <v>1</v>
      </c>
      <c r="F13" s="3" t="n">
        <v>1</v>
      </c>
      <c r="G13" s="3" t="n">
        <v>1</v>
      </c>
      <c r="H13" s="3" t="n">
        <v>1</v>
      </c>
      <c r="I13" s="3" t="n">
        <v>1</v>
      </c>
      <c r="J13" s="3" t="n">
        <v>1</v>
      </c>
      <c r="K13" s="3" t="n">
        <v>1</v>
      </c>
      <c r="L13" s="3" t="n">
        <v>1</v>
      </c>
    </row>
    <row r="14" customFormat="false" ht="15" hidden="false" customHeight="false" outlineLevel="0" collapsed="false">
      <c r="A14" s="0" t="s">
        <v>107</v>
      </c>
      <c r="C14" s="3" t="n">
        <v>35.8</v>
      </c>
      <c r="D14" s="3" t="n">
        <v>36</v>
      </c>
      <c r="E14" s="3" t="n">
        <v>36.2</v>
      </c>
      <c r="F14" s="3" t="n">
        <v>36.3</v>
      </c>
      <c r="G14" s="3" t="n">
        <v>36.3</v>
      </c>
      <c r="H14" s="3" t="n">
        <v>36.3</v>
      </c>
      <c r="I14" s="3" t="n">
        <v>36.3</v>
      </c>
      <c r="J14" s="3" t="n">
        <v>36.3</v>
      </c>
      <c r="K14" s="3" t="n">
        <v>36.3</v>
      </c>
      <c r="L14" s="3" t="n">
        <v>36.3</v>
      </c>
    </row>
    <row r="15" customFormat="false" ht="15" hidden="false" customHeight="false" outlineLevel="0" collapsed="false">
      <c r="A15" s="0" t="s">
        <v>108</v>
      </c>
      <c r="C15" s="3" t="n">
        <v>0.43</v>
      </c>
      <c r="D15" s="3" t="n">
        <v>0.43</v>
      </c>
      <c r="E15" s="3" t="n">
        <v>0.43</v>
      </c>
      <c r="F15" s="3" t="n">
        <v>0.43</v>
      </c>
      <c r="G15" s="3" t="n">
        <v>0.43</v>
      </c>
      <c r="H15" s="3" t="n">
        <v>0.43</v>
      </c>
      <c r="I15" s="3" t="n">
        <v>0.43</v>
      </c>
      <c r="J15" s="3" t="n">
        <v>0.43</v>
      </c>
      <c r="K15" s="3" t="n">
        <v>0.43</v>
      </c>
      <c r="L15" s="3" t="n">
        <v>0.43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15.7</v>
      </c>
      <c r="D17" s="3" t="n">
        <v>15.8</v>
      </c>
      <c r="E17" s="3" t="n">
        <v>16</v>
      </c>
      <c r="F17" s="3" t="n">
        <v>16</v>
      </c>
      <c r="G17" s="3" t="n">
        <v>16</v>
      </c>
      <c r="H17" s="3" t="n">
        <v>15.9</v>
      </c>
      <c r="I17" s="3" t="n">
        <v>15.7</v>
      </c>
      <c r="J17" s="3" t="n">
        <v>15.5</v>
      </c>
      <c r="K17" s="3" t="n">
        <v>15.3</v>
      </c>
      <c r="L17" s="3" t="n">
        <v>15.2</v>
      </c>
    </row>
    <row r="18" customFormat="false" ht="15" hidden="false" customHeight="false" outlineLevel="0" collapsed="false">
      <c r="A18" s="0" t="s">
        <v>111</v>
      </c>
      <c r="C18" s="3" t="n">
        <v>18.2</v>
      </c>
      <c r="D18" s="3" t="n">
        <v>18.2</v>
      </c>
      <c r="E18" s="3" t="n">
        <v>18</v>
      </c>
      <c r="F18" s="3" t="n">
        <v>18</v>
      </c>
      <c r="G18" s="3" t="n">
        <v>18</v>
      </c>
      <c r="H18" s="3" t="n">
        <v>17.5</v>
      </c>
      <c r="I18" s="3" t="n">
        <v>17.5</v>
      </c>
      <c r="J18" s="3" t="n">
        <v>17.5</v>
      </c>
      <c r="K18" s="3" t="n">
        <v>17.5</v>
      </c>
      <c r="L18" s="3" t="n">
        <v>17.5</v>
      </c>
    </row>
    <row r="19" customFormat="false" ht="15" hidden="false" customHeight="false" outlineLevel="0" collapsed="false">
      <c r="A19" s="0" t="s">
        <v>112</v>
      </c>
      <c r="C19" s="3" t="n">
        <v>3</v>
      </c>
      <c r="D19" s="3" t="n">
        <v>6</v>
      </c>
      <c r="E19" s="3" t="n">
        <v>10</v>
      </c>
      <c r="F19" s="3" t="n">
        <v>14</v>
      </c>
      <c r="G19" s="3" t="n">
        <v>17</v>
      </c>
      <c r="H19" s="3" t="n">
        <v>19</v>
      </c>
      <c r="I19" s="3" t="n">
        <v>21</v>
      </c>
      <c r="J19" s="3" t="n">
        <v>22</v>
      </c>
      <c r="K19" s="3" t="n">
        <v>22</v>
      </c>
      <c r="L19" s="3" t="n">
        <v>22</v>
      </c>
    </row>
    <row r="20" customFormat="false" ht="15" hidden="false" customHeight="false" outlineLevel="0" collapsed="false">
      <c r="A20" s="0" t="s">
        <v>113</v>
      </c>
      <c r="B20" s="3" t="n">
        <v>7</v>
      </c>
    </row>
    <row r="21" customFormat="false" ht="15" hidden="false" customHeight="false" outlineLevel="0" collapsed="false">
      <c r="A21" s="0" t="s">
        <v>114</v>
      </c>
      <c r="B21" s="3" t="n">
        <v>1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0</v>
      </c>
    </row>
    <row r="24" customFormat="false" ht="15" hidden="false" customHeight="false" outlineLevel="0" collapsed="false">
      <c r="A24" s="0" t="s">
        <v>117</v>
      </c>
      <c r="B24" s="3" t="n">
        <v>0.2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2.5</v>
      </c>
      <c r="D27" s="3" t="n">
        <v>2.5</v>
      </c>
      <c r="E27" s="3" t="n">
        <v>2.5</v>
      </c>
      <c r="F27" s="3" t="n">
        <v>2.5</v>
      </c>
      <c r="G27" s="3" t="n">
        <v>2.25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107</v>
      </c>
      <c r="C28" s="3" t="n">
        <v>36.2</v>
      </c>
      <c r="D28" s="3" t="n">
        <v>36.9</v>
      </c>
      <c r="E28" s="3" t="n">
        <v>37.6</v>
      </c>
      <c r="F28" s="3" t="n">
        <v>38</v>
      </c>
      <c r="G28" s="3" t="n">
        <v>38.3</v>
      </c>
      <c r="H28" s="3" t="n">
        <v>38.5</v>
      </c>
      <c r="I28" s="3" t="n">
        <v>38.5</v>
      </c>
      <c r="J28" s="3" t="n">
        <v>38.5</v>
      </c>
      <c r="K28" s="3" t="n">
        <v>38.5</v>
      </c>
      <c r="L28" s="3" t="n">
        <v>38.5</v>
      </c>
    </row>
    <row r="29" customFormat="false" ht="15" hidden="false" customHeight="false" outlineLevel="0" collapsed="false">
      <c r="A29" s="0" t="s">
        <v>108</v>
      </c>
      <c r="C29" s="3" t="n">
        <v>0.43</v>
      </c>
      <c r="D29" s="3" t="n">
        <v>0.43</v>
      </c>
      <c r="E29" s="3" t="n">
        <v>0.43</v>
      </c>
      <c r="F29" s="3" t="n">
        <v>0.43</v>
      </c>
      <c r="G29" s="3" t="n">
        <v>0.43</v>
      </c>
      <c r="H29" s="3" t="n">
        <v>0.43</v>
      </c>
      <c r="I29" s="3" t="n">
        <v>0.43</v>
      </c>
      <c r="J29" s="3" t="n">
        <v>0.43</v>
      </c>
      <c r="K29" s="3" t="n">
        <v>0.43</v>
      </c>
      <c r="L29" s="3" t="n">
        <v>0.43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15.7</v>
      </c>
      <c r="D31" s="3" t="n">
        <v>15.8</v>
      </c>
      <c r="E31" s="3" t="n">
        <v>16</v>
      </c>
      <c r="F31" s="3" t="n">
        <v>16</v>
      </c>
      <c r="G31" s="3" t="n">
        <v>16</v>
      </c>
      <c r="H31" s="3" t="n">
        <v>15.9</v>
      </c>
      <c r="I31" s="3" t="n">
        <v>15.7</v>
      </c>
      <c r="J31" s="3" t="n">
        <v>15.5</v>
      </c>
      <c r="K31" s="3" t="n">
        <v>15.3</v>
      </c>
      <c r="L31" s="3" t="n">
        <v>15.2</v>
      </c>
    </row>
    <row r="32" customFormat="false" ht="15" hidden="false" customHeight="false" outlineLevel="0" collapsed="false">
      <c r="A32" s="0" t="s">
        <v>111</v>
      </c>
      <c r="C32" s="3" t="n">
        <v>18</v>
      </c>
      <c r="D32" s="3" t="n">
        <v>18</v>
      </c>
      <c r="E32" s="3" t="n">
        <v>17.8</v>
      </c>
      <c r="F32" s="3" t="n">
        <v>17.5</v>
      </c>
      <c r="G32" s="3" t="n">
        <v>17.5</v>
      </c>
      <c r="H32" s="3" t="n">
        <v>17</v>
      </c>
      <c r="I32" s="3" t="n">
        <v>16.5</v>
      </c>
      <c r="J32" s="3" t="n">
        <v>16.5</v>
      </c>
      <c r="K32" s="3" t="n">
        <v>16.5</v>
      </c>
      <c r="L32" s="3" t="n">
        <v>16.5</v>
      </c>
    </row>
    <row r="33" customFormat="false" ht="15" hidden="false" customHeight="false" outlineLevel="0" collapsed="false">
      <c r="A33" s="0" t="s">
        <v>112</v>
      </c>
      <c r="C33" s="3" t="n">
        <v>3</v>
      </c>
      <c r="D33" s="3" t="n">
        <v>6</v>
      </c>
      <c r="E33" s="3" t="n">
        <v>10</v>
      </c>
      <c r="F33" s="3" t="n">
        <v>14</v>
      </c>
      <c r="G33" s="3" t="n">
        <v>17</v>
      </c>
      <c r="H33" s="3" t="n">
        <v>19</v>
      </c>
      <c r="I33" s="3" t="n">
        <v>21</v>
      </c>
      <c r="J33" s="3" t="n">
        <v>22</v>
      </c>
      <c r="K33" s="3" t="n">
        <v>22</v>
      </c>
      <c r="L33" s="3" t="n">
        <v>22</v>
      </c>
    </row>
    <row r="34" customFormat="false" ht="15" hidden="false" customHeight="false" outlineLevel="0" collapsed="false">
      <c r="A34" s="0" t="s">
        <v>113</v>
      </c>
      <c r="B34" s="3" t="n">
        <v>7</v>
      </c>
    </row>
    <row r="35" customFormat="false" ht="15" hidden="false" customHeight="false" outlineLevel="0" collapsed="false">
      <c r="A35" s="0" t="s">
        <v>114</v>
      </c>
      <c r="B35" s="3" t="n">
        <v>2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0</v>
      </c>
    </row>
    <row r="38" customFormat="false" ht="15" hidden="false" customHeight="false" outlineLevel="0" collapsed="false">
      <c r="A38" s="0" t="s">
        <v>117</v>
      </c>
      <c r="B38" s="3" t="n">
        <v>0.55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3</v>
      </c>
      <c r="D41" s="3" t="n">
        <v>3.5</v>
      </c>
      <c r="E41" s="3" t="n">
        <v>3.5</v>
      </c>
      <c r="F41" s="3" t="n">
        <v>3.5</v>
      </c>
      <c r="G41" s="3" t="n">
        <v>3</v>
      </c>
      <c r="H41" s="3" t="n">
        <v>3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107</v>
      </c>
      <c r="C42" s="3" t="n">
        <v>36.4</v>
      </c>
      <c r="D42" s="3" t="n">
        <v>37.3</v>
      </c>
      <c r="E42" s="3" t="n">
        <v>38.3</v>
      </c>
      <c r="F42" s="3" t="n">
        <v>39</v>
      </c>
      <c r="G42" s="3" t="n">
        <v>39.5</v>
      </c>
      <c r="H42" s="3" t="n">
        <v>40</v>
      </c>
      <c r="I42" s="3" t="n">
        <v>40</v>
      </c>
      <c r="J42" s="3" t="n">
        <v>40</v>
      </c>
      <c r="K42" s="3" t="n">
        <v>40</v>
      </c>
      <c r="L42" s="3" t="n">
        <v>40</v>
      </c>
    </row>
    <row r="43" customFormat="false" ht="15" hidden="false" customHeight="false" outlineLevel="0" collapsed="false">
      <c r="A43" s="0" t="s">
        <v>108</v>
      </c>
      <c r="C43" s="3" t="n">
        <v>0.43</v>
      </c>
      <c r="D43" s="3" t="n">
        <v>0.43</v>
      </c>
      <c r="E43" s="3" t="n">
        <v>0.43</v>
      </c>
      <c r="F43" s="3" t="n">
        <v>0.43</v>
      </c>
      <c r="G43" s="3" t="n">
        <v>0.43</v>
      </c>
      <c r="H43" s="3" t="n">
        <v>0.43</v>
      </c>
      <c r="I43" s="3" t="n">
        <v>0.43</v>
      </c>
      <c r="J43" s="3" t="n">
        <v>0.43</v>
      </c>
      <c r="K43" s="3" t="n">
        <v>0.43</v>
      </c>
      <c r="L43" s="3" t="n">
        <v>0.43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15.7</v>
      </c>
      <c r="D45" s="3" t="n">
        <v>15.8</v>
      </c>
      <c r="E45" s="3" t="n">
        <v>16</v>
      </c>
      <c r="F45" s="3" t="n">
        <v>16</v>
      </c>
      <c r="G45" s="3" t="n">
        <v>16</v>
      </c>
      <c r="H45" s="3" t="n">
        <v>15.9</v>
      </c>
      <c r="I45" s="3" t="n">
        <v>15.7</v>
      </c>
      <c r="J45" s="3" t="n">
        <v>15.5</v>
      </c>
      <c r="K45" s="3" t="n">
        <v>15.3</v>
      </c>
      <c r="L45" s="3" t="n">
        <v>15.2</v>
      </c>
    </row>
    <row r="46" customFormat="false" ht="15" hidden="false" customHeight="false" outlineLevel="0" collapsed="false">
      <c r="A46" s="0" t="s">
        <v>111</v>
      </c>
      <c r="C46" s="3" t="n">
        <v>18</v>
      </c>
      <c r="D46" s="3" t="n">
        <v>17.8</v>
      </c>
      <c r="E46" s="3" t="n">
        <v>17.5</v>
      </c>
      <c r="F46" s="3" t="n">
        <v>17</v>
      </c>
      <c r="G46" s="3" t="n">
        <v>16.5</v>
      </c>
      <c r="H46" s="3" t="n">
        <v>16</v>
      </c>
      <c r="I46" s="3" t="n">
        <v>15.5</v>
      </c>
      <c r="J46" s="3" t="n">
        <v>15.5</v>
      </c>
      <c r="K46" s="3" t="n">
        <v>15.5</v>
      </c>
      <c r="L46" s="3" t="n">
        <v>15.5</v>
      </c>
    </row>
    <row r="47" customFormat="false" ht="15" hidden="false" customHeight="false" outlineLevel="0" collapsed="false">
      <c r="A47" s="0" t="s">
        <v>112</v>
      </c>
      <c r="C47" s="3" t="n">
        <v>3</v>
      </c>
      <c r="D47" s="3" t="n">
        <v>6</v>
      </c>
      <c r="E47" s="3" t="n">
        <v>10</v>
      </c>
      <c r="F47" s="3" t="n">
        <v>14</v>
      </c>
      <c r="G47" s="3" t="n">
        <v>17</v>
      </c>
      <c r="H47" s="3" t="n">
        <v>19</v>
      </c>
      <c r="I47" s="3" t="n">
        <v>21</v>
      </c>
      <c r="J47" s="3" t="n">
        <v>22</v>
      </c>
      <c r="K47" s="3" t="n">
        <v>22</v>
      </c>
      <c r="L47" s="3" t="n">
        <v>22</v>
      </c>
    </row>
    <row r="48" customFormat="false" ht="15" hidden="false" customHeight="false" outlineLevel="0" collapsed="false">
      <c r="A48" s="0" t="s">
        <v>113</v>
      </c>
      <c r="B48" s="3" t="n">
        <v>7</v>
      </c>
    </row>
    <row r="49" customFormat="false" ht="15" hidden="false" customHeight="false" outlineLevel="0" collapsed="false">
      <c r="A49" s="0" t="s">
        <v>114</v>
      </c>
      <c r="B49" s="3" t="n">
        <v>2.5</v>
      </c>
    </row>
    <row r="50" customFormat="false" ht="15" hidden="false" customHeight="false" outlineLevel="0" collapsed="false">
      <c r="A50" s="0" t="s">
        <v>115</v>
      </c>
      <c r="B50" s="3" t="n">
        <v>15</v>
      </c>
    </row>
    <row r="51" customFormat="false" ht="15" hidden="false" customHeight="false" outlineLevel="0" collapsed="false">
      <c r="A51" s="0" t="s">
        <v>116</v>
      </c>
      <c r="B51" s="3" t="n">
        <v>0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</v>
      </c>
      <c r="H5" s="4" t="n">
        <f aca="false">Assumptions!H13</f>
        <v>1</v>
      </c>
      <c r="I5" s="4" t="n">
        <f aca="false">Assumptions!I13</f>
        <v>1</v>
      </c>
      <c r="J5" s="4" t="n">
        <f aca="false">Assumptions!J13</f>
        <v>1</v>
      </c>
      <c r="K5" s="4" t="n">
        <f aca="false">Assumptions!K13</f>
        <v>1</v>
      </c>
      <c r="L5" s="4" t="n">
        <f aca="false">Assumptions!L13</f>
        <v>1</v>
      </c>
    </row>
    <row r="6" customFormat="false" ht="15" hidden="false" customHeight="false" outlineLevel="0" collapsed="false">
      <c r="A6" s="0" t="s">
        <v>37</v>
      </c>
      <c r="B6" s="3" t="n">
        <v>125648</v>
      </c>
      <c r="C6" s="0" t="n">
        <f aca="false">B6*(1+C5/100)</f>
        <v>127532.72</v>
      </c>
      <c r="D6" s="0" t="n">
        <f aca="false">C6*(1+D5/100)</f>
        <v>128808.0472</v>
      </c>
      <c r="E6" s="0" t="n">
        <f aca="false">D6*(1+E5/100)</f>
        <v>130096.127672</v>
      </c>
      <c r="F6" s="0" t="n">
        <f aca="false">E6*(1+F5/100)</f>
        <v>131397.08894872</v>
      </c>
      <c r="G6" s="0" t="n">
        <f aca="false">F6*(1+G5/100)</f>
        <v>132711.059838207</v>
      </c>
      <c r="H6" s="0" t="n">
        <f aca="false">G6*(1+H5/100)</f>
        <v>134038.170436589</v>
      </c>
      <c r="I6" s="0" t="n">
        <f aca="false">H6*(1+I5/100)</f>
        <v>135378.552140955</v>
      </c>
      <c r="J6" s="0" t="n">
        <f aca="false">I6*(1+J5/100)</f>
        <v>136732.337662365</v>
      </c>
      <c r="K6" s="0" t="n">
        <f aca="false">J6*(1+K5/100)</f>
        <v>138099.661038988</v>
      </c>
      <c r="L6" s="0" t="n">
        <f aca="false">K6*(1+L5/100)</f>
        <v>139480.657649378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35.8</v>
      </c>
      <c r="D7" s="4" t="n">
        <f aca="false">Assumptions!D14</f>
        <v>36</v>
      </c>
      <c r="E7" s="4" t="n">
        <f aca="false">Assumptions!E14</f>
        <v>36.2</v>
      </c>
      <c r="F7" s="4" t="n">
        <f aca="false">Assumptions!F14</f>
        <v>36.3</v>
      </c>
      <c r="G7" s="4" t="n">
        <f aca="false">Assumptions!G14</f>
        <v>36.3</v>
      </c>
      <c r="H7" s="4" t="n">
        <f aca="false">Assumptions!H14</f>
        <v>36.3</v>
      </c>
      <c r="I7" s="4" t="n">
        <f aca="false">Assumptions!I14</f>
        <v>36.3</v>
      </c>
      <c r="J7" s="4" t="n">
        <f aca="false">Assumptions!J14</f>
        <v>36.3</v>
      </c>
      <c r="K7" s="4" t="n">
        <f aca="false">Assumptions!K14</f>
        <v>36.3</v>
      </c>
      <c r="L7" s="4" t="n">
        <f aca="false">Assumptions!L14</f>
        <v>36.3</v>
      </c>
    </row>
    <row r="8" customFormat="false" ht="15" hidden="false" customHeight="false" outlineLevel="0" collapsed="false">
      <c r="A8" s="0" t="s">
        <v>43</v>
      </c>
      <c r="C8" s="0" t="n">
        <f aca="false">C6*C7/100</f>
        <v>45656.71376</v>
      </c>
      <c r="D8" s="0" t="n">
        <f aca="false">D6*D7/100</f>
        <v>46370.896992</v>
      </c>
      <c r="E8" s="0" t="n">
        <f aca="false">E6*E7/100</f>
        <v>47094.798217264</v>
      </c>
      <c r="F8" s="0" t="n">
        <f aca="false">F6*F7/100</f>
        <v>47697.1432883854</v>
      </c>
      <c r="G8" s="0" t="n">
        <f aca="false">G6*G7/100</f>
        <v>48174.1147212692</v>
      </c>
      <c r="H8" s="0" t="n">
        <f aca="false">H6*H7/100</f>
        <v>48655.8558684819</v>
      </c>
      <c r="I8" s="0" t="n">
        <f aca="false">I6*I7/100</f>
        <v>49142.4144271667</v>
      </c>
      <c r="J8" s="0" t="n">
        <f aca="false">J6*J7/100</f>
        <v>49633.8385714384</v>
      </c>
      <c r="K8" s="0" t="n">
        <f aca="false">K6*K7/100</f>
        <v>50130.1769571528</v>
      </c>
      <c r="L8" s="0" t="n">
        <f aca="false">L6*L7/100</f>
        <v>50631.4787267243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0.43</v>
      </c>
      <c r="D9" s="4" t="n">
        <f aca="false">Assumptions!D15</f>
        <v>0.43</v>
      </c>
      <c r="E9" s="4" t="n">
        <f aca="false">Assumptions!E15</f>
        <v>0.43</v>
      </c>
      <c r="F9" s="4" t="n">
        <f aca="false">Assumptions!F15</f>
        <v>0.43</v>
      </c>
      <c r="G9" s="4" t="n">
        <f aca="false">Assumptions!G15</f>
        <v>0.43</v>
      </c>
      <c r="H9" s="4" t="n">
        <f aca="false">Assumptions!H15</f>
        <v>0.43</v>
      </c>
      <c r="I9" s="4" t="n">
        <f aca="false">Assumptions!I15</f>
        <v>0.43</v>
      </c>
      <c r="J9" s="4" t="n">
        <f aca="false">Assumptions!J15</f>
        <v>0.43</v>
      </c>
      <c r="K9" s="4" t="n">
        <f aca="false">Assumptions!K15</f>
        <v>0.43</v>
      </c>
      <c r="L9" s="4" t="n">
        <f aca="false">Assumptions!L15</f>
        <v>0.43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-548.390696</v>
      </c>
      <c r="D10" s="0" t="n">
        <f aca="false">-D6*D9/100</f>
        <v>-553.87460296</v>
      </c>
      <c r="E10" s="0" t="n">
        <f aca="false">-E6*E9/100</f>
        <v>-559.4133489896</v>
      </c>
      <c r="F10" s="0" t="n">
        <f aca="false">-F6*F9/100</f>
        <v>-565.007482479496</v>
      </c>
      <c r="G10" s="0" t="n">
        <f aca="false">-G6*G9/100</f>
        <v>-570.657557304291</v>
      </c>
      <c r="H10" s="0" t="n">
        <f aca="false">-H6*H9/100</f>
        <v>-576.364132877334</v>
      </c>
      <c r="I10" s="0" t="n">
        <f aca="false">-I6*I9/100</f>
        <v>-582.127774206107</v>
      </c>
      <c r="J10" s="0" t="n">
        <f aca="false">-J6*J9/100</f>
        <v>-587.949051948168</v>
      </c>
      <c r="K10" s="0" t="n">
        <f aca="false">-K6*K9/100</f>
        <v>-593.82854246765</v>
      </c>
      <c r="L10" s="0" t="n">
        <f aca="false">-L6*L9/100</f>
        <v>-599.766827892326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45108.323064</v>
      </c>
      <c r="D11" s="0" t="n">
        <f aca="false">D8+D10+D24</f>
        <v>45817.02238904</v>
      </c>
      <c r="E11" s="0" t="n">
        <f aca="false">E8+E10+E24</f>
        <v>46535.3848682744</v>
      </c>
      <c r="F11" s="0" t="n">
        <f aca="false">F8+F10+F24</f>
        <v>47132.1358059059</v>
      </c>
      <c r="G11" s="0" t="n">
        <f aca="false">G8+G10+G24</f>
        <v>47603.4571639649</v>
      </c>
      <c r="H11" s="0" t="n">
        <f aca="false">H8+H10+H24</f>
        <v>48079.4917356046</v>
      </c>
      <c r="I11" s="0" t="n">
        <f aca="false">I8+I10+I24</f>
        <v>48560.2866529606</v>
      </c>
      <c r="J11" s="0" t="n">
        <f aca="false">J8+J10+J24</f>
        <v>49045.8895194902</v>
      </c>
      <c r="K11" s="0" t="n">
        <f aca="false">K8+K10+K24</f>
        <v>49536.3484146851</v>
      </c>
      <c r="L11" s="0" t="n">
        <f aca="false">L8+L10+L24</f>
        <v>50031.711898832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-20022.63704</v>
      </c>
      <c r="D12" s="4" t="n">
        <f aca="false">-D6*Assumptions!D17/100</f>
        <v>-20351.6714576</v>
      </c>
      <c r="E12" s="4" t="n">
        <f aca="false">-E6*Assumptions!E17/100</f>
        <v>-20815.38042752</v>
      </c>
      <c r="F12" s="4" t="n">
        <f aca="false">-F6*Assumptions!F17/100</f>
        <v>-21023.5342317952</v>
      </c>
      <c r="G12" s="4" t="n">
        <f aca="false">-G6*Assumptions!G17/100</f>
        <v>-21233.7695741131</v>
      </c>
      <c r="H12" s="4" t="n">
        <f aca="false">-H6*Assumptions!H17/100</f>
        <v>-21312.0690994177</v>
      </c>
      <c r="I12" s="4" t="n">
        <f aca="false">-I6*Assumptions!I17/100</f>
        <v>-21254.43268613</v>
      </c>
      <c r="J12" s="4" t="n">
        <f aca="false">-J6*Assumptions!J17/100</f>
        <v>-21193.5123376665</v>
      </c>
      <c r="K12" s="4" t="n">
        <f aca="false">-K6*Assumptions!K17/100</f>
        <v>-21129.2481389652</v>
      </c>
      <c r="L12" s="4" t="n">
        <f aca="false">-L6*Assumptions!L17/100</f>
        <v>-21201.0599627055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25085.686024</v>
      </c>
      <c r="D13" s="0" t="n">
        <f aca="false">D11+D12</f>
        <v>25465.35093144</v>
      </c>
      <c r="E13" s="0" t="n">
        <f aca="false">E11+E12</f>
        <v>25720.0044407544</v>
      </c>
      <c r="F13" s="0" t="n">
        <f aca="false">F11+F12</f>
        <v>26108.6015741107</v>
      </c>
      <c r="G13" s="0" t="n">
        <f aca="false">G11+G12</f>
        <v>26369.6875898518</v>
      </c>
      <c r="H13" s="0" t="n">
        <f aca="false">H11+H12</f>
        <v>26767.4226361869</v>
      </c>
      <c r="I13" s="0" t="n">
        <f aca="false">I11+I12</f>
        <v>27305.8539668306</v>
      </c>
      <c r="J13" s="0" t="n">
        <f aca="false">J11+J12</f>
        <v>27852.3771818237</v>
      </c>
      <c r="K13" s="0" t="n">
        <f aca="false">K11+K12</f>
        <v>28407.1002757199</v>
      </c>
      <c r="L13" s="0" t="n">
        <f aca="false">L11+L12</f>
        <v>28830.6519361265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3</v>
      </c>
      <c r="D14" s="4" t="n">
        <f aca="false">Assumptions!D19</f>
        <v>6</v>
      </c>
      <c r="E14" s="4" t="n">
        <f aca="false">Assumptions!E19</f>
        <v>10</v>
      </c>
      <c r="F14" s="4" t="n">
        <f aca="false">Assumptions!F19</f>
        <v>14</v>
      </c>
      <c r="G14" s="4" t="n">
        <f aca="false">Assumptions!G19</f>
        <v>17</v>
      </c>
      <c r="H14" s="4" t="n">
        <f aca="false">Assumptions!H19</f>
        <v>19</v>
      </c>
      <c r="I14" s="4" t="n">
        <f aca="false">Assumptions!I19</f>
        <v>21</v>
      </c>
      <c r="J14" s="4" t="n">
        <f aca="false">Assumptions!J19</f>
        <v>22</v>
      </c>
      <c r="K14" s="4" t="n">
        <f aca="false">Assumptions!K19</f>
        <v>22</v>
      </c>
      <c r="L14" s="4" t="n">
        <f aca="false">Assumptions!L19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24333.11544328</v>
      </c>
      <c r="D15" s="0" t="n">
        <f aca="false">D13-MAX(0,D13)*D14/100</f>
        <v>23937.4298755536</v>
      </c>
      <c r="E15" s="0" t="n">
        <f aca="false">E13-MAX(0,E13)*E14/100</f>
        <v>23148.003996679</v>
      </c>
      <c r="F15" s="0" t="n">
        <f aca="false">F13-MAX(0,F13)*F14/100</f>
        <v>22453.3973537352</v>
      </c>
      <c r="G15" s="0" t="n">
        <f aca="false">G13-MAX(0,G13)*G14/100</f>
        <v>21886.840699577</v>
      </c>
      <c r="H15" s="0" t="n">
        <f aca="false">H13-MAX(0,H13)*H14/100</f>
        <v>21681.6123353114</v>
      </c>
      <c r="I15" s="0" t="n">
        <f aca="false">I13-MAX(0,I13)*I14/100</f>
        <v>21571.6246337962</v>
      </c>
      <c r="J15" s="0" t="n">
        <f aca="false">J13-MAX(0,J13)*J14/100</f>
        <v>21724.8542018225</v>
      </c>
      <c r="K15" s="0" t="n">
        <f aca="false">K13-MAX(0,K13)*K14/100</f>
        <v>22157.5382150615</v>
      </c>
      <c r="L15" s="0" t="n">
        <f aca="false">L13-MAX(0,L13)*L14/100</f>
        <v>22487.9085101787</v>
      </c>
    </row>
    <row r="16" customFormat="false" ht="15" hidden="false" customHeight="false" outlineLevel="0" collapsed="false">
      <c r="A16" s="0" t="s">
        <v>128</v>
      </c>
      <c r="C16" s="0" t="n">
        <f aca="false">-C12</f>
        <v>20022.63704</v>
      </c>
      <c r="D16" s="0" t="n">
        <f aca="false">-D12</f>
        <v>20351.6714576</v>
      </c>
      <c r="E16" s="0" t="n">
        <f aca="false">-E12</f>
        <v>20815.38042752</v>
      </c>
      <c r="F16" s="0" t="n">
        <f aca="false">-F12</f>
        <v>21023.5342317952</v>
      </c>
      <c r="G16" s="0" t="n">
        <f aca="false">-G12</f>
        <v>21233.7695741131</v>
      </c>
      <c r="H16" s="0" t="n">
        <f aca="false">-H12</f>
        <v>21312.0690994177</v>
      </c>
      <c r="I16" s="0" t="n">
        <f aca="false">-I12</f>
        <v>21254.43268613</v>
      </c>
      <c r="J16" s="0" t="n">
        <f aca="false">-J12</f>
        <v>21193.5123376665</v>
      </c>
      <c r="K16" s="0" t="n">
        <f aca="false">-K12</f>
        <v>21129.2481389652</v>
      </c>
      <c r="L16" s="0" t="n">
        <f aca="false">-L12</f>
        <v>21201.0599627055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-23210.95504</v>
      </c>
      <c r="D17" s="4" t="n">
        <f aca="false">-D6*Assumptions!D18/100</f>
        <v>-23443.0645904</v>
      </c>
      <c r="E17" s="4" t="n">
        <f aca="false">-E6*Assumptions!E18/100</f>
        <v>-23417.30298096</v>
      </c>
      <c r="F17" s="4" t="n">
        <f aca="false">-F6*Assumptions!F18/100</f>
        <v>-23651.4760107696</v>
      </c>
      <c r="G17" s="4" t="n">
        <f aca="false">-G6*Assumptions!G18/100</f>
        <v>-23887.9907708773</v>
      </c>
      <c r="H17" s="4" t="n">
        <f aca="false">-H6*Assumptions!H18/100</f>
        <v>-23456.6798264031</v>
      </c>
      <c r="I17" s="4" t="n">
        <f aca="false">-I6*Assumptions!I18/100</f>
        <v>-23691.2466246672</v>
      </c>
      <c r="J17" s="4" t="n">
        <f aca="false">-J6*Assumptions!J18/100</f>
        <v>-23928.1590909138</v>
      </c>
      <c r="K17" s="4" t="n">
        <f aca="false">-K6*Assumptions!K18/100</f>
        <v>-24167.440681823</v>
      </c>
      <c r="L17" s="4" t="n">
        <f aca="false">-L6*Assumptions!L18/100</f>
        <v>-24409.1150886412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0</v>
      </c>
      <c r="D18" s="4" t="n">
        <f aca="false">(D6-C6)*Assumptions!$B$23/100</f>
        <v>0</v>
      </c>
      <c r="E18" s="4" t="n">
        <f aca="false">(E6-D6)*Assumptions!$B$23/100</f>
        <v>0</v>
      </c>
      <c r="F18" s="4" t="n">
        <f aca="false">(F6-E6)*Assumptions!$B$23/100</f>
        <v>0</v>
      </c>
      <c r="G18" s="4" t="n">
        <f aca="false">(G6-F6)*Assumptions!$B$23/100</f>
        <v>0</v>
      </c>
      <c r="H18" s="4" t="n">
        <f aca="false">(H6-G6)*Assumptions!$B$23/100</f>
        <v>0</v>
      </c>
      <c r="I18" s="4" t="n">
        <f aca="false">(I6-H6)*Assumptions!$B$23/100</f>
        <v>0</v>
      </c>
      <c r="J18" s="4" t="n">
        <f aca="false">(J6-I6)*Assumptions!$B$23/100</f>
        <v>0</v>
      </c>
      <c r="K18" s="4" t="n">
        <f aca="false">(K6-J6)*Assumptions!$B$23/100</f>
        <v>0</v>
      </c>
      <c r="L18" s="4" t="n">
        <f aca="false">(L6-K6)*Assumptions!$B$23/100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21144.79744328</v>
      </c>
      <c r="D19" s="0" t="n">
        <f aca="false">D15+D16+D17+D18</f>
        <v>20846.0367427536</v>
      </c>
      <c r="E19" s="0" t="n">
        <f aca="false">E15+E16+E17+E18</f>
        <v>20546.081443239</v>
      </c>
      <c r="F19" s="0" t="n">
        <f aca="false">F15+F16+F17+F18</f>
        <v>19825.4555747608</v>
      </c>
      <c r="G19" s="0" t="n">
        <f aca="false">G15+G16+G17+G18</f>
        <v>19232.6195028128</v>
      </c>
      <c r="H19" s="0" t="n">
        <f aca="false">H15+H16+H17+H18</f>
        <v>19537.0016083259</v>
      </c>
      <c r="I19" s="0" t="n">
        <f aca="false">I15+I16+I17+I18</f>
        <v>19134.810695259</v>
      </c>
      <c r="J19" s="0" t="n">
        <f aca="false">J15+J16+J17+J18</f>
        <v>18990.2074485752</v>
      </c>
      <c r="K19" s="0" t="n">
        <f aca="false">K15+K16+K17+K18</f>
        <v>19119.3456722038</v>
      </c>
      <c r="L19" s="0" t="n">
        <f aca="false">L15+L16+L17+L18</f>
        <v>19279.853384243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19761.4929376449</v>
      </c>
      <c r="D21" s="0" t="n">
        <f aca="false">D19*D20</f>
        <v>18207.7358221273</v>
      </c>
      <c r="E21" s="0" t="n">
        <f aca="false">E19*E20</f>
        <v>16771.7226605425</v>
      </c>
      <c r="F21" s="0" t="n">
        <f aca="false">F19*F20</f>
        <v>15124.7451346459</v>
      </c>
      <c r="G21" s="0" t="n">
        <f aca="false">G19*G20</f>
        <v>13712.5919007736</v>
      </c>
      <c r="H21" s="0" t="n">
        <f aca="false">H19*H20</f>
        <v>13018.3290983987</v>
      </c>
      <c r="I21" s="0" t="n">
        <f aca="false">I19*I20</f>
        <v>11916.1984214831</v>
      </c>
      <c r="J21" s="0" t="n">
        <f aca="false">J19*J20</f>
        <v>11052.4736326496</v>
      </c>
      <c r="K21" s="0" t="n">
        <f aca="false">K19*K20</f>
        <v>10399.6572472418</v>
      </c>
      <c r="L21" s="0" t="n">
        <f aca="false">L19*L20</f>
        <v>9800.89982034105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1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139765.846675848</v>
      </c>
    </row>
    <row r="31" customFormat="false" ht="15" hidden="false" customHeight="false" outlineLevel="0" collapsed="false">
      <c r="A31" s="0" t="s">
        <v>137</v>
      </c>
      <c r="B31" s="0" t="n">
        <f aca="false">L19</f>
        <v>19279.853384243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324544.198634756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231358.240610915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231358.240610915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117610.797844093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257376.644519941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94689.6445199409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13.6322551857099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-0.439001844209469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4007.51238618335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5132.33254714998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14.9480981072955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139090.370843467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-3.98812973717958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2.5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2.5</v>
      </c>
      <c r="G5" s="4" t="n">
        <f aca="false">Assumptions!G27</f>
        <v>2.25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37</v>
      </c>
      <c r="B6" s="3" t="n">
        <v>125648</v>
      </c>
      <c r="C6" s="0" t="n">
        <f aca="false">B6*(1+C5/100)</f>
        <v>128789.2</v>
      </c>
      <c r="D6" s="0" t="n">
        <f aca="false">C6*(1+D5/100)</f>
        <v>132008.93</v>
      </c>
      <c r="E6" s="0" t="n">
        <f aca="false">D6*(1+E5/100)</f>
        <v>135309.15325</v>
      </c>
      <c r="F6" s="0" t="n">
        <f aca="false">E6*(1+F5/100)</f>
        <v>138691.88208125</v>
      </c>
      <c r="G6" s="0" t="n">
        <f aca="false">F6*(1+G5/100)</f>
        <v>141812.449428078</v>
      </c>
      <c r="H6" s="0" t="n">
        <f aca="false">G6*(1+H5/100)</f>
        <v>144648.69841664</v>
      </c>
      <c r="I6" s="0" t="n">
        <f aca="false">H6*(1+I5/100)</f>
        <v>147541.672384972</v>
      </c>
      <c r="J6" s="0" t="n">
        <f aca="false">I6*(1+J5/100)</f>
        <v>150492.505832672</v>
      </c>
      <c r="K6" s="0" t="n">
        <f aca="false">J6*(1+K5/100)</f>
        <v>153502.355949325</v>
      </c>
      <c r="L6" s="0" t="n">
        <f aca="false">K6*(1+L5/100)</f>
        <v>156572.403068312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36.2</v>
      </c>
      <c r="D7" s="4" t="n">
        <f aca="false">Assumptions!D28</f>
        <v>36.9</v>
      </c>
      <c r="E7" s="4" t="n">
        <f aca="false">Assumptions!E28</f>
        <v>37.6</v>
      </c>
      <c r="F7" s="4" t="n">
        <f aca="false">Assumptions!F28</f>
        <v>38</v>
      </c>
      <c r="G7" s="4" t="n">
        <f aca="false">Assumptions!G28</f>
        <v>38.3</v>
      </c>
      <c r="H7" s="4" t="n">
        <f aca="false">Assumptions!H28</f>
        <v>38.5</v>
      </c>
      <c r="I7" s="4" t="n">
        <f aca="false">Assumptions!I28</f>
        <v>38.5</v>
      </c>
      <c r="J7" s="4" t="n">
        <f aca="false">Assumptions!J28</f>
        <v>38.5</v>
      </c>
      <c r="K7" s="4" t="n">
        <f aca="false">Assumptions!K28</f>
        <v>38.5</v>
      </c>
      <c r="L7" s="4" t="n">
        <f aca="false">Assumptions!L28</f>
        <v>38.5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46621.6904</v>
      </c>
      <c r="D8" s="0" t="n">
        <f aca="false">D6*D7/100</f>
        <v>48711.29517</v>
      </c>
      <c r="E8" s="0" t="n">
        <f aca="false">E6*E7/100</f>
        <v>50876.241622</v>
      </c>
      <c r="F8" s="0" t="n">
        <f aca="false">F6*F7/100</f>
        <v>52702.915190875</v>
      </c>
      <c r="G8" s="0" t="n">
        <f aca="false">G6*G7/100</f>
        <v>54314.1681309539</v>
      </c>
      <c r="H8" s="0" t="n">
        <f aca="false">H6*H7/100</f>
        <v>55689.7488904063</v>
      </c>
      <c r="I8" s="0" t="n">
        <f aca="false">I6*I7/100</f>
        <v>56803.5438682144</v>
      </c>
      <c r="J8" s="0" t="n">
        <f aca="false">J6*J7/100</f>
        <v>57939.6147455787</v>
      </c>
      <c r="K8" s="0" t="n">
        <f aca="false">K6*K7/100</f>
        <v>59098.4070404902</v>
      </c>
      <c r="L8" s="0" t="n">
        <f aca="false">L6*L7/100</f>
        <v>60280.3751813001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0.43</v>
      </c>
      <c r="D9" s="4" t="n">
        <f aca="false">Assumptions!D29</f>
        <v>0.43</v>
      </c>
      <c r="E9" s="4" t="n">
        <f aca="false">Assumptions!E29</f>
        <v>0.43</v>
      </c>
      <c r="F9" s="4" t="n">
        <f aca="false">Assumptions!F29</f>
        <v>0.43</v>
      </c>
      <c r="G9" s="4" t="n">
        <f aca="false">Assumptions!G29</f>
        <v>0.43</v>
      </c>
      <c r="H9" s="4" t="n">
        <f aca="false">Assumptions!H29</f>
        <v>0.43</v>
      </c>
      <c r="I9" s="4" t="n">
        <f aca="false">Assumptions!I29</f>
        <v>0.43</v>
      </c>
      <c r="J9" s="4" t="n">
        <f aca="false">Assumptions!J29</f>
        <v>0.43</v>
      </c>
      <c r="K9" s="4" t="n">
        <f aca="false">Assumptions!K29</f>
        <v>0.43</v>
      </c>
      <c r="L9" s="4" t="n">
        <f aca="false">Assumptions!L29</f>
        <v>0.43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-553.79356</v>
      </c>
      <c r="D10" s="0" t="n">
        <f aca="false">-D6*D9/100</f>
        <v>-567.638399</v>
      </c>
      <c r="E10" s="0" t="n">
        <f aca="false">-E6*E9/100</f>
        <v>-581.829358975</v>
      </c>
      <c r="F10" s="0" t="n">
        <f aca="false">-F6*F9/100</f>
        <v>-596.375092949375</v>
      </c>
      <c r="G10" s="0" t="n">
        <f aca="false">-G6*G9/100</f>
        <v>-609.793532540736</v>
      </c>
      <c r="H10" s="0" t="n">
        <f aca="false">-H6*H9/100</f>
        <v>-621.98940319155</v>
      </c>
      <c r="I10" s="0" t="n">
        <f aca="false">-I6*I9/100</f>
        <v>-634.429191255381</v>
      </c>
      <c r="J10" s="0" t="n">
        <f aca="false">-J6*J9/100</f>
        <v>-647.117775080489</v>
      </c>
      <c r="K10" s="0" t="n">
        <f aca="false">-K6*K9/100</f>
        <v>-660.060130582099</v>
      </c>
      <c r="L10" s="0" t="n">
        <f aca="false">-L6*L9/100</f>
        <v>-673.261333193741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46067.89684</v>
      </c>
      <c r="D11" s="0" t="n">
        <f aca="false">D8+D10+D24</f>
        <v>48143.656771</v>
      </c>
      <c r="E11" s="0" t="n">
        <f aca="false">E8+E10+E24</f>
        <v>50294.412263025</v>
      </c>
      <c r="F11" s="0" t="n">
        <f aca="false">F8+F10+F24</f>
        <v>52106.5400979256</v>
      </c>
      <c r="G11" s="0" t="n">
        <f aca="false">G8+G10+G24</f>
        <v>53704.3745984132</v>
      </c>
      <c r="H11" s="0" t="n">
        <f aca="false">H8+H10+H24</f>
        <v>55067.7594872147</v>
      </c>
      <c r="I11" s="0" t="n">
        <f aca="false">I8+I10+I24</f>
        <v>56169.114676959</v>
      </c>
      <c r="J11" s="0" t="n">
        <f aca="false">J8+J10+J24</f>
        <v>57292.4969704982</v>
      </c>
      <c r="K11" s="0" t="n">
        <f aca="false">K8+K10+K24</f>
        <v>58438.3469099082</v>
      </c>
      <c r="L11" s="0" t="n">
        <f aca="false">L8+L10+L24</f>
        <v>59607.1138481063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-20219.9044</v>
      </c>
      <c r="D12" s="4" t="n">
        <f aca="false">-D6*Assumptions!D31/100</f>
        <v>-20857.41094</v>
      </c>
      <c r="E12" s="4" t="n">
        <f aca="false">-E6*Assumptions!E31/100</f>
        <v>-21649.46452</v>
      </c>
      <c r="F12" s="4" t="n">
        <f aca="false">-F6*Assumptions!F31/100</f>
        <v>-22190.701133</v>
      </c>
      <c r="G12" s="4" t="n">
        <f aca="false">-G6*Assumptions!G31/100</f>
        <v>-22689.9919084925</v>
      </c>
      <c r="H12" s="4" t="n">
        <f aca="false">-H6*Assumptions!H31/100</f>
        <v>-22999.1430482457</v>
      </c>
      <c r="I12" s="4" t="n">
        <f aca="false">-I6*Assumptions!I31/100</f>
        <v>-23164.0425644407</v>
      </c>
      <c r="J12" s="4" t="n">
        <f aca="false">-J6*Assumptions!J31/100</f>
        <v>-23326.3384040641</v>
      </c>
      <c r="K12" s="4" t="n">
        <f aca="false">-K6*Assumptions!K31/100</f>
        <v>-23485.8604602468</v>
      </c>
      <c r="L12" s="4" t="n">
        <f aca="false">-L6*Assumptions!L31/100</f>
        <v>-23799.0052663834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25847.99244</v>
      </c>
      <c r="D13" s="0" t="n">
        <f aca="false">D11+D12</f>
        <v>27286.245831</v>
      </c>
      <c r="E13" s="0" t="n">
        <f aca="false">E11+E12</f>
        <v>28644.947743025</v>
      </c>
      <c r="F13" s="0" t="n">
        <f aca="false">F11+F12</f>
        <v>29915.8389649256</v>
      </c>
      <c r="G13" s="0" t="n">
        <f aca="false">G11+G12</f>
        <v>31014.3826899207</v>
      </c>
      <c r="H13" s="0" t="n">
        <f aca="false">H11+H12</f>
        <v>32068.616438969</v>
      </c>
      <c r="I13" s="0" t="n">
        <f aca="false">I11+I12</f>
        <v>33005.0721125183</v>
      </c>
      <c r="J13" s="0" t="n">
        <f aca="false">J11+J12</f>
        <v>33966.158566434</v>
      </c>
      <c r="K13" s="0" t="n">
        <f aca="false">K11+K12</f>
        <v>34952.4864496614</v>
      </c>
      <c r="L13" s="0" t="n">
        <f aca="false">L11+L12</f>
        <v>35808.1085817229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3</v>
      </c>
      <c r="D14" s="4" t="n">
        <f aca="false">Assumptions!D33</f>
        <v>6</v>
      </c>
      <c r="E14" s="4" t="n">
        <f aca="false">Assumptions!E33</f>
        <v>10</v>
      </c>
      <c r="F14" s="4" t="n">
        <f aca="false">Assumptions!F33</f>
        <v>14</v>
      </c>
      <c r="G14" s="4" t="n">
        <f aca="false">Assumptions!G33</f>
        <v>17</v>
      </c>
      <c r="H14" s="4" t="n">
        <f aca="false">Assumptions!H33</f>
        <v>19</v>
      </c>
      <c r="I14" s="4" t="n">
        <f aca="false">Assumptions!I33</f>
        <v>21</v>
      </c>
      <c r="J14" s="4" t="n">
        <f aca="false">Assumptions!J33</f>
        <v>22</v>
      </c>
      <c r="K14" s="4" t="n">
        <f aca="false">Assumptions!K33</f>
        <v>22</v>
      </c>
      <c r="L14" s="4" t="n">
        <f aca="false">Assumptions!L33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25072.5526668</v>
      </c>
      <c r="D15" s="0" t="n">
        <f aca="false">D13-MAX(0,D13)*D14/100</f>
        <v>25649.07108114</v>
      </c>
      <c r="E15" s="0" t="n">
        <f aca="false">E13-MAX(0,E13)*E14/100</f>
        <v>25780.4529687225</v>
      </c>
      <c r="F15" s="0" t="n">
        <f aca="false">F13-MAX(0,F13)*F14/100</f>
        <v>25727.621509836</v>
      </c>
      <c r="G15" s="0" t="n">
        <f aca="false">G13-MAX(0,G13)*G14/100</f>
        <v>25741.9376326342</v>
      </c>
      <c r="H15" s="0" t="n">
        <f aca="false">H13-MAX(0,H13)*H14/100</f>
        <v>25975.5793155649</v>
      </c>
      <c r="I15" s="0" t="n">
        <f aca="false">I13-MAX(0,I13)*I14/100</f>
        <v>26074.0069688895</v>
      </c>
      <c r="J15" s="0" t="n">
        <f aca="false">J13-MAX(0,J13)*J14/100</f>
        <v>26493.6036818186</v>
      </c>
      <c r="K15" s="0" t="n">
        <f aca="false">K13-MAX(0,K13)*K14/100</f>
        <v>27262.9394307359</v>
      </c>
      <c r="L15" s="0" t="n">
        <f aca="false">L13-MAX(0,L13)*L14/100</f>
        <v>27930.3246937439</v>
      </c>
    </row>
    <row r="16" customFormat="false" ht="15" hidden="false" customHeight="false" outlineLevel="0" collapsed="false">
      <c r="A16" s="0" t="s">
        <v>128</v>
      </c>
      <c r="C16" s="0" t="n">
        <f aca="false">-C12</f>
        <v>20219.9044</v>
      </c>
      <c r="D16" s="0" t="n">
        <f aca="false">-D12</f>
        <v>20857.41094</v>
      </c>
      <c r="E16" s="0" t="n">
        <f aca="false">-E12</f>
        <v>21649.46452</v>
      </c>
      <c r="F16" s="0" t="n">
        <f aca="false">-F12</f>
        <v>22190.701133</v>
      </c>
      <c r="G16" s="0" t="n">
        <f aca="false">-G12</f>
        <v>22689.9919084925</v>
      </c>
      <c r="H16" s="0" t="n">
        <f aca="false">-H12</f>
        <v>22999.1430482457</v>
      </c>
      <c r="I16" s="0" t="n">
        <f aca="false">-I12</f>
        <v>23164.0425644407</v>
      </c>
      <c r="J16" s="0" t="n">
        <f aca="false">-J12</f>
        <v>23326.3384040641</v>
      </c>
      <c r="K16" s="0" t="n">
        <f aca="false">-K12</f>
        <v>23485.8604602468</v>
      </c>
      <c r="L16" s="0" t="n">
        <f aca="false">-L12</f>
        <v>23799.0052663834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-23182.056</v>
      </c>
      <c r="D17" s="4" t="n">
        <f aca="false">-D6*Assumptions!D32/100</f>
        <v>-23761.6074</v>
      </c>
      <c r="E17" s="4" t="n">
        <f aca="false">-E6*Assumptions!E32/100</f>
        <v>-24085.0292785</v>
      </c>
      <c r="F17" s="4" t="n">
        <f aca="false">-F6*Assumptions!F32/100</f>
        <v>-24271.0793642187</v>
      </c>
      <c r="G17" s="4" t="n">
        <f aca="false">-G6*Assumptions!G32/100</f>
        <v>-24817.1786499137</v>
      </c>
      <c r="H17" s="4" t="n">
        <f aca="false">-H6*Assumptions!H32/100</f>
        <v>-24590.2787308287</v>
      </c>
      <c r="I17" s="4" t="n">
        <f aca="false">-I6*Assumptions!I32/100</f>
        <v>-24344.3759435205</v>
      </c>
      <c r="J17" s="4" t="n">
        <f aca="false">-J6*Assumptions!J32/100</f>
        <v>-24831.2634623909</v>
      </c>
      <c r="K17" s="4" t="n">
        <f aca="false">-K6*Assumptions!K32/100</f>
        <v>-25327.8887316387</v>
      </c>
      <c r="L17" s="4" t="n">
        <f aca="false">-L6*Assumptions!L32/100</f>
        <v>-25834.4465062715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0</v>
      </c>
      <c r="D18" s="4" t="n">
        <f aca="false">(D6-C6)*Assumptions!$B$37/100</f>
        <v>0</v>
      </c>
      <c r="E18" s="4" t="n">
        <f aca="false">(E6-D6)*Assumptions!$B$37/100</f>
        <v>0</v>
      </c>
      <c r="F18" s="4" t="n">
        <f aca="false">(F6-E6)*Assumptions!$B$37/100</f>
        <v>0</v>
      </c>
      <c r="G18" s="4" t="n">
        <f aca="false">(G6-F6)*Assumptions!$B$37/100</f>
        <v>0</v>
      </c>
      <c r="H18" s="4" t="n">
        <f aca="false">(H6-G6)*Assumptions!$B$37/100</f>
        <v>0</v>
      </c>
      <c r="I18" s="4" t="n">
        <f aca="false">(I6-H6)*Assumptions!$B$37/100</f>
        <v>0</v>
      </c>
      <c r="J18" s="4" t="n">
        <f aca="false">(J6-I6)*Assumptions!$B$37/100</f>
        <v>0</v>
      </c>
      <c r="K18" s="4" t="n">
        <f aca="false">(K6-J6)*Assumptions!$B$37/100</f>
        <v>0</v>
      </c>
      <c r="L18" s="4" t="n">
        <f aca="false">(L6-K6)*Assumptions!$B$37/100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22110.4010668</v>
      </c>
      <c r="D19" s="0" t="n">
        <f aca="false">D15+D16+D17+D18</f>
        <v>22744.87462114</v>
      </c>
      <c r="E19" s="0" t="n">
        <f aca="false">E15+E16+E17+E18</f>
        <v>23344.8882102225</v>
      </c>
      <c r="F19" s="0" t="n">
        <f aca="false">F15+F16+F17+F18</f>
        <v>23647.2432786173</v>
      </c>
      <c r="G19" s="0" t="n">
        <f aca="false">G15+G16+G17+G18</f>
        <v>23614.750891213</v>
      </c>
      <c r="H19" s="0" t="n">
        <f aca="false">H15+H16+H17+H18</f>
        <v>24384.4436329819</v>
      </c>
      <c r="I19" s="0" t="n">
        <f aca="false">I15+I16+I17+I18</f>
        <v>24893.6735898097</v>
      </c>
      <c r="J19" s="0" t="n">
        <f aca="false">J15+J16+J17+J18</f>
        <v>24988.6786234918</v>
      </c>
      <c r="K19" s="0" t="n">
        <f aca="false">K15+K16+K17+K18</f>
        <v>25420.911159344</v>
      </c>
      <c r="L19" s="0" t="n">
        <f aca="false">L15+L16+L17+L18</f>
        <v>25894.8834538558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20663.9262306542</v>
      </c>
      <c r="D21" s="0" t="n">
        <f aca="false">D19*D20</f>
        <v>19866.2543638222</v>
      </c>
      <c r="E21" s="0" t="n">
        <f aca="false">E19*E20</f>
        <v>19056.3826822589</v>
      </c>
      <c r="F21" s="0" t="n">
        <f aca="false">F19*F20</f>
        <v>18040.3686753801</v>
      </c>
      <c r="G21" s="0" t="n">
        <f aca="false">G19*G20</f>
        <v>16836.9910173845</v>
      </c>
      <c r="H21" s="0" t="n">
        <f aca="false">H19*H20</f>
        <v>16248.3843969295</v>
      </c>
      <c r="I21" s="0" t="n">
        <f aca="false">I19*I20</f>
        <v>15502.5288026133</v>
      </c>
      <c r="J21" s="0" t="n">
        <f aca="false">J19*J20</f>
        <v>14543.638469922</v>
      </c>
      <c r="K21" s="0" t="n">
        <f aca="false">K19*K20</f>
        <v>13827.2913468011</v>
      </c>
      <c r="L21" s="0" t="n">
        <f aca="false">L19*L20</f>
        <v>13163.6456736786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167749.411659444</v>
      </c>
    </row>
    <row r="31" customFormat="false" ht="15" hidden="false" customHeight="false" outlineLevel="0" collapsed="false">
      <c r="A31" s="0" t="s">
        <v>137</v>
      </c>
      <c r="B31" s="0" t="n">
        <f aca="false">L19</f>
        <v>25894.8834538558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528255.622458659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362528.368353982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362528.368353982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184291.039431501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352040.451090945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189353.451090945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27.2607905400151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0.121843232099388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4265.51132393039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6981.93921187457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28.8800607006551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203175.239407176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0.902212806614032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82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3</v>
      </c>
      <c r="D5" s="4" t="n">
        <f aca="false">Assumptions!D41</f>
        <v>3.5</v>
      </c>
      <c r="E5" s="4" t="n">
        <f aca="false">Assumptions!E41</f>
        <v>3.5</v>
      </c>
      <c r="F5" s="4" t="n">
        <f aca="false">Assumptions!F41</f>
        <v>3.5</v>
      </c>
      <c r="G5" s="4" t="n">
        <f aca="false">Assumptions!G41</f>
        <v>3</v>
      </c>
      <c r="H5" s="4" t="n">
        <f aca="false">Assumptions!H41</f>
        <v>3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37</v>
      </c>
      <c r="B6" s="3" t="n">
        <v>125648</v>
      </c>
      <c r="C6" s="0" t="n">
        <f aca="false">B6*(1+C5/100)</f>
        <v>129417.44</v>
      </c>
      <c r="D6" s="0" t="n">
        <f aca="false">C6*(1+D5/100)</f>
        <v>133947.0504</v>
      </c>
      <c r="E6" s="0" t="n">
        <f aca="false">D6*(1+E5/100)</f>
        <v>138635.197164</v>
      </c>
      <c r="F6" s="0" t="n">
        <f aca="false">E6*(1+F5/100)</f>
        <v>143487.42906474</v>
      </c>
      <c r="G6" s="0" t="n">
        <f aca="false">F6*(1+G5/100)</f>
        <v>147792.051936682</v>
      </c>
      <c r="H6" s="0" t="n">
        <f aca="false">G6*(1+H5/100)</f>
        <v>152225.813494783</v>
      </c>
      <c r="I6" s="0" t="n">
        <f aca="false">H6*(1+I5/100)</f>
        <v>156031.458832152</v>
      </c>
      <c r="J6" s="0" t="n">
        <f aca="false">I6*(1+J5/100)</f>
        <v>159932.245302956</v>
      </c>
      <c r="K6" s="0" t="n">
        <f aca="false">J6*(1+K5/100)</f>
        <v>163930.55143553</v>
      </c>
      <c r="L6" s="0" t="n">
        <f aca="false">K6*(1+L5/100)</f>
        <v>168028.815221418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36.4</v>
      </c>
      <c r="D7" s="4" t="n">
        <f aca="false">Assumptions!D42</f>
        <v>37.3</v>
      </c>
      <c r="E7" s="4" t="n">
        <f aca="false">Assumptions!E42</f>
        <v>38.3</v>
      </c>
      <c r="F7" s="4" t="n">
        <f aca="false">Assumptions!F42</f>
        <v>39</v>
      </c>
      <c r="G7" s="4" t="n">
        <f aca="false">Assumptions!G42</f>
        <v>39.5</v>
      </c>
      <c r="H7" s="4" t="n">
        <f aca="false">Assumptions!H42</f>
        <v>40</v>
      </c>
      <c r="I7" s="4" t="n">
        <f aca="false">Assumptions!I42</f>
        <v>40</v>
      </c>
      <c r="J7" s="4" t="n">
        <f aca="false">Assumptions!J42</f>
        <v>40</v>
      </c>
      <c r="K7" s="4" t="n">
        <f aca="false">Assumptions!K42</f>
        <v>40</v>
      </c>
      <c r="L7" s="4" t="n">
        <f aca="false">Assumptions!L42</f>
        <v>40</v>
      </c>
    </row>
    <row r="8" customFormat="false" ht="15" hidden="false" customHeight="false" outlineLevel="0" collapsed="false">
      <c r="A8" s="0" t="s">
        <v>43</v>
      </c>
      <c r="C8" s="0" t="n">
        <f aca="false">C6*C7/100</f>
        <v>47107.94816</v>
      </c>
      <c r="D8" s="0" t="n">
        <f aca="false">D6*D7/100</f>
        <v>49962.2497992</v>
      </c>
      <c r="E8" s="0" t="n">
        <f aca="false">E6*E7/100</f>
        <v>53097.280513812</v>
      </c>
      <c r="F8" s="0" t="n">
        <f aca="false">F6*F7/100</f>
        <v>55960.0973352486</v>
      </c>
      <c r="G8" s="0" t="n">
        <f aca="false">G6*G7/100</f>
        <v>58377.8605149895</v>
      </c>
      <c r="H8" s="0" t="n">
        <f aca="false">H6*H7/100</f>
        <v>60890.325397913</v>
      </c>
      <c r="I8" s="0" t="n">
        <f aca="false">I6*I7/100</f>
        <v>62412.5835328609</v>
      </c>
      <c r="J8" s="0" t="n">
        <f aca="false">J6*J7/100</f>
        <v>63972.8981211824</v>
      </c>
      <c r="K8" s="0" t="n">
        <f aca="false">K6*K7/100</f>
        <v>65572.2205742119</v>
      </c>
      <c r="L8" s="0" t="n">
        <f aca="false">L6*L7/100</f>
        <v>67211.5260885672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0.43</v>
      </c>
      <c r="D9" s="4" t="n">
        <f aca="false">Assumptions!D43</f>
        <v>0.43</v>
      </c>
      <c r="E9" s="4" t="n">
        <f aca="false">Assumptions!E43</f>
        <v>0.43</v>
      </c>
      <c r="F9" s="4" t="n">
        <f aca="false">Assumptions!F43</f>
        <v>0.43</v>
      </c>
      <c r="G9" s="4" t="n">
        <f aca="false">Assumptions!G43</f>
        <v>0.43</v>
      </c>
      <c r="H9" s="4" t="n">
        <f aca="false">Assumptions!H43</f>
        <v>0.43</v>
      </c>
      <c r="I9" s="4" t="n">
        <f aca="false">Assumptions!I43</f>
        <v>0.43</v>
      </c>
      <c r="J9" s="4" t="n">
        <f aca="false">Assumptions!J43</f>
        <v>0.43</v>
      </c>
      <c r="K9" s="4" t="n">
        <f aca="false">Assumptions!K43</f>
        <v>0.43</v>
      </c>
      <c r="L9" s="4" t="n">
        <f aca="false">Assumptions!L43</f>
        <v>0.43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-556.494992</v>
      </c>
      <c r="D10" s="0" t="n">
        <f aca="false">-D6*D9/100</f>
        <v>-575.97231672</v>
      </c>
      <c r="E10" s="0" t="n">
        <f aca="false">-E6*E9/100</f>
        <v>-596.1313478052</v>
      </c>
      <c r="F10" s="0" t="n">
        <f aca="false">-F6*F9/100</f>
        <v>-616.995944978382</v>
      </c>
      <c r="G10" s="0" t="n">
        <f aca="false">-G6*G9/100</f>
        <v>-635.505823327733</v>
      </c>
      <c r="H10" s="0" t="n">
        <f aca="false">-H6*H9/100</f>
        <v>-654.570998027565</v>
      </c>
      <c r="I10" s="0" t="n">
        <f aca="false">-I6*I9/100</f>
        <v>-670.935272978254</v>
      </c>
      <c r="J10" s="0" t="n">
        <f aca="false">-J6*J9/100</f>
        <v>-687.708654802711</v>
      </c>
      <c r="K10" s="0" t="n">
        <f aca="false">-K6*K9/100</f>
        <v>-704.901371172778</v>
      </c>
      <c r="L10" s="0" t="n">
        <f aca="false">-L6*L9/100</f>
        <v>-722.523905452098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46551.453168</v>
      </c>
      <c r="D11" s="0" t="n">
        <f aca="false">D8+D10+D24</f>
        <v>49386.27748248</v>
      </c>
      <c r="E11" s="0" t="n">
        <f aca="false">E8+E10+E24</f>
        <v>52501.1491660068</v>
      </c>
      <c r="F11" s="0" t="n">
        <f aca="false">F8+F10+F24</f>
        <v>55343.1013902702</v>
      </c>
      <c r="G11" s="0" t="n">
        <f aca="false">G8+G10+G24</f>
        <v>57742.3546916617</v>
      </c>
      <c r="H11" s="0" t="n">
        <f aca="false">H8+H10+H24</f>
        <v>60235.7543998855</v>
      </c>
      <c r="I11" s="0" t="n">
        <f aca="false">I8+I10+I24</f>
        <v>61741.6482598826</v>
      </c>
      <c r="J11" s="0" t="n">
        <f aca="false">J8+J10+J24</f>
        <v>63285.1894663797</v>
      </c>
      <c r="K11" s="0" t="n">
        <f aca="false">K8+K10+K24</f>
        <v>64867.3192030392</v>
      </c>
      <c r="L11" s="0" t="n">
        <f aca="false">L8+L10+L24</f>
        <v>66489.0021831151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-20318.53808</v>
      </c>
      <c r="D12" s="4" t="n">
        <f aca="false">-D6*Assumptions!D45/100</f>
        <v>-21163.6339632</v>
      </c>
      <c r="E12" s="4" t="n">
        <f aca="false">-E6*Assumptions!E45/100</f>
        <v>-22181.63154624</v>
      </c>
      <c r="F12" s="4" t="n">
        <f aca="false">-F6*Assumptions!F45/100</f>
        <v>-22957.9886503584</v>
      </c>
      <c r="G12" s="4" t="n">
        <f aca="false">-G6*Assumptions!G45/100</f>
        <v>-23646.7283098691</v>
      </c>
      <c r="H12" s="4" t="n">
        <f aca="false">-H6*Assumptions!H45/100</f>
        <v>-24203.9043456704</v>
      </c>
      <c r="I12" s="4" t="n">
        <f aca="false">-I6*Assumptions!I45/100</f>
        <v>-24496.9390366479</v>
      </c>
      <c r="J12" s="4" t="n">
        <f aca="false">-J6*Assumptions!J45/100</f>
        <v>-24789.4980219582</v>
      </c>
      <c r="K12" s="4" t="n">
        <f aca="false">-K6*Assumptions!K45/100</f>
        <v>-25081.3743696361</v>
      </c>
      <c r="L12" s="4" t="n">
        <f aca="false">-L6*Assumptions!L45/100</f>
        <v>-25540.3799136555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26232.915088</v>
      </c>
      <c r="D13" s="0" t="n">
        <f aca="false">D11+D12</f>
        <v>28222.64351928</v>
      </c>
      <c r="E13" s="0" t="n">
        <f aca="false">E11+E12</f>
        <v>30319.5176197668</v>
      </c>
      <c r="F13" s="0" t="n">
        <f aca="false">F11+F12</f>
        <v>32385.1127399118</v>
      </c>
      <c r="G13" s="0" t="n">
        <f aca="false">G11+G12</f>
        <v>34095.6263817926</v>
      </c>
      <c r="H13" s="0" t="n">
        <f aca="false">H11+H12</f>
        <v>36031.850054215</v>
      </c>
      <c r="I13" s="0" t="n">
        <f aca="false">I11+I12</f>
        <v>37244.7092232347</v>
      </c>
      <c r="J13" s="0" t="n">
        <f aca="false">J11+J12</f>
        <v>38495.6914444215</v>
      </c>
      <c r="K13" s="0" t="n">
        <f aca="false">K11+K12</f>
        <v>39785.9448334031</v>
      </c>
      <c r="L13" s="0" t="n">
        <f aca="false">L11+L12</f>
        <v>40948.6222694596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3</v>
      </c>
      <c r="D14" s="4" t="n">
        <f aca="false">Assumptions!D47</f>
        <v>6</v>
      </c>
      <c r="E14" s="4" t="n">
        <f aca="false">Assumptions!E47</f>
        <v>10</v>
      </c>
      <c r="F14" s="4" t="n">
        <f aca="false">Assumptions!F47</f>
        <v>14</v>
      </c>
      <c r="G14" s="4" t="n">
        <f aca="false">Assumptions!G47</f>
        <v>17</v>
      </c>
      <c r="H14" s="4" t="n">
        <f aca="false">Assumptions!H47</f>
        <v>19</v>
      </c>
      <c r="I14" s="4" t="n">
        <f aca="false">Assumptions!I47</f>
        <v>21</v>
      </c>
      <c r="J14" s="4" t="n">
        <f aca="false">Assumptions!J47</f>
        <v>22</v>
      </c>
      <c r="K14" s="4" t="n">
        <f aca="false">Assumptions!K47</f>
        <v>22</v>
      </c>
      <c r="L14" s="4" t="n">
        <f aca="false">Assumptions!L47</f>
        <v>22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25445.92763536</v>
      </c>
      <c r="D15" s="0" t="n">
        <f aca="false">D13-MAX(0,D13)*D14/100</f>
        <v>26529.2849081232</v>
      </c>
      <c r="E15" s="0" t="n">
        <f aca="false">E13-MAX(0,E13)*E14/100</f>
        <v>27287.5658577901</v>
      </c>
      <c r="F15" s="0" t="n">
        <f aca="false">F13-MAX(0,F13)*F14/100</f>
        <v>27851.1969563242</v>
      </c>
      <c r="G15" s="0" t="n">
        <f aca="false">G13-MAX(0,G13)*G14/100</f>
        <v>28299.3698968878</v>
      </c>
      <c r="H15" s="0" t="n">
        <f aca="false">H13-MAX(0,H13)*H14/100</f>
        <v>29185.7985439142</v>
      </c>
      <c r="I15" s="0" t="n">
        <f aca="false">I13-MAX(0,I13)*I14/100</f>
        <v>29423.3202863554</v>
      </c>
      <c r="J15" s="0" t="n">
        <f aca="false">J13-MAX(0,J13)*J14/100</f>
        <v>30026.6393266488</v>
      </c>
      <c r="K15" s="0" t="n">
        <f aca="false">K13-MAX(0,K13)*K14/100</f>
        <v>31033.0369700544</v>
      </c>
      <c r="L15" s="0" t="n">
        <f aca="false">L13-MAX(0,L13)*L14/100</f>
        <v>31939.9253701785</v>
      </c>
    </row>
    <row r="16" customFormat="false" ht="15" hidden="false" customHeight="false" outlineLevel="0" collapsed="false">
      <c r="A16" s="0" t="s">
        <v>128</v>
      </c>
      <c r="C16" s="0" t="n">
        <f aca="false">-C12</f>
        <v>20318.53808</v>
      </c>
      <c r="D16" s="0" t="n">
        <f aca="false">-D12</f>
        <v>21163.6339632</v>
      </c>
      <c r="E16" s="0" t="n">
        <f aca="false">-E12</f>
        <v>22181.63154624</v>
      </c>
      <c r="F16" s="0" t="n">
        <f aca="false">-F12</f>
        <v>22957.9886503584</v>
      </c>
      <c r="G16" s="0" t="n">
        <f aca="false">-G12</f>
        <v>23646.7283098691</v>
      </c>
      <c r="H16" s="0" t="n">
        <f aca="false">-H12</f>
        <v>24203.9043456704</v>
      </c>
      <c r="I16" s="0" t="n">
        <f aca="false">-I12</f>
        <v>24496.9390366479</v>
      </c>
      <c r="J16" s="0" t="n">
        <f aca="false">-J12</f>
        <v>24789.4980219582</v>
      </c>
      <c r="K16" s="0" t="n">
        <f aca="false">-K12</f>
        <v>25081.3743696361</v>
      </c>
      <c r="L16" s="0" t="n">
        <f aca="false">-L12</f>
        <v>25540.3799136555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-23295.1392</v>
      </c>
      <c r="D17" s="4" t="n">
        <f aca="false">-D6*Assumptions!D46/100</f>
        <v>-23842.5749712</v>
      </c>
      <c r="E17" s="4" t="n">
        <f aca="false">-E6*Assumptions!E46/100</f>
        <v>-24261.1595037</v>
      </c>
      <c r="F17" s="4" t="n">
        <f aca="false">-F6*Assumptions!F46/100</f>
        <v>-24392.8629410058</v>
      </c>
      <c r="G17" s="4" t="n">
        <f aca="false">-G6*Assumptions!G46/100</f>
        <v>-24385.6885695526</v>
      </c>
      <c r="H17" s="4" t="n">
        <f aca="false">-H6*Assumptions!H46/100</f>
        <v>-24356.1301591652</v>
      </c>
      <c r="I17" s="4" t="n">
        <f aca="false">-I6*Assumptions!I46/100</f>
        <v>-24184.8761189836</v>
      </c>
      <c r="J17" s="4" t="n">
        <f aca="false">-J6*Assumptions!J46/100</f>
        <v>-24789.4980219582</v>
      </c>
      <c r="K17" s="4" t="n">
        <f aca="false">-K6*Assumptions!K46/100</f>
        <v>-25409.2354725071</v>
      </c>
      <c r="L17" s="4" t="n">
        <f aca="false">-L6*Assumptions!L46/100</f>
        <v>-26044.4663593198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0</v>
      </c>
      <c r="D18" s="4" t="n">
        <f aca="false">(D6-C6)*Assumptions!$B$51/100</f>
        <v>0</v>
      </c>
      <c r="E18" s="4" t="n">
        <f aca="false">(E6-D6)*Assumptions!$B$51/100</f>
        <v>0</v>
      </c>
      <c r="F18" s="4" t="n">
        <f aca="false">(F6-E6)*Assumptions!$B$51/100</f>
        <v>0</v>
      </c>
      <c r="G18" s="4" t="n">
        <f aca="false">(G6-F6)*Assumptions!$B$51/100</f>
        <v>0</v>
      </c>
      <c r="H18" s="4" t="n">
        <f aca="false">(H6-G6)*Assumptions!$B$51/100</f>
        <v>0</v>
      </c>
      <c r="I18" s="4" t="n">
        <f aca="false">(I6-H6)*Assumptions!$B$51/100</f>
        <v>0</v>
      </c>
      <c r="J18" s="4" t="n">
        <f aca="false">(J6-I6)*Assumptions!$B$51/100</f>
        <v>0</v>
      </c>
      <c r="K18" s="4" t="n">
        <f aca="false">(K6-J6)*Assumptions!$B$51/100</f>
        <v>0</v>
      </c>
      <c r="L18" s="4" t="n">
        <f aca="false">(L6-K6)*Assumptions!$B$51/100</f>
        <v>0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22469.32651536</v>
      </c>
      <c r="D19" s="0" t="n">
        <f aca="false">D15+D16+D17+D18</f>
        <v>23850.3439001232</v>
      </c>
      <c r="E19" s="0" t="n">
        <f aca="false">E15+E16+E17+E18</f>
        <v>25208.0379003301</v>
      </c>
      <c r="F19" s="0" t="n">
        <f aca="false">F15+F16+F17+F18</f>
        <v>26416.3226656768</v>
      </c>
      <c r="G19" s="0" t="n">
        <f aca="false">G15+G16+G17+G18</f>
        <v>27560.4096372044</v>
      </c>
      <c r="H19" s="0" t="n">
        <f aca="false">H15+H16+H17+H18</f>
        <v>29033.5727304194</v>
      </c>
      <c r="I19" s="0" t="n">
        <f aca="false">I15+I16+I17+I18</f>
        <v>29735.3832040197</v>
      </c>
      <c r="J19" s="0" t="n">
        <f aca="false">J15+J16+J17+J18</f>
        <v>30026.6393266488</v>
      </c>
      <c r="K19" s="0" t="n">
        <f aca="false">K15+K16+K17+K18</f>
        <v>30705.1758671834</v>
      </c>
      <c r="L19" s="0" t="n">
        <f aca="false">L15+L16+L17+L18</f>
        <v>31435.8389245142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0.934579439252336</v>
      </c>
      <c r="D20" s="0" t="n">
        <f aca="false">1/(1+$B$27/100)^D4</f>
        <v>0.873438728273212</v>
      </c>
      <c r="E20" s="0" t="n">
        <f aca="false">1/(1+$B$27/100)^E4</f>
        <v>0.816297876890852</v>
      </c>
      <c r="F20" s="0" t="n">
        <f aca="false">1/(1+$B$27/100)^F4</f>
        <v>0.762895212047525</v>
      </c>
      <c r="G20" s="0" t="n">
        <f aca="false">1/(1+$B$27/100)^G4</f>
        <v>0.712986179483668</v>
      </c>
      <c r="H20" s="0" t="n">
        <f aca="false">1/(1+$B$27/100)^H4</f>
        <v>0.666342223816512</v>
      </c>
      <c r="I20" s="0" t="n">
        <f aca="false">1/(1+$B$27/100)^I4</f>
        <v>0.622749741884591</v>
      </c>
      <c r="J20" s="0" t="n">
        <f aca="false">1/(1+$B$27/100)^J4</f>
        <v>0.582009104565038</v>
      </c>
      <c r="K20" s="0" t="n">
        <f aca="false">1/(1+$B$27/100)^K4</f>
        <v>0.543933742584148</v>
      </c>
      <c r="L20" s="0" t="n">
        <f aca="false">1/(1+$B$27/100)^L4</f>
        <v>0.508349292134718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20999.3705751028</v>
      </c>
      <c r="D21" s="0" t="n">
        <f aca="false">D19*D20</f>
        <v>20831.8140450024</v>
      </c>
      <c r="E21" s="0" t="n">
        <f aca="false">E19*E20</f>
        <v>20577.2678186236</v>
      </c>
      <c r="F21" s="0" t="n">
        <f aca="false">F19*F20</f>
        <v>20152.8860815473</v>
      </c>
      <c r="G21" s="0" t="n">
        <f aca="false">G19*G20</f>
        <v>19650.1911722353</v>
      </c>
      <c r="H21" s="0" t="n">
        <f aca="false">H19*H20</f>
        <v>19346.2954185261</v>
      </c>
      <c r="I21" s="0" t="n">
        <f aca="false">I19*I20</f>
        <v>18517.7022151427</v>
      </c>
      <c r="J21" s="0" t="n">
        <f aca="false">J19*J20</f>
        <v>17475.7774676002</v>
      </c>
      <c r="K21" s="0" t="n">
        <f aca="false">K19*K20</f>
        <v>16701.5812261415</v>
      </c>
      <c r="L21" s="0" t="n">
        <f aca="false">L19*L20</f>
        <v>15980.3864649378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7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15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190233.27248486</v>
      </c>
    </row>
    <row r="31" customFormat="false" ht="15" hidden="false" customHeight="false" outlineLevel="0" collapsed="false">
      <c r="A31" s="0" t="s">
        <v>137</v>
      </c>
      <c r="B31" s="0" t="n">
        <f aca="false">L19</f>
        <v>31435.8389245142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716038.553280602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471537.583867713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471537.583867713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239705.796974067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429939.069458927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267252.069458927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38.4756794498887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0.583361294234102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4438.55609804386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8366.15286187022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40.3191446039218</v>
      </c>
    </row>
    <row r="45" customFormat="false" ht="15" hidden="false" customHeight="false" outlineLevel="0" collapsed="false">
      <c r="A45" s="0" t="s">
        <v>89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257773.879181017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4.89914957470111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13.6322551857099</v>
      </c>
      <c r="C4" s="0" t="n">
        <f aca="false">B4/Assumptions!$B$2-1</f>
        <v>-0.439001844209469</v>
      </c>
      <c r="D4" s="4" t="n">
        <f aca="false">Assumptions!$B$24</f>
        <v>0.2</v>
      </c>
      <c r="E4" s="4" t="n">
        <f aca="false">DCF_Bear!$B$43</f>
        <v>14.9480981072955</v>
      </c>
      <c r="F4" s="4" t="n">
        <f aca="false">DCF_Bear!$B$47</f>
        <v>-3.98812973717958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27.2607905400151</v>
      </c>
      <c r="C5" s="0" t="n">
        <f aca="false">B5/Assumptions!$B$2-1</f>
        <v>0.121843232099388</v>
      </c>
      <c r="D5" s="4" t="n">
        <f aca="false">Assumptions!$B$38</f>
        <v>0.55</v>
      </c>
      <c r="E5" s="4" t="n">
        <f aca="false">DCF_Base!$B$43</f>
        <v>28.8800607006551</v>
      </c>
      <c r="F5" s="4" t="n">
        <f aca="false">DCF_Base!$B$47</f>
        <v>0.902212806614032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38.4756794498887</v>
      </c>
      <c r="C6" s="0" t="n">
        <f aca="false">B6/Assumptions!$B$2-1</f>
        <v>0.583361294234102</v>
      </c>
      <c r="D6" s="4" t="n">
        <f aca="false">Assumptions!$B$52</f>
        <v>0.25</v>
      </c>
      <c r="E6" s="4" t="n">
        <f aca="false">DCF_Bull!$B$43</f>
        <v>40.3191446039218</v>
      </c>
      <c r="F6" s="4" t="n">
        <f aca="false">DCF_Bull!$B$47</f>
        <v>4.89914957470111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27.3388056966225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28.9534391577998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0.111153564290407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-188.204058053313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0.92337848987708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27.2607905400151</v>
      </c>
      <c r="C15" s="3" t="n">
        <v>7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20.6371253492097</v>
      </c>
      <c r="C16" s="3" t="n">
        <v>9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15.9539351726147</v>
      </c>
      <c r="C17" s="3" t="n">
        <v>10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11.6093876519356</v>
      </c>
      <c r="C18" s="3" t="n">
        <v>11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8.13194214016407</v>
      </c>
      <c r="C19" s="3" t="n">
        <v>12</v>
      </c>
    </row>
    <row r="20" customFormat="false" ht="15" hidden="false" customHeight="false" outlineLevel="0" collapsed="false">
      <c r="A20" s="0" t="s">
        <v>173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0.902212806614032</v>
      </c>
      <c r="C20" s="3" t="n">
        <v>15</v>
      </c>
    </row>
    <row r="22" customFormat="false" ht="15" hidden="false" customHeight="false" outlineLevel="0" collapsed="false">
      <c r="A22" s="2" t="s">
        <v>174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5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35.2389829338939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35.2389829338939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35.2389829338939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35.2389829338939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35.2389829338939</v>
      </c>
    </row>
    <row r="25" customFormat="false" ht="15" hidden="false" customHeight="false" outlineLevel="0" collapsed="false">
      <c r="A25" s="3" t="n">
        <v>6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31.0620208046326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31.0620208046326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31.0620208046326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31.0620208046326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31.0620208046326</v>
      </c>
    </row>
    <row r="26" customFormat="false" ht="15" hidden="false" customHeight="false" outlineLevel="0" collapsed="false">
      <c r="A26" s="3" t="n">
        <v>7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27.2607905400151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27.2607905400151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27.2607905400151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27.2607905400151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27.2607905400151</v>
      </c>
    </row>
    <row r="27" customFormat="false" ht="15" hidden="false" customHeight="false" outlineLevel="0" collapsed="false">
      <c r="A27" s="3" t="n">
        <v>8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23.7971323074624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23.7971323074624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23.7971323074624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23.7971323074624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23.7971323074624</v>
      </c>
    </row>
    <row r="28" customFormat="false" ht="15" hidden="false" customHeight="false" outlineLevel="0" collapsed="false">
      <c r="A28" s="3" t="n">
        <v>9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18.4718312094828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19.9022376411812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20.6371253492097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20.6371253492097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20.6371253492097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2026-10-02T09:24:14Z</dcterms:created>
  <dc:creator>openpyxl</dc:creator>
  <dc:description/>
  <dc:language>en-NZ</dc:language>
  <cp:lastModifiedBy/>
  <dcterms:modified xsi:type="dcterms:W3CDTF">2026-10-02T09:24:14Z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