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Deal weighting" sheetId="1" state="visible" r:id="rId1"/>
    <sheet xmlns:r="http://schemas.openxmlformats.org/officeDocument/2006/relationships" name="Model_Info" sheetId="2" state="visible" r:id="rId2"/>
    <sheet xmlns:r="http://schemas.openxmlformats.org/officeDocument/2006/relationships" name="Actual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DCF_Bear" sheetId="5" state="visible" r:id="rId5"/>
    <sheet xmlns:r="http://schemas.openxmlformats.org/officeDocument/2006/relationships" name="DCF_Base" sheetId="6" state="visible" r:id="rId6"/>
    <sheet xmlns:r="http://schemas.openxmlformats.org/officeDocument/2006/relationships" name="DCF_Bull" sheetId="7" state="visible" r:id="rId7"/>
    <sheet xmlns:r="http://schemas.openxmlformats.org/officeDocument/2006/relationships" name="Valuation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color rgb="FF008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8" customWidth="1" style="5" min="1" max="1"/>
    <col width="16" customWidth="1" style="5" min="2" max="2"/>
  </cols>
  <sheetData>
    <row r="1">
      <c r="A1" t="inlineStr">
        <is>
          <t>Intertek / EQT scheme - deal-weighted valuation (GBp per share)</t>
        </is>
      </c>
    </row>
    <row r="2">
      <c r="A2" t="inlineStr">
        <is>
          <t>Headline offer (GBp)</t>
        </is>
      </c>
      <c r="B2" t="n">
        <v>6107.7</v>
      </c>
    </row>
    <row r="3">
      <c r="A3" t="inlineStr">
        <is>
          <t>FY2025 final dividend already paid (GBp)</t>
        </is>
      </c>
      <c r="B3" t="n">
        <v>107.7</v>
      </c>
    </row>
    <row r="4">
      <c r="A4" t="inlineStr">
        <is>
          <t>Remaining cash consideration (GBp)</t>
        </is>
      </c>
      <c r="B4">
        <f>B2-B3</f>
        <v/>
      </c>
    </row>
    <row r="5">
      <c r="A5" t="inlineStr">
        <is>
          <t>Years to completion (2027-01-31 midpoint)</t>
        </is>
      </c>
      <c r="B5" t="n">
        <v>0.31</v>
      </c>
    </row>
    <row r="6">
      <c r="A6" t="inlineStr">
        <is>
          <t>Deal-leg discount rate</t>
        </is>
      </c>
      <c r="B6" t="n">
        <v>0.05</v>
      </c>
    </row>
    <row r="7">
      <c r="A7" t="inlineStr">
        <is>
          <t>Hurdle rate</t>
        </is>
      </c>
      <c r="B7" t="n">
        <v>0.15</v>
      </c>
    </row>
    <row r="8">
      <c r="A8" t="inlineStr">
        <is>
          <t>PV of consideration at deal rate</t>
        </is>
      </c>
      <c r="B8">
        <f>B4/(1+B6)^B5</f>
        <v/>
      </c>
    </row>
    <row r="9">
      <c r="A9" t="inlineStr">
        <is>
          <t>PV of consideration at hurdle</t>
        </is>
      </c>
      <c r="B9">
        <f>B4/(1+B7)^B5</f>
        <v/>
      </c>
    </row>
    <row r="10">
      <c r="A10" t="inlineStr">
        <is>
          <t>Standalone base IV (engine)</t>
        </is>
      </c>
      <c r="B10" t="n">
        <v>4626.12</v>
      </c>
    </row>
    <row r="11">
      <c r="A11" t="inlineStr">
        <is>
          <t>Standalone bear IV (engine)</t>
        </is>
      </c>
      <c r="B11" t="n">
        <v>3212.28</v>
      </c>
    </row>
    <row r="12">
      <c r="A12" t="inlineStr">
        <is>
          <t>Standalone bull IV (engine, reference only)</t>
        </is>
      </c>
      <c r="B12" t="n">
        <v>5347.49</v>
      </c>
    </row>
    <row r="13">
      <c r="A13" t="inlineStr">
        <is>
          <t>Standalone base entry @ hurdle (engine)</t>
        </is>
      </c>
      <c r="B13" t="n">
        <v>1442.11</v>
      </c>
    </row>
    <row r="14">
      <c r="A14" t="inlineStr">
        <is>
          <t>Standalone bear entry @ hurdle (engine)</t>
        </is>
      </c>
      <c r="B14" t="n">
        <v>1016.99</v>
      </c>
    </row>
    <row r="15">
      <c r="A15" t="inlineStr">
        <is>
          <t>P(deal completes)</t>
        </is>
      </c>
      <c r="B15" t="n">
        <v>0.9</v>
      </c>
    </row>
    <row r="16">
      <c r="A16" t="inlineStr">
        <is>
          <t>Weight base (deal breaks)</t>
        </is>
      </c>
      <c r="B16" t="n">
        <v>0.07000000000000001</v>
      </c>
    </row>
    <row r="17">
      <c r="A17" t="inlineStr">
        <is>
          <t>Weight bear (deal breaks)</t>
        </is>
      </c>
      <c r="B17" t="n">
        <v>0.03</v>
      </c>
    </row>
    <row r="18">
      <c r="A18" t="inlineStr">
        <is>
          <t>Weights sum</t>
        </is>
      </c>
      <c r="B18">
        <f>B15+B16+B17</f>
        <v/>
      </c>
    </row>
    <row r="19">
      <c r="A19" t="inlineStr">
        <is>
          <t>DEAL-WEIGHTED IV (GBp)</t>
        </is>
      </c>
      <c r="B19">
        <f>B15*B8+B16*B10+B17*B11</f>
        <v/>
      </c>
    </row>
    <row r="20">
      <c r="A20" t="inlineStr">
        <is>
          <t>Deal-weighted entry price (GBp)</t>
        </is>
      </c>
      <c r="B20">
        <f>B15*B9+B16*B13+B17*B14</f>
        <v/>
      </c>
    </row>
    <row r="21">
      <c r="A21" t="inlineStr">
        <is>
          <t>Current price (GBp)</t>
        </is>
      </c>
      <c r="B21" t="n">
        <v>5890</v>
      </c>
    </row>
    <row r="22">
      <c r="A22" t="inlineStr">
        <is>
          <t>Upside vs price</t>
        </is>
      </c>
      <c r="B22">
        <f>B19/B21-1</f>
        <v/>
      </c>
    </row>
    <row r="23">
      <c r="A23" t="inlineStr">
        <is>
          <t>Break value (0.7 base + 0.3 bear)</t>
        </is>
      </c>
      <c r="B23">
        <f>0.7*B10+0.3*B11</f>
        <v/>
      </c>
    </row>
    <row r="24">
      <c r="A24" t="inlineStr">
        <is>
          <t>PV offer at ~4% risk-free</t>
        </is>
      </c>
      <c r="B24">
        <f>B4/(1+0.04)^B5</f>
        <v/>
      </c>
    </row>
    <row r="25">
      <c r="A25" t="inlineStr">
        <is>
          <t>Market-implied completion probability</t>
        </is>
      </c>
      <c r="B25">
        <f>(B21-B23)/(B24-B23)</f>
        <v/>
      </c>
    </row>
    <row r="26">
      <c r="A26" t="inlineStr">
        <is>
          <t>Gross spread to remaining consideration</t>
        </is>
      </c>
      <c r="B26">
        <f>B4/B21-1</f>
        <v/>
      </c>
    </row>
    <row r="27">
      <c r="A27" t="inlineStr">
        <is>
          <t>Annualised spread</t>
        </is>
      </c>
      <c r="B27">
        <f>(B4/B21)^(1/B5)-1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6" min="1" max="1"/>
    <col width="100" customWidth="1" style="6" min="2" max="2"/>
  </cols>
  <sheetData>
    <row r="1" ht="15" customHeight="1" s="5">
      <c r="A1" s="6" t="inlineStr">
        <is>
          <t>Ticker</t>
        </is>
      </c>
      <c r="B1" s="6" t="inlineStr">
        <is>
          <t>ITRK.L</t>
        </is>
      </c>
    </row>
    <row r="2" ht="15" customHeight="1" s="5">
      <c r="A2" s="6" t="inlineStr">
        <is>
          <t>Company</t>
        </is>
      </c>
      <c r="B2" s="6" t="inlineStr">
        <is>
          <t>Intertek Group plc</t>
        </is>
      </c>
    </row>
    <row r="3" ht="15" customHeight="1" s="5">
      <c r="A3" s="6" t="inlineStr">
        <is>
          <t>Valuation date</t>
        </is>
      </c>
      <c r="B3" s="6" t="inlineStr">
        <is>
          <t>2026-10-10</t>
        </is>
      </c>
    </row>
    <row r="4" ht="15" customHeight="1" s="5">
      <c r="A4" s="6" t="inlineStr">
        <is>
          <t>Current price</t>
        </is>
      </c>
      <c r="B4" s="6" t="n">
        <v>5890</v>
      </c>
    </row>
    <row r="5" ht="15" customHeight="1" s="5">
      <c r="A5" s="6" t="inlineStr">
        <is>
          <t>Price as of</t>
        </is>
      </c>
      <c r="B5" s="6" t="inlineStr">
        <is>
          <t>2026-10-09T16:15:00Z regular close (Yahoo chart API); not an after-hours print</t>
        </is>
      </c>
    </row>
    <row r="6" ht="15" customHeight="1" s="5">
      <c r="A6" s="6" t="inlineStr">
        <is>
          <t>Balance sheet date</t>
        </is>
      </c>
      <c r="B6" s="6" t="inlineStr">
        <is>
          <t>2026-06-30</t>
        </is>
      </c>
    </row>
    <row r="7" ht="15" customHeight="1" s="5">
      <c r="A7" s="6" t="inlineStr">
        <is>
          <t>Model</t>
        </is>
      </c>
      <c r="B7" s="6" t="inlineStr">
        <is>
          <t>owner_fcf_dcf_component</t>
        </is>
      </c>
    </row>
    <row r="8" ht="15" customHeight="1" s="5">
      <c r="A8" s="6" t="inlineStr">
        <is>
          <t>Currency (model)</t>
        </is>
      </c>
      <c r="B8" s="6" t="inlineStr">
        <is>
          <t>GBP</t>
        </is>
      </c>
    </row>
    <row r="9" ht="15" customHeight="1" s="5">
      <c r="A9" s="6" t="inlineStr">
        <is>
          <t>Currency (quote)</t>
        </is>
      </c>
      <c r="B9" s="6" t="inlineStr">
        <is>
          <t>GBp</t>
        </is>
      </c>
    </row>
    <row r="10" ht="15" customHeight="1" s="5">
      <c r="A10" s="6" t="inlineStr">
        <is>
          <t>Units</t>
        </is>
      </c>
      <c r="B10" s="6" t="inlineStr">
        <is>
          <t>millions</t>
        </is>
      </c>
    </row>
    <row r="11" ht="15" customHeight="1" s="5">
      <c r="A11" s="6" t="inlineStr">
        <is>
          <t>Engine</t>
        </is>
      </c>
      <c r="B11" s="6" t="inlineStr">
        <is>
          <t>dcf_engine v1</t>
        </is>
      </c>
    </row>
    <row r="12" ht="15" customHeight="1" s="5">
      <c r="A12" s="6" t="inlineStr">
        <is>
          <t>Built at</t>
        </is>
      </c>
      <c r="B12" s="6" t="inlineStr">
        <is>
          <t>2026-10-10T00:44:54Z</t>
        </is>
      </c>
    </row>
    <row r="13" ht="15" customHeight="1" s="5">
      <c r="A13" s="6" t="inlineStr">
        <is>
          <t>Drivers file</t>
        </is>
      </c>
      <c r="B13" s="6" t="inlineStr">
        <is>
          <t>ITRK.L_Drivers.json</t>
        </is>
      </c>
    </row>
    <row r="14" ht="15" customHeight="1" s="5">
      <c r="A14" s="6" t="inlineStr">
        <is>
          <t>Convention</t>
        </is>
      </c>
      <c r="B14" s="6" t="inlineStr">
        <is>
          <t>Percents stored as percents; formulas divide by 100. Blue = input, green = link, black = formula.</t>
        </is>
      </c>
    </row>
    <row r="15" ht="23.85" customHeight="1" s="5">
      <c r="A15" s="6" t="inlineStr">
        <is>
          <t>Methodology</t>
        </is>
      </c>
      <c r="B15" s="7" t="inlineStr">
        <is>
          <t>summary: Standalone owner-FCF DCF leg of a deal-weighted valuation. See ITRK.L_DCF.json valuation_philosophy for the full approach.
key_risks_to_valuation: Scheme lapses on regulatory grounds; Consumer-goods sourcing volumes under tariffs; World of Energy cyclicality; Rising leverage (1.4x net debt/EBITDA after the FY2025 buyback)</t>
        </is>
      </c>
    </row>
    <row r="16" ht="35.05" customHeight="1" s="5">
      <c r="A16" s="6" t="inlineStr">
        <is>
          <t>Data sources</t>
        </is>
      </c>
      <c r="B16" s="7" t="inlineStr">
        <is>
          <t>price: Yahoo Finance chart API at inputs.price_as_of; 52-week range 3519-5900 GBp
financials: ITRK.L_Metrics.csv (FY2019-FY2025 + half-years) from the FY2019-FY2025 annual reports and the H1 FY2026 half-year report; component lines cited by file:line in inputs.*
qualitative: ITRK.L_Analysis.json (2026-10-10); H1 FY2026 half-year report EQT Transaction Update and outlook</t>
        </is>
      </c>
    </row>
    <row r="17" ht="15" customHeight="1" s="5">
      <c r="A17" s="6" t="inlineStr">
        <is>
          <t>Scenario narrative: bear</t>
        </is>
      </c>
      <c r="B17" s="6" t="inlineStr">
        <is>
          <t>Deal breaks on a regulatory block into a consumer-sourcing/energy downturn; growth 2-3%, margin stalls at 23% pre-SBC.</t>
        </is>
      </c>
    </row>
    <row r="18" ht="15" customHeight="1" s="5">
      <c r="A18" s="6" t="inlineStr">
        <is>
          <t>Scenario narrative: base</t>
        </is>
      </c>
      <c r="B18" s="6" t="inlineStr">
        <is>
          <t>Deal breaks, standalone base: mid-single-digit LFL growth plus bolt-ons, margin progression toward and past the 18.5%+ adjusted operating margin target, 26% cash tax, leases expensed, NCI deducted.</t>
        </is>
      </c>
    </row>
    <row r="19" ht="15" customHeight="1" s="5">
      <c r="A19" s="6" t="inlineStr">
        <is>
          <t>Scenario narrative: bull</t>
        </is>
      </c>
      <c r="B19" s="6" t="inlineStr">
        <is>
          <t>Standalone bull, reference leg only (superseded in the shipped DCF by the deal-completes scenario).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5">
      <c r="A1" s="8" t="inlineStr">
        <is>
          <t>Period</t>
        </is>
      </c>
      <c r="B1" s="8" t="inlineStr">
        <is>
          <t>Revenue</t>
        </is>
      </c>
      <c r="C1" s="8" t="inlineStr">
        <is>
          <t>CostOfRevenue</t>
        </is>
      </c>
      <c r="D1" s="8" t="inlineStr">
        <is>
          <t>GrossProfit</t>
        </is>
      </c>
      <c r="E1" s="8" t="inlineStr">
        <is>
          <t>GrossMargin</t>
        </is>
      </c>
      <c r="F1" s="8" t="inlineStr">
        <is>
          <t>OperatingIncome</t>
        </is>
      </c>
      <c r="G1" s="8" t="inlineStr">
        <is>
          <t>OperatingMargin</t>
        </is>
      </c>
      <c r="H1" s="8" t="inlineStr">
        <is>
          <t>EBITDA</t>
        </is>
      </c>
      <c r="I1" s="8" t="inlineStr">
        <is>
          <t>NetIncome</t>
        </is>
      </c>
      <c r="J1" s="8" t="inlineStr">
        <is>
          <t>NetMargin</t>
        </is>
      </c>
      <c r="K1" s="8" t="inlineStr">
        <is>
          <t>EPS</t>
        </is>
      </c>
      <c r="L1" s="8" t="inlineStr">
        <is>
          <t>OperatingCashFlow</t>
        </is>
      </c>
      <c r="M1" s="8" t="inlineStr">
        <is>
          <t>CapEx</t>
        </is>
      </c>
      <c r="N1" s="8" t="inlineStr">
        <is>
          <t>FreeCashFlow</t>
        </is>
      </c>
      <c r="O1" s="8" t="inlineStr">
        <is>
          <t>ShareholdersEquity</t>
        </is>
      </c>
      <c r="P1" s="8" t="inlineStr">
        <is>
          <t>TotalAssets</t>
        </is>
      </c>
      <c r="Q1" s="8" t="inlineStr">
        <is>
          <t>TotalLiabilities</t>
        </is>
      </c>
      <c r="R1" s="8" t="inlineStr">
        <is>
          <t>TotalDebt</t>
        </is>
      </c>
      <c r="S1" s="8" t="inlineStr">
        <is>
          <t>CashAndEquivalents</t>
        </is>
      </c>
      <c r="T1" s="8" t="inlineStr">
        <is>
          <t>SharesOutstanding</t>
        </is>
      </c>
      <c r="U1" s="8" t="inlineStr">
        <is>
          <t>StockBasedComp</t>
        </is>
      </c>
      <c r="V1" s="8" t="inlineStr">
        <is>
          <t>DividendPerShare</t>
        </is>
      </c>
      <c r="W1" s="8" t="inlineStr">
        <is>
          <t>EBITDABeforeSignificant</t>
        </is>
      </c>
      <c r="X1" s="8" t="inlineStr">
        <is>
          <t>RevenueContinuing</t>
        </is>
      </c>
      <c r="Y1" s="8" t="inlineStr">
        <is>
          <t>EBITDAContinuingBeforeSignificant</t>
        </is>
      </c>
      <c r="Z1" s="8" t="inlineStr">
        <is>
          <t>EBITContinuingBeforeSignificant</t>
        </is>
      </c>
      <c r="AA1" s="8" t="inlineStr">
        <is>
          <t>Units</t>
        </is>
      </c>
      <c r="AB1" s="8" t="inlineStr">
        <is>
          <t>Currency</t>
        </is>
      </c>
      <c r="AC1" s="8" t="inlineStr">
        <is>
          <t>AdjustedNetIncome</t>
        </is>
      </c>
      <c r="AD1" s="8" t="inlineStr">
        <is>
          <t>TotalEquityInclNCI</t>
        </is>
      </c>
    </row>
    <row r="2" ht="15" customHeight="1" s="5">
      <c r="A2" s="6" t="inlineStr">
        <is>
          <t>FY2019</t>
        </is>
      </c>
      <c r="B2" s="6" t="n">
        <v>2987</v>
      </c>
      <c r="F2" s="6" t="n">
        <v>485.8</v>
      </c>
      <c r="G2" s="6" t="n">
        <v>16.3</v>
      </c>
      <c r="H2" s="6" t="n">
        <v>686.4</v>
      </c>
      <c r="I2" s="6" t="n">
        <v>313.1</v>
      </c>
      <c r="J2" s="6" t="n">
        <v>10.5</v>
      </c>
      <c r="K2" s="6" t="n">
        <v>1.926</v>
      </c>
      <c r="L2" s="6" t="n">
        <v>562.8</v>
      </c>
      <c r="M2" s="6" t="n">
        <v>116.8</v>
      </c>
      <c r="N2" s="6" t="n">
        <v>380</v>
      </c>
      <c r="O2" s="6" t="n">
        <v>955.9</v>
      </c>
      <c r="P2" s="6" t="n">
        <v>2818.4</v>
      </c>
      <c r="Q2" s="6" t="n">
        <v>1833.1</v>
      </c>
      <c r="R2" s="6" t="n">
        <v>856.8</v>
      </c>
      <c r="S2" s="6" t="n">
        <v>227.4</v>
      </c>
      <c r="T2" s="6" t="n">
        <v>162.6</v>
      </c>
      <c r="U2" s="6" t="n">
        <v>21.9</v>
      </c>
      <c r="Z2" s="6" t="n">
        <v>524.2</v>
      </c>
      <c r="AA2" s="6" t="inlineStr">
        <is>
          <t>millions</t>
        </is>
      </c>
      <c r="AB2" s="6" t="inlineStr">
        <is>
          <t>GBP</t>
        </is>
      </c>
      <c r="AC2" s="6" t="n">
        <v>345.5</v>
      </c>
      <c r="AD2" s="6" t="n">
        <v>985.3</v>
      </c>
    </row>
    <row r="3" ht="15" customHeight="1" s="5">
      <c r="A3" s="6" t="inlineStr">
        <is>
          <t>FY2020</t>
        </is>
      </c>
      <c r="B3" s="6" t="n">
        <v>2741.7</v>
      </c>
      <c r="F3" s="6" t="n">
        <v>378.2</v>
      </c>
      <c r="G3" s="6" t="n">
        <v>13.8</v>
      </c>
      <c r="H3" s="6" t="n">
        <v>580.3</v>
      </c>
      <c r="I3" s="6" t="n">
        <v>247.3</v>
      </c>
      <c r="J3" s="6" t="n">
        <v>9</v>
      </c>
      <c r="K3" s="6" t="n">
        <v>1.524</v>
      </c>
      <c r="L3" s="6" t="n">
        <v>558.8</v>
      </c>
      <c r="M3" s="6" t="n">
        <v>79.8</v>
      </c>
      <c r="N3" s="6" t="n">
        <v>415.7</v>
      </c>
      <c r="O3" s="6" t="n">
        <v>975</v>
      </c>
      <c r="P3" s="6" t="n">
        <v>2615.1</v>
      </c>
      <c r="Q3" s="6" t="n">
        <v>1612.1</v>
      </c>
      <c r="R3" s="6" t="n">
        <v>623.8</v>
      </c>
      <c r="S3" s="6" t="n">
        <v>203.9</v>
      </c>
      <c r="T3" s="6" t="n">
        <v>162.3</v>
      </c>
      <c r="U3" s="6" t="n">
        <v>17.7</v>
      </c>
      <c r="Z3" s="6" t="n">
        <v>427.7</v>
      </c>
      <c r="AA3" s="6" t="inlineStr">
        <is>
          <t>millions</t>
        </is>
      </c>
      <c r="AB3" s="6" t="inlineStr">
        <is>
          <t>GBP</t>
        </is>
      </c>
      <c r="AC3" s="6" t="n">
        <v>277.3</v>
      </c>
      <c r="AD3" s="6" t="n">
        <v>1003</v>
      </c>
    </row>
    <row r="4" ht="15" customHeight="1" s="5">
      <c r="A4" s="6" t="inlineStr">
        <is>
          <t>FY2021</t>
        </is>
      </c>
      <c r="B4" s="6" t="n">
        <v>2786.3</v>
      </c>
      <c r="F4" s="6" t="n">
        <v>433.2</v>
      </c>
      <c r="G4" s="6" t="n">
        <v>15.5</v>
      </c>
      <c r="H4" s="6" t="n">
        <v>631.8</v>
      </c>
      <c r="I4" s="6" t="n">
        <v>288.1</v>
      </c>
      <c r="J4" s="6" t="n">
        <v>10.3</v>
      </c>
      <c r="K4" s="6" t="n">
        <v>1.779</v>
      </c>
      <c r="L4" s="6" t="n">
        <v>550.2</v>
      </c>
      <c r="M4" s="6" t="n">
        <v>97.09999999999999</v>
      </c>
      <c r="N4" s="6" t="n">
        <v>385.2</v>
      </c>
      <c r="O4" s="6" t="n">
        <v>1082</v>
      </c>
      <c r="P4" s="6" t="n">
        <v>3249.7</v>
      </c>
      <c r="Q4" s="6" t="n">
        <v>2135.4</v>
      </c>
      <c r="R4" s="6" t="n">
        <v>999.2</v>
      </c>
      <c r="S4" s="6" t="n">
        <v>265.9</v>
      </c>
      <c r="T4" s="6" t="n">
        <v>161.9</v>
      </c>
      <c r="U4" s="6" t="n">
        <v>18.6</v>
      </c>
      <c r="Z4" s="6" t="n">
        <v>473.9</v>
      </c>
      <c r="AA4" s="6" t="inlineStr">
        <is>
          <t>millions</t>
        </is>
      </c>
      <c r="AB4" s="6" t="inlineStr">
        <is>
          <t>GBP</t>
        </is>
      </c>
      <c r="AC4" s="6" t="n">
        <v>308.9</v>
      </c>
      <c r="AD4" s="6" t="n">
        <v>1114.3</v>
      </c>
    </row>
    <row r="5" ht="15" customHeight="1" s="5">
      <c r="A5" s="6" t="inlineStr">
        <is>
          <t>FY2022</t>
        </is>
      </c>
      <c r="B5" s="6" t="n">
        <v>3192.9</v>
      </c>
      <c r="F5" s="6" t="n">
        <v>452.4</v>
      </c>
      <c r="G5" s="6" t="n">
        <v>14.2</v>
      </c>
      <c r="H5" s="6" t="n">
        <v>667.7</v>
      </c>
      <c r="I5" s="6" t="n">
        <v>288.8</v>
      </c>
      <c r="J5" s="6" t="n">
        <v>9</v>
      </c>
      <c r="K5" s="6" t="n">
        <v>1.784</v>
      </c>
      <c r="L5" s="6" t="n">
        <v>559.9</v>
      </c>
      <c r="M5" s="6" t="n">
        <v>116.5</v>
      </c>
      <c r="N5" s="6" t="n">
        <v>368.4</v>
      </c>
      <c r="O5" s="6" t="n">
        <v>1284</v>
      </c>
      <c r="P5" s="6" t="n">
        <v>3660.3</v>
      </c>
      <c r="Q5" s="6" t="n">
        <v>2342.3</v>
      </c>
      <c r="R5" s="6" t="n">
        <v>1059.5</v>
      </c>
      <c r="S5" s="6" t="n">
        <v>321.6</v>
      </c>
      <c r="T5" s="6" t="n">
        <v>161.9</v>
      </c>
      <c r="U5" s="6" t="n">
        <v>17.5</v>
      </c>
      <c r="Z5" s="6" t="n">
        <v>520.1</v>
      </c>
      <c r="AA5" s="6" t="inlineStr">
        <is>
          <t>millions</t>
        </is>
      </c>
      <c r="AB5" s="6" t="inlineStr">
        <is>
          <t>GBP</t>
        </is>
      </c>
      <c r="AC5" s="6" t="n">
        <v>341.8</v>
      </c>
      <c r="AD5" s="6" t="n">
        <v>1318</v>
      </c>
    </row>
    <row r="6" ht="15" customHeight="1" s="5">
      <c r="A6" s="6" t="inlineStr">
        <is>
          <t>FY2023</t>
        </is>
      </c>
      <c r="B6" s="6" t="n">
        <v>3328.7</v>
      </c>
      <c r="F6" s="6" t="n">
        <v>486.2</v>
      </c>
      <c r="G6" s="6" t="n">
        <v>14.6</v>
      </c>
      <c r="H6" s="6" t="n">
        <v>695.7</v>
      </c>
      <c r="I6" s="6" t="n">
        <v>297.4</v>
      </c>
      <c r="J6" s="6" t="n">
        <v>8.9</v>
      </c>
      <c r="K6" s="6" t="n">
        <v>1.834</v>
      </c>
      <c r="L6" s="6" t="n">
        <v>535</v>
      </c>
      <c r="M6" s="6" t="n">
        <v>116.9</v>
      </c>
      <c r="N6" s="6" t="n">
        <v>355.3</v>
      </c>
      <c r="O6" s="6" t="n">
        <v>1323.4</v>
      </c>
      <c r="P6" s="6" t="n">
        <v>3537.9</v>
      </c>
      <c r="Q6" s="6" t="n">
        <v>2177.8</v>
      </c>
      <c r="R6" s="6" t="n">
        <v>909.9</v>
      </c>
      <c r="S6" s="6" t="n">
        <v>299.3</v>
      </c>
      <c r="T6" s="6" t="n">
        <v>162.2</v>
      </c>
      <c r="U6" s="6" t="n">
        <v>21.2</v>
      </c>
      <c r="Z6" s="6" t="n">
        <v>551.1</v>
      </c>
      <c r="AA6" s="6" t="inlineStr">
        <is>
          <t>millions</t>
        </is>
      </c>
      <c r="AB6" s="6" t="inlineStr">
        <is>
          <t>GBP</t>
        </is>
      </c>
      <c r="AC6" s="6" t="n">
        <v>361.7</v>
      </c>
      <c r="AD6" s="6" t="n">
        <v>1360.1</v>
      </c>
    </row>
    <row r="7" ht="15" customHeight="1" s="5">
      <c r="A7" s="6" t="inlineStr">
        <is>
          <t>FY2024</t>
        </is>
      </c>
      <c r="B7" s="6" t="n">
        <v>3393.2</v>
      </c>
      <c r="F7" s="6" t="n">
        <v>535.7</v>
      </c>
      <c r="G7" s="6" t="n">
        <v>15.8</v>
      </c>
      <c r="H7" s="6" t="n">
        <v>729.7</v>
      </c>
      <c r="I7" s="6" t="n">
        <v>345.4</v>
      </c>
      <c r="J7" s="6" t="n">
        <v>10.2</v>
      </c>
      <c r="K7" s="6" t="n">
        <v>2.127</v>
      </c>
      <c r="L7" s="6" t="n">
        <v>597.1</v>
      </c>
      <c r="M7" s="6" t="n">
        <v>135</v>
      </c>
      <c r="N7" s="6" t="n">
        <v>395.4</v>
      </c>
      <c r="O7" s="6" t="n">
        <v>1401.9</v>
      </c>
      <c r="P7" s="6" t="n">
        <v>3599.3</v>
      </c>
      <c r="Q7" s="6" t="n">
        <v>2154.4</v>
      </c>
      <c r="R7" s="6" t="n">
        <v>842.8</v>
      </c>
      <c r="S7" s="6" t="n">
        <v>343</v>
      </c>
      <c r="T7" s="6" t="n">
        <v>162.4</v>
      </c>
      <c r="U7" s="6" t="n">
        <v>24.4</v>
      </c>
      <c r="Z7" s="6" t="n">
        <v>590.1</v>
      </c>
      <c r="AA7" s="6" t="inlineStr">
        <is>
          <t>millions</t>
        </is>
      </c>
      <c r="AB7" s="6" t="inlineStr">
        <is>
          <t>GBP</t>
        </is>
      </c>
      <c r="AC7" s="6" t="n">
        <v>390.8</v>
      </c>
      <c r="AD7" s="6" t="n">
        <v>1444.9</v>
      </c>
    </row>
    <row r="8" ht="15" customHeight="1" s="5">
      <c r="A8" s="6" t="inlineStr">
        <is>
          <t>FY2025</t>
        </is>
      </c>
      <c r="B8" s="6" t="n">
        <v>3431.6</v>
      </c>
      <c r="F8" s="6" t="n">
        <v>542.3</v>
      </c>
      <c r="G8" s="6" t="n">
        <v>15.8</v>
      </c>
      <c r="H8" s="6" t="n">
        <v>745.2</v>
      </c>
      <c r="I8" s="6" t="n">
        <v>343.5</v>
      </c>
      <c r="J8" s="6" t="n">
        <v>10</v>
      </c>
      <c r="K8" s="6" t="n">
        <v>2.16</v>
      </c>
      <c r="L8" s="6" t="n">
        <v>536.5</v>
      </c>
      <c r="M8" s="6" t="n">
        <v>144.5</v>
      </c>
      <c r="N8" s="6" t="n">
        <v>327</v>
      </c>
      <c r="O8" s="6" t="n">
        <v>1082.9</v>
      </c>
      <c r="P8" s="6" t="n">
        <v>3761.5</v>
      </c>
      <c r="Q8" s="6" t="n">
        <v>2634</v>
      </c>
      <c r="R8" s="6" t="n">
        <v>1326</v>
      </c>
      <c r="S8" s="6" t="n">
        <v>329.2</v>
      </c>
      <c r="T8" s="6" t="n">
        <v>159</v>
      </c>
      <c r="U8" s="6" t="n">
        <v>24.3</v>
      </c>
      <c r="Z8" s="6" t="n">
        <v>619.6</v>
      </c>
      <c r="AA8" s="6" t="inlineStr">
        <is>
          <t>millions</t>
        </is>
      </c>
      <c r="AB8" s="6" t="inlineStr">
        <is>
          <t>GBP</t>
        </is>
      </c>
      <c r="AC8" s="6" t="n">
        <v>403.1</v>
      </c>
      <c r="AD8" s="6" t="n">
        <v>1127.5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6" min="1" max="1"/>
  </cols>
  <sheetData>
    <row r="1" ht="15" customHeight="1" s="5">
      <c r="A1" s="8" t="inlineStr">
        <is>
          <t>Input</t>
        </is>
      </c>
      <c r="B1" s="8" t="inlineStr">
        <is>
          <t>Value</t>
        </is>
      </c>
    </row>
    <row r="2" ht="15" customHeight="1" s="5">
      <c r="A2" s="6" t="inlineStr">
        <is>
          <t>Current price (quote currency)</t>
        </is>
      </c>
      <c r="B2" s="9" t="n">
        <v>5890</v>
      </c>
    </row>
    <row r="3" ht="15" customHeight="1" s="5">
      <c r="A3" s="6" t="inlineStr">
        <is>
          <t>Shares, final projected (m)</t>
        </is>
      </c>
      <c r="B3" s="9" t="n">
        <v>154.8</v>
      </c>
    </row>
    <row r="4" ht="15" customHeight="1" s="5">
      <c r="A4" s="6" t="inlineStr">
        <is>
          <t>Net debt (m, model currency)</t>
        </is>
      </c>
      <c r="B4" s="9" t="n">
        <v>1145.5</v>
      </c>
    </row>
    <row r="5" ht="15" customHeight="1" s="5">
      <c r="A5" s="6" t="inlineStr">
        <is>
          <t>Equity bridge total (m, + adds)</t>
        </is>
      </c>
      <c r="B5" s="9" t="n">
        <v>-300</v>
      </c>
    </row>
    <row r="6" ht="15" customHeight="1" s="5">
      <c r="A6" s="6" t="inlineStr">
        <is>
          <t>Hurdle rate (%)</t>
        </is>
      </c>
      <c r="B6" s="9" t="n">
        <v>15</v>
      </c>
    </row>
    <row r="7" ht="15" customHeight="1" s="5">
      <c r="A7" s="6" t="inlineStr">
        <is>
          <t>Base revenue FY0 (m)</t>
        </is>
      </c>
      <c r="B7" s="9" t="n">
        <v>3431.6</v>
      </c>
    </row>
    <row r="8" ht="15" customHeight="1" s="5">
      <c r="A8" s="6" t="inlineStr">
        <is>
          <t>FY0</t>
        </is>
      </c>
      <c r="B8" s="9" t="inlineStr">
        <is>
          <t>FY2025</t>
        </is>
      </c>
    </row>
    <row r="9" ht="15" customHeight="1" s="5">
      <c r="A9" s="6" t="inlineStr">
        <is>
          <t>Currency / units</t>
        </is>
      </c>
      <c r="B9" s="9" t="inlineStr">
        <is>
          <t>GBP millions</t>
        </is>
      </c>
    </row>
    <row r="10" ht="15" customHeight="1" s="5">
      <c r="A10" s="6" t="inlineStr">
        <is>
          <t>FX rate (model -&gt; quote)</t>
        </is>
      </c>
      <c r="B10" s="9" t="n">
        <v>100</v>
      </c>
    </row>
    <row r="12" ht="15" customHeight="1" s="5">
      <c r="A12" s="8" t="inlineStr">
        <is>
          <t>BEAR</t>
        </is>
      </c>
      <c r="C12" s="8" t="inlineStr">
        <is>
          <t>FY2026</t>
        </is>
      </c>
      <c r="D12" s="8" t="inlineStr">
        <is>
          <t>FY2027</t>
        </is>
      </c>
      <c r="E12" s="8" t="inlineStr">
        <is>
          <t>FY2028</t>
        </is>
      </c>
      <c r="F12" s="8" t="inlineStr">
        <is>
          <t>FY2029</t>
        </is>
      </c>
      <c r="G12" s="8" t="inlineStr">
        <is>
          <t>FY2030</t>
        </is>
      </c>
      <c r="H12" s="8" t="inlineStr">
        <is>
          <t>FY2031</t>
        </is>
      </c>
      <c r="I12" s="8" t="inlineStr">
        <is>
          <t>FY2032</t>
        </is>
      </c>
      <c r="J12" s="8" t="inlineStr">
        <is>
          <t>FY2033</t>
        </is>
      </c>
      <c r="K12" s="8" t="inlineStr">
        <is>
          <t>FY2034</t>
        </is>
      </c>
      <c r="L12" s="8" t="inlineStr">
        <is>
          <t>FY2035</t>
        </is>
      </c>
    </row>
    <row r="13" ht="15" customHeight="1" s="5">
      <c r="A13" s="6" t="inlineStr">
        <is>
          <t>Revenue growth (%)</t>
        </is>
      </c>
      <c r="C13" s="9" t="n">
        <v>4</v>
      </c>
      <c r="D13" s="9" t="n">
        <v>2</v>
      </c>
      <c r="E13" s="9" t="n">
        <v>2.5</v>
      </c>
      <c r="F13" s="9" t="n">
        <v>3</v>
      </c>
      <c r="G13" s="9" t="n">
        <v>3</v>
      </c>
      <c r="H13" s="9" t="n">
        <v>3</v>
      </c>
      <c r="I13" s="9" t="n">
        <v>2.5</v>
      </c>
      <c r="J13" s="9" t="n">
        <v>2.5</v>
      </c>
      <c r="K13" s="9" t="n">
        <v>2.5</v>
      </c>
      <c r="L13" s="9" t="n">
        <v>2</v>
      </c>
    </row>
    <row r="14" ht="15" customHeight="1" s="5">
      <c r="A14" s="6" t="inlineStr">
        <is>
          <t>EBITDA margin (%)</t>
        </is>
      </c>
      <c r="C14" s="9" t="n">
        <v>22.8</v>
      </c>
      <c r="D14" s="9" t="n">
        <v>22.4</v>
      </c>
      <c r="E14" s="9" t="n">
        <v>22.4</v>
      </c>
      <c r="F14" s="9" t="n">
        <v>22.6</v>
      </c>
      <c r="G14" s="9" t="n">
        <v>22.8</v>
      </c>
      <c r="H14" s="9" t="n">
        <v>23</v>
      </c>
      <c r="I14" s="9" t="n">
        <v>23</v>
      </c>
      <c r="J14" s="9" t="n">
        <v>23</v>
      </c>
      <c r="K14" s="9" t="n">
        <v>23</v>
      </c>
      <c r="L14" s="9" t="n">
        <v>23</v>
      </c>
    </row>
    <row r="15" ht="15" customHeight="1" s="5">
      <c r="A15" s="6" t="inlineStr">
        <is>
          <t>SBC (% of revenue)</t>
        </is>
      </c>
      <c r="C15" s="9" t="n">
        <v>1</v>
      </c>
      <c r="D15" s="9" t="n">
        <v>1</v>
      </c>
      <c r="E15" s="9" t="n">
        <v>1</v>
      </c>
      <c r="F15" s="9" t="n">
        <v>1</v>
      </c>
      <c r="G15" s="9" t="n">
        <v>1</v>
      </c>
      <c r="H15" s="9" t="n">
        <v>1</v>
      </c>
      <c r="I15" s="9" t="n">
        <v>1</v>
      </c>
      <c r="J15" s="9" t="n">
        <v>1</v>
      </c>
      <c r="K15" s="9" t="n">
        <v>1</v>
      </c>
      <c r="L15" s="9" t="n">
        <v>1</v>
      </c>
    </row>
    <row r="16" ht="15" customHeight="1" s="5">
      <c r="A16" s="6" t="inlineStr">
        <is>
          <t>Lease cost (% of revenue)</t>
        </is>
      </c>
      <c r="C16" s="9" t="n">
        <v>2.6</v>
      </c>
      <c r="D16" s="9" t="n">
        <v>2.6</v>
      </c>
      <c r="E16" s="9" t="n">
        <v>2.6</v>
      </c>
      <c r="F16" s="9" t="n">
        <v>2.6</v>
      </c>
      <c r="G16" s="9" t="n">
        <v>2.6</v>
      </c>
      <c r="H16" s="9" t="n">
        <v>2.6</v>
      </c>
      <c r="I16" s="9" t="n">
        <v>2.6</v>
      </c>
      <c r="J16" s="9" t="n">
        <v>2.6</v>
      </c>
      <c r="K16" s="9" t="n">
        <v>2.6</v>
      </c>
      <c r="L16" s="9" t="n">
        <v>2.6</v>
      </c>
    </row>
    <row r="17" ht="15" customHeight="1" s="5">
      <c r="A17" s="6" t="inlineStr">
        <is>
          <t>D&amp;A (% of revenue)</t>
        </is>
      </c>
      <c r="C17" s="9" t="n">
        <v>2.6</v>
      </c>
      <c r="D17" s="9" t="n">
        <v>2.6</v>
      </c>
      <c r="E17" s="9" t="n">
        <v>2.6</v>
      </c>
      <c r="F17" s="9" t="n">
        <v>2.6</v>
      </c>
      <c r="G17" s="9" t="n">
        <v>2.6</v>
      </c>
      <c r="H17" s="9" t="n">
        <v>2.6</v>
      </c>
      <c r="I17" s="9" t="n">
        <v>2.6</v>
      </c>
      <c r="J17" s="9" t="n">
        <v>2.6</v>
      </c>
      <c r="K17" s="9" t="n">
        <v>2.6</v>
      </c>
      <c r="L17" s="9" t="n">
        <v>2.6</v>
      </c>
    </row>
    <row r="18" ht="15" customHeight="1" s="5">
      <c r="A18" s="6" t="inlineStr">
        <is>
          <t>Capex (% of revenue)</t>
        </is>
      </c>
      <c r="C18" s="9" t="n">
        <v>4.3</v>
      </c>
      <c r="D18" s="9" t="n">
        <v>4.2</v>
      </c>
      <c r="E18" s="9" t="n">
        <v>4.2</v>
      </c>
      <c r="F18" s="9" t="n">
        <v>4.2</v>
      </c>
      <c r="G18" s="9" t="n">
        <v>4.2</v>
      </c>
      <c r="H18" s="9" t="n">
        <v>4.2</v>
      </c>
      <c r="I18" s="9" t="n">
        <v>4.2</v>
      </c>
      <c r="J18" s="9" t="n">
        <v>4.2</v>
      </c>
      <c r="K18" s="9" t="n">
        <v>4.2</v>
      </c>
      <c r="L18" s="9" t="n">
        <v>4.2</v>
      </c>
    </row>
    <row r="19" ht="15" customHeight="1" s="5">
      <c r="A19" s="6" t="inlineStr">
        <is>
          <t>Cash tax rate (%)</t>
        </is>
      </c>
      <c r="C19" s="9" t="n">
        <v>26</v>
      </c>
      <c r="D19" s="9" t="n">
        <v>26</v>
      </c>
      <c r="E19" s="9" t="n">
        <v>26</v>
      </c>
      <c r="F19" s="9" t="n">
        <v>26</v>
      </c>
      <c r="G19" s="9" t="n">
        <v>26</v>
      </c>
      <c r="H19" s="9" t="n">
        <v>26</v>
      </c>
      <c r="I19" s="9" t="n">
        <v>26</v>
      </c>
      <c r="J19" s="9" t="n">
        <v>26</v>
      </c>
      <c r="K19" s="9" t="n">
        <v>26</v>
      </c>
      <c r="L19" s="9" t="n">
        <v>26</v>
      </c>
    </row>
    <row r="20" ht="15" customHeight="1" s="5">
      <c r="A20" s="6" t="inlineStr">
        <is>
          <t>WACC (%)</t>
        </is>
      </c>
      <c r="B20" s="9" t="n">
        <v>8</v>
      </c>
    </row>
    <row r="21" ht="15" customHeight="1" s="5">
      <c r="A21" s="6" t="inlineStr">
        <is>
          <t>Terminal growth (%)</t>
        </is>
      </c>
      <c r="B21" s="9" t="n">
        <v>2</v>
      </c>
    </row>
    <row r="22" ht="15" customHeight="1" s="5">
      <c r="A22" s="6" t="inlineStr">
        <is>
          <t>Terminal cap multiple (x FCF)</t>
        </is>
      </c>
      <c r="B22" s="9" t="n">
        <v>16</v>
      </c>
    </row>
    <row r="23" ht="15" customHeight="1" s="5">
      <c r="A23" s="6" t="inlineStr">
        <is>
          <t>Working-capital capture (% of revenue change)</t>
        </is>
      </c>
      <c r="B23" s="9" t="n">
        <v>0</v>
      </c>
    </row>
    <row r="24" ht="15" customHeight="1" s="5">
      <c r="A24" s="6" t="inlineStr">
        <is>
          <t>Scenario weight</t>
        </is>
      </c>
      <c r="B24" s="9" t="n">
        <v>0.15</v>
      </c>
    </row>
    <row r="26" ht="15" customHeight="1" s="5">
      <c r="A26" s="8" t="inlineStr">
        <is>
          <t>BASE</t>
        </is>
      </c>
      <c r="C26" s="8" t="inlineStr">
        <is>
          <t>FY2026</t>
        </is>
      </c>
      <c r="D26" s="8" t="inlineStr">
        <is>
          <t>FY2027</t>
        </is>
      </c>
      <c r="E26" s="8" t="inlineStr">
        <is>
          <t>FY2028</t>
        </is>
      </c>
      <c r="F26" s="8" t="inlineStr">
        <is>
          <t>FY2029</t>
        </is>
      </c>
      <c r="G26" s="8" t="inlineStr">
        <is>
          <t>FY2030</t>
        </is>
      </c>
      <c r="H26" s="8" t="inlineStr">
        <is>
          <t>FY2031</t>
        </is>
      </c>
      <c r="I26" s="8" t="inlineStr">
        <is>
          <t>FY2032</t>
        </is>
      </c>
      <c r="J26" s="8" t="inlineStr">
        <is>
          <t>FY2033</t>
        </is>
      </c>
      <c r="K26" s="8" t="inlineStr">
        <is>
          <t>FY2034</t>
        </is>
      </c>
      <c r="L26" s="8" t="inlineStr">
        <is>
          <t>FY2035</t>
        </is>
      </c>
    </row>
    <row r="27" ht="15" customHeight="1" s="5">
      <c r="A27" s="6" t="inlineStr">
        <is>
          <t>Revenue growth (%)</t>
        </is>
      </c>
      <c r="C27" s="9" t="n">
        <v>5.5</v>
      </c>
      <c r="D27" s="9" t="n">
        <v>5</v>
      </c>
      <c r="E27" s="9" t="n">
        <v>5</v>
      </c>
      <c r="F27" s="9" t="n">
        <v>4.5</v>
      </c>
      <c r="G27" s="9" t="n">
        <v>4.5</v>
      </c>
      <c r="H27" s="9" t="n">
        <v>4</v>
      </c>
      <c r="I27" s="9" t="n">
        <v>3.5</v>
      </c>
      <c r="J27" s="9" t="n">
        <v>3</v>
      </c>
      <c r="K27" s="9" t="n">
        <v>3</v>
      </c>
      <c r="L27" s="9" t="n">
        <v>2.5</v>
      </c>
    </row>
    <row r="28" ht="15" customHeight="1" s="5">
      <c r="A28" s="6" t="inlineStr">
        <is>
          <t>EBITDA margin (%)</t>
        </is>
      </c>
      <c r="C28" s="9" t="n">
        <v>23.2</v>
      </c>
      <c r="D28" s="9" t="n">
        <v>23.5</v>
      </c>
      <c r="E28" s="9" t="n">
        <v>23.8</v>
      </c>
      <c r="F28" s="9" t="n">
        <v>24</v>
      </c>
      <c r="G28" s="9" t="n">
        <v>24.2</v>
      </c>
      <c r="H28" s="9" t="n">
        <v>24.3</v>
      </c>
      <c r="I28" s="9" t="n">
        <v>24.4</v>
      </c>
      <c r="J28" s="9" t="n">
        <v>24.5</v>
      </c>
      <c r="K28" s="9" t="n">
        <v>24.5</v>
      </c>
      <c r="L28" s="9" t="n">
        <v>24.5</v>
      </c>
    </row>
    <row r="29" ht="15" customHeight="1" s="5">
      <c r="A29" s="6" t="inlineStr">
        <is>
          <t>SBC (% of revenue)</t>
        </is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</row>
    <row r="30" ht="15" customHeight="1" s="5">
      <c r="A30" s="6" t="inlineStr">
        <is>
          <t>Lease cost (% of revenue)</t>
        </is>
      </c>
      <c r="C30" s="9" t="n">
        <v>2.6</v>
      </c>
      <c r="D30" s="9" t="n">
        <v>2.6</v>
      </c>
      <c r="E30" s="9" t="n">
        <v>2.6</v>
      </c>
      <c r="F30" s="9" t="n">
        <v>2.6</v>
      </c>
      <c r="G30" s="9" t="n">
        <v>2.6</v>
      </c>
      <c r="H30" s="9" t="n">
        <v>2.6</v>
      </c>
      <c r="I30" s="9" t="n">
        <v>2.6</v>
      </c>
      <c r="J30" s="9" t="n">
        <v>2.6</v>
      </c>
      <c r="K30" s="9" t="n">
        <v>2.6</v>
      </c>
      <c r="L30" s="9" t="n">
        <v>2.6</v>
      </c>
    </row>
    <row r="31" ht="15" customHeight="1" s="5">
      <c r="A31" s="6" t="inlineStr">
        <is>
          <t>D&amp;A (% of revenue)</t>
        </is>
      </c>
      <c r="C31" s="9" t="n">
        <v>2.6</v>
      </c>
      <c r="D31" s="9" t="n">
        <v>2.6</v>
      </c>
      <c r="E31" s="9" t="n">
        <v>2.6</v>
      </c>
      <c r="F31" s="9" t="n">
        <v>2.6</v>
      </c>
      <c r="G31" s="9" t="n">
        <v>2.6</v>
      </c>
      <c r="H31" s="9" t="n">
        <v>2.6</v>
      </c>
      <c r="I31" s="9" t="n">
        <v>2.6</v>
      </c>
      <c r="J31" s="9" t="n">
        <v>2.6</v>
      </c>
      <c r="K31" s="9" t="n">
        <v>2.6</v>
      </c>
      <c r="L31" s="9" t="n">
        <v>2.6</v>
      </c>
    </row>
    <row r="32" ht="15" customHeight="1" s="5">
      <c r="A32" s="6" t="inlineStr">
        <is>
          <t>Capex (% of revenue)</t>
        </is>
      </c>
      <c r="C32" s="9" t="n">
        <v>4.3</v>
      </c>
      <c r="D32" s="9" t="n">
        <v>4.2</v>
      </c>
      <c r="E32" s="9" t="n">
        <v>4.2</v>
      </c>
      <c r="F32" s="9" t="n">
        <v>4.2</v>
      </c>
      <c r="G32" s="9" t="n">
        <v>4.2</v>
      </c>
      <c r="H32" s="9" t="n">
        <v>4.2</v>
      </c>
      <c r="I32" s="9" t="n">
        <v>4.2</v>
      </c>
      <c r="J32" s="9" t="n">
        <v>4.2</v>
      </c>
      <c r="K32" s="9" t="n">
        <v>4.2</v>
      </c>
      <c r="L32" s="9" t="n">
        <v>4.2</v>
      </c>
    </row>
    <row r="33" ht="15" customHeight="1" s="5">
      <c r="A33" s="6" t="inlineStr">
        <is>
          <t>Cash tax rate (%)</t>
        </is>
      </c>
      <c r="C33" s="9" t="n">
        <v>26</v>
      </c>
      <c r="D33" s="9" t="n">
        <v>26</v>
      </c>
      <c r="E33" s="9" t="n">
        <v>26</v>
      </c>
      <c r="F33" s="9" t="n">
        <v>26</v>
      </c>
      <c r="G33" s="9" t="n">
        <v>26</v>
      </c>
      <c r="H33" s="9" t="n">
        <v>26</v>
      </c>
      <c r="I33" s="9" t="n">
        <v>26</v>
      </c>
      <c r="J33" s="9" t="n">
        <v>26</v>
      </c>
      <c r="K33" s="9" t="n">
        <v>26</v>
      </c>
      <c r="L33" s="9" t="n">
        <v>26</v>
      </c>
    </row>
    <row r="34" ht="15" customHeight="1" s="5">
      <c r="A34" s="6" t="inlineStr">
        <is>
          <t>WACC (%)</t>
        </is>
      </c>
      <c r="B34" s="9" t="n">
        <v>8</v>
      </c>
    </row>
    <row r="35" ht="15" customHeight="1" s="5">
      <c r="A35" s="6" t="inlineStr">
        <is>
          <t>Terminal growth (%)</t>
        </is>
      </c>
      <c r="B35" s="9" t="n">
        <v>2.5</v>
      </c>
    </row>
    <row r="36" ht="15" customHeight="1" s="5">
      <c r="A36" s="6" t="inlineStr">
        <is>
          <t>Terminal cap multiple (x FCF)</t>
        </is>
      </c>
      <c r="B36" s="9" t="n">
        <v>20</v>
      </c>
    </row>
    <row r="37" ht="15" customHeight="1" s="5">
      <c r="A37" s="6" t="inlineStr">
        <is>
          <t>Working-capital capture (% of revenue change)</t>
        </is>
      </c>
      <c r="B37" s="9" t="n">
        <v>0</v>
      </c>
    </row>
    <row r="38" ht="15" customHeight="1" s="5">
      <c r="A38" s="6" t="inlineStr">
        <is>
          <t>Scenario weight</t>
        </is>
      </c>
      <c r="B38" s="9" t="n">
        <v>0.5</v>
      </c>
    </row>
    <row r="40" ht="15" customHeight="1" s="5">
      <c r="A40" s="8" t="inlineStr">
        <is>
          <t>BULL</t>
        </is>
      </c>
      <c r="C40" s="8" t="inlineStr">
        <is>
          <t>FY2026</t>
        </is>
      </c>
      <c r="D40" s="8" t="inlineStr">
        <is>
          <t>FY2027</t>
        </is>
      </c>
      <c r="E40" s="8" t="inlineStr">
        <is>
          <t>FY2028</t>
        </is>
      </c>
      <c r="F40" s="8" t="inlineStr">
        <is>
          <t>FY2029</t>
        </is>
      </c>
      <c r="G40" s="8" t="inlineStr">
        <is>
          <t>FY2030</t>
        </is>
      </c>
      <c r="H40" s="8" t="inlineStr">
        <is>
          <t>FY2031</t>
        </is>
      </c>
      <c r="I40" s="8" t="inlineStr">
        <is>
          <t>FY2032</t>
        </is>
      </c>
      <c r="J40" s="8" t="inlineStr">
        <is>
          <t>FY2033</t>
        </is>
      </c>
      <c r="K40" s="8" t="inlineStr">
        <is>
          <t>FY2034</t>
        </is>
      </c>
      <c r="L40" s="8" t="inlineStr">
        <is>
          <t>FY2035</t>
        </is>
      </c>
    </row>
    <row r="41" ht="15" customHeight="1" s="5">
      <c r="A41" s="6" t="inlineStr">
        <is>
          <t>Revenue growth (%)</t>
        </is>
      </c>
      <c r="C41" s="9" t="n">
        <v>6</v>
      </c>
      <c r="D41" s="9" t="n">
        <v>6</v>
      </c>
      <c r="E41" s="9" t="n">
        <v>5.5</v>
      </c>
      <c r="F41" s="9" t="n">
        <v>5.5</v>
      </c>
      <c r="G41" s="9" t="n">
        <v>5</v>
      </c>
      <c r="H41" s="9" t="n">
        <v>4.5</v>
      </c>
      <c r="I41" s="9" t="n">
        <v>4</v>
      </c>
      <c r="J41" s="9" t="n">
        <v>3.5</v>
      </c>
      <c r="K41" s="9" t="n">
        <v>3</v>
      </c>
      <c r="L41" s="9" t="n">
        <v>3</v>
      </c>
    </row>
    <row r="42" ht="15" customHeight="1" s="5">
      <c r="A42" s="6" t="inlineStr">
        <is>
          <t>EBITDA margin (%)</t>
        </is>
      </c>
      <c r="C42" s="9" t="n">
        <v>23.4</v>
      </c>
      <c r="D42" s="9" t="n">
        <v>23.9</v>
      </c>
      <c r="E42" s="9" t="n">
        <v>24.4</v>
      </c>
      <c r="F42" s="9" t="n">
        <v>24.8</v>
      </c>
      <c r="G42" s="9" t="n">
        <v>25.2</v>
      </c>
      <c r="H42" s="9" t="n">
        <v>25.5</v>
      </c>
      <c r="I42" s="9" t="n">
        <v>25.7</v>
      </c>
      <c r="J42" s="9" t="n">
        <v>25.9</v>
      </c>
      <c r="K42" s="9" t="n">
        <v>26</v>
      </c>
      <c r="L42" s="9" t="n">
        <v>26</v>
      </c>
    </row>
    <row r="43" ht="15" customHeight="1" s="5">
      <c r="A43" s="6" t="inlineStr">
        <is>
          <t>SBC (% of revenue)</t>
        </is>
      </c>
      <c r="C43" s="9" t="n">
        <v>1</v>
      </c>
      <c r="D43" s="9" t="n">
        <v>1</v>
      </c>
      <c r="E43" s="9" t="n">
        <v>1</v>
      </c>
      <c r="F43" s="9" t="n">
        <v>1</v>
      </c>
      <c r="G43" s="9" t="n">
        <v>1</v>
      </c>
      <c r="H43" s="9" t="n">
        <v>1</v>
      </c>
      <c r="I43" s="9" t="n">
        <v>1</v>
      </c>
      <c r="J43" s="9" t="n">
        <v>1</v>
      </c>
      <c r="K43" s="9" t="n">
        <v>1</v>
      </c>
      <c r="L43" s="9" t="n">
        <v>1</v>
      </c>
    </row>
    <row r="44" ht="15" customHeight="1" s="5">
      <c r="A44" s="6" t="inlineStr">
        <is>
          <t>Lease cost (% of revenue)</t>
        </is>
      </c>
      <c r="C44" s="9" t="n">
        <v>2.6</v>
      </c>
      <c r="D44" s="9" t="n">
        <v>2.6</v>
      </c>
      <c r="E44" s="9" t="n">
        <v>2.6</v>
      </c>
      <c r="F44" s="9" t="n">
        <v>2.6</v>
      </c>
      <c r="G44" s="9" t="n">
        <v>2.6</v>
      </c>
      <c r="H44" s="9" t="n">
        <v>2.6</v>
      </c>
      <c r="I44" s="9" t="n">
        <v>2.6</v>
      </c>
      <c r="J44" s="9" t="n">
        <v>2.6</v>
      </c>
      <c r="K44" s="9" t="n">
        <v>2.6</v>
      </c>
      <c r="L44" s="9" t="n">
        <v>2.6</v>
      </c>
    </row>
    <row r="45" ht="15" customHeight="1" s="5">
      <c r="A45" s="6" t="inlineStr">
        <is>
          <t>D&amp;A (% of revenue)</t>
        </is>
      </c>
      <c r="C45" s="9" t="n">
        <v>2.6</v>
      </c>
      <c r="D45" s="9" t="n">
        <v>2.6</v>
      </c>
      <c r="E45" s="9" t="n">
        <v>2.6</v>
      </c>
      <c r="F45" s="9" t="n">
        <v>2.6</v>
      </c>
      <c r="G45" s="9" t="n">
        <v>2.6</v>
      </c>
      <c r="H45" s="9" t="n">
        <v>2.6</v>
      </c>
      <c r="I45" s="9" t="n">
        <v>2.6</v>
      </c>
      <c r="J45" s="9" t="n">
        <v>2.6</v>
      </c>
      <c r="K45" s="9" t="n">
        <v>2.6</v>
      </c>
      <c r="L45" s="9" t="n">
        <v>2.6</v>
      </c>
    </row>
    <row r="46" ht="15" customHeight="1" s="5">
      <c r="A46" s="6" t="inlineStr">
        <is>
          <t>Capex (% of revenue)</t>
        </is>
      </c>
      <c r="C46" s="9" t="n">
        <v>4.3</v>
      </c>
      <c r="D46" s="9" t="n">
        <v>4.2</v>
      </c>
      <c r="E46" s="9" t="n">
        <v>4.2</v>
      </c>
      <c r="F46" s="9" t="n">
        <v>4.2</v>
      </c>
      <c r="G46" s="9" t="n">
        <v>4.2</v>
      </c>
      <c r="H46" s="9" t="n">
        <v>4.2</v>
      </c>
      <c r="I46" s="9" t="n">
        <v>4.2</v>
      </c>
      <c r="J46" s="9" t="n">
        <v>4.2</v>
      </c>
      <c r="K46" s="9" t="n">
        <v>4.2</v>
      </c>
      <c r="L46" s="9" t="n">
        <v>4.2</v>
      </c>
    </row>
    <row r="47" ht="15" customHeight="1" s="5">
      <c r="A47" s="6" t="inlineStr">
        <is>
          <t>Cash tax rate (%)</t>
        </is>
      </c>
      <c r="C47" s="9" t="n">
        <v>26</v>
      </c>
      <c r="D47" s="9" t="n">
        <v>26</v>
      </c>
      <c r="E47" s="9" t="n">
        <v>26</v>
      </c>
      <c r="F47" s="9" t="n">
        <v>26</v>
      </c>
      <c r="G47" s="9" t="n">
        <v>26</v>
      </c>
      <c r="H47" s="9" t="n">
        <v>26</v>
      </c>
      <c r="I47" s="9" t="n">
        <v>26</v>
      </c>
      <c r="J47" s="9" t="n">
        <v>26</v>
      </c>
      <c r="K47" s="9" t="n">
        <v>26</v>
      </c>
      <c r="L47" s="9" t="n">
        <v>26</v>
      </c>
    </row>
    <row r="48" ht="15" customHeight="1" s="5">
      <c r="A48" s="6" t="inlineStr">
        <is>
          <t>WACC (%)</t>
        </is>
      </c>
      <c r="B48" s="9" t="n">
        <v>8</v>
      </c>
    </row>
    <row r="49" ht="15" customHeight="1" s="5">
      <c r="A49" s="6" t="inlineStr">
        <is>
          <t>Terminal growth (%)</t>
        </is>
      </c>
      <c r="B49" s="9" t="n">
        <v>2.5</v>
      </c>
    </row>
    <row r="50" ht="15" customHeight="1" s="5">
      <c r="A50" s="6" t="inlineStr">
        <is>
          <t>Terminal cap multiple (x FCF)</t>
        </is>
      </c>
      <c r="B50" s="9" t="n">
        <v>20</v>
      </c>
    </row>
    <row r="51" ht="15" customHeight="1" s="5">
      <c r="A51" s="6" t="inlineStr">
        <is>
          <t>Working-capital capture (% of revenue change)</t>
        </is>
      </c>
      <c r="B51" s="9" t="n">
        <v>0</v>
      </c>
    </row>
    <row r="52" ht="15" customHeight="1" s="5">
      <c r="A52" s="6" t="inlineStr">
        <is>
          <t>Scenario weight</t>
        </is>
      </c>
      <c r="B52" s="9" t="n">
        <v>0.35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2" customWidth="1" style="6" min="1" max="1"/>
  </cols>
  <sheetData>
    <row r="1" ht="15" customHeight="1" s="5">
      <c r="A1" s="8" t="inlineStr">
        <is>
          <t>ITRK.L owner-FCF component DCF: bear case (millions, GBP)</t>
        </is>
      </c>
    </row>
    <row r="3" ht="15" customHeight="1" s="5">
      <c r="A3" s="6" t="inlineStr">
        <is>
          <t>Line</t>
        </is>
      </c>
      <c r="B3" s="6" t="inlineStr">
        <is>
          <t>FY2025</t>
        </is>
      </c>
      <c r="C3" s="8" t="inlineStr">
        <is>
          <t>FY2026</t>
        </is>
      </c>
      <c r="D3" s="8" t="inlineStr">
        <is>
          <t>FY2027</t>
        </is>
      </c>
      <c r="E3" s="8" t="inlineStr">
        <is>
          <t>FY2028</t>
        </is>
      </c>
      <c r="F3" s="8" t="inlineStr">
        <is>
          <t>FY2029</t>
        </is>
      </c>
      <c r="G3" s="8" t="inlineStr">
        <is>
          <t>FY2030</t>
        </is>
      </c>
      <c r="H3" s="8" t="inlineStr">
        <is>
          <t>FY2031</t>
        </is>
      </c>
      <c r="I3" s="8" t="inlineStr">
        <is>
          <t>FY2032</t>
        </is>
      </c>
      <c r="J3" s="8" t="inlineStr">
        <is>
          <t>FY2033</t>
        </is>
      </c>
      <c r="K3" s="8" t="inlineStr">
        <is>
          <t>FY2034</t>
        </is>
      </c>
      <c r="L3" s="8" t="inlineStr">
        <is>
          <t>FY2035</t>
        </is>
      </c>
    </row>
    <row r="4" ht="15" customHeight="1" s="5">
      <c r="A4" s="6" t="inlineStr">
        <is>
          <t>Year index (discount exponent)</t>
        </is>
      </c>
      <c r="B4" s="6" t="n">
        <v>0</v>
      </c>
      <c r="C4" s="6">
        <f>B4+1</f>
        <v/>
      </c>
      <c r="D4" s="6">
        <f>C4+1</f>
        <v/>
      </c>
      <c r="E4" s="6">
        <f>D4+1</f>
        <v/>
      </c>
      <c r="F4" s="6">
        <f>E4+1</f>
        <v/>
      </c>
      <c r="G4" s="6">
        <f>F4+1</f>
        <v/>
      </c>
      <c r="H4" s="6">
        <f>G4+1</f>
        <v/>
      </c>
      <c r="I4" s="6">
        <f>H4+1</f>
        <v/>
      </c>
      <c r="J4" s="6">
        <f>I4+1</f>
        <v/>
      </c>
      <c r="K4" s="6">
        <f>J4+1</f>
        <v/>
      </c>
      <c r="L4" s="6">
        <f>K4+1</f>
        <v/>
      </c>
    </row>
    <row r="5" ht="15" customHeight="1" s="5">
      <c r="A5" s="6" t="inlineStr">
        <is>
          <t>Revenue growth (%)</t>
        </is>
      </c>
      <c r="C5" s="10">
        <f>Assumptions!C13</f>
        <v/>
      </c>
      <c r="D5" s="10">
        <f>Assumptions!D13</f>
        <v/>
      </c>
      <c r="E5" s="10">
        <f>Assumptions!E13</f>
        <v/>
      </c>
      <c r="F5" s="10">
        <f>Assumptions!F13</f>
        <v/>
      </c>
      <c r="G5" s="10">
        <f>Assumptions!G13</f>
        <v/>
      </c>
      <c r="H5" s="10">
        <f>Assumptions!H13</f>
        <v/>
      </c>
      <c r="I5" s="10">
        <f>Assumptions!I13</f>
        <v/>
      </c>
      <c r="J5" s="10">
        <f>Assumptions!J13</f>
        <v/>
      </c>
      <c r="K5" s="10">
        <f>Assumptions!K13</f>
        <v/>
      </c>
      <c r="L5" s="10">
        <f>Assumptions!L13</f>
        <v/>
      </c>
    </row>
    <row r="6" ht="15" customHeight="1" s="5">
      <c r="A6" s="6" t="inlineStr">
        <is>
          <t>Revenue</t>
        </is>
      </c>
      <c r="B6" s="9" t="n">
        <v>3431.6</v>
      </c>
      <c r="C6" s="6">
        <f>B6*(1+C5/100)</f>
        <v/>
      </c>
      <c r="D6" s="6">
        <f>C6*(1+D5/100)</f>
        <v/>
      </c>
      <c r="E6" s="6">
        <f>D6*(1+E5/100)</f>
        <v/>
      </c>
      <c r="F6" s="6">
        <f>E6*(1+F5/100)</f>
        <v/>
      </c>
      <c r="G6" s="6">
        <f>F6*(1+G5/100)</f>
        <v/>
      </c>
      <c r="H6" s="6">
        <f>G6*(1+H5/100)</f>
        <v/>
      </c>
      <c r="I6" s="6">
        <f>H6*(1+I5/100)</f>
        <v/>
      </c>
      <c r="J6" s="6">
        <f>I6*(1+J5/100)</f>
        <v/>
      </c>
      <c r="K6" s="6">
        <f>J6*(1+K5/100)</f>
        <v/>
      </c>
      <c r="L6" s="6">
        <f>K6*(1+L5/100)</f>
        <v/>
      </c>
    </row>
    <row r="7" ht="15" customHeight="1" s="5">
      <c r="A7" s="6" t="inlineStr">
        <is>
          <t>EBITDA margin (%)</t>
        </is>
      </c>
      <c r="C7" s="10">
        <f>Assumptions!C14</f>
        <v/>
      </c>
      <c r="D7" s="10">
        <f>Assumptions!D14</f>
        <v/>
      </c>
      <c r="E7" s="10">
        <f>Assumptions!E14</f>
        <v/>
      </c>
      <c r="F7" s="10">
        <f>Assumptions!F14</f>
        <v/>
      </c>
      <c r="G7" s="10">
        <f>Assumptions!G14</f>
        <v/>
      </c>
      <c r="H7" s="10">
        <f>Assumptions!H14</f>
        <v/>
      </c>
      <c r="I7" s="10">
        <f>Assumptions!I14</f>
        <v/>
      </c>
      <c r="J7" s="10">
        <f>Assumptions!J14</f>
        <v/>
      </c>
      <c r="K7" s="10">
        <f>Assumptions!K14</f>
        <v/>
      </c>
      <c r="L7" s="10">
        <f>Assumptions!L14</f>
        <v/>
      </c>
    </row>
    <row r="8" ht="15" customHeight="1" s="5">
      <c r="A8" s="6" t="inlineStr">
        <is>
          <t>EBITDA</t>
        </is>
      </c>
      <c r="C8" s="6">
        <f>C6*C7/100</f>
        <v/>
      </c>
      <c r="D8" s="6">
        <f>D6*D7/100</f>
        <v/>
      </c>
      <c r="E8" s="6">
        <f>E6*E7/100</f>
        <v/>
      </c>
      <c r="F8" s="6">
        <f>F6*F7/100</f>
        <v/>
      </c>
      <c r="G8" s="6">
        <f>G6*G7/100</f>
        <v/>
      </c>
      <c r="H8" s="6">
        <f>H6*H7/100</f>
        <v/>
      </c>
      <c r="I8" s="6">
        <f>I6*I7/100</f>
        <v/>
      </c>
      <c r="J8" s="6">
        <f>J6*J7/100</f>
        <v/>
      </c>
      <c r="K8" s="6">
        <f>K6*K7/100</f>
        <v/>
      </c>
      <c r="L8" s="6">
        <f>L6*L7/100</f>
        <v/>
      </c>
    </row>
    <row r="9" ht="15" customHeight="1" s="5">
      <c r="A9" s="6" t="inlineStr">
        <is>
          <t>SBC (% of revenue)</t>
        </is>
      </c>
      <c r="C9" s="10">
        <f>Assumptions!C15</f>
        <v/>
      </c>
      <c r="D9" s="10">
        <f>Assumptions!D15</f>
        <v/>
      </c>
      <c r="E9" s="10">
        <f>Assumptions!E15</f>
        <v/>
      </c>
      <c r="F9" s="10">
        <f>Assumptions!F15</f>
        <v/>
      </c>
      <c r="G9" s="10">
        <f>Assumptions!G15</f>
        <v/>
      </c>
      <c r="H9" s="10">
        <f>Assumptions!H15</f>
        <v/>
      </c>
      <c r="I9" s="10">
        <f>Assumptions!I15</f>
        <v/>
      </c>
      <c r="J9" s="10">
        <f>Assumptions!J15</f>
        <v/>
      </c>
      <c r="K9" s="10">
        <f>Assumptions!K15</f>
        <v/>
      </c>
      <c r="L9" s="10">
        <f>Assumptions!L15</f>
        <v/>
      </c>
    </row>
    <row r="10" ht="15" customHeight="1" s="5">
      <c r="A10" s="6" t="inlineStr">
        <is>
          <t>SBC charge</t>
        </is>
      </c>
      <c r="C10" s="6">
        <f>-C6*C9/100</f>
        <v/>
      </c>
      <c r="D10" s="6">
        <f>-D6*D9/100</f>
        <v/>
      </c>
      <c r="E10" s="6">
        <f>-E6*E9/100</f>
        <v/>
      </c>
      <c r="F10" s="6">
        <f>-F6*F9/100</f>
        <v/>
      </c>
      <c r="G10" s="6">
        <f>-G6*G9/100</f>
        <v/>
      </c>
      <c r="H10" s="6">
        <f>-H6*H9/100</f>
        <v/>
      </c>
      <c r="I10" s="6">
        <f>-I6*I9/100</f>
        <v/>
      </c>
      <c r="J10" s="6">
        <f>-J6*J9/100</f>
        <v/>
      </c>
      <c r="K10" s="6">
        <f>-K6*K9/100</f>
        <v/>
      </c>
      <c r="L10" s="6">
        <f>-L6*L9/100</f>
        <v/>
      </c>
    </row>
    <row r="11" ht="15" customHeight="1" s="5">
      <c r="A11" s="6" t="inlineStr">
        <is>
          <t>Owner EBITDA (after SBC and leases)</t>
        </is>
      </c>
      <c r="C11" s="6">
        <f>C8+C10+C24</f>
        <v/>
      </c>
      <c r="D11" s="6">
        <f>D8+D10+D24</f>
        <v/>
      </c>
      <c r="E11" s="6">
        <f>E8+E10+E24</f>
        <v/>
      </c>
      <c r="F11" s="6">
        <f>F8+F10+F24</f>
        <v/>
      </c>
      <c r="G11" s="6">
        <f>G8+G10+G24</f>
        <v/>
      </c>
      <c r="H11" s="6">
        <f>H8+H10+H24</f>
        <v/>
      </c>
      <c r="I11" s="6">
        <f>I8+I10+I24</f>
        <v/>
      </c>
      <c r="J11" s="6">
        <f>J8+J10+J24</f>
        <v/>
      </c>
      <c r="K11" s="6">
        <f>K8+K10+K24</f>
        <v/>
      </c>
      <c r="L11" s="6">
        <f>L8+L10+L24</f>
        <v/>
      </c>
    </row>
    <row r="12" ht="15" customHeight="1" s="5">
      <c r="A12" s="6" t="inlineStr">
        <is>
          <t>D&amp;A</t>
        </is>
      </c>
      <c r="C12" s="10">
        <f>-C6*Assumptions!C17/100</f>
        <v/>
      </c>
      <c r="D12" s="10">
        <f>-D6*Assumptions!D17/100</f>
        <v/>
      </c>
      <c r="E12" s="10">
        <f>-E6*Assumptions!E17/100</f>
        <v/>
      </c>
      <c r="F12" s="10">
        <f>-F6*Assumptions!F17/100</f>
        <v/>
      </c>
      <c r="G12" s="10">
        <f>-G6*Assumptions!G17/100</f>
        <v/>
      </c>
      <c r="H12" s="10">
        <f>-H6*Assumptions!H17/100</f>
        <v/>
      </c>
      <c r="I12" s="10">
        <f>-I6*Assumptions!I17/100</f>
        <v/>
      </c>
      <c r="J12" s="10">
        <f>-J6*Assumptions!J17/100</f>
        <v/>
      </c>
      <c r="K12" s="10">
        <f>-K6*Assumptions!K17/100</f>
        <v/>
      </c>
      <c r="L12" s="10">
        <f>-L6*Assumptions!L17/100</f>
        <v/>
      </c>
    </row>
    <row r="13" ht="15" customHeight="1" s="5">
      <c r="A13" s="6" t="inlineStr">
        <is>
          <t>EBIT</t>
        </is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</row>
    <row r="14" ht="15" customHeight="1" s="5">
      <c r="A14" s="6" t="inlineStr">
        <is>
          <t>Cash tax rate (%)</t>
        </is>
      </c>
      <c r="C14" s="10">
        <f>Assumptions!C19</f>
        <v/>
      </c>
      <c r="D14" s="10">
        <f>Assumptions!D19</f>
        <v/>
      </c>
      <c r="E14" s="10">
        <f>Assumptions!E19</f>
        <v/>
      </c>
      <c r="F14" s="10">
        <f>Assumptions!F19</f>
        <v/>
      </c>
      <c r="G14" s="10">
        <f>Assumptions!G19</f>
        <v/>
      </c>
      <c r="H14" s="10">
        <f>Assumptions!H19</f>
        <v/>
      </c>
      <c r="I14" s="10">
        <f>Assumptions!I19</f>
        <v/>
      </c>
      <c r="J14" s="10">
        <f>Assumptions!J19</f>
        <v/>
      </c>
      <c r="K14" s="10">
        <f>Assumptions!K19</f>
        <v/>
      </c>
      <c r="L14" s="10">
        <f>Assumptions!L19</f>
        <v/>
      </c>
    </row>
    <row r="15" ht="15" customHeight="1" s="5">
      <c r="A15" s="6" t="inlineStr">
        <is>
          <t>NOPAT</t>
        </is>
      </c>
      <c r="C15" s="6">
        <f>C13-MAX(0,C13)*C14/100</f>
        <v/>
      </c>
      <c r="D15" s="6">
        <f>D13-MAX(0,D13)*D14/100</f>
        <v/>
      </c>
      <c r="E15" s="6">
        <f>E13-MAX(0,E13)*E14/100</f>
        <v/>
      </c>
      <c r="F15" s="6">
        <f>F13-MAX(0,F13)*F14/100</f>
        <v/>
      </c>
      <c r="G15" s="6">
        <f>G13-MAX(0,G13)*G14/100</f>
        <v/>
      </c>
      <c r="H15" s="6">
        <f>H13-MAX(0,H13)*H14/100</f>
        <v/>
      </c>
      <c r="I15" s="6">
        <f>I13-MAX(0,I13)*I14/100</f>
        <v/>
      </c>
      <c r="J15" s="6">
        <f>J13-MAX(0,J13)*J14/100</f>
        <v/>
      </c>
      <c r="K15" s="6">
        <f>K13-MAX(0,K13)*K14/100</f>
        <v/>
      </c>
      <c r="L15" s="6">
        <f>L13-MAX(0,L13)*L14/100</f>
        <v/>
      </c>
    </row>
    <row r="16" ht="15" customHeight="1" s="5">
      <c r="A16" s="6" t="inlineStr">
        <is>
          <t>D&amp;A add-back</t>
        </is>
      </c>
      <c r="C16" s="6">
        <f>-C12</f>
        <v/>
      </c>
      <c r="D16" s="6">
        <f>-D12</f>
        <v/>
      </c>
      <c r="E16" s="6">
        <f>-E12</f>
        <v/>
      </c>
      <c r="F16" s="6">
        <f>-F12</f>
        <v/>
      </c>
      <c r="G16" s="6">
        <f>-G12</f>
        <v/>
      </c>
      <c r="H16" s="6">
        <f>-H12</f>
        <v/>
      </c>
      <c r="I16" s="6">
        <f>-I12</f>
        <v/>
      </c>
      <c r="J16" s="6">
        <f>-J12</f>
        <v/>
      </c>
      <c r="K16" s="6">
        <f>-K12</f>
        <v/>
      </c>
      <c r="L16" s="6">
        <f>-L12</f>
        <v/>
      </c>
    </row>
    <row r="17" ht="15" customHeight="1" s="5">
      <c r="A17" s="6" t="inlineStr">
        <is>
          <t>Capex</t>
        </is>
      </c>
      <c r="C17" s="10">
        <f>-C6*Assumptions!C18/100</f>
        <v/>
      </c>
      <c r="D17" s="10">
        <f>-D6*Assumptions!D18/100</f>
        <v/>
      </c>
      <c r="E17" s="10">
        <f>-E6*Assumptions!E18/100</f>
        <v/>
      </c>
      <c r="F17" s="10">
        <f>-F6*Assumptions!F18/100</f>
        <v/>
      </c>
      <c r="G17" s="10">
        <f>-G6*Assumptions!G18/100</f>
        <v/>
      </c>
      <c r="H17" s="10">
        <f>-H6*Assumptions!H18/100</f>
        <v/>
      </c>
      <c r="I17" s="10">
        <f>-I6*Assumptions!I18/100</f>
        <v/>
      </c>
      <c r="J17" s="10">
        <f>-J6*Assumptions!J18/100</f>
        <v/>
      </c>
      <c r="K17" s="10">
        <f>-K6*Assumptions!K18/100</f>
        <v/>
      </c>
      <c r="L17" s="10">
        <f>-L6*Assumptions!L18/100</f>
        <v/>
      </c>
    </row>
    <row r="18" ht="15" customHeight="1" s="5">
      <c r="A18" s="6" t="inlineStr">
        <is>
          <t>Working capital</t>
        </is>
      </c>
      <c r="C18" s="10">
        <f>(C6-B6)*Assumptions!$B$23/100</f>
        <v/>
      </c>
      <c r="D18" s="10">
        <f>(D6-C6)*Assumptions!$B$23/100</f>
        <v/>
      </c>
      <c r="E18" s="10">
        <f>(E6-D6)*Assumptions!$B$23/100</f>
        <v/>
      </c>
      <c r="F18" s="10">
        <f>(F6-E6)*Assumptions!$B$23/100</f>
        <v/>
      </c>
      <c r="G18" s="10">
        <f>(G6-F6)*Assumptions!$B$23/100</f>
        <v/>
      </c>
      <c r="H18" s="10">
        <f>(H6-G6)*Assumptions!$B$23/100</f>
        <v/>
      </c>
      <c r="I18" s="10">
        <f>(I6-H6)*Assumptions!$B$23/100</f>
        <v/>
      </c>
      <c r="J18" s="10">
        <f>(J6-I6)*Assumptions!$B$23/100</f>
        <v/>
      </c>
      <c r="K18" s="10">
        <f>(K6-J6)*Assumptions!$B$23/100</f>
        <v/>
      </c>
      <c r="L18" s="10">
        <f>(L6-K6)*Assumptions!$B$23/100</f>
        <v/>
      </c>
    </row>
    <row r="19" ht="15" customHeight="1" s="5">
      <c r="A19" s="6" t="inlineStr">
        <is>
          <t>Unlevered owner FCF</t>
        </is>
      </c>
      <c r="C19" s="6">
        <f>C15+C16+C17+C18</f>
        <v/>
      </c>
      <c r="D19" s="6">
        <f>D15+D16+D17+D18</f>
        <v/>
      </c>
      <c r="E19" s="6">
        <f>E15+E16+E17+E18</f>
        <v/>
      </c>
      <c r="F19" s="6">
        <f>F15+F16+F17+F18</f>
        <v/>
      </c>
      <c r="G19" s="6">
        <f>G15+G16+G17+G18</f>
        <v/>
      </c>
      <c r="H19" s="6">
        <f>H15+H16+H17+H18</f>
        <v/>
      </c>
      <c r="I19" s="6">
        <f>I15+I16+I17+I18</f>
        <v/>
      </c>
      <c r="J19" s="6">
        <f>J15+J16+J17+J18</f>
        <v/>
      </c>
      <c r="K19" s="6">
        <f>K15+K16+K17+K18</f>
        <v/>
      </c>
      <c r="L19" s="6">
        <f>L15+L16+L17+L18</f>
        <v/>
      </c>
    </row>
    <row r="20" ht="15" customHeight="1" s="5">
      <c r="A20" s="6" t="inlineStr">
        <is>
          <t>Discount factor</t>
        </is>
      </c>
      <c r="C20" s="6">
        <f>1/(1+$B$27/100)^C4</f>
        <v/>
      </c>
      <c r="D20" s="6">
        <f>1/(1+$B$27/100)^D4</f>
        <v/>
      </c>
      <c r="E20" s="6">
        <f>1/(1+$B$27/100)^E4</f>
        <v/>
      </c>
      <c r="F20" s="6">
        <f>1/(1+$B$27/100)^F4</f>
        <v/>
      </c>
      <c r="G20" s="6">
        <f>1/(1+$B$27/100)^G4</f>
        <v/>
      </c>
      <c r="H20" s="6">
        <f>1/(1+$B$27/100)^H4</f>
        <v/>
      </c>
      <c r="I20" s="6">
        <f>1/(1+$B$27/100)^I4</f>
        <v/>
      </c>
      <c r="J20" s="6">
        <f>1/(1+$B$27/100)^J4</f>
        <v/>
      </c>
      <c r="K20" s="6">
        <f>1/(1+$B$27/100)^K4</f>
        <v/>
      </c>
      <c r="L20" s="6">
        <f>1/(1+$B$27/100)^L4</f>
        <v/>
      </c>
    </row>
    <row r="21" ht="15" customHeight="1" s="5">
      <c r="A21" s="6" t="inlineStr">
        <is>
          <t>PV of FCF</t>
        </is>
      </c>
      <c r="C21" s="6">
        <f>C19*C20</f>
        <v/>
      </c>
      <c r="D21" s="6">
        <f>D19*D20</f>
        <v/>
      </c>
      <c r="E21" s="6">
        <f>E19*E20</f>
        <v/>
      </c>
      <c r="F21" s="6">
        <f>F19*F20</f>
        <v/>
      </c>
      <c r="G21" s="6">
        <f>G19*G20</f>
        <v/>
      </c>
      <c r="H21" s="6">
        <f>H19*H20</f>
        <v/>
      </c>
      <c r="I21" s="6">
        <f>I19*I20</f>
        <v/>
      </c>
      <c r="J21" s="6">
        <f>J19*J20</f>
        <v/>
      </c>
      <c r="K21" s="6">
        <f>K19*K20</f>
        <v/>
      </c>
      <c r="L21" s="6">
        <f>L19*L20</f>
        <v/>
      </c>
    </row>
    <row r="23" ht="15" customHeight="1" s="5">
      <c r="A23" s="6" t="inlineStr">
        <is>
          <t>Lease cost (% of revenue)</t>
        </is>
      </c>
      <c r="C23" s="10">
        <f>Assumptions!C16</f>
        <v/>
      </c>
      <c r="D23" s="10">
        <f>Assumptions!D16</f>
        <v/>
      </c>
      <c r="E23" s="10">
        <f>Assumptions!E16</f>
        <v/>
      </c>
      <c r="F23" s="10">
        <f>Assumptions!F16</f>
        <v/>
      </c>
      <c r="G23" s="10">
        <f>Assumptions!G16</f>
        <v/>
      </c>
      <c r="H23" s="10">
        <f>Assumptions!H16</f>
        <v/>
      </c>
      <c r="I23" s="10">
        <f>Assumptions!I16</f>
        <v/>
      </c>
      <c r="J23" s="10">
        <f>Assumptions!J16</f>
        <v/>
      </c>
      <c r="K23" s="10">
        <f>Assumptions!K16</f>
        <v/>
      </c>
      <c r="L23" s="10">
        <f>Assumptions!L16</f>
        <v/>
      </c>
    </row>
    <row r="24" ht="15" customHeight="1" s="5">
      <c r="A24" s="6" t="inlineStr">
        <is>
          <t>Lease cost</t>
        </is>
      </c>
      <c r="C24" s="6">
        <f>-C6*C23/100</f>
        <v/>
      </c>
      <c r="D24" s="6">
        <f>-D6*D23/100</f>
        <v/>
      </c>
      <c r="E24" s="6">
        <f>-E6*E23/100</f>
        <v/>
      </c>
      <c r="F24" s="6">
        <f>-F6*F23/100</f>
        <v/>
      </c>
      <c r="G24" s="6">
        <f>-G6*G23/100</f>
        <v/>
      </c>
      <c r="H24" s="6">
        <f>-H6*H23/100</f>
        <v/>
      </c>
      <c r="I24" s="6">
        <f>-I6*I23/100</f>
        <v/>
      </c>
      <c r="J24" s="6">
        <f>-J6*J23/100</f>
        <v/>
      </c>
      <c r="K24" s="6">
        <f>-K6*K23/100</f>
        <v/>
      </c>
      <c r="L24" s="6">
        <f>-L6*L23/100</f>
        <v/>
      </c>
    </row>
    <row r="26" ht="15" customHeight="1" s="5">
      <c r="A26" s="8" t="inlineStr">
        <is>
          <t>Valuation</t>
        </is>
      </c>
    </row>
    <row r="27" ht="15" customHeight="1" s="5">
      <c r="A27" s="6" t="inlineStr">
        <is>
          <t>WACC (%)</t>
        </is>
      </c>
      <c r="B27" s="10">
        <f>Assumptions!$B$20</f>
        <v/>
      </c>
    </row>
    <row r="28" ht="15" customHeight="1" s="5">
      <c r="A28" s="6" t="inlineStr">
        <is>
          <t>Terminal growth (%)</t>
        </is>
      </c>
      <c r="B28" s="10">
        <f>Assumptions!$B$21</f>
        <v/>
      </c>
    </row>
    <row r="29" ht="15" customHeight="1" s="5">
      <c r="A29" s="6" t="inlineStr">
        <is>
          <t>Terminal cap multiple (x FCF)</t>
        </is>
      </c>
      <c r="B29" s="10">
        <f>Assumptions!$B$22</f>
        <v/>
      </c>
    </row>
    <row r="30" ht="15" customHeight="1" s="5">
      <c r="A30" s="6" t="inlineStr">
        <is>
          <t>Sum of PV of FCF</t>
        </is>
      </c>
      <c r="B30" s="6">
        <f>SUM(C21:L21)</f>
        <v/>
      </c>
    </row>
    <row r="31" ht="15" customHeight="1" s="5">
      <c r="A31" s="6" t="inlineStr">
        <is>
          <t>Terminal-year FCF</t>
        </is>
      </c>
      <c r="B31" s="6">
        <f>L19</f>
        <v/>
      </c>
    </row>
    <row r="32" ht="15" customHeight="1" s="5">
      <c r="A32" s="6" t="inlineStr">
        <is>
          <t>Gordon terminal value</t>
        </is>
      </c>
      <c r="B32" s="6">
        <f>IF(B27&gt;B28,B31*(1+B28/100)/((B27-B28)/100),B31*B29)</f>
        <v/>
      </c>
    </row>
    <row r="33" ht="15" customHeight="1" s="5">
      <c r="A33" s="6" t="inlineStr">
        <is>
          <t>Cap terminal value</t>
        </is>
      </c>
      <c r="B33" s="6">
        <f>B31*B29</f>
        <v/>
      </c>
    </row>
    <row r="34" ht="15" customHeight="1" s="5">
      <c r="A34" s="6" t="inlineStr">
        <is>
          <t>Terminal value used: MAX(0,MIN(Gordon,cap))</t>
        </is>
      </c>
      <c r="B34" s="6">
        <f>MAX(0,MIN(B32,B33))</f>
        <v/>
      </c>
    </row>
    <row r="35" ht="15" customHeight="1" s="5">
      <c r="A35" s="6" t="inlineStr">
        <is>
          <t>PV of terminal value</t>
        </is>
      </c>
      <c r="B35" s="6">
        <f>B34/(1+B27/100)^L4</f>
        <v/>
      </c>
    </row>
    <row r="36" ht="15" customHeight="1" s="5">
      <c r="A36" s="6" t="inlineStr">
        <is>
          <t>Enterprise value</t>
        </is>
      </c>
      <c r="B36" s="6">
        <f>B30+B35</f>
        <v/>
      </c>
    </row>
    <row r="37" ht="15" customHeight="1" s="5">
      <c r="A37" s="6" t="inlineStr">
        <is>
          <t>Equity value (EV + bridge - net debt)</t>
        </is>
      </c>
      <c r="B37" s="6">
        <f>B36+Assumptions!$B$5-Assumptions!$B$4</f>
        <v/>
      </c>
    </row>
    <row r="38" ht="15" customHeight="1" s="5">
      <c r="A38" s="6" t="inlineStr">
        <is>
          <t>Value per share (quote currency)</t>
        </is>
      </c>
      <c r="B38" s="6">
        <f>B37/Assumptions!$B$3*Assumptions!$B$10</f>
        <v/>
      </c>
    </row>
    <row r="39" ht="15" customHeight="1" s="5">
      <c r="A39" s="6" t="inlineStr">
        <is>
          <t>Upside vs price</t>
        </is>
      </c>
      <c r="B39" s="10">
        <f>B38/Assumptions!$B$2-1</f>
        <v/>
      </c>
    </row>
    <row r="41" ht="15" customHeight="1" s="5">
      <c r="A41" s="6" t="inlineStr">
        <is>
          <t>Street memo: PV of explicit-period SBC</t>
        </is>
      </c>
      <c r="B41" s="6">
        <f>SUMPRODUCT(-C10:L10/(1+$B$27/100)^C4:L4)</f>
        <v/>
      </c>
    </row>
    <row r="42" ht="15" customHeight="1" s="5">
      <c r="A42" s="6" t="inlineStr">
        <is>
          <t>Street memo: PV of terminal SBC (Gordon)</t>
        </is>
      </c>
      <c r="B42" s="6">
        <f>IF(B27&gt;B28,-L10*(1+B28/100)/((B27-B28)/100),-L10*20)/(1+B27/100)^L4</f>
        <v/>
      </c>
    </row>
    <row r="43" ht="15" customHeight="1" s="5">
      <c r="A43" s="6" t="inlineStr">
        <is>
          <t>Street value per share</t>
        </is>
      </c>
      <c r="B43" s="6">
        <f>(B37+B41+B42)/Assumptions!$B$3*Assumptions!$B$10</f>
        <v/>
      </c>
    </row>
    <row r="45" ht="15" customHeight="1" s="5">
      <c r="A45" s="6" t="inlineStr">
        <is>
          <t>Hurdle rate (%)</t>
        </is>
      </c>
      <c r="B45" s="10">
        <f>Assumptions!$B$6</f>
        <v/>
      </c>
    </row>
    <row r="46" ht="15" customHeight="1" s="5">
      <c r="A46" s="6" t="inlineStr">
        <is>
          <t>Terminal value at hurdle: MAX(0,MIN(Gordon@hurdle,cap))</t>
        </is>
      </c>
      <c r="B46" s="6">
        <f>MAX(0,MIN(IF(B45&gt;B28,B31*(1+B28/100)/((B45-B28)/100),B31*B29),B31*B29))</f>
        <v/>
      </c>
    </row>
    <row r="47" ht="15" customHeight="1" s="5">
      <c r="A47" s="6" t="inlineStr">
        <is>
          <t>Hurdle entry price (quote currency)</t>
        </is>
      </c>
      <c r="B47" s="6">
        <f>(SUMPRODUCT(C19:L19/(1+B45/100)^C4:L4)+B46/(1+B45/100)^L4+Assumptions!$B$5-Assumptions!$B$4)/Assumptions!$B$3*Assumptions!$B$10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2" customWidth="1" style="6" min="1" max="1"/>
  </cols>
  <sheetData>
    <row r="1" ht="15" customHeight="1" s="5">
      <c r="A1" s="8" t="inlineStr">
        <is>
          <t>ITRK.L owner-FCF component DCF: base case (millions, GBP)</t>
        </is>
      </c>
    </row>
    <row r="3" ht="15" customHeight="1" s="5">
      <c r="A3" s="6" t="inlineStr">
        <is>
          <t>Line</t>
        </is>
      </c>
      <c r="B3" s="6" t="inlineStr">
        <is>
          <t>FY2025</t>
        </is>
      </c>
      <c r="C3" s="8" t="inlineStr">
        <is>
          <t>FY2026</t>
        </is>
      </c>
      <c r="D3" s="8" t="inlineStr">
        <is>
          <t>FY2027</t>
        </is>
      </c>
      <c r="E3" s="8" t="inlineStr">
        <is>
          <t>FY2028</t>
        </is>
      </c>
      <c r="F3" s="8" t="inlineStr">
        <is>
          <t>FY2029</t>
        </is>
      </c>
      <c r="G3" s="8" t="inlineStr">
        <is>
          <t>FY2030</t>
        </is>
      </c>
      <c r="H3" s="8" t="inlineStr">
        <is>
          <t>FY2031</t>
        </is>
      </c>
      <c r="I3" s="8" t="inlineStr">
        <is>
          <t>FY2032</t>
        </is>
      </c>
      <c r="J3" s="8" t="inlineStr">
        <is>
          <t>FY2033</t>
        </is>
      </c>
      <c r="K3" s="8" t="inlineStr">
        <is>
          <t>FY2034</t>
        </is>
      </c>
      <c r="L3" s="8" t="inlineStr">
        <is>
          <t>FY2035</t>
        </is>
      </c>
    </row>
    <row r="4" ht="15" customHeight="1" s="5">
      <c r="A4" s="6" t="inlineStr">
        <is>
          <t>Year index (discount exponent)</t>
        </is>
      </c>
      <c r="B4" s="6" t="n">
        <v>0</v>
      </c>
      <c r="C4" s="6">
        <f>B4+1</f>
        <v/>
      </c>
      <c r="D4" s="6">
        <f>C4+1</f>
        <v/>
      </c>
      <c r="E4" s="6">
        <f>D4+1</f>
        <v/>
      </c>
      <c r="F4" s="6">
        <f>E4+1</f>
        <v/>
      </c>
      <c r="G4" s="6">
        <f>F4+1</f>
        <v/>
      </c>
      <c r="H4" s="6">
        <f>G4+1</f>
        <v/>
      </c>
      <c r="I4" s="6">
        <f>H4+1</f>
        <v/>
      </c>
      <c r="J4" s="6">
        <f>I4+1</f>
        <v/>
      </c>
      <c r="K4" s="6">
        <f>J4+1</f>
        <v/>
      </c>
      <c r="L4" s="6">
        <f>K4+1</f>
        <v/>
      </c>
    </row>
    <row r="5" ht="15" customHeight="1" s="5">
      <c r="A5" s="6" t="inlineStr">
        <is>
          <t>Revenue growth (%)</t>
        </is>
      </c>
      <c r="C5" s="10">
        <f>Assumptions!C27</f>
        <v/>
      </c>
      <c r="D5" s="10">
        <f>Assumptions!D27</f>
        <v/>
      </c>
      <c r="E5" s="10">
        <f>Assumptions!E27</f>
        <v/>
      </c>
      <c r="F5" s="10">
        <f>Assumptions!F27</f>
        <v/>
      </c>
      <c r="G5" s="10">
        <f>Assumptions!G27</f>
        <v/>
      </c>
      <c r="H5" s="10">
        <f>Assumptions!H27</f>
        <v/>
      </c>
      <c r="I5" s="10">
        <f>Assumptions!I27</f>
        <v/>
      </c>
      <c r="J5" s="10">
        <f>Assumptions!J27</f>
        <v/>
      </c>
      <c r="K5" s="10">
        <f>Assumptions!K27</f>
        <v/>
      </c>
      <c r="L5" s="10">
        <f>Assumptions!L27</f>
        <v/>
      </c>
    </row>
    <row r="6" ht="15" customHeight="1" s="5">
      <c r="A6" s="6" t="inlineStr">
        <is>
          <t>Revenue</t>
        </is>
      </c>
      <c r="B6" s="9" t="n">
        <v>3431.6</v>
      </c>
      <c r="C6" s="6">
        <f>B6*(1+C5/100)</f>
        <v/>
      </c>
      <c r="D6" s="6">
        <f>C6*(1+D5/100)</f>
        <v/>
      </c>
      <c r="E6" s="6">
        <f>D6*(1+E5/100)</f>
        <v/>
      </c>
      <c r="F6" s="6">
        <f>E6*(1+F5/100)</f>
        <v/>
      </c>
      <c r="G6" s="6">
        <f>F6*(1+G5/100)</f>
        <v/>
      </c>
      <c r="H6" s="6">
        <f>G6*(1+H5/100)</f>
        <v/>
      </c>
      <c r="I6" s="6">
        <f>H6*(1+I5/100)</f>
        <v/>
      </c>
      <c r="J6" s="6">
        <f>I6*(1+J5/100)</f>
        <v/>
      </c>
      <c r="K6" s="6">
        <f>J6*(1+K5/100)</f>
        <v/>
      </c>
      <c r="L6" s="6">
        <f>K6*(1+L5/100)</f>
        <v/>
      </c>
    </row>
    <row r="7" ht="15" customHeight="1" s="5">
      <c r="A7" s="6" t="inlineStr">
        <is>
          <t>EBITDA margin (%)</t>
        </is>
      </c>
      <c r="C7" s="10">
        <f>Assumptions!C28</f>
        <v/>
      </c>
      <c r="D7" s="10">
        <f>Assumptions!D28</f>
        <v/>
      </c>
      <c r="E7" s="10">
        <f>Assumptions!E28</f>
        <v/>
      </c>
      <c r="F7" s="10">
        <f>Assumptions!F28</f>
        <v/>
      </c>
      <c r="G7" s="10">
        <f>Assumptions!G28</f>
        <v/>
      </c>
      <c r="H7" s="10">
        <f>Assumptions!H28</f>
        <v/>
      </c>
      <c r="I7" s="10">
        <f>Assumptions!I28</f>
        <v/>
      </c>
      <c r="J7" s="10">
        <f>Assumptions!J28</f>
        <v/>
      </c>
      <c r="K7" s="10">
        <f>Assumptions!K28</f>
        <v/>
      </c>
      <c r="L7" s="10">
        <f>Assumptions!L28</f>
        <v/>
      </c>
    </row>
    <row r="8" ht="15" customHeight="1" s="5">
      <c r="A8" s="6" t="inlineStr">
        <is>
          <t>EBITDA</t>
        </is>
      </c>
      <c r="C8" s="6">
        <f>C6*C7/100</f>
        <v/>
      </c>
      <c r="D8" s="6">
        <f>D6*D7/100</f>
        <v/>
      </c>
      <c r="E8" s="6">
        <f>E6*E7/100</f>
        <v/>
      </c>
      <c r="F8" s="6">
        <f>F6*F7/100</f>
        <v/>
      </c>
      <c r="G8" s="6">
        <f>G6*G7/100</f>
        <v/>
      </c>
      <c r="H8" s="6">
        <f>H6*H7/100</f>
        <v/>
      </c>
      <c r="I8" s="6">
        <f>I6*I7/100</f>
        <v/>
      </c>
      <c r="J8" s="6">
        <f>J6*J7/100</f>
        <v/>
      </c>
      <c r="K8" s="6">
        <f>K6*K7/100</f>
        <v/>
      </c>
      <c r="L8" s="6">
        <f>L6*L7/100</f>
        <v/>
      </c>
    </row>
    <row r="9" ht="15" customHeight="1" s="5">
      <c r="A9" s="6" t="inlineStr">
        <is>
          <t>SBC (% of revenue)</t>
        </is>
      </c>
      <c r="C9" s="10">
        <f>Assumptions!C29</f>
        <v/>
      </c>
      <c r="D9" s="10">
        <f>Assumptions!D29</f>
        <v/>
      </c>
      <c r="E9" s="10">
        <f>Assumptions!E29</f>
        <v/>
      </c>
      <c r="F9" s="10">
        <f>Assumptions!F29</f>
        <v/>
      </c>
      <c r="G9" s="10">
        <f>Assumptions!G29</f>
        <v/>
      </c>
      <c r="H9" s="10">
        <f>Assumptions!H29</f>
        <v/>
      </c>
      <c r="I9" s="10">
        <f>Assumptions!I29</f>
        <v/>
      </c>
      <c r="J9" s="10">
        <f>Assumptions!J29</f>
        <v/>
      </c>
      <c r="K9" s="10">
        <f>Assumptions!K29</f>
        <v/>
      </c>
      <c r="L9" s="10">
        <f>Assumptions!L29</f>
        <v/>
      </c>
    </row>
    <row r="10" ht="15" customHeight="1" s="5">
      <c r="A10" s="6" t="inlineStr">
        <is>
          <t>SBC charge</t>
        </is>
      </c>
      <c r="C10" s="6">
        <f>-C6*C9/100</f>
        <v/>
      </c>
      <c r="D10" s="6">
        <f>-D6*D9/100</f>
        <v/>
      </c>
      <c r="E10" s="6">
        <f>-E6*E9/100</f>
        <v/>
      </c>
      <c r="F10" s="6">
        <f>-F6*F9/100</f>
        <v/>
      </c>
      <c r="G10" s="6">
        <f>-G6*G9/100</f>
        <v/>
      </c>
      <c r="H10" s="6">
        <f>-H6*H9/100</f>
        <v/>
      </c>
      <c r="I10" s="6">
        <f>-I6*I9/100</f>
        <v/>
      </c>
      <c r="J10" s="6">
        <f>-J6*J9/100</f>
        <v/>
      </c>
      <c r="K10" s="6">
        <f>-K6*K9/100</f>
        <v/>
      </c>
      <c r="L10" s="6">
        <f>-L6*L9/100</f>
        <v/>
      </c>
    </row>
    <row r="11" ht="15" customHeight="1" s="5">
      <c r="A11" s="6" t="inlineStr">
        <is>
          <t>Owner EBITDA (after SBC and leases)</t>
        </is>
      </c>
      <c r="C11" s="6">
        <f>C8+C10+C24</f>
        <v/>
      </c>
      <c r="D11" s="6">
        <f>D8+D10+D24</f>
        <v/>
      </c>
      <c r="E11" s="6">
        <f>E8+E10+E24</f>
        <v/>
      </c>
      <c r="F11" s="6">
        <f>F8+F10+F24</f>
        <v/>
      </c>
      <c r="G11" s="6">
        <f>G8+G10+G24</f>
        <v/>
      </c>
      <c r="H11" s="6">
        <f>H8+H10+H24</f>
        <v/>
      </c>
      <c r="I11" s="6">
        <f>I8+I10+I24</f>
        <v/>
      </c>
      <c r="J11" s="6">
        <f>J8+J10+J24</f>
        <v/>
      </c>
      <c r="K11" s="6">
        <f>K8+K10+K24</f>
        <v/>
      </c>
      <c r="L11" s="6">
        <f>L8+L10+L24</f>
        <v/>
      </c>
    </row>
    <row r="12" ht="15" customHeight="1" s="5">
      <c r="A12" s="6" t="inlineStr">
        <is>
          <t>D&amp;A</t>
        </is>
      </c>
      <c r="C12" s="10">
        <f>-C6*Assumptions!C31/100</f>
        <v/>
      </c>
      <c r="D12" s="10">
        <f>-D6*Assumptions!D31/100</f>
        <v/>
      </c>
      <c r="E12" s="10">
        <f>-E6*Assumptions!E31/100</f>
        <v/>
      </c>
      <c r="F12" s="10">
        <f>-F6*Assumptions!F31/100</f>
        <v/>
      </c>
      <c r="G12" s="10">
        <f>-G6*Assumptions!G31/100</f>
        <v/>
      </c>
      <c r="H12" s="10">
        <f>-H6*Assumptions!H31/100</f>
        <v/>
      </c>
      <c r="I12" s="10">
        <f>-I6*Assumptions!I31/100</f>
        <v/>
      </c>
      <c r="J12" s="10">
        <f>-J6*Assumptions!J31/100</f>
        <v/>
      </c>
      <c r="K12" s="10">
        <f>-K6*Assumptions!K31/100</f>
        <v/>
      </c>
      <c r="L12" s="10">
        <f>-L6*Assumptions!L31/100</f>
        <v/>
      </c>
    </row>
    <row r="13" ht="15" customHeight="1" s="5">
      <c r="A13" s="6" t="inlineStr">
        <is>
          <t>EBIT</t>
        </is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</row>
    <row r="14" ht="15" customHeight="1" s="5">
      <c r="A14" s="6" t="inlineStr">
        <is>
          <t>Cash tax rate (%)</t>
        </is>
      </c>
      <c r="C14" s="10">
        <f>Assumptions!C33</f>
        <v/>
      </c>
      <c r="D14" s="10">
        <f>Assumptions!D33</f>
        <v/>
      </c>
      <c r="E14" s="10">
        <f>Assumptions!E33</f>
        <v/>
      </c>
      <c r="F14" s="10">
        <f>Assumptions!F33</f>
        <v/>
      </c>
      <c r="G14" s="10">
        <f>Assumptions!G33</f>
        <v/>
      </c>
      <c r="H14" s="10">
        <f>Assumptions!H33</f>
        <v/>
      </c>
      <c r="I14" s="10">
        <f>Assumptions!I33</f>
        <v/>
      </c>
      <c r="J14" s="10">
        <f>Assumptions!J33</f>
        <v/>
      </c>
      <c r="K14" s="10">
        <f>Assumptions!K33</f>
        <v/>
      </c>
      <c r="L14" s="10">
        <f>Assumptions!L33</f>
        <v/>
      </c>
    </row>
    <row r="15" ht="15" customHeight="1" s="5">
      <c r="A15" s="6" t="inlineStr">
        <is>
          <t>NOPAT</t>
        </is>
      </c>
      <c r="C15" s="6">
        <f>C13-MAX(0,C13)*C14/100</f>
        <v/>
      </c>
      <c r="D15" s="6">
        <f>D13-MAX(0,D13)*D14/100</f>
        <v/>
      </c>
      <c r="E15" s="6">
        <f>E13-MAX(0,E13)*E14/100</f>
        <v/>
      </c>
      <c r="F15" s="6">
        <f>F13-MAX(0,F13)*F14/100</f>
        <v/>
      </c>
      <c r="G15" s="6">
        <f>G13-MAX(0,G13)*G14/100</f>
        <v/>
      </c>
      <c r="H15" s="6">
        <f>H13-MAX(0,H13)*H14/100</f>
        <v/>
      </c>
      <c r="I15" s="6">
        <f>I13-MAX(0,I13)*I14/100</f>
        <v/>
      </c>
      <c r="J15" s="6">
        <f>J13-MAX(0,J13)*J14/100</f>
        <v/>
      </c>
      <c r="K15" s="6">
        <f>K13-MAX(0,K13)*K14/100</f>
        <v/>
      </c>
      <c r="L15" s="6">
        <f>L13-MAX(0,L13)*L14/100</f>
        <v/>
      </c>
    </row>
    <row r="16" ht="15" customHeight="1" s="5">
      <c r="A16" s="6" t="inlineStr">
        <is>
          <t>D&amp;A add-back</t>
        </is>
      </c>
      <c r="C16" s="6">
        <f>-C12</f>
        <v/>
      </c>
      <c r="D16" s="6">
        <f>-D12</f>
        <v/>
      </c>
      <c r="E16" s="6">
        <f>-E12</f>
        <v/>
      </c>
      <c r="F16" s="6">
        <f>-F12</f>
        <v/>
      </c>
      <c r="G16" s="6">
        <f>-G12</f>
        <v/>
      </c>
      <c r="H16" s="6">
        <f>-H12</f>
        <v/>
      </c>
      <c r="I16" s="6">
        <f>-I12</f>
        <v/>
      </c>
      <c r="J16" s="6">
        <f>-J12</f>
        <v/>
      </c>
      <c r="K16" s="6">
        <f>-K12</f>
        <v/>
      </c>
      <c r="L16" s="6">
        <f>-L12</f>
        <v/>
      </c>
    </row>
    <row r="17" ht="15" customHeight="1" s="5">
      <c r="A17" s="6" t="inlineStr">
        <is>
          <t>Capex</t>
        </is>
      </c>
      <c r="C17" s="10">
        <f>-C6*Assumptions!C32/100</f>
        <v/>
      </c>
      <c r="D17" s="10">
        <f>-D6*Assumptions!D32/100</f>
        <v/>
      </c>
      <c r="E17" s="10">
        <f>-E6*Assumptions!E32/100</f>
        <v/>
      </c>
      <c r="F17" s="10">
        <f>-F6*Assumptions!F32/100</f>
        <v/>
      </c>
      <c r="G17" s="10">
        <f>-G6*Assumptions!G32/100</f>
        <v/>
      </c>
      <c r="H17" s="10">
        <f>-H6*Assumptions!H32/100</f>
        <v/>
      </c>
      <c r="I17" s="10">
        <f>-I6*Assumptions!I32/100</f>
        <v/>
      </c>
      <c r="J17" s="10">
        <f>-J6*Assumptions!J32/100</f>
        <v/>
      </c>
      <c r="K17" s="10">
        <f>-K6*Assumptions!K32/100</f>
        <v/>
      </c>
      <c r="L17" s="10">
        <f>-L6*Assumptions!L32/100</f>
        <v/>
      </c>
    </row>
    <row r="18" ht="15" customHeight="1" s="5">
      <c r="A18" s="6" t="inlineStr">
        <is>
          <t>Working capital</t>
        </is>
      </c>
      <c r="C18" s="10">
        <f>(C6-B6)*Assumptions!$B$37/100</f>
        <v/>
      </c>
      <c r="D18" s="10">
        <f>(D6-C6)*Assumptions!$B$37/100</f>
        <v/>
      </c>
      <c r="E18" s="10">
        <f>(E6-D6)*Assumptions!$B$37/100</f>
        <v/>
      </c>
      <c r="F18" s="10">
        <f>(F6-E6)*Assumptions!$B$37/100</f>
        <v/>
      </c>
      <c r="G18" s="10">
        <f>(G6-F6)*Assumptions!$B$37/100</f>
        <v/>
      </c>
      <c r="H18" s="10">
        <f>(H6-G6)*Assumptions!$B$37/100</f>
        <v/>
      </c>
      <c r="I18" s="10">
        <f>(I6-H6)*Assumptions!$B$37/100</f>
        <v/>
      </c>
      <c r="J18" s="10">
        <f>(J6-I6)*Assumptions!$B$37/100</f>
        <v/>
      </c>
      <c r="K18" s="10">
        <f>(K6-J6)*Assumptions!$B$37/100</f>
        <v/>
      </c>
      <c r="L18" s="10">
        <f>(L6-K6)*Assumptions!$B$37/100</f>
        <v/>
      </c>
    </row>
    <row r="19" ht="15" customHeight="1" s="5">
      <c r="A19" s="6" t="inlineStr">
        <is>
          <t>Unlevered owner FCF</t>
        </is>
      </c>
      <c r="C19" s="6">
        <f>C15+C16+C17+C18</f>
        <v/>
      </c>
      <c r="D19" s="6">
        <f>D15+D16+D17+D18</f>
        <v/>
      </c>
      <c r="E19" s="6">
        <f>E15+E16+E17+E18</f>
        <v/>
      </c>
      <c r="F19" s="6">
        <f>F15+F16+F17+F18</f>
        <v/>
      </c>
      <c r="G19" s="6">
        <f>G15+G16+G17+G18</f>
        <v/>
      </c>
      <c r="H19" s="6">
        <f>H15+H16+H17+H18</f>
        <v/>
      </c>
      <c r="I19" s="6">
        <f>I15+I16+I17+I18</f>
        <v/>
      </c>
      <c r="J19" s="6">
        <f>J15+J16+J17+J18</f>
        <v/>
      </c>
      <c r="K19" s="6">
        <f>K15+K16+K17+K18</f>
        <v/>
      </c>
      <c r="L19" s="6">
        <f>L15+L16+L17+L18</f>
        <v/>
      </c>
    </row>
    <row r="20" ht="15" customHeight="1" s="5">
      <c r="A20" s="6" t="inlineStr">
        <is>
          <t>Discount factor</t>
        </is>
      </c>
      <c r="C20" s="6">
        <f>1/(1+$B$27/100)^C4</f>
        <v/>
      </c>
      <c r="D20" s="6">
        <f>1/(1+$B$27/100)^D4</f>
        <v/>
      </c>
      <c r="E20" s="6">
        <f>1/(1+$B$27/100)^E4</f>
        <v/>
      </c>
      <c r="F20" s="6">
        <f>1/(1+$B$27/100)^F4</f>
        <v/>
      </c>
      <c r="G20" s="6">
        <f>1/(1+$B$27/100)^G4</f>
        <v/>
      </c>
      <c r="H20" s="6">
        <f>1/(1+$B$27/100)^H4</f>
        <v/>
      </c>
      <c r="I20" s="6">
        <f>1/(1+$B$27/100)^I4</f>
        <v/>
      </c>
      <c r="J20" s="6">
        <f>1/(1+$B$27/100)^J4</f>
        <v/>
      </c>
      <c r="K20" s="6">
        <f>1/(1+$B$27/100)^K4</f>
        <v/>
      </c>
      <c r="L20" s="6">
        <f>1/(1+$B$27/100)^L4</f>
        <v/>
      </c>
    </row>
    <row r="21" ht="15" customHeight="1" s="5">
      <c r="A21" s="6" t="inlineStr">
        <is>
          <t>PV of FCF</t>
        </is>
      </c>
      <c r="C21" s="6">
        <f>C19*C20</f>
        <v/>
      </c>
      <c r="D21" s="6">
        <f>D19*D20</f>
        <v/>
      </c>
      <c r="E21" s="6">
        <f>E19*E20</f>
        <v/>
      </c>
      <c r="F21" s="6">
        <f>F19*F20</f>
        <v/>
      </c>
      <c r="G21" s="6">
        <f>G19*G20</f>
        <v/>
      </c>
      <c r="H21" s="6">
        <f>H19*H20</f>
        <v/>
      </c>
      <c r="I21" s="6">
        <f>I19*I20</f>
        <v/>
      </c>
      <c r="J21" s="6">
        <f>J19*J20</f>
        <v/>
      </c>
      <c r="K21" s="6">
        <f>K19*K20</f>
        <v/>
      </c>
      <c r="L21" s="6">
        <f>L19*L20</f>
        <v/>
      </c>
    </row>
    <row r="23" ht="15" customHeight="1" s="5">
      <c r="A23" s="6" t="inlineStr">
        <is>
          <t>Lease cost (% of revenue)</t>
        </is>
      </c>
      <c r="C23" s="10">
        <f>Assumptions!C30</f>
        <v/>
      </c>
      <c r="D23" s="10">
        <f>Assumptions!D30</f>
        <v/>
      </c>
      <c r="E23" s="10">
        <f>Assumptions!E30</f>
        <v/>
      </c>
      <c r="F23" s="10">
        <f>Assumptions!F30</f>
        <v/>
      </c>
      <c r="G23" s="10">
        <f>Assumptions!G30</f>
        <v/>
      </c>
      <c r="H23" s="10">
        <f>Assumptions!H30</f>
        <v/>
      </c>
      <c r="I23" s="10">
        <f>Assumptions!I30</f>
        <v/>
      </c>
      <c r="J23" s="10">
        <f>Assumptions!J30</f>
        <v/>
      </c>
      <c r="K23" s="10">
        <f>Assumptions!K30</f>
        <v/>
      </c>
      <c r="L23" s="10">
        <f>Assumptions!L30</f>
        <v/>
      </c>
    </row>
    <row r="24" ht="15" customHeight="1" s="5">
      <c r="A24" s="6" t="inlineStr">
        <is>
          <t>Lease cost</t>
        </is>
      </c>
      <c r="C24" s="6">
        <f>-C6*C23/100</f>
        <v/>
      </c>
      <c r="D24" s="6">
        <f>-D6*D23/100</f>
        <v/>
      </c>
      <c r="E24" s="6">
        <f>-E6*E23/100</f>
        <v/>
      </c>
      <c r="F24" s="6">
        <f>-F6*F23/100</f>
        <v/>
      </c>
      <c r="G24" s="6">
        <f>-G6*G23/100</f>
        <v/>
      </c>
      <c r="H24" s="6">
        <f>-H6*H23/100</f>
        <v/>
      </c>
      <c r="I24" s="6">
        <f>-I6*I23/100</f>
        <v/>
      </c>
      <c r="J24" s="6">
        <f>-J6*J23/100</f>
        <v/>
      </c>
      <c r="K24" s="6">
        <f>-K6*K23/100</f>
        <v/>
      </c>
      <c r="L24" s="6">
        <f>-L6*L23/100</f>
        <v/>
      </c>
    </row>
    <row r="26" ht="15" customHeight="1" s="5">
      <c r="A26" s="8" t="inlineStr">
        <is>
          <t>Valuation</t>
        </is>
      </c>
    </row>
    <row r="27" ht="15" customHeight="1" s="5">
      <c r="A27" s="6" t="inlineStr">
        <is>
          <t>WACC (%)</t>
        </is>
      </c>
      <c r="B27" s="10">
        <f>Assumptions!$B$34</f>
        <v/>
      </c>
    </row>
    <row r="28" ht="15" customHeight="1" s="5">
      <c r="A28" s="6" t="inlineStr">
        <is>
          <t>Terminal growth (%)</t>
        </is>
      </c>
      <c r="B28" s="10">
        <f>Assumptions!$B$35</f>
        <v/>
      </c>
    </row>
    <row r="29" ht="15" customHeight="1" s="5">
      <c r="A29" s="6" t="inlineStr">
        <is>
          <t>Terminal cap multiple (x FCF)</t>
        </is>
      </c>
      <c r="B29" s="10">
        <f>Assumptions!$B$36</f>
        <v/>
      </c>
    </row>
    <row r="30" ht="15" customHeight="1" s="5">
      <c r="A30" s="6" t="inlineStr">
        <is>
          <t>Sum of PV of FCF</t>
        </is>
      </c>
      <c r="B30" s="6">
        <f>SUM(C21:L21)</f>
        <v/>
      </c>
    </row>
    <row r="31" ht="15" customHeight="1" s="5">
      <c r="A31" s="6" t="inlineStr">
        <is>
          <t>Terminal-year FCF</t>
        </is>
      </c>
      <c r="B31" s="6">
        <f>L19</f>
        <v/>
      </c>
    </row>
    <row r="32" ht="15" customHeight="1" s="5">
      <c r="A32" s="6" t="inlineStr">
        <is>
          <t>Gordon terminal value</t>
        </is>
      </c>
      <c r="B32" s="6">
        <f>IF(B27&gt;B28,B31*(1+B28/100)/((B27-B28)/100),B31*B29)</f>
        <v/>
      </c>
    </row>
    <row r="33" ht="15" customHeight="1" s="5">
      <c r="A33" s="6" t="inlineStr">
        <is>
          <t>Cap terminal value</t>
        </is>
      </c>
      <c r="B33" s="6">
        <f>B31*B29</f>
        <v/>
      </c>
    </row>
    <row r="34" ht="15" customHeight="1" s="5">
      <c r="A34" s="6" t="inlineStr">
        <is>
          <t>Terminal value used: MAX(0,MIN(Gordon,cap))</t>
        </is>
      </c>
      <c r="B34" s="6">
        <f>MAX(0,MIN(B32,B33))</f>
        <v/>
      </c>
    </row>
    <row r="35" ht="15" customHeight="1" s="5">
      <c r="A35" s="6" t="inlineStr">
        <is>
          <t>PV of terminal value</t>
        </is>
      </c>
      <c r="B35" s="6">
        <f>B34/(1+B27/100)^L4</f>
        <v/>
      </c>
    </row>
    <row r="36" ht="15" customHeight="1" s="5">
      <c r="A36" s="6" t="inlineStr">
        <is>
          <t>Enterprise value</t>
        </is>
      </c>
      <c r="B36" s="6">
        <f>B30+B35</f>
        <v/>
      </c>
    </row>
    <row r="37" ht="15" customHeight="1" s="5">
      <c r="A37" s="6" t="inlineStr">
        <is>
          <t>Equity value (EV + bridge - net debt)</t>
        </is>
      </c>
      <c r="B37" s="6">
        <f>B36+Assumptions!$B$5-Assumptions!$B$4</f>
        <v/>
      </c>
    </row>
    <row r="38" ht="15" customHeight="1" s="5">
      <c r="A38" s="6" t="inlineStr">
        <is>
          <t>Value per share (quote currency)</t>
        </is>
      </c>
      <c r="B38" s="6">
        <f>B37/Assumptions!$B$3*Assumptions!$B$10</f>
        <v/>
      </c>
    </row>
    <row r="39" ht="15" customHeight="1" s="5">
      <c r="A39" s="6" t="inlineStr">
        <is>
          <t>Upside vs price</t>
        </is>
      </c>
      <c r="B39" s="10">
        <f>B38/Assumptions!$B$2-1</f>
        <v/>
      </c>
    </row>
    <row r="41" ht="15" customHeight="1" s="5">
      <c r="A41" s="6" t="inlineStr">
        <is>
          <t>Street memo: PV of explicit-period SBC</t>
        </is>
      </c>
      <c r="B41" s="6">
        <f>SUMPRODUCT(-C10:L10/(1+$B$27/100)^C4:L4)</f>
        <v/>
      </c>
    </row>
    <row r="42" ht="15" customHeight="1" s="5">
      <c r="A42" s="6" t="inlineStr">
        <is>
          <t>Street memo: PV of terminal SBC (Gordon)</t>
        </is>
      </c>
      <c r="B42" s="6">
        <f>IF(B27&gt;B28,-L10*(1+B28/100)/((B27-B28)/100),-L10*20)/(1+B27/100)^L4</f>
        <v/>
      </c>
    </row>
    <row r="43" ht="15" customHeight="1" s="5">
      <c r="A43" s="6" t="inlineStr">
        <is>
          <t>Street value per share</t>
        </is>
      </c>
      <c r="B43" s="6">
        <f>(B37+B41+B42)/Assumptions!$B$3*Assumptions!$B$10</f>
        <v/>
      </c>
    </row>
    <row r="45" ht="15" customHeight="1" s="5">
      <c r="A45" s="6" t="inlineStr">
        <is>
          <t>Hurdle rate (%)</t>
        </is>
      </c>
      <c r="B45" s="10">
        <f>Assumptions!$B$6</f>
        <v/>
      </c>
    </row>
    <row r="46" ht="15" customHeight="1" s="5">
      <c r="A46" s="6" t="inlineStr">
        <is>
          <t>Terminal value at hurdle: MAX(0,MIN(Gordon@hurdle,cap))</t>
        </is>
      </c>
      <c r="B46" s="6">
        <f>MAX(0,MIN(IF(B45&gt;B28,B31*(1+B28/100)/((B45-B28)/100),B31*B29),B31*B29))</f>
        <v/>
      </c>
    </row>
    <row r="47" ht="15" customHeight="1" s="5">
      <c r="A47" s="6" t="inlineStr">
        <is>
          <t>Hurdle entry price (quote currency)</t>
        </is>
      </c>
      <c r="B47" s="6">
        <f>(SUMPRODUCT(C19:L19/(1+B45/100)^C4:L4)+B46/(1+B45/100)^L4+Assumptions!$B$5-Assumptions!$B$4)/Assumptions!$B$3*Assumptions!$B$10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2" customWidth="1" style="6" min="1" max="1"/>
  </cols>
  <sheetData>
    <row r="1" ht="15" customHeight="1" s="5">
      <c r="A1" s="8" t="inlineStr">
        <is>
          <t>ITRK.L owner-FCF component DCF: bull case (millions, GBP)</t>
        </is>
      </c>
    </row>
    <row r="3" ht="15" customHeight="1" s="5">
      <c r="A3" s="6" t="inlineStr">
        <is>
          <t>Line</t>
        </is>
      </c>
      <c r="B3" s="6" t="inlineStr">
        <is>
          <t>FY2025</t>
        </is>
      </c>
      <c r="C3" s="8" t="inlineStr">
        <is>
          <t>FY2026</t>
        </is>
      </c>
      <c r="D3" s="8" t="inlineStr">
        <is>
          <t>FY2027</t>
        </is>
      </c>
      <c r="E3" s="8" t="inlineStr">
        <is>
          <t>FY2028</t>
        </is>
      </c>
      <c r="F3" s="8" t="inlineStr">
        <is>
          <t>FY2029</t>
        </is>
      </c>
      <c r="G3" s="8" t="inlineStr">
        <is>
          <t>FY2030</t>
        </is>
      </c>
      <c r="H3" s="8" t="inlineStr">
        <is>
          <t>FY2031</t>
        </is>
      </c>
      <c r="I3" s="8" t="inlineStr">
        <is>
          <t>FY2032</t>
        </is>
      </c>
      <c r="J3" s="8" t="inlineStr">
        <is>
          <t>FY2033</t>
        </is>
      </c>
      <c r="K3" s="8" t="inlineStr">
        <is>
          <t>FY2034</t>
        </is>
      </c>
      <c r="L3" s="8" t="inlineStr">
        <is>
          <t>FY2035</t>
        </is>
      </c>
    </row>
    <row r="4" ht="15" customHeight="1" s="5">
      <c r="A4" s="6" t="inlineStr">
        <is>
          <t>Year index (discount exponent)</t>
        </is>
      </c>
      <c r="B4" s="6" t="n">
        <v>0</v>
      </c>
      <c r="C4" s="6">
        <f>B4+1</f>
        <v/>
      </c>
      <c r="D4" s="6">
        <f>C4+1</f>
        <v/>
      </c>
      <c r="E4" s="6">
        <f>D4+1</f>
        <v/>
      </c>
      <c r="F4" s="6">
        <f>E4+1</f>
        <v/>
      </c>
      <c r="G4" s="6">
        <f>F4+1</f>
        <v/>
      </c>
      <c r="H4" s="6">
        <f>G4+1</f>
        <v/>
      </c>
      <c r="I4" s="6">
        <f>H4+1</f>
        <v/>
      </c>
      <c r="J4" s="6">
        <f>I4+1</f>
        <v/>
      </c>
      <c r="K4" s="6">
        <f>J4+1</f>
        <v/>
      </c>
      <c r="L4" s="6">
        <f>K4+1</f>
        <v/>
      </c>
    </row>
    <row r="5" ht="15" customHeight="1" s="5">
      <c r="A5" s="6" t="inlineStr">
        <is>
          <t>Revenue growth (%)</t>
        </is>
      </c>
      <c r="C5" s="10">
        <f>Assumptions!C41</f>
        <v/>
      </c>
      <c r="D5" s="10">
        <f>Assumptions!D41</f>
        <v/>
      </c>
      <c r="E5" s="10">
        <f>Assumptions!E41</f>
        <v/>
      </c>
      <c r="F5" s="10">
        <f>Assumptions!F41</f>
        <v/>
      </c>
      <c r="G5" s="10">
        <f>Assumptions!G41</f>
        <v/>
      </c>
      <c r="H5" s="10">
        <f>Assumptions!H41</f>
        <v/>
      </c>
      <c r="I5" s="10">
        <f>Assumptions!I41</f>
        <v/>
      </c>
      <c r="J5" s="10">
        <f>Assumptions!J41</f>
        <v/>
      </c>
      <c r="K5" s="10">
        <f>Assumptions!K41</f>
        <v/>
      </c>
      <c r="L5" s="10">
        <f>Assumptions!L41</f>
        <v/>
      </c>
    </row>
    <row r="6" ht="15" customHeight="1" s="5">
      <c r="A6" s="6" t="inlineStr">
        <is>
          <t>Revenue</t>
        </is>
      </c>
      <c r="B6" s="9" t="n">
        <v>3431.6</v>
      </c>
      <c r="C6" s="6">
        <f>B6*(1+C5/100)</f>
        <v/>
      </c>
      <c r="D6" s="6">
        <f>C6*(1+D5/100)</f>
        <v/>
      </c>
      <c r="E6" s="6">
        <f>D6*(1+E5/100)</f>
        <v/>
      </c>
      <c r="F6" s="6">
        <f>E6*(1+F5/100)</f>
        <v/>
      </c>
      <c r="G6" s="6">
        <f>F6*(1+G5/100)</f>
        <v/>
      </c>
      <c r="H6" s="6">
        <f>G6*(1+H5/100)</f>
        <v/>
      </c>
      <c r="I6" s="6">
        <f>H6*(1+I5/100)</f>
        <v/>
      </c>
      <c r="J6" s="6">
        <f>I6*(1+J5/100)</f>
        <v/>
      </c>
      <c r="K6" s="6">
        <f>J6*(1+K5/100)</f>
        <v/>
      </c>
      <c r="L6" s="6">
        <f>K6*(1+L5/100)</f>
        <v/>
      </c>
    </row>
    <row r="7" ht="15" customHeight="1" s="5">
      <c r="A7" s="6" t="inlineStr">
        <is>
          <t>EBITDA margin (%)</t>
        </is>
      </c>
      <c r="C7" s="10">
        <f>Assumptions!C42</f>
        <v/>
      </c>
      <c r="D7" s="10">
        <f>Assumptions!D42</f>
        <v/>
      </c>
      <c r="E7" s="10">
        <f>Assumptions!E42</f>
        <v/>
      </c>
      <c r="F7" s="10">
        <f>Assumptions!F42</f>
        <v/>
      </c>
      <c r="G7" s="10">
        <f>Assumptions!G42</f>
        <v/>
      </c>
      <c r="H7" s="10">
        <f>Assumptions!H42</f>
        <v/>
      </c>
      <c r="I7" s="10">
        <f>Assumptions!I42</f>
        <v/>
      </c>
      <c r="J7" s="10">
        <f>Assumptions!J42</f>
        <v/>
      </c>
      <c r="K7" s="10">
        <f>Assumptions!K42</f>
        <v/>
      </c>
      <c r="L7" s="10">
        <f>Assumptions!L42</f>
        <v/>
      </c>
    </row>
    <row r="8" ht="15" customHeight="1" s="5">
      <c r="A8" s="6" t="inlineStr">
        <is>
          <t>EBITDA</t>
        </is>
      </c>
      <c r="C8" s="6">
        <f>C6*C7/100</f>
        <v/>
      </c>
      <c r="D8" s="6">
        <f>D6*D7/100</f>
        <v/>
      </c>
      <c r="E8" s="6">
        <f>E6*E7/100</f>
        <v/>
      </c>
      <c r="F8" s="6">
        <f>F6*F7/100</f>
        <v/>
      </c>
      <c r="G8" s="6">
        <f>G6*G7/100</f>
        <v/>
      </c>
      <c r="H8" s="6">
        <f>H6*H7/100</f>
        <v/>
      </c>
      <c r="I8" s="6">
        <f>I6*I7/100</f>
        <v/>
      </c>
      <c r="J8" s="6">
        <f>J6*J7/100</f>
        <v/>
      </c>
      <c r="K8" s="6">
        <f>K6*K7/100</f>
        <v/>
      </c>
      <c r="L8" s="6">
        <f>L6*L7/100</f>
        <v/>
      </c>
    </row>
    <row r="9" ht="15" customHeight="1" s="5">
      <c r="A9" s="6" t="inlineStr">
        <is>
          <t>SBC (% of revenue)</t>
        </is>
      </c>
      <c r="C9" s="10">
        <f>Assumptions!C43</f>
        <v/>
      </c>
      <c r="D9" s="10">
        <f>Assumptions!D43</f>
        <v/>
      </c>
      <c r="E9" s="10">
        <f>Assumptions!E43</f>
        <v/>
      </c>
      <c r="F9" s="10">
        <f>Assumptions!F43</f>
        <v/>
      </c>
      <c r="G9" s="10">
        <f>Assumptions!G43</f>
        <v/>
      </c>
      <c r="H9" s="10">
        <f>Assumptions!H43</f>
        <v/>
      </c>
      <c r="I9" s="10">
        <f>Assumptions!I43</f>
        <v/>
      </c>
      <c r="J9" s="10">
        <f>Assumptions!J43</f>
        <v/>
      </c>
      <c r="K9" s="10">
        <f>Assumptions!K43</f>
        <v/>
      </c>
      <c r="L9" s="10">
        <f>Assumptions!L43</f>
        <v/>
      </c>
    </row>
    <row r="10" ht="15" customHeight="1" s="5">
      <c r="A10" s="6" t="inlineStr">
        <is>
          <t>SBC charge</t>
        </is>
      </c>
      <c r="C10" s="6">
        <f>-C6*C9/100</f>
        <v/>
      </c>
      <c r="D10" s="6">
        <f>-D6*D9/100</f>
        <v/>
      </c>
      <c r="E10" s="6">
        <f>-E6*E9/100</f>
        <v/>
      </c>
      <c r="F10" s="6">
        <f>-F6*F9/100</f>
        <v/>
      </c>
      <c r="G10" s="6">
        <f>-G6*G9/100</f>
        <v/>
      </c>
      <c r="H10" s="6">
        <f>-H6*H9/100</f>
        <v/>
      </c>
      <c r="I10" s="6">
        <f>-I6*I9/100</f>
        <v/>
      </c>
      <c r="J10" s="6">
        <f>-J6*J9/100</f>
        <v/>
      </c>
      <c r="K10" s="6">
        <f>-K6*K9/100</f>
        <v/>
      </c>
      <c r="L10" s="6">
        <f>-L6*L9/100</f>
        <v/>
      </c>
    </row>
    <row r="11" ht="15" customHeight="1" s="5">
      <c r="A11" s="6" t="inlineStr">
        <is>
          <t>Owner EBITDA (after SBC and leases)</t>
        </is>
      </c>
      <c r="C11" s="6">
        <f>C8+C10+C24</f>
        <v/>
      </c>
      <c r="D11" s="6">
        <f>D8+D10+D24</f>
        <v/>
      </c>
      <c r="E11" s="6">
        <f>E8+E10+E24</f>
        <v/>
      </c>
      <c r="F11" s="6">
        <f>F8+F10+F24</f>
        <v/>
      </c>
      <c r="G11" s="6">
        <f>G8+G10+G24</f>
        <v/>
      </c>
      <c r="H11" s="6">
        <f>H8+H10+H24</f>
        <v/>
      </c>
      <c r="I11" s="6">
        <f>I8+I10+I24</f>
        <v/>
      </c>
      <c r="J11" s="6">
        <f>J8+J10+J24</f>
        <v/>
      </c>
      <c r="K11" s="6">
        <f>K8+K10+K24</f>
        <v/>
      </c>
      <c r="L11" s="6">
        <f>L8+L10+L24</f>
        <v/>
      </c>
    </row>
    <row r="12" ht="15" customHeight="1" s="5">
      <c r="A12" s="6" t="inlineStr">
        <is>
          <t>D&amp;A</t>
        </is>
      </c>
      <c r="C12" s="10">
        <f>-C6*Assumptions!C45/100</f>
        <v/>
      </c>
      <c r="D12" s="10">
        <f>-D6*Assumptions!D45/100</f>
        <v/>
      </c>
      <c r="E12" s="10">
        <f>-E6*Assumptions!E45/100</f>
        <v/>
      </c>
      <c r="F12" s="10">
        <f>-F6*Assumptions!F45/100</f>
        <v/>
      </c>
      <c r="G12" s="10">
        <f>-G6*Assumptions!G45/100</f>
        <v/>
      </c>
      <c r="H12" s="10">
        <f>-H6*Assumptions!H45/100</f>
        <v/>
      </c>
      <c r="I12" s="10">
        <f>-I6*Assumptions!I45/100</f>
        <v/>
      </c>
      <c r="J12" s="10">
        <f>-J6*Assumptions!J45/100</f>
        <v/>
      </c>
      <c r="K12" s="10">
        <f>-K6*Assumptions!K45/100</f>
        <v/>
      </c>
      <c r="L12" s="10">
        <f>-L6*Assumptions!L45/100</f>
        <v/>
      </c>
    </row>
    <row r="13" ht="15" customHeight="1" s="5">
      <c r="A13" s="6" t="inlineStr">
        <is>
          <t>EBIT</t>
        </is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</row>
    <row r="14" ht="15" customHeight="1" s="5">
      <c r="A14" s="6" t="inlineStr">
        <is>
          <t>Cash tax rate (%)</t>
        </is>
      </c>
      <c r="C14" s="10">
        <f>Assumptions!C47</f>
        <v/>
      </c>
      <c r="D14" s="10">
        <f>Assumptions!D47</f>
        <v/>
      </c>
      <c r="E14" s="10">
        <f>Assumptions!E47</f>
        <v/>
      </c>
      <c r="F14" s="10">
        <f>Assumptions!F47</f>
        <v/>
      </c>
      <c r="G14" s="10">
        <f>Assumptions!G47</f>
        <v/>
      </c>
      <c r="H14" s="10">
        <f>Assumptions!H47</f>
        <v/>
      </c>
      <c r="I14" s="10">
        <f>Assumptions!I47</f>
        <v/>
      </c>
      <c r="J14" s="10">
        <f>Assumptions!J47</f>
        <v/>
      </c>
      <c r="K14" s="10">
        <f>Assumptions!K47</f>
        <v/>
      </c>
      <c r="L14" s="10">
        <f>Assumptions!L47</f>
        <v/>
      </c>
    </row>
    <row r="15" ht="15" customHeight="1" s="5">
      <c r="A15" s="6" t="inlineStr">
        <is>
          <t>NOPAT</t>
        </is>
      </c>
      <c r="C15" s="6">
        <f>C13-MAX(0,C13)*C14/100</f>
        <v/>
      </c>
      <c r="D15" s="6">
        <f>D13-MAX(0,D13)*D14/100</f>
        <v/>
      </c>
      <c r="E15" s="6">
        <f>E13-MAX(0,E13)*E14/100</f>
        <v/>
      </c>
      <c r="F15" s="6">
        <f>F13-MAX(0,F13)*F14/100</f>
        <v/>
      </c>
      <c r="G15" s="6">
        <f>G13-MAX(0,G13)*G14/100</f>
        <v/>
      </c>
      <c r="H15" s="6">
        <f>H13-MAX(0,H13)*H14/100</f>
        <v/>
      </c>
      <c r="I15" s="6">
        <f>I13-MAX(0,I13)*I14/100</f>
        <v/>
      </c>
      <c r="J15" s="6">
        <f>J13-MAX(0,J13)*J14/100</f>
        <v/>
      </c>
      <c r="K15" s="6">
        <f>K13-MAX(0,K13)*K14/100</f>
        <v/>
      </c>
      <c r="L15" s="6">
        <f>L13-MAX(0,L13)*L14/100</f>
        <v/>
      </c>
    </row>
    <row r="16" ht="15" customHeight="1" s="5">
      <c r="A16" s="6" t="inlineStr">
        <is>
          <t>D&amp;A add-back</t>
        </is>
      </c>
      <c r="C16" s="6">
        <f>-C12</f>
        <v/>
      </c>
      <c r="D16" s="6">
        <f>-D12</f>
        <v/>
      </c>
      <c r="E16" s="6">
        <f>-E12</f>
        <v/>
      </c>
      <c r="F16" s="6">
        <f>-F12</f>
        <v/>
      </c>
      <c r="G16" s="6">
        <f>-G12</f>
        <v/>
      </c>
      <c r="H16" s="6">
        <f>-H12</f>
        <v/>
      </c>
      <c r="I16" s="6">
        <f>-I12</f>
        <v/>
      </c>
      <c r="J16" s="6">
        <f>-J12</f>
        <v/>
      </c>
      <c r="K16" s="6">
        <f>-K12</f>
        <v/>
      </c>
      <c r="L16" s="6">
        <f>-L12</f>
        <v/>
      </c>
    </row>
    <row r="17" ht="15" customHeight="1" s="5">
      <c r="A17" s="6" t="inlineStr">
        <is>
          <t>Capex</t>
        </is>
      </c>
      <c r="C17" s="10">
        <f>-C6*Assumptions!C46/100</f>
        <v/>
      </c>
      <c r="D17" s="10">
        <f>-D6*Assumptions!D46/100</f>
        <v/>
      </c>
      <c r="E17" s="10">
        <f>-E6*Assumptions!E46/100</f>
        <v/>
      </c>
      <c r="F17" s="10">
        <f>-F6*Assumptions!F46/100</f>
        <v/>
      </c>
      <c r="G17" s="10">
        <f>-G6*Assumptions!G46/100</f>
        <v/>
      </c>
      <c r="H17" s="10">
        <f>-H6*Assumptions!H46/100</f>
        <v/>
      </c>
      <c r="I17" s="10">
        <f>-I6*Assumptions!I46/100</f>
        <v/>
      </c>
      <c r="J17" s="10">
        <f>-J6*Assumptions!J46/100</f>
        <v/>
      </c>
      <c r="K17" s="10">
        <f>-K6*Assumptions!K46/100</f>
        <v/>
      </c>
      <c r="L17" s="10">
        <f>-L6*Assumptions!L46/100</f>
        <v/>
      </c>
    </row>
    <row r="18" ht="15" customHeight="1" s="5">
      <c r="A18" s="6" t="inlineStr">
        <is>
          <t>Working capital</t>
        </is>
      </c>
      <c r="C18" s="10">
        <f>(C6-B6)*Assumptions!$B$51/100</f>
        <v/>
      </c>
      <c r="D18" s="10">
        <f>(D6-C6)*Assumptions!$B$51/100</f>
        <v/>
      </c>
      <c r="E18" s="10">
        <f>(E6-D6)*Assumptions!$B$51/100</f>
        <v/>
      </c>
      <c r="F18" s="10">
        <f>(F6-E6)*Assumptions!$B$51/100</f>
        <v/>
      </c>
      <c r="G18" s="10">
        <f>(G6-F6)*Assumptions!$B$51/100</f>
        <v/>
      </c>
      <c r="H18" s="10">
        <f>(H6-G6)*Assumptions!$B$51/100</f>
        <v/>
      </c>
      <c r="I18" s="10">
        <f>(I6-H6)*Assumptions!$B$51/100</f>
        <v/>
      </c>
      <c r="J18" s="10">
        <f>(J6-I6)*Assumptions!$B$51/100</f>
        <v/>
      </c>
      <c r="K18" s="10">
        <f>(K6-J6)*Assumptions!$B$51/100</f>
        <v/>
      </c>
      <c r="L18" s="10">
        <f>(L6-K6)*Assumptions!$B$51/100</f>
        <v/>
      </c>
    </row>
    <row r="19" ht="15" customHeight="1" s="5">
      <c r="A19" s="6" t="inlineStr">
        <is>
          <t>Unlevered owner FCF</t>
        </is>
      </c>
      <c r="C19" s="6">
        <f>C15+C16+C17+C18</f>
        <v/>
      </c>
      <c r="D19" s="6">
        <f>D15+D16+D17+D18</f>
        <v/>
      </c>
      <c r="E19" s="6">
        <f>E15+E16+E17+E18</f>
        <v/>
      </c>
      <c r="F19" s="6">
        <f>F15+F16+F17+F18</f>
        <v/>
      </c>
      <c r="G19" s="6">
        <f>G15+G16+G17+G18</f>
        <v/>
      </c>
      <c r="H19" s="6">
        <f>H15+H16+H17+H18</f>
        <v/>
      </c>
      <c r="I19" s="6">
        <f>I15+I16+I17+I18</f>
        <v/>
      </c>
      <c r="J19" s="6">
        <f>J15+J16+J17+J18</f>
        <v/>
      </c>
      <c r="K19" s="6">
        <f>K15+K16+K17+K18</f>
        <v/>
      </c>
      <c r="L19" s="6">
        <f>L15+L16+L17+L18</f>
        <v/>
      </c>
    </row>
    <row r="20" ht="15" customHeight="1" s="5">
      <c r="A20" s="6" t="inlineStr">
        <is>
          <t>Discount factor</t>
        </is>
      </c>
      <c r="C20" s="6">
        <f>1/(1+$B$27/100)^C4</f>
        <v/>
      </c>
      <c r="D20" s="6">
        <f>1/(1+$B$27/100)^D4</f>
        <v/>
      </c>
      <c r="E20" s="6">
        <f>1/(1+$B$27/100)^E4</f>
        <v/>
      </c>
      <c r="F20" s="6">
        <f>1/(1+$B$27/100)^F4</f>
        <v/>
      </c>
      <c r="G20" s="6">
        <f>1/(1+$B$27/100)^G4</f>
        <v/>
      </c>
      <c r="H20" s="6">
        <f>1/(1+$B$27/100)^H4</f>
        <v/>
      </c>
      <c r="I20" s="6">
        <f>1/(1+$B$27/100)^I4</f>
        <v/>
      </c>
      <c r="J20" s="6">
        <f>1/(1+$B$27/100)^J4</f>
        <v/>
      </c>
      <c r="K20" s="6">
        <f>1/(1+$B$27/100)^K4</f>
        <v/>
      </c>
      <c r="L20" s="6">
        <f>1/(1+$B$27/100)^L4</f>
        <v/>
      </c>
    </row>
    <row r="21" ht="15" customHeight="1" s="5">
      <c r="A21" s="6" t="inlineStr">
        <is>
          <t>PV of FCF</t>
        </is>
      </c>
      <c r="C21" s="6">
        <f>C19*C20</f>
        <v/>
      </c>
      <c r="D21" s="6">
        <f>D19*D20</f>
        <v/>
      </c>
      <c r="E21" s="6">
        <f>E19*E20</f>
        <v/>
      </c>
      <c r="F21" s="6">
        <f>F19*F20</f>
        <v/>
      </c>
      <c r="G21" s="6">
        <f>G19*G20</f>
        <v/>
      </c>
      <c r="H21" s="6">
        <f>H19*H20</f>
        <v/>
      </c>
      <c r="I21" s="6">
        <f>I19*I20</f>
        <v/>
      </c>
      <c r="J21" s="6">
        <f>J19*J20</f>
        <v/>
      </c>
      <c r="K21" s="6">
        <f>K19*K20</f>
        <v/>
      </c>
      <c r="L21" s="6">
        <f>L19*L20</f>
        <v/>
      </c>
    </row>
    <row r="23" ht="15" customHeight="1" s="5">
      <c r="A23" s="6" t="inlineStr">
        <is>
          <t>Lease cost (% of revenue)</t>
        </is>
      </c>
      <c r="C23" s="10">
        <f>Assumptions!C44</f>
        <v/>
      </c>
      <c r="D23" s="10">
        <f>Assumptions!D44</f>
        <v/>
      </c>
      <c r="E23" s="10">
        <f>Assumptions!E44</f>
        <v/>
      </c>
      <c r="F23" s="10">
        <f>Assumptions!F44</f>
        <v/>
      </c>
      <c r="G23" s="10">
        <f>Assumptions!G44</f>
        <v/>
      </c>
      <c r="H23" s="10">
        <f>Assumptions!H44</f>
        <v/>
      </c>
      <c r="I23" s="10">
        <f>Assumptions!I44</f>
        <v/>
      </c>
      <c r="J23" s="10">
        <f>Assumptions!J44</f>
        <v/>
      </c>
      <c r="K23" s="10">
        <f>Assumptions!K44</f>
        <v/>
      </c>
      <c r="L23" s="10">
        <f>Assumptions!L44</f>
        <v/>
      </c>
    </row>
    <row r="24" ht="15" customHeight="1" s="5">
      <c r="A24" s="6" t="inlineStr">
        <is>
          <t>Lease cost</t>
        </is>
      </c>
      <c r="C24" s="6">
        <f>-C6*C23/100</f>
        <v/>
      </c>
      <c r="D24" s="6">
        <f>-D6*D23/100</f>
        <v/>
      </c>
      <c r="E24" s="6">
        <f>-E6*E23/100</f>
        <v/>
      </c>
      <c r="F24" s="6">
        <f>-F6*F23/100</f>
        <v/>
      </c>
      <c r="G24" s="6">
        <f>-G6*G23/100</f>
        <v/>
      </c>
      <c r="H24" s="6">
        <f>-H6*H23/100</f>
        <v/>
      </c>
      <c r="I24" s="6">
        <f>-I6*I23/100</f>
        <v/>
      </c>
      <c r="J24" s="6">
        <f>-J6*J23/100</f>
        <v/>
      </c>
      <c r="K24" s="6">
        <f>-K6*K23/100</f>
        <v/>
      </c>
      <c r="L24" s="6">
        <f>-L6*L23/100</f>
        <v/>
      </c>
    </row>
    <row r="26" ht="15" customHeight="1" s="5">
      <c r="A26" s="8" t="inlineStr">
        <is>
          <t>Valuation</t>
        </is>
      </c>
    </row>
    <row r="27" ht="15" customHeight="1" s="5">
      <c r="A27" s="6" t="inlineStr">
        <is>
          <t>WACC (%)</t>
        </is>
      </c>
      <c r="B27" s="10">
        <f>Assumptions!$B$48</f>
        <v/>
      </c>
    </row>
    <row r="28" ht="15" customHeight="1" s="5">
      <c r="A28" s="6" t="inlineStr">
        <is>
          <t>Terminal growth (%)</t>
        </is>
      </c>
      <c r="B28" s="10">
        <f>Assumptions!$B$49</f>
        <v/>
      </c>
    </row>
    <row r="29" ht="15" customHeight="1" s="5">
      <c r="A29" s="6" t="inlineStr">
        <is>
          <t>Terminal cap multiple (x FCF)</t>
        </is>
      </c>
      <c r="B29" s="10">
        <f>Assumptions!$B$50</f>
        <v/>
      </c>
    </row>
    <row r="30" ht="15" customHeight="1" s="5">
      <c r="A30" s="6" t="inlineStr">
        <is>
          <t>Sum of PV of FCF</t>
        </is>
      </c>
      <c r="B30" s="6">
        <f>SUM(C21:L21)</f>
        <v/>
      </c>
    </row>
    <row r="31" ht="15" customHeight="1" s="5">
      <c r="A31" s="6" t="inlineStr">
        <is>
          <t>Terminal-year FCF</t>
        </is>
      </c>
      <c r="B31" s="6">
        <f>L19</f>
        <v/>
      </c>
    </row>
    <row r="32" ht="15" customHeight="1" s="5">
      <c r="A32" s="6" t="inlineStr">
        <is>
          <t>Gordon terminal value</t>
        </is>
      </c>
      <c r="B32" s="6">
        <f>IF(B27&gt;B28,B31*(1+B28/100)/((B27-B28)/100),B31*B29)</f>
        <v/>
      </c>
    </row>
    <row r="33" ht="15" customHeight="1" s="5">
      <c r="A33" s="6" t="inlineStr">
        <is>
          <t>Cap terminal value</t>
        </is>
      </c>
      <c r="B33" s="6">
        <f>B31*B29</f>
        <v/>
      </c>
    </row>
    <row r="34" ht="15" customHeight="1" s="5">
      <c r="A34" s="6" t="inlineStr">
        <is>
          <t>Terminal value used: MAX(0,MIN(Gordon,cap))</t>
        </is>
      </c>
      <c r="B34" s="6">
        <f>MAX(0,MIN(B32,B33))</f>
        <v/>
      </c>
    </row>
    <row r="35" ht="15" customHeight="1" s="5">
      <c r="A35" s="6" t="inlineStr">
        <is>
          <t>PV of terminal value</t>
        </is>
      </c>
      <c r="B35" s="6">
        <f>B34/(1+B27/100)^L4</f>
        <v/>
      </c>
    </row>
    <row r="36" ht="15" customHeight="1" s="5">
      <c r="A36" s="6" t="inlineStr">
        <is>
          <t>Enterprise value</t>
        </is>
      </c>
      <c r="B36" s="6">
        <f>B30+B35</f>
        <v/>
      </c>
    </row>
    <row r="37" ht="15" customHeight="1" s="5">
      <c r="A37" s="6" t="inlineStr">
        <is>
          <t>Equity value (EV + bridge - net debt)</t>
        </is>
      </c>
      <c r="B37" s="6">
        <f>B36+Assumptions!$B$5-Assumptions!$B$4</f>
        <v/>
      </c>
    </row>
    <row r="38" ht="15" customHeight="1" s="5">
      <c r="A38" s="6" t="inlineStr">
        <is>
          <t>Value per share (quote currency)</t>
        </is>
      </c>
      <c r="B38" s="6">
        <f>B37/Assumptions!$B$3*Assumptions!$B$10</f>
        <v/>
      </c>
    </row>
    <row r="39" ht="15" customHeight="1" s="5">
      <c r="A39" s="6" t="inlineStr">
        <is>
          <t>Upside vs price</t>
        </is>
      </c>
      <c r="B39" s="10">
        <f>B38/Assumptions!$B$2-1</f>
        <v/>
      </c>
    </row>
    <row r="41" ht="15" customHeight="1" s="5">
      <c r="A41" s="6" t="inlineStr">
        <is>
          <t>Street memo: PV of explicit-period SBC</t>
        </is>
      </c>
      <c r="B41" s="6">
        <f>SUMPRODUCT(-C10:L10/(1+$B$27/100)^C4:L4)</f>
        <v/>
      </c>
    </row>
    <row r="42" ht="15" customHeight="1" s="5">
      <c r="A42" s="6" t="inlineStr">
        <is>
          <t>Street memo: PV of terminal SBC (Gordon)</t>
        </is>
      </c>
      <c r="B42" s="6">
        <f>IF(B27&gt;B28,-L10*(1+B28/100)/((B27-B28)/100),-L10*20)/(1+B27/100)^L4</f>
        <v/>
      </c>
    </row>
    <row r="43" ht="15" customHeight="1" s="5">
      <c r="A43" s="6" t="inlineStr">
        <is>
          <t>Street value per share</t>
        </is>
      </c>
      <c r="B43" s="6">
        <f>(B37+B41+B42)/Assumptions!$B$3*Assumptions!$B$10</f>
        <v/>
      </c>
    </row>
    <row r="45" ht="15" customHeight="1" s="5">
      <c r="A45" s="6" t="inlineStr">
        <is>
          <t>Hurdle rate (%)</t>
        </is>
      </c>
      <c r="B45" s="10">
        <f>Assumptions!$B$6</f>
        <v/>
      </c>
    </row>
    <row r="46" ht="15" customHeight="1" s="5">
      <c r="A46" s="6" t="inlineStr">
        <is>
          <t>Terminal value at hurdle: MAX(0,MIN(Gordon@hurdle,cap))</t>
        </is>
      </c>
      <c r="B46" s="6">
        <f>MAX(0,MIN(IF(B45&gt;B28,B31*(1+B28/100)/((B45-B28)/100),B31*B29),B31*B29))</f>
        <v/>
      </c>
    </row>
    <row r="47" ht="15" customHeight="1" s="5">
      <c r="A47" s="6" t="inlineStr">
        <is>
          <t>Hurdle entry price (quote currency)</t>
        </is>
      </c>
      <c r="B47" s="6">
        <f>(SUMPRODUCT(C19:L19/(1+B45/100)^C4:L4)+B46/(1+B45/100)^L4+Assumptions!$B$5-Assumptions!$B$4)/Assumptions!$B$3*Assumptions!$B$10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6" min="1" max="1"/>
  </cols>
  <sheetData>
    <row r="1" ht="15" customHeight="1" s="5">
      <c r="A1" s="8" t="inlineStr">
        <is>
          <t>ITRK.L valuation summary</t>
        </is>
      </c>
    </row>
    <row r="3" ht="15" customHeight="1" s="5">
      <c r="A3" s="8" t="inlineStr">
        <is>
          <t>Scenario</t>
        </is>
      </c>
      <c r="B3" s="8" t="inlineStr">
        <is>
          <t>Value per share</t>
        </is>
      </c>
      <c r="C3" s="8" t="inlineStr">
        <is>
          <t>Upside vs price</t>
        </is>
      </c>
      <c r="D3" s="8" t="inlineStr">
        <is>
          <t>Weight</t>
        </is>
      </c>
      <c r="E3" s="8" t="inlineStr">
        <is>
          <t>Street value per share</t>
        </is>
      </c>
      <c r="F3" s="8" t="inlineStr">
        <is>
          <t>Hurdle entry price</t>
        </is>
      </c>
    </row>
    <row r="4" ht="15" customHeight="1" s="5">
      <c r="A4" s="6" t="inlineStr">
        <is>
          <t>Bear</t>
        </is>
      </c>
      <c r="B4" s="10">
        <f>DCF_Bear!$B$38</f>
        <v/>
      </c>
      <c r="C4" s="6">
        <f>B4/Assumptions!$B$2-1</f>
        <v/>
      </c>
      <c r="D4" s="10">
        <f>Assumptions!$B$24</f>
        <v/>
      </c>
      <c r="E4" s="10">
        <f>DCF_Bear!$B$43</f>
        <v/>
      </c>
      <c r="F4" s="10">
        <f>DCF_Bear!$B$47</f>
        <v/>
      </c>
    </row>
    <row r="5" ht="15" customHeight="1" s="5">
      <c r="A5" s="6" t="inlineStr">
        <is>
          <t>Base</t>
        </is>
      </c>
      <c r="B5" s="10">
        <f>DCF_Base!$B$38</f>
        <v/>
      </c>
      <c r="C5" s="6">
        <f>B5/Assumptions!$B$2-1</f>
        <v/>
      </c>
      <c r="D5" s="10">
        <f>Assumptions!$B$38</f>
        <v/>
      </c>
      <c r="E5" s="10">
        <f>DCF_Base!$B$43</f>
        <v/>
      </c>
      <c r="F5" s="10">
        <f>DCF_Base!$B$47</f>
        <v/>
      </c>
    </row>
    <row r="6" ht="15" customHeight="1" s="5">
      <c r="A6" s="6" t="inlineStr">
        <is>
          <t>Bull</t>
        </is>
      </c>
      <c r="B6" s="10">
        <f>DCF_Bull!$B$38</f>
        <v/>
      </c>
      <c r="C6" s="6">
        <f>B6/Assumptions!$B$2-1</f>
        <v/>
      </c>
      <c r="D6" s="10">
        <f>Assumptions!$B$52</f>
        <v/>
      </c>
      <c r="E6" s="10">
        <f>DCF_Bull!$B$43</f>
        <v/>
      </c>
      <c r="F6" s="10">
        <f>DCF_Bull!$B$47</f>
        <v/>
      </c>
    </row>
    <row r="8" ht="15" customHeight="1" s="5">
      <c r="A8" s="6" t="inlineStr">
        <is>
          <t>Probability-weighted value per share</t>
        </is>
      </c>
      <c r="B8" s="6">
        <f>SUMPRODUCT(B4:B6,D4:D6)</f>
        <v/>
      </c>
    </row>
    <row r="9" ht="15" customHeight="1" s="5">
      <c r="A9" s="6" t="inlineStr">
        <is>
          <t>Street weighted value per share</t>
        </is>
      </c>
      <c r="B9" s="6">
        <f>SUMPRODUCT(E4:E6,D4:D6)</f>
        <v/>
      </c>
    </row>
    <row r="10" ht="15" customHeight="1" s="5">
      <c r="A10" s="6" t="inlineStr">
        <is>
          <t>Margin of safety (1 - price/weighted)</t>
        </is>
      </c>
      <c r="B10" s="6">
        <f>1-Assumptions!$B$2/B8</f>
        <v/>
      </c>
    </row>
    <row r="11" ht="15" customHeight="1" s="5">
      <c r="A11" s="6" t="inlineStr">
        <is>
          <t>Band position (%; 0 = house, 100 = street)</t>
        </is>
      </c>
      <c r="B11" s="6">
        <f>IF(ABS(B9-B8)&gt;0.01*ABS(B8),(Assumptions!$B$2-B8)/(B9-B8)*100,"n/a")</f>
        <v/>
      </c>
    </row>
    <row r="12" ht="15" customHeight="1" s="5">
      <c r="A12" s="6" t="inlineStr">
        <is>
          <t>Weighted 15% hurdle entry price</t>
        </is>
      </c>
      <c r="B12" s="6">
        <f>SUMPRODUCT(F4:F6,D4:D6)</f>
        <v/>
      </c>
    </row>
    <row r="14" ht="15" customHeight="1" s="5">
      <c r="A14" s="8" t="inlineStr">
        <is>
          <t>Required-return table (base case; each row rebuilds its own terminal value)</t>
        </is>
      </c>
      <c r="C14" s="6" t="inlineStr">
        <is>
          <t>Rate (%)</t>
        </is>
      </c>
    </row>
    <row r="15" ht="15" customHeight="1" s="5">
      <c r="A15" s="6" t="inlineStr">
        <is>
          <t>Value per share at 8% (WACC)</t>
        </is>
      </c>
      <c r="B15" s="6">
        <f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/>
      </c>
      <c r="C15" s="9" t="n">
        <v>8</v>
      </c>
    </row>
    <row r="16" ht="15" customHeight="1" s="5">
      <c r="A16" s="6" t="inlineStr">
        <is>
          <t>Value per share at 9%</t>
        </is>
      </c>
      <c r="B16" s="6">
        <f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/>
      </c>
      <c r="C16" s="9" t="n">
        <v>9</v>
      </c>
    </row>
    <row r="17" ht="15" customHeight="1" s="5">
      <c r="A17" s="6" t="inlineStr">
        <is>
          <t>Value per share at 10%</t>
        </is>
      </c>
      <c r="B17" s="6">
        <f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/>
      </c>
      <c r="C17" s="9" t="n">
        <v>10</v>
      </c>
    </row>
    <row r="18" ht="15" customHeight="1" s="5">
      <c r="A18" s="6" t="inlineStr">
        <is>
          <t>Value per share at 11%</t>
        </is>
      </c>
      <c r="B18" s="6">
        <f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/>
      </c>
      <c r="C18" s="9" t="n">
        <v>11</v>
      </c>
    </row>
    <row r="19" ht="15" customHeight="1" s="5">
      <c r="A19" s="6" t="inlineStr">
        <is>
          <t>Value per share at 12%</t>
        </is>
      </c>
      <c r="B19" s="6">
        <f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/>
      </c>
      <c r="C19" s="9" t="n">
        <v>12</v>
      </c>
    </row>
    <row r="20" ht="15" customHeight="1" s="5">
      <c r="A20" s="6" t="inlineStr">
        <is>
          <t>Value per share at 15%</t>
        </is>
      </c>
      <c r="B20" s="6">
        <f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/>
      </c>
      <c r="C20" s="9" t="n">
        <v>15</v>
      </c>
    </row>
    <row r="22" ht="15" customHeight="1" s="5">
      <c r="A22" s="8" t="inlineStr">
        <is>
          <t>Sensitivity: value per share, rows WACC (%) x columns terminal growth (%)</t>
        </is>
      </c>
    </row>
    <row r="23" ht="15" customHeight="1" s="5">
      <c r="B23" s="9" t="n">
        <v>1.5</v>
      </c>
      <c r="C23" s="9" t="n">
        <v>2</v>
      </c>
      <c r="D23" s="9" t="n">
        <v>2.5</v>
      </c>
      <c r="E23" s="9" t="n">
        <v>3</v>
      </c>
      <c r="F23" s="9" t="n">
        <v>3.5</v>
      </c>
    </row>
    <row r="24" ht="15" customHeight="1" s="5">
      <c r="A24" s="9" t="n">
        <v>6</v>
      </c>
      <c r="B24" s="6">
        <f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/>
      </c>
      <c r="C24" s="6">
        <f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/>
      </c>
      <c r="D24" s="6">
        <f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/>
      </c>
      <c r="E24" s="6">
        <f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/>
      </c>
      <c r="F24" s="6">
        <f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/>
      </c>
    </row>
    <row r="25" ht="15" customHeight="1" s="5">
      <c r="A25" s="9" t="n">
        <v>7</v>
      </c>
      <c r="B25" s="6">
        <f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/>
      </c>
      <c r="C25" s="6">
        <f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/>
      </c>
      <c r="D25" s="6">
        <f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/>
      </c>
      <c r="E25" s="6">
        <f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/>
      </c>
      <c r="F25" s="6">
        <f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/>
      </c>
    </row>
    <row r="26" ht="15" customHeight="1" s="5">
      <c r="A26" s="9" t="n">
        <v>8</v>
      </c>
      <c r="B26" s="6">
        <f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/>
      </c>
      <c r="C26" s="6">
        <f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/>
      </c>
      <c r="D26" s="6">
        <f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/>
      </c>
      <c r="E26" s="6">
        <f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/>
      </c>
      <c r="F26" s="6">
        <f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/>
      </c>
    </row>
    <row r="27" ht="15" customHeight="1" s="5">
      <c r="A27" s="9" t="n">
        <v>9</v>
      </c>
      <c r="B27" s="6">
        <f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/>
      </c>
      <c r="C27" s="6">
        <f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/>
      </c>
      <c r="D27" s="6">
        <f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/>
      </c>
      <c r="E27" s="6">
        <f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/>
      </c>
      <c r="F27" s="6">
        <f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/>
      </c>
    </row>
    <row r="28" ht="15" customHeight="1" s="5">
      <c r="A28" s="9" t="n">
        <v>10</v>
      </c>
      <c r="B28" s="6">
        <f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/>
      </c>
      <c r="C28" s="6">
        <f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/>
      </c>
      <c r="D28" s="6">
        <f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/>
      </c>
      <c r="E28" s="6">
        <f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/>
      </c>
      <c r="F28" s="6">
        <f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en-NZ</dc:language>
  <dcterms:created xsi:type="dcterms:W3CDTF">2026-10-10T00:44:54Z</dcterms:created>
  <dcterms:modified xsi:type="dcterms:W3CDTF">2026-10-10T00:48:11Z</dcterms:modified>
  <cp:revision>0</cp:revision>
</cp:coreProperties>
</file>