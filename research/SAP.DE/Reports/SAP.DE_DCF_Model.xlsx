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<sst xmlns="http://schemas.openxmlformats.org/spreadsheetml/2006/main" count="373" uniqueCount="174">
  <si>
    <t xml:space="preserve">Ticker</t>
  </si>
  <si>
    <t xml:space="preserve">SAP.DE</t>
  </si>
  <si>
    <t xml:space="preserve">Company</t>
  </si>
  <si>
    <t xml:space="preserve">SAP SE</t>
  </si>
  <si>
    <t xml:space="preserve">Valuation date</t>
  </si>
  <si>
    <t xml:space="preserve">2026-10-25</t>
  </si>
  <si>
    <t xml:space="preserve">Current price</t>
  </si>
  <si>
    <t xml:space="preserve">Price as of</t>
  </si>
  <si>
    <t xml:space="preserve">2026-10-23T15:35:26Z Xetra regular close (Friday; valuation dated Sunday 2026-10-25, no newer session)</t>
  </si>
  <si>
    <t xml:space="preserve">Balance sheet date</t>
  </si>
  <si>
    <t xml:space="preserve">2025-12-31</t>
  </si>
  <si>
    <t xml:space="preserve">Model</t>
  </si>
  <si>
    <t xml:space="preserve">owner_fcf_dcf_component</t>
  </si>
  <si>
    <t xml:space="preserve">Currency (model)</t>
  </si>
  <si>
    <t xml:space="preserve">EUR</t>
  </si>
  <si>
    <t xml:space="preserve">Currency (quote)</t>
  </si>
  <si>
    <t xml:space="preserve">Units</t>
  </si>
  <si>
    <t xml:space="preserve">millions</t>
  </si>
  <si>
    <t xml:space="preserve">Engine</t>
  </si>
  <si>
    <t xml:space="preserve">dcf_engine v1</t>
  </si>
  <si>
    <t xml:space="preserve">Built at</t>
  </si>
  <si>
    <t xml:space="preserve">2026-10-25T03:02:37Z</t>
  </si>
  <si>
    <t xml:space="preserve">Drivers file</t>
  </si>
  <si>
    <t xml:space="preserve">SAP.DE_Drivers.json</t>
  </si>
  <si>
    <t xml:space="preserve">Convention</t>
  </si>
  <si>
    <t xml:space="preserve">Percents stored as percents; formulas divide by 100. Blue = input, green = link, black = formula.</t>
  </si>
  <si>
    <t xml:space="preserve">Methodology</t>
  </si>
  <si>
    <t xml:space="preserve">summary: SAP is valued as a stream of owner free cash flow in EUR -- SBC charged once at the IFRS 2 expense, leases as an operating cost, share count flat at the diluted 1,175m, WACC built from Bund yields -- against the Xetra price in EUR. The business is a high-switching-cost systems-of-record franchise mid-way through a forced on-premise-to-cloud migration that ends in Dec-2027, so the near-term path is unusually visible (EUR 24bn current cloud backlog, guidance) and the long-term question is what the franchise earns once migration is done and whether agentic AI changes enterprise software pricing. Scenarios differ on how much of the ECC base SAP keeps, where pre-SBC margins plateau (37% / 41% / 44%), and the terminal growth and cap that follow. One discount rate across all scenarios; risk is in the weights and the flows. Driver paths are shared with the SAP NYSE ADR valuation so the two listings read consistently.
key_risks_to_valuation: Margin plateau: each 1pp of mature pre-SBC EBITDA margin is worth roughly EUR 4-5/share; management held rather than raised FY2026 profit guidance after the Q3 beat; Terminal value is the majority of EV at an 8.5% WACC; 1pp of WACC or 0.5pp of terminal growth moves base value by double digits (see sensitivity grid); Balance-sheet anchors are FY2025 (2025-12-31); 2026 acquisitions, the Teradata settlement, dividend and buybacks are only partly reflected via equity_bridge until the H1/Q3-2026 interim reports are extracted; SBC mechanics: awards are largely cash-settled and marked to market, so the IFRS 2 expense (and the 4.5% charge) swings with the share price -- after the ~17% rally since early October the FY2026 expense will run higher than the path's start; EUR strength: SAP reports in EUR with a majority of revenue outside the eurozone; a stronger euro lowers reported revenue and FCF even when constant-currency growth is on plan; Regulatory outcomes (EU Commission commitments, DOJ, Celonis) could force changes to maintenance and data-access practices that the bear case only partly prices</t>
  </si>
  <si>
    <t xml:space="preserve">Data sources</t>
  </si>
  <si>
    <t xml:space="preserve">price: Yahoo Finance chart API (SAP.DE, Xetra, EUR) at inputs.price_as_of; 52-week range 127.50-235.80 EUR.
financials: research/SAP.DE/Reports/SAP.DE_Metrics.csv and SAP.DE.duckdb kpis (FY2014-FY2025 annual plus interims), with anchors read from the extracted FY2025 and FY2023 annual reports (file:line cited per field).
qualitative: research/SAP.DE/Reports/SAP.DE_Analysis.json: business model, Q3-2026 results and FY2026 guidance, recent developments, bull/bear cases, risks.</t>
  </si>
  <si>
    <t xml:space="preserve">Scenario narrative: bear</t>
  </si>
  <si>
    <t xml:space="preserve">Agentic AI compresses per-seat SaaS economics industry-wide and SAP's cloud pricing power erodes; SI bottlenecks ahead of 2027 push a meaningful minority of ECC customers to extended maintenance, third-party support (helped by the EU Commission commitments opening on-premise maintenance) or to Oracle/Workday/Microsoft, so cloud growth fades to the low teens by FY2028 while the legacy decline accelerates as guided. Total revenue growth falls from 9% to 3% within four years. The AI investment phase is not temporary: margins stall near 37% pre-SBC EBITDA, SBC stays at 4.6% of revenue, and continued bolt-on M&amp;A dilutes further. Terminal growth 2.0% and a 15x cap reflect a mature, slower franchise.</t>
  </si>
  <si>
    <t xml:space="preserve">Scenario narrative: base</t>
  </si>
  <si>
    <t xml:space="preserve">SAP converts the bulk of its ECC base to S/4HANA Cloud through the Dec-2027 maintenance cliff: cloud grows ~25% in FY2026 (Q3 +26%, guidance toward the top of EUR 25.8-26.2bn) and stays above 15% through FY2028 while support and licences shrink to a remainder, so total revenue compounds ~10% for two years then decelerates to GDP-plus by year 8. The EUR 24.1bn current cloud backlog underwrites the first two years. Operating leverage arrives as management frames it (opex at 80-90% of revenue growth in 2027), taking pre-SBC EBITDA from 34.5% to 41% by FY2032 but no faster, because cloud mix dilutes gross margin and SAP keeps buying data/AI capability (Reltio, Dremio, Prior Labs) to stay credible in agentic workflows. Business AI/Joule and Business Data Cloud expand wallet share modestly rather than transformatively. The EU commitments case, DOJ inquiry and Celonis trial cost money and management time but do not change the maintenance model.</t>
  </si>
  <si>
    <t xml:space="preserve">Scenario narrative: bull</t>
  </si>
  <si>
    <t xml:space="preserve">The migration wave is larger and stickier than the base assumes: SI capacity holds, AI-assisted migration tooling cuts conversion effort, and the ECC customers who had not started by 2025 overwhelmingly stay with SAP rather than defecting to Oracle Fusion or Workday. Business AI/BDC becomes a priced layer on top of core ERP, so cloud growth holds above 20% into FY2028 and total revenue compounds 11-12% for three years. Margins expand ~1.5pp/yr to a 44% pre-SBC EBITDA plateau as AI tooling costs normalise and internal AI deployment lowers S&amp;M, R&amp;D and G&amp;A ratios. Deferred-revenue capture runs at 15% on stronger bookings and terminal growth is 3.0%. The SaaS-disruption narrative proves wrong for systems-of-record ERP, where seats are not the pricing unit.</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</si>
  <si>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</si>
  <si>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</si>
  <si>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</si>
  <si>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</si>
  <si>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</si>
  <si>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</si>
  <si>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</si>
  <si>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</si>
  <si>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</si>
  <si>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</si>
  <si>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</si>
  <si>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</si>
  <si>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</si>
  <si>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</si>
  <si>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</si>
  <si>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</si>
  <si>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</si>
  <si>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</si>
  <si>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</si>
  <si>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</si>
  <si>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</si>
  <si>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</si>
  <si>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</si>
  <si>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</si>
  <si>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</si>
  <si>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</si>
  <si>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</si>
  <si>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Backlog</t>
  </si>
  <si>
    <t xml:space="preserve">EPSContinuing</t>
  </si>
  <si>
    <t xml:space="preserve">Employees</t>
  </si>
  <si>
    <t xml:space="preserve">LicensingRevenue</t>
  </si>
  <si>
    <t xml:space="preserve">NetIncomeContinuingAttributable</t>
  </si>
  <si>
    <t xml:space="preserve">RevenueCloud</t>
  </si>
  <si>
    <t xml:space="preserve">ServicesRevenue</t>
  </si>
  <si>
    <t xml:space="preserve">FY2014</t>
  </si>
  <si>
    <t xml:space="preserve">FY2015</t>
  </si>
  <si>
    <t xml:space="preserve">FY2016</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</si>
  <si>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</si>
  <si>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</si>
  <si>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</si>
  <si>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</si>
  <si>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</si>
  <si>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</si>
  <si>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</si>
  <si>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</si>
  <si>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</si>
  <si>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</si>
  <si>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</si>
  <si>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</si>
  <si>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</si>
  <si>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</si>
  <si>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</si>
  <si>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</si>
  <si>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</si>
  <si>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</si>
  <si>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</si>
  <si>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EUR millions</t>
  </si>
  <si>
    <t xml:space="preserve">FX rate (model -&gt; quote)</t>
  </si>
  <si>
    <t xml:space="preserve">BEAR</t>
  </si>
  <si>
    <t xml:space="preserve">FY2026</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</si>
  <si>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</si>
  <si>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</si>
  <si>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</si>
  <si>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</si>
  <si>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</si>
  <si>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</si>
  <si>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</si>
  <si>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</si>
  <si>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</si>
  <si>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</si>
  <si>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</si>
  <si>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</si>
  <si>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</si>
  <si>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</si>
  <si>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</si>
  <si>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</si>
  <si>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</si>
  <si>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</si>
  <si>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</si>
  <si>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</si>
  <si>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</si>
  <si>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</si>
  <si>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</si>
  <si>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SAP.DE owner-FCF component DCF: bear case (millions, EUR)</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</si>
  <si>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</si>
  <si>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</si>
  <si>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</si>
  <si>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</si>
  <si>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</si>
  <si>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</si>
  <si>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</si>
  <si>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</si>
  <si>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</si>
  <si>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</si>
  <si>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</si>
  <si>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</si>
  <si>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</si>
  <si>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</si>
  <si>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</si>
  <si>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</si>
  <si>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</si>
  <si>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</si>
  <si>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</si>
  <si>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</si>
  <si>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</si>
  <si>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</si>
  <si>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</si>
  <si>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</si>
  <si>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</si>
  <si>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</si>
  <si>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</si>
  <si>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</si>
  <si>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</si>
  <si>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</si>
  <si>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SAP.DE owner-FCF component DCF: base case (millions, EUR)</t>
  </si>
  <si>
    <t xml:space="preserve">SAP.DE owner-FCF component DCF: bull case (millions, EUR)</t>
  </si>
  <si>
    <t xml:space="preserve">SAP.DE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</si>
  <si>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</si>
  <si>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</si>
  <si>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</si>
  <si>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</si>
  <si>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</si>
  <si>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</si>
  <si>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</si>
  <si>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</si>
  <si>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</si>
  <si>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</si>
  <si>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</si>
  <si>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</si>
  <si>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</si>
  <si>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</si>
  <si>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8.5% (WACC)</t>
  </si>
  <si>
    <t xml:space="preserve">Value per share at 9%</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</si>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</sst>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214.4</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14</v>
      </c>
    </row>
    <row r="10" customFormat="false" ht="15" hidden="false" customHeight="false" outlineLevel="0" collapsed="false">
      <c r="A10" s="0" t="s">
        <v>16</v>
      </c>
      <c r="B10" s="0" t="s">
        <v>17</v>
      </c>
    </row>
    <row r="11" customFormat="false" ht="15" hidden="false" customHeight="false" outlineLevel="0" collapsed="false">
      <c r="A11" s="0" t="s">
        <v>18</v>
      </c>
      <c r="B11" s="0" t="s">
        <v>19</v>
      </c>
    </row>
    <row r="12" customFormat="false" ht="15" hidden="false" customHeight="false" outlineLevel="0" collapsed="false">
      <c r="A12" s="0" t="s">
        <v>20</v>
      </c>
      <c r="B12" s="0" t="s">
        <v>21</v>
      </c>
    </row>
    <row r="13" customFormat="false" ht="15" hidden="false" customHeight="false" outlineLevel="0" collapsed="false">
      <c r="A13" s="0" t="s">
        <v>22</v>
      </c>
      <c r="B13" s="0" t="s">
        <v>23</v>
      </c>
    </row>
    <row r="14" customFormat="false" ht="15" hidden="false" customHeight="false" outlineLevel="0" collapsed="false">
      <c r="A14" s="0" t="s">
        <v>24</v>
      </c>
      <c r="B14" s="0" t="s">
        <v>25</v>
      </c>
    </row>
    <row r="15" customFormat="false" ht="23.85" hidden="false" customHeight="false" outlineLevel="0" collapsed="false">
      <c r="A15" s="0" t="s">
        <v>26</v>
      </c>
      <c r="B15" s="1" t="s">
        <v>27</v>
      </c>
    </row>
    <row r="16" customFormat="false" ht="35.05" hidden="false" customHeight="false" outlineLevel="0" collapsed="false">
      <c r="A16" s="0" t="s">
        <v>28</v>
      </c>
      <c r="B16" s="1" t="s">
        <v>29</v>
      </c>
    </row>
    <row r="17" customFormat="false" ht="15" hidden="false" customHeight="false" outlineLevel="0" collapsed="false">
      <c r="A17" s="0" t="s">
        <v>30</v>
      </c>
      <c r="B17" s="0" t="s">
        <v>31</v>
      </c>
    </row>
    <row r="18" customFormat="false" ht="15" hidden="false" customHeight="false" outlineLevel="0" collapsed="false">
      <c r="A18" s="0" t="s">
        <v>32</v>
      </c>
      <c r="B18" s="0" t="s">
        <v>33</v>
      </c>
    </row>
    <row r="19" customFormat="false" ht="15" hidden="false" customHeight="false" outlineLevel="0" collapsed="false">
      <c r="A19" s="0" t="s">
        <v>34</v>
      </c>
      <c r="B19" s="0"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I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36</v>
      </c>
      <c r="B1" s="2" t="s">
        <v>37</v>
      </c>
      <c r="C1" s="2" t="s">
        <v>38</v>
      </c>
      <c r="D1" s="2" t="s">
        <v>39</v>
      </c>
      <c r="E1" s="2" t="s">
        <v>40</v>
      </c>
      <c r="F1" s="2" t="s">
        <v>41</v>
      </c>
      <c r="G1" s="2" t="s">
        <v>42</v>
      </c>
      <c r="H1" s="2" t="s">
        <v>43</v>
      </c>
      <c r="I1" s="2" t="s">
        <v>44</v>
      </c>
      <c r="J1" s="2" t="s">
        <v>45</v>
      </c>
      <c r="K1" s="2" t="s">
        <v>46</v>
      </c>
      <c r="L1" s="2" t="s">
        <v>47</v>
      </c>
      <c r="M1" s="2" t="s">
        <v>48</v>
      </c>
      <c r="N1" s="2" t="s">
        <v>49</v>
      </c>
      <c r="O1" s="2" t="s">
        <v>50</v>
      </c>
      <c r="P1" s="2" t="s">
        <v>51</v>
      </c>
      <c r="Q1" s="2" t="s">
        <v>52</v>
      </c>
      <c r="R1" s="2" t="s">
        <v>53</v>
      </c>
      <c r="S1" s="2" t="s">
        <v>54</v>
      </c>
      <c r="T1" s="2" t="s">
        <v>55</v>
      </c>
      <c r="U1" s="2" t="s">
        <v>56</v>
      </c>
      <c r="V1" s="2" t="s">
        <v>57</v>
      </c>
      <c r="W1" s="2" t="s">
        <v>58</v>
      </c>
      <c r="X1" s="2" t="s">
        <v>59</v>
      </c>
      <c r="Y1" s="2" t="s">
        <v>60</v>
      </c>
      <c r="Z1" s="2" t="s">
        <v>61</v>
      </c>
      <c r="AA1" s="2" t="s">
        <v>16</v>
      </c>
      <c r="AB1" s="2" t="s">
        <v>62</v>
      </c>
      <c r="AC1" s="2" t="s">
        <v>63</v>
      </c>
      <c r="AD1" s="2" t="s">
        <v>64</v>
      </c>
      <c r="AE1" s="2" t="s">
        <v>65</v>
      </c>
      <c r="AF1" s="2" t="s">
        <v>66</v>
      </c>
      <c r="AG1" s="2" t="s">
        <v>67</v>
      </c>
      <c r="AH1" s="2" t="s">
        <v>68</v>
      </c>
      <c r="AI1" s="2" t="s">
        <v>69</v>
      </c>
    </row>
    <row r="2" customFormat="false" ht="15" hidden="false" customHeight="false" outlineLevel="0" collapsed="false">
      <c r="A2" s="0" t="s">
        <v>70</v>
      </c>
      <c r="B2" s="0" t="n">
        <v>17560</v>
      </c>
      <c r="C2" s="0" t="n">
        <v>5272</v>
      </c>
      <c r="D2" s="0" t="n">
        <v>12288</v>
      </c>
      <c r="E2" s="0" t="n">
        <v>70</v>
      </c>
      <c r="F2" s="0" t="n">
        <v>4331</v>
      </c>
      <c r="G2" s="0" t="n">
        <v>24.7</v>
      </c>
      <c r="H2" s="0" t="n">
        <v>5341</v>
      </c>
      <c r="I2" s="0" t="n">
        <v>3280</v>
      </c>
      <c r="J2" s="0" t="n">
        <v>18.7</v>
      </c>
      <c r="K2" s="0" t="n">
        <v>2.74</v>
      </c>
      <c r="L2" s="0" t="n">
        <v>3499</v>
      </c>
      <c r="M2" s="0" t="n">
        <v>737</v>
      </c>
      <c r="N2" s="0" t="n">
        <v>2762</v>
      </c>
      <c r="O2" s="0" t="n">
        <v>19499</v>
      </c>
      <c r="P2" s="0" t="n">
        <v>38565</v>
      </c>
      <c r="Q2" s="0" t="n">
        <v>19031</v>
      </c>
      <c r="R2" s="0" t="n">
        <v>11541</v>
      </c>
      <c r="S2" s="0" t="n">
        <v>3328</v>
      </c>
      <c r="T2" s="0" t="n">
        <v>1197</v>
      </c>
      <c r="AA2" s="0" t="s">
        <v>17</v>
      </c>
      <c r="AB2" s="0" t="s">
        <v>14</v>
      </c>
      <c r="AF2" s="0" t="n">
        <v>4399</v>
      </c>
      <c r="AH2" s="0" t="n">
        <v>1087</v>
      </c>
      <c r="AI2" s="0" t="n">
        <v>3245</v>
      </c>
    </row>
    <row r="3" customFormat="false" ht="15" hidden="false" customHeight="false" outlineLevel="0" collapsed="false">
      <c r="A3" s="0" t="s">
        <v>71</v>
      </c>
      <c r="B3" s="0" t="n">
        <v>20793</v>
      </c>
      <c r="C3" s="0" t="n">
        <v>6626</v>
      </c>
      <c r="D3" s="0" t="n">
        <v>14167</v>
      </c>
      <c r="E3" s="0" t="n">
        <v>68.1</v>
      </c>
      <c r="F3" s="0" t="n">
        <v>4252</v>
      </c>
      <c r="G3" s="0" t="n">
        <v>20.4</v>
      </c>
      <c r="H3" s="0" t="n">
        <v>5541</v>
      </c>
      <c r="I3" s="0" t="n">
        <v>3064</v>
      </c>
      <c r="J3" s="0" t="n">
        <v>14.7</v>
      </c>
      <c r="K3" s="0" t="n">
        <v>2.56</v>
      </c>
      <c r="L3" s="0" t="n">
        <v>3638</v>
      </c>
      <c r="M3" s="0" t="n">
        <v>636</v>
      </c>
      <c r="N3" s="0" t="n">
        <v>3002</v>
      </c>
      <c r="O3" s="0" t="n">
        <v>23267</v>
      </c>
      <c r="P3" s="0" t="n">
        <v>41390</v>
      </c>
      <c r="Q3" s="0" t="n">
        <v>18095</v>
      </c>
      <c r="R3" s="0" t="n">
        <v>9522</v>
      </c>
      <c r="S3" s="0" t="n">
        <v>3411</v>
      </c>
      <c r="T3" s="0" t="n">
        <v>1197</v>
      </c>
      <c r="U3" s="0" t="n">
        <v>724</v>
      </c>
      <c r="AA3" s="0" t="s">
        <v>17</v>
      </c>
      <c r="AB3" s="0" t="s">
        <v>14</v>
      </c>
      <c r="AE3" s="0" t="n">
        <v>76986</v>
      </c>
      <c r="AF3" s="0" t="n">
        <v>4835</v>
      </c>
      <c r="AH3" s="0" t="n">
        <v>2286</v>
      </c>
      <c r="AI3" s="0" t="n">
        <v>3579</v>
      </c>
    </row>
    <row r="4" customFormat="false" ht="15" hidden="false" customHeight="false" outlineLevel="0" collapsed="false">
      <c r="A4" s="0" t="s">
        <v>72</v>
      </c>
      <c r="B4" s="0" t="n">
        <v>22062</v>
      </c>
      <c r="C4" s="0" t="n">
        <v>6583</v>
      </c>
      <c r="D4" s="0" t="n">
        <v>15479</v>
      </c>
      <c r="E4" s="0" t="n">
        <v>70.2</v>
      </c>
      <c r="F4" s="0" t="n">
        <v>5135</v>
      </c>
      <c r="G4" s="0" t="n">
        <v>23.3</v>
      </c>
      <c r="H4" s="0" t="n">
        <v>6403</v>
      </c>
      <c r="I4" s="0" t="n">
        <v>3646</v>
      </c>
      <c r="J4" s="0" t="n">
        <v>16.5</v>
      </c>
      <c r="K4" s="0" t="n">
        <v>3.04</v>
      </c>
      <c r="L4" s="0" t="n">
        <v>4628</v>
      </c>
      <c r="M4" s="0" t="n">
        <v>1001</v>
      </c>
      <c r="N4" s="0" t="n">
        <v>3627</v>
      </c>
      <c r="O4" s="0" t="n">
        <v>26376</v>
      </c>
      <c r="P4" s="0" t="n">
        <v>44277</v>
      </c>
      <c r="Q4" s="0" t="n">
        <v>17880</v>
      </c>
      <c r="R4" s="0" t="n">
        <v>8294</v>
      </c>
      <c r="S4" s="0" t="n">
        <v>3702</v>
      </c>
      <c r="T4" s="0" t="n">
        <v>1199</v>
      </c>
      <c r="U4" s="0" t="n">
        <v>785</v>
      </c>
      <c r="AA4" s="0" t="s">
        <v>17</v>
      </c>
      <c r="AB4" s="0" t="s">
        <v>14</v>
      </c>
      <c r="AE4" s="0" t="n">
        <v>84183</v>
      </c>
      <c r="AF4" s="0" t="n">
        <v>4860</v>
      </c>
      <c r="AH4" s="0" t="n">
        <v>2993</v>
      </c>
      <c r="AI4" s="0" t="n">
        <v>3638</v>
      </c>
    </row>
    <row r="5" customFormat="false" ht="15" hidden="false" customHeight="false" outlineLevel="0" collapsed="false">
      <c r="A5" s="0" t="s">
        <v>73</v>
      </c>
      <c r="B5" s="0" t="n">
        <v>23461</v>
      </c>
      <c r="C5" s="0" t="n">
        <v>7051</v>
      </c>
      <c r="D5" s="0" t="n">
        <v>16410</v>
      </c>
      <c r="E5" s="0" t="n">
        <v>69.9</v>
      </c>
      <c r="F5" s="0" t="n">
        <v>4877</v>
      </c>
      <c r="G5" s="0" t="n">
        <v>20.8</v>
      </c>
      <c r="H5" s="0" t="n">
        <v>6149</v>
      </c>
      <c r="I5" s="0" t="n">
        <v>4018</v>
      </c>
      <c r="J5" s="0" t="n">
        <v>17.1</v>
      </c>
      <c r="K5" s="0" t="n">
        <v>3.35</v>
      </c>
      <c r="L5" s="0" t="n">
        <v>5045</v>
      </c>
      <c r="M5" s="0" t="n">
        <v>1275</v>
      </c>
      <c r="N5" s="0" t="n">
        <v>3770</v>
      </c>
      <c r="O5" s="0" t="n">
        <v>25509</v>
      </c>
      <c r="P5" s="0" t="n">
        <v>42497</v>
      </c>
      <c r="Q5" s="0" t="n">
        <v>16958</v>
      </c>
      <c r="R5" s="0" t="n">
        <v>6595</v>
      </c>
      <c r="S5" s="0" t="n">
        <v>4011</v>
      </c>
      <c r="T5" s="0" t="n">
        <v>1199</v>
      </c>
      <c r="U5" s="0" t="n">
        <v>1120</v>
      </c>
      <c r="AA5" s="0" t="s">
        <v>17</v>
      </c>
      <c r="AB5" s="0" t="s">
        <v>14</v>
      </c>
      <c r="AE5" s="0" t="n">
        <v>88543</v>
      </c>
      <c r="AF5" s="0" t="n">
        <v>4872</v>
      </c>
      <c r="AH5" s="0" t="n">
        <v>3769</v>
      </c>
      <c r="AI5" s="0" t="n">
        <v>3911</v>
      </c>
    </row>
    <row r="6" customFormat="false" ht="15" hidden="false" customHeight="false" outlineLevel="0" collapsed="false">
      <c r="A6" s="0" t="s">
        <v>74</v>
      </c>
      <c r="B6" s="0" t="n">
        <v>24708</v>
      </c>
      <c r="C6" s="0" t="n">
        <v>7462</v>
      </c>
      <c r="D6" s="0" t="n">
        <v>17246</v>
      </c>
      <c r="E6" s="0" t="n">
        <v>69.8</v>
      </c>
      <c r="F6" s="0" t="n">
        <v>5703</v>
      </c>
      <c r="G6" s="0" t="n">
        <v>23.1</v>
      </c>
      <c r="H6" s="0" t="n">
        <v>7065</v>
      </c>
      <c r="I6" s="0" t="n">
        <v>4083</v>
      </c>
      <c r="J6" s="0" t="n">
        <v>16.5</v>
      </c>
      <c r="K6" s="0" t="n">
        <v>3.42</v>
      </c>
      <c r="L6" s="0" t="n">
        <v>4303</v>
      </c>
      <c r="M6" s="0" t="n">
        <v>1458</v>
      </c>
      <c r="N6" s="0" t="n">
        <v>2845</v>
      </c>
      <c r="O6" s="0" t="n">
        <v>28832</v>
      </c>
      <c r="P6" s="0" t="n">
        <v>51491</v>
      </c>
      <c r="Q6" s="0" t="n">
        <v>22614</v>
      </c>
      <c r="R6" s="0" t="n">
        <v>11678</v>
      </c>
      <c r="S6" s="0" t="n">
        <v>8627</v>
      </c>
      <c r="T6" s="0" t="n">
        <v>1194</v>
      </c>
      <c r="U6" s="0" t="n">
        <v>830</v>
      </c>
      <c r="AA6" s="0" t="s">
        <v>17</v>
      </c>
      <c r="AB6" s="0" t="s">
        <v>14</v>
      </c>
      <c r="AE6" s="0" t="n">
        <v>96498</v>
      </c>
      <c r="AF6" s="0" t="n">
        <v>4647</v>
      </c>
      <c r="AH6" s="0" t="n">
        <v>4993</v>
      </c>
      <c r="AI6" s="0" t="n">
        <v>4086</v>
      </c>
    </row>
    <row r="7" customFormat="false" ht="15" hidden="false" customHeight="false" outlineLevel="0" collapsed="false">
      <c r="A7" s="0" t="s">
        <v>75</v>
      </c>
      <c r="B7" s="0" t="n">
        <v>27553</v>
      </c>
      <c r="C7" s="0" t="n">
        <v>8354</v>
      </c>
      <c r="D7" s="0" t="n">
        <v>19199</v>
      </c>
      <c r="E7" s="0" t="n">
        <v>69.7</v>
      </c>
      <c r="F7" s="0" t="n">
        <v>4473</v>
      </c>
      <c r="G7" s="0" t="n">
        <v>16.2</v>
      </c>
      <c r="H7" s="0" t="n">
        <v>6345</v>
      </c>
      <c r="I7" s="0" t="n">
        <v>3321</v>
      </c>
      <c r="J7" s="0" t="n">
        <v>12.1</v>
      </c>
      <c r="K7" s="0" t="n">
        <v>2.78</v>
      </c>
      <c r="L7" s="0" t="n">
        <v>3496</v>
      </c>
      <c r="M7" s="0" t="n">
        <v>817</v>
      </c>
      <c r="N7" s="0" t="n">
        <v>2679</v>
      </c>
      <c r="O7" s="0" t="n">
        <v>30746</v>
      </c>
      <c r="P7" s="0" t="n">
        <v>60215</v>
      </c>
      <c r="Q7" s="0" t="n">
        <v>29393</v>
      </c>
      <c r="R7" s="0" t="n">
        <v>16196</v>
      </c>
      <c r="S7" s="0" t="n">
        <v>5314</v>
      </c>
      <c r="T7" s="0" t="n">
        <v>1195</v>
      </c>
      <c r="U7" s="0" t="n">
        <v>1835</v>
      </c>
      <c r="AA7" s="0" t="s">
        <v>17</v>
      </c>
      <c r="AB7" s="0" t="s">
        <v>14</v>
      </c>
      <c r="AC7" s="0" t="n">
        <v>6681</v>
      </c>
      <c r="AE7" s="0" t="n">
        <v>100330</v>
      </c>
      <c r="AF7" s="0" t="n">
        <v>4533</v>
      </c>
      <c r="AH7" s="0" t="n">
        <v>6933</v>
      </c>
      <c r="AI7" s="0" t="n">
        <v>4541</v>
      </c>
    </row>
    <row r="8" customFormat="false" ht="15" hidden="false" customHeight="false" outlineLevel="0" collapsed="false">
      <c r="A8" s="0" t="s">
        <v>76</v>
      </c>
      <c r="B8" s="0" t="n">
        <v>27338</v>
      </c>
      <c r="C8" s="0" t="n">
        <v>7885</v>
      </c>
      <c r="D8" s="0" t="n">
        <v>19453</v>
      </c>
      <c r="E8" s="0" t="n">
        <v>71.2</v>
      </c>
      <c r="F8" s="0" t="n">
        <v>6623</v>
      </c>
      <c r="G8" s="0" t="n">
        <v>24.2</v>
      </c>
      <c r="H8" s="0" t="n">
        <v>8454</v>
      </c>
      <c r="I8" s="0" t="n">
        <v>5145</v>
      </c>
      <c r="J8" s="0" t="n">
        <v>18.8</v>
      </c>
      <c r="K8" s="0" t="n">
        <v>4.35</v>
      </c>
      <c r="L8" s="0" t="n">
        <v>7194</v>
      </c>
      <c r="M8" s="0" t="n">
        <v>816</v>
      </c>
      <c r="N8" s="0" t="n">
        <v>6378</v>
      </c>
      <c r="O8" s="0" t="n">
        <v>29717</v>
      </c>
      <c r="P8" s="0" t="n">
        <v>58472</v>
      </c>
      <c r="Q8" s="0" t="n">
        <v>28544</v>
      </c>
      <c r="R8" s="0" t="n">
        <v>15953</v>
      </c>
      <c r="S8" s="0" t="n">
        <v>5311</v>
      </c>
      <c r="T8" s="0" t="n">
        <v>1183</v>
      </c>
      <c r="U8" s="0" t="n">
        <v>1084</v>
      </c>
      <c r="AA8" s="0" t="s">
        <v>17</v>
      </c>
      <c r="AB8" s="0" t="s">
        <v>14</v>
      </c>
      <c r="AC8" s="0" t="n">
        <v>7155</v>
      </c>
      <c r="AE8" s="0" t="n">
        <v>102430</v>
      </c>
      <c r="AF8" s="0" t="n">
        <v>3642</v>
      </c>
      <c r="AH8" s="0" t="n">
        <v>8080</v>
      </c>
      <c r="AI8" s="0" t="n">
        <v>4110</v>
      </c>
    </row>
    <row r="9" customFormat="false" ht="15" hidden="false" customHeight="false" outlineLevel="0" collapsed="false">
      <c r="A9" s="0" t="s">
        <v>77</v>
      </c>
      <c r="B9" s="0" t="n">
        <v>27842</v>
      </c>
      <c r="C9" s="0" t="n">
        <v>7945</v>
      </c>
      <c r="D9" s="0" t="n">
        <v>19897</v>
      </c>
      <c r="E9" s="0" t="n">
        <v>71.5</v>
      </c>
      <c r="F9" s="0" t="n">
        <v>4656</v>
      </c>
      <c r="G9" s="0" t="n">
        <v>16.7</v>
      </c>
      <c r="H9" s="0" t="n">
        <v>6431</v>
      </c>
      <c r="I9" s="0" t="n">
        <v>5256</v>
      </c>
      <c r="J9" s="0" t="n">
        <v>18.9</v>
      </c>
      <c r="K9" s="0" t="n">
        <v>4.46</v>
      </c>
      <c r="L9" s="0" t="n">
        <v>6223</v>
      </c>
      <c r="M9" s="0" t="n">
        <v>800</v>
      </c>
      <c r="N9" s="0" t="n">
        <v>5423</v>
      </c>
      <c r="O9" s="0" t="n">
        <v>38853</v>
      </c>
      <c r="P9" s="0" t="n">
        <v>71169</v>
      </c>
      <c r="Q9" s="0" t="n">
        <v>29646</v>
      </c>
      <c r="R9" s="0" t="n">
        <v>15570</v>
      </c>
      <c r="S9" s="0" t="n">
        <v>8898</v>
      </c>
      <c r="T9" s="0" t="n">
        <v>1178</v>
      </c>
      <c r="U9" s="0" t="n">
        <v>2794</v>
      </c>
      <c r="AA9" s="0" t="s">
        <v>17</v>
      </c>
      <c r="AB9" s="0" t="s">
        <v>14</v>
      </c>
      <c r="AC9" s="0" t="n">
        <v>9447</v>
      </c>
      <c r="AE9" s="0" t="n">
        <v>107415</v>
      </c>
      <c r="AF9" s="0" t="n">
        <v>3248</v>
      </c>
      <c r="AH9" s="0" t="n">
        <v>9418</v>
      </c>
      <c r="AI9" s="0" t="n">
        <v>3764</v>
      </c>
    </row>
    <row r="10" customFormat="false" ht="15" hidden="false" customHeight="false" outlineLevel="0" collapsed="false">
      <c r="A10" s="0" t="s">
        <v>78</v>
      </c>
      <c r="B10" s="0" t="n">
        <v>30871</v>
      </c>
      <c r="C10" s="0" t="n">
        <v>8936</v>
      </c>
      <c r="D10" s="0" t="n">
        <v>21935</v>
      </c>
      <c r="E10" s="0" t="n">
        <v>71.1</v>
      </c>
      <c r="F10" s="0" t="n">
        <v>4670</v>
      </c>
      <c r="G10" s="0" t="n">
        <v>15.1</v>
      </c>
      <c r="H10" s="0" t="n">
        <v>6566</v>
      </c>
      <c r="I10" s="0" t="n">
        <v>2284</v>
      </c>
      <c r="J10" s="0" t="n">
        <v>7.4</v>
      </c>
      <c r="K10" s="0" t="n">
        <v>1.94</v>
      </c>
      <c r="L10" s="0" t="n">
        <v>5647</v>
      </c>
      <c r="M10" s="0" t="n">
        <v>874</v>
      </c>
      <c r="N10" s="0" t="n">
        <v>4773</v>
      </c>
      <c r="O10" s="0" t="n">
        <v>40186</v>
      </c>
      <c r="P10" s="0" t="n">
        <v>72159</v>
      </c>
      <c r="Q10" s="0" t="n">
        <v>29311</v>
      </c>
      <c r="R10" s="0" t="n">
        <v>14355</v>
      </c>
      <c r="S10" s="0" t="n">
        <v>9008</v>
      </c>
      <c r="T10" s="0" t="n">
        <v>1177</v>
      </c>
      <c r="U10" s="0" t="n">
        <v>2614</v>
      </c>
      <c r="AA10" s="0" t="s">
        <v>17</v>
      </c>
      <c r="AB10" s="0" t="s">
        <v>14</v>
      </c>
      <c r="AC10" s="0" t="n">
        <v>11024</v>
      </c>
      <c r="AD10" s="0" t="n">
        <v>2.79</v>
      </c>
      <c r="AE10" s="0" t="n">
        <v>106312</v>
      </c>
      <c r="AG10" s="0" t="n">
        <v>3277</v>
      </c>
      <c r="AH10" s="0" t="n">
        <v>12555</v>
      </c>
    </row>
    <row r="11" customFormat="false" ht="15" hidden="false" customHeight="false" outlineLevel="0" collapsed="false">
      <c r="A11" s="0" t="s">
        <v>79</v>
      </c>
      <c r="B11" s="0" t="n">
        <v>31207</v>
      </c>
      <c r="C11" s="0" t="n">
        <v>8673</v>
      </c>
      <c r="D11" s="0" t="n">
        <v>22534</v>
      </c>
      <c r="E11" s="0" t="n">
        <v>72.2</v>
      </c>
      <c r="F11" s="0" t="n">
        <v>5787</v>
      </c>
      <c r="G11" s="0" t="n">
        <v>18.5</v>
      </c>
      <c r="H11" s="0" t="n">
        <v>7160</v>
      </c>
      <c r="I11" s="0" t="n">
        <v>6139</v>
      </c>
      <c r="J11" s="0" t="n">
        <v>19.7</v>
      </c>
      <c r="K11" s="0" t="n">
        <v>5.2</v>
      </c>
      <c r="L11" s="0" t="n">
        <v>6332</v>
      </c>
      <c r="M11" s="0" t="n">
        <v>785</v>
      </c>
      <c r="N11" s="0" t="n">
        <v>5547</v>
      </c>
      <c r="O11" s="0" t="n">
        <v>43157</v>
      </c>
      <c r="P11" s="0" t="n">
        <v>68335</v>
      </c>
      <c r="Q11" s="0" t="n">
        <v>24928</v>
      </c>
      <c r="R11" s="0" t="n">
        <v>9676</v>
      </c>
      <c r="S11" s="0" t="n">
        <v>8124</v>
      </c>
      <c r="T11" s="0" t="n">
        <v>1181</v>
      </c>
      <c r="U11" s="0" t="n">
        <v>2220</v>
      </c>
      <c r="AA11" s="0" t="s">
        <v>17</v>
      </c>
      <c r="AB11" s="0" t="s">
        <v>14</v>
      </c>
      <c r="AC11" s="0" t="n">
        <v>13745</v>
      </c>
      <c r="AD11" s="0" t="n">
        <v>3.08</v>
      </c>
      <c r="AE11" s="0" t="n">
        <v>107602</v>
      </c>
      <c r="AF11" s="0" t="n">
        <v>1764</v>
      </c>
      <c r="AG11" s="0" t="n">
        <v>3634</v>
      </c>
      <c r="AH11" s="0" t="n">
        <v>13664</v>
      </c>
      <c r="AI11" s="0" t="n">
        <v>4283</v>
      </c>
    </row>
    <row r="12" customFormat="false" ht="15" hidden="false" customHeight="false" outlineLevel="0" collapsed="false">
      <c r="A12" s="0" t="s">
        <v>80</v>
      </c>
      <c r="B12" s="0" t="n">
        <v>34176</v>
      </c>
      <c r="C12" s="0" t="n">
        <v>9244</v>
      </c>
      <c r="D12" s="0" t="n">
        <v>24932</v>
      </c>
      <c r="E12" s="0" t="n">
        <v>73</v>
      </c>
      <c r="F12" s="0" t="n">
        <v>4665</v>
      </c>
      <c r="G12" s="0" t="n">
        <v>13.6</v>
      </c>
      <c r="H12" s="0" t="n">
        <v>5945</v>
      </c>
      <c r="I12" s="0" t="n">
        <v>3124</v>
      </c>
      <c r="J12" s="0" t="n">
        <v>9.1</v>
      </c>
      <c r="K12" s="0" t="n">
        <v>2.65</v>
      </c>
      <c r="L12" s="0" t="n">
        <v>5220</v>
      </c>
      <c r="M12" s="0" t="n">
        <v>797</v>
      </c>
      <c r="N12" s="0" t="n">
        <v>4423</v>
      </c>
      <c r="O12" s="0" t="n">
        <v>45440</v>
      </c>
      <c r="P12" s="0" t="n">
        <v>74122</v>
      </c>
      <c r="Q12" s="0" t="n">
        <v>28314</v>
      </c>
      <c r="R12" s="0" t="n">
        <v>11446</v>
      </c>
      <c r="S12" s="0" t="n">
        <v>9609</v>
      </c>
      <c r="T12" s="0" t="n">
        <v>1179</v>
      </c>
      <c r="U12" s="0" t="n">
        <v>2385</v>
      </c>
      <c r="AA12" s="0" t="s">
        <v>17</v>
      </c>
      <c r="AB12" s="0" t="s">
        <v>14</v>
      </c>
      <c r="AC12" s="0" t="n">
        <v>18078</v>
      </c>
      <c r="AD12" s="0" t="n">
        <v>2.65</v>
      </c>
      <c r="AE12" s="0" t="n">
        <v>109121</v>
      </c>
      <c r="AF12" s="0" t="n">
        <v>1399</v>
      </c>
      <c r="AG12" s="0" t="n">
        <v>3124</v>
      </c>
      <c r="AH12" s="0" t="n">
        <v>17141</v>
      </c>
      <c r="AI12" s="0" t="n">
        <v>4346</v>
      </c>
    </row>
    <row r="13" customFormat="false" ht="15" hidden="false" customHeight="false" outlineLevel="0" collapsed="false">
      <c r="A13" s="0" t="s">
        <v>81</v>
      </c>
      <c r="B13" s="0" t="n">
        <v>36800</v>
      </c>
      <c r="C13" s="0" t="n">
        <v>9986</v>
      </c>
      <c r="D13" s="0" t="n">
        <v>26814</v>
      </c>
      <c r="E13" s="0" t="n">
        <v>72.9</v>
      </c>
      <c r="F13" s="0" t="n">
        <v>9617</v>
      </c>
      <c r="G13" s="0" t="n">
        <v>26.1</v>
      </c>
      <c r="H13" s="0" t="n">
        <v>10928</v>
      </c>
      <c r="I13" s="0" t="n">
        <v>7161</v>
      </c>
      <c r="J13" s="0" t="n">
        <v>19.5</v>
      </c>
      <c r="K13" s="0" t="n">
        <v>6.1</v>
      </c>
      <c r="L13" s="0" t="n">
        <v>9156</v>
      </c>
      <c r="M13" s="0" t="n">
        <v>739</v>
      </c>
      <c r="N13" s="0" t="n">
        <v>8417</v>
      </c>
      <c r="O13" s="0" t="n">
        <v>44586</v>
      </c>
      <c r="P13" s="0" t="n">
        <v>70362</v>
      </c>
      <c r="Q13" s="0" t="n">
        <v>25288</v>
      </c>
      <c r="R13" s="0" t="n">
        <v>8071</v>
      </c>
      <c r="S13" s="0" t="n">
        <v>8220</v>
      </c>
      <c r="T13" s="0" t="n">
        <v>1174</v>
      </c>
      <c r="U13" s="0" t="n">
        <v>1695</v>
      </c>
      <c r="AA13" s="0" t="s">
        <v>17</v>
      </c>
      <c r="AB13" s="0" t="s">
        <v>14</v>
      </c>
      <c r="AC13" s="0" t="n">
        <v>21052</v>
      </c>
      <c r="AD13" s="0" t="n">
        <v>6.1</v>
      </c>
      <c r="AE13" s="0" t="n">
        <v>110650</v>
      </c>
      <c r="AF13" s="0" t="n">
        <v>990</v>
      </c>
      <c r="AG13" s="0" t="n">
        <v>7161</v>
      </c>
      <c r="AH13" s="0" t="n">
        <v>21023</v>
      </c>
      <c r="AI13" s="0" t="n">
        <v>4262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82</v>
      </c>
      <c r="B1" s="2" t="s">
        <v>83</v>
      </c>
    </row>
    <row r="2" customFormat="false" ht="15" hidden="false" customHeight="false" outlineLevel="0" collapsed="false">
      <c r="A2" s="0" t="s">
        <v>84</v>
      </c>
      <c r="B2" s="3" t="n">
        <v>214.4</v>
      </c>
    </row>
    <row r="3" customFormat="false" ht="15" hidden="false" customHeight="false" outlineLevel="0" collapsed="false">
      <c r="A3" s="0" t="s">
        <v>85</v>
      </c>
      <c r="B3" s="3" t="n">
        <v>1175</v>
      </c>
    </row>
    <row r="4" customFormat="false" ht="15" hidden="false" customHeight="false" outlineLevel="0" collapsed="false">
      <c r="A4" s="0" t="s">
        <v>86</v>
      </c>
      <c r="B4" s="3" t="n">
        <v>-3381</v>
      </c>
    </row>
    <row r="5" customFormat="false" ht="15" hidden="false" customHeight="false" outlineLevel="0" collapsed="false">
      <c r="A5" s="0" t="s">
        <v>87</v>
      </c>
      <c r="B5" s="3" t="n">
        <v>-2076</v>
      </c>
    </row>
    <row r="6" customFormat="false" ht="15" hidden="false" customHeight="false" outlineLevel="0" collapsed="false">
      <c r="A6" s="0" t="s">
        <v>88</v>
      </c>
      <c r="B6" s="3" t="n">
        <v>15</v>
      </c>
    </row>
    <row r="7" customFormat="false" ht="15" hidden="false" customHeight="false" outlineLevel="0" collapsed="false">
      <c r="A7" s="0" t="s">
        <v>89</v>
      </c>
      <c r="B7" s="3" t="n">
        <v>36800</v>
      </c>
    </row>
    <row r="8" customFormat="false" ht="15" hidden="false" customHeight="false" outlineLevel="0" collapsed="false">
      <c r="A8" s="0" t="s">
        <v>90</v>
      </c>
      <c r="B8" s="3" t="s">
        <v>81</v>
      </c>
    </row>
    <row r="9" customFormat="false" ht="15" hidden="false" customHeight="false" outlineLevel="0" collapsed="false">
      <c r="A9" s="0" t="s">
        <v>91</v>
      </c>
      <c r="B9" s="3" t="s">
        <v>92</v>
      </c>
    </row>
    <row r="10" customFormat="false" ht="15" hidden="false" customHeight="false" outlineLevel="0" collapsed="false">
      <c r="A10" s="0" t="s">
        <v>93</v>
      </c>
      <c r="B10" s="3" t="n">
        <v>1</v>
      </c>
    </row>
    <row r="12" customFormat="false" ht="15" hidden="false" customHeight="false" outlineLevel="0" collapsed="false">
      <c r="A12" s="2" t="s">
        <v>94</v>
      </c>
      <c r="C12" s="2" t="s">
        <v>95</v>
      </c>
      <c r="D12" s="2" t="s">
        <v>96</v>
      </c>
      <c r="E12" s="2" t="s">
        <v>97</v>
      </c>
      <c r="F12" s="2" t="s">
        <v>98</v>
      </c>
      <c r="G12" s="2" t="s">
        <v>99</v>
      </c>
      <c r="H12" s="2" t="s">
        <v>100</v>
      </c>
      <c r="I12" s="2" t="s">
        <v>101</v>
      </c>
      <c r="J12" s="2" t="s">
        <v>102</v>
      </c>
      <c r="K12" s="2" t="s">
        <v>103</v>
      </c>
      <c r="L12" s="2" t="s">
        <v>104</v>
      </c>
    </row>
    <row r="13" customFormat="false" ht="15" hidden="false" customHeight="false" outlineLevel="0" collapsed="false">
      <c r="A13" s="0" t="s">
        <v>105</v>
      </c>
      <c r="C13" s="3" t="n">
        <v>9</v>
      </c>
      <c r="D13" s="3" t="n">
        <v>7</v>
      </c>
      <c r="E13" s="3" t="n">
        <v>5</v>
      </c>
      <c r="F13" s="3" t="n">
        <v>4</v>
      </c>
      <c r="G13" s="3" t="n">
        <v>3.5</v>
      </c>
      <c r="H13" s="3" t="n">
        <v>3</v>
      </c>
      <c r="I13" s="3" t="n">
        <v>3</v>
      </c>
      <c r="J13" s="3" t="n">
        <v>2.5</v>
      </c>
      <c r="K13" s="3" t="n">
        <v>2.5</v>
      </c>
      <c r="L13" s="3" t="n">
        <v>2.5</v>
      </c>
    </row>
    <row r="14" customFormat="false" ht="15" hidden="false" customHeight="false" outlineLevel="0" collapsed="false">
      <c r="A14" s="0" t="s">
        <v>106</v>
      </c>
      <c r="C14" s="3" t="n">
        <v>36</v>
      </c>
      <c r="D14" s="3" t="n">
        <v>36.5</v>
      </c>
      <c r="E14" s="3" t="n">
        <v>36.5</v>
      </c>
      <c r="F14" s="3" t="n">
        <v>37</v>
      </c>
      <c r="G14" s="3" t="n">
        <v>37</v>
      </c>
      <c r="H14" s="3" t="n">
        <v>37</v>
      </c>
      <c r="I14" s="3" t="n">
        <v>37</v>
      </c>
      <c r="J14" s="3" t="n">
        <v>37</v>
      </c>
      <c r="K14" s="3" t="n">
        <v>37</v>
      </c>
      <c r="L14" s="3" t="n">
        <v>37</v>
      </c>
    </row>
    <row r="15" customFormat="false" ht="15" hidden="false" customHeight="false" outlineLevel="0" collapsed="false">
      <c r="A15" s="0" t="s">
        <v>107</v>
      </c>
      <c r="C15" s="3" t="n">
        <v>4.6</v>
      </c>
      <c r="D15" s="3" t="n">
        <v>4.6</v>
      </c>
      <c r="E15" s="3" t="n">
        <v>4.6</v>
      </c>
      <c r="F15" s="3" t="n">
        <v>4.6</v>
      </c>
      <c r="G15" s="3" t="n">
        <v>4.6</v>
      </c>
      <c r="H15" s="3" t="n">
        <v>4.6</v>
      </c>
      <c r="I15" s="3" t="n">
        <v>4.6</v>
      </c>
      <c r="J15" s="3" t="n">
        <v>4.6</v>
      </c>
      <c r="K15" s="3" t="n">
        <v>4.6</v>
      </c>
      <c r="L15" s="3" t="n">
        <v>4.6</v>
      </c>
    </row>
    <row r="16" customFormat="false" ht="15" hidden="false" customHeight="false" outlineLevel="0" collapsed="false">
      <c r="A16" s="0" t="s">
        <v>108</v>
      </c>
      <c r="C16" s="3" t="n">
        <v>1</v>
      </c>
      <c r="D16" s="3" t="n">
        <v>1</v>
      </c>
      <c r="E16" s="3" t="n">
        <v>1</v>
      </c>
      <c r="F16" s="3" t="n">
        <v>1</v>
      </c>
      <c r="G16" s="3" t="n">
        <v>1</v>
      </c>
      <c r="H16" s="3" t="n">
        <v>1</v>
      </c>
      <c r="I16" s="3" t="n">
        <v>1</v>
      </c>
      <c r="J16" s="3" t="n">
        <v>1</v>
      </c>
      <c r="K16" s="3" t="n">
        <v>1</v>
      </c>
      <c r="L16" s="3" t="n">
        <v>1</v>
      </c>
    </row>
    <row r="17" customFormat="false" ht="15" hidden="false" customHeight="false" outlineLevel="0" collapsed="false">
      <c r="A17" s="0" t="s">
        <v>109</v>
      </c>
      <c r="C17" s="3" t="n">
        <v>2.8</v>
      </c>
      <c r="D17" s="3" t="n">
        <v>2.8</v>
      </c>
      <c r="E17" s="3" t="n">
        <v>2.8</v>
      </c>
      <c r="F17" s="3" t="n">
        <v>2.8</v>
      </c>
      <c r="G17" s="3" t="n">
        <v>2.8</v>
      </c>
      <c r="H17" s="3" t="n">
        <v>2.8</v>
      </c>
      <c r="I17" s="3" t="n">
        <v>2.8</v>
      </c>
      <c r="J17" s="3" t="n">
        <v>2.8</v>
      </c>
      <c r="K17" s="3" t="n">
        <v>2.8</v>
      </c>
      <c r="L17" s="3" t="n">
        <v>2.8</v>
      </c>
    </row>
    <row r="18" customFormat="false" ht="15" hidden="false" customHeight="false" outlineLevel="0" collapsed="false">
      <c r="A18" s="0" t="s">
        <v>110</v>
      </c>
      <c r="C18" s="3" t="n">
        <v>2</v>
      </c>
      <c r="D18" s="3" t="n">
        <v>2</v>
      </c>
      <c r="E18" s="3" t="n">
        <v>2</v>
      </c>
      <c r="F18" s="3" t="n">
        <v>2</v>
      </c>
      <c r="G18" s="3" t="n">
        <v>2</v>
      </c>
      <c r="H18" s="3" t="n">
        <v>2</v>
      </c>
      <c r="I18" s="3" t="n">
        <v>2</v>
      </c>
      <c r="J18" s="3" t="n">
        <v>2</v>
      </c>
      <c r="K18" s="3" t="n">
        <v>2</v>
      </c>
      <c r="L18" s="3" t="n">
        <v>2</v>
      </c>
    </row>
    <row r="19" customFormat="false" ht="15" hidden="false" customHeight="false" outlineLevel="0" collapsed="false">
      <c r="A19" s="0" t="s">
        <v>111</v>
      </c>
      <c r="C19" s="3" t="n">
        <v>27</v>
      </c>
      <c r="D19" s="3" t="n">
        <v>27</v>
      </c>
      <c r="E19" s="3" t="n">
        <v>27</v>
      </c>
      <c r="F19" s="3" t="n">
        <v>27</v>
      </c>
      <c r="G19" s="3" t="n">
        <v>27</v>
      </c>
      <c r="H19" s="3" t="n">
        <v>27</v>
      </c>
      <c r="I19" s="3" t="n">
        <v>27</v>
      </c>
      <c r="J19" s="3" t="n">
        <v>27</v>
      </c>
      <c r="K19" s="3" t="n">
        <v>27</v>
      </c>
      <c r="L19" s="3" t="n">
        <v>27</v>
      </c>
    </row>
    <row r="20" customFormat="false" ht="15" hidden="false" customHeight="false" outlineLevel="0" collapsed="false">
      <c r="A20" s="0" t="s">
        <v>112</v>
      </c>
      <c r="B20" s="3" t="n">
        <v>8.5</v>
      </c>
    </row>
    <row r="21" customFormat="false" ht="15" hidden="false" customHeight="false" outlineLevel="0" collapsed="false">
      <c r="A21" s="0" t="s">
        <v>113</v>
      </c>
      <c r="B21" s="3" t="n">
        <v>2</v>
      </c>
    </row>
    <row r="22" customFormat="false" ht="15" hidden="false" customHeight="false" outlineLevel="0" collapsed="false">
      <c r="A22" s="0" t="s">
        <v>114</v>
      </c>
      <c r="B22" s="3" t="n">
        <v>15</v>
      </c>
    </row>
    <row r="23" customFormat="false" ht="15" hidden="false" customHeight="false" outlineLevel="0" collapsed="false">
      <c r="A23" s="0" t="s">
        <v>115</v>
      </c>
      <c r="B23" s="3" t="n">
        <v>5</v>
      </c>
    </row>
    <row r="24" customFormat="false" ht="15" hidden="false" customHeight="false" outlineLevel="0" collapsed="false">
      <c r="A24" s="0" t="s">
        <v>116</v>
      </c>
      <c r="B24" s="3" t="n">
        <v>0.2</v>
      </c>
    </row>
    <row r="26" customFormat="false" ht="15" hidden="false" customHeight="false" outlineLevel="0" collapsed="false">
      <c r="A26" s="2" t="s">
        <v>117</v>
      </c>
      <c r="C26" s="2" t="s">
        <v>95</v>
      </c>
      <c r="D26" s="2" t="s">
        <v>96</v>
      </c>
      <c r="E26" s="2" t="s">
        <v>97</v>
      </c>
      <c r="F26" s="2" t="s">
        <v>98</v>
      </c>
      <c r="G26" s="2" t="s">
        <v>99</v>
      </c>
      <c r="H26" s="2" t="s">
        <v>100</v>
      </c>
      <c r="I26" s="2" t="s">
        <v>101</v>
      </c>
      <c r="J26" s="2" t="s">
        <v>102</v>
      </c>
      <c r="K26" s="2" t="s">
        <v>103</v>
      </c>
      <c r="L26" s="2" t="s">
        <v>104</v>
      </c>
    </row>
    <row r="27" customFormat="false" ht="15" hidden="false" customHeight="false" outlineLevel="0" collapsed="false">
      <c r="A27" s="0" t="s">
        <v>105</v>
      </c>
      <c r="C27" s="3" t="n">
        <v>10</v>
      </c>
      <c r="D27" s="3" t="n">
        <v>10</v>
      </c>
      <c r="E27" s="3" t="n">
        <v>9</v>
      </c>
      <c r="F27" s="3" t="n">
        <v>8</v>
      </c>
      <c r="G27" s="3" t="n">
        <v>7</v>
      </c>
      <c r="H27" s="3" t="n">
        <v>6</v>
      </c>
      <c r="I27" s="3" t="n">
        <v>5</v>
      </c>
      <c r="J27" s="3" t="n">
        <v>4.5</v>
      </c>
      <c r="K27" s="3" t="n">
        <v>4</v>
      </c>
      <c r="L27" s="3" t="n">
        <v>3.5</v>
      </c>
    </row>
    <row r="28" customFormat="false" ht="15" hidden="false" customHeight="false" outlineLevel="0" collapsed="false">
      <c r="A28" s="0" t="s">
        <v>106</v>
      </c>
      <c r="C28" s="3" t="n">
        <v>36.5</v>
      </c>
      <c r="D28" s="3" t="n">
        <v>37.5</v>
      </c>
      <c r="E28" s="3" t="n">
        <v>38.5</v>
      </c>
      <c r="F28" s="3" t="n">
        <v>39.5</v>
      </c>
      <c r="G28" s="3" t="n">
        <v>40</v>
      </c>
      <c r="H28" s="3" t="n">
        <v>40.5</v>
      </c>
      <c r="I28" s="3" t="n">
        <v>41</v>
      </c>
      <c r="J28" s="3" t="n">
        <v>41</v>
      </c>
      <c r="K28" s="3" t="n">
        <v>41</v>
      </c>
      <c r="L28" s="3" t="n">
        <v>41</v>
      </c>
    </row>
    <row r="29" customFormat="false" ht="15" hidden="false" customHeight="false" outlineLevel="0" collapsed="false">
      <c r="A29" s="0" t="s">
        <v>107</v>
      </c>
      <c r="C29" s="3" t="n">
        <v>4.5</v>
      </c>
      <c r="D29" s="3" t="n">
        <v>4.4</v>
      </c>
      <c r="E29" s="3" t="n">
        <v>4.3</v>
      </c>
      <c r="F29" s="3" t="n">
        <v>4.2</v>
      </c>
      <c r="G29" s="3" t="n">
        <v>4.1</v>
      </c>
      <c r="H29" s="3" t="n">
        <v>4</v>
      </c>
      <c r="I29" s="3" t="n">
        <v>3.9</v>
      </c>
      <c r="J29" s="3" t="n">
        <v>3.8</v>
      </c>
      <c r="K29" s="3" t="n">
        <v>3.7</v>
      </c>
      <c r="L29" s="3" t="n">
        <v>3.6</v>
      </c>
    </row>
    <row r="30" customFormat="false" ht="15" hidden="false" customHeight="false" outlineLevel="0" collapsed="false">
      <c r="A30" s="0" t="s">
        <v>108</v>
      </c>
      <c r="C30" s="3" t="n">
        <v>1</v>
      </c>
      <c r="D30" s="3" t="n">
        <v>1</v>
      </c>
      <c r="E30" s="3" t="n">
        <v>1</v>
      </c>
      <c r="F30" s="3" t="n">
        <v>1</v>
      </c>
      <c r="G30" s="3" t="n">
        <v>1</v>
      </c>
      <c r="H30" s="3" t="n">
        <v>1</v>
      </c>
      <c r="I30" s="3" t="n">
        <v>1</v>
      </c>
      <c r="J30" s="3" t="n">
        <v>1</v>
      </c>
      <c r="K30" s="3" t="n">
        <v>1</v>
      </c>
      <c r="L30" s="3" t="n">
        <v>1</v>
      </c>
    </row>
    <row r="31" customFormat="false" ht="15" hidden="false" customHeight="false" outlineLevel="0" collapsed="false">
      <c r="A31" s="0" t="s">
        <v>109</v>
      </c>
      <c r="C31" s="3" t="n">
        <v>2.8</v>
      </c>
      <c r="D31" s="3" t="n">
        <v>2.8</v>
      </c>
      <c r="E31" s="3" t="n">
        <v>2.8</v>
      </c>
      <c r="F31" s="3" t="n">
        <v>2.8</v>
      </c>
      <c r="G31" s="3" t="n">
        <v>2.8</v>
      </c>
      <c r="H31" s="3" t="n">
        <v>2.8</v>
      </c>
      <c r="I31" s="3" t="n">
        <v>2.8</v>
      </c>
      <c r="J31" s="3" t="n">
        <v>2.8</v>
      </c>
      <c r="K31" s="3" t="n">
        <v>2.8</v>
      </c>
      <c r="L31" s="3" t="n">
        <v>2.8</v>
      </c>
    </row>
    <row r="32" customFormat="false" ht="15" hidden="false" customHeight="false" outlineLevel="0" collapsed="false">
      <c r="A32" s="0" t="s">
        <v>110</v>
      </c>
      <c r="C32" s="3" t="n">
        <v>2</v>
      </c>
      <c r="D32" s="3" t="n">
        <v>2</v>
      </c>
      <c r="E32" s="3" t="n">
        <v>2</v>
      </c>
      <c r="F32" s="3" t="n">
        <v>2</v>
      </c>
      <c r="G32" s="3" t="n">
        <v>2</v>
      </c>
      <c r="H32" s="3" t="n">
        <v>2</v>
      </c>
      <c r="I32" s="3" t="n">
        <v>2</v>
      </c>
      <c r="J32" s="3" t="n">
        <v>2</v>
      </c>
      <c r="K32" s="3" t="n">
        <v>2</v>
      </c>
      <c r="L32" s="3" t="n">
        <v>2</v>
      </c>
    </row>
    <row r="33" customFormat="false" ht="15" hidden="false" customHeight="false" outlineLevel="0" collapsed="false">
      <c r="A33" s="0" t="s">
        <v>111</v>
      </c>
      <c r="C33" s="3" t="n">
        <v>27</v>
      </c>
      <c r="D33" s="3" t="n">
        <v>27</v>
      </c>
      <c r="E33" s="3" t="n">
        <v>27</v>
      </c>
      <c r="F33" s="3" t="n">
        <v>27</v>
      </c>
      <c r="G33" s="3" t="n">
        <v>27</v>
      </c>
      <c r="H33" s="3" t="n">
        <v>27</v>
      </c>
      <c r="I33" s="3" t="n">
        <v>27</v>
      </c>
      <c r="J33" s="3" t="n">
        <v>27</v>
      </c>
      <c r="K33" s="3" t="n">
        <v>27</v>
      </c>
      <c r="L33" s="3" t="n">
        <v>27</v>
      </c>
    </row>
    <row r="34" customFormat="false" ht="15" hidden="false" customHeight="false" outlineLevel="0" collapsed="false">
      <c r="A34" s="0" t="s">
        <v>112</v>
      </c>
      <c r="B34" s="3" t="n">
        <v>8.5</v>
      </c>
    </row>
    <row r="35" customFormat="false" ht="15" hidden="false" customHeight="false" outlineLevel="0" collapsed="false">
      <c r="A35" s="0" t="s">
        <v>113</v>
      </c>
      <c r="B35" s="3" t="n">
        <v>2.5</v>
      </c>
    </row>
    <row r="36" customFormat="false" ht="15" hidden="false" customHeight="false" outlineLevel="0" collapsed="false">
      <c r="A36" s="0" t="s">
        <v>114</v>
      </c>
      <c r="B36" s="3" t="n">
        <v>20</v>
      </c>
    </row>
    <row r="37" customFormat="false" ht="15" hidden="false" customHeight="false" outlineLevel="0" collapsed="false">
      <c r="A37" s="0" t="s">
        <v>115</v>
      </c>
      <c r="B37" s="3" t="n">
        <v>10</v>
      </c>
    </row>
    <row r="38" customFormat="false" ht="15" hidden="false" customHeight="false" outlineLevel="0" collapsed="false">
      <c r="A38" s="0" t="s">
        <v>116</v>
      </c>
      <c r="B38" s="3" t="n">
        <v>0.5</v>
      </c>
    </row>
    <row r="40" customFormat="false" ht="15" hidden="false" customHeight="false" outlineLevel="0" collapsed="false">
      <c r="A40" s="2" t="s">
        <v>118</v>
      </c>
      <c r="C40" s="2" t="s">
        <v>95</v>
      </c>
      <c r="D40" s="2" t="s">
        <v>96</v>
      </c>
      <c r="E40" s="2" t="s">
        <v>97</v>
      </c>
      <c r="F40" s="2" t="s">
        <v>98</v>
      </c>
      <c r="G40" s="2" t="s">
        <v>99</v>
      </c>
      <c r="H40" s="2" t="s">
        <v>100</v>
      </c>
      <c r="I40" s="2" t="s">
        <v>101</v>
      </c>
      <c r="J40" s="2" t="s">
        <v>102</v>
      </c>
      <c r="K40" s="2" t="s">
        <v>103</v>
      </c>
      <c r="L40" s="2" t="s">
        <v>104</v>
      </c>
    </row>
    <row r="41" customFormat="false" ht="15" hidden="false" customHeight="false" outlineLevel="0" collapsed="false">
      <c r="A41" s="0" t="s">
        <v>105</v>
      </c>
      <c r="C41" s="3" t="n">
        <v>11.5</v>
      </c>
      <c r="D41" s="3" t="n">
        <v>12</v>
      </c>
      <c r="E41" s="3" t="n">
        <v>11</v>
      </c>
      <c r="F41" s="3" t="n">
        <v>10</v>
      </c>
      <c r="G41" s="3" t="n">
        <v>9</v>
      </c>
      <c r="H41" s="3" t="n">
        <v>8</v>
      </c>
      <c r="I41" s="3" t="n">
        <v>7</v>
      </c>
      <c r="J41" s="3" t="n">
        <v>6</v>
      </c>
      <c r="K41" s="3" t="n">
        <v>5</v>
      </c>
      <c r="L41" s="3" t="n">
        <v>4</v>
      </c>
    </row>
    <row r="42" customFormat="false" ht="15" hidden="false" customHeight="false" outlineLevel="0" collapsed="false">
      <c r="A42" s="0" t="s">
        <v>106</v>
      </c>
      <c r="C42" s="3" t="n">
        <v>37</v>
      </c>
      <c r="D42" s="3" t="n">
        <v>38.5</v>
      </c>
      <c r="E42" s="3" t="n">
        <v>40</v>
      </c>
      <c r="F42" s="3" t="n">
        <v>41.5</v>
      </c>
      <c r="G42" s="3" t="n">
        <v>42.5</v>
      </c>
      <c r="H42" s="3" t="n">
        <v>43.5</v>
      </c>
      <c r="I42" s="3" t="n">
        <v>44</v>
      </c>
      <c r="J42" s="3" t="n">
        <v>44</v>
      </c>
      <c r="K42" s="3" t="n">
        <v>44</v>
      </c>
      <c r="L42" s="3" t="n">
        <v>44</v>
      </c>
    </row>
    <row r="43" customFormat="false" ht="15" hidden="false" customHeight="false" outlineLevel="0" collapsed="false">
      <c r="A43" s="0" t="s">
        <v>107</v>
      </c>
      <c r="C43" s="3" t="n">
        <v>4.5</v>
      </c>
      <c r="D43" s="3" t="n">
        <v>4.3</v>
      </c>
      <c r="E43" s="3" t="n">
        <v>4.1</v>
      </c>
      <c r="F43" s="3" t="n">
        <v>3.9</v>
      </c>
      <c r="G43" s="3" t="n">
        <v>3.7</v>
      </c>
      <c r="H43" s="3" t="n">
        <v>3.6</v>
      </c>
      <c r="I43" s="3" t="n">
        <v>3.5</v>
      </c>
      <c r="J43" s="3" t="n">
        <v>3.4</v>
      </c>
      <c r="K43" s="3" t="n">
        <v>3.3</v>
      </c>
      <c r="L43" s="3" t="n">
        <v>3.3</v>
      </c>
    </row>
    <row r="44" customFormat="false" ht="15" hidden="false" customHeight="false" outlineLevel="0" collapsed="false">
      <c r="A44" s="0" t="s">
        <v>108</v>
      </c>
      <c r="C44" s="3" t="n">
        <v>1</v>
      </c>
      <c r="D44" s="3" t="n">
        <v>1</v>
      </c>
      <c r="E44" s="3" t="n">
        <v>1</v>
      </c>
      <c r="F44" s="3" t="n">
        <v>1</v>
      </c>
      <c r="G44" s="3" t="n">
        <v>1</v>
      </c>
      <c r="H44" s="3" t="n">
        <v>1</v>
      </c>
      <c r="I44" s="3" t="n">
        <v>1</v>
      </c>
      <c r="J44" s="3" t="n">
        <v>1</v>
      </c>
      <c r="K44" s="3" t="n">
        <v>1</v>
      </c>
      <c r="L44" s="3" t="n">
        <v>1</v>
      </c>
    </row>
    <row r="45" customFormat="false" ht="15" hidden="false" customHeight="false" outlineLevel="0" collapsed="false">
      <c r="A45" s="0" t="s">
        <v>109</v>
      </c>
      <c r="C45" s="3" t="n">
        <v>2.8</v>
      </c>
      <c r="D45" s="3" t="n">
        <v>2.8</v>
      </c>
      <c r="E45" s="3" t="n">
        <v>2.8</v>
      </c>
      <c r="F45" s="3" t="n">
        <v>2.8</v>
      </c>
      <c r="G45" s="3" t="n">
        <v>2.8</v>
      </c>
      <c r="H45" s="3" t="n">
        <v>2.8</v>
      </c>
      <c r="I45" s="3" t="n">
        <v>2.8</v>
      </c>
      <c r="J45" s="3" t="n">
        <v>2.8</v>
      </c>
      <c r="K45" s="3" t="n">
        <v>2.8</v>
      </c>
      <c r="L45" s="3" t="n">
        <v>2.8</v>
      </c>
    </row>
    <row r="46" customFormat="false" ht="15" hidden="false" customHeight="false" outlineLevel="0" collapsed="false">
      <c r="A46" s="0" t="s">
        <v>110</v>
      </c>
      <c r="C46" s="3" t="n">
        <v>2</v>
      </c>
      <c r="D46" s="3" t="n">
        <v>2</v>
      </c>
      <c r="E46" s="3" t="n">
        <v>2</v>
      </c>
      <c r="F46" s="3" t="n">
        <v>2</v>
      </c>
      <c r="G46" s="3" t="n">
        <v>2</v>
      </c>
      <c r="H46" s="3" t="n">
        <v>2</v>
      </c>
      <c r="I46" s="3" t="n">
        <v>2</v>
      </c>
      <c r="J46" s="3" t="n">
        <v>2</v>
      </c>
      <c r="K46" s="3" t="n">
        <v>2</v>
      </c>
      <c r="L46" s="3" t="n">
        <v>2</v>
      </c>
    </row>
    <row r="47" customFormat="false" ht="15" hidden="false" customHeight="false" outlineLevel="0" collapsed="false">
      <c r="A47" s="0" t="s">
        <v>111</v>
      </c>
      <c r="C47" s="3" t="n">
        <v>27</v>
      </c>
      <c r="D47" s="3" t="n">
        <v>27</v>
      </c>
      <c r="E47" s="3" t="n">
        <v>27</v>
      </c>
      <c r="F47" s="3" t="n">
        <v>27</v>
      </c>
      <c r="G47" s="3" t="n">
        <v>27</v>
      </c>
      <c r="H47" s="3" t="n">
        <v>27</v>
      </c>
      <c r="I47" s="3" t="n">
        <v>27</v>
      </c>
      <c r="J47" s="3" t="n">
        <v>27</v>
      </c>
      <c r="K47" s="3" t="n">
        <v>27</v>
      </c>
      <c r="L47" s="3" t="n">
        <v>27</v>
      </c>
    </row>
    <row r="48" customFormat="false" ht="15" hidden="false" customHeight="false" outlineLevel="0" collapsed="false">
      <c r="A48" s="0" t="s">
        <v>112</v>
      </c>
      <c r="B48" s="3" t="n">
        <v>8.5</v>
      </c>
    </row>
    <row r="49" customFormat="false" ht="15" hidden="false" customHeight="false" outlineLevel="0" collapsed="false">
      <c r="A49" s="0" t="s">
        <v>113</v>
      </c>
      <c r="B49" s="3" t="n">
        <v>3</v>
      </c>
    </row>
    <row r="50" customFormat="false" ht="15" hidden="false" customHeight="false" outlineLevel="0" collapsed="false">
      <c r="A50" s="0" t="s">
        <v>114</v>
      </c>
      <c r="B50" s="3" t="n">
        <v>20</v>
      </c>
    </row>
    <row r="51" customFormat="false" ht="15" hidden="false" customHeight="false" outlineLevel="0" collapsed="false">
      <c r="A51" s="0" t="s">
        <v>115</v>
      </c>
      <c r="B51" s="3" t="n">
        <v>15</v>
      </c>
    </row>
    <row r="52" customFormat="false" ht="15" hidden="false" customHeight="false" outlineLevel="0" collapsed="false">
      <c r="A52" s="0" t="s">
        <v>116</v>
      </c>
      <c r="B52" s="3" t="n">
        <v>0.3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119</v>
      </c>
    </row>
    <row r="3" customFormat="false" ht="15" hidden="false" customHeight="false" outlineLevel="0" collapsed="false">
      <c r="A3" s="0" t="s">
        <v>120</v>
      </c>
      <c r="B3" s="0" t="s">
        <v>81</v>
      </c>
      <c r="C3" s="2" t="s">
        <v>95</v>
      </c>
      <c r="D3" s="2" t="s">
        <v>96</v>
      </c>
      <c r="E3" s="2" t="s">
        <v>97</v>
      </c>
      <c r="F3" s="2" t="s">
        <v>98</v>
      </c>
      <c r="G3" s="2" t="s">
        <v>99</v>
      </c>
      <c r="H3" s="2" t="s">
        <v>100</v>
      </c>
      <c r="I3" s="2" t="s">
        <v>101</v>
      </c>
      <c r="J3" s="2" t="s">
        <v>102</v>
      </c>
      <c r="K3" s="2" t="s">
        <v>103</v>
      </c>
      <c r="L3" s="2" t="s">
        <v>104</v>
      </c>
    </row>
    <row r="4" customFormat="false" ht="15" hidden="false" customHeight="false" outlineLevel="0" collapsed="false">
      <c r="A4" s="0" t="s">
        <v>121</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105</v>
      </c>
      <c r="C5" s="4" t="n">
        <f aca="false">Assumptions!C13</f>
        <v>9</v>
      </c>
      <c r="D5" s="4" t="n">
        <f aca="false">Assumptions!D13</f>
        <v>7</v>
      </c>
      <c r="E5" s="4" t="n">
        <f aca="false">Assumptions!E13</f>
        <v>5</v>
      </c>
      <c r="F5" s="4" t="n">
        <f aca="false">Assumptions!F13</f>
        <v>4</v>
      </c>
      <c r="G5" s="4" t="n">
        <f aca="false">Assumptions!G13</f>
        <v>3.5</v>
      </c>
      <c r="H5" s="4" t="n">
        <f aca="false">Assumptions!H13</f>
        <v>3</v>
      </c>
      <c r="I5" s="4" t="n">
        <f aca="false">Assumptions!I13</f>
        <v>3</v>
      </c>
      <c r="J5" s="4" t="n">
        <f aca="false">Assumptions!J13</f>
        <v>2.5</v>
      </c>
      <c r="K5" s="4" t="n">
        <f aca="false">Assumptions!K13</f>
        <v>2.5</v>
      </c>
      <c r="L5" s="4" t="n">
        <f aca="false">Assumptions!L13</f>
        <v>2.5</v>
      </c>
    </row>
    <row r="6" customFormat="false" ht="15" hidden="false" customHeight="false" outlineLevel="0" collapsed="false">
      <c r="A6" s="0" t="s">
        <v>37</v>
      </c>
      <c r="B6" s="3" t="n">
        <v>36800</v>
      </c>
      <c r="C6" s="0" t="n">
        <f aca="false">B6*(1+C5/100)</f>
        <v>40112</v>
      </c>
      <c r="D6" s="0" t="n">
        <f aca="false">C6*(1+D5/100)</f>
        <v>42919.84</v>
      </c>
      <c r="E6" s="0" t="n">
        <f aca="false">D6*(1+E5/100)</f>
        <v>45065.832</v>
      </c>
      <c r="F6" s="0" t="n">
        <f aca="false">E6*(1+F5/100)</f>
        <v>46868.46528</v>
      </c>
      <c r="G6" s="0" t="n">
        <f aca="false">F6*(1+G5/100)</f>
        <v>48508.8615648</v>
      </c>
      <c r="H6" s="0" t="n">
        <f aca="false">G6*(1+H5/100)</f>
        <v>49964.127411744</v>
      </c>
      <c r="I6" s="0" t="n">
        <f aca="false">H6*(1+I5/100)</f>
        <v>51463.0512340963</v>
      </c>
      <c r="J6" s="0" t="n">
        <f aca="false">I6*(1+J5/100)</f>
        <v>52749.6275149487</v>
      </c>
      <c r="K6" s="0" t="n">
        <f aca="false">J6*(1+K5/100)</f>
        <v>54068.3682028224</v>
      </c>
      <c r="L6" s="0" t="n">
        <f aca="false">K6*(1+L5/100)</f>
        <v>55420.077407893</v>
      </c>
    </row>
    <row r="7" customFormat="false" ht="15" hidden="false" customHeight="false" outlineLevel="0" collapsed="false">
      <c r="A7" s="0" t="s">
        <v>106</v>
      </c>
      <c r="C7" s="4" t="n">
        <f aca="false">Assumptions!C14</f>
        <v>36</v>
      </c>
      <c r="D7" s="4" t="n">
        <f aca="false">Assumptions!D14</f>
        <v>36.5</v>
      </c>
      <c r="E7" s="4" t="n">
        <f aca="false">Assumptions!E14</f>
        <v>36.5</v>
      </c>
      <c r="F7" s="4" t="n">
        <f aca="false">Assumptions!F14</f>
        <v>37</v>
      </c>
      <c r="G7" s="4" t="n">
        <f aca="false">Assumptions!G14</f>
        <v>37</v>
      </c>
      <c r="H7" s="4" t="n">
        <f aca="false">Assumptions!H14</f>
        <v>37</v>
      </c>
      <c r="I7" s="4" t="n">
        <f aca="false">Assumptions!I14</f>
        <v>37</v>
      </c>
      <c r="J7" s="4" t="n">
        <f aca="false">Assumptions!J14</f>
        <v>37</v>
      </c>
      <c r="K7" s="4" t="n">
        <f aca="false">Assumptions!K14</f>
        <v>37</v>
      </c>
      <c r="L7" s="4" t="n">
        <f aca="false">Assumptions!L14</f>
        <v>37</v>
      </c>
    </row>
    <row r="8" customFormat="false" ht="15" hidden="false" customHeight="false" outlineLevel="0" collapsed="false">
      <c r="A8" s="0" t="s">
        <v>43</v>
      </c>
      <c r="C8" s="0" t="n">
        <f aca="false">C6*C7/100</f>
        <v>14440.32</v>
      </c>
      <c r="D8" s="0" t="n">
        <f aca="false">D6*D7/100</f>
        <v>15665.7416</v>
      </c>
      <c r="E8" s="0" t="n">
        <f aca="false">E6*E7/100</f>
        <v>16449.02868</v>
      </c>
      <c r="F8" s="0" t="n">
        <f aca="false">F6*F7/100</f>
        <v>17341.3321536</v>
      </c>
      <c r="G8" s="0" t="n">
        <f aca="false">G6*G7/100</f>
        <v>17948.278778976</v>
      </c>
      <c r="H8" s="0" t="n">
        <f aca="false">H6*H7/100</f>
        <v>18486.7271423453</v>
      </c>
      <c r="I8" s="0" t="n">
        <f aca="false">I6*I7/100</f>
        <v>19041.3289566156</v>
      </c>
      <c r="J8" s="0" t="n">
        <f aca="false">J6*J7/100</f>
        <v>19517.362180531</v>
      </c>
      <c r="K8" s="0" t="n">
        <f aca="false">K6*K7/100</f>
        <v>20005.2962350443</v>
      </c>
      <c r="L8" s="0" t="n">
        <f aca="false">L6*L7/100</f>
        <v>20505.4286409204</v>
      </c>
    </row>
    <row r="9" customFormat="false" ht="15" hidden="false" customHeight="false" outlineLevel="0" collapsed="false">
      <c r="A9" s="0" t="s">
        <v>107</v>
      </c>
      <c r="C9" s="4" t="n">
        <f aca="false">Assumptions!C15</f>
        <v>4.6</v>
      </c>
      <c r="D9" s="4" t="n">
        <f aca="false">Assumptions!D15</f>
        <v>4.6</v>
      </c>
      <c r="E9" s="4" t="n">
        <f aca="false">Assumptions!E15</f>
        <v>4.6</v>
      </c>
      <c r="F9" s="4" t="n">
        <f aca="false">Assumptions!F15</f>
        <v>4.6</v>
      </c>
      <c r="G9" s="4" t="n">
        <f aca="false">Assumptions!G15</f>
        <v>4.6</v>
      </c>
      <c r="H9" s="4" t="n">
        <f aca="false">Assumptions!H15</f>
        <v>4.6</v>
      </c>
      <c r="I9" s="4" t="n">
        <f aca="false">Assumptions!I15</f>
        <v>4.6</v>
      </c>
      <c r="J9" s="4" t="n">
        <f aca="false">Assumptions!J15</f>
        <v>4.6</v>
      </c>
      <c r="K9" s="4" t="n">
        <f aca="false">Assumptions!K15</f>
        <v>4.6</v>
      </c>
      <c r="L9" s="4" t="n">
        <f aca="false">Assumptions!L15</f>
        <v>4.6</v>
      </c>
    </row>
    <row r="10" customFormat="false" ht="15" hidden="false" customHeight="false" outlineLevel="0" collapsed="false">
      <c r="A10" s="0" t="s">
        <v>122</v>
      </c>
      <c r="C10" s="0" t="n">
        <f aca="false">-C6*C9/100</f>
        <v>-1845.152</v>
      </c>
      <c r="D10" s="0" t="n">
        <f aca="false">-D6*D9/100</f>
        <v>-1974.31264</v>
      </c>
      <c r="E10" s="0" t="n">
        <f aca="false">-E6*E9/100</f>
        <v>-2073.028272</v>
      </c>
      <c r="F10" s="0" t="n">
        <f aca="false">-F6*F9/100</f>
        <v>-2155.94940288</v>
      </c>
      <c r="G10" s="0" t="n">
        <f aca="false">-G6*G9/100</f>
        <v>-2231.4076319808</v>
      </c>
      <c r="H10" s="0" t="n">
        <f aca="false">-H6*H9/100</f>
        <v>-2298.34986094022</v>
      </c>
      <c r="I10" s="0" t="n">
        <f aca="false">-I6*I9/100</f>
        <v>-2367.30035676843</v>
      </c>
      <c r="J10" s="0" t="n">
        <f aca="false">-J6*J9/100</f>
        <v>-2426.48286568764</v>
      </c>
      <c r="K10" s="0" t="n">
        <f aca="false">-K6*K9/100</f>
        <v>-2487.14493732983</v>
      </c>
      <c r="L10" s="0" t="n">
        <f aca="false">-L6*L9/100</f>
        <v>-2549.32356076308</v>
      </c>
    </row>
    <row r="11" customFormat="false" ht="15" hidden="false" customHeight="false" outlineLevel="0" collapsed="false">
      <c r="A11" s="0" t="s">
        <v>123</v>
      </c>
      <c r="C11" s="0" t="n">
        <f aca="false">C8+C10+C24</f>
        <v>12194.048</v>
      </c>
      <c r="D11" s="0" t="n">
        <f aca="false">D8+D10+D24</f>
        <v>13262.23056</v>
      </c>
      <c r="E11" s="0" t="n">
        <f aca="false">E8+E10+E24</f>
        <v>13925.342088</v>
      </c>
      <c r="F11" s="0" t="n">
        <f aca="false">F8+F10+F24</f>
        <v>14716.69809792</v>
      </c>
      <c r="G11" s="0" t="n">
        <f aca="false">G8+G10+G24</f>
        <v>15231.7825313472</v>
      </c>
      <c r="H11" s="0" t="n">
        <f aca="false">H8+H10+H24</f>
        <v>15688.7360072876</v>
      </c>
      <c r="I11" s="0" t="n">
        <f aca="false">I8+I10+I24</f>
        <v>16159.3980875062</v>
      </c>
      <c r="J11" s="0" t="n">
        <f aca="false">J8+J10+J24</f>
        <v>16563.3830396939</v>
      </c>
      <c r="K11" s="0" t="n">
        <f aca="false">K8+K10+K24</f>
        <v>16977.4676156862</v>
      </c>
      <c r="L11" s="0" t="n">
        <f aca="false">L8+L10+L24</f>
        <v>17401.9043060784</v>
      </c>
    </row>
    <row r="12" customFormat="false" ht="15" hidden="false" customHeight="false" outlineLevel="0" collapsed="false">
      <c r="A12" s="0" t="s">
        <v>124</v>
      </c>
      <c r="C12" s="4" t="n">
        <f aca="false">-C6*Assumptions!C17/100</f>
        <v>-1123.136</v>
      </c>
      <c r="D12" s="4" t="n">
        <f aca="false">-D6*Assumptions!D17/100</f>
        <v>-1201.75552</v>
      </c>
      <c r="E12" s="4" t="n">
        <f aca="false">-E6*Assumptions!E17/100</f>
        <v>-1261.843296</v>
      </c>
      <c r="F12" s="4" t="n">
        <f aca="false">-F6*Assumptions!F17/100</f>
        <v>-1312.31702784</v>
      </c>
      <c r="G12" s="4" t="n">
        <f aca="false">-G6*Assumptions!G17/100</f>
        <v>-1358.2481238144</v>
      </c>
      <c r="H12" s="4" t="n">
        <f aca="false">-H6*Assumptions!H17/100</f>
        <v>-1398.99556752883</v>
      </c>
      <c r="I12" s="4" t="n">
        <f aca="false">-I6*Assumptions!I17/100</f>
        <v>-1440.9654345547</v>
      </c>
      <c r="J12" s="4" t="n">
        <f aca="false">-J6*Assumptions!J17/100</f>
        <v>-1476.98957041856</v>
      </c>
      <c r="K12" s="4" t="n">
        <f aca="false">-K6*Assumptions!K17/100</f>
        <v>-1513.91430967903</v>
      </c>
      <c r="L12" s="4" t="n">
        <f aca="false">-L6*Assumptions!L17/100</f>
        <v>-1551.762167421</v>
      </c>
    </row>
    <row r="13" customFormat="false" ht="15" hidden="false" customHeight="false" outlineLevel="0" collapsed="false">
      <c r="A13" s="0" t="s">
        <v>125</v>
      </c>
      <c r="C13" s="0" t="n">
        <f aca="false">C11+C12</f>
        <v>11070.912</v>
      </c>
      <c r="D13" s="0" t="n">
        <f aca="false">D11+D12</f>
        <v>12060.47504</v>
      </c>
      <c r="E13" s="0" t="n">
        <f aca="false">E11+E12</f>
        <v>12663.498792</v>
      </c>
      <c r="F13" s="0" t="n">
        <f aca="false">F11+F12</f>
        <v>13404.38107008</v>
      </c>
      <c r="G13" s="0" t="n">
        <f aca="false">G11+G12</f>
        <v>13873.5344075328</v>
      </c>
      <c r="H13" s="0" t="n">
        <f aca="false">H11+H12</f>
        <v>14289.7404397588</v>
      </c>
      <c r="I13" s="0" t="n">
        <f aca="false">I11+I12</f>
        <v>14718.4326529516</v>
      </c>
      <c r="J13" s="0" t="n">
        <f aca="false">J11+J12</f>
        <v>15086.3934692753</v>
      </c>
      <c r="K13" s="0" t="n">
        <f aca="false">K11+K12</f>
        <v>15463.5533060072</v>
      </c>
      <c r="L13" s="0" t="n">
        <f aca="false">L11+L12</f>
        <v>15850.1421386574</v>
      </c>
    </row>
    <row r="14" customFormat="false" ht="15" hidden="false" customHeight="false" outlineLevel="0" collapsed="false">
      <c r="A14" s="0" t="s">
        <v>111</v>
      </c>
      <c r="C14" s="4" t="n">
        <f aca="false">Assumptions!C19</f>
        <v>27</v>
      </c>
      <c r="D14" s="4" t="n">
        <f aca="false">Assumptions!D19</f>
        <v>27</v>
      </c>
      <c r="E14" s="4" t="n">
        <f aca="false">Assumptions!E19</f>
        <v>27</v>
      </c>
      <c r="F14" s="4" t="n">
        <f aca="false">Assumptions!F19</f>
        <v>27</v>
      </c>
      <c r="G14" s="4" t="n">
        <f aca="false">Assumptions!G19</f>
        <v>27</v>
      </c>
      <c r="H14" s="4" t="n">
        <f aca="false">Assumptions!H19</f>
        <v>27</v>
      </c>
      <c r="I14" s="4" t="n">
        <f aca="false">Assumptions!I19</f>
        <v>27</v>
      </c>
      <c r="J14" s="4" t="n">
        <f aca="false">Assumptions!J19</f>
        <v>27</v>
      </c>
      <c r="K14" s="4" t="n">
        <f aca="false">Assumptions!K19</f>
        <v>27</v>
      </c>
      <c r="L14" s="4" t="n">
        <f aca="false">Assumptions!L19</f>
        <v>27</v>
      </c>
    </row>
    <row r="15" customFormat="false" ht="15" hidden="false" customHeight="false" outlineLevel="0" collapsed="false">
      <c r="A15" s="0" t="s">
        <v>126</v>
      </c>
      <c r="C15" s="0" t="n">
        <f aca="false">C13-MAX(0,C13)*C14/100</f>
        <v>8081.76576</v>
      </c>
      <c r="D15" s="0" t="n">
        <f aca="false">D13-MAX(0,D13)*D14/100</f>
        <v>8804.1467792</v>
      </c>
      <c r="E15" s="0" t="n">
        <f aca="false">E13-MAX(0,E13)*E14/100</f>
        <v>9244.35411816</v>
      </c>
      <c r="F15" s="0" t="n">
        <f aca="false">F13-MAX(0,F13)*F14/100</f>
        <v>9785.1981811584</v>
      </c>
      <c r="G15" s="0" t="n">
        <f aca="false">G13-MAX(0,G13)*G14/100</f>
        <v>10127.6801174989</v>
      </c>
      <c r="H15" s="0" t="n">
        <f aca="false">H13-MAX(0,H13)*H14/100</f>
        <v>10431.5105210239</v>
      </c>
      <c r="I15" s="0" t="n">
        <f aca="false">I13-MAX(0,I13)*I14/100</f>
        <v>10744.4558366546</v>
      </c>
      <c r="J15" s="0" t="n">
        <f aca="false">J13-MAX(0,J13)*J14/100</f>
        <v>11013.067232571</v>
      </c>
      <c r="K15" s="0" t="n">
        <f aca="false">K13-MAX(0,K13)*K14/100</f>
        <v>11288.3939133853</v>
      </c>
      <c r="L15" s="0" t="n">
        <f aca="false">L13-MAX(0,L13)*L14/100</f>
        <v>11570.6037612199</v>
      </c>
    </row>
    <row r="16" customFormat="false" ht="15" hidden="false" customHeight="false" outlineLevel="0" collapsed="false">
      <c r="A16" s="0" t="s">
        <v>127</v>
      </c>
      <c r="C16" s="0" t="n">
        <f aca="false">-C12</f>
        <v>1123.136</v>
      </c>
      <c r="D16" s="0" t="n">
        <f aca="false">-D12</f>
        <v>1201.75552</v>
      </c>
      <c r="E16" s="0" t="n">
        <f aca="false">-E12</f>
        <v>1261.843296</v>
      </c>
      <c r="F16" s="0" t="n">
        <f aca="false">-F12</f>
        <v>1312.31702784</v>
      </c>
      <c r="G16" s="0" t="n">
        <f aca="false">-G12</f>
        <v>1358.2481238144</v>
      </c>
      <c r="H16" s="0" t="n">
        <f aca="false">-H12</f>
        <v>1398.99556752883</v>
      </c>
      <c r="I16" s="0" t="n">
        <f aca="false">-I12</f>
        <v>1440.9654345547</v>
      </c>
      <c r="J16" s="0" t="n">
        <f aca="false">-J12</f>
        <v>1476.98957041856</v>
      </c>
      <c r="K16" s="0" t="n">
        <f aca="false">-K12</f>
        <v>1513.91430967903</v>
      </c>
      <c r="L16" s="0" t="n">
        <f aca="false">-L12</f>
        <v>1551.762167421</v>
      </c>
    </row>
    <row r="17" customFormat="false" ht="15" hidden="false" customHeight="false" outlineLevel="0" collapsed="false">
      <c r="A17" s="0" t="s">
        <v>128</v>
      </c>
      <c r="C17" s="4" t="n">
        <f aca="false">-C6*Assumptions!C18/100</f>
        <v>-802.24</v>
      </c>
      <c r="D17" s="4" t="n">
        <f aca="false">-D6*Assumptions!D18/100</f>
        <v>-858.3968</v>
      </c>
      <c r="E17" s="4" t="n">
        <f aca="false">-E6*Assumptions!E18/100</f>
        <v>-901.31664</v>
      </c>
      <c r="F17" s="4" t="n">
        <f aca="false">-F6*Assumptions!F18/100</f>
        <v>-937.3693056</v>
      </c>
      <c r="G17" s="4" t="n">
        <f aca="false">-G6*Assumptions!G18/100</f>
        <v>-970.177231296</v>
      </c>
      <c r="H17" s="4" t="n">
        <f aca="false">-H6*Assumptions!H18/100</f>
        <v>-999.28254823488</v>
      </c>
      <c r="I17" s="4" t="n">
        <f aca="false">-I6*Assumptions!I18/100</f>
        <v>-1029.26102468193</v>
      </c>
      <c r="J17" s="4" t="n">
        <f aca="false">-J6*Assumptions!J18/100</f>
        <v>-1054.99255029897</v>
      </c>
      <c r="K17" s="4" t="n">
        <f aca="false">-K6*Assumptions!K18/100</f>
        <v>-1081.36736405645</v>
      </c>
      <c r="L17" s="4" t="n">
        <f aca="false">-L6*Assumptions!L18/100</f>
        <v>-1108.40154815786</v>
      </c>
    </row>
    <row r="18" customFormat="false" ht="15" hidden="false" customHeight="false" outlineLevel="0" collapsed="false">
      <c r="A18" s="0" t="s">
        <v>129</v>
      </c>
      <c r="C18" s="4" t="n">
        <f aca="false">(C6-B6)*Assumptions!$B$23/100</f>
        <v>165.6</v>
      </c>
      <c r="D18" s="4" t="n">
        <f aca="false">(D6-C6)*Assumptions!$B$23/100</f>
        <v>140.392</v>
      </c>
      <c r="E18" s="4" t="n">
        <f aca="false">(E6-D6)*Assumptions!$B$23/100</f>
        <v>107.2996</v>
      </c>
      <c r="F18" s="4" t="n">
        <f aca="false">(F6-E6)*Assumptions!$B$23/100</f>
        <v>90.1316640000001</v>
      </c>
      <c r="G18" s="4" t="n">
        <f aca="false">(G6-F6)*Assumptions!$B$23/100</f>
        <v>82.0198142399997</v>
      </c>
      <c r="H18" s="4" t="n">
        <f aca="false">(H6-G6)*Assumptions!$B$23/100</f>
        <v>72.7632923472</v>
      </c>
      <c r="I18" s="4" t="n">
        <f aca="false">(I6-H6)*Assumptions!$B$23/100</f>
        <v>74.946191117616</v>
      </c>
      <c r="J18" s="4" t="n">
        <f aca="false">(J6-I6)*Assumptions!$B$23/100</f>
        <v>64.3288140426201</v>
      </c>
      <c r="K18" s="4" t="n">
        <f aca="false">(K6-J6)*Assumptions!$B$23/100</f>
        <v>65.9370343936858</v>
      </c>
      <c r="L18" s="4" t="n">
        <f aca="false">(L6-K6)*Assumptions!$B$23/100</f>
        <v>67.5854602535277</v>
      </c>
    </row>
    <row r="19" customFormat="false" ht="15" hidden="false" customHeight="false" outlineLevel="0" collapsed="false">
      <c r="A19" s="0" t="s">
        <v>130</v>
      </c>
      <c r="C19" s="0" t="n">
        <f aca="false">C15+C16+C17+C18</f>
        <v>8568.26176</v>
      </c>
      <c r="D19" s="0" t="n">
        <f aca="false">D15+D16+D17+D18</f>
        <v>9287.8974992</v>
      </c>
      <c r="E19" s="0" t="n">
        <f aca="false">E15+E16+E17+E18</f>
        <v>9712.18037416</v>
      </c>
      <c r="F19" s="0" t="n">
        <f aca="false">F15+F16+F17+F18</f>
        <v>10250.2775673984</v>
      </c>
      <c r="G19" s="0" t="n">
        <f aca="false">G15+G16+G17+G18</f>
        <v>10597.7708242573</v>
      </c>
      <c r="H19" s="0" t="n">
        <f aca="false">H15+H16+H17+H18</f>
        <v>10903.9868326651</v>
      </c>
      <c r="I19" s="0" t="n">
        <f aca="false">I15+I16+I17+I18</f>
        <v>11231.106437645</v>
      </c>
      <c r="J19" s="0" t="n">
        <f aca="false">J15+J16+J17+J18</f>
        <v>11499.3930667332</v>
      </c>
      <c r="K19" s="0" t="n">
        <f aca="false">K15+K16+K17+K18</f>
        <v>11786.8778934015</v>
      </c>
      <c r="L19" s="0" t="n">
        <f aca="false">L15+L16+L17+L18</f>
        <v>12081.5498407366</v>
      </c>
    </row>
    <row r="20" customFormat="false" ht="15" hidden="false" customHeight="false" outlineLevel="0" collapsed="false">
      <c r="A20" s="0" t="s">
        <v>131</v>
      </c>
      <c r="C20" s="0" t="n">
        <f aca="false">1/(1+$B$27/100)^C4</f>
        <v>0.921658986175115</v>
      </c>
      <c r="D20" s="0" t="n">
        <f aca="false">1/(1+$B$27/100)^D4</f>
        <v>0.849455286797341</v>
      </c>
      <c r="E20" s="0" t="n">
        <f aca="false">1/(1+$B$27/100)^E4</f>
        <v>0.782908098430729</v>
      </c>
      <c r="F20" s="0" t="n">
        <f aca="false">1/(1+$B$27/100)^F4</f>
        <v>0.721574284267953</v>
      </c>
      <c r="G20" s="0" t="n">
        <f aca="false">1/(1+$B$27/100)^G4</f>
        <v>0.665045423288436</v>
      </c>
      <c r="H20" s="0" t="n">
        <f aca="false">1/(1+$B$27/100)^H4</f>
        <v>0.612945090588421</v>
      </c>
      <c r="I20" s="0" t="n">
        <f aca="false">1/(1+$B$27/100)^I4</f>
        <v>0.564926350772738</v>
      </c>
      <c r="J20" s="0" t="n">
        <f aca="false">1/(1+$B$27/100)^J4</f>
        <v>0.520669447716809</v>
      </c>
      <c r="K20" s="0" t="n">
        <f aca="false">1/(1+$B$27/100)^K4</f>
        <v>0.479879675315031</v>
      </c>
      <c r="L20" s="0" t="n">
        <f aca="false">1/(1+$B$27/100)^L4</f>
        <v>0.442285415036895</v>
      </c>
    </row>
    <row r="21" customFormat="false" ht="15" hidden="false" customHeight="false" outlineLevel="0" collapsed="false">
      <c r="A21" s="0" t="s">
        <v>132</v>
      </c>
      <c r="C21" s="0" t="n">
        <f aca="false">C19*C20</f>
        <v>7897.01544700461</v>
      </c>
      <c r="D21" s="0" t="n">
        <f aca="false">D19*D20</f>
        <v>7889.65363392725</v>
      </c>
      <c r="E21" s="0" t="n">
        <f aca="false">E19*E20</f>
        <v>7603.74466834986</v>
      </c>
      <c r="F21" s="0" t="n">
        <f aca="false">F19*F20</f>
        <v>7396.33669924336</v>
      </c>
      <c r="G21" s="0" t="n">
        <f aca="false">G19*G20</f>
        <v>7047.99898373206</v>
      </c>
      <c r="H21" s="0" t="n">
        <f aca="false">H19*H20</f>
        <v>6683.54519692283</v>
      </c>
      <c r="I21" s="0" t="n">
        <f aca="false">I19*I20</f>
        <v>6344.747974959</v>
      </c>
      <c r="J21" s="0" t="n">
        <f aca="false">J19*J20</f>
        <v>5987.38263713448</v>
      </c>
      <c r="K21" s="0" t="n">
        <f aca="false">K19*K20</f>
        <v>5656.28313646345</v>
      </c>
      <c r="L21" s="0" t="n">
        <f aca="false">L19*L20</f>
        <v>5343.49328559911</v>
      </c>
    </row>
    <row r="23" customFormat="false" ht="15" hidden="false" customHeight="false" outlineLevel="0" collapsed="false">
      <c r="A23" s="0" t="s">
        <v>108</v>
      </c>
      <c r="C23" s="4" t="n">
        <f aca="false">Assumptions!C16</f>
        <v>1</v>
      </c>
      <c r="D23" s="4" t="n">
        <f aca="false">Assumptions!D16</f>
        <v>1</v>
      </c>
      <c r="E23" s="4" t="n">
        <f aca="false">Assumptions!E16</f>
        <v>1</v>
      </c>
      <c r="F23" s="4" t="n">
        <f aca="false">Assumptions!F16</f>
        <v>1</v>
      </c>
      <c r="G23" s="4" t="n">
        <f aca="false">Assumptions!G16</f>
        <v>1</v>
      </c>
      <c r="H23" s="4" t="n">
        <f aca="false">Assumptions!H16</f>
        <v>1</v>
      </c>
      <c r="I23" s="4" t="n">
        <f aca="false">Assumptions!I16</f>
        <v>1</v>
      </c>
      <c r="J23" s="4" t="n">
        <f aca="false">Assumptions!J16</f>
        <v>1</v>
      </c>
      <c r="K23" s="4" t="n">
        <f aca="false">Assumptions!K16</f>
        <v>1</v>
      </c>
      <c r="L23" s="4" t="n">
        <f aca="false">Assumptions!L16</f>
        <v>1</v>
      </c>
    </row>
    <row r="24" customFormat="false" ht="15" hidden="false" customHeight="false" outlineLevel="0" collapsed="false">
      <c r="A24" s="0" t="s">
        <v>133</v>
      </c>
      <c r="C24" s="0" t="n">
        <f aca="false">-C6*C23/100</f>
        <v>-401.12</v>
      </c>
      <c r="D24" s="0" t="n">
        <f aca="false">-D6*D23/100</f>
        <v>-429.1984</v>
      </c>
      <c r="E24" s="0" t="n">
        <f aca="false">-E6*E23/100</f>
        <v>-450.65832</v>
      </c>
      <c r="F24" s="0" t="n">
        <f aca="false">-F6*F23/100</f>
        <v>-468.6846528</v>
      </c>
      <c r="G24" s="0" t="n">
        <f aca="false">-G6*G23/100</f>
        <v>-485.088615648</v>
      </c>
      <c r="H24" s="0" t="n">
        <f aca="false">-H6*H23/100</f>
        <v>-499.64127411744</v>
      </c>
      <c r="I24" s="0" t="n">
        <f aca="false">-I6*I23/100</f>
        <v>-514.630512340963</v>
      </c>
      <c r="J24" s="0" t="n">
        <f aca="false">-J6*J23/100</f>
        <v>-527.496275149487</v>
      </c>
      <c r="K24" s="0" t="n">
        <f aca="false">-K6*K23/100</f>
        <v>-540.683682028224</v>
      </c>
      <c r="L24" s="0" t="n">
        <f aca="false">-L6*L23/100</f>
        <v>-554.20077407893</v>
      </c>
    </row>
    <row r="26" customFormat="false" ht="15" hidden="false" customHeight="false" outlineLevel="0" collapsed="false">
      <c r="A26" s="2" t="s">
        <v>134</v>
      </c>
    </row>
    <row r="27" customFormat="false" ht="15" hidden="false" customHeight="false" outlineLevel="0" collapsed="false">
      <c r="A27" s="0" t="s">
        <v>112</v>
      </c>
      <c r="B27" s="4" t="n">
        <f aca="false">Assumptions!$B$20</f>
        <v>8.5</v>
      </c>
    </row>
    <row r="28" customFormat="false" ht="15" hidden="false" customHeight="false" outlineLevel="0" collapsed="false">
      <c r="A28" s="0" t="s">
        <v>113</v>
      </c>
      <c r="B28" s="4" t="n">
        <f aca="false">Assumptions!$B$21</f>
        <v>2</v>
      </c>
    </row>
    <row r="29" customFormat="false" ht="15" hidden="false" customHeight="false" outlineLevel="0" collapsed="false">
      <c r="A29" s="0" t="s">
        <v>114</v>
      </c>
      <c r="B29" s="4" t="n">
        <f aca="false">Assumptions!$B$22</f>
        <v>15</v>
      </c>
    </row>
    <row r="30" customFormat="false" ht="15" hidden="false" customHeight="false" outlineLevel="0" collapsed="false">
      <c r="A30" s="0" t="s">
        <v>135</v>
      </c>
      <c r="B30" s="0" t="n">
        <f aca="false">SUM(C21:L21)</f>
        <v>67850.201663336</v>
      </c>
    </row>
    <row r="31" customFormat="false" ht="15" hidden="false" customHeight="false" outlineLevel="0" collapsed="false">
      <c r="A31" s="0" t="s">
        <v>136</v>
      </c>
      <c r="B31" s="0" t="n">
        <f aca="false">L19</f>
        <v>12081.5498407366</v>
      </c>
    </row>
    <row r="32" customFormat="false" ht="15" hidden="false" customHeight="false" outlineLevel="0" collapsed="false">
      <c r="A32" s="0" t="s">
        <v>137</v>
      </c>
      <c r="B32" s="0" t="n">
        <f aca="false">IF(B27&gt;B28,B31*(1+B28/100)/((B27-B28)/100),B31*B29)</f>
        <v>189587.397500789</v>
      </c>
    </row>
    <row r="33" customFormat="false" ht="15" hidden="false" customHeight="false" outlineLevel="0" collapsed="false">
      <c r="A33" s="0" t="s">
        <v>138</v>
      </c>
      <c r="B33" s="0" t="n">
        <f aca="false">B31*B29</f>
        <v>181223.247611049</v>
      </c>
    </row>
    <row r="34" customFormat="false" ht="15" hidden="false" customHeight="false" outlineLevel="0" collapsed="false">
      <c r="A34" s="0" t="s">
        <v>139</v>
      </c>
      <c r="B34" s="0" t="n">
        <f aca="false">MAX(0,MIN(B32,B33))</f>
        <v>181223.247611049</v>
      </c>
    </row>
    <row r="35" customFormat="false" ht="15" hidden="false" customHeight="false" outlineLevel="0" collapsed="false">
      <c r="A35" s="0" t="s">
        <v>140</v>
      </c>
      <c r="B35" s="0" t="n">
        <f aca="false">B34/(1+B27/100)^L4</f>
        <v>80152.3992839867</v>
      </c>
    </row>
    <row r="36" customFormat="false" ht="15" hidden="false" customHeight="false" outlineLevel="0" collapsed="false">
      <c r="A36" s="0" t="s">
        <v>141</v>
      </c>
      <c r="B36" s="0" t="n">
        <f aca="false">B30+B35</f>
        <v>148002.600947323</v>
      </c>
    </row>
    <row r="37" customFormat="false" ht="15" hidden="false" customHeight="false" outlineLevel="0" collapsed="false">
      <c r="A37" s="0" t="s">
        <v>142</v>
      </c>
      <c r="B37" s="0" t="n">
        <f aca="false">B36+Assumptions!$B$5-Assumptions!$B$4</f>
        <v>149307.600947323</v>
      </c>
    </row>
    <row r="38" customFormat="false" ht="15" hidden="false" customHeight="false" outlineLevel="0" collapsed="false">
      <c r="A38" s="0" t="s">
        <v>143</v>
      </c>
      <c r="B38" s="0" t="n">
        <f aca="false">B37/Assumptions!$B$3*Assumptions!$B$10</f>
        <v>127.070298678572</v>
      </c>
    </row>
    <row r="39" customFormat="false" ht="15" hidden="false" customHeight="false" outlineLevel="0" collapsed="false">
      <c r="A39" s="0" t="s">
        <v>144</v>
      </c>
      <c r="B39" s="4" t="n">
        <f aca="false">B38/Assumptions!$B$2-1</f>
        <v>-0.407321368103673</v>
      </c>
    </row>
    <row r="41" customFormat="false" ht="15" hidden="false" customHeight="false" outlineLevel="0" collapsed="false">
      <c r="A41" s="0" t="s">
        <v>145</v>
      </c>
      <c r="B41" s="0" t="n">
        <f aca="false">SUMPRODUCT(-C10:L10/(1+$B$27/100)^C4:L4)</f>
        <v>14370.9139775079</v>
      </c>
    </row>
    <row r="42" customFormat="false" ht="15" hidden="false" customHeight="false" outlineLevel="0" collapsed="false">
      <c r="A42" s="0" t="s">
        <v>146</v>
      </c>
      <c r="B42" s="0" t="n">
        <f aca="false">IF(B27&gt;B28,-L10*(1+B28/100)/((B27-B28)/100),-L10*20)/(1+B27/100)^L4</f>
        <v>17693.5261802791</v>
      </c>
    </row>
    <row r="43" customFormat="false" ht="15" hidden="false" customHeight="false" outlineLevel="0" collapsed="false">
      <c r="A43" s="0" t="s">
        <v>147</v>
      </c>
      <c r="B43" s="0" t="n">
        <f aca="false">(B37+B41+B42)/Assumptions!$B$3*Assumptions!$B$10</f>
        <v>154.359183919242</v>
      </c>
    </row>
    <row r="45" customFormat="false" ht="15" hidden="false" customHeight="false" outlineLevel="0" collapsed="false">
      <c r="A45" s="0" t="s">
        <v>88</v>
      </c>
      <c r="B45" s="4" t="n">
        <f aca="false">Assumptions!$B$6</f>
        <v>15</v>
      </c>
    </row>
    <row r="46" customFormat="false" ht="15" hidden="false" customHeight="false" outlineLevel="0" collapsed="false">
      <c r="A46" s="0" t="s">
        <v>148</v>
      </c>
      <c r="B46" s="0" t="n">
        <f aca="false">MAX(0,MIN(IF(B45&gt;B28,B31*(1+B28/100)/((B45-B28)/100),B31*B29),B31*B29))</f>
        <v>94793.6987503946</v>
      </c>
    </row>
    <row r="47" customFormat="false" ht="15" hidden="false" customHeight="false" outlineLevel="0" collapsed="false">
      <c r="A47" s="0" t="s">
        <v>149</v>
      </c>
      <c r="B47" s="0" t="n">
        <f aca="false">(SUMPRODUCT(C19:L19/(1+B45/100)^C4:L4)+B46/(1+B45/100)^L4+Assumptions!$B$5-Assumptions!$B$4)/Assumptions!$B$3*Assumptions!$B$10</f>
        <v>64.4749843925871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150</v>
      </c>
    </row>
    <row r="3" customFormat="false" ht="15" hidden="false" customHeight="false" outlineLevel="0" collapsed="false">
      <c r="A3" s="0" t="s">
        <v>120</v>
      </c>
      <c r="B3" s="0" t="s">
        <v>81</v>
      </c>
      <c r="C3" s="2" t="s">
        <v>95</v>
      </c>
      <c r="D3" s="2" t="s">
        <v>96</v>
      </c>
      <c r="E3" s="2" t="s">
        <v>97</v>
      </c>
      <c r="F3" s="2" t="s">
        <v>98</v>
      </c>
      <c r="G3" s="2" t="s">
        <v>99</v>
      </c>
      <c r="H3" s="2" t="s">
        <v>100</v>
      </c>
      <c r="I3" s="2" t="s">
        <v>101</v>
      </c>
      <c r="J3" s="2" t="s">
        <v>102</v>
      </c>
      <c r="K3" s="2" t="s">
        <v>103</v>
      </c>
      <c r="L3" s="2" t="s">
        <v>104</v>
      </c>
    </row>
    <row r="4" customFormat="false" ht="15" hidden="false" customHeight="false" outlineLevel="0" collapsed="false">
      <c r="A4" s="0" t="s">
        <v>121</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105</v>
      </c>
      <c r="C5" s="4" t="n">
        <f aca="false">Assumptions!C27</f>
        <v>10</v>
      </c>
      <c r="D5" s="4" t="n">
        <f aca="false">Assumptions!D27</f>
        <v>10</v>
      </c>
      <c r="E5" s="4" t="n">
        <f aca="false">Assumptions!E27</f>
        <v>9</v>
      </c>
      <c r="F5" s="4" t="n">
        <f aca="false">Assumptions!F27</f>
        <v>8</v>
      </c>
      <c r="G5" s="4" t="n">
        <f aca="false">Assumptions!G27</f>
        <v>7</v>
      </c>
      <c r="H5" s="4" t="n">
        <f aca="false">Assumptions!H27</f>
        <v>6</v>
      </c>
      <c r="I5" s="4" t="n">
        <f aca="false">Assumptions!I27</f>
        <v>5</v>
      </c>
      <c r="J5" s="4" t="n">
        <f aca="false">Assumptions!J27</f>
        <v>4.5</v>
      </c>
      <c r="K5" s="4" t="n">
        <f aca="false">Assumptions!K27</f>
        <v>4</v>
      </c>
      <c r="L5" s="4" t="n">
        <f aca="false">Assumptions!L27</f>
        <v>3.5</v>
      </c>
    </row>
    <row r="6" customFormat="false" ht="15" hidden="false" customHeight="false" outlineLevel="0" collapsed="false">
      <c r="A6" s="0" t="s">
        <v>37</v>
      </c>
      <c r="B6" s="3" t="n">
        <v>36800</v>
      </c>
      <c r="C6" s="0" t="n">
        <f aca="false">B6*(1+C5/100)</f>
        <v>40480</v>
      </c>
      <c r="D6" s="0" t="n">
        <f aca="false">C6*(1+D5/100)</f>
        <v>44528</v>
      </c>
      <c r="E6" s="0" t="n">
        <f aca="false">D6*(1+E5/100)</f>
        <v>48535.52</v>
      </c>
      <c r="F6" s="0" t="n">
        <f aca="false">E6*(1+F5/100)</f>
        <v>52418.3616</v>
      </c>
      <c r="G6" s="0" t="n">
        <f aca="false">F6*(1+G5/100)</f>
        <v>56087.646912</v>
      </c>
      <c r="H6" s="0" t="n">
        <f aca="false">G6*(1+H5/100)</f>
        <v>59452.90572672</v>
      </c>
      <c r="I6" s="0" t="n">
        <f aca="false">H6*(1+I5/100)</f>
        <v>62425.551013056</v>
      </c>
      <c r="J6" s="0" t="n">
        <f aca="false">I6*(1+J5/100)</f>
        <v>65234.7008086435</v>
      </c>
      <c r="K6" s="0" t="n">
        <f aca="false">J6*(1+K5/100)</f>
        <v>67844.0888409893</v>
      </c>
      <c r="L6" s="0" t="n">
        <f aca="false">K6*(1+L5/100)</f>
        <v>70218.6319504239</v>
      </c>
    </row>
    <row r="7" customFormat="false" ht="15" hidden="false" customHeight="false" outlineLevel="0" collapsed="false">
      <c r="A7" s="0" t="s">
        <v>106</v>
      </c>
      <c r="C7" s="4" t="n">
        <f aca="false">Assumptions!C28</f>
        <v>36.5</v>
      </c>
      <c r="D7" s="4" t="n">
        <f aca="false">Assumptions!D28</f>
        <v>37.5</v>
      </c>
      <c r="E7" s="4" t="n">
        <f aca="false">Assumptions!E28</f>
        <v>38.5</v>
      </c>
      <c r="F7" s="4" t="n">
        <f aca="false">Assumptions!F28</f>
        <v>39.5</v>
      </c>
      <c r="G7" s="4" t="n">
        <f aca="false">Assumptions!G28</f>
        <v>40</v>
      </c>
      <c r="H7" s="4" t="n">
        <f aca="false">Assumptions!H28</f>
        <v>40.5</v>
      </c>
      <c r="I7" s="4" t="n">
        <f aca="false">Assumptions!I28</f>
        <v>41</v>
      </c>
      <c r="J7" s="4" t="n">
        <f aca="false">Assumptions!J28</f>
        <v>41</v>
      </c>
      <c r="K7" s="4" t="n">
        <f aca="false">Assumptions!K28</f>
        <v>41</v>
      </c>
      <c r="L7" s="4" t="n">
        <f aca="false">Assumptions!L28</f>
        <v>41</v>
      </c>
    </row>
    <row r="8" customFormat="false" ht="15" hidden="false" customHeight="false" outlineLevel="0" collapsed="false">
      <c r="A8" s="0" t="s">
        <v>43</v>
      </c>
      <c r="C8" s="0" t="n">
        <f aca="false">C6*C7/100</f>
        <v>14775.2</v>
      </c>
      <c r="D8" s="0" t="n">
        <f aca="false">D6*D7/100</f>
        <v>16698</v>
      </c>
      <c r="E8" s="0" t="n">
        <f aca="false">E6*E7/100</f>
        <v>18686.1752</v>
      </c>
      <c r="F8" s="0" t="n">
        <f aca="false">F6*F7/100</f>
        <v>20705.252832</v>
      </c>
      <c r="G8" s="0" t="n">
        <f aca="false">G6*G7/100</f>
        <v>22435.0587648</v>
      </c>
      <c r="H8" s="0" t="n">
        <f aca="false">H6*H7/100</f>
        <v>24078.4268193216</v>
      </c>
      <c r="I8" s="0" t="n">
        <f aca="false">I6*I7/100</f>
        <v>25594.475915353</v>
      </c>
      <c r="J8" s="0" t="n">
        <f aca="false">J6*J7/100</f>
        <v>26746.2273315439</v>
      </c>
      <c r="K8" s="0" t="n">
        <f aca="false">K6*K7/100</f>
        <v>27816.0764248056</v>
      </c>
      <c r="L8" s="0" t="n">
        <f aca="false">L6*L7/100</f>
        <v>28789.6390996738</v>
      </c>
    </row>
    <row r="9" customFormat="false" ht="15" hidden="false" customHeight="false" outlineLevel="0" collapsed="false">
      <c r="A9" s="0" t="s">
        <v>107</v>
      </c>
      <c r="C9" s="4" t="n">
        <f aca="false">Assumptions!C29</f>
        <v>4.5</v>
      </c>
      <c r="D9" s="4" t="n">
        <f aca="false">Assumptions!D29</f>
        <v>4.4</v>
      </c>
      <c r="E9" s="4" t="n">
        <f aca="false">Assumptions!E29</f>
        <v>4.3</v>
      </c>
      <c r="F9" s="4" t="n">
        <f aca="false">Assumptions!F29</f>
        <v>4.2</v>
      </c>
      <c r="G9" s="4" t="n">
        <f aca="false">Assumptions!G29</f>
        <v>4.1</v>
      </c>
      <c r="H9" s="4" t="n">
        <f aca="false">Assumptions!H29</f>
        <v>4</v>
      </c>
      <c r="I9" s="4" t="n">
        <f aca="false">Assumptions!I29</f>
        <v>3.9</v>
      </c>
      <c r="J9" s="4" t="n">
        <f aca="false">Assumptions!J29</f>
        <v>3.8</v>
      </c>
      <c r="K9" s="4" t="n">
        <f aca="false">Assumptions!K29</f>
        <v>3.7</v>
      </c>
      <c r="L9" s="4" t="n">
        <f aca="false">Assumptions!L29</f>
        <v>3.6</v>
      </c>
    </row>
    <row r="10" customFormat="false" ht="15" hidden="false" customHeight="false" outlineLevel="0" collapsed="false">
      <c r="A10" s="0" t="s">
        <v>122</v>
      </c>
      <c r="C10" s="0" t="n">
        <f aca="false">-C6*C9/100</f>
        <v>-1821.6</v>
      </c>
      <c r="D10" s="0" t="n">
        <f aca="false">-D6*D9/100</f>
        <v>-1959.232</v>
      </c>
      <c r="E10" s="0" t="n">
        <f aca="false">-E6*E9/100</f>
        <v>-2087.02736</v>
      </c>
      <c r="F10" s="0" t="n">
        <f aca="false">-F6*F9/100</f>
        <v>-2201.5711872</v>
      </c>
      <c r="G10" s="0" t="n">
        <f aca="false">-G6*G9/100</f>
        <v>-2299.593523392</v>
      </c>
      <c r="H10" s="0" t="n">
        <f aca="false">-H6*H9/100</f>
        <v>-2378.1162290688</v>
      </c>
      <c r="I10" s="0" t="n">
        <f aca="false">-I6*I9/100</f>
        <v>-2434.59648950919</v>
      </c>
      <c r="J10" s="0" t="n">
        <f aca="false">-J6*J9/100</f>
        <v>-2478.91863072846</v>
      </c>
      <c r="K10" s="0" t="n">
        <f aca="false">-K6*K9/100</f>
        <v>-2510.2312871166</v>
      </c>
      <c r="L10" s="0" t="n">
        <f aca="false">-L6*L9/100</f>
        <v>-2527.87075021526</v>
      </c>
    </row>
    <row r="11" customFormat="false" ht="15" hidden="false" customHeight="false" outlineLevel="0" collapsed="false">
      <c r="A11" s="0" t="s">
        <v>123</v>
      </c>
      <c r="C11" s="0" t="n">
        <f aca="false">C8+C10+C24</f>
        <v>12548.8</v>
      </c>
      <c r="D11" s="0" t="n">
        <f aca="false">D8+D10+D24</f>
        <v>14293.488</v>
      </c>
      <c r="E11" s="0" t="n">
        <f aca="false">E8+E10+E24</f>
        <v>16113.79264</v>
      </c>
      <c r="F11" s="0" t="n">
        <f aca="false">F8+F10+F24</f>
        <v>17979.4980288</v>
      </c>
      <c r="G11" s="0" t="n">
        <f aca="false">G8+G10+G24</f>
        <v>19574.588772288</v>
      </c>
      <c r="H11" s="0" t="n">
        <f aca="false">H8+H10+H24</f>
        <v>21105.7815329856</v>
      </c>
      <c r="I11" s="0" t="n">
        <f aca="false">I8+I10+I24</f>
        <v>22535.6239157132</v>
      </c>
      <c r="J11" s="0" t="n">
        <f aca="false">J8+J10+J24</f>
        <v>23614.961692729</v>
      </c>
      <c r="K11" s="0" t="n">
        <f aca="false">K8+K10+K24</f>
        <v>24627.4042492791</v>
      </c>
      <c r="L11" s="0" t="n">
        <f aca="false">L8+L10+L24</f>
        <v>25559.5820299543</v>
      </c>
    </row>
    <row r="12" customFormat="false" ht="15" hidden="false" customHeight="false" outlineLevel="0" collapsed="false">
      <c r="A12" s="0" t="s">
        <v>124</v>
      </c>
      <c r="C12" s="4" t="n">
        <f aca="false">-C6*Assumptions!C31/100</f>
        <v>-1133.44</v>
      </c>
      <c r="D12" s="4" t="n">
        <f aca="false">-D6*Assumptions!D31/100</f>
        <v>-1246.784</v>
      </c>
      <c r="E12" s="4" t="n">
        <f aca="false">-E6*Assumptions!E31/100</f>
        <v>-1358.99456</v>
      </c>
      <c r="F12" s="4" t="n">
        <f aca="false">-F6*Assumptions!F31/100</f>
        <v>-1467.7141248</v>
      </c>
      <c r="G12" s="4" t="n">
        <f aca="false">-G6*Assumptions!G31/100</f>
        <v>-1570.454113536</v>
      </c>
      <c r="H12" s="4" t="n">
        <f aca="false">-H6*Assumptions!H31/100</f>
        <v>-1664.68136034816</v>
      </c>
      <c r="I12" s="4" t="n">
        <f aca="false">-I6*Assumptions!I31/100</f>
        <v>-1747.91542836557</v>
      </c>
      <c r="J12" s="4" t="n">
        <f aca="false">-J6*Assumptions!J31/100</f>
        <v>-1826.57162264202</v>
      </c>
      <c r="K12" s="4" t="n">
        <f aca="false">-K6*Assumptions!K31/100</f>
        <v>-1899.6344875477</v>
      </c>
      <c r="L12" s="4" t="n">
        <f aca="false">-L6*Assumptions!L31/100</f>
        <v>-1966.12169461187</v>
      </c>
    </row>
    <row r="13" customFormat="false" ht="15" hidden="false" customHeight="false" outlineLevel="0" collapsed="false">
      <c r="A13" s="0" t="s">
        <v>125</v>
      </c>
      <c r="C13" s="0" t="n">
        <f aca="false">C11+C12</f>
        <v>11415.36</v>
      </c>
      <c r="D13" s="0" t="n">
        <f aca="false">D11+D12</f>
        <v>13046.704</v>
      </c>
      <c r="E13" s="0" t="n">
        <f aca="false">E11+E12</f>
        <v>14754.79808</v>
      </c>
      <c r="F13" s="0" t="n">
        <f aca="false">F11+F12</f>
        <v>16511.783904</v>
      </c>
      <c r="G13" s="0" t="n">
        <f aca="false">G11+G12</f>
        <v>18004.134658752</v>
      </c>
      <c r="H13" s="0" t="n">
        <f aca="false">H11+H12</f>
        <v>19441.1001726375</v>
      </c>
      <c r="I13" s="0" t="n">
        <f aca="false">I11+I12</f>
        <v>20787.7084873477</v>
      </c>
      <c r="J13" s="0" t="n">
        <f aca="false">J11+J12</f>
        <v>21788.3900700869</v>
      </c>
      <c r="K13" s="0" t="n">
        <f aca="false">K11+K12</f>
        <v>22727.7697617314</v>
      </c>
      <c r="L13" s="0" t="n">
        <f aca="false">L11+L12</f>
        <v>23593.4603353424</v>
      </c>
    </row>
    <row r="14" customFormat="false" ht="15" hidden="false" customHeight="false" outlineLevel="0" collapsed="false">
      <c r="A14" s="0" t="s">
        <v>111</v>
      </c>
      <c r="C14" s="4" t="n">
        <f aca="false">Assumptions!C33</f>
        <v>27</v>
      </c>
      <c r="D14" s="4" t="n">
        <f aca="false">Assumptions!D33</f>
        <v>27</v>
      </c>
      <c r="E14" s="4" t="n">
        <f aca="false">Assumptions!E33</f>
        <v>27</v>
      </c>
      <c r="F14" s="4" t="n">
        <f aca="false">Assumptions!F33</f>
        <v>27</v>
      </c>
      <c r="G14" s="4" t="n">
        <f aca="false">Assumptions!G33</f>
        <v>27</v>
      </c>
      <c r="H14" s="4" t="n">
        <f aca="false">Assumptions!H33</f>
        <v>27</v>
      </c>
      <c r="I14" s="4" t="n">
        <f aca="false">Assumptions!I33</f>
        <v>27</v>
      </c>
      <c r="J14" s="4" t="n">
        <f aca="false">Assumptions!J33</f>
        <v>27</v>
      </c>
      <c r="K14" s="4" t="n">
        <f aca="false">Assumptions!K33</f>
        <v>27</v>
      </c>
      <c r="L14" s="4" t="n">
        <f aca="false">Assumptions!L33</f>
        <v>27</v>
      </c>
    </row>
    <row r="15" customFormat="false" ht="15" hidden="false" customHeight="false" outlineLevel="0" collapsed="false">
      <c r="A15" s="0" t="s">
        <v>126</v>
      </c>
      <c r="C15" s="0" t="n">
        <f aca="false">C13-MAX(0,C13)*C14/100</f>
        <v>8333.2128</v>
      </c>
      <c r="D15" s="0" t="n">
        <f aca="false">D13-MAX(0,D13)*D14/100</f>
        <v>9524.09392</v>
      </c>
      <c r="E15" s="0" t="n">
        <f aca="false">E13-MAX(0,E13)*E14/100</f>
        <v>10771.0025984</v>
      </c>
      <c r="F15" s="0" t="n">
        <f aca="false">F13-MAX(0,F13)*F14/100</f>
        <v>12053.60224992</v>
      </c>
      <c r="G15" s="0" t="n">
        <f aca="false">G13-MAX(0,G13)*G14/100</f>
        <v>13143.018300889</v>
      </c>
      <c r="H15" s="0" t="n">
        <f aca="false">H13-MAX(0,H13)*H14/100</f>
        <v>14192.0031260253</v>
      </c>
      <c r="I15" s="0" t="n">
        <f aca="false">I13-MAX(0,I13)*I14/100</f>
        <v>15175.0271957638</v>
      </c>
      <c r="J15" s="0" t="n">
        <f aca="false">J13-MAX(0,J13)*J14/100</f>
        <v>15905.5247511635</v>
      </c>
      <c r="K15" s="0" t="n">
        <f aca="false">K13-MAX(0,K13)*K14/100</f>
        <v>16591.2719260639</v>
      </c>
      <c r="L15" s="0" t="n">
        <f aca="false">L13-MAX(0,L13)*L14/100</f>
        <v>17223.2260448</v>
      </c>
    </row>
    <row r="16" customFormat="false" ht="15" hidden="false" customHeight="false" outlineLevel="0" collapsed="false">
      <c r="A16" s="0" t="s">
        <v>127</v>
      </c>
      <c r="C16" s="0" t="n">
        <f aca="false">-C12</f>
        <v>1133.44</v>
      </c>
      <c r="D16" s="0" t="n">
        <f aca="false">-D12</f>
        <v>1246.784</v>
      </c>
      <c r="E16" s="0" t="n">
        <f aca="false">-E12</f>
        <v>1358.99456</v>
      </c>
      <c r="F16" s="0" t="n">
        <f aca="false">-F12</f>
        <v>1467.7141248</v>
      </c>
      <c r="G16" s="0" t="n">
        <f aca="false">-G12</f>
        <v>1570.454113536</v>
      </c>
      <c r="H16" s="0" t="n">
        <f aca="false">-H12</f>
        <v>1664.68136034816</v>
      </c>
      <c r="I16" s="0" t="n">
        <f aca="false">-I12</f>
        <v>1747.91542836557</v>
      </c>
      <c r="J16" s="0" t="n">
        <f aca="false">-J12</f>
        <v>1826.57162264202</v>
      </c>
      <c r="K16" s="0" t="n">
        <f aca="false">-K12</f>
        <v>1899.6344875477</v>
      </c>
      <c r="L16" s="0" t="n">
        <f aca="false">-L12</f>
        <v>1966.12169461187</v>
      </c>
    </row>
    <row r="17" customFormat="false" ht="15" hidden="false" customHeight="false" outlineLevel="0" collapsed="false">
      <c r="A17" s="0" t="s">
        <v>128</v>
      </c>
      <c r="C17" s="4" t="n">
        <f aca="false">-C6*Assumptions!C32/100</f>
        <v>-809.6</v>
      </c>
      <c r="D17" s="4" t="n">
        <f aca="false">-D6*Assumptions!D32/100</f>
        <v>-890.56</v>
      </c>
      <c r="E17" s="4" t="n">
        <f aca="false">-E6*Assumptions!E32/100</f>
        <v>-970.7104</v>
      </c>
      <c r="F17" s="4" t="n">
        <f aca="false">-F6*Assumptions!F32/100</f>
        <v>-1048.367232</v>
      </c>
      <c r="G17" s="4" t="n">
        <f aca="false">-G6*Assumptions!G32/100</f>
        <v>-1121.75293824</v>
      </c>
      <c r="H17" s="4" t="n">
        <f aca="false">-H6*Assumptions!H32/100</f>
        <v>-1189.0581145344</v>
      </c>
      <c r="I17" s="4" t="n">
        <f aca="false">-I6*Assumptions!I32/100</f>
        <v>-1248.51102026112</v>
      </c>
      <c r="J17" s="4" t="n">
        <f aca="false">-J6*Assumptions!J32/100</f>
        <v>-1304.69401617287</v>
      </c>
      <c r="K17" s="4" t="n">
        <f aca="false">-K6*Assumptions!K32/100</f>
        <v>-1356.88177681979</v>
      </c>
      <c r="L17" s="4" t="n">
        <f aca="false">-L6*Assumptions!L32/100</f>
        <v>-1404.37263900848</v>
      </c>
    </row>
    <row r="18" customFormat="false" ht="15" hidden="false" customHeight="false" outlineLevel="0" collapsed="false">
      <c r="A18" s="0" t="s">
        <v>129</v>
      </c>
      <c r="C18" s="4" t="n">
        <f aca="false">(C6-B6)*Assumptions!$B$37/100</f>
        <v>368</v>
      </c>
      <c r="D18" s="4" t="n">
        <f aca="false">(D6-C6)*Assumptions!$B$37/100</f>
        <v>404.8</v>
      </c>
      <c r="E18" s="4" t="n">
        <f aca="false">(E6-D6)*Assumptions!$B$37/100</f>
        <v>400.752</v>
      </c>
      <c r="F18" s="4" t="n">
        <f aca="false">(F6-E6)*Assumptions!$B$37/100</f>
        <v>388.284160000001</v>
      </c>
      <c r="G18" s="4" t="n">
        <f aca="false">(G6-F6)*Assumptions!$B$37/100</f>
        <v>366.928531200001</v>
      </c>
      <c r="H18" s="4" t="n">
        <f aca="false">(H6-G6)*Assumptions!$B$37/100</f>
        <v>336.525881472001</v>
      </c>
      <c r="I18" s="4" t="n">
        <f aca="false">(I6-H6)*Assumptions!$B$37/100</f>
        <v>297.2645286336</v>
      </c>
      <c r="J18" s="4" t="n">
        <f aca="false">(J6-I6)*Assumptions!$B$37/100</f>
        <v>280.914979558752</v>
      </c>
      <c r="K18" s="4" t="n">
        <f aca="false">(K6-J6)*Assumptions!$B$37/100</f>
        <v>260.938803234575</v>
      </c>
      <c r="L18" s="4" t="n">
        <f aca="false">(L6-K6)*Assumptions!$B$37/100</f>
        <v>237.454310943461</v>
      </c>
    </row>
    <row r="19" customFormat="false" ht="15" hidden="false" customHeight="false" outlineLevel="0" collapsed="false">
      <c r="A19" s="0" t="s">
        <v>130</v>
      </c>
      <c r="C19" s="0" t="n">
        <f aca="false">C15+C16+C17+C18</f>
        <v>9025.0528</v>
      </c>
      <c r="D19" s="0" t="n">
        <f aca="false">D15+D16+D17+D18</f>
        <v>10285.11792</v>
      </c>
      <c r="E19" s="0" t="n">
        <f aca="false">E15+E16+E17+E18</f>
        <v>11560.0387584</v>
      </c>
      <c r="F19" s="0" t="n">
        <f aca="false">F15+F16+F17+F18</f>
        <v>12861.23330272</v>
      </c>
      <c r="G19" s="0" t="n">
        <f aca="false">G15+G16+G17+G18</f>
        <v>13958.648007385</v>
      </c>
      <c r="H19" s="0" t="n">
        <f aca="false">H15+H16+H17+H18</f>
        <v>15004.1522533111</v>
      </c>
      <c r="I19" s="0" t="n">
        <f aca="false">I15+I16+I17+I18</f>
        <v>15971.6961325018</v>
      </c>
      <c r="J19" s="0" t="n">
        <f aca="false">J15+J16+J17+J18</f>
        <v>16708.3173371914</v>
      </c>
      <c r="K19" s="0" t="n">
        <f aca="false">K15+K16+K17+K18</f>
        <v>17394.9634400264</v>
      </c>
      <c r="L19" s="0" t="n">
        <f aca="false">L15+L16+L17+L18</f>
        <v>18022.4294113468</v>
      </c>
    </row>
    <row r="20" customFormat="false" ht="15" hidden="false" customHeight="false" outlineLevel="0" collapsed="false">
      <c r="A20" s="0" t="s">
        <v>131</v>
      </c>
      <c r="C20" s="0" t="n">
        <f aca="false">1/(1+$B$27/100)^C4</f>
        <v>0.921658986175115</v>
      </c>
      <c r="D20" s="0" t="n">
        <f aca="false">1/(1+$B$27/100)^D4</f>
        <v>0.849455286797341</v>
      </c>
      <c r="E20" s="0" t="n">
        <f aca="false">1/(1+$B$27/100)^E4</f>
        <v>0.782908098430729</v>
      </c>
      <c r="F20" s="0" t="n">
        <f aca="false">1/(1+$B$27/100)^F4</f>
        <v>0.721574284267953</v>
      </c>
      <c r="G20" s="0" t="n">
        <f aca="false">1/(1+$B$27/100)^G4</f>
        <v>0.665045423288436</v>
      </c>
      <c r="H20" s="0" t="n">
        <f aca="false">1/(1+$B$27/100)^H4</f>
        <v>0.612945090588421</v>
      </c>
      <c r="I20" s="0" t="n">
        <f aca="false">1/(1+$B$27/100)^I4</f>
        <v>0.564926350772738</v>
      </c>
      <c r="J20" s="0" t="n">
        <f aca="false">1/(1+$B$27/100)^J4</f>
        <v>0.520669447716809</v>
      </c>
      <c r="K20" s="0" t="n">
        <f aca="false">1/(1+$B$27/100)^K4</f>
        <v>0.479879675315031</v>
      </c>
      <c r="L20" s="0" t="n">
        <f aca="false">1/(1+$B$27/100)^L4</f>
        <v>0.442285415036895</v>
      </c>
    </row>
    <row r="21" customFormat="false" ht="15" hidden="false" customHeight="false" outlineLevel="0" collapsed="false">
      <c r="A21" s="0" t="s">
        <v>132</v>
      </c>
      <c r="C21" s="0" t="n">
        <f aca="false">C19*C20</f>
        <v>8318.02101382489</v>
      </c>
      <c r="D21" s="0" t="n">
        <f aca="false">D19*D20</f>
        <v>8736.74779247807</v>
      </c>
      <c r="E21" s="0" t="n">
        <f aca="false">E19*E20</f>
        <v>9050.44796212448</v>
      </c>
      <c r="F21" s="0" t="n">
        <f aca="false">F19*F20</f>
        <v>9280.33521521335</v>
      </c>
      <c r="G21" s="0" t="n">
        <f aca="false">G19*G20</f>
        <v>9283.13497260562</v>
      </c>
      <c r="H21" s="0" t="n">
        <f aca="false">H19*H20</f>
        <v>9196.72146210822</v>
      </c>
      <c r="I21" s="0" t="n">
        <f aca="false">I19*I20</f>
        <v>9022.83201178532</v>
      </c>
      <c r="J21" s="0" t="n">
        <f aca="false">J19*J20</f>
        <v>8699.51036023261</v>
      </c>
      <c r="K21" s="0" t="n">
        <f aca="false">K19*K20</f>
        <v>8347.48940771672</v>
      </c>
      <c r="L21" s="0" t="n">
        <f aca="false">L19*L20</f>
        <v>7971.05767217068</v>
      </c>
    </row>
    <row r="23" customFormat="false" ht="15" hidden="false" customHeight="false" outlineLevel="0" collapsed="false">
      <c r="A23" s="0" t="s">
        <v>108</v>
      </c>
      <c r="C23" s="4" t="n">
        <f aca="false">Assumptions!C30</f>
        <v>1</v>
      </c>
      <c r="D23" s="4" t="n">
        <f aca="false">Assumptions!D30</f>
        <v>1</v>
      </c>
      <c r="E23" s="4" t="n">
        <f aca="false">Assumptions!E30</f>
        <v>1</v>
      </c>
      <c r="F23" s="4" t="n">
        <f aca="false">Assumptions!F30</f>
        <v>1</v>
      </c>
      <c r="G23" s="4" t="n">
        <f aca="false">Assumptions!G30</f>
        <v>1</v>
      </c>
      <c r="H23" s="4" t="n">
        <f aca="false">Assumptions!H30</f>
        <v>1</v>
      </c>
      <c r="I23" s="4" t="n">
        <f aca="false">Assumptions!I30</f>
        <v>1</v>
      </c>
      <c r="J23" s="4" t="n">
        <f aca="false">Assumptions!J30</f>
        <v>1</v>
      </c>
      <c r="K23" s="4" t="n">
        <f aca="false">Assumptions!K30</f>
        <v>1</v>
      </c>
      <c r="L23" s="4" t="n">
        <f aca="false">Assumptions!L30</f>
        <v>1</v>
      </c>
    </row>
    <row r="24" customFormat="false" ht="15" hidden="false" customHeight="false" outlineLevel="0" collapsed="false">
      <c r="A24" s="0" t="s">
        <v>133</v>
      </c>
      <c r="C24" s="0" t="n">
        <f aca="false">-C6*C23/100</f>
        <v>-404.8</v>
      </c>
      <c r="D24" s="0" t="n">
        <f aca="false">-D6*D23/100</f>
        <v>-445.28</v>
      </c>
      <c r="E24" s="0" t="n">
        <f aca="false">-E6*E23/100</f>
        <v>-485.3552</v>
      </c>
      <c r="F24" s="0" t="n">
        <f aca="false">-F6*F23/100</f>
        <v>-524.183616</v>
      </c>
      <c r="G24" s="0" t="n">
        <f aca="false">-G6*G23/100</f>
        <v>-560.87646912</v>
      </c>
      <c r="H24" s="0" t="n">
        <f aca="false">-H6*H23/100</f>
        <v>-594.5290572672</v>
      </c>
      <c r="I24" s="0" t="n">
        <f aca="false">-I6*I23/100</f>
        <v>-624.25551013056</v>
      </c>
      <c r="J24" s="0" t="n">
        <f aca="false">-J6*J23/100</f>
        <v>-652.347008086436</v>
      </c>
      <c r="K24" s="0" t="n">
        <f aca="false">-K6*K23/100</f>
        <v>-678.440888409893</v>
      </c>
      <c r="L24" s="0" t="n">
        <f aca="false">-L6*L23/100</f>
        <v>-702.186319504239</v>
      </c>
    </row>
    <row r="26" customFormat="false" ht="15" hidden="false" customHeight="false" outlineLevel="0" collapsed="false">
      <c r="A26" s="2" t="s">
        <v>134</v>
      </c>
    </row>
    <row r="27" customFormat="false" ht="15" hidden="false" customHeight="false" outlineLevel="0" collapsed="false">
      <c r="A27" s="0" t="s">
        <v>112</v>
      </c>
      <c r="B27" s="4" t="n">
        <f aca="false">Assumptions!$B$34</f>
        <v>8.5</v>
      </c>
    </row>
    <row r="28" customFormat="false" ht="15" hidden="false" customHeight="false" outlineLevel="0" collapsed="false">
      <c r="A28" s="0" t="s">
        <v>113</v>
      </c>
      <c r="B28" s="4" t="n">
        <f aca="false">Assumptions!$B$35</f>
        <v>2.5</v>
      </c>
    </row>
    <row r="29" customFormat="false" ht="15" hidden="false" customHeight="false" outlineLevel="0" collapsed="false">
      <c r="A29" s="0" t="s">
        <v>114</v>
      </c>
      <c r="B29" s="4" t="n">
        <f aca="false">Assumptions!$B$36</f>
        <v>20</v>
      </c>
    </row>
    <row r="30" customFormat="false" ht="15" hidden="false" customHeight="false" outlineLevel="0" collapsed="false">
      <c r="A30" s="0" t="s">
        <v>135</v>
      </c>
      <c r="B30" s="0" t="n">
        <f aca="false">SUM(C21:L21)</f>
        <v>87906.29787026</v>
      </c>
    </row>
    <row r="31" customFormat="false" ht="15" hidden="false" customHeight="false" outlineLevel="0" collapsed="false">
      <c r="A31" s="0" t="s">
        <v>136</v>
      </c>
      <c r="B31" s="0" t="n">
        <f aca="false">L19</f>
        <v>18022.4294113468</v>
      </c>
    </row>
    <row r="32" customFormat="false" ht="15" hidden="false" customHeight="false" outlineLevel="0" collapsed="false">
      <c r="A32" s="0" t="s">
        <v>137</v>
      </c>
      <c r="B32" s="0" t="n">
        <f aca="false">IF(B27&gt;B28,B31*(1+B28/100)/((B27-B28)/100),B31*B29)</f>
        <v>307883.169110508</v>
      </c>
    </row>
    <row r="33" customFormat="false" ht="15" hidden="false" customHeight="false" outlineLevel="0" collapsed="false">
      <c r="A33" s="0" t="s">
        <v>138</v>
      </c>
      <c r="B33" s="0" t="n">
        <f aca="false">B31*B29</f>
        <v>360448.588226937</v>
      </c>
    </row>
    <row r="34" customFormat="false" ht="15" hidden="false" customHeight="false" outlineLevel="0" collapsed="false">
      <c r="A34" s="0" t="s">
        <v>139</v>
      </c>
      <c r="B34" s="0" t="n">
        <f aca="false">MAX(0,MIN(B32,B33))</f>
        <v>307883.169110508</v>
      </c>
    </row>
    <row r="35" customFormat="false" ht="15" hidden="false" customHeight="false" outlineLevel="0" collapsed="false">
      <c r="A35" s="0" t="s">
        <v>140</v>
      </c>
      <c r="B35" s="0" t="n">
        <f aca="false">B34/(1+B27/100)^L4</f>
        <v>136172.235232916</v>
      </c>
    </row>
    <row r="36" customFormat="false" ht="15" hidden="false" customHeight="false" outlineLevel="0" collapsed="false">
      <c r="A36" s="0" t="s">
        <v>141</v>
      </c>
      <c r="B36" s="0" t="n">
        <f aca="false">B30+B35</f>
        <v>224078.533103176</v>
      </c>
    </row>
    <row r="37" customFormat="false" ht="15" hidden="false" customHeight="false" outlineLevel="0" collapsed="false">
      <c r="A37" s="0" t="s">
        <v>142</v>
      </c>
      <c r="B37" s="0" t="n">
        <f aca="false">B36+Assumptions!$B$5-Assumptions!$B$4</f>
        <v>225383.533103176</v>
      </c>
    </row>
    <row r="38" customFormat="false" ht="15" hidden="false" customHeight="false" outlineLevel="0" collapsed="false">
      <c r="A38" s="0" t="s">
        <v>143</v>
      </c>
      <c r="B38" s="0" t="n">
        <f aca="false">B37/Assumptions!$B$3*Assumptions!$B$10</f>
        <v>191.815772853767</v>
      </c>
    </row>
    <row r="39" customFormat="false" ht="15" hidden="false" customHeight="false" outlineLevel="0" collapsed="false">
      <c r="A39" s="0" t="s">
        <v>144</v>
      </c>
      <c r="B39" s="4" t="n">
        <f aca="false">B38/Assumptions!$B$2-1</f>
        <v>-0.105336880346238</v>
      </c>
    </row>
    <row r="41" customFormat="false" ht="15" hidden="false" customHeight="false" outlineLevel="0" collapsed="false">
      <c r="A41" s="0" t="s">
        <v>145</v>
      </c>
      <c r="B41" s="0" t="n">
        <f aca="false">SUMPRODUCT(-C10:L10/(1+$B$27/100)^C4:L4)</f>
        <v>14541.4248245149</v>
      </c>
    </row>
    <row r="42" customFormat="false" ht="15" hidden="false" customHeight="false" outlineLevel="0" collapsed="false">
      <c r="A42" s="0" t="s">
        <v>146</v>
      </c>
      <c r="B42" s="0" t="n">
        <f aca="false">IF(B27&gt;B28,-L10*(1+B28/100)/((B27-B28)/100),-L10*20)/(1+B27/100)^L4</f>
        <v>19099.8562169425</v>
      </c>
    </row>
    <row r="43" customFormat="false" ht="15" hidden="false" customHeight="false" outlineLevel="0" collapsed="false">
      <c r="A43" s="0" t="s">
        <v>147</v>
      </c>
      <c r="B43" s="0" t="n">
        <f aca="false">(B37+B41+B42)/Assumptions!$B$3*Assumptions!$B$10</f>
        <v>220.446650335858</v>
      </c>
    </row>
    <row r="45" customFormat="false" ht="15" hidden="false" customHeight="false" outlineLevel="0" collapsed="false">
      <c r="A45" s="0" t="s">
        <v>88</v>
      </c>
      <c r="B45" s="4" t="n">
        <f aca="false">Assumptions!$B$6</f>
        <v>15</v>
      </c>
    </row>
    <row r="46" customFormat="false" ht="15" hidden="false" customHeight="false" outlineLevel="0" collapsed="false">
      <c r="A46" s="0" t="s">
        <v>148</v>
      </c>
      <c r="B46" s="0" t="n">
        <f aca="false">MAX(0,MIN(IF(B45&gt;B28,B31*(1+B28/100)/((B45-B28)/100),B31*B29),B31*B29))</f>
        <v>147783.921173044</v>
      </c>
    </row>
    <row r="47" customFormat="false" ht="15" hidden="false" customHeight="false" outlineLevel="0" collapsed="false">
      <c r="A47" s="0" t="s">
        <v>149</v>
      </c>
      <c r="B47" s="0" t="n">
        <f aca="false">(SUMPRODUCT(C19:L19/(1+B45/100)^C4:L4)+B46/(1+B45/100)^L4+Assumptions!$B$5-Assumptions!$B$4)/Assumptions!$B$3*Assumptions!$B$10</f>
        <v>87.4099974162415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151</v>
      </c>
    </row>
    <row r="3" customFormat="false" ht="15" hidden="false" customHeight="false" outlineLevel="0" collapsed="false">
      <c r="A3" s="0" t="s">
        <v>120</v>
      </c>
      <c r="B3" s="0" t="s">
        <v>81</v>
      </c>
      <c r="C3" s="2" t="s">
        <v>95</v>
      </c>
      <c r="D3" s="2" t="s">
        <v>96</v>
      </c>
      <c r="E3" s="2" t="s">
        <v>97</v>
      </c>
      <c r="F3" s="2" t="s">
        <v>98</v>
      </c>
      <c r="G3" s="2" t="s">
        <v>99</v>
      </c>
      <c r="H3" s="2" t="s">
        <v>100</v>
      </c>
      <c r="I3" s="2" t="s">
        <v>101</v>
      </c>
      <c r="J3" s="2" t="s">
        <v>102</v>
      </c>
      <c r="K3" s="2" t="s">
        <v>103</v>
      </c>
      <c r="L3" s="2" t="s">
        <v>104</v>
      </c>
    </row>
    <row r="4" customFormat="false" ht="15" hidden="false" customHeight="false" outlineLevel="0" collapsed="false">
      <c r="A4" s="0" t="s">
        <v>121</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105</v>
      </c>
      <c r="C5" s="4" t="n">
        <f aca="false">Assumptions!C41</f>
        <v>11.5</v>
      </c>
      <c r="D5" s="4" t="n">
        <f aca="false">Assumptions!D41</f>
        <v>12</v>
      </c>
      <c r="E5" s="4" t="n">
        <f aca="false">Assumptions!E41</f>
        <v>11</v>
      </c>
      <c r="F5" s="4" t="n">
        <f aca="false">Assumptions!F41</f>
        <v>10</v>
      </c>
      <c r="G5" s="4" t="n">
        <f aca="false">Assumptions!G41</f>
        <v>9</v>
      </c>
      <c r="H5" s="4" t="n">
        <f aca="false">Assumptions!H41</f>
        <v>8</v>
      </c>
      <c r="I5" s="4" t="n">
        <f aca="false">Assumptions!I41</f>
        <v>7</v>
      </c>
      <c r="J5" s="4" t="n">
        <f aca="false">Assumptions!J41</f>
        <v>6</v>
      </c>
      <c r="K5" s="4" t="n">
        <f aca="false">Assumptions!K41</f>
        <v>5</v>
      </c>
      <c r="L5" s="4" t="n">
        <f aca="false">Assumptions!L41</f>
        <v>4</v>
      </c>
    </row>
    <row r="6" customFormat="false" ht="15" hidden="false" customHeight="false" outlineLevel="0" collapsed="false">
      <c r="A6" s="0" t="s">
        <v>37</v>
      </c>
      <c r="B6" s="3" t="n">
        <v>36800</v>
      </c>
      <c r="C6" s="0" t="n">
        <f aca="false">B6*(1+C5/100)</f>
        <v>41032</v>
      </c>
      <c r="D6" s="0" t="n">
        <f aca="false">C6*(1+D5/100)</f>
        <v>45955.84</v>
      </c>
      <c r="E6" s="0" t="n">
        <f aca="false">D6*(1+E5/100)</f>
        <v>51010.9824</v>
      </c>
      <c r="F6" s="0" t="n">
        <f aca="false">E6*(1+F5/100)</f>
        <v>56112.08064</v>
      </c>
      <c r="G6" s="0" t="n">
        <f aca="false">F6*(1+G5/100)</f>
        <v>61162.1678976</v>
      </c>
      <c r="H6" s="0" t="n">
        <f aca="false">G6*(1+H5/100)</f>
        <v>66055.141329408</v>
      </c>
      <c r="I6" s="0" t="n">
        <f aca="false">H6*(1+I5/100)</f>
        <v>70679.0012224666</v>
      </c>
      <c r="J6" s="0" t="n">
        <f aca="false">I6*(1+J5/100)</f>
        <v>74919.7412958146</v>
      </c>
      <c r="K6" s="0" t="n">
        <f aca="false">J6*(1+K5/100)</f>
        <v>78665.7283606053</v>
      </c>
      <c r="L6" s="0" t="n">
        <f aca="false">K6*(1+L5/100)</f>
        <v>81812.3574950296</v>
      </c>
    </row>
    <row r="7" customFormat="false" ht="15" hidden="false" customHeight="false" outlineLevel="0" collapsed="false">
      <c r="A7" s="0" t="s">
        <v>106</v>
      </c>
      <c r="C7" s="4" t="n">
        <f aca="false">Assumptions!C42</f>
        <v>37</v>
      </c>
      <c r="D7" s="4" t="n">
        <f aca="false">Assumptions!D42</f>
        <v>38.5</v>
      </c>
      <c r="E7" s="4" t="n">
        <f aca="false">Assumptions!E42</f>
        <v>40</v>
      </c>
      <c r="F7" s="4" t="n">
        <f aca="false">Assumptions!F42</f>
        <v>41.5</v>
      </c>
      <c r="G7" s="4" t="n">
        <f aca="false">Assumptions!G42</f>
        <v>42.5</v>
      </c>
      <c r="H7" s="4" t="n">
        <f aca="false">Assumptions!H42</f>
        <v>43.5</v>
      </c>
      <c r="I7" s="4" t="n">
        <f aca="false">Assumptions!I42</f>
        <v>44</v>
      </c>
      <c r="J7" s="4" t="n">
        <f aca="false">Assumptions!J42</f>
        <v>44</v>
      </c>
      <c r="K7" s="4" t="n">
        <f aca="false">Assumptions!K42</f>
        <v>44</v>
      </c>
      <c r="L7" s="4" t="n">
        <f aca="false">Assumptions!L42</f>
        <v>44</v>
      </c>
    </row>
    <row r="8" customFormat="false" ht="15" hidden="false" customHeight="false" outlineLevel="0" collapsed="false">
      <c r="A8" s="0" t="s">
        <v>43</v>
      </c>
      <c r="C8" s="0" t="n">
        <f aca="false">C6*C7/100</f>
        <v>15181.84</v>
      </c>
      <c r="D8" s="0" t="n">
        <f aca="false">D6*D7/100</f>
        <v>17692.9984</v>
      </c>
      <c r="E8" s="0" t="n">
        <f aca="false">E6*E7/100</f>
        <v>20404.39296</v>
      </c>
      <c r="F8" s="0" t="n">
        <f aca="false">F6*F7/100</f>
        <v>23286.5134656</v>
      </c>
      <c r="G8" s="0" t="n">
        <f aca="false">G6*G7/100</f>
        <v>25993.92135648</v>
      </c>
      <c r="H8" s="0" t="n">
        <f aca="false">H6*H7/100</f>
        <v>28733.9864782925</v>
      </c>
      <c r="I8" s="0" t="n">
        <f aca="false">I6*I7/100</f>
        <v>31098.7605378853</v>
      </c>
      <c r="J8" s="0" t="n">
        <f aca="false">J6*J7/100</f>
        <v>32964.6861701584</v>
      </c>
      <c r="K8" s="0" t="n">
        <f aca="false">K6*K7/100</f>
        <v>34612.9204786664</v>
      </c>
      <c r="L8" s="0" t="n">
        <f aca="false">L6*L7/100</f>
        <v>35997.437297813</v>
      </c>
    </row>
    <row r="9" customFormat="false" ht="15" hidden="false" customHeight="false" outlineLevel="0" collapsed="false">
      <c r="A9" s="0" t="s">
        <v>107</v>
      </c>
      <c r="C9" s="4" t="n">
        <f aca="false">Assumptions!C43</f>
        <v>4.5</v>
      </c>
      <c r="D9" s="4" t="n">
        <f aca="false">Assumptions!D43</f>
        <v>4.3</v>
      </c>
      <c r="E9" s="4" t="n">
        <f aca="false">Assumptions!E43</f>
        <v>4.1</v>
      </c>
      <c r="F9" s="4" t="n">
        <f aca="false">Assumptions!F43</f>
        <v>3.9</v>
      </c>
      <c r="G9" s="4" t="n">
        <f aca="false">Assumptions!G43</f>
        <v>3.7</v>
      </c>
      <c r="H9" s="4" t="n">
        <f aca="false">Assumptions!H43</f>
        <v>3.6</v>
      </c>
      <c r="I9" s="4" t="n">
        <f aca="false">Assumptions!I43</f>
        <v>3.5</v>
      </c>
      <c r="J9" s="4" t="n">
        <f aca="false">Assumptions!J43</f>
        <v>3.4</v>
      </c>
      <c r="K9" s="4" t="n">
        <f aca="false">Assumptions!K43</f>
        <v>3.3</v>
      </c>
      <c r="L9" s="4" t="n">
        <f aca="false">Assumptions!L43</f>
        <v>3.3</v>
      </c>
    </row>
    <row r="10" customFormat="false" ht="15" hidden="false" customHeight="false" outlineLevel="0" collapsed="false">
      <c r="A10" s="0" t="s">
        <v>122</v>
      </c>
      <c r="C10" s="0" t="n">
        <f aca="false">-C6*C9/100</f>
        <v>-1846.44</v>
      </c>
      <c r="D10" s="0" t="n">
        <f aca="false">-D6*D9/100</f>
        <v>-1976.10112</v>
      </c>
      <c r="E10" s="0" t="n">
        <f aca="false">-E6*E9/100</f>
        <v>-2091.4502784</v>
      </c>
      <c r="F10" s="0" t="n">
        <f aca="false">-F6*F9/100</f>
        <v>-2188.37114496</v>
      </c>
      <c r="G10" s="0" t="n">
        <f aca="false">-G6*G9/100</f>
        <v>-2263.0002122112</v>
      </c>
      <c r="H10" s="0" t="n">
        <f aca="false">-H6*H9/100</f>
        <v>-2377.98508785869</v>
      </c>
      <c r="I10" s="0" t="n">
        <f aca="false">-I6*I9/100</f>
        <v>-2473.76504278633</v>
      </c>
      <c r="J10" s="0" t="n">
        <f aca="false">-J6*J9/100</f>
        <v>-2547.2712040577</v>
      </c>
      <c r="K10" s="0" t="n">
        <f aca="false">-K6*K9/100</f>
        <v>-2595.96903589998</v>
      </c>
      <c r="L10" s="0" t="n">
        <f aca="false">-L6*L9/100</f>
        <v>-2699.80779733598</v>
      </c>
    </row>
    <row r="11" customFormat="false" ht="15" hidden="false" customHeight="false" outlineLevel="0" collapsed="false">
      <c r="A11" s="0" t="s">
        <v>123</v>
      </c>
      <c r="C11" s="0" t="n">
        <f aca="false">C8+C10+C24</f>
        <v>12925.08</v>
      </c>
      <c r="D11" s="0" t="n">
        <f aca="false">D8+D10+D24</f>
        <v>15257.33888</v>
      </c>
      <c r="E11" s="0" t="n">
        <f aca="false">E8+E10+E24</f>
        <v>17802.8328576</v>
      </c>
      <c r="F11" s="0" t="n">
        <f aca="false">F8+F10+F24</f>
        <v>20537.02151424</v>
      </c>
      <c r="G11" s="0" t="n">
        <f aca="false">G8+G10+G24</f>
        <v>23119.2994652928</v>
      </c>
      <c r="H11" s="0" t="n">
        <f aca="false">H8+H10+H24</f>
        <v>25695.4499771397</v>
      </c>
      <c r="I11" s="0" t="n">
        <f aca="false">I8+I10+I24</f>
        <v>27918.2054828743</v>
      </c>
      <c r="J11" s="0" t="n">
        <f aca="false">J8+J10+J24</f>
        <v>29668.2175531426</v>
      </c>
      <c r="K11" s="0" t="n">
        <f aca="false">K8+K10+K24</f>
        <v>31230.2941591603</v>
      </c>
      <c r="L11" s="0" t="n">
        <f aca="false">L8+L10+L24</f>
        <v>32479.5059255267</v>
      </c>
    </row>
    <row r="12" customFormat="false" ht="15" hidden="false" customHeight="false" outlineLevel="0" collapsed="false">
      <c r="A12" s="0" t="s">
        <v>124</v>
      </c>
      <c r="C12" s="4" t="n">
        <f aca="false">-C6*Assumptions!C45/100</f>
        <v>-1148.896</v>
      </c>
      <c r="D12" s="4" t="n">
        <f aca="false">-D6*Assumptions!D45/100</f>
        <v>-1286.76352</v>
      </c>
      <c r="E12" s="4" t="n">
        <f aca="false">-E6*Assumptions!E45/100</f>
        <v>-1428.3075072</v>
      </c>
      <c r="F12" s="4" t="n">
        <f aca="false">-F6*Assumptions!F45/100</f>
        <v>-1571.13825792</v>
      </c>
      <c r="G12" s="4" t="n">
        <f aca="false">-G6*Assumptions!G45/100</f>
        <v>-1712.5407011328</v>
      </c>
      <c r="H12" s="4" t="n">
        <f aca="false">-H6*Assumptions!H45/100</f>
        <v>-1849.54395722342</v>
      </c>
      <c r="I12" s="4" t="n">
        <f aca="false">-I6*Assumptions!I45/100</f>
        <v>-1979.01203422906</v>
      </c>
      <c r="J12" s="4" t="n">
        <f aca="false">-J6*Assumptions!J45/100</f>
        <v>-2097.75275628281</v>
      </c>
      <c r="K12" s="4" t="n">
        <f aca="false">-K6*Assumptions!K45/100</f>
        <v>-2202.64039409695</v>
      </c>
      <c r="L12" s="4" t="n">
        <f aca="false">-L6*Assumptions!L45/100</f>
        <v>-2290.74600986083</v>
      </c>
    </row>
    <row r="13" customFormat="false" ht="15" hidden="false" customHeight="false" outlineLevel="0" collapsed="false">
      <c r="A13" s="0" t="s">
        <v>125</v>
      </c>
      <c r="C13" s="0" t="n">
        <f aca="false">C11+C12</f>
        <v>11776.184</v>
      </c>
      <c r="D13" s="0" t="n">
        <f aca="false">D11+D12</f>
        <v>13970.57536</v>
      </c>
      <c r="E13" s="0" t="n">
        <f aca="false">E11+E12</f>
        <v>16374.5253504</v>
      </c>
      <c r="F13" s="0" t="n">
        <f aca="false">F11+F12</f>
        <v>18965.88325632</v>
      </c>
      <c r="G13" s="0" t="n">
        <f aca="false">G11+G12</f>
        <v>21406.75876416</v>
      </c>
      <c r="H13" s="0" t="n">
        <f aca="false">H11+H12</f>
        <v>23845.9060199163</v>
      </c>
      <c r="I13" s="0" t="n">
        <f aca="false">I11+I12</f>
        <v>25939.1934486452</v>
      </c>
      <c r="J13" s="0" t="n">
        <f aca="false">J11+J12</f>
        <v>27570.4647968598</v>
      </c>
      <c r="K13" s="0" t="n">
        <f aca="false">K11+K12</f>
        <v>29027.6537650634</v>
      </c>
      <c r="L13" s="0" t="n">
        <f aca="false">L11+L12</f>
        <v>30188.7599156659</v>
      </c>
    </row>
    <row r="14" customFormat="false" ht="15" hidden="false" customHeight="false" outlineLevel="0" collapsed="false">
      <c r="A14" s="0" t="s">
        <v>111</v>
      </c>
      <c r="C14" s="4" t="n">
        <f aca="false">Assumptions!C47</f>
        <v>27</v>
      </c>
      <c r="D14" s="4" t="n">
        <f aca="false">Assumptions!D47</f>
        <v>27</v>
      </c>
      <c r="E14" s="4" t="n">
        <f aca="false">Assumptions!E47</f>
        <v>27</v>
      </c>
      <c r="F14" s="4" t="n">
        <f aca="false">Assumptions!F47</f>
        <v>27</v>
      </c>
      <c r="G14" s="4" t="n">
        <f aca="false">Assumptions!G47</f>
        <v>27</v>
      </c>
      <c r="H14" s="4" t="n">
        <f aca="false">Assumptions!H47</f>
        <v>27</v>
      </c>
      <c r="I14" s="4" t="n">
        <f aca="false">Assumptions!I47</f>
        <v>27</v>
      </c>
      <c r="J14" s="4" t="n">
        <f aca="false">Assumptions!J47</f>
        <v>27</v>
      </c>
      <c r="K14" s="4" t="n">
        <f aca="false">Assumptions!K47</f>
        <v>27</v>
      </c>
      <c r="L14" s="4" t="n">
        <f aca="false">Assumptions!L47</f>
        <v>27</v>
      </c>
    </row>
    <row r="15" customFormat="false" ht="15" hidden="false" customHeight="false" outlineLevel="0" collapsed="false">
      <c r="A15" s="0" t="s">
        <v>126</v>
      </c>
      <c r="C15" s="0" t="n">
        <f aca="false">C13-MAX(0,C13)*C14/100</f>
        <v>8596.61432</v>
      </c>
      <c r="D15" s="0" t="n">
        <f aca="false">D13-MAX(0,D13)*D14/100</f>
        <v>10198.5200128</v>
      </c>
      <c r="E15" s="0" t="n">
        <f aca="false">E13-MAX(0,E13)*E14/100</f>
        <v>11953.403505792</v>
      </c>
      <c r="F15" s="0" t="n">
        <f aca="false">F13-MAX(0,F13)*F14/100</f>
        <v>13845.0947771136</v>
      </c>
      <c r="G15" s="0" t="n">
        <f aca="false">G13-MAX(0,G13)*G14/100</f>
        <v>15626.9338978368</v>
      </c>
      <c r="H15" s="0" t="n">
        <f aca="false">H13-MAX(0,H13)*H14/100</f>
        <v>17407.5113945389</v>
      </c>
      <c r="I15" s="0" t="n">
        <f aca="false">I13-MAX(0,I13)*I14/100</f>
        <v>18935.611217511</v>
      </c>
      <c r="J15" s="0" t="n">
        <f aca="false">J13-MAX(0,J13)*J14/100</f>
        <v>20126.4393017076</v>
      </c>
      <c r="K15" s="0" t="n">
        <f aca="false">K13-MAX(0,K13)*K14/100</f>
        <v>21190.1872484963</v>
      </c>
      <c r="L15" s="0" t="n">
        <f aca="false">L13-MAX(0,L13)*L14/100</f>
        <v>22037.7947384361</v>
      </c>
    </row>
    <row r="16" customFormat="false" ht="15" hidden="false" customHeight="false" outlineLevel="0" collapsed="false">
      <c r="A16" s="0" t="s">
        <v>127</v>
      </c>
      <c r="C16" s="0" t="n">
        <f aca="false">-C12</f>
        <v>1148.896</v>
      </c>
      <c r="D16" s="0" t="n">
        <f aca="false">-D12</f>
        <v>1286.76352</v>
      </c>
      <c r="E16" s="0" t="n">
        <f aca="false">-E12</f>
        <v>1428.3075072</v>
      </c>
      <c r="F16" s="0" t="n">
        <f aca="false">-F12</f>
        <v>1571.13825792</v>
      </c>
      <c r="G16" s="0" t="n">
        <f aca="false">-G12</f>
        <v>1712.5407011328</v>
      </c>
      <c r="H16" s="0" t="n">
        <f aca="false">-H12</f>
        <v>1849.54395722342</v>
      </c>
      <c r="I16" s="0" t="n">
        <f aca="false">-I12</f>
        <v>1979.01203422906</v>
      </c>
      <c r="J16" s="0" t="n">
        <f aca="false">-J12</f>
        <v>2097.75275628281</v>
      </c>
      <c r="K16" s="0" t="n">
        <f aca="false">-K12</f>
        <v>2202.64039409695</v>
      </c>
      <c r="L16" s="0" t="n">
        <f aca="false">-L12</f>
        <v>2290.74600986083</v>
      </c>
    </row>
    <row r="17" customFormat="false" ht="15" hidden="false" customHeight="false" outlineLevel="0" collapsed="false">
      <c r="A17" s="0" t="s">
        <v>128</v>
      </c>
      <c r="C17" s="4" t="n">
        <f aca="false">-C6*Assumptions!C46/100</f>
        <v>-820.64</v>
      </c>
      <c r="D17" s="4" t="n">
        <f aca="false">-D6*Assumptions!D46/100</f>
        <v>-919.1168</v>
      </c>
      <c r="E17" s="4" t="n">
        <f aca="false">-E6*Assumptions!E46/100</f>
        <v>-1020.219648</v>
      </c>
      <c r="F17" s="4" t="n">
        <f aca="false">-F6*Assumptions!F46/100</f>
        <v>-1122.2416128</v>
      </c>
      <c r="G17" s="4" t="n">
        <f aca="false">-G6*Assumptions!G46/100</f>
        <v>-1223.243357952</v>
      </c>
      <c r="H17" s="4" t="n">
        <f aca="false">-H6*Assumptions!H46/100</f>
        <v>-1321.10282658816</v>
      </c>
      <c r="I17" s="4" t="n">
        <f aca="false">-I6*Assumptions!I46/100</f>
        <v>-1413.58002444933</v>
      </c>
      <c r="J17" s="4" t="n">
        <f aca="false">-J6*Assumptions!J46/100</f>
        <v>-1498.39482591629</v>
      </c>
      <c r="K17" s="4" t="n">
        <f aca="false">-K6*Assumptions!K46/100</f>
        <v>-1573.31456721211</v>
      </c>
      <c r="L17" s="4" t="n">
        <f aca="false">-L6*Assumptions!L46/100</f>
        <v>-1636.24714990059</v>
      </c>
    </row>
    <row r="18" customFormat="false" ht="15" hidden="false" customHeight="false" outlineLevel="0" collapsed="false">
      <c r="A18" s="0" t="s">
        <v>129</v>
      </c>
      <c r="C18" s="4" t="n">
        <f aca="false">(C6-B6)*Assumptions!$B$51/100</f>
        <v>634.8</v>
      </c>
      <c r="D18" s="4" t="n">
        <f aca="false">(D6-C6)*Assumptions!$B$51/100</f>
        <v>738.576000000001</v>
      </c>
      <c r="E18" s="4" t="n">
        <f aca="false">(E6-D6)*Assumptions!$B$51/100</f>
        <v>758.271360000001</v>
      </c>
      <c r="F18" s="4" t="n">
        <f aca="false">(F6-E6)*Assumptions!$B$51/100</f>
        <v>765.164736000001</v>
      </c>
      <c r="G18" s="4" t="n">
        <f aca="false">(G6-F6)*Assumptions!$B$51/100</f>
        <v>757.513088640001</v>
      </c>
      <c r="H18" s="4" t="n">
        <f aca="false">(H6-G6)*Assumptions!$B$51/100</f>
        <v>733.946014771201</v>
      </c>
      <c r="I18" s="4" t="n">
        <f aca="false">(I6-H6)*Assumptions!$B$51/100</f>
        <v>693.578983958786</v>
      </c>
      <c r="J18" s="4" t="n">
        <f aca="false">(J6-I6)*Assumptions!$B$51/100</f>
        <v>636.1110110022</v>
      </c>
      <c r="K18" s="4" t="n">
        <f aca="false">(K6-J6)*Assumptions!$B$51/100</f>
        <v>561.898059718611</v>
      </c>
      <c r="L18" s="4" t="n">
        <f aca="false">(L6-K6)*Assumptions!$B$51/100</f>
        <v>471.994370163633</v>
      </c>
    </row>
    <row r="19" customFormat="false" ht="15" hidden="false" customHeight="false" outlineLevel="0" collapsed="false">
      <c r="A19" s="0" t="s">
        <v>130</v>
      </c>
      <c r="C19" s="0" t="n">
        <f aca="false">C15+C16+C17+C18</f>
        <v>9559.67032</v>
      </c>
      <c r="D19" s="0" t="n">
        <f aca="false">D15+D16+D17+D18</f>
        <v>11304.7427328</v>
      </c>
      <c r="E19" s="0" t="n">
        <f aca="false">E15+E16+E17+E18</f>
        <v>13119.762724992</v>
      </c>
      <c r="F19" s="0" t="n">
        <f aca="false">F15+F16+F17+F18</f>
        <v>15059.1561582336</v>
      </c>
      <c r="G19" s="0" t="n">
        <f aca="false">G15+G16+G17+G18</f>
        <v>16873.7443296576</v>
      </c>
      <c r="H19" s="0" t="n">
        <f aca="false">H15+H16+H17+H18</f>
        <v>18669.8985399454</v>
      </c>
      <c r="I19" s="0" t="n">
        <f aca="false">I15+I16+I17+I18</f>
        <v>20194.6222112495</v>
      </c>
      <c r="J19" s="0" t="n">
        <f aca="false">J15+J16+J17+J18</f>
        <v>21361.9082430764</v>
      </c>
      <c r="K19" s="0" t="n">
        <f aca="false">K15+K16+K17+K18</f>
        <v>22381.4111350997</v>
      </c>
      <c r="L19" s="0" t="n">
        <f aca="false">L15+L16+L17+L18</f>
        <v>23164.28796856</v>
      </c>
    </row>
    <row r="20" customFormat="false" ht="15" hidden="false" customHeight="false" outlineLevel="0" collapsed="false">
      <c r="A20" s="0" t="s">
        <v>131</v>
      </c>
      <c r="C20" s="0" t="n">
        <f aca="false">1/(1+$B$27/100)^C4</f>
        <v>0.921658986175115</v>
      </c>
      <c r="D20" s="0" t="n">
        <f aca="false">1/(1+$B$27/100)^D4</f>
        <v>0.849455286797341</v>
      </c>
      <c r="E20" s="0" t="n">
        <f aca="false">1/(1+$B$27/100)^E4</f>
        <v>0.782908098430729</v>
      </c>
      <c r="F20" s="0" t="n">
        <f aca="false">1/(1+$B$27/100)^F4</f>
        <v>0.721574284267953</v>
      </c>
      <c r="G20" s="0" t="n">
        <f aca="false">1/(1+$B$27/100)^G4</f>
        <v>0.665045423288436</v>
      </c>
      <c r="H20" s="0" t="n">
        <f aca="false">1/(1+$B$27/100)^H4</f>
        <v>0.612945090588421</v>
      </c>
      <c r="I20" s="0" t="n">
        <f aca="false">1/(1+$B$27/100)^I4</f>
        <v>0.564926350772738</v>
      </c>
      <c r="J20" s="0" t="n">
        <f aca="false">1/(1+$B$27/100)^J4</f>
        <v>0.520669447716809</v>
      </c>
      <c r="K20" s="0" t="n">
        <f aca="false">1/(1+$B$27/100)^K4</f>
        <v>0.479879675315031</v>
      </c>
      <c r="L20" s="0" t="n">
        <f aca="false">1/(1+$B$27/100)^L4</f>
        <v>0.442285415036895</v>
      </c>
    </row>
    <row r="21" customFormat="false" ht="15" hidden="false" customHeight="false" outlineLevel="0" collapsed="false">
      <c r="A21" s="0" t="s">
        <v>132</v>
      </c>
      <c r="C21" s="0" t="n">
        <f aca="false">C19*C20</f>
        <v>8810.75605529954</v>
      </c>
      <c r="D21" s="0" t="n">
        <f aca="false">D19*D20</f>
        <v>9602.87348026079</v>
      </c>
      <c r="E21" s="0" t="n">
        <f aca="false">E19*E20</f>
        <v>10271.5684868859</v>
      </c>
      <c r="F21" s="0" t="n">
        <f aca="false">F19*F20</f>
        <v>10866.2998265568</v>
      </c>
      <c r="G21" s="0" t="n">
        <f aca="false">G19*G20</f>
        <v>11221.806440178</v>
      </c>
      <c r="H21" s="0" t="n">
        <f aca="false">H19*H20</f>
        <v>11443.6226518434</v>
      </c>
      <c r="I21" s="0" t="n">
        <f aca="false">I19*I20</f>
        <v>11408.4742310353</v>
      </c>
      <c r="J21" s="0" t="n">
        <f aca="false">J19*J20</f>
        <v>11122.4929670997</v>
      </c>
      <c r="K21" s="0" t="n">
        <f aca="false">K19*K20</f>
        <v>10740.3843086039</v>
      </c>
      <c r="L21" s="0" t="n">
        <f aca="false">L19*L20</f>
        <v>10245.2267182087</v>
      </c>
    </row>
    <row r="23" customFormat="false" ht="15" hidden="false" customHeight="false" outlineLevel="0" collapsed="false">
      <c r="A23" s="0" t="s">
        <v>108</v>
      </c>
      <c r="C23" s="4" t="n">
        <f aca="false">Assumptions!C44</f>
        <v>1</v>
      </c>
      <c r="D23" s="4" t="n">
        <f aca="false">Assumptions!D44</f>
        <v>1</v>
      </c>
      <c r="E23" s="4" t="n">
        <f aca="false">Assumptions!E44</f>
        <v>1</v>
      </c>
      <c r="F23" s="4" t="n">
        <f aca="false">Assumptions!F44</f>
        <v>1</v>
      </c>
      <c r="G23" s="4" t="n">
        <f aca="false">Assumptions!G44</f>
        <v>1</v>
      </c>
      <c r="H23" s="4" t="n">
        <f aca="false">Assumptions!H44</f>
        <v>1</v>
      </c>
      <c r="I23" s="4" t="n">
        <f aca="false">Assumptions!I44</f>
        <v>1</v>
      </c>
      <c r="J23" s="4" t="n">
        <f aca="false">Assumptions!J44</f>
        <v>1</v>
      </c>
      <c r="K23" s="4" t="n">
        <f aca="false">Assumptions!K44</f>
        <v>1</v>
      </c>
      <c r="L23" s="4" t="n">
        <f aca="false">Assumptions!L44</f>
        <v>1</v>
      </c>
    </row>
    <row r="24" customFormat="false" ht="15" hidden="false" customHeight="false" outlineLevel="0" collapsed="false">
      <c r="A24" s="0" t="s">
        <v>133</v>
      </c>
      <c r="C24" s="0" t="n">
        <f aca="false">-C6*C23/100</f>
        <v>-410.32</v>
      </c>
      <c r="D24" s="0" t="n">
        <f aca="false">-D6*D23/100</f>
        <v>-459.5584</v>
      </c>
      <c r="E24" s="0" t="n">
        <f aca="false">-E6*E23/100</f>
        <v>-510.109824</v>
      </c>
      <c r="F24" s="0" t="n">
        <f aca="false">-F6*F23/100</f>
        <v>-561.1208064</v>
      </c>
      <c r="G24" s="0" t="n">
        <f aca="false">-G6*G23/100</f>
        <v>-611.621678976</v>
      </c>
      <c r="H24" s="0" t="n">
        <f aca="false">-H6*H23/100</f>
        <v>-660.55141329408</v>
      </c>
      <c r="I24" s="0" t="n">
        <f aca="false">-I6*I23/100</f>
        <v>-706.790012224666</v>
      </c>
      <c r="J24" s="0" t="n">
        <f aca="false">-J6*J23/100</f>
        <v>-749.197412958146</v>
      </c>
      <c r="K24" s="0" t="n">
        <f aca="false">-K6*K23/100</f>
        <v>-786.657283606053</v>
      </c>
      <c r="L24" s="0" t="n">
        <f aca="false">-L6*L23/100</f>
        <v>-818.123574950296</v>
      </c>
    </row>
    <row r="26" customFormat="false" ht="15" hidden="false" customHeight="false" outlineLevel="0" collapsed="false">
      <c r="A26" s="2" t="s">
        <v>134</v>
      </c>
    </row>
    <row r="27" customFormat="false" ht="15" hidden="false" customHeight="false" outlineLevel="0" collapsed="false">
      <c r="A27" s="0" t="s">
        <v>112</v>
      </c>
      <c r="B27" s="4" t="n">
        <f aca="false">Assumptions!$B$48</f>
        <v>8.5</v>
      </c>
    </row>
    <row r="28" customFormat="false" ht="15" hidden="false" customHeight="false" outlineLevel="0" collapsed="false">
      <c r="A28" s="0" t="s">
        <v>113</v>
      </c>
      <c r="B28" s="4" t="n">
        <f aca="false">Assumptions!$B$49</f>
        <v>3</v>
      </c>
    </row>
    <row r="29" customFormat="false" ht="15" hidden="false" customHeight="false" outlineLevel="0" collapsed="false">
      <c r="A29" s="0" t="s">
        <v>114</v>
      </c>
      <c r="B29" s="4" t="n">
        <f aca="false">Assumptions!$B$50</f>
        <v>20</v>
      </c>
    </row>
    <row r="30" customFormat="false" ht="15" hidden="false" customHeight="false" outlineLevel="0" collapsed="false">
      <c r="A30" s="0" t="s">
        <v>135</v>
      </c>
      <c r="B30" s="0" t="n">
        <f aca="false">SUM(C21:L21)</f>
        <v>105733.505165972</v>
      </c>
    </row>
    <row r="31" customFormat="false" ht="15" hidden="false" customHeight="false" outlineLevel="0" collapsed="false">
      <c r="A31" s="0" t="s">
        <v>136</v>
      </c>
      <c r="B31" s="0" t="n">
        <f aca="false">L19</f>
        <v>23164.28796856</v>
      </c>
    </row>
    <row r="32" customFormat="false" ht="15" hidden="false" customHeight="false" outlineLevel="0" collapsed="false">
      <c r="A32" s="0" t="s">
        <v>137</v>
      </c>
      <c r="B32" s="0" t="n">
        <f aca="false">IF(B27&gt;B28,B31*(1+B28/100)/((B27-B28)/100),B31*B29)</f>
        <v>433803.938320305</v>
      </c>
    </row>
    <row r="33" customFormat="false" ht="15" hidden="false" customHeight="false" outlineLevel="0" collapsed="false">
      <c r="A33" s="0" t="s">
        <v>138</v>
      </c>
      <c r="B33" s="0" t="n">
        <f aca="false">B31*B29</f>
        <v>463285.7593712</v>
      </c>
    </row>
    <row r="34" customFormat="false" ht="15" hidden="false" customHeight="false" outlineLevel="0" collapsed="false">
      <c r="A34" s="0" t="s">
        <v>139</v>
      </c>
      <c r="B34" s="0" t="n">
        <f aca="false">MAX(0,MIN(B32,B33))</f>
        <v>433803.938320305</v>
      </c>
    </row>
    <row r="35" customFormat="false" ht="15" hidden="false" customHeight="false" outlineLevel="0" collapsed="false">
      <c r="A35" s="0" t="s">
        <v>140</v>
      </c>
      <c r="B35" s="0" t="n">
        <f aca="false">B34/(1+B27/100)^L4</f>
        <v>191865.154904636</v>
      </c>
    </row>
    <row r="36" customFormat="false" ht="15" hidden="false" customHeight="false" outlineLevel="0" collapsed="false">
      <c r="A36" s="0" t="s">
        <v>141</v>
      </c>
      <c r="B36" s="0" t="n">
        <f aca="false">B30+B35</f>
        <v>297598.660070608</v>
      </c>
    </row>
    <row r="37" customFormat="false" ht="15" hidden="false" customHeight="false" outlineLevel="0" collapsed="false">
      <c r="A37" s="0" t="s">
        <v>142</v>
      </c>
      <c r="B37" s="0" t="n">
        <f aca="false">B36+Assumptions!$B$5-Assumptions!$B$4</f>
        <v>298903.660070608</v>
      </c>
    </row>
    <row r="38" customFormat="false" ht="15" hidden="false" customHeight="false" outlineLevel="0" collapsed="false">
      <c r="A38" s="0" t="s">
        <v>143</v>
      </c>
      <c r="B38" s="0" t="n">
        <f aca="false">B37/Assumptions!$B$3*Assumptions!$B$10</f>
        <v>254.386093677113</v>
      </c>
    </row>
    <row r="39" customFormat="false" ht="15" hidden="false" customHeight="false" outlineLevel="0" collapsed="false">
      <c r="A39" s="0" t="s">
        <v>144</v>
      </c>
      <c r="B39" s="4" t="n">
        <f aca="false">B38/Assumptions!$B$2-1</f>
        <v>0.186502302598475</v>
      </c>
    </row>
    <row r="41" customFormat="false" ht="15" hidden="false" customHeight="false" outlineLevel="0" collapsed="false">
      <c r="A41" s="0" t="s">
        <v>145</v>
      </c>
      <c r="B41" s="0" t="n">
        <f aca="false">SUMPRODUCT(-C10:L10/(1+$B$27/100)^C4:L4)</f>
        <v>14723.0752237846</v>
      </c>
    </row>
    <row r="42" customFormat="false" ht="15" hidden="false" customHeight="false" outlineLevel="0" collapsed="false">
      <c r="A42" s="0" t="s">
        <v>146</v>
      </c>
      <c r="B42" s="0" t="n">
        <f aca="false">IF(B27&gt;B28,-L10*(1+B28/100)/((B27-B28)/100),-L10*20)/(1+B27/100)^L4</f>
        <v>22361.9669187187</v>
      </c>
    </row>
    <row r="43" customFormat="false" ht="15" hidden="false" customHeight="false" outlineLevel="0" collapsed="false">
      <c r="A43" s="0" t="s">
        <v>147</v>
      </c>
      <c r="B43" s="0" t="n">
        <f aca="false">(B37+B41+B42)/Assumptions!$B$3*Assumptions!$B$10</f>
        <v>285.947831670733</v>
      </c>
    </row>
    <row r="45" customFormat="false" ht="15" hidden="false" customHeight="false" outlineLevel="0" collapsed="false">
      <c r="A45" s="0" t="s">
        <v>88</v>
      </c>
      <c r="B45" s="4" t="n">
        <f aca="false">Assumptions!$B$6</f>
        <v>15</v>
      </c>
    </row>
    <row r="46" customFormat="false" ht="15" hidden="false" customHeight="false" outlineLevel="0" collapsed="false">
      <c r="A46" s="0" t="s">
        <v>148</v>
      </c>
      <c r="B46" s="0" t="n">
        <f aca="false">MAX(0,MIN(IF(B45&gt;B28,B31*(1+B28/100)/((B45-B28)/100),B31*B29),B31*B29))</f>
        <v>198826.805063473</v>
      </c>
    </row>
    <row r="47" customFormat="false" ht="15" hidden="false" customHeight="false" outlineLevel="0" collapsed="false">
      <c r="A47" s="0" t="s">
        <v>149</v>
      </c>
      <c r="B47" s="0" t="n">
        <f aca="false">(SUMPRODUCT(C19:L19/(1+B45/100)^C4:L4)+B46/(1+B45/100)^L4+Assumptions!$B$5-Assumptions!$B$4)/Assumptions!$B$3*Assumptions!$B$10</f>
        <v>108.658076140489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152</v>
      </c>
    </row>
    <row r="3" customFormat="false" ht="15" hidden="false" customHeight="false" outlineLevel="0" collapsed="false">
      <c r="A3" s="2" t="s">
        <v>153</v>
      </c>
      <c r="B3" s="2" t="s">
        <v>154</v>
      </c>
      <c r="C3" s="2" t="s">
        <v>144</v>
      </c>
      <c r="D3" s="2" t="s">
        <v>155</v>
      </c>
      <c r="E3" s="2" t="s">
        <v>147</v>
      </c>
      <c r="F3" s="2" t="s">
        <v>156</v>
      </c>
    </row>
    <row r="4" customFormat="false" ht="15" hidden="false" customHeight="false" outlineLevel="0" collapsed="false">
      <c r="A4" s="0" t="s">
        <v>157</v>
      </c>
      <c r="B4" s="4" t="n">
        <f aca="false">DCF_Bear!$B$38</f>
        <v>127.070298678572</v>
      </c>
      <c r="C4" s="0" t="n">
        <f aca="false">B4/Assumptions!$B$2-1</f>
        <v>-0.407321368103673</v>
      </c>
      <c r="D4" s="4" t="n">
        <f aca="false">Assumptions!$B$24</f>
        <v>0.2</v>
      </c>
      <c r="E4" s="4" t="n">
        <f aca="false">DCF_Bear!$B$43</f>
        <v>154.359183919242</v>
      </c>
      <c r="F4" s="4" t="n">
        <f aca="false">DCF_Bear!$B$47</f>
        <v>64.4749843925871</v>
      </c>
    </row>
    <row r="5" customFormat="false" ht="15" hidden="false" customHeight="false" outlineLevel="0" collapsed="false">
      <c r="A5" s="0" t="s">
        <v>158</v>
      </c>
      <c r="B5" s="4" t="n">
        <f aca="false">DCF_Base!$B$38</f>
        <v>191.815772853767</v>
      </c>
      <c r="C5" s="0" t="n">
        <f aca="false">B5/Assumptions!$B$2-1</f>
        <v>-0.105336880346238</v>
      </c>
      <c r="D5" s="4" t="n">
        <f aca="false">Assumptions!$B$38</f>
        <v>0.5</v>
      </c>
      <c r="E5" s="4" t="n">
        <f aca="false">DCF_Base!$B$43</f>
        <v>220.446650335858</v>
      </c>
      <c r="F5" s="4" t="n">
        <f aca="false">DCF_Base!$B$47</f>
        <v>87.4099974162415</v>
      </c>
    </row>
    <row r="6" customFormat="false" ht="15" hidden="false" customHeight="false" outlineLevel="0" collapsed="false">
      <c r="A6" s="0" t="s">
        <v>159</v>
      </c>
      <c r="B6" s="4" t="n">
        <f aca="false">DCF_Bull!$B$38</f>
        <v>254.386093677113</v>
      </c>
      <c r="C6" s="0" t="n">
        <f aca="false">B6/Assumptions!$B$2-1</f>
        <v>0.186502302598475</v>
      </c>
      <c r="D6" s="4" t="n">
        <f aca="false">Assumptions!$B$52</f>
        <v>0.3</v>
      </c>
      <c r="E6" s="4" t="n">
        <f aca="false">DCF_Bull!$B$43</f>
        <v>285.947831670733</v>
      </c>
      <c r="F6" s="4" t="n">
        <f aca="false">DCF_Bull!$B$47</f>
        <v>108.658076140489</v>
      </c>
    </row>
    <row r="8" customFormat="false" ht="15" hidden="false" customHeight="false" outlineLevel="0" collapsed="false">
      <c r="A8" s="0" t="s">
        <v>160</v>
      </c>
      <c r="B8" s="0" t="n">
        <f aca="false">SUMPRODUCT(B4:B6,D4:D6)</f>
        <v>197.637774265732</v>
      </c>
    </row>
    <row r="9" customFormat="false" ht="15" hidden="false" customHeight="false" outlineLevel="0" collapsed="false">
      <c r="A9" s="0" t="s">
        <v>161</v>
      </c>
      <c r="B9" s="0" t="n">
        <f aca="false">SUMPRODUCT(E4:E6,D4:D6)</f>
        <v>226.879511452997</v>
      </c>
    </row>
    <row r="10" customFormat="false" ht="15" hidden="false" customHeight="false" outlineLevel="0" collapsed="false">
      <c r="A10" s="0" t="s">
        <v>162</v>
      </c>
      <c r="B10" s="0" t="n">
        <f aca="false">1-Assumptions!$B$2/B8</f>
        <v>-0.0848128643248676</v>
      </c>
    </row>
    <row r="11" customFormat="false" ht="15" hidden="false" customHeight="false" outlineLevel="0" collapsed="false">
      <c r="A11" s="0" t="s">
        <v>163</v>
      </c>
      <c r="B11" s="0" t="n">
        <f aca="false">IF(ABS(B9-B8)&gt;0.01*ABS(B8),(Assumptions!$B$2-B8)/(B9-B8)*100,"n/a")</f>
        <v>57.3229477678502</v>
      </c>
    </row>
    <row r="12" customFormat="false" ht="15" hidden="false" customHeight="false" outlineLevel="0" collapsed="false">
      <c r="A12" s="0" t="s">
        <v>164</v>
      </c>
      <c r="B12" s="0" t="n">
        <f aca="false">SUMPRODUCT(F4:F6,D4:D6)</f>
        <v>89.1974184287849</v>
      </c>
    </row>
    <row r="14" customFormat="false" ht="15" hidden="false" customHeight="false" outlineLevel="0" collapsed="false">
      <c r="A14" s="2" t="s">
        <v>165</v>
      </c>
      <c r="C14" s="0" t="s">
        <v>166</v>
      </c>
    </row>
    <row r="15" customFormat="false" ht="15" hidden="false" customHeight="false" outlineLevel="0" collapsed="false">
      <c r="A15" s="0" t="s">
        <v>167</v>
      </c>
      <c r="B15" s="0" t="n">
        <f aca="false">(SUMPRODUCT(DCF_Base!$C$19:$L$19/(1+$C$15/100)^DCF_Base!$C$4:$L$4)+MAX(0,MIN(IF($C$15&gt;DCF_Base!$B$28,DCF_Base!$L$19*(1+DCF_Base!$B$28/100)/(($C$15-DCF_Base!$B$28)/100),DCF_Base!$L$19*DCF_Base!$B$29),DCF_Base!$L$19*DCF_Base!$B$29))/(1+$C$15/100)^DCF_Base!$L$4+Assumptions!$B$5-Assumptions!$B$4)/Assumptions!$B$3*Assumptions!$B$10</f>
        <v>191.815772853767</v>
      </c>
      <c r="C15" s="3" t="n">
        <v>8.5</v>
      </c>
    </row>
    <row r="16" customFormat="false" ht="15" hidden="false" customHeight="false" outlineLevel="0" collapsed="false">
      <c r="A16" s="0" t="s">
        <v>168</v>
      </c>
      <c r="B16" s="0" t="n">
        <f aca="false">(SUMPRODUCT(DCF_Base!$C$19:$L$19/(1+$C$16/100)^DCF_Base!$C$4:$L$4)+MAX(0,MIN(IF($C$16&gt;DCF_Base!$B$28,DCF_Base!$L$19*(1+DCF_Base!$B$28/100)/(($C$16-DCF_Base!$B$28)/100),DCF_Base!$L$19*DCF_Base!$B$29),DCF_Base!$L$19*DCF_Base!$B$29))/(1+$C$16/100)^DCF_Base!$L$4+Assumptions!$B$5-Assumptions!$B$4)/Assumptions!$B$3*Assumptions!$B$10</f>
        <v>176.248060799489</v>
      </c>
      <c r="C16" s="3" t="n">
        <v>9</v>
      </c>
    </row>
    <row r="17" customFormat="false" ht="15" hidden="false" customHeight="false" outlineLevel="0" collapsed="false">
      <c r="A17" s="0" t="s">
        <v>169</v>
      </c>
      <c r="B17" s="0" t="n">
        <f aca="false">(SUMPRODUCT(DCF_Base!$C$19:$L$19/(1+$C$17/100)^DCF_Base!$C$4:$L$4)+MAX(0,MIN(IF($C$17&gt;DCF_Base!$B$28,DCF_Base!$L$19*(1+DCF_Base!$B$28/100)/(($C$17-DCF_Base!$B$28)/100),DCF_Base!$L$19*DCF_Base!$B$29),DCF_Base!$L$19*DCF_Base!$B$29))/(1+$C$17/100)^DCF_Base!$L$4+Assumptions!$B$5-Assumptions!$B$4)/Assumptions!$B$3*Assumptions!$B$10</f>
        <v>151.399122973161</v>
      </c>
      <c r="C17" s="3" t="n">
        <v>10</v>
      </c>
    </row>
    <row r="18" customFormat="false" ht="15" hidden="false" customHeight="false" outlineLevel="0" collapsed="false">
      <c r="A18" s="0" t="s">
        <v>170</v>
      </c>
      <c r="B18" s="0" t="n">
        <f aca="false">(SUMPRODUCT(DCF_Base!$C$19:$L$19/(1+$C$18/100)^DCF_Base!$C$4:$L$4)+MAX(0,MIN(IF($C$18&gt;DCF_Base!$B$28,DCF_Base!$L$19*(1+DCF_Base!$B$28/100)/(($C$18-DCF_Base!$B$28)/100),DCF_Base!$L$19*DCF_Base!$B$29),DCF_Base!$L$19*DCF_Base!$B$29))/(1+$C$18/100)^DCF_Base!$L$4+Assumptions!$B$5-Assumptions!$B$4)/Assumptions!$B$3*Assumptions!$B$10</f>
        <v>132.463016985296</v>
      </c>
      <c r="C18" s="3" t="n">
        <v>11</v>
      </c>
    </row>
    <row r="19" customFormat="false" ht="15" hidden="false" customHeight="false" outlineLevel="0" collapsed="false">
      <c r="A19" s="0" t="s">
        <v>171</v>
      </c>
      <c r="B19" s="0" t="n">
        <f aca="false">(SUMPRODUCT(DCF_Base!$C$19:$L$19/(1+$C$19/100)^DCF_Base!$C$4:$L$4)+MAX(0,MIN(IF($C$19&gt;DCF_Base!$B$28,DCF_Base!$L$19*(1+DCF_Base!$B$28/100)/(($C$19-DCF_Base!$B$28)/100),DCF_Base!$L$19*DCF_Base!$B$29),DCF_Base!$L$19*DCF_Base!$B$29))/(1+$C$19/100)^DCF_Base!$L$4+Assumptions!$B$5-Assumptions!$B$4)/Assumptions!$B$3*Assumptions!$B$10</f>
        <v>117.568674798097</v>
      </c>
      <c r="C19" s="3" t="n">
        <v>12</v>
      </c>
    </row>
    <row r="20" customFormat="false" ht="15" hidden="false" customHeight="false" outlineLevel="0" collapsed="false">
      <c r="A20" s="0" t="s">
        <v>172</v>
      </c>
      <c r="B20" s="0" t="n">
        <f aca="false">(SUMPRODUCT(DCF_Base!$C$19:$L$19/(1+$C$20/100)^DCF_Base!$C$4:$L$4)+MAX(0,MIN(IF($C$20&gt;DCF_Base!$B$28,DCF_Base!$L$19*(1+DCF_Base!$B$28/100)/(($C$20-DCF_Base!$B$28)/100),DCF_Base!$L$19*DCF_Base!$B$29),DCF_Base!$L$19*DCF_Base!$B$29))/(1+$C$20/100)^DCF_Base!$L$4+Assumptions!$B$5-Assumptions!$B$4)/Assumptions!$B$3*Assumptions!$B$10</f>
        <v>87.4099974162415</v>
      </c>
      <c r="C20" s="3" t="n">
        <v>15</v>
      </c>
    </row>
    <row r="22" customFormat="false" ht="15" hidden="false" customHeight="false" outlineLevel="0" collapsed="false">
      <c r="A22" s="2" t="s">
        <v>173</v>
      </c>
    </row>
    <row r="23" customFormat="false" ht="15" hidden="false" customHeight="false" outlineLevel="0" collapsed="false">
      <c r="B23" s="3" t="n">
        <v>1.5</v>
      </c>
      <c r="C23" s="3" t="n">
        <v>2</v>
      </c>
      <c r="D23" s="3" t="n">
        <v>2.5</v>
      </c>
      <c r="E23" s="3" t="n">
        <v>3</v>
      </c>
      <c r="F23" s="3" t="n">
        <v>3.5</v>
      </c>
    </row>
    <row r="24" customFormat="false" ht="15" hidden="false" customHeight="false" outlineLevel="0" collapsed="false">
      <c r="A24" s="3" t="n">
        <v>6.5</v>
      </c>
      <c r="B24" s="0" t="n">
        <f aca="false">(SUMPRODUCT(DCF_Base!$C$19:$L$19/(1+$A$24/100)^DCF_Base!$C$4:$L$4)+MAX(0,MIN(IF($A$24&gt;$B$23,DCF_Base!$L$19*(1+$B$23/100)/(($A$24-$B$23)/100),DCF_Base!$L$19*DCF_Base!$B$29),DCF_Base!$L$19*DCF_Base!$B$29))/(1+$A$24/100)^DCF_Base!$L$4+Assumptions!$B$5-Assumptions!$B$4)/Assumptions!$B$3*Assumptions!$B$10</f>
        <v>247.446409889562</v>
      </c>
      <c r="C24" s="0" t="n">
        <f aca="false">(SUMPRODUCT(DCF_Base!$C$19:$L$19/(1+$A$24/100)^DCF_Base!$C$4:$L$4)+MAX(0,MIN(IF($A$24&gt;$C$23,DCF_Base!$L$19*(1+$C$23/100)/(($A$24-$C$23)/100),DCF_Base!$L$19*DCF_Base!$B$29),DCF_Base!$L$19*DCF_Base!$B$29))/(1+$A$24/100)^DCF_Base!$L$4+Assumptions!$B$5-Assumptions!$B$4)/Assumptions!$B$3*Assumptions!$B$10</f>
        <v>247.446409889562</v>
      </c>
      <c r="D24" s="0" t="n">
        <f aca="false">(SUMPRODUCT(DCF_Base!$C$19:$L$19/(1+$A$24/100)^DCF_Base!$C$4:$L$4)+MAX(0,MIN(IF($A$24&gt;$D$23,DCF_Base!$L$19*(1+$D$23/100)/(($A$24-$D$23)/100),DCF_Base!$L$19*DCF_Base!$B$29),DCF_Base!$L$19*DCF_Base!$B$29))/(1+$A$24/100)^DCF_Base!$L$4+Assumptions!$B$5-Assumptions!$B$4)/Assumptions!$B$3*Assumptions!$B$10</f>
        <v>247.446409889562</v>
      </c>
      <c r="E24" s="0" t="n">
        <f aca="false">(SUMPRODUCT(DCF_Base!$C$19:$L$19/(1+$A$24/100)^DCF_Base!$C$4:$L$4)+MAX(0,MIN(IF($A$24&gt;$E$23,DCF_Base!$L$19*(1+$E$23/100)/(($A$24-$E$23)/100),DCF_Base!$L$19*DCF_Base!$B$29),DCF_Base!$L$19*DCF_Base!$B$29))/(1+$A$24/100)^DCF_Base!$L$4+Assumptions!$B$5-Assumptions!$B$4)/Assumptions!$B$3*Assumptions!$B$10</f>
        <v>247.446409889562</v>
      </c>
      <c r="F24" s="0" t="n">
        <f aca="false">(SUMPRODUCT(DCF_Base!$C$19:$L$19/(1+$A$24/100)^DCF_Base!$C$4:$L$4)+MAX(0,MIN(IF($A$24&gt;$F$23,DCF_Base!$L$19*(1+$F$23/100)/(($A$24-$F$23)/100),DCF_Base!$L$19*DCF_Base!$B$29),DCF_Base!$L$19*DCF_Base!$B$29))/(1+$A$24/100)^DCF_Base!$L$4+Assumptions!$B$5-Assumptions!$B$4)/Assumptions!$B$3*Assumptions!$B$10</f>
        <v>247.446409889562</v>
      </c>
    </row>
    <row r="25" customFormat="false" ht="15" hidden="false" customHeight="false" outlineLevel="0" collapsed="false">
      <c r="A25" s="3" t="n">
        <v>7.5</v>
      </c>
      <c r="B25" s="0" t="n">
        <f aca="false">(SUMPRODUCT(DCF_Base!$C$19:$L$19/(1+$A$25/100)^DCF_Base!$C$4:$L$4)+MAX(0,MIN(IF($A$25&gt;$B$23,DCF_Base!$L$19*(1+$B$23/100)/(($A$25-$B$23)/100),DCF_Base!$L$19*DCF_Base!$B$29),DCF_Base!$L$19*DCF_Base!$B$29))/(1+$A$25/100)^DCF_Base!$L$4+Assumptions!$B$5-Assumptions!$B$4)/Assumptions!$B$3*Assumptions!$B$10</f>
        <v>205.718983918037</v>
      </c>
      <c r="C25" s="0" t="n">
        <f aca="false">(SUMPRODUCT(DCF_Base!$C$19:$L$19/(1+$A$25/100)^DCF_Base!$C$4:$L$4)+MAX(0,MIN(IF($A$25&gt;$C$23,DCF_Base!$L$19*(1+$C$23/100)/(($A$25-$C$23)/100),DCF_Base!$L$19*DCF_Base!$B$29),DCF_Base!$L$19*DCF_Base!$B$29))/(1+$A$25/100)^DCF_Base!$L$4+Assumptions!$B$5-Assumptions!$B$4)/Assumptions!$B$3*Assumptions!$B$10</f>
        <v>217.840455643246</v>
      </c>
      <c r="D25" s="0" t="n">
        <f aca="false">(SUMPRODUCT(DCF_Base!$C$19:$L$19/(1+$A$25/100)^DCF_Base!$C$4:$L$4)+MAX(0,MIN(IF($A$25&gt;$D$23,DCF_Base!$L$19*(1+$D$23/100)/(($A$25-$D$23)/100),DCF_Base!$L$19*DCF_Base!$B$29),DCF_Base!$L$19*DCF_Base!$B$29))/(1+$A$25/100)^DCF_Base!$L$4+Assumptions!$B$5-Assumptions!$B$4)/Assumptions!$B$3*Assumptions!$B$10</f>
        <v>228.665211788548</v>
      </c>
      <c r="E25" s="0" t="n">
        <f aca="false">(SUMPRODUCT(DCF_Base!$C$19:$L$19/(1+$A$25/100)^DCF_Base!$C$4:$L$4)+MAX(0,MIN(IF($A$25&gt;$E$23,DCF_Base!$L$19*(1+$E$23/100)/(($A$25-$E$23)/100),DCF_Base!$L$19*DCF_Base!$B$29),DCF_Base!$L$19*DCF_Base!$B$29))/(1+$A$25/100)^DCF_Base!$L$4+Assumptions!$B$5-Assumptions!$B$4)/Assumptions!$B$3*Assumptions!$B$10</f>
        <v>228.665211788548</v>
      </c>
      <c r="F25" s="0" t="n">
        <f aca="false">(SUMPRODUCT(DCF_Base!$C$19:$L$19/(1+$A$25/100)^DCF_Base!$C$4:$L$4)+MAX(0,MIN(IF($A$25&gt;$F$23,DCF_Base!$L$19*(1+$F$23/100)/(($A$25-$F$23)/100),DCF_Base!$L$19*DCF_Base!$B$29),DCF_Base!$L$19*DCF_Base!$B$29))/(1+$A$25/100)^DCF_Base!$L$4+Assumptions!$B$5-Assumptions!$B$4)/Assumptions!$B$3*Assumptions!$B$10</f>
        <v>228.665211788548</v>
      </c>
    </row>
    <row r="26" customFormat="false" ht="15" hidden="false" customHeight="false" outlineLevel="0" collapsed="false">
      <c r="A26" s="3" t="n">
        <v>8.5</v>
      </c>
      <c r="B26" s="0" t="n">
        <f aca="false">(SUMPRODUCT(DCF_Base!$C$19:$L$19/(1+$A$26/100)^DCF_Base!$C$4:$L$4)+MAX(0,MIN(IF($A$26&gt;$B$23,DCF_Base!$L$19*(1+$B$23/100)/(($A$26-$B$23)/100),DCF_Base!$L$19*DCF_Base!$B$29),DCF_Base!$L$19*DCF_Base!$B$29))/(1+$A$26/100)^DCF_Base!$L$4+Assumptions!$B$5-Assumptions!$B$4)/Assumptions!$B$3*Assumptions!$B$10</f>
        <v>174.290752439774</v>
      </c>
      <c r="C26" s="0" t="n">
        <f aca="false">(SUMPRODUCT(DCF_Base!$C$19:$L$19/(1+$A$26/100)^DCF_Base!$C$4:$L$4)+MAX(0,MIN(IF($A$26&gt;$C$23,DCF_Base!$L$19*(1+$C$23/100)/(($A$26-$C$23)/100),DCF_Base!$L$19*DCF_Base!$B$29),DCF_Base!$L$19*DCF_Base!$B$29))/(1+$A$26/100)^DCF_Base!$L$4+Assumptions!$B$5-Assumptions!$B$4)/Assumptions!$B$3*Assumptions!$B$10</f>
        <v>182.379223400078</v>
      </c>
      <c r="D26" s="0" t="n">
        <f aca="false">(SUMPRODUCT(DCF_Base!$C$19:$L$19/(1+$A$26/100)^DCF_Base!$C$4:$L$4)+MAX(0,MIN(IF($A$26&gt;$D$23,DCF_Base!$L$19*(1+$D$23/100)/(($A$26-$D$23)/100),DCF_Base!$L$19*DCF_Base!$B$29),DCF_Base!$L$19*DCF_Base!$B$29))/(1+$A$26/100)^DCF_Base!$L$4+Assumptions!$B$5-Assumptions!$B$4)/Assumptions!$B$3*Assumptions!$B$10</f>
        <v>191.815772853767</v>
      </c>
      <c r="E26" s="0" t="n">
        <f aca="false">(SUMPRODUCT(DCF_Base!$C$19:$L$19/(1+$A$26/100)^DCF_Base!$C$4:$L$4)+MAX(0,MIN(IF($A$26&gt;$E$23,DCF_Base!$L$19*(1+$E$23/100)/(($A$26-$E$23)/100),DCF_Base!$L$19*DCF_Base!$B$29),DCF_Base!$L$19*DCF_Base!$B$29))/(1+$A$26/100)^DCF_Base!$L$4+Assumptions!$B$5-Assumptions!$B$4)/Assumptions!$B$3*Assumptions!$B$10</f>
        <v>202.968058571762</v>
      </c>
      <c r="F26" s="0" t="n">
        <f aca="false">(SUMPRODUCT(DCF_Base!$C$19:$L$19/(1+$A$26/100)^DCF_Base!$C$4:$L$4)+MAX(0,MIN(IF($A$26&gt;$F$23,DCF_Base!$L$19*(1+$F$23/100)/(($A$26-$F$23)/100),DCF_Base!$L$19*DCF_Base!$B$29),DCF_Base!$L$19*DCF_Base!$B$29))/(1+$A$26/100)^DCF_Base!$L$4+Assumptions!$B$5-Assumptions!$B$4)/Assumptions!$B$3*Assumptions!$B$10</f>
        <v>211.602086224403</v>
      </c>
    </row>
    <row r="27" customFormat="false" ht="15" hidden="false" customHeight="false" outlineLevel="0" collapsed="false">
      <c r="A27" s="3" t="n">
        <v>9.5</v>
      </c>
      <c r="B27" s="0" t="n">
        <f aca="false">(SUMPRODUCT(DCF_Base!$C$19:$L$19/(1+$A$27/100)^DCF_Base!$C$4:$L$4)+MAX(0,MIN(IF($A$27&gt;$B$23,DCF_Base!$L$19*(1+$B$23/100)/(($A$27-$B$23)/100),DCF_Base!$L$19*DCF_Base!$B$29),DCF_Base!$L$19*DCF_Base!$B$29))/(1+$A$27/100)^DCF_Base!$L$4+Assumptions!$B$5-Assumptions!$B$4)/Assumptions!$B$3*Assumptions!$B$10</f>
        <v>150.823674467271</v>
      </c>
      <c r="C27" s="0" t="n">
        <f aca="false">(SUMPRODUCT(DCF_Base!$C$19:$L$19/(1+$A$27/100)^DCF_Base!$C$4:$L$4)+MAX(0,MIN(IF($A$27&gt;$C$23,DCF_Base!$L$19*(1+$C$23/100)/(($A$27-$C$23)/100),DCF_Base!$L$19*DCF_Base!$B$29),DCF_Base!$L$19*DCF_Base!$B$29))/(1+$A$27/100)^DCF_Base!$L$4+Assumptions!$B$5-Assumptions!$B$4)/Assumptions!$B$3*Assumptions!$B$10</f>
        <v>156.471316319719</v>
      </c>
      <c r="D27" s="0" t="n">
        <f aca="false">(SUMPRODUCT(DCF_Base!$C$19:$L$19/(1+$A$27/100)^DCF_Base!$C$4:$L$4)+MAX(0,MIN(IF($A$27&gt;$D$23,DCF_Base!$L$19*(1+$D$23/100)/(($A$27-$D$23)/100),DCF_Base!$L$19*DCF_Base!$B$29),DCF_Base!$L$19*DCF_Base!$B$29))/(1+$A$27/100)^DCF_Base!$L$4+Assumptions!$B$5-Assumptions!$B$4)/Assumptions!$B$3*Assumptions!$B$10</f>
        <v>162.925764151089</v>
      </c>
      <c r="E27" s="0" t="n">
        <f aca="false">(SUMPRODUCT(DCF_Base!$C$19:$L$19/(1+$A$27/100)^DCF_Base!$C$4:$L$4)+MAX(0,MIN(IF($A$27&gt;$E$23,DCF_Base!$L$19*(1+$E$23/100)/(($A$27-$E$23)/100),DCF_Base!$L$19*DCF_Base!$B$29),DCF_Base!$L$19*DCF_Base!$B$29))/(1+$A$27/100)^DCF_Base!$L$4+Assumptions!$B$5-Assumptions!$B$4)/Assumptions!$B$3*Assumptions!$B$10</f>
        <v>170.373203956516</v>
      </c>
      <c r="F27" s="0" t="n">
        <f aca="false">(SUMPRODUCT(DCF_Base!$C$19:$L$19/(1+$A$27/100)^DCF_Base!$C$4:$L$4)+MAX(0,MIN(IF($A$27&gt;$F$23,DCF_Base!$L$19*(1+$F$23/100)/(($A$27-$F$23)/100),DCF_Base!$L$19*DCF_Base!$B$29),DCF_Base!$L$19*DCF_Base!$B$29))/(1+$A$27/100)^DCF_Base!$L$4+Assumptions!$B$5-Assumptions!$B$4)/Assumptions!$B$3*Assumptions!$B$10</f>
        <v>179.061883729514</v>
      </c>
    </row>
    <row r="28" customFormat="false" ht="15" hidden="false" customHeight="false" outlineLevel="0" collapsed="false">
      <c r="A28" s="3" t="n">
        <v>10.5</v>
      </c>
      <c r="B28" s="0" t="n">
        <f aca="false">(SUMPRODUCT(DCF_Base!$C$19:$L$19/(1+$A$28/100)^DCF_Base!$C$4:$L$4)+MAX(0,MIN(IF($A$28&gt;$B$23,DCF_Base!$L$19*(1+$B$23/100)/(($A$28-$B$23)/100),DCF_Base!$L$19*DCF_Base!$B$29),DCF_Base!$L$19*DCF_Base!$B$29))/(1+$A$28/100)^DCF_Base!$L$4+Assumptions!$B$5-Assumptions!$B$4)/Assumptions!$B$3*Assumptions!$B$10</f>
        <v>132.657581087035</v>
      </c>
      <c r="C28" s="0" t="n">
        <f aca="false">(SUMPRODUCT(DCF_Base!$C$19:$L$19/(1+$A$28/100)^DCF_Base!$C$4:$L$4)+MAX(0,MIN(IF($A$28&gt;$C$23,DCF_Base!$L$19*(1+$C$23/100)/(($A$28-$C$23)/100),DCF_Base!$L$19*DCF_Base!$B$29),DCF_Base!$L$19*DCF_Base!$B$29))/(1+$A$28/100)^DCF_Base!$L$4+Assumptions!$B$5-Assumptions!$B$4)/Assumptions!$B$3*Assumptions!$B$10</f>
        <v>136.739116167498</v>
      </c>
      <c r="D28" s="0" t="n">
        <f aca="false">(SUMPRODUCT(DCF_Base!$C$19:$L$19/(1+$A$28/100)^DCF_Base!$C$4:$L$4)+MAX(0,MIN(IF($A$28&gt;$D$23,DCF_Base!$L$19*(1+$D$23/100)/(($A$28-$D$23)/100),DCF_Base!$L$19*DCF_Base!$B$29),DCF_Base!$L$19*DCF_Base!$B$29))/(1+$A$28/100)^DCF_Base!$L$4+Assumptions!$B$5-Assumptions!$B$4)/Assumptions!$B$3*Assumptions!$B$10</f>
        <v>141.330843133018</v>
      </c>
      <c r="E28" s="0" t="n">
        <f aca="false">(SUMPRODUCT(DCF_Base!$C$19:$L$19/(1+$A$28/100)^DCF_Base!$C$4:$L$4)+MAX(0,MIN(IF($A$28&gt;$E$23,DCF_Base!$L$19*(1+$E$23/100)/(($A$28-$E$23)/100),DCF_Base!$L$19*DCF_Base!$B$29),DCF_Base!$L$19*DCF_Base!$B$29))/(1+$A$28/100)^DCF_Base!$L$4+Assumptions!$B$5-Assumptions!$B$4)/Assumptions!$B$3*Assumptions!$B$10</f>
        <v>146.534800360608</v>
      </c>
      <c r="F28" s="0" t="n">
        <f aca="false">(SUMPRODUCT(DCF_Base!$C$19:$L$19/(1+$A$28/100)^DCF_Base!$C$4:$L$4)+MAX(0,MIN(IF($A$28&gt;$F$23,DCF_Base!$L$19*(1+$F$23/100)/(($A$28-$F$23)/100),DCF_Base!$L$19*DCF_Base!$B$29),DCF_Base!$L$19*DCF_Base!$B$29))/(1+$A$28/100)^DCF_Base!$L$4+Assumptions!$B$5-Assumptions!$B$4)/Assumptions!$B$3*Assumptions!$B$10</f>
        <v>152.482180049283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2026-10-25T03:02:37Z</dcterms:created>
  <dc:creator>openpyxl</dc:creator>
  <dc:description/>
  <dc:language>en-NZ</dc:language>
  <cp:lastModifiedBy/>
  <dcterms:modified xsi:type="dcterms:W3CDTF">2026-10-25T03:02:37Z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