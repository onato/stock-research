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<sst xmlns="http://schemas.openxmlformats.org/spreadsheetml/2006/main" count="392" uniqueCount="176">
  <si>
    <t xml:space="preserve">Ticker</t>
  </si>
  <si>
    <t xml:space="preserve">OTEX.TO</t>
  </si>
  <si>
    <t xml:space="preserve">Company</t>
  </si>
  <si>
    <t xml:space="preserve">Open Text Corporation</t>
  </si>
  <si>
    <t xml:space="preserve">Valuation date</t>
  </si>
  <si>
    <t xml:space="preserve">2026-10-10</t>
  </si>
  <si>
    <t xml:space="preserve">Current price</t>
  </si>
  <si>
    <t xml:space="preserve">Price as of</t>
  </si>
  <si>
    <t xml:space="preserve">2026-10-09T20:00:00Z TSX regular close</t>
  </si>
  <si>
    <t xml:space="preserve">Balance sheet date</t>
  </si>
  <si>
    <t xml:space="preserve">2026-06-30</t>
  </si>
  <si>
    <t xml:space="preserve">Model</t>
  </si>
  <si>
    <t xml:space="preserve">owner_fcf_dcf_component</t>
  </si>
  <si>
    <t xml:space="preserve">Currency (model)</t>
  </si>
  <si>
    <t xml:space="preserve">USD</t>
  </si>
  <si>
    <t xml:space="preserve">Currency (quote)</t>
  </si>
  <si>
    <t xml:space="preserve">CAD</t>
  </si>
  <si>
    <t xml:space="preserve">Units</t>
  </si>
  <si>
    <t xml:space="preserve">millions</t>
  </si>
  <si>
    <t xml:space="preserve">Engine</t>
  </si>
  <si>
    <t xml:space="preserve">dcf_engine v1</t>
  </si>
  <si>
    <t xml:space="preserve">Built at</t>
  </si>
  <si>
    <t xml:space="preserve">2026-10-10T09:16:18Z</t>
  </si>
  <si>
    <t xml:space="preserve">Drivers file</t>
  </si>
  <si>
    <t xml:space="preserve">OTEX.TO_Drivers.json</t>
  </si>
  <si>
    <t xml:space="preserve">Convention</t>
  </si>
  <si>
    <t xml:space="preserve">Percents stored as percents; formulas divide by 100. Blue = input, green = link, black = formula.</t>
  </si>
  <si>
    <t xml:space="preserve">Methodology</t>
  </si>
  <si>
    <t xml:space="preserve">summary: OpenText is valued as a levered, low-growth cash generator. Value comes from durable recurring revenue (cloud plus support, ~85% of the total) and steady debt paydown, not from growth. The flow is unlevered owner FCF built from guided FY2027 components, charged for recurring restructuring and SBC, so the FY2026 peak (inflated by divested businesses and working capital) is not extrapolated. Debt is deducted once, in the bridge. The price is in CAD; flows and all intermediate values are in USD.
key_risks_to_valuation: Organic decline: if license and support runoff outpaces cloud growth, the base case's 2-2.5% growth is too high. A decade of history supports the bear path as much as the base.; Leverage: $5.77B of debt makes equity a geared residual. A 1x change in the terminal multiple moves equity per share by roughly 5-6%.; Restructuring is a recurring cost here. If the reset adds another multi-year cycle of charges, the margin path is too generous.; CRA tax disputes: only the residual cash exposure is deducted. A loss on the FY2017-2020 depreciable-basis dispute could also raise future cash taxes, not just trigger a non-cash DTA writedown.; Capital allocation: the model treats buybacks as value-neutral. Another debt-funded large acquisition (the company's historic pattern) would change the risk profile and is not modelled.; FX: USD/CAD drives the CAD value one-for-one; a 5% CAD appreciation lowers every CAD figure by ~5% with no change in the business.</t>
  </si>
  <si>
    <t xml:space="preserve">Data sources</t>
  </si>
  <si>
    <t xml:space="preserve">price: Yahoo Finance chart API (OTEX.TO, CAD, TSX) at inputs.price_as_of; 52-week range C$27.63-56.00. FX from Yahoo CAD=X; parity checked against NASDAQ OTEX.
financials: SEC XBRL companyfacts, CIK 1002638 (FY2026 10-K filed 2026-08-06): revenue, OCF, capex, SBC, interest paid, income taxes paid, depreciation, intangible amortization, lease cost and liabilities, long-term debt, cash, cover-page and weighted share counts. OTEX.TO_Metrics.csv (built from the same companyfacts) for history.
qualitative: OTEX.TO_Analysis.json (2026-10-10): FY2027 guidance from the Q4 FY2026 release (2026-08-06), divestitures, CEO transition, CRA disputes.</t>
  </si>
  <si>
    <t xml:space="preserve">Scenario narrative: bear</t>
  </si>
  <si>
    <t xml:space="preserve">Legacy erosion wins. Hyperscaler bundling (Microsoft 365/SharePoint plus Copilot, Google) and point solutions (Hyland, Box, ServiceNow) hollow out content services outside regulated niches, and aging mainframe/ITOM support runs off faster than cloud can replace it. Revenue shrinks for three years and then grows only 1%. The new CEO's reset becomes another restructuring cycle, owner margin drifts to 25.5%, and with leverage still ~3x EBITDA the multiple compresses to 10x. CRA disputes go against the company.</t>
  </si>
  <si>
    <t xml:space="preserve">Scenario narrative: base</t>
  </si>
  <si>
    <t xml:space="preserve">Foundation year then slow compounding. FY2027 lands at the guide midpoint ($5.16B revenue, 32.5% adjusted EBITDA, ~$690M company-definition FCF) as eDOCS and Vertica drop out. Core cloud keeps growing high single digits and roughly outruns the decline in Micro Focus-era license and on-prem support, so total revenue grows 1.5-2.5%. Antoun's reset trims restructuring from ~2.6% to ~1.5% of revenue, so owner margin edges up about 2.5pp. Debt keeps coming down and buybacks keep retiring stock, but neither changes enterprise value. Exit at 13x owner FCF.</t>
  </si>
  <si>
    <t xml:space="preserve">Scenario narrative: bull</t>
  </si>
  <si>
    <t xml:space="preserve">The IBM-veteran CEO turns the portfolio. Titanium X / opentext.ai drives cloud attach across the combined OpenText + Micro Focus installed base, cybersecurity and Business Network (EDI) take share, and core growth climbs from 3% to 4.5% instead of fading. With a simpler portfolio and less restructuring, owner EBITDA margin reaches 31.5% (about 34% adjusted). The market then pays 15x for a de-levered, reliably growing information-management franchise.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</si>
  <si>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</si>
  <si>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</si>
  <si>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</si>
  <si>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</si>
  <si>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</si>
  <si>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</si>
  <si>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</si>
  <si>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</si>
  <si>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</si>
  <si>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</si>
  <si>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</si>
  <si>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</si>
  <si>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</si>
  <si>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</si>
  <si>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</si>
  <si>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</si>
  <si>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</si>
  <si>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</si>
  <si>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</si>
  <si>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</si>
  <si>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</si>
  <si>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</si>
  <si>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</si>
  <si>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</si>
  <si>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</si>
  <si>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</si>
  <si>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</si>
  <si>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FY2006</t>
  </si>
  <si>
    <t xml:space="preserve">FY2007</t>
  </si>
  <si>
    <t xml:space="preserve">FY2008</t>
  </si>
  <si>
    <t xml:space="preserve">FY2009</t>
  </si>
  <si>
    <t xml:space="preserve">FY2010</t>
  </si>
  <si>
    <t xml:space="preserve">FY2011</t>
  </si>
  <si>
    <t xml:space="preserve">FY2012</t>
  </si>
  <si>
    <t xml:space="preserve">FY2013</t>
  </si>
  <si>
    <t xml:space="preserve">FY2014</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</si>
  <si>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</si>
  <si>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</si>
  <si>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</si>
  <si>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</si>
  <si>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</si>
  <si>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</si>
  <si>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</si>
  <si>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</si>
  <si>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</si>
  <si>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</si>
  <si>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</si>
  <si>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</si>
  <si>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</si>
  <si>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</si>
  <si>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</si>
  <si>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</si>
  <si>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</si>
  <si>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</si>
  <si>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</si>
  <si>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</si>
  <si>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</si>
  <si>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</si>
  <si>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USD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</si>
  <si>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</si>
  <si>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</si>
  <si>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</si>
  <si>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</si>
  <si>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</si>
  <si>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</si>
  <si>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</si>
  <si>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</si>
  <si>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</si>
  <si>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</si>
  <si>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</si>
  <si>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</si>
  <si>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</si>
  <si>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</si>
  <si>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</si>
  <si>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</si>
  <si>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</si>
  <si>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</si>
  <si>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</si>
  <si>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</si>
  <si>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</si>
  <si>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</si>
  <si>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</si>
  <si>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</si>
  <si>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</si>
  <si>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</si>
  <si>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OTEX.TO owner-FCF component DCF: bear case (millions, USD)</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</si>
  <si>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</si>
  <si>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</si>
  <si>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</si>
  <si>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</si>
  <si>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</si>
  <si>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</si>
  <si>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</si>
  <si>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</si>
  <si>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</si>
  <si>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</si>
  <si>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</si>
  <si>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</si>
  <si>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</si>
  <si>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</si>
  <si>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</si>
  <si>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</si>
  <si>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</si>
  <si>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</si>
  <si>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</si>
  <si>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</si>
  <si>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</si>
  <si>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</si>
  <si>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</si>
  <si>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</si>
  <si>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</si>
  <si>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</si>
  <si>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</si>
  <si>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</si>
  <si>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</si>
  <si>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</si>
  <si>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OTEX.TO owner-FCF component DCF: base case (millions, USD)</t>
  </si>
  <si>
    <t xml:space="preserve">OTEX.TO owner-FCF component DCF: bull case (millions, USD)</t>
  </si>
  <si>
    <t xml:space="preserve">OTEX.TO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</si>
  <si>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</si>
  <si>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</si>
  <si>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</si>
  <si>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</si>
  <si>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</si>
  <si>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</si>
  <si>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</si>
  <si>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</si>
  <si>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</si>
  <si>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</si>
  <si>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</si>
  <si>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</si>
  <si>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</si>
  <si>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</si>
  <si>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 (WACC)</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</si>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</sst>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33.82</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row>
    <row r="2" customFormat="false" ht="15" hidden="false" customHeight="false" outlineLevel="0" collapsed="false">
      <c r="A2" s="0" t="s">
        <v>64</v>
      </c>
      <c r="S2" s="0" t="n">
        <v>107.354</v>
      </c>
      <c r="AA2" s="0" t="s">
        <v>18</v>
      </c>
      <c r="AB2" s="0" t="s">
        <v>14</v>
      </c>
    </row>
    <row r="3" customFormat="false" ht="15" hidden="false" customHeight="false" outlineLevel="0" collapsed="false">
      <c r="A3" s="0" t="s">
        <v>65</v>
      </c>
      <c r="B3" s="0" t="n">
        <v>595.664</v>
      </c>
      <c r="C3" s="0" t="n">
        <v>202.246</v>
      </c>
      <c r="D3" s="0" t="n">
        <v>393.418</v>
      </c>
      <c r="E3" s="0" t="n">
        <v>66.0469660748341</v>
      </c>
      <c r="F3" s="0" t="n">
        <v>50.926</v>
      </c>
      <c r="G3" s="0" t="n">
        <v>8.54945069703726</v>
      </c>
      <c r="H3" s="0" t="n">
        <v>125.564</v>
      </c>
      <c r="I3" s="0" t="n">
        <v>21.66</v>
      </c>
      <c r="J3" s="0" t="n">
        <v>3.63627817024363</v>
      </c>
      <c r="K3" s="0" t="n">
        <v>0.44</v>
      </c>
      <c r="L3" s="0" t="n">
        <v>110.864</v>
      </c>
      <c r="M3" s="0" t="n">
        <v>-5.26</v>
      </c>
      <c r="N3" s="0" t="n">
        <v>105.604</v>
      </c>
      <c r="O3" s="0" t="n">
        <v>524.068</v>
      </c>
      <c r="S3" s="0" t="n">
        <v>149.979</v>
      </c>
      <c r="U3" s="0" t="n">
        <v>5.376</v>
      </c>
      <c r="AA3" s="0" t="s">
        <v>18</v>
      </c>
      <c r="AB3" s="0" t="s">
        <v>14</v>
      </c>
    </row>
    <row r="4" customFormat="false" ht="15" hidden="false" customHeight="false" outlineLevel="0" collapsed="false">
      <c r="A4" s="0" t="s">
        <v>66</v>
      </c>
      <c r="B4" s="0" t="n">
        <v>725.532</v>
      </c>
      <c r="C4" s="0" t="n">
        <v>232.731</v>
      </c>
      <c r="D4" s="0" t="n">
        <v>492.801</v>
      </c>
      <c r="E4" s="0" t="n">
        <v>67.9227105075999</v>
      </c>
      <c r="F4" s="0" t="n">
        <v>100.379</v>
      </c>
      <c r="G4" s="0" t="n">
        <v>13.8352271161024</v>
      </c>
      <c r="H4" s="0" t="n">
        <v>184.67</v>
      </c>
      <c r="I4" s="0" t="n">
        <v>53.006</v>
      </c>
      <c r="J4" s="0" t="n">
        <v>7.30581145972886</v>
      </c>
      <c r="K4" s="0" t="n">
        <v>1.04</v>
      </c>
      <c r="L4" s="0" t="n">
        <v>165.976</v>
      </c>
      <c r="M4" s="0" t="n">
        <v>6.895</v>
      </c>
      <c r="N4" s="0" t="n">
        <v>159.081</v>
      </c>
      <c r="O4" s="0" t="n">
        <v>636.161</v>
      </c>
      <c r="P4" s="0" t="n">
        <v>1434.676</v>
      </c>
      <c r="Q4" s="0" t="n">
        <v>491.98</v>
      </c>
      <c r="S4" s="0" t="n">
        <v>254.916</v>
      </c>
      <c r="T4" s="0" t="n">
        <v>52.604</v>
      </c>
      <c r="U4" s="0" t="n">
        <v>3.789</v>
      </c>
      <c r="AA4" s="0" t="s">
        <v>18</v>
      </c>
      <c r="AB4" s="0" t="s">
        <v>14</v>
      </c>
    </row>
    <row r="5" customFormat="false" ht="15" hidden="false" customHeight="false" outlineLevel="0" collapsed="false">
      <c r="A5" s="0" t="s">
        <v>67</v>
      </c>
      <c r="B5" s="0" t="n">
        <v>785.665</v>
      </c>
      <c r="C5" s="0" t="n">
        <v>251.837</v>
      </c>
      <c r="D5" s="0" t="n">
        <v>533.828</v>
      </c>
      <c r="E5" s="0" t="n">
        <v>67.94600752229</v>
      </c>
      <c r="F5" s="0" t="n">
        <v>97.584</v>
      </c>
      <c r="G5" s="0" t="n">
        <v>12.4205609260945</v>
      </c>
      <c r="H5" s="0" t="n">
        <v>190.588</v>
      </c>
      <c r="I5" s="0" t="n">
        <v>56.938</v>
      </c>
      <c r="J5" s="0" t="n">
        <v>7.24710913684586</v>
      </c>
      <c r="K5" s="0" t="n">
        <v>1.09</v>
      </c>
      <c r="L5" s="0" t="n">
        <v>176.17</v>
      </c>
      <c r="M5" s="0" t="n">
        <v>12.15</v>
      </c>
      <c r="N5" s="0" t="n">
        <v>164.02</v>
      </c>
      <c r="O5" s="0" t="n">
        <v>686.464</v>
      </c>
      <c r="P5" s="0" t="n">
        <v>1507.236</v>
      </c>
      <c r="Q5" s="0" t="n">
        <v>502.044</v>
      </c>
      <c r="S5" s="0" t="n">
        <v>275.819</v>
      </c>
      <c r="T5" s="0" t="n">
        <v>53.271</v>
      </c>
      <c r="U5" s="0" t="n">
        <v>5.032</v>
      </c>
      <c r="AA5" s="0" t="s">
        <v>18</v>
      </c>
      <c r="AB5" s="0" t="s">
        <v>14</v>
      </c>
    </row>
    <row r="6" customFormat="false" ht="15" hidden="false" customHeight="false" outlineLevel="0" collapsed="false">
      <c r="A6" s="0" t="s">
        <v>68</v>
      </c>
      <c r="B6" s="0" t="n">
        <v>912.023</v>
      </c>
      <c r="C6" s="0" t="n">
        <v>296.531</v>
      </c>
      <c r="D6" s="0" t="n">
        <v>615.492</v>
      </c>
      <c r="E6" s="0" t="n">
        <v>67.4864559336771</v>
      </c>
      <c r="F6" s="0" t="n">
        <v>109.238</v>
      </c>
      <c r="G6" s="0" t="n">
        <v>11.9775488118173</v>
      </c>
      <c r="H6" s="0" t="n">
        <v>223.075</v>
      </c>
      <c r="I6" s="0" t="n">
        <v>89.212</v>
      </c>
      <c r="J6" s="0" t="n">
        <v>9.7817708544631</v>
      </c>
      <c r="K6" s="0" t="n">
        <v>1.59</v>
      </c>
      <c r="L6" s="0" t="n">
        <v>180.191</v>
      </c>
      <c r="M6" s="0" t="n">
        <v>19.314</v>
      </c>
      <c r="N6" s="0" t="n">
        <v>160.877</v>
      </c>
      <c r="O6" s="0" t="n">
        <v>887.878</v>
      </c>
      <c r="P6" s="0" t="n">
        <v>1715.682</v>
      </c>
      <c r="R6" s="0" t="n">
        <v>300.512</v>
      </c>
      <c r="S6" s="0" t="n">
        <v>326.192</v>
      </c>
      <c r="T6" s="0" t="n">
        <v>57.385</v>
      </c>
      <c r="U6" s="0" t="n">
        <v>9.765</v>
      </c>
      <c r="AA6" s="0" t="s">
        <v>18</v>
      </c>
      <c r="AB6" s="0" t="s">
        <v>14</v>
      </c>
    </row>
    <row r="7" customFormat="false" ht="15" hidden="false" customHeight="false" outlineLevel="0" collapsed="false">
      <c r="A7" s="0" t="s">
        <v>69</v>
      </c>
      <c r="B7" s="0" t="n">
        <v>1033.303</v>
      </c>
      <c r="C7" s="0" t="n">
        <v>341.02</v>
      </c>
      <c r="D7" s="0" t="n">
        <v>692.283</v>
      </c>
      <c r="E7" s="0" t="n">
        <v>66.997095721197</v>
      </c>
      <c r="F7" s="0" t="n">
        <v>150.605</v>
      </c>
      <c r="G7" s="0" t="n">
        <v>14.5751052692192</v>
      </c>
      <c r="H7" s="0" t="n">
        <v>279.735</v>
      </c>
      <c r="I7" s="0" t="n">
        <v>123.203</v>
      </c>
      <c r="J7" s="0" t="n">
        <v>11.9232209719705</v>
      </c>
      <c r="K7" s="0" t="n">
        <v>2.16</v>
      </c>
      <c r="L7" s="0" t="n">
        <v>223.221</v>
      </c>
      <c r="M7" s="0" t="n">
        <v>36.662</v>
      </c>
      <c r="N7" s="0" t="n">
        <v>186.559</v>
      </c>
      <c r="O7" s="0" t="n">
        <v>1039.445</v>
      </c>
      <c r="P7" s="0" t="n">
        <v>1932.363</v>
      </c>
      <c r="R7" s="0" t="n">
        <v>329.132</v>
      </c>
      <c r="S7" s="0" t="n">
        <v>284.14</v>
      </c>
      <c r="T7" s="0" t="n">
        <v>58.26</v>
      </c>
      <c r="U7" s="0" t="n">
        <v>11.308</v>
      </c>
      <c r="V7" s="0" t="n">
        <v>0</v>
      </c>
      <c r="AA7" s="0" t="s">
        <v>18</v>
      </c>
      <c r="AB7" s="0" t="s">
        <v>14</v>
      </c>
    </row>
    <row r="8" customFormat="false" ht="15" hidden="false" customHeight="false" outlineLevel="0" collapsed="false">
      <c r="A8" s="0" t="s">
        <v>70</v>
      </c>
      <c r="B8" s="0" t="n">
        <v>1207.473</v>
      </c>
      <c r="C8" s="0" t="n">
        <v>418.018</v>
      </c>
      <c r="D8" s="0" t="n">
        <v>789.455</v>
      </c>
      <c r="E8" s="0" t="n">
        <v>65.3807579962451</v>
      </c>
      <c r="F8" s="0" t="n">
        <v>149.36</v>
      </c>
      <c r="G8" s="0" t="n">
        <v>12.3696347661604</v>
      </c>
      <c r="H8" s="0" t="n">
        <v>308.845</v>
      </c>
      <c r="I8" s="0" t="n">
        <v>125.174</v>
      </c>
      <c r="J8" s="0" t="n">
        <v>10.3666086115383</v>
      </c>
      <c r="K8" s="0" t="n">
        <v>1.08</v>
      </c>
      <c r="L8" s="0" t="n">
        <v>266.49</v>
      </c>
      <c r="M8" s="0" t="n">
        <v>25.828</v>
      </c>
      <c r="N8" s="0" t="n">
        <v>240.662</v>
      </c>
      <c r="O8" s="0" t="n">
        <v>1179.392</v>
      </c>
      <c r="P8" s="0" t="n">
        <v>2444.293</v>
      </c>
      <c r="R8" s="0" t="n">
        <v>709.075</v>
      </c>
      <c r="S8" s="0" t="n">
        <v>559.747</v>
      </c>
      <c r="T8" s="0" t="n">
        <v>117.468</v>
      </c>
      <c r="U8" s="0" t="n">
        <v>18.097</v>
      </c>
      <c r="V8" s="0" t="n">
        <v>0</v>
      </c>
      <c r="AA8" s="0" t="s">
        <v>18</v>
      </c>
      <c r="AB8" s="0" t="s">
        <v>14</v>
      </c>
    </row>
    <row r="9" customFormat="false" ht="15" hidden="false" customHeight="false" outlineLevel="0" collapsed="false">
      <c r="A9" s="0" t="s">
        <v>71</v>
      </c>
      <c r="B9" s="0" t="n">
        <v>1363.336</v>
      </c>
      <c r="C9" s="0" t="n">
        <v>485.904</v>
      </c>
      <c r="D9" s="0" t="n">
        <v>877.432</v>
      </c>
      <c r="E9" s="0" t="n">
        <v>64.3591895174777</v>
      </c>
      <c r="F9" s="0" t="n">
        <v>197.665</v>
      </c>
      <c r="G9" s="0" t="n">
        <v>14.4986268975513</v>
      </c>
      <c r="H9" s="0" t="n">
        <v>384.516</v>
      </c>
      <c r="I9" s="0" t="n">
        <v>148.52</v>
      </c>
      <c r="J9" s="0" t="n">
        <v>10.8938662222666</v>
      </c>
      <c r="K9" s="0" t="n">
        <v>1.27</v>
      </c>
      <c r="L9" s="0" t="n">
        <v>318.502</v>
      </c>
      <c r="M9" s="0" t="n">
        <v>23.107</v>
      </c>
      <c r="N9" s="0" t="n">
        <v>295.395</v>
      </c>
      <c r="O9" s="0" t="n">
        <v>1337.208</v>
      </c>
      <c r="P9" s="0" t="n">
        <v>2654.817</v>
      </c>
      <c r="R9" s="0" t="n">
        <v>656.628</v>
      </c>
      <c r="S9" s="0" t="n">
        <v>470.445</v>
      </c>
      <c r="T9" s="0" t="n">
        <v>118.124</v>
      </c>
      <c r="U9" s="0" t="n">
        <v>15.575</v>
      </c>
      <c r="V9" s="0" t="n">
        <v>0.15</v>
      </c>
      <c r="AA9" s="0" t="s">
        <v>18</v>
      </c>
      <c r="AB9" s="0" t="s">
        <v>14</v>
      </c>
    </row>
    <row r="10" customFormat="false" ht="15" hidden="false" customHeight="false" outlineLevel="0" collapsed="false">
      <c r="A10" s="0" t="s">
        <v>72</v>
      </c>
      <c r="B10" s="0" t="n">
        <v>1624.699</v>
      </c>
      <c r="C10" s="0" t="n">
        <v>510.742</v>
      </c>
      <c r="D10" s="0" t="n">
        <v>1113.957</v>
      </c>
      <c r="E10" s="0" t="n">
        <v>68.5639001439651</v>
      </c>
      <c r="F10" s="0" t="n">
        <v>300.528</v>
      </c>
      <c r="G10" s="0" t="n">
        <v>18.4974570674322</v>
      </c>
      <c r="H10" s="0" t="n">
        <v>486.705</v>
      </c>
      <c r="I10" s="0" t="n">
        <v>218.125</v>
      </c>
      <c r="J10" s="0" t="n">
        <v>13.4255637505778</v>
      </c>
      <c r="K10" s="0" t="n">
        <v>1.82</v>
      </c>
      <c r="L10" s="0" t="n">
        <v>417.127</v>
      </c>
      <c r="M10" s="0" t="n">
        <v>42.268</v>
      </c>
      <c r="N10" s="0" t="n">
        <v>374.859</v>
      </c>
      <c r="O10" s="0" t="n">
        <v>1642.167</v>
      </c>
      <c r="P10" s="0" t="n">
        <v>3899.698</v>
      </c>
      <c r="R10" s="0" t="n">
        <v>1579.531</v>
      </c>
      <c r="S10" s="0" t="n">
        <v>427.89</v>
      </c>
      <c r="T10" s="0" t="n">
        <v>121.758432</v>
      </c>
      <c r="U10" s="0" t="n">
        <v>19.906</v>
      </c>
      <c r="V10" s="0" t="n">
        <v>0.6225</v>
      </c>
      <c r="AA10" s="0" t="s">
        <v>18</v>
      </c>
      <c r="AB10" s="0" t="s">
        <v>14</v>
      </c>
    </row>
    <row r="11" customFormat="false" ht="15" hidden="false" customHeight="false" outlineLevel="0" collapsed="false">
      <c r="A11" s="0" t="s">
        <v>73</v>
      </c>
      <c r="B11" s="0" t="n">
        <v>1851.917</v>
      </c>
      <c r="C11" s="0" t="n">
        <v>598.409</v>
      </c>
      <c r="D11" s="0" t="n">
        <v>1253.508</v>
      </c>
      <c r="E11" s="0" t="n">
        <v>67.6870507695539</v>
      </c>
      <c r="F11" s="0" t="n">
        <v>348.711</v>
      </c>
      <c r="G11" s="0" t="n">
        <v>18.8297315700434</v>
      </c>
      <c r="H11" s="0" t="n">
        <v>588.858</v>
      </c>
      <c r="I11" s="0" t="n">
        <v>234.406</v>
      </c>
      <c r="J11" s="0" t="n">
        <v>12.657478709899</v>
      </c>
      <c r="K11" s="0" t="n">
        <v>0.96</v>
      </c>
      <c r="L11" s="0" t="n">
        <v>523.031</v>
      </c>
      <c r="M11" s="0" t="n">
        <v>77.046</v>
      </c>
      <c r="N11" s="0" t="n">
        <v>445.985</v>
      </c>
      <c r="O11" s="0" t="n">
        <v>1829.807</v>
      </c>
      <c r="P11" s="0" t="n">
        <v>4353.33</v>
      </c>
      <c r="R11" s="0" t="n">
        <v>2096.255</v>
      </c>
      <c r="S11" s="0" t="n">
        <v>699.999</v>
      </c>
      <c r="T11" s="0" t="n">
        <v>245.914</v>
      </c>
      <c r="U11" s="0" t="n">
        <v>22.047</v>
      </c>
      <c r="V11" s="0" t="n">
        <v>0.35875</v>
      </c>
      <c r="AA11" s="0" t="s">
        <v>18</v>
      </c>
      <c r="AB11" s="0" t="s">
        <v>14</v>
      </c>
    </row>
    <row r="12" customFormat="false" ht="15" hidden="false" customHeight="false" outlineLevel="0" collapsed="false">
      <c r="A12" s="0" t="s">
        <v>74</v>
      </c>
      <c r="B12" s="0" t="n">
        <v>1824.228</v>
      </c>
      <c r="C12" s="0" t="n">
        <v>574</v>
      </c>
      <c r="D12" s="0" t="n">
        <v>1250.228</v>
      </c>
      <c r="E12" s="0" t="n">
        <v>68.5346349250203</v>
      </c>
      <c r="F12" s="0" t="n">
        <v>368.563</v>
      </c>
      <c r="G12" s="0" t="n">
        <v>20.2037793521424</v>
      </c>
      <c r="H12" s="0" t="n">
        <v>610.931</v>
      </c>
      <c r="I12" s="0" t="n">
        <v>284.495</v>
      </c>
      <c r="J12" s="0" t="n">
        <v>15.5953641759692</v>
      </c>
      <c r="K12" s="0" t="n">
        <v>2.34</v>
      </c>
      <c r="L12" s="0" t="n">
        <v>525.722</v>
      </c>
      <c r="M12" s="0" t="n">
        <v>70.009</v>
      </c>
      <c r="N12" s="0" t="n">
        <v>455.713</v>
      </c>
      <c r="O12" s="0" t="n">
        <v>1979.197</v>
      </c>
      <c r="P12" s="0" t="n">
        <v>5154.144</v>
      </c>
      <c r="R12" s="0" t="n">
        <v>2969.817</v>
      </c>
      <c r="S12" s="0" t="n">
        <v>1283.757</v>
      </c>
      <c r="T12" s="0" t="n">
        <v>244.076</v>
      </c>
      <c r="U12" s="0" t="n">
        <v>25.978</v>
      </c>
      <c r="V12" s="0" t="n">
        <v>0.415</v>
      </c>
      <c r="AA12" s="0" t="s">
        <v>18</v>
      </c>
      <c r="AB12" s="0" t="s">
        <v>14</v>
      </c>
    </row>
    <row r="13" customFormat="false" ht="15" hidden="false" customHeight="false" outlineLevel="0" collapsed="false">
      <c r="A13" s="0" t="s">
        <v>75</v>
      </c>
      <c r="B13" s="0" t="n">
        <v>2291.057</v>
      </c>
      <c r="C13" s="0" t="n">
        <v>761.557</v>
      </c>
      <c r="D13" s="0" t="n">
        <v>1529.5</v>
      </c>
      <c r="E13" s="0" t="n">
        <v>66.7595786573621</v>
      </c>
      <c r="F13" s="0" t="n">
        <v>354.7</v>
      </c>
      <c r="G13" s="0" t="n">
        <v>15.4819369400238</v>
      </c>
      <c r="H13" s="0" t="n">
        <v>700.415</v>
      </c>
      <c r="I13" s="0" t="n">
        <v>1025.915</v>
      </c>
      <c r="J13" s="0" t="n">
        <v>44.7791128723554</v>
      </c>
      <c r="K13" s="0" t="n">
        <v>4.04</v>
      </c>
      <c r="L13" s="0" t="n">
        <v>440.353</v>
      </c>
      <c r="M13" s="0" t="n">
        <v>79.592</v>
      </c>
      <c r="N13" s="0" t="n">
        <v>360.761</v>
      </c>
      <c r="O13" s="0" t="n">
        <v>3533.319</v>
      </c>
      <c r="P13" s="0" t="n">
        <v>7480.562</v>
      </c>
      <c r="R13" s="0" t="n">
        <v>3589.467</v>
      </c>
      <c r="S13" s="0" t="n">
        <v>443.357</v>
      </c>
      <c r="T13" s="0" t="n">
        <v>264.059567</v>
      </c>
      <c r="U13" s="0" t="n">
        <v>30.507</v>
      </c>
      <c r="V13" s="0" t="n">
        <v>0.477</v>
      </c>
      <c r="AA13" s="0" t="s">
        <v>18</v>
      </c>
      <c r="AB13" s="0" t="s">
        <v>14</v>
      </c>
    </row>
    <row r="14" customFormat="false" ht="15" hidden="false" customHeight="false" outlineLevel="0" collapsed="false">
      <c r="A14" s="0" t="s">
        <v>76</v>
      </c>
      <c r="B14" s="0" t="n">
        <v>2815.241</v>
      </c>
      <c r="C14" s="0" t="n">
        <v>950.999</v>
      </c>
      <c r="D14" s="0" t="n">
        <v>1864.242</v>
      </c>
      <c r="E14" s="0" t="n">
        <v>66.2196238261662</v>
      </c>
      <c r="F14" s="0" t="n">
        <v>506.693</v>
      </c>
      <c r="G14" s="0" t="n">
        <v>17.9982104551617</v>
      </c>
      <c r="H14" s="0" t="n">
        <v>963.622</v>
      </c>
      <c r="I14" s="0" t="n">
        <v>242.3</v>
      </c>
      <c r="J14" s="0" t="n">
        <v>8.6067231899507</v>
      </c>
      <c r="K14" s="0" t="n">
        <v>0.91</v>
      </c>
      <c r="L14" s="0" t="n">
        <v>708.081</v>
      </c>
      <c r="M14" s="0" t="n">
        <v>105.318</v>
      </c>
      <c r="N14" s="0" t="n">
        <v>602.763</v>
      </c>
      <c r="O14" s="0" t="n">
        <v>3717.258</v>
      </c>
      <c r="P14" s="0" t="n">
        <v>7765.029</v>
      </c>
      <c r="R14" s="0" t="n">
        <v>3534.567</v>
      </c>
      <c r="S14" s="0" t="n">
        <v>682.942</v>
      </c>
      <c r="T14" s="0" t="n">
        <v>267.651084</v>
      </c>
      <c r="U14" s="0" t="n">
        <v>27.594</v>
      </c>
      <c r="V14" s="0" t="n">
        <v>0.5478</v>
      </c>
      <c r="AA14" s="0" t="s">
        <v>18</v>
      </c>
      <c r="AB14" s="0" t="s">
        <v>14</v>
      </c>
    </row>
    <row r="15" customFormat="false" ht="15" hidden="false" customHeight="false" outlineLevel="0" collapsed="false">
      <c r="A15" s="0" t="s">
        <v>77</v>
      </c>
      <c r="B15" s="0" t="n">
        <v>2868.755</v>
      </c>
      <c r="C15" s="0" t="n">
        <v>930.703</v>
      </c>
      <c r="D15" s="0" t="n">
        <v>1938.052</v>
      </c>
      <c r="E15" s="0" t="n">
        <v>67.5572504448794</v>
      </c>
      <c r="F15" s="0" t="n">
        <v>567.01</v>
      </c>
      <c r="G15" s="0" t="n">
        <v>19.7650200173943</v>
      </c>
      <c r="H15" s="0" t="n">
        <v>1037.938</v>
      </c>
      <c r="I15" s="0" t="n">
        <v>285.637</v>
      </c>
      <c r="J15" s="0" t="n">
        <v>9.95682796195562</v>
      </c>
      <c r="K15" s="0" t="n">
        <v>1.06</v>
      </c>
      <c r="L15" s="0" t="n">
        <v>876.278</v>
      </c>
      <c r="M15" s="0" t="n">
        <v>63.837</v>
      </c>
      <c r="N15" s="0" t="n">
        <v>812.441</v>
      </c>
      <c r="O15" s="0" t="n">
        <v>3884.67</v>
      </c>
      <c r="P15" s="0" t="n">
        <v>7933.975</v>
      </c>
      <c r="R15" s="0" t="n">
        <v>2614.878</v>
      </c>
      <c r="S15" s="0" t="n">
        <v>941.009</v>
      </c>
      <c r="T15" s="0" t="n">
        <v>269.908</v>
      </c>
      <c r="U15" s="0" t="n">
        <v>26.77</v>
      </c>
      <c r="V15" s="0" t="n">
        <v>0.63</v>
      </c>
      <c r="AA15" s="0" t="s">
        <v>18</v>
      </c>
      <c r="AB15" s="0" t="s">
        <v>14</v>
      </c>
    </row>
    <row r="16" customFormat="false" ht="15" hidden="false" customHeight="false" outlineLevel="0" collapsed="false">
      <c r="A16" s="0" t="s">
        <v>78</v>
      </c>
      <c r="B16" s="0" t="n">
        <v>3109.736</v>
      </c>
      <c r="C16" s="0" t="n">
        <v>1003.775</v>
      </c>
      <c r="D16" s="0" t="n">
        <v>2105.961</v>
      </c>
      <c r="E16" s="0" t="n">
        <v>67.7215364905574</v>
      </c>
      <c r="F16" s="0" t="n">
        <v>503.529</v>
      </c>
      <c r="G16" s="0" t="n">
        <v>16.1920175860588</v>
      </c>
      <c r="I16" s="0" t="n">
        <v>234.368</v>
      </c>
      <c r="J16" s="0" t="n">
        <v>7.53658831489233</v>
      </c>
      <c r="K16" s="0" t="n">
        <v>0.86</v>
      </c>
      <c r="L16" s="0" t="n">
        <v>954.536</v>
      </c>
      <c r="M16" s="0" t="n">
        <v>72.709</v>
      </c>
      <c r="N16" s="0" t="n">
        <v>881.827</v>
      </c>
      <c r="O16" s="0" t="n">
        <v>4006.709</v>
      </c>
      <c r="P16" s="0" t="n">
        <v>10234.822</v>
      </c>
      <c r="R16" s="0" t="n">
        <v>5278.943</v>
      </c>
      <c r="S16" s="0" t="n">
        <v>1692.85</v>
      </c>
      <c r="T16" s="0" t="n">
        <v>271.863354</v>
      </c>
      <c r="U16" s="0" t="n">
        <v>29.532</v>
      </c>
      <c r="V16" s="0" t="n">
        <v>0.6984</v>
      </c>
      <c r="AA16" s="0" t="s">
        <v>18</v>
      </c>
      <c r="AB16" s="0" t="s">
        <v>14</v>
      </c>
    </row>
    <row r="17" customFormat="false" ht="15" hidden="false" customHeight="false" outlineLevel="0" collapsed="false">
      <c r="A17" s="0" t="s">
        <v>79</v>
      </c>
      <c r="B17" s="0" t="n">
        <v>3386.115</v>
      </c>
      <c r="C17" s="0" t="n">
        <v>1034.466</v>
      </c>
      <c r="D17" s="0" t="n">
        <v>2351.649</v>
      </c>
      <c r="E17" s="0" t="n">
        <v>69.4497676540815</v>
      </c>
      <c r="F17" s="0" t="n">
        <v>740.903</v>
      </c>
      <c r="G17" s="0" t="n">
        <v>21.8806213019936</v>
      </c>
      <c r="I17" s="0" t="n">
        <v>310.864</v>
      </c>
      <c r="J17" s="0" t="n">
        <v>9.18055057196817</v>
      </c>
      <c r="K17" s="0" t="n">
        <v>1.14</v>
      </c>
      <c r="L17" s="0" t="n">
        <v>876.12</v>
      </c>
      <c r="M17" s="0" t="n">
        <v>63.675</v>
      </c>
      <c r="N17" s="0" t="n">
        <v>812.445</v>
      </c>
      <c r="O17" s="0" t="n">
        <v>4099.453</v>
      </c>
      <c r="P17" s="0" t="n">
        <v>9609.336</v>
      </c>
      <c r="R17" s="0" t="n">
        <v>3588.859</v>
      </c>
      <c r="S17" s="0" t="n">
        <v>1607.306</v>
      </c>
      <c r="T17" s="0" t="n">
        <v>273.479</v>
      </c>
      <c r="U17" s="0" t="n">
        <v>51.969</v>
      </c>
      <c r="V17" s="0" t="n">
        <v>0.777</v>
      </c>
      <c r="AA17" s="0" t="s">
        <v>18</v>
      </c>
      <c r="AB17" s="0" t="s">
        <v>14</v>
      </c>
    </row>
    <row r="18" customFormat="false" ht="15" hidden="false" customHeight="false" outlineLevel="0" collapsed="false">
      <c r="A18" s="0" t="s">
        <v>80</v>
      </c>
      <c r="B18" s="0" t="n">
        <v>3493.844</v>
      </c>
      <c r="C18" s="0" t="n">
        <v>1062.201</v>
      </c>
      <c r="D18" s="0" t="n">
        <v>2431.643</v>
      </c>
      <c r="E18" s="0" t="n">
        <v>69.5979270969168</v>
      </c>
      <c r="F18" s="0" t="n">
        <v>644.773</v>
      </c>
      <c r="G18" s="0" t="n">
        <v>18.4545446219121</v>
      </c>
      <c r="I18" s="0" t="n">
        <v>397.259</v>
      </c>
      <c r="J18" s="0" t="n">
        <v>11.3702557984844</v>
      </c>
      <c r="K18" s="0" t="n">
        <v>1.46</v>
      </c>
      <c r="L18" s="0" t="n">
        <v>981.81</v>
      </c>
      <c r="M18" s="0" t="n">
        <v>93.109</v>
      </c>
      <c r="N18" s="0" t="n">
        <v>888.701</v>
      </c>
      <c r="O18" s="0" t="n">
        <v>4032.26</v>
      </c>
      <c r="P18" s="0" t="n">
        <v>10178.973</v>
      </c>
      <c r="R18" s="0" t="n">
        <v>4219.567</v>
      </c>
      <c r="S18" s="0" t="n">
        <v>1693.741</v>
      </c>
      <c r="T18" s="0" t="n">
        <v>271.909</v>
      </c>
      <c r="U18" s="0" t="n">
        <v>69.556</v>
      </c>
      <c r="V18" s="0" t="n">
        <v>0.8836</v>
      </c>
      <c r="AA18" s="0" t="s">
        <v>18</v>
      </c>
      <c r="AB18" s="0" t="s">
        <v>14</v>
      </c>
    </row>
    <row r="19" customFormat="false" ht="15" hidden="false" customHeight="false" outlineLevel="0" collapsed="false">
      <c r="A19" s="0" t="s">
        <v>81</v>
      </c>
      <c r="B19" s="0" t="n">
        <v>4484.98</v>
      </c>
      <c r="C19" s="0" t="n">
        <v>1316.587</v>
      </c>
      <c r="D19" s="0" t="n">
        <v>3168.393</v>
      </c>
      <c r="E19" s="0" t="n">
        <v>70.6445290725934</v>
      </c>
      <c r="F19" s="0" t="n">
        <v>516.292</v>
      </c>
      <c r="G19" s="0" t="n">
        <v>11.5115786469505</v>
      </c>
      <c r="I19" s="0" t="n">
        <v>150.566</v>
      </c>
      <c r="J19" s="0" t="n">
        <v>3.35711641969418</v>
      </c>
      <c r="K19" s="0" t="n">
        <v>0.56</v>
      </c>
      <c r="L19" s="0" t="n">
        <v>779.205</v>
      </c>
      <c r="M19" s="0" t="n">
        <v>123.832</v>
      </c>
      <c r="N19" s="0" t="n">
        <v>655.373</v>
      </c>
      <c r="O19" s="0" t="n">
        <v>4022.104</v>
      </c>
      <c r="P19" s="0" t="n">
        <v>17089.2</v>
      </c>
      <c r="R19" s="0" t="n">
        <v>8882.946</v>
      </c>
      <c r="S19" s="0" t="n">
        <v>1231.625</v>
      </c>
      <c r="T19" s="0" t="n">
        <v>270.902571</v>
      </c>
      <c r="U19" s="0" t="n">
        <v>130.302</v>
      </c>
      <c r="V19" s="0" t="n">
        <v>0.972</v>
      </c>
      <c r="AA19" s="0" t="s">
        <v>18</v>
      </c>
      <c r="AB19" s="0" t="s">
        <v>14</v>
      </c>
    </row>
    <row r="20" customFormat="false" ht="15" hidden="false" customHeight="false" outlineLevel="0" collapsed="false">
      <c r="A20" s="0" t="s">
        <v>82</v>
      </c>
      <c r="B20" s="0" t="n">
        <v>5769.577</v>
      </c>
      <c r="C20" s="0" t="n">
        <v>1578.549</v>
      </c>
      <c r="D20" s="0" t="n">
        <v>4191.028</v>
      </c>
      <c r="E20" s="0" t="n">
        <v>72.6401259572409</v>
      </c>
      <c r="F20" s="0" t="n">
        <v>887.085</v>
      </c>
      <c r="G20" s="0" t="n">
        <v>15.3752172819602</v>
      </c>
      <c r="I20" s="0" t="n">
        <v>465.284</v>
      </c>
      <c r="J20" s="0" t="n">
        <v>8.06443869281925</v>
      </c>
      <c r="K20" s="0" t="n">
        <v>1.71</v>
      </c>
      <c r="L20" s="0" t="n">
        <v>967.691</v>
      </c>
      <c r="M20" s="0" t="n">
        <v>159.295</v>
      </c>
      <c r="N20" s="0" t="n">
        <v>808.396</v>
      </c>
      <c r="O20" s="0" t="n">
        <v>4199.681</v>
      </c>
      <c r="P20" s="0" t="n">
        <v>14205.707</v>
      </c>
      <c r="R20" s="0" t="n">
        <v>6392.793</v>
      </c>
      <c r="S20" s="0" t="n">
        <v>1280.662</v>
      </c>
      <c r="T20" s="0" t="n">
        <v>272.588</v>
      </c>
      <c r="U20" s="0" t="n">
        <v>140.079</v>
      </c>
      <c r="V20" s="0" t="n">
        <v>1</v>
      </c>
      <c r="AA20" s="0" t="s">
        <v>18</v>
      </c>
      <c r="AB20" s="0" t="s">
        <v>14</v>
      </c>
    </row>
    <row r="21" customFormat="false" ht="15" hidden="false" customHeight="false" outlineLevel="0" collapsed="false">
      <c r="A21" s="0" t="s">
        <v>83</v>
      </c>
      <c r="B21" s="0" t="n">
        <v>5168.405</v>
      </c>
      <c r="C21" s="0" t="n">
        <v>1434.118</v>
      </c>
      <c r="D21" s="0" t="n">
        <v>3734.287</v>
      </c>
      <c r="E21" s="0" t="n">
        <v>72.2522132069759</v>
      </c>
      <c r="F21" s="0" t="n">
        <v>892.689</v>
      </c>
      <c r="G21" s="0" t="n">
        <v>17.2720404070501</v>
      </c>
      <c r="I21" s="0" t="n">
        <v>436.066</v>
      </c>
      <c r="J21" s="0" t="n">
        <v>8.43714840458517</v>
      </c>
      <c r="K21" s="0" t="n">
        <v>1.66</v>
      </c>
      <c r="L21" s="0" t="n">
        <v>830.618</v>
      </c>
      <c r="M21" s="0" t="n">
        <v>143.222</v>
      </c>
      <c r="N21" s="0" t="n">
        <v>687.396</v>
      </c>
      <c r="O21" s="0" t="n">
        <v>3930.588</v>
      </c>
      <c r="P21" s="0" t="n">
        <v>13774.064</v>
      </c>
      <c r="R21" s="0" t="n">
        <v>6377.921</v>
      </c>
      <c r="S21" s="0" t="n">
        <v>1156.496</v>
      </c>
      <c r="T21" s="0" t="n">
        <v>263.65</v>
      </c>
      <c r="U21" s="0" t="n">
        <v>104.84</v>
      </c>
      <c r="V21" s="0" t="n">
        <v>1.05</v>
      </c>
      <c r="AA21" s="0" t="s">
        <v>18</v>
      </c>
      <c r="AB21" s="0" t="s">
        <v>14</v>
      </c>
    </row>
    <row r="22" customFormat="false" ht="15" hidden="false" customHeight="false" outlineLevel="0" collapsed="false">
      <c r="A22" s="0" t="s">
        <v>84</v>
      </c>
      <c r="B22" s="0" t="n">
        <v>5246.401</v>
      </c>
      <c r="C22" s="0" t="n">
        <v>1377.94</v>
      </c>
      <c r="D22" s="0" t="n">
        <v>3868.461</v>
      </c>
      <c r="E22" s="0" t="n">
        <v>73.7355188823729</v>
      </c>
      <c r="F22" s="0" t="n">
        <v>1082.597</v>
      </c>
      <c r="G22" s="0" t="n">
        <v>20.6350410500456</v>
      </c>
      <c r="I22" s="0" t="n">
        <v>643.263</v>
      </c>
      <c r="J22" s="0" t="n">
        <v>12.2610338020292</v>
      </c>
      <c r="K22" s="0" t="n">
        <v>2.58</v>
      </c>
      <c r="L22" s="0" t="n">
        <v>1006.817</v>
      </c>
      <c r="M22" s="0" t="n">
        <v>199.3</v>
      </c>
      <c r="N22" s="0" t="n">
        <v>807.517</v>
      </c>
      <c r="O22" s="0" t="n">
        <v>4016.066</v>
      </c>
      <c r="P22" s="0" t="n">
        <v>13106.504</v>
      </c>
      <c r="R22" s="0" t="n">
        <v>5770.369</v>
      </c>
      <c r="S22" s="0" t="n">
        <v>956.024</v>
      </c>
      <c r="T22" s="0" t="n">
        <v>249.373</v>
      </c>
      <c r="U22" s="0" t="n">
        <v>80.636</v>
      </c>
      <c r="V22" s="0" t="n">
        <v>1.1</v>
      </c>
      <c r="AA22" s="0" t="s">
        <v>18</v>
      </c>
      <c r="AB22" s="0"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85</v>
      </c>
      <c r="B1" s="2" t="s">
        <v>86</v>
      </c>
    </row>
    <row r="2" customFormat="false" ht="15" hidden="false" customHeight="false" outlineLevel="0" collapsed="false">
      <c r="A2" s="0" t="s">
        <v>87</v>
      </c>
      <c r="B2" s="3" t="n">
        <v>33.82</v>
      </c>
    </row>
    <row r="3" customFormat="false" ht="15" hidden="false" customHeight="false" outlineLevel="0" collapsed="false">
      <c r="A3" s="0" t="s">
        <v>88</v>
      </c>
      <c r="B3" s="3" t="n">
        <v>242.48</v>
      </c>
    </row>
    <row r="4" customFormat="false" ht="15" hidden="false" customHeight="false" outlineLevel="0" collapsed="false">
      <c r="A4" s="0" t="s">
        <v>89</v>
      </c>
      <c r="B4" s="3" t="n">
        <v>4814.345</v>
      </c>
    </row>
    <row r="5" customFormat="false" ht="15" hidden="false" customHeight="false" outlineLevel="0" collapsed="false">
      <c r="A5" s="0" t="s">
        <v>90</v>
      </c>
      <c r="B5" s="3" t="n">
        <v>-55</v>
      </c>
    </row>
    <row r="6" customFormat="false" ht="15" hidden="false" customHeight="false" outlineLevel="0" collapsed="false">
      <c r="A6" s="0" t="s">
        <v>91</v>
      </c>
      <c r="B6" s="3" t="n">
        <v>15</v>
      </c>
    </row>
    <row r="7" customFormat="false" ht="15" hidden="false" customHeight="false" outlineLevel="0" collapsed="false">
      <c r="A7" s="0" t="s">
        <v>92</v>
      </c>
      <c r="B7" s="3" t="n">
        <v>5246.401</v>
      </c>
    </row>
    <row r="8" customFormat="false" ht="15" hidden="false" customHeight="false" outlineLevel="0" collapsed="false">
      <c r="A8" s="0" t="s">
        <v>93</v>
      </c>
      <c r="B8" s="3" t="s">
        <v>84</v>
      </c>
    </row>
    <row r="9" customFormat="false" ht="15" hidden="false" customHeight="false" outlineLevel="0" collapsed="false">
      <c r="A9" s="0" t="s">
        <v>94</v>
      </c>
      <c r="B9" s="3" t="s">
        <v>95</v>
      </c>
    </row>
    <row r="10" customFormat="false" ht="15" hidden="false" customHeight="false" outlineLevel="0" collapsed="false">
      <c r="A10" s="0" t="s">
        <v>96</v>
      </c>
      <c r="B10" s="3" t="n">
        <v>1.4254</v>
      </c>
    </row>
    <row r="12" customFormat="false" ht="15" hidden="false" customHeight="false" outlineLevel="0" collapsed="false">
      <c r="A12" s="2" t="s">
        <v>97</v>
      </c>
      <c r="C12" s="2" t="s">
        <v>98</v>
      </c>
      <c r="D12" s="2" t="s">
        <v>99</v>
      </c>
      <c r="E12" s="2" t="s">
        <v>100</v>
      </c>
      <c r="F12" s="2" t="s">
        <v>101</v>
      </c>
      <c r="G12" s="2" t="s">
        <v>102</v>
      </c>
      <c r="H12" s="2" t="s">
        <v>103</v>
      </c>
      <c r="I12" s="2" t="s">
        <v>104</v>
      </c>
      <c r="J12" s="2" t="s">
        <v>105</v>
      </c>
      <c r="K12" s="2" t="s">
        <v>106</v>
      </c>
      <c r="L12" s="2" t="s">
        <v>107</v>
      </c>
    </row>
    <row r="13" customFormat="false" ht="15" hidden="false" customHeight="false" outlineLevel="0" collapsed="false">
      <c r="A13" s="0" t="s">
        <v>108</v>
      </c>
      <c r="C13" s="3" t="n">
        <v>-2.2</v>
      </c>
      <c r="D13" s="3" t="n">
        <v>-1.5</v>
      </c>
      <c r="E13" s="3" t="n">
        <v>-1</v>
      </c>
      <c r="F13" s="3" t="n">
        <v>0</v>
      </c>
      <c r="G13" s="3" t="n">
        <v>0.5</v>
      </c>
      <c r="H13" s="3" t="n">
        <v>1</v>
      </c>
      <c r="I13" s="3" t="n">
        <v>1</v>
      </c>
      <c r="J13" s="3" t="n">
        <v>1</v>
      </c>
      <c r="K13" s="3" t="n">
        <v>1</v>
      </c>
      <c r="L13" s="3" t="n">
        <v>1</v>
      </c>
    </row>
    <row r="14" customFormat="false" ht="15" hidden="false" customHeight="false" outlineLevel="0" collapsed="false">
      <c r="A14" s="0" t="s">
        <v>109</v>
      </c>
      <c r="C14" s="3" t="n">
        <v>26.5</v>
      </c>
      <c r="D14" s="3" t="n">
        <v>26</v>
      </c>
      <c r="E14" s="3" t="n">
        <v>25.8</v>
      </c>
      <c r="F14" s="3" t="n">
        <v>25.5</v>
      </c>
      <c r="G14" s="3" t="n">
        <v>25.5</v>
      </c>
      <c r="H14" s="3" t="n">
        <v>25.5</v>
      </c>
      <c r="I14" s="3" t="n">
        <v>25.5</v>
      </c>
      <c r="J14" s="3" t="n">
        <v>25.5</v>
      </c>
      <c r="K14" s="3" t="n">
        <v>25.5</v>
      </c>
      <c r="L14" s="3" t="n">
        <v>25.5</v>
      </c>
    </row>
    <row r="15" customFormat="false" ht="15" hidden="false" customHeight="false" outlineLevel="0" collapsed="false">
      <c r="A15" s="0" t="s">
        <v>110</v>
      </c>
      <c r="C15" s="3" t="n">
        <v>1.8</v>
      </c>
      <c r="D15" s="3" t="n">
        <v>1.8</v>
      </c>
      <c r="E15" s="3" t="n">
        <v>1.8</v>
      </c>
      <c r="F15" s="3" t="n">
        <v>1.8</v>
      </c>
      <c r="G15" s="3" t="n">
        <v>1.8</v>
      </c>
      <c r="H15" s="3" t="n">
        <v>1.8</v>
      </c>
      <c r="I15" s="3" t="n">
        <v>1.8</v>
      </c>
      <c r="J15" s="3" t="n">
        <v>1.8</v>
      </c>
      <c r="K15" s="3" t="n">
        <v>1.8</v>
      </c>
      <c r="L15" s="3" t="n">
        <v>1.8</v>
      </c>
    </row>
    <row r="16" customFormat="false" ht="15" hidden="false" customHeight="false" outlineLevel="0" collapsed="false">
      <c r="A16" s="0" t="s">
        <v>111</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112</v>
      </c>
      <c r="C17" s="3" t="n">
        <v>3</v>
      </c>
      <c r="D17" s="3" t="n">
        <v>3</v>
      </c>
      <c r="E17" s="3" t="n">
        <v>3</v>
      </c>
      <c r="F17" s="3" t="n">
        <v>3</v>
      </c>
      <c r="G17" s="3" t="n">
        <v>3</v>
      </c>
      <c r="H17" s="3" t="n">
        <v>3</v>
      </c>
      <c r="I17" s="3" t="n">
        <v>3</v>
      </c>
      <c r="J17" s="3" t="n">
        <v>3</v>
      </c>
      <c r="K17" s="3" t="n">
        <v>3</v>
      </c>
      <c r="L17" s="3" t="n">
        <v>3</v>
      </c>
    </row>
    <row r="18" customFormat="false" ht="15" hidden="false" customHeight="false" outlineLevel="0" collapsed="false">
      <c r="A18" s="0" t="s">
        <v>113</v>
      </c>
      <c r="C18" s="3" t="n">
        <v>3.5</v>
      </c>
      <c r="D18" s="3" t="n">
        <v>3.4</v>
      </c>
      <c r="E18" s="3" t="n">
        <v>3.3</v>
      </c>
      <c r="F18" s="3" t="n">
        <v>3.3</v>
      </c>
      <c r="G18" s="3" t="n">
        <v>3.3</v>
      </c>
      <c r="H18" s="3" t="n">
        <v>3.3</v>
      </c>
      <c r="I18" s="3" t="n">
        <v>3.3</v>
      </c>
      <c r="J18" s="3" t="n">
        <v>3.3</v>
      </c>
      <c r="K18" s="3" t="n">
        <v>3.3</v>
      </c>
      <c r="L18" s="3" t="n">
        <v>3.3</v>
      </c>
    </row>
    <row r="19" customFormat="false" ht="15" hidden="false" customHeight="false" outlineLevel="0" collapsed="false">
      <c r="A19" s="0" t="s">
        <v>114</v>
      </c>
      <c r="C19" s="3" t="n">
        <v>25</v>
      </c>
      <c r="D19" s="3" t="n">
        <v>25</v>
      </c>
      <c r="E19" s="3" t="n">
        <v>25</v>
      </c>
      <c r="F19" s="3" t="n">
        <v>25</v>
      </c>
      <c r="G19" s="3" t="n">
        <v>25</v>
      </c>
      <c r="H19" s="3" t="n">
        <v>25</v>
      </c>
      <c r="I19" s="3" t="n">
        <v>25</v>
      </c>
      <c r="J19" s="3" t="n">
        <v>25</v>
      </c>
      <c r="K19" s="3" t="n">
        <v>25</v>
      </c>
      <c r="L19" s="3" t="n">
        <v>25</v>
      </c>
    </row>
    <row r="20" customFormat="false" ht="15" hidden="false" customHeight="false" outlineLevel="0" collapsed="false">
      <c r="A20" s="0" t="s">
        <v>115</v>
      </c>
      <c r="B20" s="3" t="n">
        <v>9</v>
      </c>
    </row>
    <row r="21" customFormat="false" ht="15" hidden="false" customHeight="false" outlineLevel="0" collapsed="false">
      <c r="A21" s="0" t="s">
        <v>116</v>
      </c>
      <c r="B21" s="3" t="n">
        <v>0.5</v>
      </c>
    </row>
    <row r="22" customFormat="false" ht="15" hidden="false" customHeight="false" outlineLevel="0" collapsed="false">
      <c r="A22" s="0" t="s">
        <v>117</v>
      </c>
      <c r="B22" s="3" t="n">
        <v>10</v>
      </c>
    </row>
    <row r="23" customFormat="false" ht="15" hidden="false" customHeight="false" outlineLevel="0" collapsed="false">
      <c r="A23" s="0" t="s">
        <v>118</v>
      </c>
      <c r="B23" s="3" t="n">
        <v>15</v>
      </c>
    </row>
    <row r="24" customFormat="false" ht="15" hidden="false" customHeight="false" outlineLevel="0" collapsed="false">
      <c r="A24" s="0" t="s">
        <v>119</v>
      </c>
      <c r="B24" s="3" t="n">
        <v>0.25</v>
      </c>
    </row>
    <row r="26" customFormat="false" ht="15" hidden="false" customHeight="false" outlineLevel="0" collapsed="false">
      <c r="A26" s="2" t="s">
        <v>120</v>
      </c>
      <c r="C26" s="2" t="s">
        <v>98</v>
      </c>
      <c r="D26" s="2" t="s">
        <v>99</v>
      </c>
      <c r="E26" s="2" t="s">
        <v>100</v>
      </c>
      <c r="F26" s="2" t="s">
        <v>101</v>
      </c>
      <c r="G26" s="2" t="s">
        <v>102</v>
      </c>
      <c r="H26" s="2" t="s">
        <v>103</v>
      </c>
      <c r="I26" s="2" t="s">
        <v>104</v>
      </c>
      <c r="J26" s="2" t="s">
        <v>105</v>
      </c>
      <c r="K26" s="2" t="s">
        <v>106</v>
      </c>
      <c r="L26" s="2" t="s">
        <v>107</v>
      </c>
    </row>
    <row r="27" customFormat="false" ht="15" hidden="false" customHeight="false" outlineLevel="0" collapsed="false">
      <c r="A27" s="0" t="s">
        <v>108</v>
      </c>
      <c r="C27" s="3" t="n">
        <v>-1.65</v>
      </c>
      <c r="D27" s="3" t="n">
        <v>1.5</v>
      </c>
      <c r="E27" s="3" t="n">
        <v>2</v>
      </c>
      <c r="F27" s="3" t="n">
        <v>2.5</v>
      </c>
      <c r="G27" s="3" t="n">
        <v>2.5</v>
      </c>
      <c r="H27" s="3" t="n">
        <v>2.5</v>
      </c>
      <c r="I27" s="3" t="n">
        <v>2.5</v>
      </c>
      <c r="J27" s="3" t="n">
        <v>2.5</v>
      </c>
      <c r="K27" s="3" t="n">
        <v>2</v>
      </c>
      <c r="L27" s="3" t="n">
        <v>2</v>
      </c>
    </row>
    <row r="28" customFormat="false" ht="15" hidden="false" customHeight="false" outlineLevel="0" collapsed="false">
      <c r="A28" s="0" t="s">
        <v>109</v>
      </c>
      <c r="C28" s="3" t="n">
        <v>27</v>
      </c>
      <c r="D28" s="3" t="n">
        <v>27.8</v>
      </c>
      <c r="E28" s="3" t="n">
        <v>28.4</v>
      </c>
      <c r="F28" s="3" t="n">
        <v>28.9</v>
      </c>
      <c r="G28" s="3" t="n">
        <v>29.3</v>
      </c>
      <c r="H28" s="3" t="n">
        <v>29.5</v>
      </c>
      <c r="I28" s="3" t="n">
        <v>29.5</v>
      </c>
      <c r="J28" s="3" t="n">
        <v>29.5</v>
      </c>
      <c r="K28" s="3" t="n">
        <v>29.5</v>
      </c>
      <c r="L28" s="3" t="n">
        <v>29.5</v>
      </c>
    </row>
    <row r="29" customFormat="false" ht="15" hidden="false" customHeight="false" outlineLevel="0" collapsed="false">
      <c r="A29" s="0" t="s">
        <v>110</v>
      </c>
      <c r="C29" s="3" t="n">
        <v>1.8</v>
      </c>
      <c r="D29" s="3" t="n">
        <v>1.8</v>
      </c>
      <c r="E29" s="3" t="n">
        <v>1.8</v>
      </c>
      <c r="F29" s="3" t="n">
        <v>1.8</v>
      </c>
      <c r="G29" s="3" t="n">
        <v>1.8</v>
      </c>
      <c r="H29" s="3" t="n">
        <v>1.8</v>
      </c>
      <c r="I29" s="3" t="n">
        <v>1.8</v>
      </c>
      <c r="J29" s="3" t="n">
        <v>1.8</v>
      </c>
      <c r="K29" s="3" t="n">
        <v>1.8</v>
      </c>
      <c r="L29" s="3" t="n">
        <v>1.8</v>
      </c>
    </row>
    <row r="30" customFormat="false" ht="15" hidden="false" customHeight="false" outlineLevel="0" collapsed="false">
      <c r="A30" s="0" t="s">
        <v>111</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112</v>
      </c>
      <c r="C31" s="3" t="n">
        <v>3</v>
      </c>
      <c r="D31" s="3" t="n">
        <v>3</v>
      </c>
      <c r="E31" s="3" t="n">
        <v>3</v>
      </c>
      <c r="F31" s="3" t="n">
        <v>3</v>
      </c>
      <c r="G31" s="3" t="n">
        <v>3</v>
      </c>
      <c r="H31" s="3" t="n">
        <v>3</v>
      </c>
      <c r="I31" s="3" t="n">
        <v>3</v>
      </c>
      <c r="J31" s="3" t="n">
        <v>3</v>
      </c>
      <c r="K31" s="3" t="n">
        <v>3</v>
      </c>
      <c r="L31" s="3" t="n">
        <v>3</v>
      </c>
    </row>
    <row r="32" customFormat="false" ht="15" hidden="false" customHeight="false" outlineLevel="0" collapsed="false">
      <c r="A32" s="0" t="s">
        <v>113</v>
      </c>
      <c r="C32" s="3" t="n">
        <v>3.5</v>
      </c>
      <c r="D32" s="3" t="n">
        <v>3.4</v>
      </c>
      <c r="E32" s="3" t="n">
        <v>3.3</v>
      </c>
      <c r="F32" s="3" t="n">
        <v>3.3</v>
      </c>
      <c r="G32" s="3" t="n">
        <v>3.3</v>
      </c>
      <c r="H32" s="3" t="n">
        <v>3.3</v>
      </c>
      <c r="I32" s="3" t="n">
        <v>3.3</v>
      </c>
      <c r="J32" s="3" t="n">
        <v>3.3</v>
      </c>
      <c r="K32" s="3" t="n">
        <v>3.3</v>
      </c>
      <c r="L32" s="3" t="n">
        <v>3.3</v>
      </c>
    </row>
    <row r="33" customFormat="false" ht="15" hidden="false" customHeight="false" outlineLevel="0" collapsed="false">
      <c r="A33" s="0" t="s">
        <v>114</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115</v>
      </c>
      <c r="B34" s="3" t="n">
        <v>9</v>
      </c>
    </row>
    <row r="35" customFormat="false" ht="15" hidden="false" customHeight="false" outlineLevel="0" collapsed="false">
      <c r="A35" s="0" t="s">
        <v>116</v>
      </c>
      <c r="B35" s="3" t="n">
        <v>2</v>
      </c>
    </row>
    <row r="36" customFormat="false" ht="15" hidden="false" customHeight="false" outlineLevel="0" collapsed="false">
      <c r="A36" s="0" t="s">
        <v>117</v>
      </c>
      <c r="B36" s="3" t="n">
        <v>13</v>
      </c>
    </row>
    <row r="37" customFormat="false" ht="15" hidden="false" customHeight="false" outlineLevel="0" collapsed="false">
      <c r="A37" s="0" t="s">
        <v>118</v>
      </c>
      <c r="B37" s="3" t="n">
        <v>15</v>
      </c>
    </row>
    <row r="38" customFormat="false" ht="15" hidden="false" customHeight="false" outlineLevel="0" collapsed="false">
      <c r="A38" s="0" t="s">
        <v>119</v>
      </c>
      <c r="B38" s="3" t="n">
        <v>0.5</v>
      </c>
    </row>
    <row r="40" customFormat="false" ht="15" hidden="false" customHeight="false" outlineLevel="0" collapsed="false">
      <c r="A40" s="2" t="s">
        <v>121</v>
      </c>
      <c r="C40" s="2" t="s">
        <v>98</v>
      </c>
      <c r="D40" s="2" t="s">
        <v>99</v>
      </c>
      <c r="E40" s="2" t="s">
        <v>100</v>
      </c>
      <c r="F40" s="2" t="s">
        <v>101</v>
      </c>
      <c r="G40" s="2" t="s">
        <v>102</v>
      </c>
      <c r="H40" s="2" t="s">
        <v>103</v>
      </c>
      <c r="I40" s="2" t="s">
        <v>104</v>
      </c>
      <c r="J40" s="2" t="s">
        <v>105</v>
      </c>
      <c r="K40" s="2" t="s">
        <v>106</v>
      </c>
      <c r="L40" s="2" t="s">
        <v>107</v>
      </c>
    </row>
    <row r="41" customFormat="false" ht="15" hidden="false" customHeight="false" outlineLevel="0" collapsed="false">
      <c r="A41" s="0" t="s">
        <v>108</v>
      </c>
      <c r="C41" s="3" t="n">
        <v>-1.2</v>
      </c>
      <c r="D41" s="3" t="n">
        <v>3</v>
      </c>
      <c r="E41" s="3" t="n">
        <v>4</v>
      </c>
      <c r="F41" s="3" t="n">
        <v>4.5</v>
      </c>
      <c r="G41" s="3" t="n">
        <v>4.5</v>
      </c>
      <c r="H41" s="3" t="n">
        <v>4</v>
      </c>
      <c r="I41" s="3" t="n">
        <v>3.5</v>
      </c>
      <c r="J41" s="3" t="n">
        <v>3</v>
      </c>
      <c r="K41" s="3" t="n">
        <v>3</v>
      </c>
      <c r="L41" s="3" t="n">
        <v>3</v>
      </c>
    </row>
    <row r="42" customFormat="false" ht="15" hidden="false" customHeight="false" outlineLevel="0" collapsed="false">
      <c r="A42" s="0" t="s">
        <v>109</v>
      </c>
      <c r="C42" s="3" t="n">
        <v>27.5</v>
      </c>
      <c r="D42" s="3" t="n">
        <v>28.5</v>
      </c>
      <c r="E42" s="3" t="n">
        <v>29.5</v>
      </c>
      <c r="F42" s="3" t="n">
        <v>30.3</v>
      </c>
      <c r="G42" s="3" t="n">
        <v>31</v>
      </c>
      <c r="H42" s="3" t="n">
        <v>31.5</v>
      </c>
      <c r="I42" s="3" t="n">
        <v>31.5</v>
      </c>
      <c r="J42" s="3" t="n">
        <v>31.5</v>
      </c>
      <c r="K42" s="3" t="n">
        <v>31.5</v>
      </c>
      <c r="L42" s="3" t="n">
        <v>31.5</v>
      </c>
    </row>
    <row r="43" customFormat="false" ht="15" hidden="false" customHeight="false" outlineLevel="0" collapsed="false">
      <c r="A43" s="0" t="s">
        <v>110</v>
      </c>
      <c r="C43" s="3" t="n">
        <v>1.8</v>
      </c>
      <c r="D43" s="3" t="n">
        <v>1.8</v>
      </c>
      <c r="E43" s="3" t="n">
        <v>1.8</v>
      </c>
      <c r="F43" s="3" t="n">
        <v>1.8</v>
      </c>
      <c r="G43" s="3" t="n">
        <v>1.8</v>
      </c>
      <c r="H43" s="3" t="n">
        <v>1.8</v>
      </c>
      <c r="I43" s="3" t="n">
        <v>1.8</v>
      </c>
      <c r="J43" s="3" t="n">
        <v>1.8</v>
      </c>
      <c r="K43" s="3" t="n">
        <v>1.8</v>
      </c>
      <c r="L43" s="3" t="n">
        <v>1.8</v>
      </c>
    </row>
    <row r="44" customFormat="false" ht="15" hidden="false" customHeight="false" outlineLevel="0" collapsed="false">
      <c r="A44" s="0" t="s">
        <v>111</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112</v>
      </c>
      <c r="C45" s="3" t="n">
        <v>3</v>
      </c>
      <c r="D45" s="3" t="n">
        <v>3</v>
      </c>
      <c r="E45" s="3" t="n">
        <v>3</v>
      </c>
      <c r="F45" s="3" t="n">
        <v>3</v>
      </c>
      <c r="G45" s="3" t="n">
        <v>3</v>
      </c>
      <c r="H45" s="3" t="n">
        <v>3</v>
      </c>
      <c r="I45" s="3" t="n">
        <v>3</v>
      </c>
      <c r="J45" s="3" t="n">
        <v>3</v>
      </c>
      <c r="K45" s="3" t="n">
        <v>3</v>
      </c>
      <c r="L45" s="3" t="n">
        <v>3</v>
      </c>
    </row>
    <row r="46" customFormat="false" ht="15" hidden="false" customHeight="false" outlineLevel="0" collapsed="false">
      <c r="A46" s="0" t="s">
        <v>113</v>
      </c>
      <c r="C46" s="3" t="n">
        <v>3.5</v>
      </c>
      <c r="D46" s="3" t="n">
        <v>3.4</v>
      </c>
      <c r="E46" s="3" t="n">
        <v>3.3</v>
      </c>
      <c r="F46" s="3" t="n">
        <v>3.3</v>
      </c>
      <c r="G46" s="3" t="n">
        <v>3.3</v>
      </c>
      <c r="H46" s="3" t="n">
        <v>3.3</v>
      </c>
      <c r="I46" s="3" t="n">
        <v>3.3</v>
      </c>
      <c r="J46" s="3" t="n">
        <v>3.3</v>
      </c>
      <c r="K46" s="3" t="n">
        <v>3.3</v>
      </c>
      <c r="L46" s="3" t="n">
        <v>3.3</v>
      </c>
    </row>
    <row r="47" customFormat="false" ht="15" hidden="false" customHeight="false" outlineLevel="0" collapsed="false">
      <c r="A47" s="0" t="s">
        <v>114</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115</v>
      </c>
      <c r="B48" s="3" t="n">
        <v>9</v>
      </c>
    </row>
    <row r="49" customFormat="false" ht="15" hidden="false" customHeight="false" outlineLevel="0" collapsed="false">
      <c r="A49" s="0" t="s">
        <v>116</v>
      </c>
      <c r="B49" s="3" t="n">
        <v>2.5</v>
      </c>
    </row>
    <row r="50" customFormat="false" ht="15" hidden="false" customHeight="false" outlineLevel="0" collapsed="false">
      <c r="A50" s="0" t="s">
        <v>117</v>
      </c>
      <c r="B50" s="3" t="n">
        <v>15</v>
      </c>
    </row>
    <row r="51" customFormat="false" ht="15" hidden="false" customHeight="false" outlineLevel="0" collapsed="false">
      <c r="A51" s="0" t="s">
        <v>118</v>
      </c>
      <c r="B51" s="3" t="n">
        <v>15</v>
      </c>
    </row>
    <row r="52" customFormat="false" ht="15" hidden="false" customHeight="false" outlineLevel="0" collapsed="false">
      <c r="A52" s="0" t="s">
        <v>119</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122</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Assumptions!C13</f>
        <v>-2.2</v>
      </c>
      <c r="D5" s="4" t="n">
        <f aca="false">Assumptions!D13</f>
        <v>-1.5</v>
      </c>
      <c r="E5" s="4" t="n">
        <f aca="false">Assumptions!E13</f>
        <v>-1</v>
      </c>
      <c r="F5" s="4" t="n">
        <f aca="false">Assumptions!F13</f>
        <v>0</v>
      </c>
      <c r="G5" s="4" t="n">
        <f aca="false">Assumptions!G13</f>
        <v>0.5</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38</v>
      </c>
      <c r="B6" s="3" t="n">
        <v>5246.401</v>
      </c>
      <c r="C6" s="0" t="n">
        <f aca="false">B6*(1+C5/100)</f>
        <v>5130.980178</v>
      </c>
      <c r="D6" s="0" t="n">
        <f aca="false">C6*(1+D5/100)</f>
        <v>5054.01547533</v>
      </c>
      <c r="E6" s="0" t="n">
        <f aca="false">D6*(1+E5/100)</f>
        <v>5003.4753205767</v>
      </c>
      <c r="F6" s="0" t="n">
        <f aca="false">E6*(1+F5/100)</f>
        <v>5003.4753205767</v>
      </c>
      <c r="G6" s="0" t="n">
        <f aca="false">F6*(1+G5/100)</f>
        <v>5028.49269717958</v>
      </c>
      <c r="H6" s="0" t="n">
        <f aca="false">G6*(1+H5/100)</f>
        <v>5078.77762415138</v>
      </c>
      <c r="I6" s="0" t="n">
        <f aca="false">H6*(1+I5/100)</f>
        <v>5129.56540039289</v>
      </c>
      <c r="J6" s="0" t="n">
        <f aca="false">I6*(1+J5/100)</f>
        <v>5180.86105439682</v>
      </c>
      <c r="K6" s="0" t="n">
        <f aca="false">J6*(1+K5/100)</f>
        <v>5232.66966494079</v>
      </c>
      <c r="L6" s="0" t="n">
        <f aca="false">K6*(1+L5/100)</f>
        <v>5284.9963615902</v>
      </c>
    </row>
    <row r="7" customFormat="false" ht="15" hidden="false" customHeight="false" outlineLevel="0" collapsed="false">
      <c r="A7" s="0" t="s">
        <v>109</v>
      </c>
      <c r="C7" s="4" t="n">
        <f aca="false">Assumptions!C14</f>
        <v>26.5</v>
      </c>
      <c r="D7" s="4" t="n">
        <f aca="false">Assumptions!D14</f>
        <v>26</v>
      </c>
      <c r="E7" s="4" t="n">
        <f aca="false">Assumptions!E14</f>
        <v>25.8</v>
      </c>
      <c r="F7" s="4" t="n">
        <f aca="false">Assumptions!F14</f>
        <v>25.5</v>
      </c>
      <c r="G7" s="4" t="n">
        <f aca="false">Assumptions!G14</f>
        <v>25.5</v>
      </c>
      <c r="H7" s="4" t="n">
        <f aca="false">Assumptions!H14</f>
        <v>25.5</v>
      </c>
      <c r="I7" s="4" t="n">
        <f aca="false">Assumptions!I14</f>
        <v>25.5</v>
      </c>
      <c r="J7" s="4" t="n">
        <f aca="false">Assumptions!J14</f>
        <v>25.5</v>
      </c>
      <c r="K7" s="4" t="n">
        <f aca="false">Assumptions!K14</f>
        <v>25.5</v>
      </c>
      <c r="L7" s="4" t="n">
        <f aca="false">Assumptions!L14</f>
        <v>25.5</v>
      </c>
    </row>
    <row r="8" customFormat="false" ht="15" hidden="false" customHeight="false" outlineLevel="0" collapsed="false">
      <c r="A8" s="0" t="s">
        <v>44</v>
      </c>
      <c r="C8" s="0" t="n">
        <f aca="false">C6*C7/100</f>
        <v>1359.70974717</v>
      </c>
      <c r="D8" s="0" t="n">
        <f aca="false">D6*D7/100</f>
        <v>1314.0440235858</v>
      </c>
      <c r="E8" s="0" t="n">
        <f aca="false">E6*E7/100</f>
        <v>1290.89663270879</v>
      </c>
      <c r="F8" s="0" t="n">
        <f aca="false">F6*F7/100</f>
        <v>1275.88620674706</v>
      </c>
      <c r="G8" s="0" t="n">
        <f aca="false">G6*G7/100</f>
        <v>1282.26563778079</v>
      </c>
      <c r="H8" s="0" t="n">
        <f aca="false">H6*H7/100</f>
        <v>1295.0882941586</v>
      </c>
      <c r="I8" s="0" t="n">
        <f aca="false">I6*I7/100</f>
        <v>1308.03917710019</v>
      </c>
      <c r="J8" s="0" t="n">
        <f aca="false">J6*J7/100</f>
        <v>1321.11956887119</v>
      </c>
      <c r="K8" s="0" t="n">
        <f aca="false">K6*K7/100</f>
        <v>1334.3307645599</v>
      </c>
      <c r="L8" s="0" t="n">
        <f aca="false">L6*L7/100</f>
        <v>1347.6740722055</v>
      </c>
    </row>
    <row r="9" customFormat="false" ht="15" hidden="false" customHeight="false" outlineLevel="0" collapsed="false">
      <c r="A9" s="0" t="s">
        <v>110</v>
      </c>
      <c r="C9" s="4" t="n">
        <f aca="false">Assumptions!C15</f>
        <v>1.8</v>
      </c>
      <c r="D9" s="4" t="n">
        <f aca="false">Assumptions!D15</f>
        <v>1.8</v>
      </c>
      <c r="E9" s="4" t="n">
        <f aca="false">Assumptions!E15</f>
        <v>1.8</v>
      </c>
      <c r="F9" s="4" t="n">
        <f aca="false">Assumptions!F15</f>
        <v>1.8</v>
      </c>
      <c r="G9" s="4" t="n">
        <f aca="false">Assumptions!G15</f>
        <v>1.8</v>
      </c>
      <c r="H9" s="4" t="n">
        <f aca="false">Assumptions!H15</f>
        <v>1.8</v>
      </c>
      <c r="I9" s="4" t="n">
        <f aca="false">Assumptions!I15</f>
        <v>1.8</v>
      </c>
      <c r="J9" s="4" t="n">
        <f aca="false">Assumptions!J15</f>
        <v>1.8</v>
      </c>
      <c r="K9" s="4" t="n">
        <f aca="false">Assumptions!K15</f>
        <v>1.8</v>
      </c>
      <c r="L9" s="4" t="n">
        <f aca="false">Assumptions!L15</f>
        <v>1.8</v>
      </c>
    </row>
    <row r="10" customFormat="false" ht="15" hidden="false" customHeight="false" outlineLevel="0" collapsed="false">
      <c r="A10" s="0" t="s">
        <v>125</v>
      </c>
      <c r="C10" s="0" t="n">
        <f aca="false">-C6*C9/100</f>
        <v>-92.357643204</v>
      </c>
      <c r="D10" s="0" t="n">
        <f aca="false">-D6*D9/100</f>
        <v>-90.97227855594</v>
      </c>
      <c r="E10" s="0" t="n">
        <f aca="false">-E6*E9/100</f>
        <v>-90.0625557703806</v>
      </c>
      <c r="F10" s="0" t="n">
        <f aca="false">-F6*F9/100</f>
        <v>-90.0625557703806</v>
      </c>
      <c r="G10" s="0" t="n">
        <f aca="false">-G6*G9/100</f>
        <v>-90.5128685492325</v>
      </c>
      <c r="H10" s="0" t="n">
        <f aca="false">-H6*H9/100</f>
        <v>-91.4179972347248</v>
      </c>
      <c r="I10" s="0" t="n">
        <f aca="false">-I6*I9/100</f>
        <v>-92.3321772070721</v>
      </c>
      <c r="J10" s="0" t="n">
        <f aca="false">-J6*J9/100</f>
        <v>-93.2554989791428</v>
      </c>
      <c r="K10" s="0" t="n">
        <f aca="false">-K6*K9/100</f>
        <v>-94.1880539689342</v>
      </c>
      <c r="L10" s="0" t="n">
        <f aca="false">-L6*L9/100</f>
        <v>-95.1299345086235</v>
      </c>
    </row>
    <row r="11" customFormat="false" ht="15" hidden="false" customHeight="false" outlineLevel="0" collapsed="false">
      <c r="A11" s="0" t="s">
        <v>126</v>
      </c>
      <c r="C11" s="0" t="n">
        <f aca="false">C8+C10+C24</f>
        <v>1267.352103966</v>
      </c>
      <c r="D11" s="0" t="n">
        <f aca="false">D8+D10+D24</f>
        <v>1223.07174502986</v>
      </c>
      <c r="E11" s="0" t="n">
        <f aca="false">E8+E10+E24</f>
        <v>1200.83407693841</v>
      </c>
      <c r="F11" s="0" t="n">
        <f aca="false">F8+F10+F24</f>
        <v>1185.82365097668</v>
      </c>
      <c r="G11" s="0" t="n">
        <f aca="false">G8+G10+G24</f>
        <v>1191.75276923156</v>
      </c>
      <c r="H11" s="0" t="n">
        <f aca="false">H8+H10+H24</f>
        <v>1203.67029692388</v>
      </c>
      <c r="I11" s="0" t="n">
        <f aca="false">I8+I10+I24</f>
        <v>1215.70699989312</v>
      </c>
      <c r="J11" s="0" t="n">
        <f aca="false">J8+J10+J24</f>
        <v>1227.86406989205</v>
      </c>
      <c r="K11" s="0" t="n">
        <f aca="false">K8+K10+K24</f>
        <v>1240.14271059097</v>
      </c>
      <c r="L11" s="0" t="n">
        <f aca="false">L8+L10+L24</f>
        <v>1252.54413769688</v>
      </c>
    </row>
    <row r="12" customFormat="false" ht="15" hidden="false" customHeight="false" outlineLevel="0" collapsed="false">
      <c r="A12" s="0" t="s">
        <v>127</v>
      </c>
      <c r="C12" s="4" t="n">
        <f aca="false">-C6*Assumptions!C17/100</f>
        <v>-153.92940534</v>
      </c>
      <c r="D12" s="4" t="n">
        <f aca="false">-D6*Assumptions!D17/100</f>
        <v>-151.6204642599</v>
      </c>
      <c r="E12" s="4" t="n">
        <f aca="false">-E6*Assumptions!E17/100</f>
        <v>-150.104259617301</v>
      </c>
      <c r="F12" s="4" t="n">
        <f aca="false">-F6*Assumptions!F17/100</f>
        <v>-150.104259617301</v>
      </c>
      <c r="G12" s="4" t="n">
        <f aca="false">-G6*Assumptions!G17/100</f>
        <v>-150.854780915387</v>
      </c>
      <c r="H12" s="4" t="n">
        <f aca="false">-H6*Assumptions!H17/100</f>
        <v>-152.363328724541</v>
      </c>
      <c r="I12" s="4" t="n">
        <f aca="false">-I6*Assumptions!I17/100</f>
        <v>-153.886962011787</v>
      </c>
      <c r="J12" s="4" t="n">
        <f aca="false">-J6*Assumptions!J17/100</f>
        <v>-155.425831631905</v>
      </c>
      <c r="K12" s="4" t="n">
        <f aca="false">-K6*Assumptions!K17/100</f>
        <v>-156.980089948224</v>
      </c>
      <c r="L12" s="4" t="n">
        <f aca="false">-L6*Assumptions!L17/100</f>
        <v>-158.549890847706</v>
      </c>
    </row>
    <row r="13" customFormat="false" ht="15" hidden="false" customHeight="false" outlineLevel="0" collapsed="false">
      <c r="A13" s="0" t="s">
        <v>128</v>
      </c>
      <c r="C13" s="0" t="n">
        <f aca="false">C11+C12</f>
        <v>1113.422698626</v>
      </c>
      <c r="D13" s="0" t="n">
        <f aca="false">D11+D12</f>
        <v>1071.45128076996</v>
      </c>
      <c r="E13" s="0" t="n">
        <f aca="false">E11+E12</f>
        <v>1050.72981732111</v>
      </c>
      <c r="F13" s="0" t="n">
        <f aca="false">F11+F12</f>
        <v>1035.71939135938</v>
      </c>
      <c r="G13" s="0" t="n">
        <f aca="false">G11+G12</f>
        <v>1040.89798831617</v>
      </c>
      <c r="H13" s="0" t="n">
        <f aca="false">H11+H12</f>
        <v>1051.30696819934</v>
      </c>
      <c r="I13" s="0" t="n">
        <f aca="false">I11+I12</f>
        <v>1061.82003788133</v>
      </c>
      <c r="J13" s="0" t="n">
        <f aca="false">J11+J12</f>
        <v>1072.43823826014</v>
      </c>
      <c r="K13" s="0" t="n">
        <f aca="false">K11+K12</f>
        <v>1083.16262064274</v>
      </c>
      <c r="L13" s="0" t="n">
        <f aca="false">L11+L12</f>
        <v>1093.99424684917</v>
      </c>
    </row>
    <row r="14" customFormat="false" ht="15" hidden="false" customHeight="false" outlineLevel="0" collapsed="false">
      <c r="A14" s="0" t="s">
        <v>114</v>
      </c>
      <c r="C14" s="4" t="n">
        <f aca="false">Assumptions!C19</f>
        <v>25</v>
      </c>
      <c r="D14" s="4" t="n">
        <f aca="false">Assumptions!D19</f>
        <v>25</v>
      </c>
      <c r="E14" s="4" t="n">
        <f aca="false">Assumptions!E19</f>
        <v>25</v>
      </c>
      <c r="F14" s="4" t="n">
        <f aca="false">Assumptions!F19</f>
        <v>25</v>
      </c>
      <c r="G14" s="4" t="n">
        <f aca="false">Assumptions!G19</f>
        <v>25</v>
      </c>
      <c r="H14" s="4" t="n">
        <f aca="false">Assumptions!H19</f>
        <v>25</v>
      </c>
      <c r="I14" s="4" t="n">
        <f aca="false">Assumptions!I19</f>
        <v>25</v>
      </c>
      <c r="J14" s="4" t="n">
        <f aca="false">Assumptions!J19</f>
        <v>25</v>
      </c>
      <c r="K14" s="4" t="n">
        <f aca="false">Assumptions!K19</f>
        <v>25</v>
      </c>
      <c r="L14" s="4" t="n">
        <f aca="false">Assumptions!L19</f>
        <v>25</v>
      </c>
    </row>
    <row r="15" customFormat="false" ht="15" hidden="false" customHeight="false" outlineLevel="0" collapsed="false">
      <c r="A15" s="0" t="s">
        <v>129</v>
      </c>
      <c r="C15" s="0" t="n">
        <f aca="false">C13-MAX(0,C13)*C14/100</f>
        <v>835.0670239695</v>
      </c>
      <c r="D15" s="0" t="n">
        <f aca="false">D13-MAX(0,D13)*D14/100</f>
        <v>803.58846057747</v>
      </c>
      <c r="E15" s="0" t="n">
        <f aca="false">E13-MAX(0,E13)*E14/100</f>
        <v>788.04736299083</v>
      </c>
      <c r="F15" s="0" t="n">
        <f aca="false">F13-MAX(0,F13)*F14/100</f>
        <v>776.789543519533</v>
      </c>
      <c r="G15" s="0" t="n">
        <f aca="false">G13-MAX(0,G13)*G14/100</f>
        <v>780.67349123713</v>
      </c>
      <c r="H15" s="0" t="n">
        <f aca="false">H13-MAX(0,H13)*H14/100</f>
        <v>788.480226149501</v>
      </c>
      <c r="I15" s="0" t="n">
        <f aca="false">I13-MAX(0,I13)*I14/100</f>
        <v>796.365028410997</v>
      </c>
      <c r="J15" s="0" t="n">
        <f aca="false">J13-MAX(0,J13)*J14/100</f>
        <v>804.328678695107</v>
      </c>
      <c r="K15" s="0" t="n">
        <f aca="false">K13-MAX(0,K13)*K14/100</f>
        <v>812.371965482058</v>
      </c>
      <c r="L15" s="0" t="n">
        <f aca="false">L13-MAX(0,L13)*L14/100</f>
        <v>820.495685136878</v>
      </c>
    </row>
    <row r="16" customFormat="false" ht="15" hidden="false" customHeight="false" outlineLevel="0" collapsed="false">
      <c r="A16" s="0" t="s">
        <v>130</v>
      </c>
      <c r="C16" s="0" t="n">
        <f aca="false">-C12</f>
        <v>153.92940534</v>
      </c>
      <c r="D16" s="0" t="n">
        <f aca="false">-D12</f>
        <v>151.6204642599</v>
      </c>
      <c r="E16" s="0" t="n">
        <f aca="false">-E12</f>
        <v>150.104259617301</v>
      </c>
      <c r="F16" s="0" t="n">
        <f aca="false">-F12</f>
        <v>150.104259617301</v>
      </c>
      <c r="G16" s="0" t="n">
        <f aca="false">-G12</f>
        <v>150.854780915387</v>
      </c>
      <c r="H16" s="0" t="n">
        <f aca="false">-H12</f>
        <v>152.363328724541</v>
      </c>
      <c r="I16" s="0" t="n">
        <f aca="false">-I12</f>
        <v>153.886962011787</v>
      </c>
      <c r="J16" s="0" t="n">
        <f aca="false">-J12</f>
        <v>155.425831631905</v>
      </c>
      <c r="K16" s="0" t="n">
        <f aca="false">-K12</f>
        <v>156.980089948224</v>
      </c>
      <c r="L16" s="0" t="n">
        <f aca="false">-L12</f>
        <v>158.549890847706</v>
      </c>
    </row>
    <row r="17" customFormat="false" ht="15" hidden="false" customHeight="false" outlineLevel="0" collapsed="false">
      <c r="A17" s="0" t="s">
        <v>131</v>
      </c>
      <c r="C17" s="4" t="n">
        <f aca="false">-C6*Assumptions!C18/100</f>
        <v>-179.58430623</v>
      </c>
      <c r="D17" s="4" t="n">
        <f aca="false">-D6*Assumptions!D18/100</f>
        <v>-171.83652616122</v>
      </c>
      <c r="E17" s="4" t="n">
        <f aca="false">-E6*Assumptions!E18/100</f>
        <v>-165.114685579031</v>
      </c>
      <c r="F17" s="4" t="n">
        <f aca="false">-F6*Assumptions!F18/100</f>
        <v>-165.114685579031</v>
      </c>
      <c r="G17" s="4" t="n">
        <f aca="false">-G6*Assumptions!G18/100</f>
        <v>-165.940259006926</v>
      </c>
      <c r="H17" s="4" t="n">
        <f aca="false">-H6*Assumptions!H18/100</f>
        <v>-167.599661596995</v>
      </c>
      <c r="I17" s="4" t="n">
        <f aca="false">-I6*Assumptions!I18/100</f>
        <v>-169.275658212965</v>
      </c>
      <c r="J17" s="4" t="n">
        <f aca="false">-J6*Assumptions!J18/100</f>
        <v>-170.968414795095</v>
      </c>
      <c r="K17" s="4" t="n">
        <f aca="false">-K6*Assumptions!K18/100</f>
        <v>-172.678098943046</v>
      </c>
      <c r="L17" s="4" t="n">
        <f aca="false">-L6*Assumptions!L18/100</f>
        <v>-174.404879932476</v>
      </c>
    </row>
    <row r="18" customFormat="false" ht="15" hidden="false" customHeight="false" outlineLevel="0" collapsed="false">
      <c r="A18" s="0" t="s">
        <v>132</v>
      </c>
      <c r="C18" s="4" t="n">
        <f aca="false">(C6-B6)*Assumptions!$B$23/100</f>
        <v>-17.3131233</v>
      </c>
      <c r="D18" s="4" t="n">
        <f aca="false">(D6-C6)*Assumptions!$B$23/100</f>
        <v>-11.5447054005001</v>
      </c>
      <c r="E18" s="4" t="n">
        <f aca="false">(E6-D6)*Assumptions!$B$23/100</f>
        <v>-7.58102321299502</v>
      </c>
      <c r="F18" s="4" t="n">
        <f aca="false">(F6-E6)*Assumptions!$B$23/100</f>
        <v>0</v>
      </c>
      <c r="G18" s="4" t="n">
        <f aca="false">(G6-F6)*Assumptions!$B$23/100</f>
        <v>3.75260649043244</v>
      </c>
      <c r="H18" s="4" t="n">
        <f aca="false">(H6-G6)*Assumptions!$B$23/100</f>
        <v>7.54273904576944</v>
      </c>
      <c r="I18" s="4" t="n">
        <f aca="false">(I6-H6)*Assumptions!$B$23/100</f>
        <v>7.61816643622706</v>
      </c>
      <c r="J18" s="4" t="n">
        <f aca="false">(J6-I6)*Assumptions!$B$23/100</f>
        <v>7.69434810058929</v>
      </c>
      <c r="K18" s="4" t="n">
        <f aca="false">(K6-J6)*Assumptions!$B$23/100</f>
        <v>7.77129158159519</v>
      </c>
      <c r="L18" s="4" t="n">
        <f aca="false">(L6-K6)*Assumptions!$B$23/100</f>
        <v>7.84900449741113</v>
      </c>
    </row>
    <row r="19" customFormat="false" ht="15" hidden="false" customHeight="false" outlineLevel="0" collapsed="false">
      <c r="A19" s="0" t="s">
        <v>133</v>
      </c>
      <c r="C19" s="0" t="n">
        <f aca="false">C15+C16+C17+C18</f>
        <v>792.0989997795</v>
      </c>
      <c r="D19" s="0" t="n">
        <f aca="false">D15+D16+D17+D18</f>
        <v>771.82769327565</v>
      </c>
      <c r="E19" s="0" t="n">
        <f aca="false">E15+E16+E17+E18</f>
        <v>765.455913816105</v>
      </c>
      <c r="F19" s="0" t="n">
        <f aca="false">F15+F16+F17+F18</f>
        <v>761.779117557803</v>
      </c>
      <c r="G19" s="0" t="n">
        <f aca="false">G15+G16+G17+G18</f>
        <v>769.340619636024</v>
      </c>
      <c r="H19" s="0" t="n">
        <f aca="false">H15+H16+H17+H18</f>
        <v>780.786632322817</v>
      </c>
      <c r="I19" s="0" t="n">
        <f aca="false">I15+I16+I17+I18</f>
        <v>788.594498646045</v>
      </c>
      <c r="J19" s="0" t="n">
        <f aca="false">J15+J16+J17+J18</f>
        <v>796.480443632505</v>
      </c>
      <c r="K19" s="0" t="n">
        <f aca="false">K15+K16+K17+K18</f>
        <v>804.44524806883</v>
      </c>
      <c r="L19" s="0" t="n">
        <f aca="false">L15+L16+L17+L18</f>
        <v>812.489700549518</v>
      </c>
    </row>
    <row r="20" customFormat="false" ht="15" hidden="false" customHeight="false" outlineLevel="0" collapsed="false">
      <c r="A20" s="0" t="s">
        <v>134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135</v>
      </c>
      <c r="C21" s="0" t="n">
        <f aca="false">C19*C20</f>
        <v>726.696330072936</v>
      </c>
      <c r="D21" s="0" t="n">
        <f aca="false">D19*D20</f>
        <v>649.631927679194</v>
      </c>
      <c r="E21" s="0" t="n">
        <f aca="false">E19*E20</f>
        <v>591.072411363842</v>
      </c>
      <c r="F21" s="0" t="n">
        <f aca="false">F19*F20</f>
        <v>539.663532140945</v>
      </c>
      <c r="G21" s="0" t="n">
        <f aca="false">G19*G20</f>
        <v>500.018615455669</v>
      </c>
      <c r="H21" s="0" t="n">
        <f aca="false">H19*H20</f>
        <v>465.557558118151</v>
      </c>
      <c r="I21" s="0" t="n">
        <f aca="false">I19*I20</f>
        <v>431.388196054434</v>
      </c>
      <c r="J21" s="0" t="n">
        <f aca="false">J19*J20</f>
        <v>399.726677077961</v>
      </c>
      <c r="K21" s="0" t="n">
        <f aca="false">K19*K20</f>
        <v>370.388939310771</v>
      </c>
      <c r="L21" s="0" t="n">
        <f aca="false">L19*L20</f>
        <v>343.204430003559</v>
      </c>
    </row>
    <row r="23" customFormat="false" ht="15" hidden="false" customHeight="false" outlineLevel="0" collapsed="false">
      <c r="A23" s="0" t="s">
        <v>111</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Assumptions!$B$20</f>
        <v>9</v>
      </c>
    </row>
    <row r="28" customFormat="false" ht="15" hidden="false" customHeight="false" outlineLevel="0" collapsed="false">
      <c r="A28" s="0" t="s">
        <v>116</v>
      </c>
      <c r="B28" s="4" t="n">
        <f aca="false">Assumptions!$B$21</f>
        <v>0.5</v>
      </c>
    </row>
    <row r="29" customFormat="false" ht="15" hidden="false" customHeight="false" outlineLevel="0" collapsed="false">
      <c r="A29" s="0" t="s">
        <v>117</v>
      </c>
      <c r="B29" s="4" t="n">
        <f aca="false">Assumptions!$B$22</f>
        <v>10</v>
      </c>
    </row>
    <row r="30" customFormat="false" ht="15" hidden="false" customHeight="false" outlineLevel="0" collapsed="false">
      <c r="A30" s="0" t="s">
        <v>138</v>
      </c>
      <c r="B30" s="0" t="n">
        <f aca="false">SUM(C21:L21)</f>
        <v>5017.34861727746</v>
      </c>
    </row>
    <row r="31" customFormat="false" ht="15" hidden="false" customHeight="false" outlineLevel="0" collapsed="false">
      <c r="A31" s="0" t="s">
        <v>139</v>
      </c>
      <c r="B31" s="0" t="n">
        <f aca="false">L19</f>
        <v>812.489700549518</v>
      </c>
    </row>
    <row r="32" customFormat="false" ht="15" hidden="false" customHeight="false" outlineLevel="0" collapsed="false">
      <c r="A32" s="0" t="s">
        <v>140</v>
      </c>
      <c r="B32" s="0" t="n">
        <f aca="false">IF(B27&gt;B28,B31*(1+B28/100)/((B27-B28)/100),B31*B29)</f>
        <v>9606.49587120313</v>
      </c>
    </row>
    <row r="33" customFormat="false" ht="15" hidden="false" customHeight="false" outlineLevel="0" collapsed="false">
      <c r="A33" s="0" t="s">
        <v>141</v>
      </c>
      <c r="B33" s="0" t="n">
        <f aca="false">B31*B29</f>
        <v>8124.89700549518</v>
      </c>
    </row>
    <row r="34" customFormat="false" ht="15" hidden="false" customHeight="false" outlineLevel="0" collapsed="false">
      <c r="A34" s="0" t="s">
        <v>142</v>
      </c>
      <c r="B34" s="0" t="n">
        <f aca="false">MAX(0,MIN(B32,B33))</f>
        <v>8124.89700549518</v>
      </c>
    </row>
    <row r="35" customFormat="false" ht="15" hidden="false" customHeight="false" outlineLevel="0" collapsed="false">
      <c r="A35" s="0" t="s">
        <v>143</v>
      </c>
      <c r="B35" s="0" t="n">
        <f aca="false">B34/(1+B27/100)^L4</f>
        <v>3432.04430003559</v>
      </c>
    </row>
    <row r="36" customFormat="false" ht="15" hidden="false" customHeight="false" outlineLevel="0" collapsed="false">
      <c r="A36" s="0" t="s">
        <v>144</v>
      </c>
      <c r="B36" s="0" t="n">
        <f aca="false">B30+B35</f>
        <v>8449.39291731305</v>
      </c>
    </row>
    <row r="37" customFormat="false" ht="15" hidden="false" customHeight="false" outlineLevel="0" collapsed="false">
      <c r="A37" s="0" t="s">
        <v>145</v>
      </c>
      <c r="B37" s="0" t="n">
        <f aca="false">B36+Assumptions!$B$5-Assumptions!$B$4</f>
        <v>3580.04791731305</v>
      </c>
    </row>
    <row r="38" customFormat="false" ht="15" hidden="false" customHeight="false" outlineLevel="0" collapsed="false">
      <c r="A38" s="0" t="s">
        <v>146</v>
      </c>
      <c r="B38" s="0" t="n">
        <f aca="false">B37/Assumptions!$B$3*Assumptions!$B$10</f>
        <v>21.0450358847658</v>
      </c>
    </row>
    <row r="39" customFormat="false" ht="15" hidden="false" customHeight="false" outlineLevel="0" collapsed="false">
      <c r="A39" s="0" t="s">
        <v>147</v>
      </c>
      <c r="B39" s="4" t="n">
        <f aca="false">B38/Assumptions!$B$2-1</f>
        <v>-0.377734006955475</v>
      </c>
    </row>
    <row r="41" customFormat="false" ht="15" hidden="false" customHeight="false" outlineLevel="0" collapsed="false">
      <c r="A41" s="0" t="s">
        <v>148</v>
      </c>
      <c r="B41" s="0" t="n">
        <f aca="false">SUMPRODUCT(-C10:L10/(1+$B$27/100)^C4:L4)</f>
        <v>588.846813457383</v>
      </c>
    </row>
    <row r="42" customFormat="false" ht="15" hidden="false" customHeight="false" outlineLevel="0" collapsed="false">
      <c r="A42" s="0" t="s">
        <v>149</v>
      </c>
      <c r="B42" s="0" t="n">
        <f aca="false">IF(B27&gt;B28,-L10*(1+B28/100)/((B27-B28)/100),-L10*20)/(1+B27/100)^L4</f>
        <v>475.115670090592</v>
      </c>
    </row>
    <row r="43" customFormat="false" ht="15" hidden="false" customHeight="false" outlineLevel="0" collapsed="false">
      <c r="A43" s="0" t="s">
        <v>150</v>
      </c>
      <c r="B43" s="0" t="n">
        <f aca="false">(B37+B41+B42)/Assumptions!$B$3*Assumptions!$B$10</f>
        <v>27.2994573795253</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5631.39413139494</v>
      </c>
    </row>
    <row r="47" customFormat="false" ht="15" hidden="false" customHeight="false" outlineLevel="0" collapsed="false">
      <c r="A47" s="0" t="s">
        <v>152</v>
      </c>
      <c r="B47" s="0" t="n">
        <f aca="false">(SUMPRODUCT(C19:L19/(1+B45/100)^C4:L4)+B46/(1+B45/100)^L4+Assumptions!$B$5-Assumptions!$B$4)/Assumptions!$B$3*Assumptions!$B$10</f>
        <v>2.58820160180615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153</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Assumptions!C27</f>
        <v>-1.65</v>
      </c>
      <c r="D5" s="4" t="n">
        <f aca="false">Assumptions!D27</f>
        <v>1.5</v>
      </c>
      <c r="E5" s="4" t="n">
        <f aca="false">Assumptions!E27</f>
        <v>2</v>
      </c>
      <c r="F5" s="4" t="n">
        <f aca="false">Assumptions!F27</f>
        <v>2.5</v>
      </c>
      <c r="G5" s="4" t="n">
        <f aca="false">Assumptions!G27</f>
        <v>2.5</v>
      </c>
      <c r="H5" s="4" t="n">
        <f aca="false">Assumptions!H27</f>
        <v>2.5</v>
      </c>
      <c r="I5" s="4" t="n">
        <f aca="false">Assumptions!I27</f>
        <v>2.5</v>
      </c>
      <c r="J5" s="4" t="n">
        <f aca="false">Assumptions!J27</f>
        <v>2.5</v>
      </c>
      <c r="K5" s="4" t="n">
        <f aca="false">Assumptions!K27</f>
        <v>2</v>
      </c>
      <c r="L5" s="4" t="n">
        <f aca="false">Assumptions!L27</f>
        <v>2</v>
      </c>
    </row>
    <row r="6" customFormat="false" ht="15" hidden="false" customHeight="false" outlineLevel="0" collapsed="false">
      <c r="A6" s="0" t="s">
        <v>38</v>
      </c>
      <c r="B6" s="3" t="n">
        <v>5246.401</v>
      </c>
      <c r="C6" s="0" t="n">
        <f aca="false">B6*(1+C5/100)</f>
        <v>5159.8353835</v>
      </c>
      <c r="D6" s="0" t="n">
        <f aca="false">C6*(1+D5/100)</f>
        <v>5237.2329142525</v>
      </c>
      <c r="E6" s="0" t="n">
        <f aca="false">D6*(1+E5/100)</f>
        <v>5341.97757253755</v>
      </c>
      <c r="F6" s="0" t="n">
        <f aca="false">E6*(1+F5/100)</f>
        <v>5475.52701185099</v>
      </c>
      <c r="G6" s="0" t="n">
        <f aca="false">F6*(1+G5/100)</f>
        <v>5612.41518714726</v>
      </c>
      <c r="H6" s="0" t="n">
        <f aca="false">G6*(1+H5/100)</f>
        <v>5752.72556682594</v>
      </c>
      <c r="I6" s="0" t="n">
        <f aca="false">H6*(1+I5/100)</f>
        <v>5896.54370599659</v>
      </c>
      <c r="J6" s="0" t="n">
        <f aca="false">I6*(1+J5/100)</f>
        <v>6043.95729864651</v>
      </c>
      <c r="K6" s="0" t="n">
        <f aca="false">J6*(1+K5/100)</f>
        <v>6164.83644461944</v>
      </c>
      <c r="L6" s="0" t="n">
        <f aca="false">K6*(1+L5/100)</f>
        <v>6288.13317351183</v>
      </c>
    </row>
    <row r="7" customFormat="false" ht="15" hidden="false" customHeight="false" outlineLevel="0" collapsed="false">
      <c r="A7" s="0" t="s">
        <v>109</v>
      </c>
      <c r="C7" s="4" t="n">
        <f aca="false">Assumptions!C28</f>
        <v>27</v>
      </c>
      <c r="D7" s="4" t="n">
        <f aca="false">Assumptions!D28</f>
        <v>27.8</v>
      </c>
      <c r="E7" s="4" t="n">
        <f aca="false">Assumptions!E28</f>
        <v>28.4</v>
      </c>
      <c r="F7" s="4" t="n">
        <f aca="false">Assumptions!F28</f>
        <v>28.9</v>
      </c>
      <c r="G7" s="4" t="n">
        <f aca="false">Assumptions!G28</f>
        <v>29.3</v>
      </c>
      <c r="H7" s="4" t="n">
        <f aca="false">Assumptions!H28</f>
        <v>29.5</v>
      </c>
      <c r="I7" s="4" t="n">
        <f aca="false">Assumptions!I28</f>
        <v>29.5</v>
      </c>
      <c r="J7" s="4" t="n">
        <f aca="false">Assumptions!J28</f>
        <v>29.5</v>
      </c>
      <c r="K7" s="4" t="n">
        <f aca="false">Assumptions!K28</f>
        <v>29.5</v>
      </c>
      <c r="L7" s="4" t="n">
        <f aca="false">Assumptions!L28</f>
        <v>29.5</v>
      </c>
    </row>
    <row r="8" customFormat="false" ht="15" hidden="false" customHeight="false" outlineLevel="0" collapsed="false">
      <c r="A8" s="0" t="s">
        <v>44</v>
      </c>
      <c r="C8" s="0" t="n">
        <f aca="false">C6*C7/100</f>
        <v>1393.155553545</v>
      </c>
      <c r="D8" s="0" t="n">
        <f aca="false">D6*D7/100</f>
        <v>1455.9507501622</v>
      </c>
      <c r="E8" s="0" t="n">
        <f aca="false">E6*E7/100</f>
        <v>1517.12163060066</v>
      </c>
      <c r="F8" s="0" t="n">
        <f aca="false">F6*F7/100</f>
        <v>1582.42730642494</v>
      </c>
      <c r="G8" s="0" t="n">
        <f aca="false">G6*G7/100</f>
        <v>1644.43764983415</v>
      </c>
      <c r="H8" s="0" t="n">
        <f aca="false">H6*H7/100</f>
        <v>1697.05404221365</v>
      </c>
      <c r="I8" s="0" t="n">
        <f aca="false">I6*I7/100</f>
        <v>1739.48039326899</v>
      </c>
      <c r="J8" s="0" t="n">
        <f aca="false">J6*J7/100</f>
        <v>1782.96740310072</v>
      </c>
      <c r="K8" s="0" t="n">
        <f aca="false">K6*K7/100</f>
        <v>1818.62675116273</v>
      </c>
      <c r="L8" s="0" t="n">
        <f aca="false">L6*L7/100</f>
        <v>1854.99928618599</v>
      </c>
    </row>
    <row r="9" customFormat="false" ht="15" hidden="false" customHeight="false" outlineLevel="0" collapsed="false">
      <c r="A9" s="0" t="s">
        <v>110</v>
      </c>
      <c r="C9" s="4" t="n">
        <f aca="false">Assumptions!C29</f>
        <v>1.8</v>
      </c>
      <c r="D9" s="4" t="n">
        <f aca="false">Assumptions!D29</f>
        <v>1.8</v>
      </c>
      <c r="E9" s="4" t="n">
        <f aca="false">Assumptions!E29</f>
        <v>1.8</v>
      </c>
      <c r="F9" s="4" t="n">
        <f aca="false">Assumptions!F29</f>
        <v>1.8</v>
      </c>
      <c r="G9" s="4" t="n">
        <f aca="false">Assumptions!G29</f>
        <v>1.8</v>
      </c>
      <c r="H9" s="4" t="n">
        <f aca="false">Assumptions!H29</f>
        <v>1.8</v>
      </c>
      <c r="I9" s="4" t="n">
        <f aca="false">Assumptions!I29</f>
        <v>1.8</v>
      </c>
      <c r="J9" s="4" t="n">
        <f aca="false">Assumptions!J29</f>
        <v>1.8</v>
      </c>
      <c r="K9" s="4" t="n">
        <f aca="false">Assumptions!K29</f>
        <v>1.8</v>
      </c>
      <c r="L9" s="4" t="n">
        <f aca="false">Assumptions!L29</f>
        <v>1.8</v>
      </c>
    </row>
    <row r="10" customFormat="false" ht="15" hidden="false" customHeight="false" outlineLevel="0" collapsed="false">
      <c r="A10" s="0" t="s">
        <v>125</v>
      </c>
      <c r="C10" s="0" t="n">
        <f aca="false">-C6*C9/100</f>
        <v>-92.877036903</v>
      </c>
      <c r="D10" s="0" t="n">
        <f aca="false">-D6*D9/100</f>
        <v>-94.270192456545</v>
      </c>
      <c r="E10" s="0" t="n">
        <f aca="false">-E6*E9/100</f>
        <v>-96.1555963056759</v>
      </c>
      <c r="F10" s="0" t="n">
        <f aca="false">-F6*F9/100</f>
        <v>-98.5594862133178</v>
      </c>
      <c r="G10" s="0" t="n">
        <f aca="false">-G6*G9/100</f>
        <v>-101.023473368651</v>
      </c>
      <c r="H10" s="0" t="n">
        <f aca="false">-H6*H9/100</f>
        <v>-103.549060202867</v>
      </c>
      <c r="I10" s="0" t="n">
        <f aca="false">-I6*I9/100</f>
        <v>-106.137786707939</v>
      </c>
      <c r="J10" s="0" t="n">
        <f aca="false">-J6*J9/100</f>
        <v>-108.791231375637</v>
      </c>
      <c r="K10" s="0" t="n">
        <f aca="false">-K6*K9/100</f>
        <v>-110.96705600315</v>
      </c>
      <c r="L10" s="0" t="n">
        <f aca="false">-L6*L9/100</f>
        <v>-113.186397123213</v>
      </c>
    </row>
    <row r="11" customFormat="false" ht="15" hidden="false" customHeight="false" outlineLevel="0" collapsed="false">
      <c r="A11" s="0" t="s">
        <v>126</v>
      </c>
      <c r="C11" s="0" t="n">
        <f aca="false">C8+C10+C24</f>
        <v>1300.278516642</v>
      </c>
      <c r="D11" s="0" t="n">
        <f aca="false">D8+D10+D24</f>
        <v>1361.68055770565</v>
      </c>
      <c r="E11" s="0" t="n">
        <f aca="false">E8+E10+E24</f>
        <v>1420.96603429499</v>
      </c>
      <c r="F11" s="0" t="n">
        <f aca="false">F8+F10+F24</f>
        <v>1483.86782021162</v>
      </c>
      <c r="G11" s="0" t="n">
        <f aca="false">G8+G10+G24</f>
        <v>1543.4141764655</v>
      </c>
      <c r="H11" s="0" t="n">
        <f aca="false">H8+H10+H24</f>
        <v>1593.50498201079</v>
      </c>
      <c r="I11" s="0" t="n">
        <f aca="false">I8+I10+I24</f>
        <v>1633.34260656106</v>
      </c>
      <c r="J11" s="0" t="n">
        <f aca="false">J8+J10+J24</f>
        <v>1674.17617172508</v>
      </c>
      <c r="K11" s="0" t="n">
        <f aca="false">K8+K10+K24</f>
        <v>1707.65969515958</v>
      </c>
      <c r="L11" s="0" t="n">
        <f aca="false">L8+L10+L24</f>
        <v>1741.81288906278</v>
      </c>
    </row>
    <row r="12" customFormat="false" ht="15" hidden="false" customHeight="false" outlineLevel="0" collapsed="false">
      <c r="A12" s="0" t="s">
        <v>127</v>
      </c>
      <c r="C12" s="4" t="n">
        <f aca="false">-C6*Assumptions!C31/100</f>
        <v>-154.795061505</v>
      </c>
      <c r="D12" s="4" t="n">
        <f aca="false">-D6*Assumptions!D31/100</f>
        <v>-157.116987427575</v>
      </c>
      <c r="E12" s="4" t="n">
        <f aca="false">-E6*Assumptions!E31/100</f>
        <v>-160.259327176126</v>
      </c>
      <c r="F12" s="4" t="n">
        <f aca="false">-F6*Assumptions!F31/100</f>
        <v>-164.26581035553</v>
      </c>
      <c r="G12" s="4" t="n">
        <f aca="false">-G6*Assumptions!G31/100</f>
        <v>-168.372455614418</v>
      </c>
      <c r="H12" s="4" t="n">
        <f aca="false">-H6*Assumptions!H31/100</f>
        <v>-172.581767004778</v>
      </c>
      <c r="I12" s="4" t="n">
        <f aca="false">-I6*Assumptions!I31/100</f>
        <v>-176.896311179898</v>
      </c>
      <c r="J12" s="4" t="n">
        <f aca="false">-J6*Assumptions!J31/100</f>
        <v>-181.318718959395</v>
      </c>
      <c r="K12" s="4" t="n">
        <f aca="false">-K6*Assumptions!K31/100</f>
        <v>-184.945093338583</v>
      </c>
      <c r="L12" s="4" t="n">
        <f aca="false">-L6*Assumptions!L31/100</f>
        <v>-188.643995205355</v>
      </c>
    </row>
    <row r="13" customFormat="false" ht="15" hidden="false" customHeight="false" outlineLevel="0" collapsed="false">
      <c r="A13" s="0" t="s">
        <v>128</v>
      </c>
      <c r="C13" s="0" t="n">
        <f aca="false">C11+C12</f>
        <v>1145.483455137</v>
      </c>
      <c r="D13" s="0" t="n">
        <f aca="false">D11+D12</f>
        <v>1204.56357027808</v>
      </c>
      <c r="E13" s="0" t="n">
        <f aca="false">E11+E12</f>
        <v>1260.70670711886</v>
      </c>
      <c r="F13" s="0" t="n">
        <f aca="false">F11+F12</f>
        <v>1319.60200985609</v>
      </c>
      <c r="G13" s="0" t="n">
        <f aca="false">G11+G12</f>
        <v>1375.04172085108</v>
      </c>
      <c r="H13" s="0" t="n">
        <f aca="false">H11+H12</f>
        <v>1420.92321500601</v>
      </c>
      <c r="I13" s="0" t="n">
        <f aca="false">I11+I12</f>
        <v>1456.44629538116</v>
      </c>
      <c r="J13" s="0" t="n">
        <f aca="false">J11+J12</f>
        <v>1492.85745276569</v>
      </c>
      <c r="K13" s="0" t="n">
        <f aca="false">K11+K12</f>
        <v>1522.714601821</v>
      </c>
      <c r="L13" s="0" t="n">
        <f aca="false">L11+L12</f>
        <v>1553.16889385742</v>
      </c>
    </row>
    <row r="14" customFormat="false" ht="15" hidden="false" customHeight="false" outlineLevel="0" collapsed="false">
      <c r="A14" s="0" t="s">
        <v>114</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129</v>
      </c>
      <c r="C15" s="0" t="n">
        <f aca="false">C13-MAX(0,C13)*C14/100</f>
        <v>859.11259135275</v>
      </c>
      <c r="D15" s="0" t="n">
        <f aca="false">D13-MAX(0,D13)*D14/100</f>
        <v>903.422677708556</v>
      </c>
      <c r="E15" s="0" t="n">
        <f aca="false">E13-MAX(0,E13)*E14/100</f>
        <v>945.530030339146</v>
      </c>
      <c r="F15" s="0" t="n">
        <f aca="false">F13-MAX(0,F13)*F14/100</f>
        <v>989.701507392066</v>
      </c>
      <c r="G15" s="0" t="n">
        <f aca="false">G13-MAX(0,G13)*G14/100</f>
        <v>1031.28129063831</v>
      </c>
      <c r="H15" s="0" t="n">
        <f aca="false">H13-MAX(0,H13)*H14/100</f>
        <v>1065.69241125451</v>
      </c>
      <c r="I15" s="0" t="n">
        <f aca="false">I13-MAX(0,I13)*I14/100</f>
        <v>1092.33472153587</v>
      </c>
      <c r="J15" s="0" t="n">
        <f aca="false">J13-MAX(0,J13)*J14/100</f>
        <v>1119.64308957427</v>
      </c>
      <c r="K15" s="0" t="n">
        <f aca="false">K13-MAX(0,K13)*K14/100</f>
        <v>1142.03595136575</v>
      </c>
      <c r="L15" s="0" t="n">
        <f aca="false">L13-MAX(0,L13)*L14/100</f>
        <v>1164.87667039307</v>
      </c>
    </row>
    <row r="16" customFormat="false" ht="15" hidden="false" customHeight="false" outlineLevel="0" collapsed="false">
      <c r="A16" s="0" t="s">
        <v>130</v>
      </c>
      <c r="C16" s="0" t="n">
        <f aca="false">-C12</f>
        <v>154.795061505</v>
      </c>
      <c r="D16" s="0" t="n">
        <f aca="false">-D12</f>
        <v>157.116987427575</v>
      </c>
      <c r="E16" s="0" t="n">
        <f aca="false">-E12</f>
        <v>160.259327176126</v>
      </c>
      <c r="F16" s="0" t="n">
        <f aca="false">-F12</f>
        <v>164.26581035553</v>
      </c>
      <c r="G16" s="0" t="n">
        <f aca="false">-G12</f>
        <v>168.372455614418</v>
      </c>
      <c r="H16" s="0" t="n">
        <f aca="false">-H12</f>
        <v>172.581767004778</v>
      </c>
      <c r="I16" s="0" t="n">
        <f aca="false">-I12</f>
        <v>176.896311179898</v>
      </c>
      <c r="J16" s="0" t="n">
        <f aca="false">-J12</f>
        <v>181.318718959395</v>
      </c>
      <c r="K16" s="0" t="n">
        <f aca="false">-K12</f>
        <v>184.945093338583</v>
      </c>
      <c r="L16" s="0" t="n">
        <f aca="false">-L12</f>
        <v>188.643995205355</v>
      </c>
    </row>
    <row r="17" customFormat="false" ht="15" hidden="false" customHeight="false" outlineLevel="0" collapsed="false">
      <c r="A17" s="0" t="s">
        <v>131</v>
      </c>
      <c r="C17" s="4" t="n">
        <f aca="false">-C6*Assumptions!C32/100</f>
        <v>-180.5942384225</v>
      </c>
      <c r="D17" s="4" t="n">
        <f aca="false">-D6*Assumptions!D32/100</f>
        <v>-178.065919084585</v>
      </c>
      <c r="E17" s="4" t="n">
        <f aca="false">-E6*Assumptions!E32/100</f>
        <v>-176.285259893739</v>
      </c>
      <c r="F17" s="4" t="n">
        <f aca="false">-F6*Assumptions!F32/100</f>
        <v>-180.692391391083</v>
      </c>
      <c r="G17" s="4" t="n">
        <f aca="false">-G6*Assumptions!G32/100</f>
        <v>-185.20970117586</v>
      </c>
      <c r="H17" s="4" t="n">
        <f aca="false">-H6*Assumptions!H32/100</f>
        <v>-189.839943705256</v>
      </c>
      <c r="I17" s="4" t="n">
        <f aca="false">-I6*Assumptions!I32/100</f>
        <v>-194.585942297888</v>
      </c>
      <c r="J17" s="4" t="n">
        <f aca="false">-J6*Assumptions!J32/100</f>
        <v>-199.450590855335</v>
      </c>
      <c r="K17" s="4" t="n">
        <f aca="false">-K6*Assumptions!K32/100</f>
        <v>-203.439602672441</v>
      </c>
      <c r="L17" s="4" t="n">
        <f aca="false">-L6*Assumptions!L32/100</f>
        <v>-207.50839472589</v>
      </c>
    </row>
    <row r="18" customFormat="false" ht="15" hidden="false" customHeight="false" outlineLevel="0" collapsed="false">
      <c r="A18" s="0" t="s">
        <v>132</v>
      </c>
      <c r="C18" s="4" t="n">
        <f aca="false">(C6-B6)*Assumptions!$B$37/100</f>
        <v>-12.984842475</v>
      </c>
      <c r="D18" s="4" t="n">
        <f aca="false">(D6-C6)*Assumptions!$B$37/100</f>
        <v>11.609629612875</v>
      </c>
      <c r="E18" s="4" t="n">
        <f aca="false">(E6-D6)*Assumptions!$B$37/100</f>
        <v>15.7116987427575</v>
      </c>
      <c r="F18" s="4" t="n">
        <f aca="false">(F6-E6)*Assumptions!$B$37/100</f>
        <v>20.0324158970158</v>
      </c>
      <c r="G18" s="4" t="n">
        <f aca="false">(G6-F6)*Assumptions!$B$37/100</f>
        <v>20.5332262944411</v>
      </c>
      <c r="H18" s="4" t="n">
        <f aca="false">(H6-G6)*Assumptions!$B$37/100</f>
        <v>21.0465569518021</v>
      </c>
      <c r="I18" s="4" t="n">
        <f aca="false">(I6-H6)*Assumptions!$B$37/100</f>
        <v>21.5727208755973</v>
      </c>
      <c r="J18" s="4" t="n">
        <f aca="false">(J6-I6)*Assumptions!$B$37/100</f>
        <v>22.1120388974871</v>
      </c>
      <c r="K18" s="4" t="n">
        <f aca="false">(K6-J6)*Assumptions!$B$37/100</f>
        <v>18.1318718959395</v>
      </c>
      <c r="L18" s="4" t="n">
        <f aca="false">(L6-K6)*Assumptions!$B$37/100</f>
        <v>18.4945093338584</v>
      </c>
    </row>
    <row r="19" customFormat="false" ht="15" hidden="false" customHeight="false" outlineLevel="0" collapsed="false">
      <c r="A19" s="0" t="s">
        <v>133</v>
      </c>
      <c r="C19" s="0" t="n">
        <f aca="false">C15+C16+C17+C18</f>
        <v>820.32857196025</v>
      </c>
      <c r="D19" s="0" t="n">
        <f aca="false">D15+D16+D17+D18</f>
        <v>894.083375664421</v>
      </c>
      <c r="E19" s="0" t="n">
        <f aca="false">E15+E16+E17+E18</f>
        <v>945.215796364291</v>
      </c>
      <c r="F19" s="0" t="n">
        <f aca="false">F15+F16+F17+F18</f>
        <v>993.307342253529</v>
      </c>
      <c r="G19" s="0" t="n">
        <f aca="false">G15+G16+G17+G18</f>
        <v>1034.97727137131</v>
      </c>
      <c r="H19" s="0" t="n">
        <f aca="false">H15+H16+H17+H18</f>
        <v>1069.48079150583</v>
      </c>
      <c r="I19" s="0" t="n">
        <f aca="false">I15+I16+I17+I18</f>
        <v>1096.21781129348</v>
      </c>
      <c r="J19" s="0" t="n">
        <f aca="false">J15+J16+J17+J18</f>
        <v>1123.62325657581</v>
      </c>
      <c r="K19" s="0" t="n">
        <f aca="false">K15+K16+K17+K18</f>
        <v>1141.67331392783</v>
      </c>
      <c r="L19" s="0" t="n">
        <f aca="false">L15+L16+L17+L18</f>
        <v>1164.50678020639</v>
      </c>
    </row>
    <row r="20" customFormat="false" ht="15" hidden="false" customHeight="false" outlineLevel="0" collapsed="false">
      <c r="A20" s="0" t="s">
        <v>134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135</v>
      </c>
      <c r="C21" s="0" t="n">
        <f aca="false">C19*C20</f>
        <v>752.595020147018</v>
      </c>
      <c r="D21" s="0" t="n">
        <f aca="false">D19*D20</f>
        <v>752.532089608973</v>
      </c>
      <c r="E21" s="0" t="n">
        <f aca="false">E19*E20</f>
        <v>729.880023045268</v>
      </c>
      <c r="F21" s="0" t="n">
        <f aca="false">F19*F20</f>
        <v>703.683963588565</v>
      </c>
      <c r="G21" s="0" t="n">
        <f aca="false">G19*G20</f>
        <v>672.664212769634</v>
      </c>
      <c r="H21" s="0" t="n">
        <f aca="false">H19*H20</f>
        <v>637.696452699849</v>
      </c>
      <c r="I21" s="0" t="n">
        <f aca="false">I19*I20</f>
        <v>599.668682584721</v>
      </c>
      <c r="J21" s="0" t="n">
        <f aca="false">J19*J20</f>
        <v>563.908623531503</v>
      </c>
      <c r="K21" s="0" t="n">
        <f aca="false">K19*K20</f>
        <v>525.658108864808</v>
      </c>
      <c r="L21" s="0" t="n">
        <f aca="false">L19*L20</f>
        <v>491.900248662481</v>
      </c>
    </row>
    <row r="23" customFormat="false" ht="15" hidden="false" customHeight="false" outlineLevel="0" collapsed="false">
      <c r="A23" s="0" t="s">
        <v>111</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Assumptions!$B$34</f>
        <v>9</v>
      </c>
    </row>
    <row r="28" customFormat="false" ht="15" hidden="false" customHeight="false" outlineLevel="0" collapsed="false">
      <c r="A28" s="0" t="s">
        <v>116</v>
      </c>
      <c r="B28" s="4" t="n">
        <f aca="false">Assumptions!$B$35</f>
        <v>2</v>
      </c>
    </row>
    <row r="29" customFormat="false" ht="15" hidden="false" customHeight="false" outlineLevel="0" collapsed="false">
      <c r="A29" s="0" t="s">
        <v>117</v>
      </c>
      <c r="B29" s="4" t="n">
        <f aca="false">Assumptions!$B$36</f>
        <v>13</v>
      </c>
    </row>
    <row r="30" customFormat="false" ht="15" hidden="false" customHeight="false" outlineLevel="0" collapsed="false">
      <c r="A30" s="0" t="s">
        <v>138</v>
      </c>
      <c r="B30" s="0" t="n">
        <f aca="false">SUM(C21:L21)</f>
        <v>6430.18742550282</v>
      </c>
    </row>
    <row r="31" customFormat="false" ht="15" hidden="false" customHeight="false" outlineLevel="0" collapsed="false">
      <c r="A31" s="0" t="s">
        <v>139</v>
      </c>
      <c r="B31" s="0" t="n">
        <f aca="false">L19</f>
        <v>1164.50678020639</v>
      </c>
    </row>
    <row r="32" customFormat="false" ht="15" hidden="false" customHeight="false" outlineLevel="0" collapsed="false">
      <c r="A32" s="0" t="s">
        <v>140</v>
      </c>
      <c r="B32" s="0" t="n">
        <f aca="false">IF(B27&gt;B28,B31*(1+B28/100)/((B27-B28)/100),B31*B29)</f>
        <v>16968.5273687217</v>
      </c>
    </row>
    <row r="33" customFormat="false" ht="15" hidden="false" customHeight="false" outlineLevel="0" collapsed="false">
      <c r="A33" s="0" t="s">
        <v>141</v>
      </c>
      <c r="B33" s="0" t="n">
        <f aca="false">B31*B29</f>
        <v>15138.5881426831</v>
      </c>
    </row>
    <row r="34" customFormat="false" ht="15" hidden="false" customHeight="false" outlineLevel="0" collapsed="false">
      <c r="A34" s="0" t="s">
        <v>142</v>
      </c>
      <c r="B34" s="0" t="n">
        <f aca="false">MAX(0,MIN(B32,B33))</f>
        <v>15138.5881426831</v>
      </c>
    </row>
    <row r="35" customFormat="false" ht="15" hidden="false" customHeight="false" outlineLevel="0" collapsed="false">
      <c r="A35" s="0" t="s">
        <v>143</v>
      </c>
      <c r="B35" s="0" t="n">
        <f aca="false">B34/(1+B27/100)^L4</f>
        <v>6394.70323261225</v>
      </c>
    </row>
    <row r="36" customFormat="false" ht="15" hidden="false" customHeight="false" outlineLevel="0" collapsed="false">
      <c r="A36" s="0" t="s">
        <v>144</v>
      </c>
      <c r="B36" s="0" t="n">
        <f aca="false">B30+B35</f>
        <v>12824.8906581151</v>
      </c>
    </row>
    <row r="37" customFormat="false" ht="15" hidden="false" customHeight="false" outlineLevel="0" collapsed="false">
      <c r="A37" s="0" t="s">
        <v>145</v>
      </c>
      <c r="B37" s="0" t="n">
        <f aca="false">B36+Assumptions!$B$5-Assumptions!$B$4</f>
        <v>7955.54565811508</v>
      </c>
    </row>
    <row r="38" customFormat="false" ht="15" hidden="false" customHeight="false" outlineLevel="0" collapsed="false">
      <c r="A38" s="0" t="s">
        <v>146</v>
      </c>
      <c r="B38" s="0" t="n">
        <f aca="false">B37/Assumptions!$B$3*Assumptions!$B$10</f>
        <v>46.7660622776197</v>
      </c>
    </row>
    <row r="39" customFormat="false" ht="15" hidden="false" customHeight="false" outlineLevel="0" collapsed="false">
      <c r="A39" s="0" t="s">
        <v>147</v>
      </c>
      <c r="B39" s="4" t="n">
        <f aca="false">B38/Assumptions!$B$2-1</f>
        <v>0.382793089225894</v>
      </c>
    </row>
    <row r="41" customFormat="false" ht="15" hidden="false" customHeight="false" outlineLevel="0" collapsed="false">
      <c r="A41" s="0" t="s">
        <v>148</v>
      </c>
      <c r="B41" s="0" t="n">
        <f aca="false">SUMPRODUCT(-C10:L10/(1+$B$27/100)^C4:L4)</f>
        <v>647.589788003802</v>
      </c>
    </row>
    <row r="42" customFormat="false" ht="15" hidden="false" customHeight="false" outlineLevel="0" collapsed="false">
      <c r="A42" s="0" t="s">
        <v>149</v>
      </c>
      <c r="B42" s="0" t="n">
        <f aca="false">IF(B27&gt;B28,-L10*(1+B28/100)/((B27-B28)/100),-L10*20)/(1+B27/100)^L4</f>
        <v>696.676864074298</v>
      </c>
    </row>
    <row r="43" customFormat="false" ht="15" hidden="false" customHeight="false" outlineLevel="0" collapsed="false">
      <c r="A43" s="0" t="s">
        <v>150</v>
      </c>
      <c r="B43" s="0" t="n">
        <f aca="false">(B37+B41+B42)/Assumptions!$B$3*Assumptions!$B$10</f>
        <v>54.6682302332124</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9136.89935238859</v>
      </c>
    </row>
    <row r="47" customFormat="false" ht="15" hidden="false" customHeight="false" outlineLevel="0" collapsed="false">
      <c r="A47" s="0" t="s">
        <v>152</v>
      </c>
      <c r="B47" s="0" t="n">
        <f aca="false">(SUMPRODUCT(C19:L19/(1+B45/100)^C4:L4)+B46/(1+B45/100)^L4+Assumptions!$B$5-Assumptions!$B$4)/Assumptions!$B$3*Assumptions!$B$10</f>
        <v>13.7361224250487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154</v>
      </c>
    </row>
    <row r="3" customFormat="false" ht="15" hidden="false" customHeight="false" outlineLevel="0" collapsed="false">
      <c r="A3" s="0" t="s">
        <v>123</v>
      </c>
      <c r="B3" s="0" t="s">
        <v>84</v>
      </c>
      <c r="C3" s="2" t="s">
        <v>98</v>
      </c>
      <c r="D3" s="2" t="s">
        <v>99</v>
      </c>
      <c r="E3" s="2" t="s">
        <v>100</v>
      </c>
      <c r="F3" s="2" t="s">
        <v>101</v>
      </c>
      <c r="G3" s="2" t="s">
        <v>102</v>
      </c>
      <c r="H3" s="2" t="s">
        <v>103</v>
      </c>
      <c r="I3" s="2" t="s">
        <v>104</v>
      </c>
      <c r="J3" s="2" t="s">
        <v>105</v>
      </c>
      <c r="K3" s="2" t="s">
        <v>106</v>
      </c>
      <c r="L3" s="2" t="s">
        <v>107</v>
      </c>
    </row>
    <row r="4" customFormat="false" ht="15" hidden="false" customHeight="false" outlineLevel="0" collapsed="false">
      <c r="A4" s="0" t="s">
        <v>124</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108</v>
      </c>
      <c r="C5" s="4" t="n">
        <f aca="false">Assumptions!C41</f>
        <v>-1.2</v>
      </c>
      <c r="D5" s="4" t="n">
        <f aca="false">Assumptions!D41</f>
        <v>3</v>
      </c>
      <c r="E5" s="4" t="n">
        <f aca="false">Assumptions!E41</f>
        <v>4</v>
      </c>
      <c r="F5" s="4" t="n">
        <f aca="false">Assumptions!F41</f>
        <v>4.5</v>
      </c>
      <c r="G5" s="4" t="n">
        <f aca="false">Assumptions!G41</f>
        <v>4.5</v>
      </c>
      <c r="H5" s="4" t="n">
        <f aca="false">Assumptions!H41</f>
        <v>4</v>
      </c>
      <c r="I5" s="4" t="n">
        <f aca="false">Assumptions!I41</f>
        <v>3.5</v>
      </c>
      <c r="J5" s="4" t="n">
        <f aca="false">Assumptions!J41</f>
        <v>3</v>
      </c>
      <c r="K5" s="4" t="n">
        <f aca="false">Assumptions!K41</f>
        <v>3</v>
      </c>
      <c r="L5" s="4" t="n">
        <f aca="false">Assumptions!L41</f>
        <v>3</v>
      </c>
    </row>
    <row r="6" customFormat="false" ht="15" hidden="false" customHeight="false" outlineLevel="0" collapsed="false">
      <c r="A6" s="0" t="s">
        <v>38</v>
      </c>
      <c r="B6" s="3" t="n">
        <v>5246.401</v>
      </c>
      <c r="C6" s="0" t="n">
        <f aca="false">B6*(1+C5/100)</f>
        <v>5183.444188</v>
      </c>
      <c r="D6" s="0" t="n">
        <f aca="false">C6*(1+D5/100)</f>
        <v>5338.94751364</v>
      </c>
      <c r="E6" s="0" t="n">
        <f aca="false">D6*(1+E5/100)</f>
        <v>5552.5054141856</v>
      </c>
      <c r="F6" s="0" t="n">
        <f aca="false">E6*(1+F5/100)</f>
        <v>5802.36815782395</v>
      </c>
      <c r="G6" s="0" t="n">
        <f aca="false">F6*(1+G5/100)</f>
        <v>6063.47472492603</v>
      </c>
      <c r="H6" s="0" t="n">
        <f aca="false">G6*(1+H5/100)</f>
        <v>6306.01371392307</v>
      </c>
      <c r="I6" s="0" t="n">
        <f aca="false">H6*(1+I5/100)</f>
        <v>6526.72419391038</v>
      </c>
      <c r="J6" s="0" t="n">
        <f aca="false">I6*(1+J5/100)</f>
        <v>6722.52591972769</v>
      </c>
      <c r="K6" s="0" t="n">
        <f aca="false">J6*(1+K5/100)</f>
        <v>6924.20169731952</v>
      </c>
      <c r="L6" s="0" t="n">
        <f aca="false">K6*(1+L5/100)</f>
        <v>7131.9277482391</v>
      </c>
    </row>
    <row r="7" customFormat="false" ht="15" hidden="false" customHeight="false" outlineLevel="0" collapsed="false">
      <c r="A7" s="0" t="s">
        <v>109</v>
      </c>
      <c r="C7" s="4" t="n">
        <f aca="false">Assumptions!C42</f>
        <v>27.5</v>
      </c>
      <c r="D7" s="4" t="n">
        <f aca="false">Assumptions!D42</f>
        <v>28.5</v>
      </c>
      <c r="E7" s="4" t="n">
        <f aca="false">Assumptions!E42</f>
        <v>29.5</v>
      </c>
      <c r="F7" s="4" t="n">
        <f aca="false">Assumptions!F42</f>
        <v>30.3</v>
      </c>
      <c r="G7" s="4" t="n">
        <f aca="false">Assumptions!G42</f>
        <v>31</v>
      </c>
      <c r="H7" s="4" t="n">
        <f aca="false">Assumptions!H42</f>
        <v>31.5</v>
      </c>
      <c r="I7" s="4" t="n">
        <f aca="false">Assumptions!I42</f>
        <v>31.5</v>
      </c>
      <c r="J7" s="4" t="n">
        <f aca="false">Assumptions!J42</f>
        <v>31.5</v>
      </c>
      <c r="K7" s="4" t="n">
        <f aca="false">Assumptions!K42</f>
        <v>31.5</v>
      </c>
      <c r="L7" s="4" t="n">
        <f aca="false">Assumptions!L42</f>
        <v>31.5</v>
      </c>
    </row>
    <row r="8" customFormat="false" ht="15" hidden="false" customHeight="false" outlineLevel="0" collapsed="false">
      <c r="A8" s="0" t="s">
        <v>44</v>
      </c>
      <c r="C8" s="0" t="n">
        <f aca="false">C6*C7/100</f>
        <v>1425.4471517</v>
      </c>
      <c r="D8" s="0" t="n">
        <f aca="false">D6*D7/100</f>
        <v>1521.6000413874</v>
      </c>
      <c r="E8" s="0" t="n">
        <f aca="false">E6*E7/100</f>
        <v>1637.98909718475</v>
      </c>
      <c r="F8" s="0" t="n">
        <f aca="false">F6*F7/100</f>
        <v>1758.11755182066</v>
      </c>
      <c r="G8" s="0" t="n">
        <f aca="false">G6*G7/100</f>
        <v>1879.67716472707</v>
      </c>
      <c r="H8" s="0" t="n">
        <f aca="false">H6*H7/100</f>
        <v>1986.39431988577</v>
      </c>
      <c r="I8" s="0" t="n">
        <f aca="false">I6*I7/100</f>
        <v>2055.91812108177</v>
      </c>
      <c r="J8" s="0" t="n">
        <f aca="false">J6*J7/100</f>
        <v>2117.59566471422</v>
      </c>
      <c r="K8" s="0" t="n">
        <f aca="false">K6*K7/100</f>
        <v>2181.12353465565</v>
      </c>
      <c r="L8" s="0" t="n">
        <f aca="false">L6*L7/100</f>
        <v>2246.55724069532</v>
      </c>
    </row>
    <row r="9" customFormat="false" ht="15" hidden="false" customHeight="false" outlineLevel="0" collapsed="false">
      <c r="A9" s="0" t="s">
        <v>110</v>
      </c>
      <c r="C9" s="4" t="n">
        <f aca="false">Assumptions!C43</f>
        <v>1.8</v>
      </c>
      <c r="D9" s="4" t="n">
        <f aca="false">Assumptions!D43</f>
        <v>1.8</v>
      </c>
      <c r="E9" s="4" t="n">
        <f aca="false">Assumptions!E43</f>
        <v>1.8</v>
      </c>
      <c r="F9" s="4" t="n">
        <f aca="false">Assumptions!F43</f>
        <v>1.8</v>
      </c>
      <c r="G9" s="4" t="n">
        <f aca="false">Assumptions!G43</f>
        <v>1.8</v>
      </c>
      <c r="H9" s="4" t="n">
        <f aca="false">Assumptions!H43</f>
        <v>1.8</v>
      </c>
      <c r="I9" s="4" t="n">
        <f aca="false">Assumptions!I43</f>
        <v>1.8</v>
      </c>
      <c r="J9" s="4" t="n">
        <f aca="false">Assumptions!J43</f>
        <v>1.8</v>
      </c>
      <c r="K9" s="4" t="n">
        <f aca="false">Assumptions!K43</f>
        <v>1.8</v>
      </c>
      <c r="L9" s="4" t="n">
        <f aca="false">Assumptions!L43</f>
        <v>1.8</v>
      </c>
    </row>
    <row r="10" customFormat="false" ht="15" hidden="false" customHeight="false" outlineLevel="0" collapsed="false">
      <c r="A10" s="0" t="s">
        <v>125</v>
      </c>
      <c r="C10" s="0" t="n">
        <f aca="false">-C6*C9/100</f>
        <v>-93.301995384</v>
      </c>
      <c r="D10" s="0" t="n">
        <f aca="false">-D6*D9/100</f>
        <v>-96.10105524552</v>
      </c>
      <c r="E10" s="0" t="n">
        <f aca="false">-E6*E9/100</f>
        <v>-99.9450974553408</v>
      </c>
      <c r="F10" s="0" t="n">
        <f aca="false">-F6*F9/100</f>
        <v>-104.442626840831</v>
      </c>
      <c r="G10" s="0" t="n">
        <f aca="false">-G6*G9/100</f>
        <v>-109.142545048669</v>
      </c>
      <c r="H10" s="0" t="n">
        <f aca="false">-H6*H9/100</f>
        <v>-113.508246850615</v>
      </c>
      <c r="I10" s="0" t="n">
        <f aca="false">-I6*I9/100</f>
        <v>-117.481035490387</v>
      </c>
      <c r="J10" s="0" t="n">
        <f aca="false">-J6*J9/100</f>
        <v>-121.005466555098</v>
      </c>
      <c r="K10" s="0" t="n">
        <f aca="false">-K6*K9/100</f>
        <v>-124.635630551751</v>
      </c>
      <c r="L10" s="0" t="n">
        <f aca="false">-L6*L9/100</f>
        <v>-128.374699468304</v>
      </c>
    </row>
    <row r="11" customFormat="false" ht="15" hidden="false" customHeight="false" outlineLevel="0" collapsed="false">
      <c r="A11" s="0" t="s">
        <v>126</v>
      </c>
      <c r="C11" s="0" t="n">
        <f aca="false">C8+C10+C24</f>
        <v>1332.145156316</v>
      </c>
      <c r="D11" s="0" t="n">
        <f aca="false">D8+D10+D24</f>
        <v>1425.49898614188</v>
      </c>
      <c r="E11" s="0" t="n">
        <f aca="false">E8+E10+E24</f>
        <v>1538.04399972941</v>
      </c>
      <c r="F11" s="0" t="n">
        <f aca="false">F8+F10+F24</f>
        <v>1653.67492497983</v>
      </c>
      <c r="G11" s="0" t="n">
        <f aca="false">G8+G10+G24</f>
        <v>1770.5346196784</v>
      </c>
      <c r="H11" s="0" t="n">
        <f aca="false">H8+H10+H24</f>
        <v>1872.88607303515</v>
      </c>
      <c r="I11" s="0" t="n">
        <f aca="false">I8+I10+I24</f>
        <v>1938.43708559138</v>
      </c>
      <c r="J11" s="0" t="n">
        <f aca="false">J8+J10+J24</f>
        <v>1996.59019815912</v>
      </c>
      <c r="K11" s="0" t="n">
        <f aca="false">K8+K10+K24</f>
        <v>2056.4879041039</v>
      </c>
      <c r="L11" s="0" t="n">
        <f aca="false">L8+L10+L24</f>
        <v>2118.18254122701</v>
      </c>
    </row>
    <row r="12" customFormat="false" ht="15" hidden="false" customHeight="false" outlineLevel="0" collapsed="false">
      <c r="A12" s="0" t="s">
        <v>127</v>
      </c>
      <c r="C12" s="4" t="n">
        <f aca="false">-C6*Assumptions!C45/100</f>
        <v>-155.50332564</v>
      </c>
      <c r="D12" s="4" t="n">
        <f aca="false">-D6*Assumptions!D45/100</f>
        <v>-160.1684254092</v>
      </c>
      <c r="E12" s="4" t="n">
        <f aca="false">-E6*Assumptions!E45/100</f>
        <v>-166.575162425568</v>
      </c>
      <c r="F12" s="4" t="n">
        <f aca="false">-F6*Assumptions!F45/100</f>
        <v>-174.071044734719</v>
      </c>
      <c r="G12" s="4" t="n">
        <f aca="false">-G6*Assumptions!G45/100</f>
        <v>-181.904241747781</v>
      </c>
      <c r="H12" s="4" t="n">
        <f aca="false">-H6*Assumptions!H45/100</f>
        <v>-189.180411417692</v>
      </c>
      <c r="I12" s="4" t="n">
        <f aca="false">-I6*Assumptions!I45/100</f>
        <v>-195.801725817311</v>
      </c>
      <c r="J12" s="4" t="n">
        <f aca="false">-J6*Assumptions!J45/100</f>
        <v>-201.675777591831</v>
      </c>
      <c r="K12" s="4" t="n">
        <f aca="false">-K6*Assumptions!K45/100</f>
        <v>-207.726050919586</v>
      </c>
      <c r="L12" s="4" t="n">
        <f aca="false">-L6*Assumptions!L45/100</f>
        <v>-213.957832447173</v>
      </c>
    </row>
    <row r="13" customFormat="false" ht="15" hidden="false" customHeight="false" outlineLevel="0" collapsed="false">
      <c r="A13" s="0" t="s">
        <v>128</v>
      </c>
      <c r="C13" s="0" t="n">
        <f aca="false">C11+C12</f>
        <v>1176.641830676</v>
      </c>
      <c r="D13" s="0" t="n">
        <f aca="false">D11+D12</f>
        <v>1265.33056073268</v>
      </c>
      <c r="E13" s="0" t="n">
        <f aca="false">E11+E12</f>
        <v>1371.46883730384</v>
      </c>
      <c r="F13" s="0" t="n">
        <f aca="false">F11+F12</f>
        <v>1479.60388024511</v>
      </c>
      <c r="G13" s="0" t="n">
        <f aca="false">G11+G12</f>
        <v>1588.63037793062</v>
      </c>
      <c r="H13" s="0" t="n">
        <f aca="false">H11+H12</f>
        <v>1683.70566161746</v>
      </c>
      <c r="I13" s="0" t="n">
        <f aca="false">I11+I12</f>
        <v>1742.63535977407</v>
      </c>
      <c r="J13" s="0" t="n">
        <f aca="false">J11+J12</f>
        <v>1794.91442056729</v>
      </c>
      <c r="K13" s="0" t="n">
        <f aca="false">K11+K12</f>
        <v>1848.76185318431</v>
      </c>
      <c r="L13" s="0" t="n">
        <f aca="false">L11+L12</f>
        <v>1904.22470877984</v>
      </c>
    </row>
    <row r="14" customFormat="false" ht="15" hidden="false" customHeight="false" outlineLevel="0" collapsed="false">
      <c r="A14" s="0" t="s">
        <v>114</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129</v>
      </c>
      <c r="C15" s="0" t="n">
        <f aca="false">C13-MAX(0,C13)*C14/100</f>
        <v>882.481373007</v>
      </c>
      <c r="D15" s="0" t="n">
        <f aca="false">D13-MAX(0,D13)*D14/100</f>
        <v>948.99792054951</v>
      </c>
      <c r="E15" s="0" t="n">
        <f aca="false">E13-MAX(0,E13)*E14/100</f>
        <v>1028.60162797788</v>
      </c>
      <c r="F15" s="0" t="n">
        <f aca="false">F13-MAX(0,F13)*F14/100</f>
        <v>1109.70291018383</v>
      </c>
      <c r="G15" s="0" t="n">
        <f aca="false">G13-MAX(0,G13)*G14/100</f>
        <v>1191.47278344796</v>
      </c>
      <c r="H15" s="0" t="n">
        <f aca="false">H13-MAX(0,H13)*H14/100</f>
        <v>1262.77924621309</v>
      </c>
      <c r="I15" s="0" t="n">
        <f aca="false">I13-MAX(0,I13)*I14/100</f>
        <v>1306.97651983055</v>
      </c>
      <c r="J15" s="0" t="n">
        <f aca="false">J13-MAX(0,J13)*J14/100</f>
        <v>1346.18581542547</v>
      </c>
      <c r="K15" s="0" t="n">
        <f aca="false">K13-MAX(0,K13)*K14/100</f>
        <v>1386.57138988823</v>
      </c>
      <c r="L15" s="0" t="n">
        <f aca="false">L13-MAX(0,L13)*L14/100</f>
        <v>1428.16853158488</v>
      </c>
    </row>
    <row r="16" customFormat="false" ht="15" hidden="false" customHeight="false" outlineLevel="0" collapsed="false">
      <c r="A16" s="0" t="s">
        <v>130</v>
      </c>
      <c r="C16" s="0" t="n">
        <f aca="false">-C12</f>
        <v>155.50332564</v>
      </c>
      <c r="D16" s="0" t="n">
        <f aca="false">-D12</f>
        <v>160.1684254092</v>
      </c>
      <c r="E16" s="0" t="n">
        <f aca="false">-E12</f>
        <v>166.575162425568</v>
      </c>
      <c r="F16" s="0" t="n">
        <f aca="false">-F12</f>
        <v>174.071044734719</v>
      </c>
      <c r="G16" s="0" t="n">
        <f aca="false">-G12</f>
        <v>181.904241747781</v>
      </c>
      <c r="H16" s="0" t="n">
        <f aca="false">-H12</f>
        <v>189.180411417692</v>
      </c>
      <c r="I16" s="0" t="n">
        <f aca="false">-I12</f>
        <v>195.801725817311</v>
      </c>
      <c r="J16" s="0" t="n">
        <f aca="false">-J12</f>
        <v>201.675777591831</v>
      </c>
      <c r="K16" s="0" t="n">
        <f aca="false">-K12</f>
        <v>207.726050919586</v>
      </c>
      <c r="L16" s="0" t="n">
        <f aca="false">-L12</f>
        <v>213.957832447173</v>
      </c>
    </row>
    <row r="17" customFormat="false" ht="15" hidden="false" customHeight="false" outlineLevel="0" collapsed="false">
      <c r="A17" s="0" t="s">
        <v>131</v>
      </c>
      <c r="C17" s="4" t="n">
        <f aca="false">-C6*Assumptions!C46/100</f>
        <v>-181.42054658</v>
      </c>
      <c r="D17" s="4" t="n">
        <f aca="false">-D6*Assumptions!D46/100</f>
        <v>-181.52421546376</v>
      </c>
      <c r="E17" s="4" t="n">
        <f aca="false">-E6*Assumptions!E46/100</f>
        <v>-183.232678668125</v>
      </c>
      <c r="F17" s="4" t="n">
        <f aca="false">-F6*Assumptions!F46/100</f>
        <v>-191.47814920819</v>
      </c>
      <c r="G17" s="4" t="n">
        <f aca="false">-G6*Assumptions!G46/100</f>
        <v>-200.094665922559</v>
      </c>
      <c r="H17" s="4" t="n">
        <f aca="false">-H6*Assumptions!H46/100</f>
        <v>-208.098452559461</v>
      </c>
      <c r="I17" s="4" t="n">
        <f aca="false">-I6*Assumptions!I46/100</f>
        <v>-215.381898399042</v>
      </c>
      <c r="J17" s="4" t="n">
        <f aca="false">-J6*Assumptions!J46/100</f>
        <v>-221.843355351014</v>
      </c>
      <c r="K17" s="4" t="n">
        <f aca="false">-K6*Assumptions!K46/100</f>
        <v>-228.498656011544</v>
      </c>
      <c r="L17" s="4" t="n">
        <f aca="false">-L6*Assumptions!L46/100</f>
        <v>-235.35361569189</v>
      </c>
    </row>
    <row r="18" customFormat="false" ht="15" hidden="false" customHeight="false" outlineLevel="0" collapsed="false">
      <c r="A18" s="0" t="s">
        <v>132</v>
      </c>
      <c r="C18" s="4" t="n">
        <f aca="false">(C6-B6)*Assumptions!$B$51/100</f>
        <v>-9.44352180000005</v>
      </c>
      <c r="D18" s="4" t="n">
        <f aca="false">(D6-C6)*Assumptions!$B$51/100</f>
        <v>23.325498846</v>
      </c>
      <c r="E18" s="4" t="n">
        <f aca="false">(E6-D6)*Assumptions!$B$51/100</f>
        <v>32.03368508184</v>
      </c>
      <c r="F18" s="4" t="n">
        <f aca="false">(F6-E6)*Assumptions!$B$51/100</f>
        <v>37.4794115457527</v>
      </c>
      <c r="G18" s="4" t="n">
        <f aca="false">(G6-F6)*Assumptions!$B$51/100</f>
        <v>39.1659850653115</v>
      </c>
      <c r="H18" s="4" t="n">
        <f aca="false">(H6-G6)*Assumptions!$B$51/100</f>
        <v>36.3808483495562</v>
      </c>
      <c r="I18" s="4" t="n">
        <f aca="false">(I6-H6)*Assumptions!$B$51/100</f>
        <v>33.106571998096</v>
      </c>
      <c r="J18" s="4" t="n">
        <f aca="false">(J6-I6)*Assumptions!$B$51/100</f>
        <v>29.3702588725967</v>
      </c>
      <c r="K18" s="4" t="n">
        <f aca="false">(K6-J6)*Assumptions!$B$51/100</f>
        <v>30.2513666387746</v>
      </c>
      <c r="L18" s="4" t="n">
        <f aca="false">(L6-K6)*Assumptions!$B$51/100</f>
        <v>31.1589076379379</v>
      </c>
    </row>
    <row r="19" customFormat="false" ht="15" hidden="false" customHeight="false" outlineLevel="0" collapsed="false">
      <c r="A19" s="0" t="s">
        <v>133</v>
      </c>
      <c r="C19" s="0" t="n">
        <f aca="false">C15+C16+C17+C18</f>
        <v>847.120630267</v>
      </c>
      <c r="D19" s="0" t="n">
        <f aca="false">D15+D16+D17+D18</f>
        <v>950.96762934095</v>
      </c>
      <c r="E19" s="0" t="n">
        <f aca="false">E15+E16+E17+E18</f>
        <v>1043.97779681717</v>
      </c>
      <c r="F19" s="0" t="n">
        <f aca="false">F15+F16+F17+F18</f>
        <v>1129.77521725611</v>
      </c>
      <c r="G19" s="0" t="n">
        <f aca="false">G15+G16+G17+G18</f>
        <v>1212.4483443385</v>
      </c>
      <c r="H19" s="0" t="n">
        <f aca="false">H15+H16+H17+H18</f>
        <v>1280.24205342088</v>
      </c>
      <c r="I19" s="0" t="n">
        <f aca="false">I15+I16+I17+I18</f>
        <v>1320.50291924692</v>
      </c>
      <c r="J19" s="0" t="n">
        <f aca="false">J15+J16+J17+J18</f>
        <v>1355.38849653888</v>
      </c>
      <c r="K19" s="0" t="n">
        <f aca="false">K15+K16+K17+K18</f>
        <v>1396.05015143505</v>
      </c>
      <c r="L19" s="0" t="n">
        <f aca="false">L15+L16+L17+L18</f>
        <v>1437.9316559781</v>
      </c>
    </row>
    <row r="20" customFormat="false" ht="15" hidden="false" customHeight="false" outlineLevel="0" collapsed="false">
      <c r="A20" s="0" t="s">
        <v>134</v>
      </c>
      <c r="C20" s="0" t="n">
        <f aca="false">1/(1+$B$27/100)^C4</f>
        <v>0.91743119266055</v>
      </c>
      <c r="D20" s="0" t="n">
        <f aca="false">1/(1+$B$27/100)^D4</f>
        <v>0.84167999326656</v>
      </c>
      <c r="E20" s="0" t="n">
        <f aca="false">1/(1+$B$27/100)^E4</f>
        <v>0.772183480061064</v>
      </c>
      <c r="F20" s="0" t="n">
        <f aca="false">1/(1+$B$27/100)^F4</f>
        <v>0.708425211065196</v>
      </c>
      <c r="G20" s="0" t="n">
        <f aca="false">1/(1+$B$27/100)^G4</f>
        <v>0.649931386298345</v>
      </c>
      <c r="H20" s="0" t="n">
        <f aca="false">1/(1+$B$27/100)^H4</f>
        <v>0.596267326879216</v>
      </c>
      <c r="I20" s="0" t="n">
        <f aca="false">1/(1+$B$27/100)^I4</f>
        <v>0.547034244843317</v>
      </c>
      <c r="J20" s="0" t="n">
        <f aca="false">1/(1+$B$27/100)^J4</f>
        <v>0.501866279672768</v>
      </c>
      <c r="K20" s="0" t="n">
        <f aca="false">1/(1+$B$27/100)^K4</f>
        <v>0.460427779516301</v>
      </c>
      <c r="L20" s="0" t="n">
        <f aca="false">1/(1+$B$27/100)^L4</f>
        <v>0.422410806895689</v>
      </c>
    </row>
    <row r="21" customFormat="false" ht="15" hidden="false" customHeight="false" outlineLevel="0" collapsed="false">
      <c r="A21" s="0" t="s">
        <v>135</v>
      </c>
      <c r="C21" s="0" t="n">
        <f aca="false">C19*C20</f>
        <v>777.174890153211</v>
      </c>
      <c r="D21" s="0" t="n">
        <f aca="false">D19*D20</f>
        <v>800.410427860407</v>
      </c>
      <c r="E21" s="0" t="n">
        <f aca="false">E19*E20</f>
        <v>806.142408252761</v>
      </c>
      <c r="F21" s="0" t="n">
        <f aca="false">F19*F20</f>
        <v>800.361246740889</v>
      </c>
      <c r="G21" s="0" t="n">
        <f aca="false">G19*G20</f>
        <v>788.008233251053</v>
      </c>
      <c r="H21" s="0" t="n">
        <f aca="false">H19*H20</f>
        <v>763.366506951627</v>
      </c>
      <c r="I21" s="0" t="n">
        <f aca="false">I19*I20</f>
        <v>722.360317243633</v>
      </c>
      <c r="J21" s="0" t="n">
        <f aca="false">J19*J20</f>
        <v>680.223782269236</v>
      </c>
      <c r="K21" s="0" t="n">
        <f aca="false">K19*K20</f>
        <v>642.780271318635</v>
      </c>
      <c r="L21" s="0" t="n">
        <f aca="false">L19*L20</f>
        <v>607.397871062564</v>
      </c>
    </row>
    <row r="23" customFormat="false" ht="15" hidden="false" customHeight="false" outlineLevel="0" collapsed="false">
      <c r="A23" s="0" t="s">
        <v>111</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136</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137</v>
      </c>
    </row>
    <row r="27" customFormat="false" ht="15" hidden="false" customHeight="false" outlineLevel="0" collapsed="false">
      <c r="A27" s="0" t="s">
        <v>115</v>
      </c>
      <c r="B27" s="4" t="n">
        <f aca="false">Assumptions!$B$48</f>
        <v>9</v>
      </c>
    </row>
    <row r="28" customFormat="false" ht="15" hidden="false" customHeight="false" outlineLevel="0" collapsed="false">
      <c r="A28" s="0" t="s">
        <v>116</v>
      </c>
      <c r="B28" s="4" t="n">
        <f aca="false">Assumptions!$B$49</f>
        <v>2.5</v>
      </c>
    </row>
    <row r="29" customFormat="false" ht="15" hidden="false" customHeight="false" outlineLevel="0" collapsed="false">
      <c r="A29" s="0" t="s">
        <v>117</v>
      </c>
      <c r="B29" s="4" t="n">
        <f aca="false">Assumptions!$B$50</f>
        <v>15</v>
      </c>
    </row>
    <row r="30" customFormat="false" ht="15" hidden="false" customHeight="false" outlineLevel="0" collapsed="false">
      <c r="A30" s="0" t="s">
        <v>138</v>
      </c>
      <c r="B30" s="0" t="n">
        <f aca="false">SUM(C21:L21)</f>
        <v>7388.22595510402</v>
      </c>
    </row>
    <row r="31" customFormat="false" ht="15" hidden="false" customHeight="false" outlineLevel="0" collapsed="false">
      <c r="A31" s="0" t="s">
        <v>139</v>
      </c>
      <c r="B31" s="0" t="n">
        <f aca="false">L19</f>
        <v>1437.9316559781</v>
      </c>
    </row>
    <row r="32" customFormat="false" ht="15" hidden="false" customHeight="false" outlineLevel="0" collapsed="false">
      <c r="A32" s="0" t="s">
        <v>140</v>
      </c>
      <c r="B32" s="0" t="n">
        <f aca="false">IF(B27&gt;B28,B31*(1+B28/100)/((B27-B28)/100),B31*B29)</f>
        <v>22675.0761135008</v>
      </c>
    </row>
    <row r="33" customFormat="false" ht="15" hidden="false" customHeight="false" outlineLevel="0" collapsed="false">
      <c r="A33" s="0" t="s">
        <v>141</v>
      </c>
      <c r="B33" s="0" t="n">
        <f aca="false">B31*B29</f>
        <v>21568.9748396715</v>
      </c>
    </row>
    <row r="34" customFormat="false" ht="15" hidden="false" customHeight="false" outlineLevel="0" collapsed="false">
      <c r="A34" s="0" t="s">
        <v>142</v>
      </c>
      <c r="B34" s="0" t="n">
        <f aca="false">MAX(0,MIN(B32,B33))</f>
        <v>21568.9748396715</v>
      </c>
    </row>
    <row r="35" customFormat="false" ht="15" hidden="false" customHeight="false" outlineLevel="0" collapsed="false">
      <c r="A35" s="0" t="s">
        <v>143</v>
      </c>
      <c r="B35" s="0" t="n">
        <f aca="false">B34/(1+B27/100)^L4</f>
        <v>9110.96806593846</v>
      </c>
    </row>
    <row r="36" customFormat="false" ht="15" hidden="false" customHeight="false" outlineLevel="0" collapsed="false">
      <c r="A36" s="0" t="s">
        <v>144</v>
      </c>
      <c r="B36" s="0" t="n">
        <f aca="false">B30+B35</f>
        <v>16499.1940210425</v>
      </c>
    </row>
    <row r="37" customFormat="false" ht="15" hidden="false" customHeight="false" outlineLevel="0" collapsed="false">
      <c r="A37" s="0" t="s">
        <v>145</v>
      </c>
      <c r="B37" s="0" t="n">
        <f aca="false">B36+Assumptions!$B$5-Assumptions!$B$4</f>
        <v>11629.8490210425</v>
      </c>
    </row>
    <row r="38" customFormat="false" ht="15" hidden="false" customHeight="false" outlineLevel="0" collapsed="false">
      <c r="A38" s="0" t="s">
        <v>146</v>
      </c>
      <c r="B38" s="0" t="n">
        <f aca="false">B37/Assumptions!$B$3*Assumptions!$B$10</f>
        <v>68.3651715382462</v>
      </c>
    </row>
    <row r="39" customFormat="false" ht="15" hidden="false" customHeight="false" outlineLevel="0" collapsed="false">
      <c r="A39" s="0" t="s">
        <v>147</v>
      </c>
      <c r="B39" s="4" t="n">
        <f aca="false">B38/Assumptions!$B$2-1</f>
        <v>1.02144209160988</v>
      </c>
    </row>
    <row r="41" customFormat="false" ht="15" hidden="false" customHeight="false" outlineLevel="0" collapsed="false">
      <c r="A41" s="0" t="s">
        <v>148</v>
      </c>
      <c r="B41" s="0" t="n">
        <f aca="false">SUMPRODUCT(-C10:L10/(1+$B$27/100)^C4:L4)</f>
        <v>692.873943966635</v>
      </c>
    </row>
    <row r="42" customFormat="false" ht="15" hidden="false" customHeight="false" outlineLevel="0" collapsed="false">
      <c r="A42" s="0" t="s">
        <v>149</v>
      </c>
      <c r="B42" s="0" t="n">
        <f aca="false">IF(B27&gt;B28,-L10*(1+B28/100)/((B27-B28)/100),-L10*20)/(1+B27/100)^L4</f>
        <v>855.115875339734</v>
      </c>
    </row>
    <row r="43" customFormat="false" ht="15" hidden="false" customHeight="false" outlineLevel="0" collapsed="false">
      <c r="A43" s="0" t="s">
        <v>150</v>
      </c>
      <c r="B43" s="0" t="n">
        <f aca="false">(B37+B41+B42)/Assumptions!$B$3*Assumptions!$B$10</f>
        <v>77.4649104381114</v>
      </c>
    </row>
    <row r="45" customFormat="false" ht="15" hidden="false" customHeight="false" outlineLevel="0" collapsed="false">
      <c r="A45" s="0" t="s">
        <v>91</v>
      </c>
      <c r="B45" s="4" t="n">
        <f aca="false">Assumptions!$B$6</f>
        <v>15</v>
      </c>
    </row>
    <row r="46" customFormat="false" ht="15" hidden="false" customHeight="false" outlineLevel="0" collapsed="false">
      <c r="A46" s="0" t="s">
        <v>151</v>
      </c>
      <c r="B46" s="0" t="n">
        <f aca="false">MAX(0,MIN(IF(B45&gt;B28,B31*(1+B28/100)/((B45-B28)/100),B31*B29),B31*B29))</f>
        <v>11791.0395790204</v>
      </c>
    </row>
    <row r="47" customFormat="false" ht="15" hidden="false" customHeight="false" outlineLevel="0" collapsed="false">
      <c r="A47" s="0" t="s">
        <v>152</v>
      </c>
      <c r="B47" s="0" t="n">
        <f aca="false">(SUMPRODUCT(C19:L19/(1+B45/100)^C4:L4)+B46/(1+B45/100)^L4+Assumptions!$B$5-Assumptions!$B$4)/Assumptions!$B$3*Assumptions!$B$10</f>
        <v>21.64064213712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155</v>
      </c>
    </row>
    <row r="3" customFormat="false" ht="15" hidden="false" customHeight="false" outlineLevel="0" collapsed="false">
      <c r="A3" s="2" t="s">
        <v>156</v>
      </c>
      <c r="B3" s="2" t="s">
        <v>157</v>
      </c>
      <c r="C3" s="2" t="s">
        <v>147</v>
      </c>
      <c r="D3" s="2" t="s">
        <v>158</v>
      </c>
      <c r="E3" s="2" t="s">
        <v>150</v>
      </c>
      <c r="F3" s="2" t="s">
        <v>159</v>
      </c>
    </row>
    <row r="4" customFormat="false" ht="15" hidden="false" customHeight="false" outlineLevel="0" collapsed="false">
      <c r="A4" s="0" t="s">
        <v>160</v>
      </c>
      <c r="B4" s="4" t="n">
        <f aca="false">DCF_Bear!$B$38</f>
        <v>21.0450358847658</v>
      </c>
      <c r="C4" s="0" t="n">
        <f aca="false">B4/Assumptions!$B$2-1</f>
        <v>-0.377734006955475</v>
      </c>
      <c r="D4" s="4" t="n">
        <f aca="false">Assumptions!$B$24</f>
        <v>0.25</v>
      </c>
      <c r="E4" s="4" t="n">
        <f aca="false">DCF_Bear!$B$43</f>
        <v>27.2994573795253</v>
      </c>
      <c r="F4" s="4" t="n">
        <f aca="false">DCF_Bear!$B$47</f>
        <v>2.58820160180615</v>
      </c>
    </row>
    <row r="5" customFormat="false" ht="15" hidden="false" customHeight="false" outlineLevel="0" collapsed="false">
      <c r="A5" s="0" t="s">
        <v>161</v>
      </c>
      <c r="B5" s="4" t="n">
        <f aca="false">DCF_Base!$B$38</f>
        <v>46.7660622776197</v>
      </c>
      <c r="C5" s="0" t="n">
        <f aca="false">B5/Assumptions!$B$2-1</f>
        <v>0.382793089225894</v>
      </c>
      <c r="D5" s="4" t="n">
        <f aca="false">Assumptions!$B$38</f>
        <v>0.5</v>
      </c>
      <c r="E5" s="4" t="n">
        <f aca="false">DCF_Base!$B$43</f>
        <v>54.6682302332124</v>
      </c>
      <c r="F5" s="4" t="n">
        <f aca="false">DCF_Base!$B$47</f>
        <v>13.7361224250487</v>
      </c>
    </row>
    <row r="6" customFormat="false" ht="15" hidden="false" customHeight="false" outlineLevel="0" collapsed="false">
      <c r="A6" s="0" t="s">
        <v>162</v>
      </c>
      <c r="B6" s="4" t="n">
        <f aca="false">DCF_Bull!$B$38</f>
        <v>68.3651715382462</v>
      </c>
      <c r="C6" s="0" t="n">
        <f aca="false">B6/Assumptions!$B$2-1</f>
        <v>1.02144209160988</v>
      </c>
      <c r="D6" s="4" t="n">
        <f aca="false">Assumptions!$B$52</f>
        <v>0.25</v>
      </c>
      <c r="E6" s="4" t="n">
        <f aca="false">DCF_Bull!$B$43</f>
        <v>77.4649104381114</v>
      </c>
      <c r="F6" s="4" t="n">
        <f aca="false">DCF_Bull!$B$47</f>
        <v>21.64064213712</v>
      </c>
    </row>
    <row r="8" customFormat="false" ht="15" hidden="false" customHeight="false" outlineLevel="0" collapsed="false">
      <c r="A8" s="0" t="s">
        <v>163</v>
      </c>
      <c r="B8" s="0" t="n">
        <f aca="false">SUMPRODUCT(B4:B6,D4:D6)</f>
        <v>45.7355829945629</v>
      </c>
    </row>
    <row r="9" customFormat="false" ht="15" hidden="false" customHeight="false" outlineLevel="0" collapsed="false">
      <c r="A9" s="0" t="s">
        <v>164</v>
      </c>
      <c r="B9" s="0" t="n">
        <f aca="false">SUMPRODUCT(E4:E6,D4:D6)</f>
        <v>53.5252070710154</v>
      </c>
    </row>
    <row r="10" customFormat="false" ht="15" hidden="false" customHeight="false" outlineLevel="0" collapsed="false">
      <c r="A10" s="0" t="s">
        <v>165</v>
      </c>
      <c r="B10" s="0" t="n">
        <f aca="false">1-Assumptions!$B$2/B8</f>
        <v>0.260532001876513</v>
      </c>
    </row>
    <row r="11" customFormat="false" ht="15" hidden="false" customHeight="false" outlineLevel="0" collapsed="false">
      <c r="A11" s="0" t="s">
        <v>166</v>
      </c>
      <c r="B11" s="0" t="n">
        <f aca="false">IF(ABS(B9-B8)&gt;0.01*ABS(B8),(Assumptions!$B$2-B8)/(B9-B8)*100,"n/a")</f>
        <v>-152.967368869351</v>
      </c>
    </row>
    <row r="12" customFormat="false" ht="15" hidden="false" customHeight="false" outlineLevel="0" collapsed="false">
      <c r="A12" s="0" t="s">
        <v>167</v>
      </c>
      <c r="B12" s="0" t="n">
        <f aca="false">SUMPRODUCT(F4:F6,D4:D6)</f>
        <v>12.9252721472559</v>
      </c>
    </row>
    <row r="14" customFormat="false" ht="15" hidden="false" customHeight="false" outlineLevel="0" collapsed="false">
      <c r="A14" s="2" t="s">
        <v>168</v>
      </c>
      <c r="C14" s="0" t="s">
        <v>169</v>
      </c>
    </row>
    <row r="15" customFormat="false" ht="15" hidden="false" customHeight="false" outlineLevel="0" collapsed="false">
      <c r="A15" s="0" t="s">
        <v>170</v>
      </c>
      <c r="B15" s="0" t="n">
        <f aca="false">(SUMPRODUCT(DCF_Base!$C$19:$L$19/(1+$C$15/100)^DCF_Base!$C$4:$L$4)+MAX(0,MIN(IF($C$15&gt;DCF_Base!$B$28,DCF_Base!$L$19*(1+DCF_Base!$B$28/100)/(($C$15-DCF_Base!$B$28)/100),DCF_Base!$L$19*DCF_Base!$B$29),DCF_Base!$L$19*DCF_Base!$B$29))/(1+$C$15/100)^DCF_Base!$L$4+Assumptions!$B$5-Assumptions!$B$4)/Assumptions!$B$3*Assumptions!$B$10</f>
        <v>46.7660622776197</v>
      </c>
      <c r="C15" s="3" t="n">
        <v>9</v>
      </c>
    </row>
    <row r="16" customFormat="false" ht="15" hidden="false" customHeight="false" outlineLevel="0" collapsed="false">
      <c r="A16" s="0" t="s">
        <v>171</v>
      </c>
      <c r="B16" s="0" t="n">
        <f aca="false">(SUMPRODUCT(DCF_Base!$C$19:$L$19/(1+$C$16/100)^DCF_Base!$C$4:$L$4)+MAX(0,MIN(IF($C$16&gt;DCF_Base!$B$28,DCF_Base!$L$19*(1+DCF_Base!$B$28/100)/(($C$16-DCF_Base!$B$28)/100),DCF_Base!$L$19*DCF_Base!$B$29),DCF_Base!$L$19*DCF_Base!$B$29))/(1+$C$16/100)^DCF_Base!$L$4+Assumptions!$B$5-Assumptions!$B$4)/Assumptions!$B$3*Assumptions!$B$10</f>
        <v>41.1163352166654</v>
      </c>
      <c r="C16" s="3" t="n">
        <v>10</v>
      </c>
    </row>
    <row r="17" customFormat="false" ht="15" hidden="false" customHeight="false" outlineLevel="0" collapsed="false">
      <c r="A17" s="0" t="s">
        <v>172</v>
      </c>
      <c r="B17" s="0" t="n">
        <f aca="false">(SUMPRODUCT(DCF_Base!$C$19:$L$19/(1+$C$17/100)^DCF_Base!$C$4:$L$4)+MAX(0,MIN(IF($C$17&gt;DCF_Base!$B$28,DCF_Base!$L$19*(1+DCF_Base!$B$28/100)/(($C$17-DCF_Base!$B$28)/100),DCF_Base!$L$19*DCF_Base!$B$29),DCF_Base!$L$19*DCF_Base!$B$29))/(1+$C$17/100)^DCF_Base!$L$4+Assumptions!$B$5-Assumptions!$B$4)/Assumptions!$B$3*Assumptions!$B$10</f>
        <v>33.1945316486727</v>
      </c>
      <c r="C17" s="3" t="n">
        <v>11</v>
      </c>
    </row>
    <row r="18" customFormat="false" ht="15" hidden="false" customHeight="false" outlineLevel="0" collapsed="false">
      <c r="A18" s="0" t="s">
        <v>173</v>
      </c>
      <c r="B18" s="0" t="n">
        <f aca="false">(SUMPRODUCT(DCF_Base!$C$19:$L$19/(1+$C$18/100)^DCF_Base!$C$4:$L$4)+MAX(0,MIN(IF($C$18&gt;DCF_Base!$B$28,DCF_Base!$L$19*(1+DCF_Base!$B$28/100)/(($C$18-DCF_Base!$B$28)/100),DCF_Base!$L$19*DCF_Base!$B$29),DCF_Base!$L$19*DCF_Base!$B$29))/(1+$C$18/100)^DCF_Base!$L$4+Assumptions!$B$5-Assumptions!$B$4)/Assumptions!$B$3*Assumptions!$B$10</f>
        <v>26.8627397184668</v>
      </c>
      <c r="C18" s="3" t="n">
        <v>12</v>
      </c>
    </row>
    <row r="19" customFormat="false" ht="15" hidden="false" customHeight="false" outlineLevel="0" collapsed="false">
      <c r="A19" s="0" t="s">
        <v>174</v>
      </c>
      <c r="B19" s="0" t="n">
        <f aca="false">(SUMPRODUCT(DCF_Base!$C$19:$L$19/(1+$C$19/100)^DCF_Base!$C$4:$L$4)+MAX(0,MIN(IF($C$19&gt;DCF_Base!$B$28,DCF_Base!$L$19*(1+DCF_Base!$B$28/100)/(($C$19-DCF_Base!$B$28)/100),DCF_Base!$L$19*DCF_Base!$B$29),DCF_Base!$L$19*DCF_Base!$B$29))/(1+$C$19/100)^DCF_Base!$L$4+Assumptions!$B$5-Assumptions!$B$4)/Assumptions!$B$3*Assumptions!$B$10</f>
        <v>13.7361224250487</v>
      </c>
      <c r="C19" s="3" t="n">
        <v>15</v>
      </c>
    </row>
    <row r="21" customFormat="false" ht="15" hidden="false" customHeight="false" outlineLevel="0" collapsed="false">
      <c r="A21" s="2" t="s">
        <v>175</v>
      </c>
    </row>
    <row r="22" customFormat="false" ht="15" hidden="false" customHeight="false" outlineLevel="0" collapsed="false">
      <c r="B22" s="3" t="n">
        <v>1</v>
      </c>
      <c r="C22" s="3" t="n">
        <v>1.5</v>
      </c>
      <c r="D22" s="3" t="n">
        <v>2</v>
      </c>
      <c r="E22" s="3" t="n">
        <v>2.5</v>
      </c>
      <c r="F22" s="3" t="n">
        <v>3</v>
      </c>
    </row>
    <row r="23" customFormat="false" ht="15" hidden="false" customHeight="false" outlineLevel="0" collapsed="false">
      <c r="A23" s="3" t="n">
        <v>7</v>
      </c>
      <c r="B23" s="0" t="n">
        <f aca="false">(SUMPRODUCT(DCF_Base!$C$19:$L$19/(1+$A$23/100)^DCF_Base!$C$4:$L$4)+MAX(0,MIN(IF($A$23&gt;$B$22,DCF_Base!$L$19*(1+$B$22/100)/(($A$23-$B$22)/100),DCF_Base!$L$19*DCF_Base!$B$29),DCF_Base!$L$19*DCF_Base!$B$29))/(1+$A$23/100)^DCF_Base!$L$4+Assumptions!$B$5-Assumptions!$B$4)/Assumptions!$B$3*Assumptions!$B$10</f>
        <v>58.2167604914431</v>
      </c>
      <c r="C23" s="0" t="n">
        <f aca="false">(SUMPRODUCT(DCF_Base!$C$19:$L$19/(1+$A$23/100)^DCF_Base!$C$4:$L$4)+MAX(0,MIN(IF($A$23&gt;$C$22,DCF_Base!$L$19*(1+$C$22/100)/(($A$23-$C$22)/100),DCF_Base!$L$19*DCF_Base!$B$29),DCF_Base!$L$19*DCF_Base!$B$29))/(1+$A$23/100)^DCF_Base!$L$4+Assumptions!$B$5-Assumptions!$B$4)/Assumptions!$B$3*Assumptions!$B$10</f>
        <v>58.2167604914431</v>
      </c>
      <c r="D23" s="0" t="n">
        <f aca="false">(SUMPRODUCT(DCF_Base!$C$19:$L$19/(1+$A$23/100)^DCF_Base!$C$4:$L$4)+MAX(0,MIN(IF($A$23&gt;$D$22,DCF_Base!$L$19*(1+$D$22/100)/(($A$23-$D$22)/100),DCF_Base!$L$19*DCF_Base!$B$29),DCF_Base!$L$19*DCF_Base!$B$29))/(1+$A$23/100)^DCF_Base!$L$4+Assumptions!$B$5-Assumptions!$B$4)/Assumptions!$B$3*Assumptions!$B$10</f>
        <v>58.2167604914431</v>
      </c>
      <c r="E23" s="0" t="n">
        <f aca="false">(SUMPRODUCT(DCF_Base!$C$19:$L$19/(1+$A$23/100)^DCF_Base!$C$4:$L$4)+MAX(0,MIN(IF($A$23&gt;$E$22,DCF_Base!$L$19*(1+$E$22/100)/(($A$23-$E$22)/100),DCF_Base!$L$19*DCF_Base!$B$29),DCF_Base!$L$19*DCF_Base!$B$29))/(1+$A$23/100)^DCF_Base!$L$4+Assumptions!$B$5-Assumptions!$B$4)/Assumptions!$B$3*Assumptions!$B$10</f>
        <v>58.2167604914431</v>
      </c>
      <c r="F23" s="0" t="n">
        <f aca="false">(SUMPRODUCT(DCF_Base!$C$19:$L$19/(1+$A$23/100)^DCF_Base!$C$4:$L$4)+MAX(0,MIN(IF($A$23&gt;$F$22,DCF_Base!$L$19*(1+$F$22/100)/(($A$23-$F$22)/100),DCF_Base!$L$19*DCF_Base!$B$29),DCF_Base!$L$19*DCF_Base!$B$29))/(1+$A$23/100)^DCF_Base!$L$4+Assumptions!$B$5-Assumptions!$B$4)/Assumptions!$B$3*Assumptions!$B$10</f>
        <v>58.2167604914431</v>
      </c>
    </row>
    <row r="24" customFormat="false" ht="15" hidden="false" customHeight="false" outlineLevel="0" collapsed="false">
      <c r="A24" s="3" t="n">
        <v>8</v>
      </c>
      <c r="B24" s="0" t="n">
        <f aca="false">(SUMPRODUCT(DCF_Base!$C$19:$L$19/(1+$A$24/100)^DCF_Base!$C$4:$L$4)+MAX(0,MIN(IF($A$24&gt;$B$22,DCF_Base!$L$19*(1+$B$22/100)/(($A$24-$B$22)/100),DCF_Base!$L$19*DCF_Base!$B$29),DCF_Base!$L$19*DCF_Base!$B$29))/(1+$A$24/100)^DCF_Base!$L$4+Assumptions!$B$5-Assumptions!$B$4)/Assumptions!$B$3*Assumptions!$B$10</f>
        <v>52.2288839312421</v>
      </c>
      <c r="C24" s="0" t="n">
        <f aca="false">(SUMPRODUCT(DCF_Base!$C$19:$L$19/(1+$A$24/100)^DCF_Base!$C$4:$L$4)+MAX(0,MIN(IF($A$24&gt;$C$22,DCF_Base!$L$19*(1+$C$22/100)/(($A$24-$C$22)/100),DCF_Base!$L$19*DCF_Base!$B$29),DCF_Base!$L$19*DCF_Base!$B$29))/(1+$A$24/100)^DCF_Base!$L$4+Assumptions!$B$5-Assumptions!$B$4)/Assumptions!$B$3*Assumptions!$B$10</f>
        <v>52.2288839312421</v>
      </c>
      <c r="D24" s="0" t="n">
        <f aca="false">(SUMPRODUCT(DCF_Base!$C$19:$L$19/(1+$A$24/100)^DCF_Base!$C$4:$L$4)+MAX(0,MIN(IF($A$24&gt;$D$22,DCF_Base!$L$19*(1+$D$22/100)/(($A$24-$D$22)/100),DCF_Base!$L$19*DCF_Base!$B$29),DCF_Base!$L$19*DCF_Base!$B$29))/(1+$A$24/100)^DCF_Base!$L$4+Assumptions!$B$5-Assumptions!$B$4)/Assumptions!$B$3*Assumptions!$B$10</f>
        <v>52.2288839312421</v>
      </c>
      <c r="E24" s="0" t="n">
        <f aca="false">(SUMPRODUCT(DCF_Base!$C$19:$L$19/(1+$A$24/100)^DCF_Base!$C$4:$L$4)+MAX(0,MIN(IF($A$24&gt;$E$22,DCF_Base!$L$19*(1+$E$22/100)/(($A$24-$E$22)/100),DCF_Base!$L$19*DCF_Base!$B$29),DCF_Base!$L$19*DCF_Base!$B$29))/(1+$A$24/100)^DCF_Base!$L$4+Assumptions!$B$5-Assumptions!$B$4)/Assumptions!$B$3*Assumptions!$B$10</f>
        <v>52.2288839312421</v>
      </c>
      <c r="F24" s="0" t="n">
        <f aca="false">(SUMPRODUCT(DCF_Base!$C$19:$L$19/(1+$A$24/100)^DCF_Base!$C$4:$L$4)+MAX(0,MIN(IF($A$24&gt;$F$22,DCF_Base!$L$19*(1+$F$22/100)/(($A$24-$F$22)/100),DCF_Base!$L$19*DCF_Base!$B$29),DCF_Base!$L$19*DCF_Base!$B$29))/(1+$A$24/100)^DCF_Base!$L$4+Assumptions!$B$5-Assumptions!$B$4)/Assumptions!$B$3*Assumptions!$B$10</f>
        <v>52.2288839312421</v>
      </c>
    </row>
    <row r="25" customFormat="false" ht="15" hidden="false" customHeight="false" outlineLevel="0" collapsed="false">
      <c r="A25" s="3" t="n">
        <v>9</v>
      </c>
      <c r="B25" s="0" t="n">
        <f aca="false">(SUMPRODUCT(DCF_Base!$C$19:$L$19/(1+$A$25/100)^DCF_Base!$C$4:$L$4)+MAX(0,MIN(IF($A$25&gt;$B$22,DCF_Base!$L$19*(1+$B$22/100)/(($A$25-$B$22)/100),DCF_Base!$L$19*DCF_Base!$B$29),DCF_Base!$L$19*DCF_Base!$B$29))/(1+$A$25/100)^DCF_Base!$L$4+Assumptions!$B$5-Assumptions!$B$4)/Assumptions!$B$3*Assumptions!$B$10</f>
        <v>45.6817131337055</v>
      </c>
      <c r="C25" s="0" t="n">
        <f aca="false">(SUMPRODUCT(DCF_Base!$C$19:$L$19/(1+$A$25/100)^DCF_Base!$C$4:$L$4)+MAX(0,MIN(IF($A$25&gt;$C$22,DCF_Base!$L$19*(1+$C$22/100)/(($A$25-$C$22)/100),DCF_Base!$L$19*DCF_Base!$B$29),DCF_Base!$L$19*DCF_Base!$B$29))/(1+$A$25/100)^DCF_Base!$L$4+Assumptions!$B$5-Assumptions!$B$4)/Assumptions!$B$3*Assumptions!$B$10</f>
        <v>46.7660622776197</v>
      </c>
      <c r="D25" s="0" t="n">
        <f aca="false">(SUMPRODUCT(DCF_Base!$C$19:$L$19/(1+$A$25/100)^DCF_Base!$C$4:$L$4)+MAX(0,MIN(IF($A$25&gt;$D$22,DCF_Base!$L$19*(1+$D$22/100)/(($A$25-$D$22)/100),DCF_Base!$L$19*DCF_Base!$B$29),DCF_Base!$L$19*DCF_Base!$B$29))/(1+$A$25/100)^DCF_Base!$L$4+Assumptions!$B$5-Assumptions!$B$4)/Assumptions!$B$3*Assumptions!$B$10</f>
        <v>46.7660622776197</v>
      </c>
      <c r="E25" s="0" t="n">
        <f aca="false">(SUMPRODUCT(DCF_Base!$C$19:$L$19/(1+$A$25/100)^DCF_Base!$C$4:$L$4)+MAX(0,MIN(IF($A$25&gt;$E$22,DCF_Base!$L$19*(1+$E$22/100)/(($A$25-$E$22)/100),DCF_Base!$L$19*DCF_Base!$B$29),DCF_Base!$L$19*DCF_Base!$B$29))/(1+$A$25/100)^DCF_Base!$L$4+Assumptions!$B$5-Assumptions!$B$4)/Assumptions!$B$3*Assumptions!$B$10</f>
        <v>46.7660622776197</v>
      </c>
      <c r="F25" s="0" t="n">
        <f aca="false">(SUMPRODUCT(DCF_Base!$C$19:$L$19/(1+$A$25/100)^DCF_Base!$C$4:$L$4)+MAX(0,MIN(IF($A$25&gt;$F$22,DCF_Base!$L$19*(1+$F$22/100)/(($A$25-$F$22)/100),DCF_Base!$L$19*DCF_Base!$B$29),DCF_Base!$L$19*DCF_Base!$B$29))/(1+$A$25/100)^DCF_Base!$L$4+Assumptions!$B$5-Assumptions!$B$4)/Assumptions!$B$3*Assumptions!$B$10</f>
        <v>46.7660622776197</v>
      </c>
    </row>
    <row r="26" customFormat="false" ht="15" hidden="false" customHeight="false" outlineLevel="0" collapsed="false">
      <c r="A26" s="3" t="n">
        <v>10</v>
      </c>
      <c r="B26" s="0" t="n">
        <f aca="false">(SUMPRODUCT(DCF_Base!$C$19:$L$19/(1+$A$26/100)^DCF_Base!$C$4:$L$4)+MAX(0,MIN(IF($A$26&gt;$B$22,DCF_Base!$L$19*(1+$B$22/100)/(($A$26-$B$22)/100),DCF_Base!$L$19*DCF_Base!$B$29),DCF_Base!$L$19*DCF_Base!$B$29))/(1+$A$26/100)^DCF_Base!$L$4+Assumptions!$B$5-Assumptions!$B$4)/Assumptions!$B$3*Assumptions!$B$10</f>
        <v>37.0841897676007</v>
      </c>
      <c r="C26" s="0" t="n">
        <f aca="false">(SUMPRODUCT(DCF_Base!$C$19:$L$19/(1+$A$26/100)^DCF_Base!$C$4:$L$4)+MAX(0,MIN(IF($A$26&gt;$C$22,DCF_Base!$L$19*(1+$C$22/100)/(($A$26-$C$22)/100),DCF_Base!$L$19*DCF_Base!$B$29),DCF_Base!$L$19*DCF_Base!$B$29))/(1+$A$26/100)^DCF_Base!$L$4+Assumptions!$B$5-Assumptions!$B$4)/Assumptions!$B$3*Assumptions!$B$10</f>
        <v>38.9816699789253</v>
      </c>
      <c r="D26" s="0" t="n">
        <f aca="false">(SUMPRODUCT(DCF_Base!$C$19:$L$19/(1+$A$26/100)^DCF_Base!$C$4:$L$4)+MAX(0,MIN(IF($A$26&gt;$D$22,DCF_Base!$L$19*(1+$D$22/100)/(($A$26-$D$22)/100),DCF_Base!$L$19*DCF_Base!$B$29),DCF_Base!$L$19*DCF_Base!$B$29))/(1+$A$26/100)^DCF_Base!$L$4+Assumptions!$B$5-Assumptions!$B$4)/Assumptions!$B$3*Assumptions!$B$10</f>
        <v>41.1163352166654</v>
      </c>
      <c r="E26" s="0" t="n">
        <f aca="false">(SUMPRODUCT(DCF_Base!$C$19:$L$19/(1+$A$26/100)^DCF_Base!$C$4:$L$4)+MAX(0,MIN(IF($A$26&gt;$E$22,DCF_Base!$L$19*(1+$E$22/100)/(($A$26-$E$22)/100),DCF_Base!$L$19*DCF_Base!$B$29),DCF_Base!$L$19*DCF_Base!$B$29))/(1+$A$26/100)^DCF_Base!$L$4+Assumptions!$B$5-Assumptions!$B$4)/Assumptions!$B$3*Assumptions!$B$10</f>
        <v>41.7761408356033</v>
      </c>
      <c r="F26" s="0" t="n">
        <f aca="false">(SUMPRODUCT(DCF_Base!$C$19:$L$19/(1+$A$26/100)^DCF_Base!$C$4:$L$4)+MAX(0,MIN(IF($A$26&gt;$F$22,DCF_Base!$L$19*(1+$F$22/100)/(($A$26-$F$22)/100),DCF_Base!$L$19*DCF_Base!$B$29),DCF_Base!$L$19*DCF_Base!$B$29))/(1+$A$26/100)^DCF_Base!$L$4+Assumptions!$B$5-Assumptions!$B$4)/Assumptions!$B$3*Assumptions!$B$10</f>
        <v>41.7761408356033</v>
      </c>
    </row>
    <row r="27" customFormat="false" ht="15" hidden="false" customHeight="false" outlineLevel="0" collapsed="false">
      <c r="A27" s="3" t="n">
        <v>11</v>
      </c>
      <c r="B27" s="0" t="n">
        <f aca="false">(SUMPRODUCT(DCF_Base!$C$19:$L$19/(1+$A$27/100)^DCF_Base!$C$4:$L$4)+MAX(0,MIN(IF($A$27&gt;$B$22,DCF_Base!$L$19*(1+$B$22/100)/(($A$27-$B$22)/100),DCF_Base!$L$19*DCF_Base!$B$29),DCF_Base!$L$19*DCF_Base!$B$29))/(1+$A$27/100)^DCF_Base!$L$4+Assumptions!$B$5-Assumptions!$B$4)/Assumptions!$B$3*Assumptions!$B$10</f>
        <v>30.2211302999244</v>
      </c>
      <c r="C27" s="0" t="n">
        <f aca="false">(SUMPRODUCT(DCF_Base!$C$19:$L$19/(1+$A$27/100)^DCF_Base!$C$4:$L$4)+MAX(0,MIN(IF($A$27&gt;$C$22,DCF_Base!$L$19*(1+$C$22/100)/(($A$27-$C$22)/100),DCF_Base!$L$19*DCF_Base!$B$29),DCF_Base!$L$19*DCF_Base!$B$29))/(1+$A$27/100)^DCF_Base!$L$4+Assumptions!$B$5-Assumptions!$B$4)/Assumptions!$B$3*Assumptions!$B$10</f>
        <v>31.6295835703841</v>
      </c>
      <c r="D27" s="0" t="n">
        <f aca="false">(SUMPRODUCT(DCF_Base!$C$19:$L$19/(1+$A$27/100)^DCF_Base!$C$4:$L$4)+MAX(0,MIN(IF($A$27&gt;$D$22,DCF_Base!$L$19*(1+$D$22/100)/(($A$27-$D$22)/100),DCF_Base!$L$19*DCF_Base!$B$29),DCF_Base!$L$19*DCF_Base!$B$29))/(1+$A$27/100)^DCF_Base!$L$4+Assumptions!$B$5-Assumptions!$B$4)/Assumptions!$B$3*Assumptions!$B$10</f>
        <v>33.1945316486727</v>
      </c>
      <c r="E27" s="0" t="n">
        <f aca="false">(SUMPRODUCT(DCF_Base!$C$19:$L$19/(1+$A$27/100)^DCF_Base!$C$4:$L$4)+MAX(0,MIN(IF($A$27&gt;$E$22,DCF_Base!$L$19*(1+$E$22/100)/(($A$27-$E$22)/100),DCF_Base!$L$19*DCF_Base!$B$29),DCF_Base!$L$19*DCF_Base!$B$29))/(1+$A$27/100)^DCF_Base!$L$4+Assumptions!$B$5-Assumptions!$B$4)/Assumptions!$B$3*Assumptions!$B$10</f>
        <v>34.9435912655834</v>
      </c>
      <c r="F27" s="0" t="n">
        <f aca="false">(SUMPRODUCT(DCF_Base!$C$19:$L$19/(1+$A$27/100)^DCF_Base!$C$4:$L$4)+MAX(0,MIN(IF($A$27&gt;$F$22,DCF_Base!$L$19*(1+$F$22/100)/(($A$27-$F$22)/100),DCF_Base!$L$19*DCF_Base!$B$29),DCF_Base!$L$19*DCF_Base!$B$29))/(1+$A$27/100)^DCF_Base!$L$4+Assumptions!$B$5-Assumptions!$B$4)/Assumptions!$B$3*Assumptions!$B$10</f>
        <v>36.9112833346079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2026-10-10T09:16:18Z</dcterms:created>
  <dc:creator>openpyxl</dc:creator>
  <dc:description/>
  <dc:language>en-NZ</dc:language>
  <cp:lastModifiedBy/>
  <dcterms:modified xsi:type="dcterms:W3CDTF">2026-10-10T09:16:18Z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