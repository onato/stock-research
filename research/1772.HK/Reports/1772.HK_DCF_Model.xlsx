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<sst xmlns="http://schemas.openxmlformats.org/spreadsheetml/2006/main" count="358" uniqueCount="167">
  <si>
    <t xml:space="preserve">Ticker</t>
  </si>
  <si>
    <t xml:space="preserve">1772.HK</t>
  </si>
  <si>
    <t xml:space="preserve">Company</t>
  </si>
  <si>
    <t xml:space="preserve">Ganfeng Lithium Group Co.,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</si>
  <si>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</si>
  <si>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</si>
  <si>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</si>
  <si>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</si>
  <si>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</t>
  </si>
  <si>
    <t xml:space="preserve">Balance sheet date</t>
  </si>
  <si>
    <t xml:space="preserve">2026-09-30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</si>
  <si>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</si>
  <si>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</si>
  <si>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</si>
  <si>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</si>
  <si>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</si>
  <si>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</si>
  <si>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</si>
  <si>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</si>
  <si>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</si>
  <si>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</si>
  <si>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</si>
  <si>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2026-10-16T16:56:21Z</t>
  </si>
  <si>
    <t xml:space="preserve">Drivers file</t>
  </si>
  <si>
    <t xml:space="preserve">1772.HK_Drivers.json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</si>
  <si>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</si>
  <si>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</si>
  <si>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</si>
  <si>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an integrated lithium producer on a through-the-cycle owner-FCF basis: a mid-cycle price and margin from year 1 rather than the latest spike quarter, volume growth from projects already built, capex gliding to D&amp;A, and a 12x terminal cap for a cyclical. Leverage, NCI and the JV/listed-stake portfolio are handled explicitly in the bridge so the equity value reflects the balance sheet the H-shareholder actually owns.
key_risks_to_valuation: Lithium price path: every 10% on the mid-cycle price is roughly RMB1bn of EBITDA; the base case's RMB100-120k/t assumption is a judgment, not an observable; Leverage: RMB36.9bn gross debt, RMB26.9bn net, against mid-cycle EBITDA of ~RMB7-8bn; refinancing depends on Chinese bank support through the trough; Project execution and jurisdiction: Goulamina (Mali, military government, new mining code), Cauchari-Olaroz and Mariana (Argentina FX controls), each consolidated with large NCI; Bridge values: RMB12.8bn of equity-accounted investments are at book; a lower lithium price impairs both them and the RMB3.5bn listed-stake portfolio; Working capital: inventory of RMB15bn at Sep 2026 is price-inflated; a price fall releases cash but also triggers write-downs that depress reported margins (FY2023 precedent); A/H discount: the H-share trades at ~48% below the A-share; closing that gap is a re-rating thesis, not a cash-flow one</t>
  </si>
  <si>
    <t xml:space="preserve">Data sources</t>
  </si>
  <si>
    <t xml:space="preserve">price: Yahoo Finance chart API at inputs.price_as_of (HKEX regular close); 52-week range HKD 23.7-91.2. FX from Yahoo CNYHKD=X; A-share 002460.SZ for the dual-listing check.
financials: 1772.HK_Metrics.csv (FY2017-FY2025 annual + interims, CNY millions, from the HKFRS annual/interim reports); Q3 FY2026 report (PRC GAAP, RMB units) for the 30 Sep 2026 balance sheet, 9M revenue/cost and cash flow; H1 FY2026 interim for the income statement, share count, convertible bond and NCI; FY2025 annual for the audited income statement, finance costs and D&amp;A.
qualitative: 1772.HK_Analysis.json was not yet present at build time (written in parallel); narratives are from the filings' management discussion and the agent's judgment of the lithium cycle.</t>
  </si>
  <si>
    <t xml:space="preserve">Scenario narrative: bear</t>
  </si>
  <si>
    <t xml:space="preserve">A rerun of 2023-2025. The 2026 price spike pulls in supply, carbonate falls back to ~RMB80k/t and stays there; FY2027 revenue drops 40% to ~RMB28bn and the EBITDA margin sits at the 14-15% FY2025 trough. With sustaining capex near D&amp;A, owner FCF is a few hundred million a year against RMB27bn of net debt and RMB1.4bn of annual finance costs; the company survives on Chinese bank refinancing and asset sales (the listed stakes), but the equity carries little DCF value. This is the scenario the H-share's 74% drawdown is pricing.</t>
  </si>
  <si>
    <t xml:space="preserve">Scenario narrative: base</t>
  </si>
  <si>
    <t xml:space="preserve">Mid-cycle normalisation. The FY2026 spike (H1 gross margin 31%, Q3 21%, H-share from HKD91 to HKD24) is treated as a peak year, not a run-rate: FY2027 revenue reverts 25% to ~RMB35bn at a mid-cycle carbonate price of ~RMB100-120k/t, and growth thereafter is volume (Goulamina phase 2, Mariana brine, Cauchari-Olaroz via the Minera Exar JV, and the energy-storage battery segment), decelerating from 8% to 2.5%. EBITDA margin 22% through the cycle, above the FY2025 trough (14%) because self-supplied resources now cover a larger share of feed, below the 9M FY2026 level (~25%). Capex glides from RMB4bn toward D&amp;A as the 2022-2025 construction programme (RMB24bn over three years) completes, which is the single biggest swing from negative to positive owner FCF. Net debt of RMB26.9bn and NCI of RMB7.1bn are deducted; RMB16.3bn of JV/associate and listed-stake investments are added back because their income is outside the EBITDA build.</t>
  </si>
  <si>
    <t xml:space="preserve">Scenario narrative: bull</t>
  </si>
  <si>
    <t xml:space="preserve">Lithium stays tight: supply discipline (Chinese lepidolite curtailments, slower African ramps) plus energy-storage demand hold the price at ~RMB130-150k/t, so FY2027 revenue falls only 10% and the resource ramp lands on full margins -- EBITDA 27%, volume growth 10%/8%/7%. Deleveraging is fast enough that the FCF yield re-rates the H-share toward A-share parity. Needs several things to go right at once (price, project execution in Argentina and Mali, and a stable Chinese policy backdrop), hence the lower weight.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</si>
  <si>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</si>
  <si>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</si>
  <si>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</si>
  <si>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</si>
  <si>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</si>
  <si>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</si>
  <si>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</si>
  <si>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</si>
  <si>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</si>
  <si>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</si>
  <si>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</si>
  <si>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</si>
  <si>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</si>
  <si>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</si>
  <si>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</si>
  <si>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</si>
  <si>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</si>
  <si>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</si>
  <si>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</si>
  <si>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</si>
  <si>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</si>
  <si>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</si>
  <si>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</si>
  <si>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</si>
  <si>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</si>
  <si>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</si>
  <si>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</si>
  <si>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</si>
  <si>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TotalEquityInclNCI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</si>
  <si>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</si>
  <si>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</si>
  <si>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</si>
  <si>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</si>
  <si>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</si>
  <si>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</si>
  <si>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</si>
  <si>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</si>
  <si>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</si>
  <si>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</si>
  <si>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</si>
  <si>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</si>
  <si>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</si>
  <si>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</si>
  <si>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</si>
  <si>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</si>
  <si>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</si>
  <si>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</si>
  <si>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</si>
  <si>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</si>
  <si>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</si>
  <si>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</si>
  <si>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</si>
  <si>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</si>
  <si>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</si>
  <si>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</si>
  <si>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</si>
  <si>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</si>
  <si>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</si>
  <si>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</si>
  <si>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</si>
  <si>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</si>
  <si>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</si>
  <si>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</si>
  <si>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</si>
  <si>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</si>
  <si>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</si>
  <si>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</si>
  <si>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</si>
  <si>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</si>
  <si>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</si>
  <si>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</si>
  <si>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</si>
  <si>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</si>
  <si>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</si>
  <si>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</si>
  <si>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</si>
  <si>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1772.HK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</si>
  <si>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</si>
  <si>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</si>
  <si>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</si>
  <si>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</si>
  <si>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</si>
  <si>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</si>
  <si>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</si>
  <si>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</si>
  <si>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</si>
  <si>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</si>
  <si>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</si>
  <si>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</si>
  <si>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</si>
  <si>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</si>
  <si>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</si>
  <si>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</si>
  <si>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</si>
  <si>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</si>
  <si>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</si>
  <si>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</si>
  <si>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</si>
  <si>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</si>
  <si>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</si>
  <si>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</si>
  <si>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</si>
  <si>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</si>
  <si>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</si>
  <si>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</si>
  <si>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</si>
  <si>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</si>
  <si>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1772.HK owner-FCF component DCF: base case (millions, CNY)</t>
  </si>
  <si>
    <t xml:space="preserve">1772.HK owner-FCF component DCF: bull case (millions, CNY)</t>
  </si>
  <si>
    <t xml:space="preserve">1772.HK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</si>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</sst>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23.96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4171.201</v>
      </c>
      <c r="C2" s="0" t="n">
        <v>2496.146</v>
      </c>
      <c r="D2" s="0" t="n">
        <v>1675.055</v>
      </c>
      <c r="E2" s="0" t="n">
        <v>40.2</v>
      </c>
      <c r="I2" s="0" t="n">
        <v>2095.548</v>
      </c>
      <c r="J2" s="0" t="n">
        <v>50.2</v>
      </c>
      <c r="K2" s="0" t="n">
        <v>1.89</v>
      </c>
      <c r="L2" s="0" t="n">
        <v>503.866</v>
      </c>
      <c r="M2" s="0" t="n">
        <v>352.916</v>
      </c>
      <c r="N2" s="0" t="n">
        <v>150.95</v>
      </c>
      <c r="O2" s="0" t="n">
        <v>4037.204</v>
      </c>
      <c r="P2" s="0" t="n">
        <v>7999.1</v>
      </c>
      <c r="Q2" s="0" t="n">
        <v>3955.93</v>
      </c>
      <c r="R2" s="0" t="n">
        <v>2229.246</v>
      </c>
      <c r="S2" s="0" t="n">
        <v>2165.352</v>
      </c>
      <c r="U2" s="0" t="n">
        <v>9.206</v>
      </c>
      <c r="AA2" s="0" t="s">
        <v>18</v>
      </c>
      <c r="AB2" s="0" t="s">
        <v>14</v>
      </c>
      <c r="AC2" s="0" t="n">
        <v>2095.05</v>
      </c>
      <c r="AD2" s="0" t="n">
        <v>4043.17</v>
      </c>
    </row>
    <row r="3" customFormat="false" ht="15" hidden="false" customHeight="false" outlineLevel="0" collapsed="false">
      <c r="A3" s="0" t="s">
        <v>67</v>
      </c>
      <c r="B3" s="0" t="n">
        <v>4889.882</v>
      </c>
      <c r="C3" s="0" t="n">
        <v>3136.032</v>
      </c>
      <c r="D3" s="0" t="n">
        <v>1753.85</v>
      </c>
      <c r="E3" s="0" t="n">
        <v>35.9</v>
      </c>
      <c r="I3" s="0" t="n">
        <v>1218.542</v>
      </c>
      <c r="J3" s="0" t="n">
        <v>24.9</v>
      </c>
      <c r="K3" s="0" t="n">
        <v>1.07</v>
      </c>
      <c r="L3" s="0" t="n">
        <v>685.232</v>
      </c>
      <c r="M3" s="0" t="n">
        <v>1247.585</v>
      </c>
      <c r="N3" s="0" t="n">
        <v>-562.353</v>
      </c>
      <c r="O3" s="0" t="n">
        <v>7923.644</v>
      </c>
      <c r="P3" s="0" t="n">
        <v>13520.717</v>
      </c>
      <c r="Q3" s="0" t="n">
        <v>5543.544</v>
      </c>
      <c r="R3" s="0" t="n">
        <v>2775.914</v>
      </c>
      <c r="S3" s="0" t="n">
        <v>3218.615</v>
      </c>
      <c r="U3" s="0" t="n">
        <v>109.801</v>
      </c>
      <c r="AA3" s="0" t="s">
        <v>18</v>
      </c>
      <c r="AB3" s="0" t="s">
        <v>14</v>
      </c>
      <c r="AC3" s="0" t="n">
        <v>1219.138</v>
      </c>
      <c r="AD3" s="0" t="n">
        <v>7977.173</v>
      </c>
    </row>
    <row r="4" customFormat="false" ht="15" hidden="false" customHeight="false" outlineLevel="0" collapsed="false">
      <c r="A4" s="0" t="s">
        <v>68</v>
      </c>
      <c r="B4" s="0" t="n">
        <v>5246.425</v>
      </c>
      <c r="C4" s="0" t="n">
        <v>4008.873</v>
      </c>
      <c r="D4" s="0" t="n">
        <v>1237.552</v>
      </c>
      <c r="E4" s="0" t="n">
        <v>23.6</v>
      </c>
      <c r="I4" s="0" t="n">
        <v>360.745</v>
      </c>
      <c r="J4" s="0" t="n">
        <v>6.9</v>
      </c>
      <c r="K4" s="0" t="n">
        <v>0.28</v>
      </c>
      <c r="L4" s="0" t="n">
        <v>669.286</v>
      </c>
      <c r="M4" s="0" t="n">
        <v>849.146</v>
      </c>
      <c r="N4" s="0" t="n">
        <v>-179.86</v>
      </c>
      <c r="O4" s="0" t="n">
        <v>8355.257</v>
      </c>
      <c r="P4" s="0" t="n">
        <v>14213.032</v>
      </c>
      <c r="Q4" s="0" t="n">
        <v>5802.751</v>
      </c>
      <c r="R4" s="0" t="n">
        <v>4188.013</v>
      </c>
      <c r="S4" s="0" t="n">
        <v>1328.104</v>
      </c>
      <c r="U4" s="0" t="n">
        <v>134.878</v>
      </c>
      <c r="AA4" s="0" t="s">
        <v>18</v>
      </c>
      <c r="AB4" s="0" t="s">
        <v>14</v>
      </c>
      <c r="AC4" s="0" t="n">
        <v>356.066</v>
      </c>
      <c r="AD4" s="0" t="n">
        <v>8410.281</v>
      </c>
    </row>
    <row r="5" customFormat="false" ht="15" hidden="false" customHeight="false" outlineLevel="0" collapsed="false">
      <c r="A5" s="0" t="s">
        <v>69</v>
      </c>
      <c r="B5" s="0" t="n">
        <v>5488.624</v>
      </c>
      <c r="C5" s="0" t="n">
        <v>4326.98</v>
      </c>
      <c r="D5" s="0" t="n">
        <v>1161.644</v>
      </c>
      <c r="E5" s="0" t="n">
        <v>21.2</v>
      </c>
      <c r="I5" s="0" t="n">
        <v>1025.309</v>
      </c>
      <c r="J5" s="0" t="n">
        <v>18.7</v>
      </c>
      <c r="K5" s="0" t="n">
        <v>0.79</v>
      </c>
      <c r="L5" s="0" t="n">
        <v>746.368</v>
      </c>
      <c r="M5" s="0" t="n">
        <v>1231.114</v>
      </c>
      <c r="N5" s="0" t="n">
        <v>-484.746</v>
      </c>
      <c r="O5" s="0" t="n">
        <v>10705.624</v>
      </c>
      <c r="P5" s="0" t="n">
        <v>22020.374</v>
      </c>
      <c r="Q5" s="0" t="n">
        <v>8601.969</v>
      </c>
      <c r="R5" s="0" t="n">
        <v>6104.129</v>
      </c>
      <c r="S5" s="0" t="n">
        <v>1709.59</v>
      </c>
      <c r="U5" s="0" t="n">
        <v>0</v>
      </c>
      <c r="AA5" s="0" t="s">
        <v>18</v>
      </c>
      <c r="AB5" s="0" t="s">
        <v>14</v>
      </c>
      <c r="AC5" s="0" t="n">
        <v>1064.233</v>
      </c>
      <c r="AD5" s="0" t="n">
        <v>13418.405</v>
      </c>
    </row>
    <row r="6" customFormat="false" ht="15" hidden="false" customHeight="false" outlineLevel="0" collapsed="false">
      <c r="A6" s="0" t="s">
        <v>70</v>
      </c>
      <c r="B6" s="0" t="n">
        <v>11043.007</v>
      </c>
      <c r="C6" s="0" t="n">
        <v>6685.938</v>
      </c>
      <c r="D6" s="0" t="n">
        <v>4357.069</v>
      </c>
      <c r="E6" s="0" t="n">
        <v>39.5</v>
      </c>
      <c r="I6" s="0" t="n">
        <v>5225.922</v>
      </c>
      <c r="J6" s="0" t="n">
        <v>47.3</v>
      </c>
      <c r="K6" s="0" t="n">
        <v>3.72</v>
      </c>
      <c r="L6" s="0" t="n">
        <v>2620.393</v>
      </c>
      <c r="M6" s="0" t="n">
        <v>3413.364</v>
      </c>
      <c r="N6" s="0" t="n">
        <v>-792.971</v>
      </c>
      <c r="O6" s="0" t="n">
        <v>21893.751</v>
      </c>
      <c r="P6" s="0" t="n">
        <v>39056.651</v>
      </c>
      <c r="Q6" s="0" t="n">
        <v>12889.951</v>
      </c>
      <c r="R6" s="0" t="n">
        <v>6367.654</v>
      </c>
      <c r="S6" s="0" t="n">
        <v>5233.611</v>
      </c>
      <c r="U6" s="0" t="n">
        <v>244.127</v>
      </c>
      <c r="AA6" s="0" t="s">
        <v>18</v>
      </c>
      <c r="AB6" s="0" t="s">
        <v>14</v>
      </c>
      <c r="AC6" s="0" t="n">
        <v>5414.064</v>
      </c>
      <c r="AD6" s="0" t="n">
        <v>26166.7</v>
      </c>
    </row>
    <row r="7" customFormat="false" ht="15" hidden="false" customHeight="false" outlineLevel="0" collapsed="false">
      <c r="A7" s="0" t="s">
        <v>71</v>
      </c>
      <c r="B7" s="0" t="n">
        <v>41370.654</v>
      </c>
      <c r="C7" s="0" t="n">
        <v>21006.18</v>
      </c>
      <c r="D7" s="0" t="n">
        <v>20364.474</v>
      </c>
      <c r="E7" s="0" t="n">
        <v>49.2</v>
      </c>
      <c r="I7" s="0" t="n">
        <v>20503.915</v>
      </c>
      <c r="J7" s="0" t="n">
        <v>49.6</v>
      </c>
      <c r="K7" s="0" t="n">
        <v>10.17</v>
      </c>
      <c r="L7" s="0" t="n">
        <v>12490.633</v>
      </c>
      <c r="M7" s="0" t="n">
        <v>4949.717</v>
      </c>
      <c r="N7" s="0" t="n">
        <v>7540.916</v>
      </c>
      <c r="O7" s="0" t="n">
        <v>44042.827</v>
      </c>
      <c r="P7" s="0" t="n">
        <v>79159.91</v>
      </c>
      <c r="Q7" s="0" t="n">
        <v>30293.602</v>
      </c>
      <c r="R7" s="0" t="n">
        <v>12783.219</v>
      </c>
      <c r="S7" s="0" t="n">
        <v>9073.017</v>
      </c>
      <c r="U7" s="0" t="n">
        <v>323.907</v>
      </c>
      <c r="AA7" s="0" t="s">
        <v>18</v>
      </c>
      <c r="AB7" s="0" t="s">
        <v>14</v>
      </c>
      <c r="AC7" s="0" t="n">
        <v>20460.964</v>
      </c>
      <c r="AD7" s="0" t="n">
        <v>48866.308</v>
      </c>
    </row>
    <row r="8" customFormat="false" ht="15" hidden="false" customHeight="false" outlineLevel="0" collapsed="false">
      <c r="A8" s="0" t="s">
        <v>72</v>
      </c>
      <c r="B8" s="0" t="n">
        <v>32812.017</v>
      </c>
      <c r="C8" s="0" t="n">
        <v>28203.095</v>
      </c>
      <c r="D8" s="0" t="n">
        <v>4608.922</v>
      </c>
      <c r="E8" s="0" t="n">
        <v>14</v>
      </c>
      <c r="I8" s="0" t="n">
        <v>4982.547</v>
      </c>
      <c r="J8" s="0" t="n">
        <v>15.2</v>
      </c>
      <c r="K8" s="0" t="n">
        <v>2.47</v>
      </c>
      <c r="L8" s="0" t="n">
        <v>146.481</v>
      </c>
      <c r="M8" s="0" t="n">
        <v>8646.145</v>
      </c>
      <c r="N8" s="0" t="n">
        <v>-8499.664</v>
      </c>
      <c r="O8" s="0" t="n">
        <v>47034.106</v>
      </c>
      <c r="P8" s="0" t="n">
        <v>91697.901</v>
      </c>
      <c r="Q8" s="0" t="n">
        <v>39382.039</v>
      </c>
      <c r="R8" s="0" t="n">
        <v>25189.644</v>
      </c>
      <c r="S8" s="0" t="n">
        <v>9293.732</v>
      </c>
      <c r="T8" s="0" t="n">
        <v>2013.57</v>
      </c>
      <c r="U8" s="0" t="n">
        <v>223.076</v>
      </c>
      <c r="AA8" s="0" t="s">
        <v>18</v>
      </c>
      <c r="AB8" s="0" t="s">
        <v>14</v>
      </c>
      <c r="AC8" s="0" t="n">
        <v>4610.985</v>
      </c>
      <c r="AD8" s="0" t="n">
        <v>52315.862</v>
      </c>
    </row>
    <row r="9" customFormat="false" ht="15" hidden="false" customHeight="false" outlineLevel="0" collapsed="false">
      <c r="A9" s="0" t="s">
        <v>73</v>
      </c>
      <c r="B9" s="0" t="n">
        <v>18726.175</v>
      </c>
      <c r="C9" s="0" t="n">
        <v>16599.05</v>
      </c>
      <c r="D9" s="0" t="n">
        <v>2127.125</v>
      </c>
      <c r="E9" s="0" t="n">
        <v>11.4</v>
      </c>
      <c r="I9" s="0" t="n">
        <v>-2068.512</v>
      </c>
      <c r="J9" s="0" t="n">
        <v>-11</v>
      </c>
      <c r="K9" s="0" t="n">
        <v>-1.03</v>
      </c>
      <c r="L9" s="0" t="n">
        <v>5161.272</v>
      </c>
      <c r="M9" s="0" t="n">
        <v>8985.792</v>
      </c>
      <c r="N9" s="0" t="n">
        <v>-3824.52</v>
      </c>
      <c r="O9" s="0" t="n">
        <v>41782.388</v>
      </c>
      <c r="P9" s="0" t="n">
        <v>100832.297</v>
      </c>
      <c r="Q9" s="0" t="n">
        <v>53244.4</v>
      </c>
      <c r="R9" s="0" t="n">
        <v>32340.76</v>
      </c>
      <c r="S9" s="0" t="n">
        <v>5641.238</v>
      </c>
      <c r="T9" s="0" t="n">
        <v>2004.77</v>
      </c>
      <c r="U9" s="0" t="n">
        <v>42.48</v>
      </c>
      <c r="AA9" s="0" t="s">
        <v>18</v>
      </c>
      <c r="AB9" s="0" t="s">
        <v>14</v>
      </c>
      <c r="AC9" s="0" t="n">
        <v>-2624.761</v>
      </c>
      <c r="AD9" s="0" t="n">
        <v>47587.897</v>
      </c>
    </row>
    <row r="10" customFormat="false" ht="15" hidden="false" customHeight="false" outlineLevel="0" collapsed="false">
      <c r="A10" s="0" t="s">
        <v>74</v>
      </c>
      <c r="B10" s="0" t="n">
        <v>22797.728</v>
      </c>
      <c r="C10" s="0" t="n">
        <v>19187.238</v>
      </c>
      <c r="D10" s="0" t="n">
        <v>3610.49</v>
      </c>
      <c r="E10" s="0" t="n">
        <v>15.8</v>
      </c>
      <c r="I10" s="0" t="n">
        <v>1613.671</v>
      </c>
      <c r="J10" s="0" t="n">
        <v>7.1</v>
      </c>
      <c r="K10" s="0" t="n">
        <v>0.8</v>
      </c>
      <c r="L10" s="0" t="n">
        <v>2944.845</v>
      </c>
      <c r="M10" s="0" t="n">
        <v>7270.77</v>
      </c>
      <c r="N10" s="0" t="n">
        <v>-4325.925</v>
      </c>
      <c r="O10" s="0" t="n">
        <v>45145.475</v>
      </c>
      <c r="P10" s="0" t="n">
        <v>113258.092</v>
      </c>
      <c r="Q10" s="0" t="n">
        <v>61420.516</v>
      </c>
      <c r="R10" s="0" t="n">
        <v>35103.194</v>
      </c>
      <c r="S10" s="0" t="n">
        <v>7868.247</v>
      </c>
      <c r="T10" s="0" t="n">
        <v>2023.93</v>
      </c>
      <c r="U10" s="0" t="n">
        <v>90.173</v>
      </c>
      <c r="AA10" s="0" t="s">
        <v>18</v>
      </c>
      <c r="AB10" s="0" t="s">
        <v>14</v>
      </c>
      <c r="AC10" s="0" t="n">
        <v>1263.238</v>
      </c>
      <c r="AD10" s="0" t="n">
        <v>51837.576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23.96</v>
      </c>
    </row>
    <row r="3" customFormat="false" ht="15" hidden="false" customHeight="false" outlineLevel="0" collapsed="false">
      <c r="A3" s="0" t="s">
        <v>78</v>
      </c>
      <c r="B3" s="3" t="n">
        <v>2137.4</v>
      </c>
    </row>
    <row r="4" customFormat="false" ht="15" hidden="false" customHeight="false" outlineLevel="0" collapsed="false">
      <c r="A4" s="0" t="s">
        <v>79</v>
      </c>
      <c r="B4" s="3" t="n">
        <v>26864.4</v>
      </c>
    </row>
    <row r="5" customFormat="false" ht="15" hidden="false" customHeight="false" outlineLevel="0" collapsed="false">
      <c r="A5" s="0" t="s">
        <v>80</v>
      </c>
      <c r="B5" s="3" t="n">
        <v>5952.1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46500</v>
      </c>
    </row>
    <row r="8" customFormat="false" ht="15" hidden="false" customHeight="false" outlineLevel="0" collapsed="false">
      <c r="A8" s="0" t="s">
        <v>83</v>
      </c>
      <c r="B8" s="3" t="s">
        <v>84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1.1727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-40</v>
      </c>
      <c r="D13" s="3" t="n">
        <v>5</v>
      </c>
      <c r="E13" s="3" t="n">
        <v>5</v>
      </c>
      <c r="F13" s="3" t="n">
        <v>4</v>
      </c>
      <c r="G13" s="3" t="n">
        <v>4</v>
      </c>
      <c r="H13" s="3" t="n">
        <v>3</v>
      </c>
      <c r="I13" s="3" t="n">
        <v>3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100</v>
      </c>
      <c r="C14" s="3" t="n">
        <v>14</v>
      </c>
      <c r="D14" s="3" t="n">
        <v>14</v>
      </c>
      <c r="E14" s="3" t="n">
        <v>15</v>
      </c>
      <c r="F14" s="3" t="n">
        <v>15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101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9.5</v>
      </c>
      <c r="D17" s="3" t="n">
        <v>9.5</v>
      </c>
      <c r="E17" s="3" t="n">
        <v>9.5</v>
      </c>
      <c r="F17" s="3" t="n">
        <v>9.5</v>
      </c>
      <c r="G17" s="3" t="n">
        <v>9.5</v>
      </c>
      <c r="H17" s="3" t="n">
        <v>9.5</v>
      </c>
      <c r="I17" s="3" t="n">
        <v>9.5</v>
      </c>
      <c r="J17" s="3" t="n">
        <v>9.5</v>
      </c>
      <c r="K17" s="3" t="n">
        <v>9.5</v>
      </c>
      <c r="L17" s="3" t="n">
        <v>9.5</v>
      </c>
    </row>
    <row r="18" customFormat="false" ht="15" hidden="false" customHeight="false" outlineLevel="0" collapsed="false">
      <c r="A18" s="0" t="s">
        <v>104</v>
      </c>
      <c r="C18" s="3" t="n">
        <v>12</v>
      </c>
      <c r="D18" s="3" t="n">
        <v>11</v>
      </c>
      <c r="E18" s="3" t="n">
        <v>10</v>
      </c>
      <c r="F18" s="3" t="n">
        <v>9.5</v>
      </c>
      <c r="G18" s="3" t="n">
        <v>9.5</v>
      </c>
      <c r="H18" s="3" t="n">
        <v>9.5</v>
      </c>
      <c r="I18" s="3" t="n">
        <v>9.5</v>
      </c>
      <c r="J18" s="3" t="n">
        <v>9.5</v>
      </c>
      <c r="K18" s="3" t="n">
        <v>9.5</v>
      </c>
      <c r="L18" s="3" t="n">
        <v>9.5</v>
      </c>
    </row>
    <row r="19" customFormat="false" ht="15" hidden="false" customHeight="false" outlineLevel="0" collapsed="false">
      <c r="A19" s="0" t="s">
        <v>105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106</v>
      </c>
      <c r="B20" s="3" t="n">
        <v>9</v>
      </c>
    </row>
    <row r="21" customFormat="false" ht="15" hidden="false" customHeight="false" outlineLevel="0" collapsed="false">
      <c r="A21" s="0" t="s">
        <v>107</v>
      </c>
      <c r="B21" s="3" t="n">
        <v>2</v>
      </c>
    </row>
    <row r="22" customFormat="false" ht="15" hidden="false" customHeight="false" outlineLevel="0" collapsed="false">
      <c r="A22" s="0" t="s">
        <v>108</v>
      </c>
      <c r="B22" s="3" t="n">
        <v>12</v>
      </c>
    </row>
    <row r="23" customFormat="false" ht="15" hidden="false" customHeight="false" outlineLevel="0" collapsed="false">
      <c r="A23" s="0" t="s">
        <v>109</v>
      </c>
      <c r="B23" s="3" t="n">
        <v>-15</v>
      </c>
    </row>
    <row r="24" customFormat="false" ht="15" hidden="false" customHeight="false" outlineLevel="0" collapsed="false">
      <c r="A24" s="0" t="s">
        <v>110</v>
      </c>
      <c r="B24" s="3" t="n">
        <v>0.3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-25</v>
      </c>
      <c r="D27" s="3" t="n">
        <v>8</v>
      </c>
      <c r="E27" s="3" t="n">
        <v>7</v>
      </c>
      <c r="F27" s="3" t="n">
        <v>6</v>
      </c>
      <c r="G27" s="3" t="n">
        <v>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22</v>
      </c>
      <c r="D28" s="3" t="n">
        <v>22</v>
      </c>
      <c r="E28" s="3" t="n">
        <v>22</v>
      </c>
      <c r="F28" s="3" t="n">
        <v>22</v>
      </c>
      <c r="G28" s="3" t="n">
        <v>22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101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8.5</v>
      </c>
      <c r="D31" s="3" t="n">
        <v>8.5</v>
      </c>
      <c r="E31" s="3" t="n">
        <v>8.5</v>
      </c>
      <c r="F31" s="3" t="n">
        <v>8.5</v>
      </c>
      <c r="G31" s="3" t="n">
        <v>8.5</v>
      </c>
      <c r="H31" s="3" t="n">
        <v>8.5</v>
      </c>
      <c r="I31" s="3" t="n">
        <v>8.5</v>
      </c>
      <c r="J31" s="3" t="n">
        <v>8.5</v>
      </c>
      <c r="K31" s="3" t="n">
        <v>8.5</v>
      </c>
      <c r="L31" s="3" t="n">
        <v>8.5</v>
      </c>
    </row>
    <row r="32" customFormat="false" ht="15" hidden="false" customHeight="false" outlineLevel="0" collapsed="false">
      <c r="A32" s="0" t="s">
        <v>104</v>
      </c>
      <c r="C32" s="3" t="n">
        <v>11.5</v>
      </c>
      <c r="D32" s="3" t="n">
        <v>11</v>
      </c>
      <c r="E32" s="3" t="n">
        <v>10.5</v>
      </c>
      <c r="F32" s="3" t="n">
        <v>10</v>
      </c>
      <c r="G32" s="3" t="n">
        <v>9.5</v>
      </c>
      <c r="H32" s="3" t="n">
        <v>9</v>
      </c>
      <c r="I32" s="3" t="n">
        <v>8.5</v>
      </c>
      <c r="J32" s="3" t="n">
        <v>8.5</v>
      </c>
      <c r="K32" s="3" t="n">
        <v>8.5</v>
      </c>
      <c r="L32" s="3" t="n">
        <v>8.5</v>
      </c>
    </row>
    <row r="33" customFormat="false" ht="15" hidden="false" customHeight="false" outlineLevel="0" collapsed="false">
      <c r="A33" s="0" t="s">
        <v>105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106</v>
      </c>
      <c r="B34" s="3" t="n">
        <v>9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12</v>
      </c>
    </row>
    <row r="37" customFormat="false" ht="15" hidden="false" customHeight="false" outlineLevel="0" collapsed="false">
      <c r="A37" s="0" t="s">
        <v>109</v>
      </c>
      <c r="B37" s="3" t="n">
        <v>-15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-10</v>
      </c>
      <c r="D41" s="3" t="n">
        <v>10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27</v>
      </c>
      <c r="D42" s="3" t="n">
        <v>27</v>
      </c>
      <c r="E42" s="3" t="n">
        <v>27</v>
      </c>
      <c r="F42" s="3" t="n">
        <v>27</v>
      </c>
      <c r="G42" s="3" t="n">
        <v>27</v>
      </c>
      <c r="H42" s="3" t="n">
        <v>27</v>
      </c>
      <c r="I42" s="3" t="n">
        <v>27</v>
      </c>
      <c r="J42" s="3" t="n">
        <v>27</v>
      </c>
      <c r="K42" s="3" t="n">
        <v>27</v>
      </c>
      <c r="L42" s="3" t="n">
        <v>27</v>
      </c>
    </row>
    <row r="43" customFormat="false" ht="15" hidden="false" customHeight="false" outlineLevel="0" collapsed="false">
      <c r="A43" s="0" t="s">
        <v>101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8</v>
      </c>
      <c r="D45" s="3" t="n">
        <v>8</v>
      </c>
      <c r="E45" s="3" t="n">
        <v>8</v>
      </c>
      <c r="F45" s="3" t="n">
        <v>8</v>
      </c>
      <c r="G45" s="3" t="n">
        <v>8</v>
      </c>
      <c r="H45" s="3" t="n">
        <v>8</v>
      </c>
      <c r="I45" s="3" t="n">
        <v>8</v>
      </c>
      <c r="J45" s="3" t="n">
        <v>8</v>
      </c>
      <c r="K45" s="3" t="n">
        <v>8</v>
      </c>
      <c r="L45" s="3" t="n">
        <v>8</v>
      </c>
    </row>
    <row r="46" customFormat="false" ht="15" hidden="false" customHeight="false" outlineLevel="0" collapsed="false">
      <c r="A46" s="0" t="s">
        <v>104</v>
      </c>
      <c r="C46" s="3" t="n">
        <v>11.5</v>
      </c>
      <c r="D46" s="3" t="n">
        <v>11</v>
      </c>
      <c r="E46" s="3" t="n">
        <v>10.5</v>
      </c>
      <c r="F46" s="3" t="n">
        <v>10</v>
      </c>
      <c r="G46" s="3" t="n">
        <v>9.5</v>
      </c>
      <c r="H46" s="3" t="n">
        <v>9</v>
      </c>
      <c r="I46" s="3" t="n">
        <v>8.5</v>
      </c>
      <c r="J46" s="3" t="n">
        <v>8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105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106</v>
      </c>
      <c r="B48" s="3" t="n">
        <v>9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12</v>
      </c>
    </row>
    <row r="51" customFormat="false" ht="15" hidden="false" customHeight="false" outlineLevel="0" collapsed="false">
      <c r="A51" s="0" t="s">
        <v>109</v>
      </c>
      <c r="B51" s="3" t="n">
        <v>-15</v>
      </c>
    </row>
    <row r="52" customFormat="false" ht="15" hidden="false" customHeight="false" outlineLevel="0" collapsed="false">
      <c r="A52" s="0" t="s">
        <v>110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-40</v>
      </c>
      <c r="D5" s="4" t="n">
        <f aca="false">Assumptions!D13</f>
        <v>5</v>
      </c>
      <c r="E5" s="4" t="n">
        <f aca="false">Assumptions!E13</f>
        <v>5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46500</v>
      </c>
      <c r="C6" s="0" t="n">
        <f aca="false">B6*(1+C5/100)</f>
        <v>27900</v>
      </c>
      <c r="D6" s="0" t="n">
        <f aca="false">C6*(1+D5/100)</f>
        <v>29295</v>
      </c>
      <c r="E6" s="0" t="n">
        <f aca="false">D6*(1+E5/100)</f>
        <v>30759.75</v>
      </c>
      <c r="F6" s="0" t="n">
        <f aca="false">E6*(1+F5/100)</f>
        <v>31990.14</v>
      </c>
      <c r="G6" s="0" t="n">
        <f aca="false">F6*(1+G5/100)</f>
        <v>33269.7456</v>
      </c>
      <c r="H6" s="0" t="n">
        <f aca="false">G6*(1+H5/100)</f>
        <v>34267.837968</v>
      </c>
      <c r="I6" s="0" t="n">
        <f aca="false">H6*(1+I5/100)</f>
        <v>35295.87310704</v>
      </c>
      <c r="J6" s="0" t="n">
        <f aca="false">I6*(1+J5/100)</f>
        <v>36178.269934716</v>
      </c>
      <c r="K6" s="0" t="n">
        <f aca="false">J6*(1+K5/100)</f>
        <v>36901.8353334103</v>
      </c>
      <c r="L6" s="0" t="n">
        <f aca="false">K6*(1+L5/100)</f>
        <v>37639.8720400785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14</v>
      </c>
      <c r="D7" s="4" t="n">
        <f aca="false">Assumptions!D14</f>
        <v>14</v>
      </c>
      <c r="E7" s="4" t="n">
        <f aca="false">Assumptions!E14</f>
        <v>15</v>
      </c>
      <c r="F7" s="4" t="n">
        <f aca="false">Assumptions!F14</f>
        <v>15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3906</v>
      </c>
      <c r="D8" s="0" t="n">
        <f aca="false">D6*D7/100</f>
        <v>4101.3</v>
      </c>
      <c r="E8" s="0" t="n">
        <f aca="false">E6*E7/100</f>
        <v>4613.9625</v>
      </c>
      <c r="F8" s="0" t="n">
        <f aca="false">F6*F7/100</f>
        <v>4798.521</v>
      </c>
      <c r="G8" s="0" t="n">
        <f aca="false">G6*G7/100</f>
        <v>4990.46184</v>
      </c>
      <c r="H8" s="0" t="n">
        <f aca="false">H6*H7/100</f>
        <v>5140.1756952</v>
      </c>
      <c r="I8" s="0" t="n">
        <f aca="false">I6*I7/100</f>
        <v>5294.380966056</v>
      </c>
      <c r="J8" s="0" t="n">
        <f aca="false">J6*J7/100</f>
        <v>5426.7404902074</v>
      </c>
      <c r="K8" s="0" t="n">
        <f aca="false">K6*K7/100</f>
        <v>5535.27530001155</v>
      </c>
      <c r="L8" s="0" t="n">
        <f aca="false">L6*L7/100</f>
        <v>5645.98080601178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-83.7</v>
      </c>
      <c r="D10" s="0" t="n">
        <f aca="false">-D6*D9/100</f>
        <v>-87.885</v>
      </c>
      <c r="E10" s="0" t="n">
        <f aca="false">-E6*E9/100</f>
        <v>-92.27925</v>
      </c>
      <c r="F10" s="0" t="n">
        <f aca="false">-F6*F9/100</f>
        <v>-95.97042</v>
      </c>
      <c r="G10" s="0" t="n">
        <f aca="false">-G6*G9/100</f>
        <v>-99.8092368</v>
      </c>
      <c r="H10" s="0" t="n">
        <f aca="false">-H6*H9/100</f>
        <v>-102.803513904</v>
      </c>
      <c r="I10" s="0" t="n">
        <f aca="false">-I6*I9/100</f>
        <v>-105.88761932112</v>
      </c>
      <c r="J10" s="0" t="n">
        <f aca="false">-J6*J9/100</f>
        <v>-108.534809804148</v>
      </c>
      <c r="K10" s="0" t="n">
        <f aca="false">-K6*K9/100</f>
        <v>-110.705506000231</v>
      </c>
      <c r="L10" s="0" t="n">
        <f aca="false">-L6*L9/100</f>
        <v>-112.919616120236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3822.3</v>
      </c>
      <c r="D11" s="0" t="n">
        <f aca="false">D8+D10+D24</f>
        <v>4013.415</v>
      </c>
      <c r="E11" s="0" t="n">
        <f aca="false">E8+E10+E24</f>
        <v>4521.68325</v>
      </c>
      <c r="F11" s="0" t="n">
        <f aca="false">F8+F10+F24</f>
        <v>4702.55058</v>
      </c>
      <c r="G11" s="0" t="n">
        <f aca="false">G8+G10+G24</f>
        <v>4890.6526032</v>
      </c>
      <c r="H11" s="0" t="n">
        <f aca="false">H8+H10+H24</f>
        <v>5037.372181296</v>
      </c>
      <c r="I11" s="0" t="n">
        <f aca="false">I8+I10+I24</f>
        <v>5188.49334673488</v>
      </c>
      <c r="J11" s="0" t="n">
        <f aca="false">J8+J10+J24</f>
        <v>5318.20568040325</v>
      </c>
      <c r="K11" s="0" t="n">
        <f aca="false">K8+K10+K24</f>
        <v>5424.56979401132</v>
      </c>
      <c r="L11" s="0" t="n">
        <f aca="false">L8+L10+L24</f>
        <v>5533.06118989155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-2650.5</v>
      </c>
      <c r="D12" s="4" t="n">
        <f aca="false">-D6*Assumptions!D17/100</f>
        <v>-2783.025</v>
      </c>
      <c r="E12" s="4" t="n">
        <f aca="false">-E6*Assumptions!E17/100</f>
        <v>-2922.17625</v>
      </c>
      <c r="F12" s="4" t="n">
        <f aca="false">-F6*Assumptions!F17/100</f>
        <v>-3039.0633</v>
      </c>
      <c r="G12" s="4" t="n">
        <f aca="false">-G6*Assumptions!G17/100</f>
        <v>-3160.625832</v>
      </c>
      <c r="H12" s="4" t="n">
        <f aca="false">-H6*Assumptions!H17/100</f>
        <v>-3255.44460696</v>
      </c>
      <c r="I12" s="4" t="n">
        <f aca="false">-I6*Assumptions!I17/100</f>
        <v>-3353.1079451688</v>
      </c>
      <c r="J12" s="4" t="n">
        <f aca="false">-J6*Assumptions!J17/100</f>
        <v>-3436.93564379802</v>
      </c>
      <c r="K12" s="4" t="n">
        <f aca="false">-K6*Assumptions!K17/100</f>
        <v>-3505.67435667398</v>
      </c>
      <c r="L12" s="4" t="n">
        <f aca="false">-L6*Assumptions!L17/100</f>
        <v>-3575.78784380746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1171.8</v>
      </c>
      <c r="D13" s="0" t="n">
        <f aca="false">D11+D12</f>
        <v>1230.39</v>
      </c>
      <c r="E13" s="0" t="n">
        <f aca="false">E11+E12</f>
        <v>1599.507</v>
      </c>
      <c r="F13" s="0" t="n">
        <f aca="false">F11+F12</f>
        <v>1663.48728</v>
      </c>
      <c r="G13" s="0" t="n">
        <f aca="false">G11+G12</f>
        <v>1730.0267712</v>
      </c>
      <c r="H13" s="0" t="n">
        <f aca="false">H11+H12</f>
        <v>1781.927574336</v>
      </c>
      <c r="I13" s="0" t="n">
        <f aca="false">I11+I12</f>
        <v>1835.38540156608</v>
      </c>
      <c r="J13" s="0" t="n">
        <f aca="false">J11+J12</f>
        <v>1881.27003660523</v>
      </c>
      <c r="K13" s="0" t="n">
        <f aca="false">K11+K12</f>
        <v>1918.89543733734</v>
      </c>
      <c r="L13" s="0" t="n">
        <f aca="false">L11+L12</f>
        <v>1957.27334608408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878.85</v>
      </c>
      <c r="D15" s="0" t="n">
        <f aca="false">D13-MAX(0,D13)*D14/100</f>
        <v>922.7925</v>
      </c>
      <c r="E15" s="0" t="n">
        <f aca="false">E13-MAX(0,E13)*E14/100</f>
        <v>1199.63025</v>
      </c>
      <c r="F15" s="0" t="n">
        <f aca="false">F13-MAX(0,F13)*F14/100</f>
        <v>1247.61546</v>
      </c>
      <c r="G15" s="0" t="n">
        <f aca="false">G13-MAX(0,G13)*G14/100</f>
        <v>1297.5200784</v>
      </c>
      <c r="H15" s="0" t="n">
        <f aca="false">H13-MAX(0,H13)*H14/100</f>
        <v>1336.445680752</v>
      </c>
      <c r="I15" s="0" t="n">
        <f aca="false">I13-MAX(0,I13)*I14/100</f>
        <v>1376.53905117456</v>
      </c>
      <c r="J15" s="0" t="n">
        <f aca="false">J13-MAX(0,J13)*J14/100</f>
        <v>1410.95252745392</v>
      </c>
      <c r="K15" s="0" t="n">
        <f aca="false">K13-MAX(0,K13)*K14/100</f>
        <v>1439.171578003</v>
      </c>
      <c r="L15" s="0" t="n">
        <f aca="false">L13-MAX(0,L13)*L14/100</f>
        <v>1467.95500956306</v>
      </c>
    </row>
    <row r="16" customFormat="false" ht="15" hidden="false" customHeight="false" outlineLevel="0" collapsed="false">
      <c r="A16" s="0" t="s">
        <v>121</v>
      </c>
      <c r="C16" s="0" t="n">
        <f aca="false">-C12</f>
        <v>2650.5</v>
      </c>
      <c r="D16" s="0" t="n">
        <f aca="false">-D12</f>
        <v>2783.025</v>
      </c>
      <c r="E16" s="0" t="n">
        <f aca="false">-E12</f>
        <v>2922.17625</v>
      </c>
      <c r="F16" s="0" t="n">
        <f aca="false">-F12</f>
        <v>3039.0633</v>
      </c>
      <c r="G16" s="0" t="n">
        <f aca="false">-G12</f>
        <v>3160.625832</v>
      </c>
      <c r="H16" s="0" t="n">
        <f aca="false">-H12</f>
        <v>3255.44460696</v>
      </c>
      <c r="I16" s="0" t="n">
        <f aca="false">-I12</f>
        <v>3353.1079451688</v>
      </c>
      <c r="J16" s="0" t="n">
        <f aca="false">-J12</f>
        <v>3436.93564379802</v>
      </c>
      <c r="K16" s="0" t="n">
        <f aca="false">-K12</f>
        <v>3505.67435667398</v>
      </c>
      <c r="L16" s="0" t="n">
        <f aca="false">-L12</f>
        <v>3575.78784380746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-3348</v>
      </c>
      <c r="D17" s="4" t="n">
        <f aca="false">-D6*Assumptions!D18/100</f>
        <v>-3222.45</v>
      </c>
      <c r="E17" s="4" t="n">
        <f aca="false">-E6*Assumptions!E18/100</f>
        <v>-3075.975</v>
      </c>
      <c r="F17" s="4" t="n">
        <f aca="false">-F6*Assumptions!F18/100</f>
        <v>-3039.0633</v>
      </c>
      <c r="G17" s="4" t="n">
        <f aca="false">-G6*Assumptions!G18/100</f>
        <v>-3160.625832</v>
      </c>
      <c r="H17" s="4" t="n">
        <f aca="false">-H6*Assumptions!H18/100</f>
        <v>-3255.44460696</v>
      </c>
      <c r="I17" s="4" t="n">
        <f aca="false">-I6*Assumptions!I18/100</f>
        <v>-3353.1079451688</v>
      </c>
      <c r="J17" s="4" t="n">
        <f aca="false">-J6*Assumptions!J18/100</f>
        <v>-3436.93564379802</v>
      </c>
      <c r="K17" s="4" t="n">
        <f aca="false">-K6*Assumptions!K18/100</f>
        <v>-3505.67435667398</v>
      </c>
      <c r="L17" s="4" t="n">
        <f aca="false">-L6*Assumptions!L18/100</f>
        <v>-3575.78784380746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2790</v>
      </c>
      <c r="D18" s="4" t="n">
        <f aca="false">(D6-C6)*Assumptions!$B$23/100</f>
        <v>-209.25</v>
      </c>
      <c r="E18" s="4" t="n">
        <f aca="false">(E6-D6)*Assumptions!$B$23/100</f>
        <v>-219.7125</v>
      </c>
      <c r="F18" s="4" t="n">
        <f aca="false">(F6-E6)*Assumptions!$B$23/100</f>
        <v>-184.5585</v>
      </c>
      <c r="G18" s="4" t="n">
        <f aca="false">(G6-F6)*Assumptions!$B$23/100</f>
        <v>-191.94084</v>
      </c>
      <c r="H18" s="4" t="n">
        <f aca="false">(H6-G6)*Assumptions!$B$23/100</f>
        <v>-149.7138552</v>
      </c>
      <c r="I18" s="4" t="n">
        <f aca="false">(I6-H6)*Assumptions!$B$23/100</f>
        <v>-154.205270856</v>
      </c>
      <c r="J18" s="4" t="n">
        <f aca="false">(J6-I6)*Assumptions!$B$23/100</f>
        <v>-132.3595241514</v>
      </c>
      <c r="K18" s="4" t="n">
        <f aca="false">(K6-J6)*Assumptions!$B$23/100</f>
        <v>-108.534809804148</v>
      </c>
      <c r="L18" s="4" t="n">
        <f aca="false">(L6-K6)*Assumptions!$B$23/100</f>
        <v>-110.705506000231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2971.35</v>
      </c>
      <c r="D19" s="0" t="n">
        <f aca="false">D15+D16+D17+D18</f>
        <v>274.1175</v>
      </c>
      <c r="E19" s="0" t="n">
        <f aca="false">E15+E16+E17+E18</f>
        <v>826.119000000001</v>
      </c>
      <c r="F19" s="0" t="n">
        <f aca="false">F15+F16+F17+F18</f>
        <v>1063.05696</v>
      </c>
      <c r="G19" s="0" t="n">
        <f aca="false">G15+G16+G17+G18</f>
        <v>1105.5792384</v>
      </c>
      <c r="H19" s="0" t="n">
        <f aca="false">H15+H16+H17+H18</f>
        <v>1186.731825552</v>
      </c>
      <c r="I19" s="0" t="n">
        <f aca="false">I15+I16+I17+I18</f>
        <v>1222.33378031856</v>
      </c>
      <c r="J19" s="0" t="n">
        <f aca="false">J15+J16+J17+J18</f>
        <v>1278.59300330252</v>
      </c>
      <c r="K19" s="0" t="n">
        <f aca="false">K15+K16+K17+K18</f>
        <v>1330.63676819885</v>
      </c>
      <c r="L19" s="0" t="n">
        <f aca="false">L15+L16+L17+L18</f>
        <v>1357.24950356283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2726.00917431193</v>
      </c>
      <c r="D21" s="0" t="n">
        <f aca="false">D19*D20</f>
        <v>230.719215554247</v>
      </c>
      <c r="E21" s="0" t="n">
        <f aca="false">E19*E20</f>
        <v>637.915444364567</v>
      </c>
      <c r="F21" s="0" t="n">
        <f aca="false">F19*F20</f>
        <v>753.096351262326</v>
      </c>
      <c r="G21" s="0" t="n">
        <f aca="false">G19*G20</f>
        <v>718.550647075981</v>
      </c>
      <c r="H21" s="0" t="n">
        <f aca="false">H19*H20</f>
        <v>707.609413344383</v>
      </c>
      <c r="I21" s="0" t="n">
        <f aca="false">I19*I20</f>
        <v>668.658436463041</v>
      </c>
      <c r="J21" s="0" t="n">
        <f aca="false">J19*J20</f>
        <v>641.682713783069</v>
      </c>
      <c r="K21" s="0" t="n">
        <f aca="false">K19*K20</f>
        <v>612.662132524545</v>
      </c>
      <c r="L21" s="0" t="n">
        <f aca="false">L19*L20</f>
        <v>573.316857958749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8270.22038664283</v>
      </c>
    </row>
    <row r="31" customFormat="false" ht="15" hidden="false" customHeight="false" outlineLevel="0" collapsed="false">
      <c r="A31" s="0" t="s">
        <v>130</v>
      </c>
      <c r="B31" s="0" t="n">
        <f aca="false">L19</f>
        <v>1357.24950356283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19777.0641947727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16286.994042754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16286.994042754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6879.80229550499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15150.0226821478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-5762.27731785218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-3.16151521037019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-1.13194971662647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627.236418101592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695.034792612774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-2.43604152795009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10649.1884125699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-6.41049720639088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-25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46500</v>
      </c>
      <c r="C6" s="0" t="n">
        <f aca="false">B6*(1+C5/100)</f>
        <v>34875</v>
      </c>
      <c r="D6" s="0" t="n">
        <f aca="false">C6*(1+D5/100)</f>
        <v>37665</v>
      </c>
      <c r="E6" s="0" t="n">
        <f aca="false">D6*(1+E5/100)</f>
        <v>40301.55</v>
      </c>
      <c r="F6" s="0" t="n">
        <f aca="false">E6*(1+F5/100)</f>
        <v>42719.643</v>
      </c>
      <c r="G6" s="0" t="n">
        <f aca="false">F6*(1+G5/100)</f>
        <v>44855.62515</v>
      </c>
      <c r="H6" s="0" t="n">
        <f aca="false">G6*(1+H5/100)</f>
        <v>46649.850156</v>
      </c>
      <c r="I6" s="0" t="n">
        <f aca="false">H6*(1+I5/100)</f>
        <v>48282.59491146</v>
      </c>
      <c r="J6" s="0" t="n">
        <f aca="false">I6*(1+J5/100)</f>
        <v>49731.0727588038</v>
      </c>
      <c r="K6" s="0" t="n">
        <f aca="false">J6*(1+K5/100)</f>
        <v>50974.3495777739</v>
      </c>
      <c r="L6" s="0" t="n">
        <f aca="false">K6*(1+L5/100)</f>
        <v>52248.7083172182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22</v>
      </c>
      <c r="D7" s="4" t="n">
        <f aca="false">Assumptions!D28</f>
        <v>22</v>
      </c>
      <c r="E7" s="4" t="n">
        <f aca="false">Assumptions!E28</f>
        <v>22</v>
      </c>
      <c r="F7" s="4" t="n">
        <f aca="false">Assumptions!F28</f>
        <v>22</v>
      </c>
      <c r="G7" s="4" t="n">
        <f aca="false">Assumptions!G28</f>
        <v>22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7672.5</v>
      </c>
      <c r="D8" s="0" t="n">
        <f aca="false">D6*D7/100</f>
        <v>8286.3</v>
      </c>
      <c r="E8" s="0" t="n">
        <f aca="false">E6*E7/100</f>
        <v>8866.341</v>
      </c>
      <c r="F8" s="0" t="n">
        <f aca="false">F6*F7/100</f>
        <v>9398.32146</v>
      </c>
      <c r="G8" s="0" t="n">
        <f aca="false">G6*G7/100</f>
        <v>9868.237533</v>
      </c>
      <c r="H8" s="0" t="n">
        <f aca="false">H6*H7/100</f>
        <v>10262.96703432</v>
      </c>
      <c r="I8" s="0" t="n">
        <f aca="false">I6*I7/100</f>
        <v>10622.1708805212</v>
      </c>
      <c r="J8" s="0" t="n">
        <f aca="false">J6*J7/100</f>
        <v>10940.8360069368</v>
      </c>
      <c r="K8" s="0" t="n">
        <f aca="false">K6*K7/100</f>
        <v>11214.3569071103</v>
      </c>
      <c r="L8" s="0" t="n">
        <f aca="false">L6*L7/100</f>
        <v>11494.715829788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-104.625</v>
      </c>
      <c r="D10" s="0" t="n">
        <f aca="false">-D6*D9/100</f>
        <v>-112.995</v>
      </c>
      <c r="E10" s="0" t="n">
        <f aca="false">-E6*E9/100</f>
        <v>-120.90465</v>
      </c>
      <c r="F10" s="0" t="n">
        <f aca="false">-F6*F9/100</f>
        <v>-128.158929</v>
      </c>
      <c r="G10" s="0" t="n">
        <f aca="false">-G6*G9/100</f>
        <v>-134.56687545</v>
      </c>
      <c r="H10" s="0" t="n">
        <f aca="false">-H6*H9/100</f>
        <v>-139.949550468</v>
      </c>
      <c r="I10" s="0" t="n">
        <f aca="false">-I6*I9/100</f>
        <v>-144.84778473438</v>
      </c>
      <c r="J10" s="0" t="n">
        <f aca="false">-J6*J9/100</f>
        <v>-149.193218276411</v>
      </c>
      <c r="K10" s="0" t="n">
        <f aca="false">-K6*K9/100</f>
        <v>-152.923048733322</v>
      </c>
      <c r="L10" s="0" t="n">
        <f aca="false">-L6*L9/100</f>
        <v>-156.746124951655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7567.875</v>
      </c>
      <c r="D11" s="0" t="n">
        <f aca="false">D8+D10+D24</f>
        <v>8173.305</v>
      </c>
      <c r="E11" s="0" t="n">
        <f aca="false">E8+E10+E24</f>
        <v>8745.43635</v>
      </c>
      <c r="F11" s="0" t="n">
        <f aca="false">F8+F10+F24</f>
        <v>9270.162531</v>
      </c>
      <c r="G11" s="0" t="n">
        <f aca="false">G8+G10+G24</f>
        <v>9733.67065755</v>
      </c>
      <c r="H11" s="0" t="n">
        <f aca="false">H8+H10+H24</f>
        <v>10123.017483852</v>
      </c>
      <c r="I11" s="0" t="n">
        <f aca="false">I8+I10+I24</f>
        <v>10477.3230957868</v>
      </c>
      <c r="J11" s="0" t="n">
        <f aca="false">J8+J10+J24</f>
        <v>10791.6427886604</v>
      </c>
      <c r="K11" s="0" t="n">
        <f aca="false">K8+K10+K24</f>
        <v>11061.4338583769</v>
      </c>
      <c r="L11" s="0" t="n">
        <f aca="false">L8+L10+L24</f>
        <v>11337.9697048364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-2964.375</v>
      </c>
      <c r="D12" s="4" t="n">
        <f aca="false">-D6*Assumptions!D31/100</f>
        <v>-3201.525</v>
      </c>
      <c r="E12" s="4" t="n">
        <f aca="false">-E6*Assumptions!E31/100</f>
        <v>-3425.63175</v>
      </c>
      <c r="F12" s="4" t="n">
        <f aca="false">-F6*Assumptions!F31/100</f>
        <v>-3631.169655</v>
      </c>
      <c r="G12" s="4" t="n">
        <f aca="false">-G6*Assumptions!G31/100</f>
        <v>-3812.72813775</v>
      </c>
      <c r="H12" s="4" t="n">
        <f aca="false">-H6*Assumptions!H31/100</f>
        <v>-3965.23726326</v>
      </c>
      <c r="I12" s="4" t="n">
        <f aca="false">-I6*Assumptions!I31/100</f>
        <v>-4104.0205674741</v>
      </c>
      <c r="J12" s="4" t="n">
        <f aca="false">-J6*Assumptions!J31/100</f>
        <v>-4227.14118449832</v>
      </c>
      <c r="K12" s="4" t="n">
        <f aca="false">-K6*Assumptions!K31/100</f>
        <v>-4332.81971411078</v>
      </c>
      <c r="L12" s="4" t="n">
        <f aca="false">-L6*Assumptions!L31/100</f>
        <v>-4441.14020696355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4603.5</v>
      </c>
      <c r="D13" s="0" t="n">
        <f aca="false">D11+D12</f>
        <v>4971.78</v>
      </c>
      <c r="E13" s="0" t="n">
        <f aca="false">E11+E12</f>
        <v>5319.8046</v>
      </c>
      <c r="F13" s="0" t="n">
        <f aca="false">F11+F12</f>
        <v>5638.992876</v>
      </c>
      <c r="G13" s="0" t="n">
        <f aca="false">G11+G12</f>
        <v>5920.9425198</v>
      </c>
      <c r="H13" s="0" t="n">
        <f aca="false">H11+H12</f>
        <v>6157.780220592</v>
      </c>
      <c r="I13" s="0" t="n">
        <f aca="false">I11+I12</f>
        <v>6373.30252831272</v>
      </c>
      <c r="J13" s="0" t="n">
        <f aca="false">J11+J12</f>
        <v>6564.5016041621</v>
      </c>
      <c r="K13" s="0" t="n">
        <f aca="false">K11+K12</f>
        <v>6728.61414426615</v>
      </c>
      <c r="L13" s="0" t="n">
        <f aca="false">L11+L12</f>
        <v>6896.82949787281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3452.625</v>
      </c>
      <c r="D15" s="0" t="n">
        <f aca="false">D13-MAX(0,D13)*D14/100</f>
        <v>3728.835</v>
      </c>
      <c r="E15" s="0" t="n">
        <f aca="false">E13-MAX(0,E13)*E14/100</f>
        <v>3989.85345</v>
      </c>
      <c r="F15" s="0" t="n">
        <f aca="false">F13-MAX(0,F13)*F14/100</f>
        <v>4229.244657</v>
      </c>
      <c r="G15" s="0" t="n">
        <f aca="false">G13-MAX(0,G13)*G14/100</f>
        <v>4440.70688985</v>
      </c>
      <c r="H15" s="0" t="n">
        <f aca="false">H13-MAX(0,H13)*H14/100</f>
        <v>4618.335165444</v>
      </c>
      <c r="I15" s="0" t="n">
        <f aca="false">I13-MAX(0,I13)*I14/100</f>
        <v>4779.97689623454</v>
      </c>
      <c r="J15" s="0" t="n">
        <f aca="false">J13-MAX(0,J13)*J14/100</f>
        <v>4923.37620312158</v>
      </c>
      <c r="K15" s="0" t="n">
        <f aca="false">K13-MAX(0,K13)*K14/100</f>
        <v>5046.46060819962</v>
      </c>
      <c r="L15" s="0" t="n">
        <f aca="false">L13-MAX(0,L13)*L14/100</f>
        <v>5172.6221234046</v>
      </c>
    </row>
    <row r="16" customFormat="false" ht="15" hidden="false" customHeight="false" outlineLevel="0" collapsed="false">
      <c r="A16" s="0" t="s">
        <v>121</v>
      </c>
      <c r="C16" s="0" t="n">
        <f aca="false">-C12</f>
        <v>2964.375</v>
      </c>
      <c r="D16" s="0" t="n">
        <f aca="false">-D12</f>
        <v>3201.525</v>
      </c>
      <c r="E16" s="0" t="n">
        <f aca="false">-E12</f>
        <v>3425.63175</v>
      </c>
      <c r="F16" s="0" t="n">
        <f aca="false">-F12</f>
        <v>3631.169655</v>
      </c>
      <c r="G16" s="0" t="n">
        <f aca="false">-G12</f>
        <v>3812.72813775</v>
      </c>
      <c r="H16" s="0" t="n">
        <f aca="false">-H12</f>
        <v>3965.23726326</v>
      </c>
      <c r="I16" s="0" t="n">
        <f aca="false">-I12</f>
        <v>4104.0205674741</v>
      </c>
      <c r="J16" s="0" t="n">
        <f aca="false">-J12</f>
        <v>4227.14118449832</v>
      </c>
      <c r="K16" s="0" t="n">
        <f aca="false">-K12</f>
        <v>4332.81971411078</v>
      </c>
      <c r="L16" s="0" t="n">
        <f aca="false">-L12</f>
        <v>4441.14020696355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-4010.625</v>
      </c>
      <c r="D17" s="4" t="n">
        <f aca="false">-D6*Assumptions!D32/100</f>
        <v>-4143.15</v>
      </c>
      <c r="E17" s="4" t="n">
        <f aca="false">-E6*Assumptions!E32/100</f>
        <v>-4231.66275</v>
      </c>
      <c r="F17" s="4" t="n">
        <f aca="false">-F6*Assumptions!F32/100</f>
        <v>-4271.9643</v>
      </c>
      <c r="G17" s="4" t="n">
        <f aca="false">-G6*Assumptions!G32/100</f>
        <v>-4261.28438925</v>
      </c>
      <c r="H17" s="4" t="n">
        <f aca="false">-H6*Assumptions!H32/100</f>
        <v>-4198.48651404</v>
      </c>
      <c r="I17" s="4" t="n">
        <f aca="false">-I6*Assumptions!I32/100</f>
        <v>-4104.0205674741</v>
      </c>
      <c r="J17" s="4" t="n">
        <f aca="false">-J6*Assumptions!J32/100</f>
        <v>-4227.14118449832</v>
      </c>
      <c r="K17" s="4" t="n">
        <f aca="false">-K6*Assumptions!K32/100</f>
        <v>-4332.81971411078</v>
      </c>
      <c r="L17" s="4" t="n">
        <f aca="false">-L6*Assumptions!L32/100</f>
        <v>-4441.14020696355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1743.75</v>
      </c>
      <c r="D18" s="4" t="n">
        <f aca="false">(D6-C6)*Assumptions!$B$37/100</f>
        <v>-418.5</v>
      </c>
      <c r="E18" s="4" t="n">
        <f aca="false">(E6-D6)*Assumptions!$B$37/100</f>
        <v>-395.4825</v>
      </c>
      <c r="F18" s="4" t="n">
        <f aca="false">(F6-E6)*Assumptions!$B$37/100</f>
        <v>-362.71395</v>
      </c>
      <c r="G18" s="4" t="n">
        <f aca="false">(G6-F6)*Assumptions!$B$37/100</f>
        <v>-320.397322500001</v>
      </c>
      <c r="H18" s="4" t="n">
        <f aca="false">(H6-G6)*Assumptions!$B$37/100</f>
        <v>-269.1337509</v>
      </c>
      <c r="I18" s="4" t="n">
        <f aca="false">(I6-H6)*Assumptions!$B$37/100</f>
        <v>-244.911713318999</v>
      </c>
      <c r="J18" s="4" t="n">
        <f aca="false">(J6-I6)*Assumptions!$B$37/100</f>
        <v>-217.27167710157</v>
      </c>
      <c r="K18" s="4" t="n">
        <f aca="false">(K6-J6)*Assumptions!$B$37/100</f>
        <v>-186.491522845513</v>
      </c>
      <c r="L18" s="4" t="n">
        <f aca="false">(L6-K6)*Assumptions!$B$37/100</f>
        <v>-191.153810916652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4150.125</v>
      </c>
      <c r="D19" s="0" t="n">
        <f aca="false">D15+D16+D17+D18</f>
        <v>2368.71</v>
      </c>
      <c r="E19" s="0" t="n">
        <f aca="false">E15+E16+E17+E18</f>
        <v>2788.33995</v>
      </c>
      <c r="F19" s="0" t="n">
        <f aca="false">F15+F16+F17+F18</f>
        <v>3225.736062</v>
      </c>
      <c r="G19" s="0" t="n">
        <f aca="false">G15+G16+G17+G18</f>
        <v>3671.75331585</v>
      </c>
      <c r="H19" s="0" t="n">
        <f aca="false">H15+H16+H17+H18</f>
        <v>4115.952163764</v>
      </c>
      <c r="I19" s="0" t="n">
        <f aca="false">I15+I16+I17+I18</f>
        <v>4535.06518291554</v>
      </c>
      <c r="J19" s="0" t="n">
        <f aca="false">J15+J16+J17+J18</f>
        <v>4706.10452602</v>
      </c>
      <c r="K19" s="0" t="n">
        <f aca="false">K15+K16+K17+K18</f>
        <v>4859.9690853541</v>
      </c>
      <c r="L19" s="0" t="n">
        <f aca="false">L15+L16+L17+L18</f>
        <v>4981.46831248795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3807.45412844037</v>
      </c>
      <c r="D21" s="0" t="n">
        <f aca="false">D19*D20</f>
        <v>1993.69581685043</v>
      </c>
      <c r="E21" s="0" t="n">
        <f aca="false">E19*E20</f>
        <v>2153.11004618429</v>
      </c>
      <c r="F21" s="0" t="n">
        <f aca="false">F19*F20</f>
        <v>2285.19275056297</v>
      </c>
      <c r="G21" s="0" t="n">
        <f aca="false">G19*G20</f>
        <v>2386.38772271594</v>
      </c>
      <c r="H21" s="0" t="n">
        <f aca="false">H19*H20</f>
        <v>2454.20779425028</v>
      </c>
      <c r="I21" s="0" t="n">
        <f aca="false">I19*I20</f>
        <v>2480.83595765142</v>
      </c>
      <c r="J21" s="0" t="n">
        <f aca="false">J19*J20</f>
        <v>2361.83517022483</v>
      </c>
      <c r="K21" s="0" t="n">
        <f aca="false">K19*K20</f>
        <v>2237.66477448746</v>
      </c>
      <c r="L21" s="0" t="n">
        <f aca="false">L19*L20</f>
        <v>2104.22604940334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24264.6102107713</v>
      </c>
    </row>
    <row r="31" customFormat="false" ht="15" hidden="false" customHeight="false" outlineLevel="0" collapsed="false">
      <c r="A31" s="0" t="s">
        <v>130</v>
      </c>
      <c r="B31" s="0" t="n">
        <f aca="false">L19</f>
        <v>4981.46831248795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78553.9233892331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59777.6197498554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59777.6197498554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25250.7125928401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49515.3228036114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28603.0228036114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15.6932557508165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-0.345022714907493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836.883060189038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1044.10059302409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16.7252710638711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40848.0401624012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4.23751930015165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-10</v>
      </c>
      <c r="D5" s="4" t="n">
        <f aca="false">Assumptions!D41</f>
        <v>10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46500</v>
      </c>
      <c r="C6" s="0" t="n">
        <f aca="false">B6*(1+C5/100)</f>
        <v>41850</v>
      </c>
      <c r="D6" s="0" t="n">
        <f aca="false">C6*(1+D5/100)</f>
        <v>46035</v>
      </c>
      <c r="E6" s="0" t="n">
        <f aca="false">D6*(1+E5/100)</f>
        <v>49717.8</v>
      </c>
      <c r="F6" s="0" t="n">
        <f aca="false">E6*(1+F5/100)</f>
        <v>53198.046</v>
      </c>
      <c r="G6" s="0" t="n">
        <f aca="false">F6*(1+G5/100)</f>
        <v>56389.92876</v>
      </c>
      <c r="H6" s="0" t="n">
        <f aca="false">G6*(1+H5/100)</f>
        <v>59209.425198</v>
      </c>
      <c r="I6" s="0" t="n">
        <f aca="false">H6*(1+I5/100)</f>
        <v>61577.80220592</v>
      </c>
      <c r="J6" s="0" t="n">
        <f aca="false">I6*(1+J5/100)</f>
        <v>63733.0252831272</v>
      </c>
      <c r="K6" s="0" t="n">
        <f aca="false">J6*(1+K5/100)</f>
        <v>65645.016041621</v>
      </c>
      <c r="L6" s="0" t="n">
        <f aca="false">K6*(1+L5/100)</f>
        <v>67614.3665228697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27</v>
      </c>
      <c r="D7" s="4" t="n">
        <f aca="false">Assumptions!D42</f>
        <v>27</v>
      </c>
      <c r="E7" s="4" t="n">
        <f aca="false">Assumptions!E42</f>
        <v>27</v>
      </c>
      <c r="F7" s="4" t="n">
        <f aca="false">Assumptions!F42</f>
        <v>27</v>
      </c>
      <c r="G7" s="4" t="n">
        <f aca="false">Assumptions!G42</f>
        <v>27</v>
      </c>
      <c r="H7" s="4" t="n">
        <f aca="false">Assumptions!H42</f>
        <v>27</v>
      </c>
      <c r="I7" s="4" t="n">
        <f aca="false">Assumptions!I42</f>
        <v>27</v>
      </c>
      <c r="J7" s="4" t="n">
        <f aca="false">Assumptions!J42</f>
        <v>27</v>
      </c>
      <c r="K7" s="4" t="n">
        <f aca="false">Assumptions!K42</f>
        <v>27</v>
      </c>
      <c r="L7" s="4" t="n">
        <f aca="false">Assumptions!L42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11299.5</v>
      </c>
      <c r="D8" s="0" t="n">
        <f aca="false">D6*D7/100</f>
        <v>12429.45</v>
      </c>
      <c r="E8" s="0" t="n">
        <f aca="false">E6*E7/100</f>
        <v>13423.806</v>
      </c>
      <c r="F8" s="0" t="n">
        <f aca="false">F6*F7/100</f>
        <v>14363.47242</v>
      </c>
      <c r="G8" s="0" t="n">
        <f aca="false">G6*G7/100</f>
        <v>15225.2807652</v>
      </c>
      <c r="H8" s="0" t="n">
        <f aca="false">H6*H7/100</f>
        <v>15986.54480346</v>
      </c>
      <c r="I8" s="0" t="n">
        <f aca="false">I6*I7/100</f>
        <v>16626.0065955984</v>
      </c>
      <c r="J8" s="0" t="n">
        <f aca="false">J6*J7/100</f>
        <v>17207.9168264443</v>
      </c>
      <c r="K8" s="0" t="n">
        <f aca="false">K6*K7/100</f>
        <v>17724.1543312377</v>
      </c>
      <c r="L8" s="0" t="n">
        <f aca="false">L6*L7/100</f>
        <v>18255.8789611748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-125.55</v>
      </c>
      <c r="D10" s="0" t="n">
        <f aca="false">-D6*D9/100</f>
        <v>-138.105</v>
      </c>
      <c r="E10" s="0" t="n">
        <f aca="false">-E6*E9/100</f>
        <v>-149.1534</v>
      </c>
      <c r="F10" s="0" t="n">
        <f aca="false">-F6*F9/100</f>
        <v>-159.594138</v>
      </c>
      <c r="G10" s="0" t="n">
        <f aca="false">-G6*G9/100</f>
        <v>-169.16978628</v>
      </c>
      <c r="H10" s="0" t="n">
        <f aca="false">-H6*H9/100</f>
        <v>-177.628275594</v>
      </c>
      <c r="I10" s="0" t="n">
        <f aca="false">-I6*I9/100</f>
        <v>-184.73340661776</v>
      </c>
      <c r="J10" s="0" t="n">
        <f aca="false">-J6*J9/100</f>
        <v>-191.199075849382</v>
      </c>
      <c r="K10" s="0" t="n">
        <f aca="false">-K6*K9/100</f>
        <v>-196.935048124863</v>
      </c>
      <c r="L10" s="0" t="n">
        <f aca="false">-L6*L9/100</f>
        <v>-202.843099568609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11173.95</v>
      </c>
      <c r="D11" s="0" t="n">
        <f aca="false">D8+D10+D24</f>
        <v>12291.345</v>
      </c>
      <c r="E11" s="0" t="n">
        <f aca="false">E8+E10+E24</f>
        <v>13274.6526</v>
      </c>
      <c r="F11" s="0" t="n">
        <f aca="false">F8+F10+F24</f>
        <v>14203.878282</v>
      </c>
      <c r="G11" s="0" t="n">
        <f aca="false">G8+G10+G24</f>
        <v>15056.11097892</v>
      </c>
      <c r="H11" s="0" t="n">
        <f aca="false">H8+H10+H24</f>
        <v>15808.916527866</v>
      </c>
      <c r="I11" s="0" t="n">
        <f aca="false">I8+I10+I24</f>
        <v>16441.2731889806</v>
      </c>
      <c r="J11" s="0" t="n">
        <f aca="false">J8+J10+J24</f>
        <v>17016.717750595</v>
      </c>
      <c r="K11" s="0" t="n">
        <f aca="false">K8+K10+K24</f>
        <v>17527.2192831128</v>
      </c>
      <c r="L11" s="0" t="n">
        <f aca="false">L8+L10+L24</f>
        <v>18053.0358616062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-3348</v>
      </c>
      <c r="D12" s="4" t="n">
        <f aca="false">-D6*Assumptions!D45/100</f>
        <v>-3682.8</v>
      </c>
      <c r="E12" s="4" t="n">
        <f aca="false">-E6*Assumptions!E45/100</f>
        <v>-3977.424</v>
      </c>
      <c r="F12" s="4" t="n">
        <f aca="false">-F6*Assumptions!F45/100</f>
        <v>-4255.84368</v>
      </c>
      <c r="G12" s="4" t="n">
        <f aca="false">-G6*Assumptions!G45/100</f>
        <v>-4511.1943008</v>
      </c>
      <c r="H12" s="4" t="n">
        <f aca="false">-H6*Assumptions!H45/100</f>
        <v>-4736.75401584</v>
      </c>
      <c r="I12" s="4" t="n">
        <f aca="false">-I6*Assumptions!I45/100</f>
        <v>-4926.2241764736</v>
      </c>
      <c r="J12" s="4" t="n">
        <f aca="false">-J6*Assumptions!J45/100</f>
        <v>-5098.64202265018</v>
      </c>
      <c r="K12" s="4" t="n">
        <f aca="false">-K6*Assumptions!K45/100</f>
        <v>-5251.60128332968</v>
      </c>
      <c r="L12" s="4" t="n">
        <f aca="false">-L6*Assumptions!L45/100</f>
        <v>-5409.14932182957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7825.95</v>
      </c>
      <c r="D13" s="0" t="n">
        <f aca="false">D11+D12</f>
        <v>8608.545</v>
      </c>
      <c r="E13" s="0" t="n">
        <f aca="false">E11+E12</f>
        <v>9297.2286</v>
      </c>
      <c r="F13" s="0" t="n">
        <f aca="false">F11+F12</f>
        <v>9948.034602</v>
      </c>
      <c r="G13" s="0" t="n">
        <f aca="false">G11+G12</f>
        <v>10544.91667812</v>
      </c>
      <c r="H13" s="0" t="n">
        <f aca="false">H11+H12</f>
        <v>11072.162512026</v>
      </c>
      <c r="I13" s="0" t="n">
        <f aca="false">I11+I12</f>
        <v>11515.049012507</v>
      </c>
      <c r="J13" s="0" t="n">
        <f aca="false">J11+J12</f>
        <v>11918.0757279448</v>
      </c>
      <c r="K13" s="0" t="n">
        <f aca="false">K11+K12</f>
        <v>12275.6179997831</v>
      </c>
      <c r="L13" s="0" t="n">
        <f aca="false">L11+L12</f>
        <v>12643.8865397766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5869.4625</v>
      </c>
      <c r="D15" s="0" t="n">
        <f aca="false">D13-MAX(0,D13)*D14/100</f>
        <v>6456.40875</v>
      </c>
      <c r="E15" s="0" t="n">
        <f aca="false">E13-MAX(0,E13)*E14/100</f>
        <v>6972.92145</v>
      </c>
      <c r="F15" s="0" t="n">
        <f aca="false">F13-MAX(0,F13)*F14/100</f>
        <v>7461.0259515</v>
      </c>
      <c r="G15" s="0" t="n">
        <f aca="false">G13-MAX(0,G13)*G14/100</f>
        <v>7908.68750859</v>
      </c>
      <c r="H15" s="0" t="n">
        <f aca="false">H13-MAX(0,H13)*H14/100</f>
        <v>8304.1218840195</v>
      </c>
      <c r="I15" s="0" t="n">
        <f aca="false">I13-MAX(0,I13)*I14/100</f>
        <v>8636.28675938028</v>
      </c>
      <c r="J15" s="0" t="n">
        <f aca="false">J13-MAX(0,J13)*J14/100</f>
        <v>8938.55679595859</v>
      </c>
      <c r="K15" s="0" t="n">
        <f aca="false">K13-MAX(0,K13)*K14/100</f>
        <v>9206.71349983735</v>
      </c>
      <c r="L15" s="0" t="n">
        <f aca="false">L13-MAX(0,L13)*L14/100</f>
        <v>9482.91490483247</v>
      </c>
    </row>
    <row r="16" customFormat="false" ht="15" hidden="false" customHeight="false" outlineLevel="0" collapsed="false">
      <c r="A16" s="0" t="s">
        <v>121</v>
      </c>
      <c r="C16" s="0" t="n">
        <f aca="false">-C12</f>
        <v>3348</v>
      </c>
      <c r="D16" s="0" t="n">
        <f aca="false">-D12</f>
        <v>3682.8</v>
      </c>
      <c r="E16" s="0" t="n">
        <f aca="false">-E12</f>
        <v>3977.424</v>
      </c>
      <c r="F16" s="0" t="n">
        <f aca="false">-F12</f>
        <v>4255.84368</v>
      </c>
      <c r="G16" s="0" t="n">
        <f aca="false">-G12</f>
        <v>4511.1943008</v>
      </c>
      <c r="H16" s="0" t="n">
        <f aca="false">-H12</f>
        <v>4736.75401584</v>
      </c>
      <c r="I16" s="0" t="n">
        <f aca="false">-I12</f>
        <v>4926.2241764736</v>
      </c>
      <c r="J16" s="0" t="n">
        <f aca="false">-J12</f>
        <v>5098.64202265018</v>
      </c>
      <c r="K16" s="0" t="n">
        <f aca="false">-K12</f>
        <v>5251.60128332968</v>
      </c>
      <c r="L16" s="0" t="n">
        <f aca="false">-L12</f>
        <v>5409.14932182957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-4812.75</v>
      </c>
      <c r="D17" s="4" t="n">
        <f aca="false">-D6*Assumptions!D46/100</f>
        <v>-5063.85</v>
      </c>
      <c r="E17" s="4" t="n">
        <f aca="false">-E6*Assumptions!E46/100</f>
        <v>-5220.369</v>
      </c>
      <c r="F17" s="4" t="n">
        <f aca="false">-F6*Assumptions!F46/100</f>
        <v>-5319.8046</v>
      </c>
      <c r="G17" s="4" t="n">
        <f aca="false">-G6*Assumptions!G46/100</f>
        <v>-5357.0432322</v>
      </c>
      <c r="H17" s="4" t="n">
        <f aca="false">-H6*Assumptions!H46/100</f>
        <v>-5328.84826782</v>
      </c>
      <c r="I17" s="4" t="n">
        <f aca="false">-I6*Assumptions!I46/100</f>
        <v>-5234.1131875032</v>
      </c>
      <c r="J17" s="4" t="n">
        <f aca="false">-J6*Assumptions!J46/100</f>
        <v>-5098.64202265018</v>
      </c>
      <c r="K17" s="4" t="n">
        <f aca="false">-K6*Assumptions!K46/100</f>
        <v>-5251.60128332968</v>
      </c>
      <c r="L17" s="4" t="n">
        <f aca="false">-L6*Assumptions!L46/100</f>
        <v>-5409.14932182957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697.5</v>
      </c>
      <c r="D18" s="4" t="n">
        <f aca="false">(D6-C6)*Assumptions!$B$51/100</f>
        <v>-627.750000000001</v>
      </c>
      <c r="E18" s="4" t="n">
        <f aca="false">(E6-D6)*Assumptions!$B$51/100</f>
        <v>-552.42</v>
      </c>
      <c r="F18" s="4" t="n">
        <f aca="false">(F6-E6)*Assumptions!$B$51/100</f>
        <v>-522.036900000001</v>
      </c>
      <c r="G18" s="4" t="n">
        <f aca="false">(G6-F6)*Assumptions!$B$51/100</f>
        <v>-478.782414</v>
      </c>
      <c r="H18" s="4" t="n">
        <f aca="false">(H6-G6)*Assumptions!$B$51/100</f>
        <v>-422.9244657</v>
      </c>
      <c r="I18" s="4" t="n">
        <f aca="false">(I6-H6)*Assumptions!$B$51/100</f>
        <v>-355.256551188001</v>
      </c>
      <c r="J18" s="4" t="n">
        <f aca="false">(J6-I6)*Assumptions!$B$51/100</f>
        <v>-323.283461581079</v>
      </c>
      <c r="K18" s="4" t="n">
        <f aca="false">(K6-J6)*Assumptions!$B$51/100</f>
        <v>-286.798613774072</v>
      </c>
      <c r="L18" s="4" t="n">
        <f aca="false">(L6-K6)*Assumptions!$B$51/100</f>
        <v>-295.402572187295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5102.2125</v>
      </c>
      <c r="D19" s="0" t="n">
        <f aca="false">D15+D16+D17+D18</f>
        <v>4447.60875</v>
      </c>
      <c r="E19" s="0" t="n">
        <f aca="false">E15+E16+E17+E18</f>
        <v>5177.55645</v>
      </c>
      <c r="F19" s="0" t="n">
        <f aca="false">F15+F16+F17+F18</f>
        <v>5875.0281315</v>
      </c>
      <c r="G19" s="0" t="n">
        <f aca="false">G15+G16+G17+G18</f>
        <v>6584.05616319</v>
      </c>
      <c r="H19" s="0" t="n">
        <f aca="false">H15+H16+H17+H18</f>
        <v>7289.1031663395</v>
      </c>
      <c r="I19" s="0" t="n">
        <f aca="false">I15+I16+I17+I18</f>
        <v>7973.14119716268</v>
      </c>
      <c r="J19" s="0" t="n">
        <f aca="false">J15+J16+J17+J18</f>
        <v>8615.27333437751</v>
      </c>
      <c r="K19" s="0" t="n">
        <f aca="false">K15+K16+K17+K18</f>
        <v>8919.91488606328</v>
      </c>
      <c r="L19" s="0" t="n">
        <f aca="false">L15+L16+L17+L18</f>
        <v>9187.51233264518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4680.92889908257</v>
      </c>
      <c r="D21" s="0" t="n">
        <f aca="false">D19*D20</f>
        <v>3743.46330275229</v>
      </c>
      <c r="E21" s="0" t="n">
        <f aca="false">E19*E20</f>
        <v>3998.02355777361</v>
      </c>
      <c r="F21" s="0" t="n">
        <f aca="false">F19*F20</f>
        <v>4162.01804407186</v>
      </c>
      <c r="G21" s="0" t="n">
        <f aca="false">G19*G20</f>
        <v>4279.18474960824</v>
      </c>
      <c r="H21" s="0" t="n">
        <f aca="false">H19*H20</f>
        <v>4346.25406034008</v>
      </c>
      <c r="I21" s="0" t="n">
        <f aca="false">I19*I20</f>
        <v>4361.58127381903</v>
      </c>
      <c r="J21" s="0" t="n">
        <f aca="false">J19*J20</f>
        <v>4323.71517668805</v>
      </c>
      <c r="K21" s="0" t="n">
        <f aca="false">K19*K20</f>
        <v>4106.97660446451</v>
      </c>
      <c r="L21" s="0" t="n">
        <f aca="false">L19*L20</f>
        <v>3880.90449779674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41883.050166397</v>
      </c>
    </row>
    <row r="31" customFormat="false" ht="15" hidden="false" customHeight="false" outlineLevel="0" collapsed="false">
      <c r="A31" s="0" t="s">
        <v>130</v>
      </c>
      <c r="B31" s="0" t="n">
        <f aca="false">L19</f>
        <v>9187.51233264518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144880.002168635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110250.147991742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110250.147991742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46570.8539735609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88453.9041399579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67541.6041399579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37.0571905936786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0.546627320270392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1048.89004760327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1351.15685070844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38.3739937178716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75337.6011276904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16.0856487230456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-3.16151521037019</v>
      </c>
      <c r="C4" s="0" t="n">
        <f aca="false">B4/Assumptions!$B$2-1</f>
        <v>-1.13194971662647</v>
      </c>
      <c r="D4" s="4" t="n">
        <f aca="false">Assumptions!$B$24</f>
        <v>0.3</v>
      </c>
      <c r="E4" s="4" t="n">
        <f aca="false">DCF_Bear!$B$43</f>
        <v>-2.43604152795009</v>
      </c>
      <c r="F4" s="4" t="n">
        <f aca="false">DCF_Bear!$B$47</f>
        <v>-6.41049720639088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15.6932557508165</v>
      </c>
      <c r="C5" s="0" t="n">
        <f aca="false">B5/Assumptions!$B$2-1</f>
        <v>-0.345022714907493</v>
      </c>
      <c r="D5" s="4" t="n">
        <f aca="false">Assumptions!$B$38</f>
        <v>0.5</v>
      </c>
      <c r="E5" s="4" t="n">
        <f aca="false">DCF_Base!$B$43</f>
        <v>16.7252710638711</v>
      </c>
      <c r="F5" s="4" t="n">
        <f aca="false">DCF_Base!$B$47</f>
        <v>4.23751930015165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37.0571905936786</v>
      </c>
      <c r="C6" s="0" t="n">
        <f aca="false">B6/Assumptions!$B$2-1</f>
        <v>0.546627320270392</v>
      </c>
      <c r="D6" s="4" t="n">
        <f aca="false">Assumptions!$B$52</f>
        <v>0.2</v>
      </c>
      <c r="E6" s="4" t="n">
        <f aca="false">DCF_Bull!$B$43</f>
        <v>38.3739937178716</v>
      </c>
      <c r="F6" s="4" t="n">
        <f aca="false">DCF_Bull!$B$47</f>
        <v>16.0856487230456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14.3096114310329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15.3066218171249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-0.674399064955639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967.932601664688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3.41274023276769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15.6932557508165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13.8649436219152</v>
      </c>
      <c r="C16" s="3" t="n">
        <v>10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12.1943454900584</v>
      </c>
      <c r="C17" s="3" t="n">
        <v>11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9.60081256783454</v>
      </c>
      <c r="C18" s="3" t="n">
        <v>12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4.23751930015165</v>
      </c>
      <c r="C19" s="3" t="n">
        <v>15</v>
      </c>
    </row>
    <row r="21" customFormat="false" ht="15" hidden="false" customHeight="false" outlineLevel="0" collapsed="false">
      <c r="A21" s="2" t="s">
        <v>166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19.8941720446511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19.8941720446511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19.8941720446511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19.8941720446511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19.8941720446511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17.6965415609483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17.6965415609483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17.6965415609483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17.6965415609483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17.6965415609483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15.6932557508165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15.6932557508165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15.6932557508165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15.6932557508165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15.6932557508165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13.8029591765909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13.8649436219152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13.8649436219152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13.8649436219152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13.8649436219152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10.9278165668953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11.5526375023224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12.1943454900584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12.1943454900584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12.1943454900584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2026-10-16T16:56:21Z</dcterms:created>
  <dc:creator>openpyxl</dc:creator>
  <dc:description/>
  <dc:language>en-NZ</dc:language>
  <cp:lastModifiedBy/>
  <dcterms:modified xsi:type="dcterms:W3CDTF">2026-10-16T16:56:21Z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