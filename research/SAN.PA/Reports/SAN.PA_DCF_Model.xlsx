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</font>
    <font>
      <color rgb="000000CC"/>
    </font>
    <font>
      <color rgb="00007700"/>
    </font>
    <font/>
  </fonts>
  <fills count="4">
    <fill>
      <patternFill/>
    </fill>
    <fill>
      <patternFill patternType="gray125"/>
    </fill>
    <fill>
      <patternFill patternType="solid">
        <fgColor rgb="00FFF2AB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2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1" fillId="3" borderId="0" pivotButton="0" quotePrefix="0" xfId="0"/>
    <xf numFmtId="164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2" customWidth="1" min="1" max="1"/>
    <col width="150" customWidth="1" min="2" max="2"/>
  </cols>
  <sheetData>
    <row r="2">
      <c r="A2" s="1" t="inlineStr">
        <is>
          <t>SAN.PA -- Sanofi S.A. -- Owner-FCF DCF model</t>
        </is>
      </c>
    </row>
    <row r="3">
      <c r="A3" s="1" t="inlineStr">
        <is>
          <t>Version</t>
        </is>
      </c>
      <c r="B3" t="inlineStr">
        <is>
          <t>v1.0, 2026-08-30. Fresh build; supersedes nothing (first valuation of this ticker).</t>
        </is>
      </c>
    </row>
    <row r="4">
      <c r="A4" s="1" t="inlineStr">
        <is>
          <t>Built by</t>
        </is>
      </c>
      <c r="B4" t="inlineStr">
        <is>
          <t>dcf-analyst agent (Claude, Fable 5), 2026-08-30, at the user's request.</t>
        </is>
      </c>
    </row>
    <row r="5">
      <c r="A5" s="1" t="inlineStr">
        <is>
          <t>Data vintage</t>
        </is>
      </c>
      <c r="B5" t="inlineStr">
        <is>
          <t>Price EUR77.25 (Yahoo regular close, 2026-08-28T15:38Z, verified live 2026-08-30). Balance sheet: FY2025 (Dec-31-2025) -- total debt EUR18,702m, cash EUR7,657m, company-stated net debt EUR11.0bn (reconciles). Shares: 1,196.6m (Q2-2026 weighted average). Guidance: Q2-2026 upgrade (Jul-30-2026): ~10% CER sales growth, business EPS slightly faster, ~21% ETR, EUR1bn buyback completed.</t>
        </is>
      </c>
    </row>
    <row r="6">
      <c r="A6" s="1" t="inlineStr">
        <is>
          <t>Methodology 1</t>
        </is>
      </c>
      <c r="B6" t="inlineStr">
        <is>
          <t>Owner-FCF DCF, 10-year component build (dcf-methods/references/owner-fcf.md). Operating pharma; not a bank/REIT/LIC.</t>
        </is>
      </c>
    </row>
    <row r="7">
      <c r="A7" s="1" t="inlineStr">
        <is>
          <t>Methodology 2</t>
        </is>
      </c>
      <c r="B7" t="inlineStr">
        <is>
          <t>Operating anchor is BUSINESS (non-GAAP) earnings, never IFRS NI -- IFRS NI carries disposal gains (FY2020 Regeneron, FY2025 Opella) and acquisition amortization.</t>
        </is>
      </c>
    </row>
    <row r="8">
      <c r="A8" s="1" t="inlineStr">
        <is>
          <t>Methodology 3</t>
        </is>
      </c>
      <c r="B8" t="inlineStr">
        <is>
          <t>EBITDA margin driver is a CASH-EBITDA margin: business EBITDA (~35% FY2025) net of ~4.5-5.5pp recurring restructuring/litigation cash leakage, calibrated to statutory owner FCF (OCF - capex - SBC = EUR6,899m FY2025).</t>
        </is>
      </c>
    </row>
    <row r="9">
      <c r="A9" s="1" t="inlineStr">
        <is>
          <t>Methodology 4</t>
        </is>
      </c>
      <c r="B9" t="inlineStr">
        <is>
          <t>Dupixent patent cliff shapes the model: ramp to ~EUR56bn sales by 2030, then NEGATIVE group growth 2032-34 (US LOE ~2031+ on ~36% of sales), terminal growth only 1.0-2.0%, TV capped at 15x FCF (12x bear). The cap binds in all scenarios.</t>
        </is>
      </c>
    </row>
    <row r="10">
      <c r="A10" s="1" t="inlineStr">
        <is>
          <t>Methodology 5</t>
        </is>
      </c>
      <c r="B10" t="inlineStr">
        <is>
          <t>SBC (EUR313m, 0.7% of sales) fully EXPENSED in flows; share count held FLAT at 1,196.6m (charging both = double count). Count is actually falling ~2%/yr on funded buybacks -- flat is conservative.</t>
        </is>
      </c>
    </row>
    <row r="11">
      <c r="A11" s="1" t="inlineStr">
        <is>
          <t>Methodology 6</t>
        </is>
      </c>
      <c r="B11" t="inlineStr">
        <is>
          <t>WACC 7.5% EUR-built: rf 3.2% (10y OAT) + 0.8 beta x 5.0% ERP + 1.0pp pipeline/patent-cliff concentration premium, blended with 2.7% after-tax debt at ~11% weight. SAME WACC in all scenarios -- risk charged once, in the rate.</t>
        </is>
      </c>
    </row>
    <row r="12">
      <c r="A12" s="1" t="inlineStr">
        <is>
          <t>Methodology 7</t>
        </is>
      </c>
      <c r="B12" t="inlineStr">
        <is>
          <t>Leases (IFRS 16): treatment A -- lease liabilities inside net debt, principal not deducted from flows, renewal inside the 7.0-8.1% capex path.</t>
        </is>
      </c>
    </row>
    <row r="13">
      <c r="A13" s="1" t="inlineStr">
        <is>
          <t>Judgment</t>
        </is>
      </c>
      <c r="B13" t="inlineStr">
        <is>
          <t>Scenario driver paths are the dcf-analyst agent's judgment, set 2026-08-30 from FY2025 results, Q2-2026 upgraded guidance and the Analysis JSON (tolebrutinib CRL, amlitelimab discontinuation, CEO change, US policy risks). Weights 25/50/25 bear/base/bull.</t>
        </is>
      </c>
    </row>
    <row r="14">
      <c r="A14" s="1" t="inlineStr">
        <is>
          <t>Refresh next print</t>
        </is>
      </c>
      <c r="B14" t="inlineStr">
        <is>
          <t>After Q3-2026 (late Oct-2026): price, net debt + date, share count, FY2026 guidance delivery, Dupixent US trajectory, tariff/MFN developments, any pipeline news. These figures GO STALE.</t>
        </is>
      </c>
    </row>
    <row r="15">
      <c r="A15" s="1" t="inlineStr">
        <is>
          <t>Cell legend</t>
        </is>
      </c>
      <c r="B15" t="inlineStr">
        <is>
          <t>BLUE font = hardcoded input. YELLOW fill = key driver lever. Black = formula. GREEN font = cross-sheet link. Only driver rows (growth, margin, SBC%, tax) plus Assumptions inputs are hardcoded.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Reported history (EUR millions; source: SAN.PA_Metrics.csv &lt;- annual reports)</t>
        </is>
      </c>
    </row>
    <row r="3">
      <c r="A3" s="1" t="inlineStr"/>
      <c r="B3" s="1" t="inlineStr">
        <is>
          <t>FY2016</t>
        </is>
      </c>
      <c r="C3" s="1" t="inlineStr">
        <is>
          <t>FY2017</t>
        </is>
      </c>
      <c r="D3" s="1" t="inlineStr">
        <is>
          <t>FY2018</t>
        </is>
      </c>
      <c r="E3" s="1" t="inlineStr">
        <is>
          <t>FY2019</t>
        </is>
      </c>
      <c r="F3" s="1" t="inlineStr">
        <is>
          <t>FY2020</t>
        </is>
      </c>
      <c r="G3" s="1" t="inlineStr">
        <is>
          <t>FY2021</t>
        </is>
      </c>
      <c r="H3" s="1" t="inlineStr">
        <is>
          <t>FY2022</t>
        </is>
      </c>
      <c r="I3" s="1" t="inlineStr">
        <is>
          <t>FY2023</t>
        </is>
      </c>
      <c r="J3" s="1" t="inlineStr">
        <is>
          <t>FY2024</t>
        </is>
      </c>
      <c r="K3" s="1" t="inlineStr">
        <is>
          <t>FY2025</t>
        </is>
      </c>
    </row>
    <row r="4">
      <c r="A4" t="inlineStr">
        <is>
          <t>Revenue</t>
        </is>
      </c>
      <c r="B4" s="2" t="n">
        <v>33809</v>
      </c>
      <c r="C4" s="2" t="n">
        <v>35072</v>
      </c>
      <c r="D4" s="2" t="n">
        <v>34463</v>
      </c>
      <c r="E4" s="2" t="n">
        <v>36126</v>
      </c>
      <c r="F4" s="2" t="n">
        <v>36041</v>
      </c>
      <c r="G4" s="2" t="n">
        <v>37761</v>
      </c>
      <c r="H4" s="2" t="n">
        <v>37651</v>
      </c>
      <c r="I4" s="2" t="n">
        <v>37817</v>
      </c>
      <c r="J4" s="2" t="n">
        <v>41081</v>
      </c>
      <c r="K4" s="2" t="n">
        <v>43626</v>
      </c>
    </row>
    <row r="5">
      <c r="A5" t="inlineStr">
        <is>
          <t>Operating income (IFRS)</t>
        </is>
      </c>
      <c r="B5" s="2" t="n">
        <v>6531</v>
      </c>
      <c r="C5" s="2" t="n">
        <v>5804</v>
      </c>
      <c r="D5" s="2" t="n">
        <v>4676</v>
      </c>
      <c r="E5" s="2" t="n">
        <v>3051</v>
      </c>
      <c r="F5" s="2" t="n">
        <v>14113</v>
      </c>
      <c r="G5" s="2" t="n">
        <v>8126</v>
      </c>
      <c r="H5" s="2" t="n">
        <v>10162</v>
      </c>
      <c r="I5" s="2" t="n">
        <v>6960</v>
      </c>
      <c r="J5" s="2" t="n">
        <v>7252</v>
      </c>
      <c r="K5" s="2" t="n">
        <v>6344</v>
      </c>
    </row>
    <row r="6">
      <c r="A6" t="inlineStr">
        <is>
          <t>Net income (IFRS)</t>
        </is>
      </c>
      <c r="B6" s="2" t="n">
        <v>4709</v>
      </c>
      <c r="C6" s="2" t="n">
        <v>8416</v>
      </c>
      <c r="D6" s="2" t="n">
        <v>4306</v>
      </c>
      <c r="E6" s="2" t="n">
        <v>2754</v>
      </c>
      <c r="F6" s="2" t="n">
        <v>12294</v>
      </c>
      <c r="G6" s="2" t="n">
        <v>6223</v>
      </c>
      <c r="H6" s="2" t="n">
        <v>8371</v>
      </c>
      <c r="I6" s="2" t="n">
        <v>5400</v>
      </c>
      <c r="J6" s="2" t="n">
        <v>5560</v>
      </c>
      <c r="K6" s="2" t="n">
        <v>7813</v>
      </c>
    </row>
    <row r="7">
      <c r="A7" t="inlineStr">
        <is>
          <t>Operating cash flow</t>
        </is>
      </c>
      <c r="B7" s="2" t="n">
        <v>7838</v>
      </c>
      <c r="C7" s="2" t="n">
        <v>7379</v>
      </c>
      <c r="D7" s="2" t="n">
        <v>5547</v>
      </c>
      <c r="E7" s="2" t="n">
        <v>7715</v>
      </c>
      <c r="F7" s="2" t="n">
        <v>7418</v>
      </c>
      <c r="G7" s="2" t="n">
        <v>10522</v>
      </c>
      <c r="H7" s="2" t="n">
        <v>10526</v>
      </c>
      <c r="I7" s="2" t="n">
        <v>10258</v>
      </c>
      <c r="J7" s="2" t="n">
        <v>9081</v>
      </c>
      <c r="K7" s="2" t="n">
        <v>10750</v>
      </c>
    </row>
    <row r="8">
      <c r="A8" t="inlineStr">
        <is>
          <t>Capex</t>
        </is>
      </c>
      <c r="B8" s="2" t="n">
        <v>-1340</v>
      </c>
      <c r="C8" s="2" t="n">
        <v>-1394</v>
      </c>
      <c r="D8" s="2" t="n">
        <v>-1459</v>
      </c>
      <c r="E8" s="2" t="n">
        <v>-1787</v>
      </c>
      <c r="F8" s="2" t="n">
        <v>-2083</v>
      </c>
      <c r="G8" s="2" t="n">
        <v>-2043</v>
      </c>
      <c r="H8" s="2" t="n">
        <v>-2103</v>
      </c>
      <c r="I8" s="2" t="n">
        <v>-2906</v>
      </c>
      <c r="J8" s="2" t="n">
        <v>-3195</v>
      </c>
      <c r="K8" s="2" t="n">
        <v>-3538</v>
      </c>
    </row>
    <row r="9">
      <c r="A9" t="inlineStr">
        <is>
          <t>FCF (OCF-capex)</t>
        </is>
      </c>
      <c r="B9" s="2" t="n">
        <v>6498</v>
      </c>
      <c r="C9" s="2" t="n">
        <v>5985</v>
      </c>
      <c r="D9" s="2" t="n">
        <v>4088</v>
      </c>
      <c r="E9" s="2" t="n">
        <v>5928</v>
      </c>
      <c r="F9" s="2" t="n">
        <v>5335</v>
      </c>
      <c r="G9" s="2" t="n">
        <v>8479</v>
      </c>
      <c r="H9" s="2" t="n">
        <v>8423</v>
      </c>
      <c r="I9" s="2" t="n">
        <v>7352</v>
      </c>
      <c r="J9" s="2" t="n">
        <v>5886</v>
      </c>
      <c r="K9" s="2" t="n">
        <v>7212</v>
      </c>
    </row>
    <row r="10">
      <c r="A10" t="inlineStr">
        <is>
          <t>SBC</t>
        </is>
      </c>
      <c r="B10" s="2" t="n">
        <v>241</v>
      </c>
      <c r="C10" s="2" t="n">
        <v>263</v>
      </c>
      <c r="D10" s="2" t="n">
        <v>284</v>
      </c>
      <c r="E10" s="2" t="n">
        <v>252</v>
      </c>
      <c r="F10" s="2" t="n">
        <v>274</v>
      </c>
      <c r="G10" s="2" t="n">
        <v>244</v>
      </c>
      <c r="H10" s="2" t="n">
        <v>234</v>
      </c>
      <c r="I10" s="2" t="n">
        <v>260</v>
      </c>
      <c r="J10" s="2" t="n">
        <v>278</v>
      </c>
      <c r="K10" s="2" t="n">
        <v>313</v>
      </c>
    </row>
    <row r="11">
      <c r="A11" t="inlineStr">
        <is>
          <t>Shareholders equity</t>
        </is>
      </c>
      <c r="B11" s="2" t="n">
        <v>57552</v>
      </c>
      <c r="C11" s="2" t="n">
        <v>58070</v>
      </c>
      <c r="D11" s="2" t="n">
        <v>58876</v>
      </c>
      <c r="E11" s="2" t="n">
        <v>59056</v>
      </c>
      <c r="F11" s="2" t="n">
        <v>63106</v>
      </c>
      <c r="G11" s="2" t="n">
        <v>68681</v>
      </c>
      <c r="H11" s="2" t="n">
        <v>74784</v>
      </c>
      <c r="I11" s="2" t="n">
        <v>74040</v>
      </c>
      <c r="J11" s="2" t="n">
        <v>77507</v>
      </c>
      <c r="K11" s="2" t="n">
        <v>71376</v>
      </c>
    </row>
    <row r="12">
      <c r="A12" t="inlineStr">
        <is>
          <t>Total debt</t>
        </is>
      </c>
      <c r="B12" s="2" t="n">
        <v>18509</v>
      </c>
      <c r="C12" s="2" t="n">
        <v>15468</v>
      </c>
      <c r="D12" s="2" t="n">
        <v>24586</v>
      </c>
      <c r="E12" s="2" t="n">
        <v>24568</v>
      </c>
      <c r="F12" s="2" t="n">
        <v>22631</v>
      </c>
      <c r="G12" s="2" t="n">
        <v>20250</v>
      </c>
      <c r="H12" s="2" t="n">
        <v>19218</v>
      </c>
      <c r="I12" s="2" t="n">
        <v>16531</v>
      </c>
      <c r="J12" s="2" t="n">
        <v>16137</v>
      </c>
      <c r="K12" s="2" t="n">
        <v>18702</v>
      </c>
    </row>
    <row r="13">
      <c r="A13" t="inlineStr">
        <is>
          <t>Cash</t>
        </is>
      </c>
      <c r="B13" s="2" t="n">
        <v>10273</v>
      </c>
      <c r="C13" s="2" t="n">
        <v>10315</v>
      </c>
      <c r="D13" s="2" t="n">
        <v>6925</v>
      </c>
      <c r="E13" s="2" t="n">
        <v>9427</v>
      </c>
      <c r="F13" s="2" t="n">
        <v>13915</v>
      </c>
      <c r="G13" s="2" t="n">
        <v>10098</v>
      </c>
      <c r="H13" s="2" t="n">
        <v>12736</v>
      </c>
      <c r="I13" s="2" t="n">
        <v>8710</v>
      </c>
      <c r="J13" s="2" t="n">
        <v>7441</v>
      </c>
      <c r="K13" s="2" t="n">
        <v>7657</v>
      </c>
    </row>
    <row r="14">
      <c r="A14" t="inlineStr">
        <is>
          <t>Dividend per share</t>
        </is>
      </c>
      <c r="B14" s="2" t="n">
        <v>2.93</v>
      </c>
      <c r="C14" s="2" t="n">
        <v>2.96</v>
      </c>
      <c r="D14" s="2" t="n">
        <v>3.03</v>
      </c>
      <c r="E14" s="2" t="n">
        <v>3.07</v>
      </c>
      <c r="F14" s="2" t="n">
        <v>3.15</v>
      </c>
      <c r="G14" s="2" t="n">
        <v>3.2</v>
      </c>
      <c r="H14" s="2" t="n">
        <v>3.33</v>
      </c>
      <c r="I14" s="2" t="n">
        <v>3.56</v>
      </c>
      <c r="J14" s="2" t="n">
        <v>3.76</v>
      </c>
      <c r="K14" s="2" t="n">
        <v>3.92</v>
      </c>
    </row>
    <row r="17">
      <c r="A17" t="inlineStr">
        <is>
          <t>Note: IFRS net income distorted by disposals: FY2017 animal-health swap, FY2020 Regeneron stake sale, FY2025 Opella gain.</t>
        </is>
      </c>
    </row>
    <row r="18">
      <c r="A18" t="inlineStr">
        <is>
          <t>Note: FY2025 business (non-GAAP): operating income EUR12,149m (27.8% margin), net income EUR9,555m, business EPS EUR7.83. H1-2026 business EPS EUR3.97 (+22.7%).</t>
        </is>
      </c>
    </row>
    <row r="19">
      <c r="A19" t="inlineStr">
        <is>
          <t>Note: FY2025 company-defined FCF EUR9.9bn is BEFORE restructuring/acquisitions/disposals; statutory OCF-capex EUR7,212m is the model base.</t>
        </is>
      </c>
    </row>
    <row r="20">
      <c r="A20" t="inlineStr">
        <is>
          <t>Note: Balance sheet FY2025 (Dec-31-2025): net debt EUR11.0bn company-stated = 18,702 - 7,657. Ratings Aa3 / AA stable.</t>
        </is>
      </c>
    </row>
    <row r="21">
      <c r="A21" t="inlineStr">
        <is>
          <t>Note: Shares: 1,196.6m Q2-2026 weighted avg; falling ~2%/yr (EUR5bn buyback 2025, EUR1bn 2026 completed by end-Apr).</t>
        </is>
      </c>
    </row>
    <row r="22">
      <c r="A22" t="inlineStr">
        <is>
          <t>Note: Guidance FY2026 (upgraded Jul-30-2026): sales ~+10% CER (~-1pp FX), business EPS slightly faster than sales, ETR ~21%. Dupixent 2030 ambition ~EUR25bn; vaccines cut to ~EUR9bn.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3" max="3"/>
  </cols>
  <sheetData>
    <row r="1">
      <c r="A1" s="1" t="inlineStr">
        <is>
          <t>Global assumptions (BLUE = input)</t>
        </is>
      </c>
    </row>
    <row r="3">
      <c r="A3" t="inlineStr">
        <is>
          <t>WACC</t>
        </is>
      </c>
      <c r="B3" s="2" t="n">
        <v>0.075</v>
      </c>
      <c r="C3" t="inlineStr">
        <is>
          <t>EUR-built: rf 3.2% + 0.8 beta x 5.0% ERP + 1.0pp concentration premium; ~11% debt at 2.7% after tax. Same across scenarios.</t>
        </is>
      </c>
    </row>
    <row r="4">
      <c r="A4" t="inlineStr">
        <is>
          <t>D&amp;A % of revenue</t>
        </is>
      </c>
      <c r="B4" s="2" t="n">
        <v>0.073</v>
      </c>
      <c r="C4" t="inlineStr">
        <is>
          <t>~EUR3.2bn operating D&amp;A / FY2025 sales; tax-shield line only.</t>
        </is>
      </c>
    </row>
    <row r="5">
      <c r="A5" t="inlineStr">
        <is>
          <t>WC capture on revenue change</t>
        </is>
      </c>
      <c r="B5" s="2" t="n">
        <v>-0.05</v>
      </c>
      <c r="C5" t="inlineStr">
        <is>
          <t>Pharma WC consumes ~5% of each revenue increase (receivables+inventory net of payables); releases cash in shrink years.</t>
        </is>
      </c>
    </row>
    <row r="6">
      <c r="A6" t="inlineStr">
        <is>
          <t>Net debt (EUR m)</t>
        </is>
      </c>
      <c r="B6" s="2" t="n">
        <v>11045</v>
      </c>
      <c r="C6" t="inlineStr">
        <is>
          <t>Dec-31-2025: 18,702 debt (incl. lease liabilities) - 7,657 cash; company-stated EUR11.0bn.</t>
        </is>
      </c>
    </row>
    <row r="7">
      <c r="A7" t="inlineStr">
        <is>
          <t>Diluted shares (m)</t>
        </is>
      </c>
      <c r="B7" s="2" t="n">
        <v>1196.6</v>
      </c>
      <c r="C7" t="inlineStr">
        <is>
          <t>Q2-2026 weighted average. Held flat -- SBC fully expensed.</t>
        </is>
      </c>
    </row>
    <row r="8">
      <c r="A8" t="inlineStr">
        <is>
          <t>Current price (EUR)</t>
        </is>
      </c>
      <c r="B8" s="2" t="n">
        <v>77.25</v>
      </c>
      <c r="C8" t="inlineStr">
        <is>
          <t>Yahoo regular close 2026-08-28T15:38Z, verified 2026-08-30.</t>
        </is>
      </c>
    </row>
    <row r="9">
      <c r="A9" t="inlineStr">
        <is>
          <t>Hurdle rate</t>
        </is>
      </c>
      <c r="B9" s="2" t="n">
        <v>0.15</v>
      </c>
      <c r="C9" t="inlineStr">
        <is>
          <t>Entry-price IRR.</t>
        </is>
      </c>
    </row>
    <row r="10">
      <c r="A10" t="inlineStr">
        <is>
          <t>FY2025 revenue (EUR m)</t>
        </is>
      </c>
      <c r="B10" s="2" t="n">
        <v>43626</v>
      </c>
      <c r="C10" t="inlineStr">
        <is>
          <t>Base year for all scenarios.</t>
        </is>
      </c>
    </row>
    <row r="12">
      <c r="A12" t="inlineStr">
        <is>
          <t>Capex % of revenue path (shared by all scenarios; onshoring-elevated, tapering)</t>
        </is>
      </c>
      <c r="C12" s="3" t="n">
        <v>0.081</v>
      </c>
      <c r="D12" s="3" t="n">
        <v>0.081</v>
      </c>
      <c r="E12" s="3" t="n">
        <v>0.08</v>
      </c>
      <c r="F12" s="3" t="n">
        <v>0.078</v>
      </c>
      <c r="G12" s="3" t="n">
        <v>0.076</v>
      </c>
      <c r="H12" s="3" t="n">
        <v>0.074</v>
      </c>
      <c r="I12" s="3" t="n">
        <v>0.07199999999999999</v>
      </c>
      <c r="J12" s="3" t="n">
        <v>0.07000000000000001</v>
      </c>
      <c r="K12" s="3" t="n">
        <v>0.07000000000000001</v>
      </c>
      <c r="L12" s="3" t="n">
        <v>0.07000000000000001</v>
      </c>
    </row>
    <row r="14">
      <c r="A14" s="1" t="inlineStr">
        <is>
          <t>Per-scenario terminal &amp; weights</t>
        </is>
      </c>
      <c r="B14" s="1" t="inlineStr">
        <is>
          <t>Bear</t>
        </is>
      </c>
      <c r="C14" s="1" t="inlineStr">
        <is>
          <t>Base</t>
        </is>
      </c>
      <c r="D14" s="1" t="inlineStr">
        <is>
          <t>Bull</t>
        </is>
      </c>
    </row>
    <row r="15">
      <c r="A15" t="inlineStr">
        <is>
          <t>Terminal growth</t>
        </is>
      </c>
      <c r="B15" s="4" t="n">
        <v>0.01</v>
      </c>
      <c r="C15" s="4" t="n">
        <v>0.015</v>
      </c>
      <c r="D15" s="4" t="n">
        <v>0.02</v>
      </c>
    </row>
    <row r="16">
      <c r="A16" t="inlineStr">
        <is>
          <t>TV cap (x FCF10)</t>
        </is>
      </c>
      <c r="B16" s="4" t="n">
        <v>12</v>
      </c>
      <c r="C16" s="4" t="n">
        <v>15</v>
      </c>
      <c r="D16" s="4" t="n">
        <v>15</v>
      </c>
    </row>
    <row r="17">
      <c r="A17" t="inlineStr">
        <is>
          <t>Probability weight</t>
        </is>
      </c>
      <c r="B17" s="4" t="n">
        <v>0.25</v>
      </c>
      <c r="C17" s="4" t="n">
        <v>0.5</v>
      </c>
      <c r="D17" s="4" t="n">
        <v>0.25</v>
      </c>
    </row>
    <row r="18">
      <c r="A18" t="inlineStr">
        <is>
          <t>Weights sum (must be 1.0)</t>
        </is>
      </c>
      <c r="B18">
        <f>SUM(B17:D17)</f>
        <v/>
      </c>
    </row>
    <row r="20">
      <c r="A20" s="1" t="inlineStr">
        <is>
          <t>Base narrative</t>
        </is>
      </c>
      <c r="B20" t="inlineStr">
        <is>
          <t>Guidance lands: +9% 2026 reported, ~EUR56bn by 2030 (Dupixent ~EUR25bn, launches ~EUR10bn, vaccines ~EUR9bn flat); cash-EBITDA margin 30.5%-&gt;32%; 2031-35 Dupixent US LOE takes group growth to -2/-3% in 2032-33; tax 21%; terminal 1.5%, 15x cap binds.</t>
        </is>
      </c>
    </row>
    <row r="21">
      <c r="A21" s="1" t="inlineStr">
        <is>
          <t>Bull narrative</t>
        </is>
      </c>
      <c r="B21" t="inlineStr">
        <is>
          <t>Dupixent beats EUR25bn and lifecycle mgmt blunts the cliff to a plateau; Garijo R&amp;D reset works, launches exceed EUR10bn; US policy settled by onshoring; margin to 33%; terminal 2.0%, 15x cap.</t>
        </is>
      </c>
    </row>
    <row r="22">
      <c r="A22" s="1" t="inlineStr">
        <is>
          <t>Bear narrative</t>
        </is>
      </c>
      <c r="B22" t="inlineStr">
        <is>
          <t>232 tariffs + IRA/MFN pricing + vaccine-policy decline hit together; Ebglyss/Tezspire cap Dupixent near EUR20bn; dead successor pipeline means a steeper 2031-34 cliff (-5/-6%); margin erodes to 26%; tax to 23%; terminal 1.0%, 12x cap.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L4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3">
      <c r="B3" s="1" t="inlineStr">
        <is>
          <t>2025A</t>
        </is>
      </c>
      <c r="C3" s="1" t="inlineStr">
        <is>
          <t>2026E</t>
        </is>
      </c>
      <c r="D3" s="1" t="inlineStr">
        <is>
          <t>2027E</t>
        </is>
      </c>
      <c r="E3" s="1" t="inlineStr">
        <is>
          <t>2028E</t>
        </is>
      </c>
      <c r="F3" s="1" t="inlineStr">
        <is>
          <t>2029E</t>
        </is>
      </c>
      <c r="G3" s="1" t="inlineStr">
        <is>
          <t>2030E</t>
        </is>
      </c>
      <c r="H3" s="1" t="inlineStr">
        <is>
          <t>2031E</t>
        </is>
      </c>
      <c r="I3" s="1" t="inlineStr">
        <is>
          <t>2032E</t>
        </is>
      </c>
      <c r="J3" s="1" t="inlineStr">
        <is>
          <t>2033E</t>
        </is>
      </c>
      <c r="K3" s="1" t="inlineStr">
        <is>
          <t>2034E</t>
        </is>
      </c>
      <c r="L3" s="1" t="inlineStr">
        <is>
          <t>2035E</t>
        </is>
      </c>
    </row>
    <row r="4"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3" t="n">
        <v>0.07000000000000001</v>
      </c>
      <c r="D5" s="3" t="n">
        <v>0.03</v>
      </c>
      <c r="E5" s="3" t="n">
        <v>0.02</v>
      </c>
      <c r="F5" s="3" t="n">
        <v>0.01</v>
      </c>
      <c r="G5" s="3" t="n">
        <v>0</v>
      </c>
      <c r="H5" s="3" t="n">
        <v>-0.02</v>
      </c>
      <c r="I5" s="3" t="n">
        <v>-0.05</v>
      </c>
      <c r="J5" s="3" t="n">
        <v>-0.06</v>
      </c>
      <c r="K5" s="3" t="n">
        <v>-0.03</v>
      </c>
      <c r="L5" s="3" t="n">
        <v>-0.01</v>
      </c>
    </row>
    <row r="6">
      <c r="A6" t="inlineStr">
        <is>
          <t>Revenue</t>
        </is>
      </c>
      <c r="B6" s="5">
        <f>Assumptions!$B$10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(cash) EBITDA margin</t>
        </is>
      </c>
      <c r="C7" s="3" t="n">
        <v>0.295</v>
      </c>
      <c r="D7" s="3" t="n">
        <v>0.295</v>
      </c>
      <c r="E7" s="3" t="n">
        <v>0.29</v>
      </c>
      <c r="F7" s="3" t="n">
        <v>0.285</v>
      </c>
      <c r="G7" s="3" t="n">
        <v>0.28</v>
      </c>
      <c r="H7" s="3" t="n">
        <v>0.275</v>
      </c>
      <c r="I7" s="3" t="n">
        <v>0.27</v>
      </c>
      <c r="J7" s="3" t="n">
        <v>0.265</v>
      </c>
      <c r="K7" s="3" t="n">
        <v>0.26</v>
      </c>
      <c r="L7" s="3" t="n">
        <v>0.26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3" t="n">
        <v>0.007</v>
      </c>
      <c r="D9" s="3" t="n">
        <v>0.007</v>
      </c>
      <c r="E9" s="3" t="n">
        <v>0.007</v>
      </c>
      <c r="F9" s="3" t="n">
        <v>0.007</v>
      </c>
      <c r="G9" s="3" t="n">
        <v>0.007</v>
      </c>
      <c r="H9" s="3" t="n">
        <v>0.007</v>
      </c>
      <c r="I9" s="3" t="n">
        <v>0.007</v>
      </c>
      <c r="J9" s="3" t="n">
        <v>0.007</v>
      </c>
      <c r="K9" s="3" t="n">
        <v>0.007</v>
      </c>
      <c r="L9" s="3" t="n">
        <v>0.007</v>
      </c>
    </row>
    <row r="10">
      <c r="A10" t="inlineStr">
        <is>
          <t>SBC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</t>
        </is>
      </c>
      <c r="C12" s="5">
        <f>-C6*Assumptions!$B$4</f>
        <v/>
      </c>
      <c r="D12" s="5">
        <f>-D6*Assumptions!$B$4</f>
        <v/>
      </c>
      <c r="E12" s="5">
        <f>-E6*Assumptions!$B$4</f>
        <v/>
      </c>
      <c r="F12" s="5">
        <f>-F6*Assumptions!$B$4</f>
        <v/>
      </c>
      <c r="G12" s="5">
        <f>-G6*Assumptions!$B$4</f>
        <v/>
      </c>
      <c r="H12" s="5">
        <f>-H6*Assumptions!$B$4</f>
        <v/>
      </c>
      <c r="I12" s="5">
        <f>-I6*Assumptions!$B$4</f>
        <v/>
      </c>
      <c r="J12" s="5">
        <f>-J6*Assumptions!$B$4</f>
        <v/>
      </c>
      <c r="K12" s="5">
        <f>-K6*Assumptions!$B$4</f>
        <v/>
      </c>
      <c r="L12" s="5">
        <f>-L6*Assumptions!$B$4</f>
        <v/>
      </c>
    </row>
    <row r="13">
      <c r="A13" t="inlineStr">
        <is>
          <t>EBIT (SBC expensed)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</t>
        </is>
      </c>
      <c r="C14" s="3" t="n">
        <v>0.21</v>
      </c>
      <c r="D14" s="3" t="n">
        <v>0.215</v>
      </c>
      <c r="E14" s="3" t="n">
        <v>0.22</v>
      </c>
      <c r="F14" s="3" t="n">
        <v>0.225</v>
      </c>
      <c r="G14" s="3" t="n">
        <v>0.23</v>
      </c>
      <c r="H14" s="3" t="n">
        <v>0.23</v>
      </c>
      <c r="I14" s="3" t="n">
        <v>0.23</v>
      </c>
      <c r="J14" s="3" t="n">
        <v>0.23</v>
      </c>
      <c r="K14" s="3" t="n">
        <v>0.23</v>
      </c>
      <c r="L14" s="3" t="n">
        <v>0.23</v>
      </c>
    </row>
    <row r="15">
      <c r="A15" t="inlineStr">
        <is>
          <t>NOPAT</t>
        </is>
      </c>
      <c r="C15">
        <f>C13*(1-C14)</f>
        <v/>
      </c>
      <c r="D15">
        <f>D13*(1-D14)</f>
        <v/>
      </c>
      <c r="E15">
        <f>E13*(1-E14)</f>
        <v/>
      </c>
      <c r="F15">
        <f>F13*(1-F14)</f>
        <v/>
      </c>
      <c r="G15">
        <f>G13*(1-G14)</f>
        <v/>
      </c>
      <c r="H15">
        <f>H13*(1-H14)</f>
        <v/>
      </c>
      <c r="I15">
        <f>I13*(1-I14)</f>
        <v/>
      </c>
      <c r="J15">
        <f>J13*(1-J14)</f>
        <v/>
      </c>
      <c r="K15">
        <f>K13*(1-K14)</f>
        <v/>
      </c>
      <c r="L15">
        <f>L13*(1-L14)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less capex</t>
        </is>
      </c>
      <c r="C17" s="5">
        <f>-C6*Assumptions!C$12</f>
        <v/>
      </c>
      <c r="D17" s="5">
        <f>-D6*Assumptions!D$12</f>
        <v/>
      </c>
      <c r="E17" s="5">
        <f>-E6*Assumptions!E$12</f>
        <v/>
      </c>
      <c r="F17" s="5">
        <f>-F6*Assumptions!F$12</f>
        <v/>
      </c>
      <c r="G17" s="5">
        <f>-G6*Assumptions!G$12</f>
        <v/>
      </c>
      <c r="H17" s="5">
        <f>-H6*Assumptions!H$12</f>
        <v/>
      </c>
      <c r="I17" s="5">
        <f>-I6*Assumptions!I$12</f>
        <v/>
      </c>
      <c r="J17" s="5">
        <f>-J6*Assumptions!J$12</f>
        <v/>
      </c>
      <c r="K17" s="5">
        <f>-K6*Assumptions!K$12</f>
        <v/>
      </c>
      <c r="L17" s="5">
        <f>-L6*Assumptions!L$12</f>
        <v/>
      </c>
    </row>
    <row r="18">
      <c r="A18" t="inlineStr">
        <is>
          <t>add WC (on rev change)</t>
        </is>
      </c>
      <c r="C18" s="5">
        <f>Assumptions!$B$5*(C6-B6)</f>
        <v/>
      </c>
      <c r="D18" s="5">
        <f>Assumptions!$B$5*(D6-C6)</f>
        <v/>
      </c>
      <c r="E18" s="5">
        <f>Assumptions!$B$5*(E6-D6)</f>
        <v/>
      </c>
      <c r="F18" s="5">
        <f>Assumptions!$B$5*(F6-E6)</f>
        <v/>
      </c>
      <c r="G18" s="5">
        <f>Assumptions!$B$5*(G6-F6)</f>
        <v/>
      </c>
      <c r="H18" s="5">
        <f>Assumptions!$B$5*(H6-G6)</f>
        <v/>
      </c>
      <c r="I18" s="5">
        <f>Assumptions!$B$5*(I6-H6)</f>
        <v/>
      </c>
      <c r="J18" s="5">
        <f>Assumptions!$B$5*(J6-I6)</f>
        <v/>
      </c>
      <c r="K18" s="5">
        <f>Assumptions!$B$5*(K6-J6)</f>
        <v/>
      </c>
      <c r="L18" s="5">
        <f>Assumptions!$B$5*(L6-K6)</f>
        <v/>
      </c>
    </row>
    <row r="19">
      <c r="A19" t="inlineStr">
        <is>
          <t>Unlevered owner FCF</t>
        </is>
      </c>
      <c r="C19" s="1">
        <f>C15+C16+C17+C18</f>
        <v/>
      </c>
      <c r="D19" s="1">
        <f>D15+D16+D17+D18</f>
        <v/>
      </c>
      <c r="E19" s="1">
        <f>E15+E16+E17+E18</f>
        <v/>
      </c>
      <c r="F19" s="1">
        <f>F15+F16+F17+F18</f>
        <v/>
      </c>
      <c r="G19" s="1">
        <f>G15+G16+G17+G18</f>
        <v/>
      </c>
      <c r="H19" s="1">
        <f>H15+H16+H17+H18</f>
        <v/>
      </c>
      <c r="I19" s="1">
        <f>I15+I16+I17+I18</f>
        <v/>
      </c>
      <c r="J19" s="1">
        <f>J15+J16+J17+J18</f>
        <v/>
      </c>
      <c r="K19" s="1">
        <f>K15+K16+K17+K18</f>
        <v/>
      </c>
      <c r="L19" s="1">
        <f>L15+L16+L17+L18</f>
        <v/>
      </c>
    </row>
    <row r="20">
      <c r="A20" t="inlineStr">
        <is>
          <t>Discount factor</t>
        </is>
      </c>
      <c r="C20" s="5">
        <f>1/(1+Assumptions!$B$3)^C4</f>
        <v/>
      </c>
      <c r="D20" s="5">
        <f>1/(1+Assumptions!$B$3)^D4</f>
        <v/>
      </c>
      <c r="E20" s="5">
        <f>1/(1+Assumptions!$B$3)^E4</f>
        <v/>
      </c>
      <c r="F20" s="5">
        <f>1/(1+Assumptions!$B$3)^F4</f>
        <v/>
      </c>
      <c r="G20" s="5">
        <f>1/(1+Assumptions!$B$3)^G4</f>
        <v/>
      </c>
      <c r="H20" s="5">
        <f>1/(1+Assumptions!$B$3)^H4</f>
        <v/>
      </c>
      <c r="I20" s="5">
        <f>1/(1+Assumptions!$B$3)^I4</f>
        <v/>
      </c>
      <c r="J20" s="5">
        <f>1/(1+Assumptions!$B$3)^J4</f>
        <v/>
      </c>
      <c r="K20" s="5">
        <f>1/(1+Assumptions!$B$3)^K4</f>
        <v/>
      </c>
      <c r="L20" s="5">
        <f>1/(1+Assumptions!$B$3)^L4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Memo: FCF before SBC (company-style)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t="inlineStr">
        <is>
          <t>Memo: implied owner-FCF margin</t>
        </is>
      </c>
      <c r="C24" s="6">
        <f>C19/C6</f>
        <v/>
      </c>
      <c r="D24" s="6">
        <f>D19/D6</f>
        <v/>
      </c>
      <c r="E24" s="6">
        <f>E19/E6</f>
        <v/>
      </c>
      <c r="F24" s="6">
        <f>F19/F6</f>
        <v/>
      </c>
      <c r="G24" s="6">
        <f>G19/G6</f>
        <v/>
      </c>
      <c r="H24" s="6">
        <f>H19/H6</f>
        <v/>
      </c>
      <c r="I24" s="6">
        <f>I19/I6</f>
        <v/>
      </c>
      <c r="J24" s="6">
        <f>J19/J6</f>
        <v/>
      </c>
      <c r="K24" s="6">
        <f>K19/K6</f>
        <v/>
      </c>
      <c r="L24" s="6">
        <f>L19/L6</f>
        <v/>
      </c>
    </row>
    <row r="26">
      <c r="A26" s="7" t="inlineStr">
        <is>
          <t>Sum of PV (explicit years)</t>
        </is>
      </c>
      <c r="B26">
        <f>SUM(C21:L21)</f>
        <v/>
      </c>
    </row>
    <row r="27">
      <c r="A27" s="7" t="inlineStr">
        <is>
          <t>Terminal growth</t>
        </is>
      </c>
      <c r="B27" s="5">
        <f>Assumptions!$B$15</f>
        <v/>
      </c>
    </row>
    <row r="28">
      <c r="A28" s="7" t="inlineStr">
        <is>
          <t>Terminal FCF</t>
        </is>
      </c>
      <c r="B28">
        <f>L19*(1+B27)</f>
        <v/>
      </c>
    </row>
    <row r="29">
      <c r="A29" s="7" t="inlineStr">
        <is>
          <t>Gordon TV</t>
        </is>
      </c>
      <c r="B29">
        <f>B28/(Assumptions!$B$3-B27)</f>
        <v/>
      </c>
    </row>
    <row r="30">
      <c r="A30" s="7" t="inlineStr">
        <is>
          <t>Cap TV</t>
        </is>
      </c>
      <c r="B30" s="5">
        <f>Assumptions!$B$16*L19</f>
        <v/>
      </c>
    </row>
    <row r="31">
      <c r="A31" s="7" t="inlineStr">
        <is>
          <t>TV used</t>
        </is>
      </c>
      <c r="B31">
        <f>MAX(0,MIN(B29,B30))</f>
        <v/>
      </c>
    </row>
    <row r="32">
      <c r="A32" s="7" t="inlineStr">
        <is>
          <t>Implied exit multiple</t>
        </is>
      </c>
      <c r="B32">
        <f>B31/L19</f>
        <v/>
      </c>
    </row>
    <row r="33">
      <c r="A33" s="7" t="inlineStr">
        <is>
          <t>PV of TV</t>
        </is>
      </c>
      <c r="B33">
        <f>B31*L20</f>
        <v/>
      </c>
    </row>
    <row r="34">
      <c r="A34" s="7" t="inlineStr">
        <is>
          <t>Enterprise value</t>
        </is>
      </c>
      <c r="B34">
        <f>B26+B33</f>
        <v/>
      </c>
    </row>
    <row r="35">
      <c r="A35" s="7" t="inlineStr">
        <is>
          <t>less net debt</t>
        </is>
      </c>
      <c r="B35" s="5">
        <f>-Assumptions!$B$6</f>
        <v/>
      </c>
    </row>
    <row r="36">
      <c r="A36" s="7" t="inlineStr">
        <is>
          <t>Equity value</t>
        </is>
      </c>
      <c r="B36">
        <f>B34+B35</f>
        <v/>
      </c>
    </row>
    <row r="37">
      <c r="A37" s="7" t="inlineStr">
        <is>
          <t>Diluted shares (m)</t>
        </is>
      </c>
      <c r="B37" s="5">
        <f>Assumptions!$B$7</f>
        <v/>
      </c>
    </row>
    <row r="38">
      <c r="A38" s="1" t="inlineStr">
        <is>
          <t>VALUE PER SHARE</t>
        </is>
      </c>
      <c r="B38" s="8">
        <f>B36/B37</f>
        <v/>
      </c>
    </row>
    <row r="39">
      <c r="A39" s="7" t="inlineStr">
        <is>
          <t>Upside vs price</t>
        </is>
      </c>
      <c r="B39" s="6">
        <f>B38/Assumptions!$B$8-1</f>
        <v/>
      </c>
    </row>
    <row r="41">
      <c r="A41" s="7" t="inlineStr">
        <is>
          <t>Street memo: PV explicit SBC</t>
        </is>
      </c>
      <c r="B41">
        <f>SUMPRODUCT(-C10:L10/(1+Assumptions!$B$3)^C4:L4)</f>
        <v/>
      </c>
    </row>
    <row r="42">
      <c r="A42" s="7" t="inlineStr">
        <is>
          <t>Street memo: PV terminal SBC</t>
        </is>
      </c>
      <c r="B42">
        <f>(-L10*(1+B27)/(Assumptions!$B$3-B27))*L20</f>
        <v/>
      </c>
    </row>
    <row r="43">
      <c r="A43" s="7" t="inlineStr">
        <is>
          <t>Street value per share</t>
        </is>
      </c>
      <c r="B43">
        <f>(B36+B41+B42)/B37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L4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3">
      <c r="B3" s="1" t="inlineStr">
        <is>
          <t>2025A</t>
        </is>
      </c>
      <c r="C3" s="1" t="inlineStr">
        <is>
          <t>2026E</t>
        </is>
      </c>
      <c r="D3" s="1" t="inlineStr">
        <is>
          <t>2027E</t>
        </is>
      </c>
      <c r="E3" s="1" t="inlineStr">
        <is>
          <t>2028E</t>
        </is>
      </c>
      <c r="F3" s="1" t="inlineStr">
        <is>
          <t>2029E</t>
        </is>
      </c>
      <c r="G3" s="1" t="inlineStr">
        <is>
          <t>2030E</t>
        </is>
      </c>
      <c r="H3" s="1" t="inlineStr">
        <is>
          <t>2031E</t>
        </is>
      </c>
      <c r="I3" s="1" t="inlineStr">
        <is>
          <t>2032E</t>
        </is>
      </c>
      <c r="J3" s="1" t="inlineStr">
        <is>
          <t>2033E</t>
        </is>
      </c>
      <c r="K3" s="1" t="inlineStr">
        <is>
          <t>2034E</t>
        </is>
      </c>
      <c r="L3" s="1" t="inlineStr">
        <is>
          <t>2035E</t>
        </is>
      </c>
    </row>
    <row r="4"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3" t="n">
        <v>0.09</v>
      </c>
      <c r="D5" s="3" t="n">
        <v>0.05</v>
      </c>
      <c r="E5" s="3" t="n">
        <v>0.045</v>
      </c>
      <c r="F5" s="3" t="n">
        <v>0.04</v>
      </c>
      <c r="G5" s="3" t="n">
        <v>0.035</v>
      </c>
      <c r="H5" s="3" t="n">
        <v>0.01</v>
      </c>
      <c r="I5" s="3" t="n">
        <v>-0.02</v>
      </c>
      <c r="J5" s="3" t="n">
        <v>-0.03</v>
      </c>
      <c r="K5" s="3" t="n">
        <v>-0.01</v>
      </c>
      <c r="L5" s="3" t="n">
        <v>0.01</v>
      </c>
    </row>
    <row r="6">
      <c r="A6" t="inlineStr">
        <is>
          <t>Revenue</t>
        </is>
      </c>
      <c r="B6" s="5">
        <f>Assumptions!$B$10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(cash) EBITDA margin</t>
        </is>
      </c>
      <c r="C7" s="3" t="n">
        <v>0.305</v>
      </c>
      <c r="D7" s="3" t="n">
        <v>0.31</v>
      </c>
      <c r="E7" s="3" t="n">
        <v>0.315</v>
      </c>
      <c r="F7" s="3" t="n">
        <v>0.3175</v>
      </c>
      <c r="G7" s="3" t="n">
        <v>0.32</v>
      </c>
      <c r="H7" s="3" t="n">
        <v>0.315</v>
      </c>
      <c r="I7" s="3" t="n">
        <v>0.305</v>
      </c>
      <c r="J7" s="3" t="n">
        <v>0.3</v>
      </c>
      <c r="K7" s="3" t="n">
        <v>0.3</v>
      </c>
      <c r="L7" s="3" t="n">
        <v>0.3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3" t="n">
        <v>0.007</v>
      </c>
      <c r="D9" s="3" t="n">
        <v>0.007</v>
      </c>
      <c r="E9" s="3" t="n">
        <v>0.007</v>
      </c>
      <c r="F9" s="3" t="n">
        <v>0.007</v>
      </c>
      <c r="G9" s="3" t="n">
        <v>0.007</v>
      </c>
      <c r="H9" s="3" t="n">
        <v>0.007</v>
      </c>
      <c r="I9" s="3" t="n">
        <v>0.007</v>
      </c>
      <c r="J9" s="3" t="n">
        <v>0.007</v>
      </c>
      <c r="K9" s="3" t="n">
        <v>0.007</v>
      </c>
      <c r="L9" s="3" t="n">
        <v>0.007</v>
      </c>
    </row>
    <row r="10">
      <c r="A10" t="inlineStr">
        <is>
          <t>SBC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</t>
        </is>
      </c>
      <c r="C12" s="5">
        <f>-C6*Assumptions!$B$4</f>
        <v/>
      </c>
      <c r="D12" s="5">
        <f>-D6*Assumptions!$B$4</f>
        <v/>
      </c>
      <c r="E12" s="5">
        <f>-E6*Assumptions!$B$4</f>
        <v/>
      </c>
      <c r="F12" s="5">
        <f>-F6*Assumptions!$B$4</f>
        <v/>
      </c>
      <c r="G12" s="5">
        <f>-G6*Assumptions!$B$4</f>
        <v/>
      </c>
      <c r="H12" s="5">
        <f>-H6*Assumptions!$B$4</f>
        <v/>
      </c>
      <c r="I12" s="5">
        <f>-I6*Assumptions!$B$4</f>
        <v/>
      </c>
      <c r="J12" s="5">
        <f>-J6*Assumptions!$B$4</f>
        <v/>
      </c>
      <c r="K12" s="5">
        <f>-K6*Assumptions!$B$4</f>
        <v/>
      </c>
      <c r="L12" s="5">
        <f>-L6*Assumptions!$B$4</f>
        <v/>
      </c>
    </row>
    <row r="13">
      <c r="A13" t="inlineStr">
        <is>
          <t>EBIT (SBC expensed)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</t>
        </is>
      </c>
      <c r="C14" s="3" t="n">
        <v>0.21</v>
      </c>
      <c r="D14" s="3" t="n">
        <v>0.21</v>
      </c>
      <c r="E14" s="3" t="n">
        <v>0.21</v>
      </c>
      <c r="F14" s="3" t="n">
        <v>0.21</v>
      </c>
      <c r="G14" s="3" t="n">
        <v>0.21</v>
      </c>
      <c r="H14" s="3" t="n">
        <v>0.21</v>
      </c>
      <c r="I14" s="3" t="n">
        <v>0.21</v>
      </c>
      <c r="J14" s="3" t="n">
        <v>0.21</v>
      </c>
      <c r="K14" s="3" t="n">
        <v>0.21</v>
      </c>
      <c r="L14" s="3" t="n">
        <v>0.21</v>
      </c>
    </row>
    <row r="15">
      <c r="A15" t="inlineStr">
        <is>
          <t>NOPAT</t>
        </is>
      </c>
      <c r="C15">
        <f>C13*(1-C14)</f>
        <v/>
      </c>
      <c r="D15">
        <f>D13*(1-D14)</f>
        <v/>
      </c>
      <c r="E15">
        <f>E13*(1-E14)</f>
        <v/>
      </c>
      <c r="F15">
        <f>F13*(1-F14)</f>
        <v/>
      </c>
      <c r="G15">
        <f>G13*(1-G14)</f>
        <v/>
      </c>
      <c r="H15">
        <f>H13*(1-H14)</f>
        <v/>
      </c>
      <c r="I15">
        <f>I13*(1-I14)</f>
        <v/>
      </c>
      <c r="J15">
        <f>J13*(1-J14)</f>
        <v/>
      </c>
      <c r="K15">
        <f>K13*(1-K14)</f>
        <v/>
      </c>
      <c r="L15">
        <f>L13*(1-L14)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less capex</t>
        </is>
      </c>
      <c r="C17" s="5">
        <f>-C6*Assumptions!C$12</f>
        <v/>
      </c>
      <c r="D17" s="5">
        <f>-D6*Assumptions!D$12</f>
        <v/>
      </c>
      <c r="E17" s="5">
        <f>-E6*Assumptions!E$12</f>
        <v/>
      </c>
      <c r="F17" s="5">
        <f>-F6*Assumptions!F$12</f>
        <v/>
      </c>
      <c r="G17" s="5">
        <f>-G6*Assumptions!G$12</f>
        <v/>
      </c>
      <c r="H17" s="5">
        <f>-H6*Assumptions!H$12</f>
        <v/>
      </c>
      <c r="I17" s="5">
        <f>-I6*Assumptions!I$12</f>
        <v/>
      </c>
      <c r="J17" s="5">
        <f>-J6*Assumptions!J$12</f>
        <v/>
      </c>
      <c r="K17" s="5">
        <f>-K6*Assumptions!K$12</f>
        <v/>
      </c>
      <c r="L17" s="5">
        <f>-L6*Assumptions!L$12</f>
        <v/>
      </c>
    </row>
    <row r="18">
      <c r="A18" t="inlineStr">
        <is>
          <t>add WC (on rev change)</t>
        </is>
      </c>
      <c r="C18" s="5">
        <f>Assumptions!$B$5*(C6-B6)</f>
        <v/>
      </c>
      <c r="D18" s="5">
        <f>Assumptions!$B$5*(D6-C6)</f>
        <v/>
      </c>
      <c r="E18" s="5">
        <f>Assumptions!$B$5*(E6-D6)</f>
        <v/>
      </c>
      <c r="F18" s="5">
        <f>Assumptions!$B$5*(F6-E6)</f>
        <v/>
      </c>
      <c r="G18" s="5">
        <f>Assumptions!$B$5*(G6-F6)</f>
        <v/>
      </c>
      <c r="H18" s="5">
        <f>Assumptions!$B$5*(H6-G6)</f>
        <v/>
      </c>
      <c r="I18" s="5">
        <f>Assumptions!$B$5*(I6-H6)</f>
        <v/>
      </c>
      <c r="J18" s="5">
        <f>Assumptions!$B$5*(J6-I6)</f>
        <v/>
      </c>
      <c r="K18" s="5">
        <f>Assumptions!$B$5*(K6-J6)</f>
        <v/>
      </c>
      <c r="L18" s="5">
        <f>Assumptions!$B$5*(L6-K6)</f>
        <v/>
      </c>
    </row>
    <row r="19">
      <c r="A19" t="inlineStr">
        <is>
          <t>Unlevered owner FCF</t>
        </is>
      </c>
      <c r="C19" s="1">
        <f>C15+C16+C17+C18</f>
        <v/>
      </c>
      <c r="D19" s="1">
        <f>D15+D16+D17+D18</f>
        <v/>
      </c>
      <c r="E19" s="1">
        <f>E15+E16+E17+E18</f>
        <v/>
      </c>
      <c r="F19" s="1">
        <f>F15+F16+F17+F18</f>
        <v/>
      </c>
      <c r="G19" s="1">
        <f>G15+G16+G17+G18</f>
        <v/>
      </c>
      <c r="H19" s="1">
        <f>H15+H16+H17+H18</f>
        <v/>
      </c>
      <c r="I19" s="1">
        <f>I15+I16+I17+I18</f>
        <v/>
      </c>
      <c r="J19" s="1">
        <f>J15+J16+J17+J18</f>
        <v/>
      </c>
      <c r="K19" s="1">
        <f>K15+K16+K17+K18</f>
        <v/>
      </c>
      <c r="L19" s="1">
        <f>L15+L16+L17+L18</f>
        <v/>
      </c>
    </row>
    <row r="20">
      <c r="A20" t="inlineStr">
        <is>
          <t>Discount factor</t>
        </is>
      </c>
      <c r="C20" s="5">
        <f>1/(1+Assumptions!$B$3)^C4</f>
        <v/>
      </c>
      <c r="D20" s="5">
        <f>1/(1+Assumptions!$B$3)^D4</f>
        <v/>
      </c>
      <c r="E20" s="5">
        <f>1/(1+Assumptions!$B$3)^E4</f>
        <v/>
      </c>
      <c r="F20" s="5">
        <f>1/(1+Assumptions!$B$3)^F4</f>
        <v/>
      </c>
      <c r="G20" s="5">
        <f>1/(1+Assumptions!$B$3)^G4</f>
        <v/>
      </c>
      <c r="H20" s="5">
        <f>1/(1+Assumptions!$B$3)^H4</f>
        <v/>
      </c>
      <c r="I20" s="5">
        <f>1/(1+Assumptions!$B$3)^I4</f>
        <v/>
      </c>
      <c r="J20" s="5">
        <f>1/(1+Assumptions!$B$3)^J4</f>
        <v/>
      </c>
      <c r="K20" s="5">
        <f>1/(1+Assumptions!$B$3)^K4</f>
        <v/>
      </c>
      <c r="L20" s="5">
        <f>1/(1+Assumptions!$B$3)^L4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Memo: FCF before SBC (company-style)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t="inlineStr">
        <is>
          <t>Memo: implied owner-FCF margin</t>
        </is>
      </c>
      <c r="C24" s="6">
        <f>C19/C6</f>
        <v/>
      </c>
      <c r="D24" s="6">
        <f>D19/D6</f>
        <v/>
      </c>
      <c r="E24" s="6">
        <f>E19/E6</f>
        <v/>
      </c>
      <c r="F24" s="6">
        <f>F19/F6</f>
        <v/>
      </c>
      <c r="G24" s="6">
        <f>G19/G6</f>
        <v/>
      </c>
      <c r="H24" s="6">
        <f>H19/H6</f>
        <v/>
      </c>
      <c r="I24" s="6">
        <f>I19/I6</f>
        <v/>
      </c>
      <c r="J24" s="6">
        <f>J19/J6</f>
        <v/>
      </c>
      <c r="K24" s="6">
        <f>K19/K6</f>
        <v/>
      </c>
      <c r="L24" s="6">
        <f>L19/L6</f>
        <v/>
      </c>
    </row>
    <row r="26">
      <c r="A26" s="7" t="inlineStr">
        <is>
          <t>Sum of PV (explicit years)</t>
        </is>
      </c>
      <c r="B26">
        <f>SUM(C21:L21)</f>
        <v/>
      </c>
    </row>
    <row r="27">
      <c r="A27" s="7" t="inlineStr">
        <is>
          <t>Terminal growth</t>
        </is>
      </c>
      <c r="B27" s="5">
        <f>Assumptions!$C$15</f>
        <v/>
      </c>
    </row>
    <row r="28">
      <c r="A28" s="7" t="inlineStr">
        <is>
          <t>Terminal FCF</t>
        </is>
      </c>
      <c r="B28">
        <f>L19*(1+B27)</f>
        <v/>
      </c>
    </row>
    <row r="29">
      <c r="A29" s="7" t="inlineStr">
        <is>
          <t>Gordon TV</t>
        </is>
      </c>
      <c r="B29">
        <f>B28/(Assumptions!$B$3-B27)</f>
        <v/>
      </c>
    </row>
    <row r="30">
      <c r="A30" s="7" t="inlineStr">
        <is>
          <t>Cap TV</t>
        </is>
      </c>
      <c r="B30" s="5">
        <f>Assumptions!$C$16*L19</f>
        <v/>
      </c>
    </row>
    <row r="31">
      <c r="A31" s="7" t="inlineStr">
        <is>
          <t>TV used</t>
        </is>
      </c>
      <c r="B31">
        <f>MAX(0,MIN(B29,B30))</f>
        <v/>
      </c>
    </row>
    <row r="32">
      <c r="A32" s="7" t="inlineStr">
        <is>
          <t>Implied exit multiple</t>
        </is>
      </c>
      <c r="B32">
        <f>B31/L19</f>
        <v/>
      </c>
    </row>
    <row r="33">
      <c r="A33" s="7" t="inlineStr">
        <is>
          <t>PV of TV</t>
        </is>
      </c>
      <c r="B33">
        <f>B31*L20</f>
        <v/>
      </c>
    </row>
    <row r="34">
      <c r="A34" s="7" t="inlineStr">
        <is>
          <t>Enterprise value</t>
        </is>
      </c>
      <c r="B34">
        <f>B26+B33</f>
        <v/>
      </c>
    </row>
    <row r="35">
      <c r="A35" s="7" t="inlineStr">
        <is>
          <t>less net debt</t>
        </is>
      </c>
      <c r="B35" s="5">
        <f>-Assumptions!$B$6</f>
        <v/>
      </c>
    </row>
    <row r="36">
      <c r="A36" s="7" t="inlineStr">
        <is>
          <t>Equity value</t>
        </is>
      </c>
      <c r="B36">
        <f>B34+B35</f>
        <v/>
      </c>
    </row>
    <row r="37">
      <c r="A37" s="7" t="inlineStr">
        <is>
          <t>Diluted shares (m)</t>
        </is>
      </c>
      <c r="B37" s="5">
        <f>Assumptions!$B$7</f>
        <v/>
      </c>
    </row>
    <row r="38">
      <c r="A38" s="1" t="inlineStr">
        <is>
          <t>VALUE PER SHARE</t>
        </is>
      </c>
      <c r="B38" s="8">
        <f>B36/B37</f>
        <v/>
      </c>
    </row>
    <row r="39">
      <c r="A39" s="7" t="inlineStr">
        <is>
          <t>Upside vs price</t>
        </is>
      </c>
      <c r="B39" s="6">
        <f>B38/Assumptions!$B$8-1</f>
        <v/>
      </c>
    </row>
    <row r="41">
      <c r="A41" s="7" t="inlineStr">
        <is>
          <t>Street memo: PV explicit SBC</t>
        </is>
      </c>
      <c r="B41">
        <f>SUMPRODUCT(-C10:L10/(1+Assumptions!$B$3)^C4:L4)</f>
        <v/>
      </c>
    </row>
    <row r="42">
      <c r="A42" s="7" t="inlineStr">
        <is>
          <t>Street memo: PV terminal SBC</t>
        </is>
      </c>
      <c r="B42">
        <f>(-L10*(1+B27)/(Assumptions!$B$3-B27))*L20</f>
        <v/>
      </c>
    </row>
    <row r="43">
      <c r="A43" s="7" t="inlineStr">
        <is>
          <t>Street value per share</t>
        </is>
      </c>
      <c r="B43">
        <f>(B36+B41+B42)/B37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L4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3">
      <c r="B3" s="1" t="inlineStr">
        <is>
          <t>2025A</t>
        </is>
      </c>
      <c r="C3" s="1" t="inlineStr">
        <is>
          <t>2026E</t>
        </is>
      </c>
      <c r="D3" s="1" t="inlineStr">
        <is>
          <t>2027E</t>
        </is>
      </c>
      <c r="E3" s="1" t="inlineStr">
        <is>
          <t>2028E</t>
        </is>
      </c>
      <c r="F3" s="1" t="inlineStr">
        <is>
          <t>2029E</t>
        </is>
      </c>
      <c r="G3" s="1" t="inlineStr">
        <is>
          <t>2030E</t>
        </is>
      </c>
      <c r="H3" s="1" t="inlineStr">
        <is>
          <t>2031E</t>
        </is>
      </c>
      <c r="I3" s="1" t="inlineStr">
        <is>
          <t>2032E</t>
        </is>
      </c>
      <c r="J3" s="1" t="inlineStr">
        <is>
          <t>2033E</t>
        </is>
      </c>
      <c r="K3" s="1" t="inlineStr">
        <is>
          <t>2034E</t>
        </is>
      </c>
      <c r="L3" s="1" t="inlineStr">
        <is>
          <t>2035E</t>
        </is>
      </c>
    </row>
    <row r="4"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3" t="n">
        <v>0.1</v>
      </c>
      <c r="D5" s="3" t="n">
        <v>0.07000000000000001</v>
      </c>
      <c r="E5" s="3" t="n">
        <v>0.06</v>
      </c>
      <c r="F5" s="3" t="n">
        <v>0.055</v>
      </c>
      <c r="G5" s="3" t="n">
        <v>0.05</v>
      </c>
      <c r="H5" s="3" t="n">
        <v>0.03</v>
      </c>
      <c r="I5" s="3" t="n">
        <v>0</v>
      </c>
      <c r="J5" s="3" t="n">
        <v>-0.01</v>
      </c>
      <c r="K5" s="3" t="n">
        <v>0.01</v>
      </c>
      <c r="L5" s="3" t="n">
        <v>0.02</v>
      </c>
    </row>
    <row r="6">
      <c r="A6" t="inlineStr">
        <is>
          <t>Revenue</t>
        </is>
      </c>
      <c r="B6" s="5">
        <f>Assumptions!$B$10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(cash) EBITDA margin</t>
        </is>
      </c>
      <c r="C7" s="3" t="n">
        <v>0.31</v>
      </c>
      <c r="D7" s="3" t="n">
        <v>0.3175</v>
      </c>
      <c r="E7" s="3" t="n">
        <v>0.3225</v>
      </c>
      <c r="F7" s="3" t="n">
        <v>0.3275</v>
      </c>
      <c r="G7" s="3" t="n">
        <v>0.33</v>
      </c>
      <c r="H7" s="3" t="n">
        <v>0.33</v>
      </c>
      <c r="I7" s="3" t="n">
        <v>0.32</v>
      </c>
      <c r="J7" s="3" t="n">
        <v>0.315</v>
      </c>
      <c r="K7" s="3" t="n">
        <v>0.315</v>
      </c>
      <c r="L7" s="3" t="n">
        <v>0.315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3" t="n">
        <v>0.007</v>
      </c>
      <c r="D9" s="3" t="n">
        <v>0.007</v>
      </c>
      <c r="E9" s="3" t="n">
        <v>0.007</v>
      </c>
      <c r="F9" s="3" t="n">
        <v>0.007</v>
      </c>
      <c r="G9" s="3" t="n">
        <v>0.007</v>
      </c>
      <c r="H9" s="3" t="n">
        <v>0.007</v>
      </c>
      <c r="I9" s="3" t="n">
        <v>0.007</v>
      </c>
      <c r="J9" s="3" t="n">
        <v>0.007</v>
      </c>
      <c r="K9" s="3" t="n">
        <v>0.007</v>
      </c>
      <c r="L9" s="3" t="n">
        <v>0.007</v>
      </c>
    </row>
    <row r="10">
      <c r="A10" t="inlineStr">
        <is>
          <t>SBC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</t>
        </is>
      </c>
      <c r="C12" s="5">
        <f>-C6*Assumptions!$B$4</f>
        <v/>
      </c>
      <c r="D12" s="5">
        <f>-D6*Assumptions!$B$4</f>
        <v/>
      </c>
      <c r="E12" s="5">
        <f>-E6*Assumptions!$B$4</f>
        <v/>
      </c>
      <c r="F12" s="5">
        <f>-F6*Assumptions!$B$4</f>
        <v/>
      </c>
      <c r="G12" s="5">
        <f>-G6*Assumptions!$B$4</f>
        <v/>
      </c>
      <c r="H12" s="5">
        <f>-H6*Assumptions!$B$4</f>
        <v/>
      </c>
      <c r="I12" s="5">
        <f>-I6*Assumptions!$B$4</f>
        <v/>
      </c>
      <c r="J12" s="5">
        <f>-J6*Assumptions!$B$4</f>
        <v/>
      </c>
      <c r="K12" s="5">
        <f>-K6*Assumptions!$B$4</f>
        <v/>
      </c>
      <c r="L12" s="5">
        <f>-L6*Assumptions!$B$4</f>
        <v/>
      </c>
    </row>
    <row r="13">
      <c r="A13" t="inlineStr">
        <is>
          <t>EBIT (SBC expensed)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</t>
        </is>
      </c>
      <c r="C14" s="3" t="n">
        <v>0.21</v>
      </c>
      <c r="D14" s="3" t="n">
        <v>0.21</v>
      </c>
      <c r="E14" s="3" t="n">
        <v>0.21</v>
      </c>
      <c r="F14" s="3" t="n">
        <v>0.21</v>
      </c>
      <c r="G14" s="3" t="n">
        <v>0.21</v>
      </c>
      <c r="H14" s="3" t="n">
        <v>0.21</v>
      </c>
      <c r="I14" s="3" t="n">
        <v>0.21</v>
      </c>
      <c r="J14" s="3" t="n">
        <v>0.21</v>
      </c>
      <c r="K14" s="3" t="n">
        <v>0.21</v>
      </c>
      <c r="L14" s="3" t="n">
        <v>0.21</v>
      </c>
    </row>
    <row r="15">
      <c r="A15" t="inlineStr">
        <is>
          <t>NOPAT</t>
        </is>
      </c>
      <c r="C15">
        <f>C13*(1-C14)</f>
        <v/>
      </c>
      <c r="D15">
        <f>D13*(1-D14)</f>
        <v/>
      </c>
      <c r="E15">
        <f>E13*(1-E14)</f>
        <v/>
      </c>
      <c r="F15">
        <f>F13*(1-F14)</f>
        <v/>
      </c>
      <c r="G15">
        <f>G13*(1-G14)</f>
        <v/>
      </c>
      <c r="H15">
        <f>H13*(1-H14)</f>
        <v/>
      </c>
      <c r="I15">
        <f>I13*(1-I14)</f>
        <v/>
      </c>
      <c r="J15">
        <f>J13*(1-J14)</f>
        <v/>
      </c>
      <c r="K15">
        <f>K13*(1-K14)</f>
        <v/>
      </c>
      <c r="L15">
        <f>L13*(1-L14)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less capex</t>
        </is>
      </c>
      <c r="C17" s="5">
        <f>-C6*Assumptions!C$12</f>
        <v/>
      </c>
      <c r="D17" s="5">
        <f>-D6*Assumptions!D$12</f>
        <v/>
      </c>
      <c r="E17" s="5">
        <f>-E6*Assumptions!E$12</f>
        <v/>
      </c>
      <c r="F17" s="5">
        <f>-F6*Assumptions!F$12</f>
        <v/>
      </c>
      <c r="G17" s="5">
        <f>-G6*Assumptions!G$12</f>
        <v/>
      </c>
      <c r="H17" s="5">
        <f>-H6*Assumptions!H$12</f>
        <v/>
      </c>
      <c r="I17" s="5">
        <f>-I6*Assumptions!I$12</f>
        <v/>
      </c>
      <c r="J17" s="5">
        <f>-J6*Assumptions!J$12</f>
        <v/>
      </c>
      <c r="K17" s="5">
        <f>-K6*Assumptions!K$12</f>
        <v/>
      </c>
      <c r="L17" s="5">
        <f>-L6*Assumptions!L$12</f>
        <v/>
      </c>
    </row>
    <row r="18">
      <c r="A18" t="inlineStr">
        <is>
          <t>add WC (on rev change)</t>
        </is>
      </c>
      <c r="C18" s="5">
        <f>Assumptions!$B$5*(C6-B6)</f>
        <v/>
      </c>
      <c r="D18" s="5">
        <f>Assumptions!$B$5*(D6-C6)</f>
        <v/>
      </c>
      <c r="E18" s="5">
        <f>Assumptions!$B$5*(E6-D6)</f>
        <v/>
      </c>
      <c r="F18" s="5">
        <f>Assumptions!$B$5*(F6-E6)</f>
        <v/>
      </c>
      <c r="G18" s="5">
        <f>Assumptions!$B$5*(G6-F6)</f>
        <v/>
      </c>
      <c r="H18" s="5">
        <f>Assumptions!$B$5*(H6-G6)</f>
        <v/>
      </c>
      <c r="I18" s="5">
        <f>Assumptions!$B$5*(I6-H6)</f>
        <v/>
      </c>
      <c r="J18" s="5">
        <f>Assumptions!$B$5*(J6-I6)</f>
        <v/>
      </c>
      <c r="K18" s="5">
        <f>Assumptions!$B$5*(K6-J6)</f>
        <v/>
      </c>
      <c r="L18" s="5">
        <f>Assumptions!$B$5*(L6-K6)</f>
        <v/>
      </c>
    </row>
    <row r="19">
      <c r="A19" t="inlineStr">
        <is>
          <t>Unlevered owner FCF</t>
        </is>
      </c>
      <c r="C19" s="1">
        <f>C15+C16+C17+C18</f>
        <v/>
      </c>
      <c r="D19" s="1">
        <f>D15+D16+D17+D18</f>
        <v/>
      </c>
      <c r="E19" s="1">
        <f>E15+E16+E17+E18</f>
        <v/>
      </c>
      <c r="F19" s="1">
        <f>F15+F16+F17+F18</f>
        <v/>
      </c>
      <c r="G19" s="1">
        <f>G15+G16+G17+G18</f>
        <v/>
      </c>
      <c r="H19" s="1">
        <f>H15+H16+H17+H18</f>
        <v/>
      </c>
      <c r="I19" s="1">
        <f>I15+I16+I17+I18</f>
        <v/>
      </c>
      <c r="J19" s="1">
        <f>J15+J16+J17+J18</f>
        <v/>
      </c>
      <c r="K19" s="1">
        <f>K15+K16+K17+K18</f>
        <v/>
      </c>
      <c r="L19" s="1">
        <f>L15+L16+L17+L18</f>
        <v/>
      </c>
    </row>
    <row r="20">
      <c r="A20" t="inlineStr">
        <is>
          <t>Discount factor</t>
        </is>
      </c>
      <c r="C20" s="5">
        <f>1/(1+Assumptions!$B$3)^C4</f>
        <v/>
      </c>
      <c r="D20" s="5">
        <f>1/(1+Assumptions!$B$3)^D4</f>
        <v/>
      </c>
      <c r="E20" s="5">
        <f>1/(1+Assumptions!$B$3)^E4</f>
        <v/>
      </c>
      <c r="F20" s="5">
        <f>1/(1+Assumptions!$B$3)^F4</f>
        <v/>
      </c>
      <c r="G20" s="5">
        <f>1/(1+Assumptions!$B$3)^G4</f>
        <v/>
      </c>
      <c r="H20" s="5">
        <f>1/(1+Assumptions!$B$3)^H4</f>
        <v/>
      </c>
      <c r="I20" s="5">
        <f>1/(1+Assumptions!$B$3)^I4</f>
        <v/>
      </c>
      <c r="J20" s="5">
        <f>1/(1+Assumptions!$B$3)^J4</f>
        <v/>
      </c>
      <c r="K20" s="5">
        <f>1/(1+Assumptions!$B$3)^K4</f>
        <v/>
      </c>
      <c r="L20" s="5">
        <f>1/(1+Assumptions!$B$3)^L4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Memo: FCF before SBC (company-style)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t="inlineStr">
        <is>
          <t>Memo: implied owner-FCF margin</t>
        </is>
      </c>
      <c r="C24" s="6">
        <f>C19/C6</f>
        <v/>
      </c>
      <c r="D24" s="6">
        <f>D19/D6</f>
        <v/>
      </c>
      <c r="E24" s="6">
        <f>E19/E6</f>
        <v/>
      </c>
      <c r="F24" s="6">
        <f>F19/F6</f>
        <v/>
      </c>
      <c r="G24" s="6">
        <f>G19/G6</f>
        <v/>
      </c>
      <c r="H24" s="6">
        <f>H19/H6</f>
        <v/>
      </c>
      <c r="I24" s="6">
        <f>I19/I6</f>
        <v/>
      </c>
      <c r="J24" s="6">
        <f>J19/J6</f>
        <v/>
      </c>
      <c r="K24" s="6">
        <f>K19/K6</f>
        <v/>
      </c>
      <c r="L24" s="6">
        <f>L19/L6</f>
        <v/>
      </c>
    </row>
    <row r="26">
      <c r="A26" s="7" t="inlineStr">
        <is>
          <t>Sum of PV (explicit years)</t>
        </is>
      </c>
      <c r="B26">
        <f>SUM(C21:L21)</f>
        <v/>
      </c>
    </row>
    <row r="27">
      <c r="A27" s="7" t="inlineStr">
        <is>
          <t>Terminal growth</t>
        </is>
      </c>
      <c r="B27" s="5">
        <f>Assumptions!$D$15</f>
        <v/>
      </c>
    </row>
    <row r="28">
      <c r="A28" s="7" t="inlineStr">
        <is>
          <t>Terminal FCF</t>
        </is>
      </c>
      <c r="B28">
        <f>L19*(1+B27)</f>
        <v/>
      </c>
    </row>
    <row r="29">
      <c r="A29" s="7" t="inlineStr">
        <is>
          <t>Gordon TV</t>
        </is>
      </c>
      <c r="B29">
        <f>B28/(Assumptions!$B$3-B27)</f>
        <v/>
      </c>
    </row>
    <row r="30">
      <c r="A30" s="7" t="inlineStr">
        <is>
          <t>Cap TV</t>
        </is>
      </c>
      <c r="B30" s="5">
        <f>Assumptions!$D$16*L19</f>
        <v/>
      </c>
    </row>
    <row r="31">
      <c r="A31" s="7" t="inlineStr">
        <is>
          <t>TV used</t>
        </is>
      </c>
      <c r="B31">
        <f>MAX(0,MIN(B29,B30))</f>
        <v/>
      </c>
    </row>
    <row r="32">
      <c r="A32" s="7" t="inlineStr">
        <is>
          <t>Implied exit multiple</t>
        </is>
      </c>
      <c r="B32">
        <f>B31/L19</f>
        <v/>
      </c>
    </row>
    <row r="33">
      <c r="A33" s="7" t="inlineStr">
        <is>
          <t>PV of TV</t>
        </is>
      </c>
      <c r="B33">
        <f>B31*L20</f>
        <v/>
      </c>
    </row>
    <row r="34">
      <c r="A34" s="7" t="inlineStr">
        <is>
          <t>Enterprise value</t>
        </is>
      </c>
      <c r="B34">
        <f>B26+B33</f>
        <v/>
      </c>
    </row>
    <row r="35">
      <c r="A35" s="7" t="inlineStr">
        <is>
          <t>less net debt</t>
        </is>
      </c>
      <c r="B35" s="5">
        <f>-Assumptions!$B$6</f>
        <v/>
      </c>
    </row>
    <row r="36">
      <c r="A36" s="7" t="inlineStr">
        <is>
          <t>Equity value</t>
        </is>
      </c>
      <c r="B36">
        <f>B34+B35</f>
        <v/>
      </c>
    </row>
    <row r="37">
      <c r="A37" s="7" t="inlineStr">
        <is>
          <t>Diluted shares (m)</t>
        </is>
      </c>
      <c r="B37" s="5">
        <f>Assumptions!$B$7</f>
        <v/>
      </c>
    </row>
    <row r="38">
      <c r="A38" s="1" t="inlineStr">
        <is>
          <t>VALUE PER SHARE</t>
        </is>
      </c>
      <c r="B38" s="8">
        <f>B36/B37</f>
        <v/>
      </c>
    </row>
    <row r="39">
      <c r="A39" s="7" t="inlineStr">
        <is>
          <t>Upside vs price</t>
        </is>
      </c>
      <c r="B39" s="6">
        <f>B38/Assumptions!$B$8-1</f>
        <v/>
      </c>
    </row>
    <row r="41">
      <c r="A41" s="7" t="inlineStr">
        <is>
          <t>Street memo: PV explicit SBC</t>
        </is>
      </c>
      <c r="B41">
        <f>SUMPRODUCT(-C10:L10/(1+Assumptions!$B$3)^C4:L4)</f>
        <v/>
      </c>
    </row>
    <row r="42">
      <c r="A42" s="7" t="inlineStr">
        <is>
          <t>Street memo: PV terminal SBC</t>
        </is>
      </c>
      <c r="B42">
        <f>(-L10*(1+B27)/(Assumptions!$B$3-B27))*L20</f>
        <v/>
      </c>
    </row>
    <row r="43">
      <c r="A43" s="7" t="inlineStr">
        <is>
          <t>Street value per share</t>
        </is>
      </c>
      <c r="B43">
        <f>(B36+B41+B42)/B37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Reported FCF reconciled to owner FCF (EUR millions)</t>
        </is>
      </c>
    </row>
    <row r="3">
      <c r="B3" s="1" t="inlineStr">
        <is>
          <t>FY2016</t>
        </is>
      </c>
      <c r="C3" s="1" t="inlineStr">
        <is>
          <t>FY2017</t>
        </is>
      </c>
      <c r="D3" s="1" t="inlineStr">
        <is>
          <t>FY2018</t>
        </is>
      </c>
      <c r="E3" s="1" t="inlineStr">
        <is>
          <t>FY2019</t>
        </is>
      </c>
      <c r="F3" s="1" t="inlineStr">
        <is>
          <t>FY2020</t>
        </is>
      </c>
      <c r="G3" s="1" t="inlineStr">
        <is>
          <t>FY2021</t>
        </is>
      </c>
      <c r="H3" s="1" t="inlineStr">
        <is>
          <t>FY2022</t>
        </is>
      </c>
      <c r="I3" s="1" t="inlineStr">
        <is>
          <t>FY2023</t>
        </is>
      </c>
      <c r="J3" s="1" t="inlineStr">
        <is>
          <t>FY2024</t>
        </is>
      </c>
      <c r="K3" s="1" t="inlineStr">
        <is>
          <t>FY2025</t>
        </is>
      </c>
    </row>
    <row r="4">
      <c r="A4" t="inlineStr">
        <is>
          <t>Revenue</t>
        </is>
      </c>
      <c r="B4" s="2" t="n">
        <v>33809</v>
      </c>
      <c r="C4" s="2" t="n">
        <v>35072</v>
      </c>
      <c r="D4" s="2" t="n">
        <v>34463</v>
      </c>
      <c r="E4" s="2" t="n">
        <v>36126</v>
      </c>
      <c r="F4" s="2" t="n">
        <v>36041</v>
      </c>
      <c r="G4" s="2" t="n">
        <v>37761</v>
      </c>
      <c r="H4" s="2" t="n">
        <v>37651</v>
      </c>
      <c r="I4" s="2" t="n">
        <v>37817</v>
      </c>
      <c r="J4" s="2" t="n">
        <v>41081</v>
      </c>
      <c r="K4" s="2" t="n">
        <v>43626</v>
      </c>
    </row>
    <row r="5">
      <c r="A5" t="inlineStr">
        <is>
          <t>Free cash flow (OCF - capex)</t>
        </is>
      </c>
      <c r="B5" s="2" t="n">
        <v>6498</v>
      </c>
      <c r="C5" s="2" t="n">
        <v>5985</v>
      </c>
      <c r="D5" s="2" t="n">
        <v>4088</v>
      </c>
      <c r="E5" s="2" t="n">
        <v>5928</v>
      </c>
      <c r="F5" s="2" t="n">
        <v>5335</v>
      </c>
      <c r="G5" s="2" t="n">
        <v>8479</v>
      </c>
      <c r="H5" s="2" t="n">
        <v>8423</v>
      </c>
      <c r="I5" s="2" t="n">
        <v>7352</v>
      </c>
      <c r="J5" s="2" t="n">
        <v>5886</v>
      </c>
      <c r="K5" s="2" t="n">
        <v>7212</v>
      </c>
    </row>
    <row r="6">
      <c r="A6" t="inlineStr">
        <is>
          <t>less: SBC (no separate equity-tax line disclosed)</t>
        </is>
      </c>
      <c r="B6" s="2" t="n">
        <v>-241</v>
      </c>
      <c r="C6" s="2" t="n">
        <v>-263</v>
      </c>
      <c r="D6" s="2" t="n">
        <v>-284</v>
      </c>
      <c r="E6" s="2" t="n">
        <v>-252</v>
      </c>
      <c r="F6" s="2" t="n">
        <v>-274</v>
      </c>
      <c r="G6" s="2" t="n">
        <v>-244</v>
      </c>
      <c r="H6" s="2" t="n">
        <v>-234</v>
      </c>
      <c r="I6" s="2" t="n">
        <v>-260</v>
      </c>
      <c r="J6" s="2" t="n">
        <v>-278</v>
      </c>
      <c r="K6" s="2" t="n">
        <v>-313</v>
      </c>
    </row>
    <row r="7">
      <c r="A7" t="inlineStr">
        <is>
          <t>less: interest income (n/a -- net-debt company)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</row>
    <row r="8">
      <c r="A8" s="1" t="inlineStr">
        <is>
          <t>Owner FCF (FCF less SBC less interest income)</t>
        </is>
      </c>
      <c r="B8" s="1">
        <f>B5+B6+B7</f>
        <v/>
      </c>
      <c r="C8" s="1">
        <f>C5+C6+C7</f>
        <v/>
      </c>
      <c r="D8" s="1">
        <f>D5+D6+D7</f>
        <v/>
      </c>
      <c r="E8" s="1">
        <f>E5+E6+E7</f>
        <v/>
      </c>
      <c r="F8" s="1">
        <f>F5+F6+F7</f>
        <v/>
      </c>
      <c r="G8" s="1">
        <f>G5+G6+G7</f>
        <v/>
      </c>
      <c r="H8" s="1">
        <f>H5+H6+H7</f>
        <v/>
      </c>
      <c r="I8" s="1">
        <f>I5+I6+I7</f>
        <v/>
      </c>
      <c r="J8" s="1">
        <f>J5+J6+J7</f>
        <v/>
      </c>
      <c r="K8" s="1">
        <f>K5+K6+K7</f>
        <v/>
      </c>
    </row>
    <row r="9">
      <c r="A9" t="inlineStr">
        <is>
          <t>Reported FCF margin</t>
        </is>
      </c>
      <c r="B9" s="6">
        <f>B5/B4</f>
        <v/>
      </c>
      <c r="C9" s="6">
        <f>C5/C4</f>
        <v/>
      </c>
      <c r="D9" s="6">
        <f>D5/D4</f>
        <v/>
      </c>
      <c r="E9" s="6">
        <f>E5/E4</f>
        <v/>
      </c>
      <c r="F9" s="6">
        <f>F5/F4</f>
        <v/>
      </c>
      <c r="G9" s="6">
        <f>G5/G4</f>
        <v/>
      </c>
      <c r="H9" s="6">
        <f>H5/H4</f>
        <v/>
      </c>
      <c r="I9" s="6">
        <f>I5/I4</f>
        <v/>
      </c>
      <c r="J9" s="6">
        <f>J5/J4</f>
        <v/>
      </c>
      <c r="K9" s="6">
        <f>K5/K4</f>
        <v/>
      </c>
    </row>
    <row r="10">
      <c r="A10" t="inlineStr">
        <is>
          <t>Owner FCF margin</t>
        </is>
      </c>
      <c r="B10" s="6">
        <f>B8/B4</f>
        <v/>
      </c>
      <c r="C10" s="6">
        <f>C8/C4</f>
        <v/>
      </c>
      <c r="D10" s="6">
        <f>D8/D4</f>
        <v/>
      </c>
      <c r="E10" s="6">
        <f>E8/E4</f>
        <v/>
      </c>
      <c r="F10" s="6">
        <f>F8/F4</f>
        <v/>
      </c>
      <c r="G10" s="6">
        <f>G8/G4</f>
        <v/>
      </c>
      <c r="H10" s="6">
        <f>H8/H4</f>
        <v/>
      </c>
      <c r="I10" s="6">
        <f>I8/I4</f>
        <v/>
      </c>
      <c r="J10" s="6">
        <f>J8/J4</f>
        <v/>
      </c>
      <c r="K10" s="6">
        <f>K8/K4</f>
        <v/>
      </c>
    </row>
    <row r="12">
      <c r="A12" t="inlineStr">
        <is>
          <t>Memo: FY2025 company-defined FCF EUR9,900m (18.5% of sales) is BEFORE restructuring/acquisitions/disposals -- the ~EUR2bn gap to the EUR7,212m statutory figure is recurring restructuring and similar cash costs; the model's cash-EBITDA margin nets these.</t>
        </is>
      </c>
    </row>
    <row r="13">
      <c r="A13" t="inlineStr">
        <is>
          <t>Memo: FY2024 owner-FCF margin (13.7%) depressed by Opella separation costs and the capex ramp; FY2021-22 margins (~21.8%) include the since-divested Opella consumer business.</t>
        </is>
      </c>
    </row>
    <row r="14">
      <c r="A14" t="inlineStr">
        <is>
          <t>Memo: capex ramp EUR2.0bn (FY2021) -&gt; EUR3.5bn (FY2025) reflects US onshoring/biologics capacity; modeled at 8.1% of sales tapering to 7.0%.</t>
        </is>
      </c>
    </row>
    <row r="15">
      <c r="A15" t="inlineStr">
        <is>
          <t>Memo: cash tax rate ~21% guided FY2026 (H1-2026 ETR 21.8%); no abnormal credits in the base year.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Valuation summary</t>
        </is>
      </c>
    </row>
    <row r="3">
      <c r="A3" s="1" t="inlineStr">
        <is>
          <t>Scenario</t>
        </is>
      </c>
      <c r="B3" s="1" t="inlineStr">
        <is>
          <t>Value/share</t>
        </is>
      </c>
      <c r="C3" s="1" t="inlineStr">
        <is>
          <t>Upside</t>
        </is>
      </c>
      <c r="D3" s="1" t="inlineStr">
        <is>
          <t>Weight</t>
        </is>
      </c>
      <c r="E3" s="1" t="inlineStr">
        <is>
          <t>Street value/share</t>
        </is>
      </c>
      <c r="F3" s="1" t="inlineStr">
        <is>
          <t>Entry price (15% IRR)</t>
        </is>
      </c>
    </row>
    <row r="4">
      <c r="A4" t="inlineStr">
        <is>
          <t>Bear</t>
        </is>
      </c>
      <c r="B4" s="5">
        <f>DCF_Bear!$B$38</f>
        <v/>
      </c>
      <c r="C4" s="6">
        <f>B4/Assumptions!$B$8-1</f>
        <v/>
      </c>
      <c r="D4" s="5">
        <f>Assumptions!$B$17</f>
        <v/>
      </c>
      <c r="E4" s="5">
        <f>DCF_Bear!$B$43</f>
        <v/>
      </c>
      <c r="F4">
        <f>(SUMPRODUCT(DCF_Bear!$C$19:$L$19/(1+Assumptions!$B$9)^DCF_Bear!$C$4:$L$4)+DCF_Bear!$B$31/(1+Assumptions!$B$9)^10-Assumptions!$B$6)/Assumptions!$B$7</f>
        <v/>
      </c>
    </row>
    <row r="5">
      <c r="A5" t="inlineStr">
        <is>
          <t>Base</t>
        </is>
      </c>
      <c r="B5" s="5">
        <f>DCF_Base!$B$38</f>
        <v/>
      </c>
      <c r="C5" s="6">
        <f>B5/Assumptions!$B$8-1</f>
        <v/>
      </c>
      <c r="D5" s="5">
        <f>Assumptions!$C$17</f>
        <v/>
      </c>
      <c r="E5" s="5">
        <f>DCF_Base!$B$43</f>
        <v/>
      </c>
      <c r="F5">
        <f>(SUMPRODUCT(DCF_Base!$C$19:$L$19/(1+Assumptions!$B$9)^DCF_Base!$C$4:$L$4)+DCF_Base!$B$31/(1+Assumptions!$B$9)^10-Assumptions!$B$6)/Assumptions!$B$7</f>
        <v/>
      </c>
    </row>
    <row r="6">
      <c r="A6" t="inlineStr">
        <is>
          <t>Bull</t>
        </is>
      </c>
      <c r="B6" s="5">
        <f>DCF_Bull!$B$38</f>
        <v/>
      </c>
      <c r="C6" s="6">
        <f>B6/Assumptions!$B$8-1</f>
        <v/>
      </c>
      <c r="D6" s="5">
        <f>Assumptions!$D$17</f>
        <v/>
      </c>
      <c r="E6" s="5">
        <f>DCF_Bull!$B$43</f>
        <v/>
      </c>
      <c r="F6">
        <f>(SUMPRODUCT(DCF_Bull!$C$19:$L$19/(1+Assumptions!$B$9)^DCF_Bull!$C$4:$L$4)+DCF_Bull!$B$31/(1+Assumptions!$B$9)^10-Assumptions!$B$6)/Assumptions!$B$7</f>
        <v/>
      </c>
    </row>
    <row r="8">
      <c r="A8" s="1" t="inlineStr">
        <is>
          <t>Probability-weighted IV</t>
        </is>
      </c>
      <c r="B8" s="8">
        <f>SUMPRODUCT(B4:B6,D4:D6)</f>
        <v/>
      </c>
    </row>
    <row r="9">
      <c r="A9" t="inlineStr">
        <is>
          <t>Margin of safety vs price</t>
        </is>
      </c>
      <c r="B9" s="6">
        <f>1-Assumptions!$B$8/B8</f>
        <v/>
      </c>
    </row>
    <row r="10">
      <c r="A10" t="inlineStr">
        <is>
          <t>Street weighted IV</t>
        </is>
      </c>
      <c r="B10">
        <f>SUMPRODUCT(E4:E6,D4:D6)</f>
        <v/>
      </c>
    </row>
    <row r="11">
      <c r="A11" t="inlineStr">
        <is>
          <t>Band position (0=house,1=street)</t>
        </is>
      </c>
      <c r="B11">
        <f>(Assumptions!$B$8-B8)/(B10-B8)</f>
        <v/>
      </c>
      <c r="C11" t="inlineStr">
        <is>
          <t>Note: negative = price below even the house (fully-SBC-expensed) basis; band only ~EUR4.7 wide since SBC is 0.7% of sales.</t>
        </is>
      </c>
    </row>
    <row r="12">
      <c r="A12" t="inlineStr">
        <is>
          <t>Weighted entry price (15% IRR)</t>
        </is>
      </c>
      <c r="B12" s="1">
        <f>SUMPRODUCT(F4:F6,D4:D6)</f>
        <v/>
      </c>
    </row>
    <row r="15">
      <c r="A15" s="1" t="inlineStr">
        <is>
          <t>Required-return table (base case; TV built at house WACC, discounting varies)</t>
        </is>
      </c>
    </row>
    <row r="16">
      <c r="A16" t="inlineStr">
        <is>
          <t>Required return</t>
        </is>
      </c>
      <c r="B16" s="9" t="n">
        <v>0.075</v>
      </c>
      <c r="C16" s="9" t="n">
        <v>0.09</v>
      </c>
      <c r="D16" s="9" t="n">
        <v>0.1</v>
      </c>
      <c r="E16" s="9" t="n">
        <v>0.11</v>
      </c>
      <c r="F16" s="9" t="n">
        <v>0.12</v>
      </c>
      <c r="G16" s="9" t="n">
        <v>0.15</v>
      </c>
    </row>
    <row r="17">
      <c r="A17" t="inlineStr">
        <is>
          <t>Value per share</t>
        </is>
      </c>
      <c r="B17">
        <f>(SUMPRODUCT(DCF_Base!$C$19:$L$19/(1+B16)^DCF_Base!$C$4:$L$4)+DCF_Base!$B$31/(1+B16)^10-Assumptions!$B$6)/Assumptions!$B$7</f>
        <v/>
      </c>
      <c r="C17">
        <f>(SUMPRODUCT(DCF_Base!$C$19:$L$19/(1+C16)^DCF_Base!$C$4:$L$4)+DCF_Base!$B$31/(1+C16)^10-Assumptions!$B$6)/Assumptions!$B$7</f>
        <v/>
      </c>
      <c r="D17">
        <f>(SUMPRODUCT(DCF_Base!$C$19:$L$19/(1+D16)^DCF_Base!$C$4:$L$4)+DCF_Base!$B$31/(1+D16)^10-Assumptions!$B$6)/Assumptions!$B$7</f>
        <v/>
      </c>
      <c r="E17">
        <f>(SUMPRODUCT(DCF_Base!$C$19:$L$19/(1+E16)^DCF_Base!$C$4:$L$4)+DCF_Base!$B$31/(1+E16)^10-Assumptions!$B$6)/Assumptions!$B$7</f>
        <v/>
      </c>
      <c r="F17">
        <f>(SUMPRODUCT(DCF_Base!$C$19:$L$19/(1+F16)^DCF_Base!$C$4:$L$4)+DCF_Base!$B$31/(1+F16)^10-Assumptions!$B$6)/Assumptions!$B$7</f>
        <v/>
      </c>
      <c r="G17">
        <f>(SUMPRODUCT(DCF_Base!$C$19:$L$19/(1+G16)^DCF_Base!$C$4:$L$4)+DCF_Base!$B$31/(1+G16)^10-Assumptions!$B$6)/Assumptions!$B$7</f>
        <v/>
      </c>
    </row>
    <row r="20">
      <c r="A20" s="1" t="inlineStr">
        <is>
          <t>Sensitivity: base-case value per share -- rows WACC, cols terminal growth (TV recomputed per cell, 15x cap)</t>
        </is>
      </c>
    </row>
    <row r="21">
      <c r="C21" s="9" t="n">
        <v>0.005</v>
      </c>
      <c r="D21" s="9" t="n">
        <v>0.01</v>
      </c>
      <c r="E21" s="9" t="n">
        <v>0.015</v>
      </c>
      <c r="F21" s="9" t="n">
        <v>0.02</v>
      </c>
      <c r="G21" s="9" t="n">
        <v>0.025</v>
      </c>
    </row>
    <row r="22">
      <c r="B22" s="9" t="n">
        <v>0.055</v>
      </c>
      <c r="C22">
        <f>IF($B22&gt;C$21,(SUMPRODUCT(DCF_Base!$C$19:$L$19/(1+$B22)^DCF_Base!$C$4:$L$4)+MAX(0,MIN(DCF_Base!$L$19*(1+C$21)/($B22-C$21),Assumptions!$C$16*DCF_Base!$L$19))/(1+$B22)^10-Assumptions!$B$6)/Assumptions!$B$7,"n/a")</f>
        <v/>
      </c>
      <c r="D22">
        <f>IF($B22&gt;D$21,(SUMPRODUCT(DCF_Base!$C$19:$L$19/(1+$B22)^DCF_Base!$C$4:$L$4)+MAX(0,MIN(DCF_Base!$L$19*(1+D$21)/($B22-D$21),Assumptions!$C$16*DCF_Base!$L$19))/(1+$B22)^10-Assumptions!$B$6)/Assumptions!$B$7,"n/a")</f>
        <v/>
      </c>
      <c r="E22">
        <f>IF($B22&gt;E$21,(SUMPRODUCT(DCF_Base!$C$19:$L$19/(1+$B22)^DCF_Base!$C$4:$L$4)+MAX(0,MIN(DCF_Base!$L$19*(1+E$21)/($B22-E$21),Assumptions!$C$16*DCF_Base!$L$19))/(1+$B22)^10-Assumptions!$B$6)/Assumptions!$B$7,"n/a")</f>
        <v/>
      </c>
      <c r="F22">
        <f>IF($B22&gt;F$21,(SUMPRODUCT(DCF_Base!$C$19:$L$19/(1+$B22)^DCF_Base!$C$4:$L$4)+MAX(0,MIN(DCF_Base!$L$19*(1+F$21)/($B22-F$21),Assumptions!$C$16*DCF_Base!$L$19))/(1+$B22)^10-Assumptions!$B$6)/Assumptions!$B$7,"n/a")</f>
        <v/>
      </c>
      <c r="G22">
        <f>IF($B22&gt;G$21,(SUMPRODUCT(DCF_Base!$C$19:$L$19/(1+$B22)^DCF_Base!$C$4:$L$4)+MAX(0,MIN(DCF_Base!$L$19*(1+G$21)/($B22-G$21),Assumptions!$C$16*DCF_Base!$L$19))/(1+$B22)^10-Assumptions!$B$6)/Assumptions!$B$7,"n/a")</f>
        <v/>
      </c>
    </row>
    <row r="23">
      <c r="B23" s="9" t="n">
        <v>0.065</v>
      </c>
      <c r="C23">
        <f>IF($B23&gt;C$21,(SUMPRODUCT(DCF_Base!$C$19:$L$19/(1+$B23)^DCF_Base!$C$4:$L$4)+MAX(0,MIN(DCF_Base!$L$19*(1+C$21)/($B23-C$21),Assumptions!$C$16*DCF_Base!$L$19))/(1+$B23)^10-Assumptions!$B$6)/Assumptions!$B$7,"n/a")</f>
        <v/>
      </c>
      <c r="D23">
        <f>IF($B23&gt;D$21,(SUMPRODUCT(DCF_Base!$C$19:$L$19/(1+$B23)^DCF_Base!$C$4:$L$4)+MAX(0,MIN(DCF_Base!$L$19*(1+D$21)/($B23-D$21),Assumptions!$C$16*DCF_Base!$L$19))/(1+$B23)^10-Assumptions!$B$6)/Assumptions!$B$7,"n/a")</f>
        <v/>
      </c>
      <c r="E23">
        <f>IF($B23&gt;E$21,(SUMPRODUCT(DCF_Base!$C$19:$L$19/(1+$B23)^DCF_Base!$C$4:$L$4)+MAX(0,MIN(DCF_Base!$L$19*(1+E$21)/($B23-E$21),Assumptions!$C$16*DCF_Base!$L$19))/(1+$B23)^10-Assumptions!$B$6)/Assumptions!$B$7,"n/a")</f>
        <v/>
      </c>
      <c r="F23">
        <f>IF($B23&gt;F$21,(SUMPRODUCT(DCF_Base!$C$19:$L$19/(1+$B23)^DCF_Base!$C$4:$L$4)+MAX(0,MIN(DCF_Base!$L$19*(1+F$21)/($B23-F$21),Assumptions!$C$16*DCF_Base!$L$19))/(1+$B23)^10-Assumptions!$B$6)/Assumptions!$B$7,"n/a")</f>
        <v/>
      </c>
      <c r="G23">
        <f>IF($B23&gt;G$21,(SUMPRODUCT(DCF_Base!$C$19:$L$19/(1+$B23)^DCF_Base!$C$4:$L$4)+MAX(0,MIN(DCF_Base!$L$19*(1+G$21)/($B23-G$21),Assumptions!$C$16*DCF_Base!$L$19))/(1+$B23)^10-Assumptions!$B$6)/Assumptions!$B$7,"n/a")</f>
        <v/>
      </c>
    </row>
    <row r="24">
      <c r="B24" s="9" t="n">
        <v>0.075</v>
      </c>
      <c r="C24">
        <f>IF($B24&gt;C$21,(SUMPRODUCT(DCF_Base!$C$19:$L$19/(1+$B24)^DCF_Base!$C$4:$L$4)+MAX(0,MIN(DCF_Base!$L$19*(1+C$21)/($B24-C$21),Assumptions!$C$16*DCF_Base!$L$19))/(1+$B24)^10-Assumptions!$B$6)/Assumptions!$B$7,"n/a")</f>
        <v/>
      </c>
      <c r="D24">
        <f>IF($B24&gt;D$21,(SUMPRODUCT(DCF_Base!$C$19:$L$19/(1+$B24)^DCF_Base!$C$4:$L$4)+MAX(0,MIN(DCF_Base!$L$19*(1+D$21)/($B24-D$21),Assumptions!$C$16*DCF_Base!$L$19))/(1+$B24)^10-Assumptions!$B$6)/Assumptions!$B$7,"n/a")</f>
        <v/>
      </c>
      <c r="E24" s="10">
        <f>IF($B24&gt;E$21,(SUMPRODUCT(DCF_Base!$C$19:$L$19/(1+$B24)^DCF_Base!$C$4:$L$4)+MAX(0,MIN(DCF_Base!$L$19*(1+E$21)/($B24-E$21),Assumptions!$C$16*DCF_Base!$L$19))/(1+$B24)^10-Assumptions!$B$6)/Assumptions!$B$7,"n/a")</f>
        <v/>
      </c>
      <c r="F24">
        <f>IF($B24&gt;F$21,(SUMPRODUCT(DCF_Base!$C$19:$L$19/(1+$B24)^DCF_Base!$C$4:$L$4)+MAX(0,MIN(DCF_Base!$L$19*(1+F$21)/($B24-F$21),Assumptions!$C$16*DCF_Base!$L$19))/(1+$B24)^10-Assumptions!$B$6)/Assumptions!$B$7,"n/a")</f>
        <v/>
      </c>
      <c r="G24">
        <f>IF($B24&gt;G$21,(SUMPRODUCT(DCF_Base!$C$19:$L$19/(1+$B24)^DCF_Base!$C$4:$L$4)+MAX(0,MIN(DCF_Base!$L$19*(1+G$21)/($B24-G$21),Assumptions!$C$16*DCF_Base!$L$19))/(1+$B24)^10-Assumptions!$B$6)/Assumptions!$B$7,"n/a")</f>
        <v/>
      </c>
    </row>
    <row r="25">
      <c r="B25" s="9" t="n">
        <v>0.08500000000000001</v>
      </c>
      <c r="C25">
        <f>IF($B25&gt;C$21,(SUMPRODUCT(DCF_Base!$C$19:$L$19/(1+$B25)^DCF_Base!$C$4:$L$4)+MAX(0,MIN(DCF_Base!$L$19*(1+C$21)/($B25-C$21),Assumptions!$C$16*DCF_Base!$L$19))/(1+$B25)^10-Assumptions!$B$6)/Assumptions!$B$7,"n/a")</f>
        <v/>
      </c>
      <c r="D25">
        <f>IF($B25&gt;D$21,(SUMPRODUCT(DCF_Base!$C$19:$L$19/(1+$B25)^DCF_Base!$C$4:$L$4)+MAX(0,MIN(DCF_Base!$L$19*(1+D$21)/($B25-D$21),Assumptions!$C$16*DCF_Base!$L$19))/(1+$B25)^10-Assumptions!$B$6)/Assumptions!$B$7,"n/a")</f>
        <v/>
      </c>
      <c r="E25">
        <f>IF($B25&gt;E$21,(SUMPRODUCT(DCF_Base!$C$19:$L$19/(1+$B25)^DCF_Base!$C$4:$L$4)+MAX(0,MIN(DCF_Base!$L$19*(1+E$21)/($B25-E$21),Assumptions!$C$16*DCF_Base!$L$19))/(1+$B25)^10-Assumptions!$B$6)/Assumptions!$B$7,"n/a")</f>
        <v/>
      </c>
      <c r="F25">
        <f>IF($B25&gt;F$21,(SUMPRODUCT(DCF_Base!$C$19:$L$19/(1+$B25)^DCF_Base!$C$4:$L$4)+MAX(0,MIN(DCF_Base!$L$19*(1+F$21)/($B25-F$21),Assumptions!$C$16*DCF_Base!$L$19))/(1+$B25)^10-Assumptions!$B$6)/Assumptions!$B$7,"n/a")</f>
        <v/>
      </c>
      <c r="G25">
        <f>IF($B25&gt;G$21,(SUMPRODUCT(DCF_Base!$C$19:$L$19/(1+$B25)^DCF_Base!$C$4:$L$4)+MAX(0,MIN(DCF_Base!$L$19*(1+G$21)/($B25-G$21),Assumptions!$C$16*DCF_Base!$L$19))/(1+$B25)^10-Assumptions!$B$6)/Assumptions!$B$7,"n/a")</f>
        <v/>
      </c>
    </row>
    <row r="26">
      <c r="B26" s="9" t="n">
        <v>0.095</v>
      </c>
      <c r="C26">
        <f>IF($B26&gt;C$21,(SUMPRODUCT(DCF_Base!$C$19:$L$19/(1+$B26)^DCF_Base!$C$4:$L$4)+MAX(0,MIN(DCF_Base!$L$19*(1+C$21)/($B26-C$21),Assumptions!$C$16*DCF_Base!$L$19))/(1+$B26)^10-Assumptions!$B$6)/Assumptions!$B$7,"n/a")</f>
        <v/>
      </c>
      <c r="D26">
        <f>IF($B26&gt;D$21,(SUMPRODUCT(DCF_Base!$C$19:$L$19/(1+$B26)^DCF_Base!$C$4:$L$4)+MAX(0,MIN(DCF_Base!$L$19*(1+D$21)/($B26-D$21),Assumptions!$C$16*DCF_Base!$L$19))/(1+$B26)^10-Assumptions!$B$6)/Assumptions!$B$7,"n/a")</f>
        <v/>
      </c>
      <c r="E26">
        <f>IF($B26&gt;E$21,(SUMPRODUCT(DCF_Base!$C$19:$L$19/(1+$B26)^DCF_Base!$C$4:$L$4)+MAX(0,MIN(DCF_Base!$L$19*(1+E$21)/($B26-E$21),Assumptions!$C$16*DCF_Base!$L$19))/(1+$B26)^10-Assumptions!$B$6)/Assumptions!$B$7,"n/a")</f>
        <v/>
      </c>
      <c r="F26">
        <f>IF($B26&gt;F$21,(SUMPRODUCT(DCF_Base!$C$19:$L$19/(1+$B26)^DCF_Base!$C$4:$L$4)+MAX(0,MIN(DCF_Base!$L$19*(1+F$21)/($B26-F$21),Assumptions!$C$16*DCF_Base!$L$19))/(1+$B26)^10-Assumptions!$B$6)/Assumptions!$B$7,"n/a")</f>
        <v/>
      </c>
      <c r="G26">
        <f>IF($B26&gt;G$21,(SUMPRODUCT(DCF_Base!$C$19:$L$19/(1+$B26)^DCF_Base!$C$4:$L$4)+MAX(0,MIN(DCF_Base!$L$19*(1+G$21)/($B26-G$21),Assumptions!$C$16*DCF_Base!$L$19))/(1+$B26)^10-Assumptions!$B$6)/Assumptions!$B$7,"n/a")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2026-08-30T09:38:06Z</dcterms:created>
  <dcterms:modified xsi:type="dcterms:W3CDTF">2026-08-30T09:38:31Z</dcterms:modified>
</cp:coreProperties>
</file>