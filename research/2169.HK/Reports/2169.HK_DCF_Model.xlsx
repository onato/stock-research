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<sst xmlns="http://schemas.openxmlformats.org/spreadsheetml/2006/main" count="352" uniqueCount="164">
  <si>
    <t xml:space="preserve">Ticker</t>
  </si>
  <si>
    <t xml:space="preserve">2169.HK</t>
  </si>
  <si>
    <t xml:space="preserve">Company</t>
  </si>
  <si>
    <t xml:space="preserve">Canggang Railway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</si>
  <si>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</si>
  <si>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</si>
  <si>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</si>
  <si>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</si>
  <si>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2026-10-16T07:59:37Z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</si>
  <si>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</si>
  <si>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</si>
  <si>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</si>
  <si>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</si>
  <si>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</si>
  <si>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</si>
  <si>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</si>
  <si>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</si>
  <si>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</si>
  <si>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</si>
  <si>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</si>
  <si>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</si>
  <si>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</si>
  <si>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2026-10-17T21:55:04Z</t>
  </si>
  <si>
    <t xml:space="preserve">Drivers file</t>
  </si>
  <si>
    <t xml:space="preserve">2169.HK_Drivers.json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</si>
  <si>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</si>
  <si>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</si>
  <si>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</si>
  <si>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line on what it earns from freight, not on the non-operating income that has propped up reported profit (FVTPL fair-value gains of RMB33.7m were ~45% of FY2025 profit before tax). Operating cash generation is steady at ~RMB100-140m EBITDA, but the line is mid-way through a capex programme and the market already prices it at ~28x earnings, so the DCF asks whether the volume rebound can be capitalised at that multiple - it cannot under any of the three scenarios.
key_risks_to_valuation: Coal dependence: thermal and coking coal are the core flows; China's coal peak is a structural headwind to terminal growth.; Customer concentration: largest customer 32.4%, top five 65.0% of FY2025 revenue; 77% of trade receivables from the top five.; Capex overrun on the Bohai New Area branch line and Canggang line upgrade (FY2025 capex 48% of revenue) without matching volume.; Non-operating income volatility: FVTPL gains (RMB33.7m FY2025) and coal-trading results swing reported profit; excluded from the operating build and the assets added at book.; Thin liquidity and a HK$0.45-0.94 52-week range: the price can sit far from fundamental value for long periods.; FX: RMB flows against an HKD quote; the HKD per CNY rate is not auto-refreshed.</t>
  </si>
  <si>
    <t xml:space="preserve">Data sources</t>
  </si>
  <si>
    <t xml:space="preserve">price: Yahoo Finance chart API at inputs.price_as_of; 52-week range HK$0.45-0.94
financials: 2169.HK_Metrics.csv (FY2019-FY2025, H1 FY2023-H1 FY2026); FY2025 Annual Report (revenue split, other income note 5, FVTPL note 18, cash flow statement, customer concentration, dividend); H1 FY2026 Interim Report (MD&amp;A, balance sheet at 30 Jun 2026, EPS note 10, share capital note 21, capex and commitments).
fx: Yahoo CNYHKD=X with CNY=X / HKD=X cross check, 2026-10-16
qualitative: 2169.HK_Analysis.json (2026-10-18; bull/bear axes, risks, guidance) cross-checked against the FY2025 annual and H1 FY2026 interim MD&amp;A</t>
  </si>
  <si>
    <t xml:space="preserve">Scenario narrative: bear</t>
  </si>
  <si>
    <t xml:space="preserve">The rebound is cyclical: thermal-coal volumes peak and fall with China's energy transition, oil products keep shrinking, and a concentrated customer base (top five 65% of revenue) reprices or reroutes. Revenue drifts back to the FY2024-25 band with mid-30s operating margins and elevated safety capex; zero terminal growth.</t>
  </si>
  <si>
    <t xml:space="preserve">Scenario narrative: base</t>
  </si>
  <si>
    <t xml:space="preserve">Volume recovery holds but does not compound: FY2026 +15% on H1's 23.9% tonnage rebound, a flat FY2027 as one-off construction revenue rolls off, then 2-4% growth from the Bohai New Area branch line and corridor marketing against plateauing coal. Operating EBITDA margin 42-43%; capex normalises from the branch-line peak to ~13.5% of revenue.</t>
  </si>
  <si>
    <t xml:space="preserve">Scenario narrative: bull</t>
  </si>
  <si>
    <t xml:space="preserve">The Canggang Line-Port Huanghua corridor wins share of western coal, coke and ore-fines flows, Hebei road-to-rail intermodal policy adds tonnage, and the branch line ramps fast. Fixed-cost operating leverage takes operating EBITDA margin to ~48% and capex falls toward maintenance.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</si>
  <si>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</si>
  <si>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</si>
  <si>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</si>
  <si>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</si>
  <si>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</si>
  <si>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</si>
  <si>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</si>
  <si>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</si>
  <si>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</si>
  <si>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</si>
  <si>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</si>
  <si>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</si>
  <si>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</si>
  <si>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</si>
  <si>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</si>
  <si>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</si>
  <si>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</si>
  <si>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</si>
  <si>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</si>
  <si>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</si>
  <si>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</si>
  <si>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</si>
  <si>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</si>
  <si>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</si>
  <si>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</si>
  <si>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</si>
  <si>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</si>
  <si>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TotalEquityInclNCI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</si>
  <si>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</si>
  <si>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</si>
  <si>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</si>
  <si>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</si>
  <si>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</si>
  <si>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</si>
  <si>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</si>
  <si>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</si>
  <si>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</si>
  <si>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</si>
  <si>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</si>
  <si>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</si>
  <si>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</si>
  <si>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</si>
  <si>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</si>
  <si>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</si>
  <si>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</si>
  <si>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</si>
  <si>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</si>
  <si>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</si>
  <si>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</si>
  <si>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</si>
  <si>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</si>
  <si>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</si>
  <si>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</si>
  <si>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</si>
  <si>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</si>
  <si>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</si>
  <si>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</si>
  <si>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</si>
  <si>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</si>
  <si>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</si>
  <si>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</si>
  <si>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</si>
  <si>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</si>
  <si>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</si>
  <si>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</si>
  <si>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</si>
  <si>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</si>
  <si>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</si>
  <si>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</si>
  <si>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</si>
  <si>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</si>
  <si>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</si>
  <si>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2169.HK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</si>
  <si>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</si>
  <si>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</si>
  <si>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</si>
  <si>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</si>
  <si>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</si>
  <si>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</si>
  <si>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</si>
  <si>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</si>
  <si>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</si>
  <si>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</si>
  <si>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</si>
  <si>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</si>
  <si>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</si>
  <si>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</si>
  <si>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</si>
  <si>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</si>
  <si>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</si>
  <si>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</si>
  <si>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</si>
  <si>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</si>
  <si>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</si>
  <si>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</si>
  <si>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</si>
  <si>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</si>
  <si>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</si>
  <si>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</si>
  <si>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</si>
  <si>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</si>
  <si>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</si>
  <si>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</si>
  <si>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2169.HK owner-FCF component DCF: base case (millions, CNY)</t>
  </si>
  <si>
    <t xml:space="preserve">2169.HK owner-FCF component DCF: bull case (millions, CNY)</t>
  </si>
  <si>
    <t xml:space="preserve">2169.HK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</si>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</sst>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376.904</v>
      </c>
      <c r="F2" s="0" t="n">
        <v>119.088</v>
      </c>
      <c r="G2" s="0" t="n">
        <v>31.6</v>
      </c>
      <c r="H2" s="0" t="n">
        <v>153.918</v>
      </c>
      <c r="I2" s="0" t="n">
        <v>70.194</v>
      </c>
      <c r="J2" s="0" t="n">
        <v>18.6</v>
      </c>
      <c r="L2" s="0" t="n">
        <v>110.326</v>
      </c>
      <c r="O2" s="0" t="n">
        <v>491.56</v>
      </c>
      <c r="P2" s="0" t="n">
        <v>1195.892</v>
      </c>
      <c r="Q2" s="0" t="n">
        <v>675.907</v>
      </c>
      <c r="R2" s="0" t="n">
        <v>561.331</v>
      </c>
      <c r="S2" s="0" t="n">
        <v>33.866</v>
      </c>
      <c r="AA2" s="0" t="s">
        <v>18</v>
      </c>
      <c r="AB2" s="0" t="s">
        <v>14</v>
      </c>
      <c r="AC2" s="0" t="n">
        <v>519.985</v>
      </c>
    </row>
    <row r="3" customFormat="false" ht="15" hidden="false" customHeight="false" outlineLevel="0" collapsed="false">
      <c r="A3" s="0" t="s">
        <v>66</v>
      </c>
      <c r="B3" s="0" t="n">
        <v>361.474</v>
      </c>
      <c r="F3" s="0" t="n">
        <v>116.815</v>
      </c>
      <c r="G3" s="0" t="n">
        <v>32.3</v>
      </c>
      <c r="H3" s="0" t="n">
        <v>153.56</v>
      </c>
      <c r="I3" s="0" t="n">
        <v>63.649</v>
      </c>
      <c r="J3" s="0" t="n">
        <v>17.6</v>
      </c>
      <c r="K3" s="0" t="n">
        <v>0.02</v>
      </c>
      <c r="L3" s="0" t="n">
        <v>161.124</v>
      </c>
      <c r="M3" s="0" t="n">
        <v>19.305</v>
      </c>
      <c r="N3" s="0" t="n">
        <v>141.819</v>
      </c>
      <c r="O3" s="0" t="n">
        <v>740.257</v>
      </c>
      <c r="P3" s="0" t="n">
        <v>1318.926</v>
      </c>
      <c r="Q3" s="0" t="n">
        <v>549.338</v>
      </c>
      <c r="R3" s="0" t="n">
        <v>455.236</v>
      </c>
      <c r="S3" s="0" t="n">
        <v>227.143</v>
      </c>
      <c r="T3" s="0" t="n">
        <v>4000</v>
      </c>
      <c r="AA3" s="0" t="s">
        <v>18</v>
      </c>
      <c r="AB3" s="0" t="s">
        <v>14</v>
      </c>
      <c r="AC3" s="0" t="n">
        <v>769.588</v>
      </c>
    </row>
    <row r="4" customFormat="false" ht="15" hidden="false" customHeight="false" outlineLevel="0" collapsed="false">
      <c r="A4" s="0" t="s">
        <v>67</v>
      </c>
      <c r="B4" s="0" t="n">
        <v>355.99</v>
      </c>
      <c r="F4" s="0" t="n">
        <v>128.079</v>
      </c>
      <c r="G4" s="0" t="n">
        <v>36</v>
      </c>
      <c r="H4" s="0" t="n">
        <v>164.814</v>
      </c>
      <c r="I4" s="0" t="n">
        <v>77.394</v>
      </c>
      <c r="J4" s="0" t="n">
        <v>21.7</v>
      </c>
      <c r="K4" s="0" t="n">
        <v>0.0193</v>
      </c>
      <c r="L4" s="0" t="n">
        <v>116.89</v>
      </c>
      <c r="M4" s="0" t="n">
        <v>42.003</v>
      </c>
      <c r="N4" s="0" t="n">
        <v>74.887</v>
      </c>
      <c r="O4" s="0" t="n">
        <v>774.738</v>
      </c>
      <c r="P4" s="0" t="n">
        <v>1281.912</v>
      </c>
      <c r="Q4" s="0" t="n">
        <v>477.479</v>
      </c>
      <c r="R4" s="0" t="n">
        <v>373.612</v>
      </c>
      <c r="S4" s="0" t="n">
        <v>160.794</v>
      </c>
      <c r="T4" s="0" t="n">
        <v>4000</v>
      </c>
      <c r="AA4" s="0" t="s">
        <v>18</v>
      </c>
      <c r="AB4" s="0" t="s">
        <v>14</v>
      </c>
      <c r="AC4" s="0" t="n">
        <v>804.433</v>
      </c>
    </row>
    <row r="5" customFormat="false" ht="15" hidden="false" customHeight="false" outlineLevel="0" collapsed="false">
      <c r="A5" s="0" t="s">
        <v>68</v>
      </c>
      <c r="B5" s="0" t="n">
        <v>333.43</v>
      </c>
      <c r="F5" s="0" t="n">
        <v>116.384</v>
      </c>
      <c r="G5" s="0" t="n">
        <v>34.9</v>
      </c>
      <c r="H5" s="0" t="n">
        <v>154.447</v>
      </c>
      <c r="I5" s="0" t="n">
        <v>68.076</v>
      </c>
      <c r="J5" s="0" t="n">
        <v>20.4</v>
      </c>
      <c r="K5" s="0" t="n">
        <v>0.0171</v>
      </c>
      <c r="L5" s="0" t="n">
        <v>107.655</v>
      </c>
      <c r="M5" s="0" t="n">
        <v>64.511</v>
      </c>
      <c r="N5" s="0" t="n">
        <v>43.144</v>
      </c>
      <c r="O5" s="0" t="n">
        <v>759.075</v>
      </c>
      <c r="P5" s="0" t="n">
        <v>1318.965</v>
      </c>
      <c r="Q5" s="0" t="n">
        <v>530.348</v>
      </c>
      <c r="R5" s="0" t="n">
        <v>457.412</v>
      </c>
      <c r="S5" s="0" t="n">
        <v>193.802</v>
      </c>
      <c r="T5" s="0" t="n">
        <v>3982.746</v>
      </c>
      <c r="AA5" s="0" t="s">
        <v>18</v>
      </c>
      <c r="AB5" s="0" t="s">
        <v>14</v>
      </c>
      <c r="AC5" s="0" t="n">
        <v>788.617</v>
      </c>
    </row>
    <row r="6" customFormat="false" ht="15" hidden="false" customHeight="false" outlineLevel="0" collapsed="false">
      <c r="A6" s="0" t="s">
        <v>69</v>
      </c>
      <c r="B6" s="0" t="n">
        <v>349.048</v>
      </c>
      <c r="F6" s="0" t="n">
        <v>109.546</v>
      </c>
      <c r="G6" s="0" t="n">
        <v>31.4</v>
      </c>
      <c r="H6" s="0" t="n">
        <v>146.04</v>
      </c>
      <c r="I6" s="0" t="n">
        <v>58.978</v>
      </c>
      <c r="J6" s="0" t="n">
        <v>16.9</v>
      </c>
      <c r="K6" s="0" t="n">
        <v>0.0152</v>
      </c>
      <c r="L6" s="0" t="n">
        <v>53.476</v>
      </c>
      <c r="M6" s="0" t="n">
        <v>56.011</v>
      </c>
      <c r="N6" s="0" t="n">
        <v>-2.535</v>
      </c>
      <c r="O6" s="0" t="n">
        <v>745.951</v>
      </c>
      <c r="P6" s="0" t="n">
        <v>1325.983</v>
      </c>
      <c r="Q6" s="0" t="n">
        <v>550.902</v>
      </c>
      <c r="R6" s="0" t="n">
        <v>492.756</v>
      </c>
      <c r="S6" s="0" t="n">
        <v>112.392</v>
      </c>
      <c r="T6" s="0" t="n">
        <v>3870.675</v>
      </c>
      <c r="AA6" s="0" t="s">
        <v>18</v>
      </c>
      <c r="AB6" s="0" t="s">
        <v>14</v>
      </c>
      <c r="AC6" s="0" t="n">
        <v>775.081</v>
      </c>
    </row>
    <row r="7" customFormat="false" ht="15" hidden="false" customHeight="false" outlineLevel="0" collapsed="false">
      <c r="A7" s="0" t="s">
        <v>70</v>
      </c>
      <c r="B7" s="0" t="n">
        <v>258.934</v>
      </c>
      <c r="F7" s="0" t="n">
        <v>106.251</v>
      </c>
      <c r="G7" s="0" t="n">
        <v>41</v>
      </c>
      <c r="H7" s="0" t="n">
        <v>141.922</v>
      </c>
      <c r="I7" s="0" t="n">
        <v>56.461</v>
      </c>
      <c r="J7" s="0" t="n">
        <v>21.8</v>
      </c>
      <c r="K7" s="0" t="n">
        <v>0.0147</v>
      </c>
      <c r="L7" s="0" t="n">
        <v>125.897</v>
      </c>
      <c r="M7" s="0" t="n">
        <v>77.706</v>
      </c>
      <c r="N7" s="0" t="n">
        <v>48.191</v>
      </c>
      <c r="O7" s="0" t="n">
        <v>779.244</v>
      </c>
      <c r="P7" s="0" t="n">
        <v>1374.549</v>
      </c>
      <c r="Q7" s="0" t="n">
        <v>567.554</v>
      </c>
      <c r="R7" s="0" t="n">
        <v>521.767</v>
      </c>
      <c r="S7" s="0" t="n">
        <v>155.992</v>
      </c>
      <c r="T7" s="0" t="n">
        <v>3847.792</v>
      </c>
      <c r="AA7" s="0" t="s">
        <v>18</v>
      </c>
      <c r="AB7" s="0" t="s">
        <v>14</v>
      </c>
      <c r="AC7" s="0" t="n">
        <v>806.995</v>
      </c>
    </row>
    <row r="8" customFormat="false" ht="15" hidden="false" customHeight="false" outlineLevel="0" collapsed="false">
      <c r="A8" s="0" t="s">
        <v>71</v>
      </c>
      <c r="B8" s="0" t="n">
        <v>278.161</v>
      </c>
      <c r="F8" s="0" t="n">
        <v>104.028</v>
      </c>
      <c r="G8" s="0" t="n">
        <v>37.4</v>
      </c>
      <c r="H8" s="0" t="n">
        <v>138.472</v>
      </c>
      <c r="I8" s="0" t="n">
        <v>57.882</v>
      </c>
      <c r="J8" s="0" t="n">
        <v>20.8</v>
      </c>
      <c r="K8" s="0" t="n">
        <v>0.015</v>
      </c>
      <c r="L8" s="0" t="n">
        <v>84.051</v>
      </c>
      <c r="M8" s="0" t="n">
        <v>133.152</v>
      </c>
      <c r="N8" s="0" t="n">
        <v>-49.101</v>
      </c>
      <c r="O8" s="0" t="n">
        <v>813.846</v>
      </c>
      <c r="P8" s="0" t="n">
        <v>1468.651</v>
      </c>
      <c r="Q8" s="0" t="n">
        <v>627.411</v>
      </c>
      <c r="R8" s="0" t="n">
        <v>532.978</v>
      </c>
      <c r="S8" s="0" t="n">
        <v>108.048</v>
      </c>
      <c r="T8" s="0" t="n">
        <v>3847.792</v>
      </c>
      <c r="AA8" s="0" t="s">
        <v>18</v>
      </c>
      <c r="AB8" s="0" t="s">
        <v>14</v>
      </c>
      <c r="AC8" s="0" t="n">
        <v>841.24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0.54</v>
      </c>
    </row>
    <row r="3" customFormat="false" ht="15" hidden="false" customHeight="false" outlineLevel="0" collapsed="false">
      <c r="A3" s="0" t="s">
        <v>75</v>
      </c>
      <c r="B3" s="3" t="n">
        <v>3847.792</v>
      </c>
    </row>
    <row r="4" customFormat="false" ht="15" hidden="false" customHeight="false" outlineLevel="0" collapsed="false">
      <c r="A4" s="0" t="s">
        <v>76</v>
      </c>
      <c r="B4" s="3" t="n">
        <v>377.077</v>
      </c>
    </row>
    <row r="5" customFormat="false" ht="15" hidden="false" customHeight="false" outlineLevel="0" collapsed="false">
      <c r="A5" s="0" t="s">
        <v>77</v>
      </c>
      <c r="B5" s="3" t="n">
        <v>50.959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278.161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8</v>
      </c>
      <c r="D13" s="3" t="n">
        <v>-4</v>
      </c>
      <c r="E13" s="3" t="n">
        <v>-2</v>
      </c>
      <c r="F13" s="3" t="n">
        <v>-1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96</v>
      </c>
      <c r="C14" s="3" t="n">
        <v>39</v>
      </c>
      <c r="D14" s="3" t="n">
        <v>37</v>
      </c>
      <c r="E14" s="3" t="n">
        <v>36</v>
      </c>
      <c r="F14" s="3" t="n">
        <v>36</v>
      </c>
      <c r="G14" s="3" t="n">
        <v>36</v>
      </c>
      <c r="H14" s="3" t="n">
        <v>36</v>
      </c>
      <c r="I14" s="3" t="n">
        <v>36</v>
      </c>
      <c r="J14" s="3" t="n">
        <v>36</v>
      </c>
      <c r="K14" s="3" t="n">
        <v>36</v>
      </c>
      <c r="L14" s="3" t="n">
        <v>36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11.5</v>
      </c>
      <c r="D17" s="3" t="n">
        <v>12</v>
      </c>
      <c r="E17" s="3" t="n">
        <v>12.5</v>
      </c>
      <c r="F17" s="3" t="n">
        <v>12.5</v>
      </c>
      <c r="G17" s="3" t="n">
        <v>12.5</v>
      </c>
      <c r="H17" s="3" t="n">
        <v>12.5</v>
      </c>
      <c r="I17" s="3" t="n">
        <v>12.5</v>
      </c>
      <c r="J17" s="3" t="n">
        <v>12.5</v>
      </c>
      <c r="K17" s="3" t="n">
        <v>12.5</v>
      </c>
      <c r="L17" s="3" t="n">
        <v>12.5</v>
      </c>
    </row>
    <row r="18" customFormat="false" ht="15" hidden="false" customHeight="false" outlineLevel="0" collapsed="false">
      <c r="A18" s="0" t="s">
        <v>100</v>
      </c>
      <c r="C18" s="3" t="n">
        <v>24</v>
      </c>
      <c r="D18" s="3" t="n">
        <v>20</v>
      </c>
      <c r="E18" s="3" t="n">
        <v>15</v>
      </c>
      <c r="F18" s="3" t="n">
        <v>13.5</v>
      </c>
      <c r="G18" s="3" t="n">
        <v>13.5</v>
      </c>
      <c r="H18" s="3" t="n">
        <v>13.5</v>
      </c>
      <c r="I18" s="3" t="n">
        <v>13.5</v>
      </c>
      <c r="J18" s="3" t="n">
        <v>13.5</v>
      </c>
      <c r="K18" s="3" t="n">
        <v>13.5</v>
      </c>
      <c r="L18" s="3" t="n">
        <v>13.5</v>
      </c>
    </row>
    <row r="19" customFormat="false" ht="15" hidden="false" customHeight="false" outlineLevel="0" collapsed="false">
      <c r="A19" s="0" t="s">
        <v>101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0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15</v>
      </c>
      <c r="D27" s="3" t="n">
        <v>0</v>
      </c>
      <c r="E27" s="3" t="n">
        <v>4</v>
      </c>
      <c r="F27" s="3" t="n">
        <v>3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42</v>
      </c>
      <c r="D28" s="3" t="n">
        <v>42.5</v>
      </c>
      <c r="E28" s="3" t="n">
        <v>43</v>
      </c>
      <c r="F28" s="3" t="n">
        <v>43</v>
      </c>
      <c r="G28" s="3" t="n">
        <v>43</v>
      </c>
      <c r="H28" s="3" t="n">
        <v>43</v>
      </c>
      <c r="I28" s="3" t="n">
        <v>43</v>
      </c>
      <c r="J28" s="3" t="n">
        <v>43</v>
      </c>
      <c r="K28" s="3" t="n">
        <v>43</v>
      </c>
      <c r="L28" s="3" t="n">
        <v>43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11.5</v>
      </c>
      <c r="D31" s="3" t="n">
        <v>12</v>
      </c>
      <c r="E31" s="3" t="n">
        <v>12</v>
      </c>
      <c r="F31" s="3" t="n">
        <v>12</v>
      </c>
      <c r="G31" s="3" t="n">
        <v>12</v>
      </c>
      <c r="H31" s="3" t="n">
        <v>12</v>
      </c>
      <c r="I31" s="3" t="n">
        <v>12</v>
      </c>
      <c r="J31" s="3" t="n">
        <v>12</v>
      </c>
      <c r="K31" s="3" t="n">
        <v>12</v>
      </c>
      <c r="L31" s="3" t="n">
        <v>12</v>
      </c>
    </row>
    <row r="32" customFormat="false" ht="15" hidden="false" customHeight="false" outlineLevel="0" collapsed="false">
      <c r="A32" s="0" t="s">
        <v>100</v>
      </c>
      <c r="C32" s="3" t="n">
        <v>22</v>
      </c>
      <c r="D32" s="3" t="n">
        <v>18</v>
      </c>
      <c r="E32" s="3" t="n">
        <v>15</v>
      </c>
      <c r="F32" s="3" t="n">
        <v>14</v>
      </c>
      <c r="G32" s="3" t="n">
        <v>13.5</v>
      </c>
      <c r="H32" s="3" t="n">
        <v>13.5</v>
      </c>
      <c r="I32" s="3" t="n">
        <v>13.5</v>
      </c>
      <c r="J32" s="3" t="n">
        <v>13.5</v>
      </c>
      <c r="K32" s="3" t="n">
        <v>13.5</v>
      </c>
      <c r="L32" s="3" t="n">
        <v>13.5</v>
      </c>
    </row>
    <row r="33" customFormat="false" ht="15" hidden="false" customHeight="false" outlineLevel="0" collapsed="false">
      <c r="A33" s="0" t="s">
        <v>101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1.5</v>
      </c>
    </row>
    <row r="36" customFormat="false" ht="15" hidden="false" customHeight="false" outlineLevel="0" collapsed="false">
      <c r="A36" s="0" t="s">
        <v>104</v>
      </c>
      <c r="B36" s="3" t="n">
        <v>13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20</v>
      </c>
      <c r="D41" s="3" t="n">
        <v>5</v>
      </c>
      <c r="E41" s="3" t="n">
        <v>6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44</v>
      </c>
      <c r="D42" s="3" t="n">
        <v>45</v>
      </c>
      <c r="E42" s="3" t="n">
        <v>46</v>
      </c>
      <c r="F42" s="3" t="n">
        <v>47</v>
      </c>
      <c r="G42" s="3" t="n">
        <v>47.5</v>
      </c>
      <c r="H42" s="3" t="n">
        <v>48</v>
      </c>
      <c r="I42" s="3" t="n">
        <v>48</v>
      </c>
      <c r="J42" s="3" t="n">
        <v>48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11.5</v>
      </c>
      <c r="D45" s="3" t="n">
        <v>12</v>
      </c>
      <c r="E45" s="3" t="n">
        <v>12</v>
      </c>
      <c r="F45" s="3" t="n">
        <v>12</v>
      </c>
      <c r="G45" s="3" t="n">
        <v>12</v>
      </c>
      <c r="H45" s="3" t="n">
        <v>12</v>
      </c>
      <c r="I45" s="3" t="n">
        <v>12</v>
      </c>
      <c r="J45" s="3" t="n">
        <v>12</v>
      </c>
      <c r="K45" s="3" t="n">
        <v>12</v>
      </c>
      <c r="L45" s="3" t="n">
        <v>12</v>
      </c>
    </row>
    <row r="46" customFormat="false" ht="15" hidden="false" customHeight="false" outlineLevel="0" collapsed="false">
      <c r="A46" s="0" t="s">
        <v>100</v>
      </c>
      <c r="C46" s="3" t="n">
        <v>21</v>
      </c>
      <c r="D46" s="3" t="n">
        <v>16</v>
      </c>
      <c r="E46" s="3" t="n">
        <v>13.5</v>
      </c>
      <c r="F46" s="3" t="n">
        <v>13</v>
      </c>
      <c r="G46" s="3" t="n">
        <v>12.5</v>
      </c>
      <c r="H46" s="3" t="n">
        <v>12.5</v>
      </c>
      <c r="I46" s="3" t="n">
        <v>12.5</v>
      </c>
      <c r="J46" s="3" t="n">
        <v>12.5</v>
      </c>
      <c r="K46" s="3" t="n">
        <v>12.5</v>
      </c>
      <c r="L46" s="3" t="n">
        <v>12.5</v>
      </c>
    </row>
    <row r="47" customFormat="false" ht="15" hidden="false" customHeight="false" outlineLevel="0" collapsed="false">
      <c r="A47" s="0" t="s">
        <v>101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8</v>
      </c>
      <c r="D5" s="4" t="n">
        <f aca="false">Assumptions!D13</f>
        <v>-4</v>
      </c>
      <c r="E5" s="4" t="n">
        <f aca="false">Assumptions!E13</f>
        <v>-2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278.161</v>
      </c>
      <c r="C6" s="0" t="n">
        <f aca="false">B6*(1+C5/100)</f>
        <v>300.41388</v>
      </c>
      <c r="D6" s="0" t="n">
        <f aca="false">C6*(1+D5/100)</f>
        <v>288.3973248</v>
      </c>
      <c r="E6" s="0" t="n">
        <f aca="false">D6*(1+E5/100)</f>
        <v>282.629378304</v>
      </c>
      <c r="F6" s="0" t="n">
        <f aca="false">E6*(1+F5/100)</f>
        <v>279.80308452096</v>
      </c>
      <c r="G6" s="0" t="n">
        <f aca="false">F6*(1+G5/100)</f>
        <v>279.80308452096</v>
      </c>
      <c r="H6" s="0" t="n">
        <f aca="false">G6*(1+H5/100)</f>
        <v>279.80308452096</v>
      </c>
      <c r="I6" s="0" t="n">
        <f aca="false">H6*(1+I5/100)</f>
        <v>279.80308452096</v>
      </c>
      <c r="J6" s="0" t="n">
        <f aca="false">I6*(1+J5/100)</f>
        <v>279.80308452096</v>
      </c>
      <c r="K6" s="0" t="n">
        <f aca="false">J6*(1+K5/100)</f>
        <v>279.80308452096</v>
      </c>
      <c r="L6" s="0" t="n">
        <f aca="false">K6*(1+L5/100)</f>
        <v>279.80308452096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39</v>
      </c>
      <c r="D7" s="4" t="n">
        <f aca="false">Assumptions!D14</f>
        <v>37</v>
      </c>
      <c r="E7" s="4" t="n">
        <f aca="false">Assumptions!E14</f>
        <v>36</v>
      </c>
      <c r="F7" s="4" t="n">
        <f aca="false">Assumptions!F14</f>
        <v>36</v>
      </c>
      <c r="G7" s="4" t="n">
        <f aca="false">Assumptions!G14</f>
        <v>36</v>
      </c>
      <c r="H7" s="4" t="n">
        <f aca="false">Assumptions!H14</f>
        <v>36</v>
      </c>
      <c r="I7" s="4" t="n">
        <f aca="false">Assumptions!I14</f>
        <v>36</v>
      </c>
      <c r="J7" s="4" t="n">
        <f aca="false">Assumptions!J14</f>
        <v>36</v>
      </c>
      <c r="K7" s="4" t="n">
        <f aca="false">Assumptions!K14</f>
        <v>36</v>
      </c>
      <c r="L7" s="4" t="n">
        <f aca="false">Assumptions!L14</f>
        <v>36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117.1614132</v>
      </c>
      <c r="D8" s="0" t="n">
        <f aca="false">D6*D7/100</f>
        <v>106.707010176</v>
      </c>
      <c r="E8" s="0" t="n">
        <f aca="false">E6*E7/100</f>
        <v>101.74657618944</v>
      </c>
      <c r="F8" s="0" t="n">
        <f aca="false">F6*F7/100</f>
        <v>100.729110427546</v>
      </c>
      <c r="G8" s="0" t="n">
        <f aca="false">G6*G7/100</f>
        <v>100.729110427546</v>
      </c>
      <c r="H8" s="0" t="n">
        <f aca="false">H6*H7/100</f>
        <v>100.729110427546</v>
      </c>
      <c r="I8" s="0" t="n">
        <f aca="false">I6*I7/100</f>
        <v>100.729110427546</v>
      </c>
      <c r="J8" s="0" t="n">
        <f aca="false">J6*J7/100</f>
        <v>100.729110427546</v>
      </c>
      <c r="K8" s="0" t="n">
        <f aca="false">K6*K7/100</f>
        <v>100.729110427546</v>
      </c>
      <c r="L8" s="0" t="n">
        <f aca="false">L6*L7/100</f>
        <v>100.729110427546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117.1614132</v>
      </c>
      <c r="D11" s="0" t="n">
        <f aca="false">D8+D10+D24</f>
        <v>106.707010176</v>
      </c>
      <c r="E11" s="0" t="n">
        <f aca="false">E8+E10+E24</f>
        <v>101.74657618944</v>
      </c>
      <c r="F11" s="0" t="n">
        <f aca="false">F8+F10+F24</f>
        <v>100.729110427546</v>
      </c>
      <c r="G11" s="0" t="n">
        <f aca="false">G8+G10+G24</f>
        <v>100.729110427546</v>
      </c>
      <c r="H11" s="0" t="n">
        <f aca="false">H8+H10+H24</f>
        <v>100.729110427546</v>
      </c>
      <c r="I11" s="0" t="n">
        <f aca="false">I8+I10+I24</f>
        <v>100.729110427546</v>
      </c>
      <c r="J11" s="0" t="n">
        <f aca="false">J8+J10+J24</f>
        <v>100.729110427546</v>
      </c>
      <c r="K11" s="0" t="n">
        <f aca="false">K8+K10+K24</f>
        <v>100.729110427546</v>
      </c>
      <c r="L11" s="0" t="n">
        <f aca="false">L8+L10+L24</f>
        <v>100.729110427546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-34.5475962</v>
      </c>
      <c r="D12" s="4" t="n">
        <f aca="false">-D6*Assumptions!D17/100</f>
        <v>-34.607678976</v>
      </c>
      <c r="E12" s="4" t="n">
        <f aca="false">-E6*Assumptions!E17/100</f>
        <v>-35.328672288</v>
      </c>
      <c r="F12" s="4" t="n">
        <f aca="false">-F6*Assumptions!F17/100</f>
        <v>-34.97538556512</v>
      </c>
      <c r="G12" s="4" t="n">
        <f aca="false">-G6*Assumptions!G17/100</f>
        <v>-34.97538556512</v>
      </c>
      <c r="H12" s="4" t="n">
        <f aca="false">-H6*Assumptions!H17/100</f>
        <v>-34.97538556512</v>
      </c>
      <c r="I12" s="4" t="n">
        <f aca="false">-I6*Assumptions!I17/100</f>
        <v>-34.97538556512</v>
      </c>
      <c r="J12" s="4" t="n">
        <f aca="false">-J6*Assumptions!J17/100</f>
        <v>-34.97538556512</v>
      </c>
      <c r="K12" s="4" t="n">
        <f aca="false">-K6*Assumptions!K17/100</f>
        <v>-34.97538556512</v>
      </c>
      <c r="L12" s="4" t="n">
        <f aca="false">-L6*Assumptions!L17/100</f>
        <v>-34.97538556512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82.613817</v>
      </c>
      <c r="D13" s="0" t="n">
        <f aca="false">D11+D12</f>
        <v>72.0993312</v>
      </c>
      <c r="E13" s="0" t="n">
        <f aca="false">E11+E12</f>
        <v>66.41790390144</v>
      </c>
      <c r="F13" s="0" t="n">
        <f aca="false">F11+F12</f>
        <v>65.7537248624256</v>
      </c>
      <c r="G13" s="0" t="n">
        <f aca="false">G11+G12</f>
        <v>65.7537248624256</v>
      </c>
      <c r="H13" s="0" t="n">
        <f aca="false">H11+H12</f>
        <v>65.7537248624256</v>
      </c>
      <c r="I13" s="0" t="n">
        <f aca="false">I11+I12</f>
        <v>65.7537248624256</v>
      </c>
      <c r="J13" s="0" t="n">
        <f aca="false">J11+J12</f>
        <v>65.7537248624256</v>
      </c>
      <c r="K13" s="0" t="n">
        <f aca="false">K11+K12</f>
        <v>65.7537248624256</v>
      </c>
      <c r="L13" s="0" t="n">
        <f aca="false">L11+L12</f>
        <v>65.7537248624256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61.96036275</v>
      </c>
      <c r="D15" s="0" t="n">
        <f aca="false">D13-MAX(0,D13)*D14/100</f>
        <v>54.0744984</v>
      </c>
      <c r="E15" s="0" t="n">
        <f aca="false">E13-MAX(0,E13)*E14/100</f>
        <v>49.81342792608</v>
      </c>
      <c r="F15" s="0" t="n">
        <f aca="false">F13-MAX(0,F13)*F14/100</f>
        <v>49.3152936468192</v>
      </c>
      <c r="G15" s="0" t="n">
        <f aca="false">G13-MAX(0,G13)*G14/100</f>
        <v>49.3152936468192</v>
      </c>
      <c r="H15" s="0" t="n">
        <f aca="false">H13-MAX(0,H13)*H14/100</f>
        <v>49.3152936468192</v>
      </c>
      <c r="I15" s="0" t="n">
        <f aca="false">I13-MAX(0,I13)*I14/100</f>
        <v>49.3152936468192</v>
      </c>
      <c r="J15" s="0" t="n">
        <f aca="false">J13-MAX(0,J13)*J14/100</f>
        <v>49.3152936468192</v>
      </c>
      <c r="K15" s="0" t="n">
        <f aca="false">K13-MAX(0,K13)*K14/100</f>
        <v>49.3152936468192</v>
      </c>
      <c r="L15" s="0" t="n">
        <f aca="false">L13-MAX(0,L13)*L14/100</f>
        <v>49.3152936468192</v>
      </c>
    </row>
    <row r="16" customFormat="false" ht="15" hidden="false" customHeight="false" outlineLevel="0" collapsed="false">
      <c r="A16" s="0" t="s">
        <v>117</v>
      </c>
      <c r="C16" s="0" t="n">
        <f aca="false">-C12</f>
        <v>34.5475962</v>
      </c>
      <c r="D16" s="0" t="n">
        <f aca="false">-D12</f>
        <v>34.607678976</v>
      </c>
      <c r="E16" s="0" t="n">
        <f aca="false">-E12</f>
        <v>35.328672288</v>
      </c>
      <c r="F16" s="0" t="n">
        <f aca="false">-F12</f>
        <v>34.97538556512</v>
      </c>
      <c r="G16" s="0" t="n">
        <f aca="false">-G12</f>
        <v>34.97538556512</v>
      </c>
      <c r="H16" s="0" t="n">
        <f aca="false">-H12</f>
        <v>34.97538556512</v>
      </c>
      <c r="I16" s="0" t="n">
        <f aca="false">-I12</f>
        <v>34.97538556512</v>
      </c>
      <c r="J16" s="0" t="n">
        <f aca="false">-J12</f>
        <v>34.97538556512</v>
      </c>
      <c r="K16" s="0" t="n">
        <f aca="false">-K12</f>
        <v>34.97538556512</v>
      </c>
      <c r="L16" s="0" t="n">
        <f aca="false">-L12</f>
        <v>34.97538556512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-72.0993312</v>
      </c>
      <c r="D17" s="4" t="n">
        <f aca="false">-D6*Assumptions!D18/100</f>
        <v>-57.67946496</v>
      </c>
      <c r="E17" s="4" t="n">
        <f aca="false">-E6*Assumptions!E18/100</f>
        <v>-42.3944067456</v>
      </c>
      <c r="F17" s="4" t="n">
        <f aca="false">-F6*Assumptions!F18/100</f>
        <v>-37.7734164103296</v>
      </c>
      <c r="G17" s="4" t="n">
        <f aca="false">-G6*Assumptions!G18/100</f>
        <v>-37.7734164103296</v>
      </c>
      <c r="H17" s="4" t="n">
        <f aca="false">-H6*Assumptions!H18/100</f>
        <v>-37.7734164103296</v>
      </c>
      <c r="I17" s="4" t="n">
        <f aca="false">-I6*Assumptions!I18/100</f>
        <v>-37.7734164103296</v>
      </c>
      <c r="J17" s="4" t="n">
        <f aca="false">-J6*Assumptions!J18/100</f>
        <v>-37.7734164103296</v>
      </c>
      <c r="K17" s="4" t="n">
        <f aca="false">-K6*Assumptions!K18/100</f>
        <v>-37.7734164103296</v>
      </c>
      <c r="L17" s="4" t="n">
        <f aca="false">-L6*Assumptions!L18/100</f>
        <v>-37.7734164103296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-3.337932</v>
      </c>
      <c r="D18" s="4" t="n">
        <f aca="false">(D6-C6)*Assumptions!$B$23/100</f>
        <v>1.80248328</v>
      </c>
      <c r="E18" s="4" t="n">
        <f aca="false">(E6-D6)*Assumptions!$B$23/100</f>
        <v>0.865191974399997</v>
      </c>
      <c r="F18" s="4" t="n">
        <f aca="false">(F6-E6)*Assumptions!$B$23/100</f>
        <v>0.423944067456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21.07069575</v>
      </c>
      <c r="D19" s="0" t="n">
        <f aca="false">D15+D16+D17+D18</f>
        <v>32.805195696</v>
      </c>
      <c r="E19" s="0" t="n">
        <f aca="false">E15+E16+E17+E18</f>
        <v>43.61288544288</v>
      </c>
      <c r="F19" s="0" t="n">
        <f aca="false">F15+F16+F17+F18</f>
        <v>46.9412068690656</v>
      </c>
      <c r="G19" s="0" t="n">
        <f aca="false">G15+G16+G17+G18</f>
        <v>46.5172628016096</v>
      </c>
      <c r="H19" s="0" t="n">
        <f aca="false">H15+H16+H17+H18</f>
        <v>46.5172628016096</v>
      </c>
      <c r="I19" s="0" t="n">
        <f aca="false">I15+I16+I17+I18</f>
        <v>46.5172628016096</v>
      </c>
      <c r="J19" s="0" t="n">
        <f aca="false">J15+J16+J17+J18</f>
        <v>46.5172628016096</v>
      </c>
      <c r="K19" s="0" t="n">
        <f aca="false">K15+K16+K17+K18</f>
        <v>46.5172628016096</v>
      </c>
      <c r="L19" s="0" t="n">
        <f aca="false">L15+L16+L17+L18</f>
        <v>46.5172628016096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19.4199960829493</v>
      </c>
      <c r="D21" s="0" t="n">
        <f aca="false">D19*D20</f>
        <v>27.8665469183886</v>
      </c>
      <c r="E21" s="0" t="n">
        <f aca="false">E19*E20</f>
        <v>34.1448812091624</v>
      </c>
      <c r="F21" s="0" t="n">
        <f aca="false">F19*F20</f>
        <v>33.8715677492199</v>
      </c>
      <c r="G21" s="0" t="n">
        <f aca="false">G19*G20</f>
        <v>30.9360927301159</v>
      </c>
      <c r="H21" s="0" t="n">
        <f aca="false">H19*H20</f>
        <v>28.512527861858</v>
      </c>
      <c r="I21" s="0" t="n">
        <f aca="false">I19*I20</f>
        <v>26.2788275224497</v>
      </c>
      <c r="J21" s="0" t="n">
        <f aca="false">J19*J20</f>
        <v>24.2201175322117</v>
      </c>
      <c r="K21" s="0" t="n">
        <f aca="false">K19*K20</f>
        <v>22.3226889697804</v>
      </c>
      <c r="L21" s="0" t="n">
        <f aca="false">L19*L20</f>
        <v>20.5739068845902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268.147153460726</v>
      </c>
    </row>
    <row r="31" customFormat="false" ht="15" hidden="false" customHeight="false" outlineLevel="0" collapsed="false">
      <c r="A31" s="0" t="s">
        <v>126</v>
      </c>
      <c r="B31" s="0" t="n">
        <f aca="false">L19</f>
        <v>46.5172628016096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547.261915313054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465.172628016096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465.172628016096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205.739068845902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473.886222306629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147.768222306629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0.0450241239215351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-0.916621992737898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0.0450241239215351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310.115085344064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-0.0152852724459823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15</v>
      </c>
      <c r="D5" s="4" t="n">
        <f aca="false">Assumptions!D27</f>
        <v>0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278.161</v>
      </c>
      <c r="C6" s="0" t="n">
        <f aca="false">B6*(1+C5/100)</f>
        <v>319.88515</v>
      </c>
      <c r="D6" s="0" t="n">
        <f aca="false">C6*(1+D5/100)</f>
        <v>319.88515</v>
      </c>
      <c r="E6" s="0" t="n">
        <f aca="false">D6*(1+E5/100)</f>
        <v>332.680556</v>
      </c>
      <c r="F6" s="0" t="n">
        <f aca="false">E6*(1+F5/100)</f>
        <v>342.66097268</v>
      </c>
      <c r="G6" s="0" t="n">
        <f aca="false">F6*(1+G5/100)</f>
        <v>351.227496997</v>
      </c>
      <c r="H6" s="0" t="n">
        <f aca="false">G6*(1+H5/100)</f>
        <v>360.008184421925</v>
      </c>
      <c r="I6" s="0" t="n">
        <f aca="false">H6*(1+I5/100)</f>
        <v>367.208348110363</v>
      </c>
      <c r="J6" s="0" t="n">
        <f aca="false">I6*(1+J5/100)</f>
        <v>374.552515072571</v>
      </c>
      <c r="K6" s="0" t="n">
        <f aca="false">J6*(1+K5/100)</f>
        <v>382.043565374022</v>
      </c>
      <c r="L6" s="0" t="n">
        <f aca="false">K6*(1+L5/100)</f>
        <v>389.684436681503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42</v>
      </c>
      <c r="D7" s="4" t="n">
        <f aca="false">Assumptions!D28</f>
        <v>42.5</v>
      </c>
      <c r="E7" s="4" t="n">
        <f aca="false">Assumptions!E28</f>
        <v>43</v>
      </c>
      <c r="F7" s="4" t="n">
        <f aca="false">Assumptions!F28</f>
        <v>43</v>
      </c>
      <c r="G7" s="4" t="n">
        <f aca="false">Assumptions!G28</f>
        <v>43</v>
      </c>
      <c r="H7" s="4" t="n">
        <f aca="false">Assumptions!H28</f>
        <v>43</v>
      </c>
      <c r="I7" s="4" t="n">
        <f aca="false">Assumptions!I28</f>
        <v>43</v>
      </c>
      <c r="J7" s="4" t="n">
        <f aca="false">Assumptions!J28</f>
        <v>43</v>
      </c>
      <c r="K7" s="4" t="n">
        <f aca="false">Assumptions!K28</f>
        <v>43</v>
      </c>
      <c r="L7" s="4" t="n">
        <f aca="false">Assumptions!L28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134.351763</v>
      </c>
      <c r="D8" s="0" t="n">
        <f aca="false">D6*D7/100</f>
        <v>135.95118875</v>
      </c>
      <c r="E8" s="0" t="n">
        <f aca="false">E6*E7/100</f>
        <v>143.05263908</v>
      </c>
      <c r="F8" s="0" t="n">
        <f aca="false">F6*F7/100</f>
        <v>147.3442182524</v>
      </c>
      <c r="G8" s="0" t="n">
        <f aca="false">G6*G7/100</f>
        <v>151.02782370871</v>
      </c>
      <c r="H8" s="0" t="n">
        <f aca="false">H6*H7/100</f>
        <v>154.803519301428</v>
      </c>
      <c r="I8" s="0" t="n">
        <f aca="false">I6*I7/100</f>
        <v>157.899589687456</v>
      </c>
      <c r="J8" s="0" t="n">
        <f aca="false">J6*J7/100</f>
        <v>161.057581481205</v>
      </c>
      <c r="K8" s="0" t="n">
        <f aca="false">K6*K7/100</f>
        <v>164.27873311083</v>
      </c>
      <c r="L8" s="0" t="n">
        <f aca="false">L6*L7/100</f>
        <v>167.564307773046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134.351763</v>
      </c>
      <c r="D11" s="0" t="n">
        <f aca="false">D8+D10+D24</f>
        <v>135.95118875</v>
      </c>
      <c r="E11" s="0" t="n">
        <f aca="false">E8+E10+E24</f>
        <v>143.05263908</v>
      </c>
      <c r="F11" s="0" t="n">
        <f aca="false">F8+F10+F24</f>
        <v>147.3442182524</v>
      </c>
      <c r="G11" s="0" t="n">
        <f aca="false">G8+G10+G24</f>
        <v>151.02782370871</v>
      </c>
      <c r="H11" s="0" t="n">
        <f aca="false">H8+H10+H24</f>
        <v>154.803519301428</v>
      </c>
      <c r="I11" s="0" t="n">
        <f aca="false">I8+I10+I24</f>
        <v>157.899589687456</v>
      </c>
      <c r="J11" s="0" t="n">
        <f aca="false">J8+J10+J24</f>
        <v>161.057581481205</v>
      </c>
      <c r="K11" s="0" t="n">
        <f aca="false">K8+K10+K24</f>
        <v>164.27873311083</v>
      </c>
      <c r="L11" s="0" t="n">
        <f aca="false">L8+L10+L24</f>
        <v>167.564307773046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-36.78679225</v>
      </c>
      <c r="D12" s="4" t="n">
        <f aca="false">-D6*Assumptions!D31/100</f>
        <v>-38.386218</v>
      </c>
      <c r="E12" s="4" t="n">
        <f aca="false">-E6*Assumptions!E31/100</f>
        <v>-39.92166672</v>
      </c>
      <c r="F12" s="4" t="n">
        <f aca="false">-F6*Assumptions!F31/100</f>
        <v>-41.1193167216</v>
      </c>
      <c r="G12" s="4" t="n">
        <f aca="false">-G6*Assumptions!G31/100</f>
        <v>-42.14729963964</v>
      </c>
      <c r="H12" s="4" t="n">
        <f aca="false">-H6*Assumptions!H31/100</f>
        <v>-43.200982130631</v>
      </c>
      <c r="I12" s="4" t="n">
        <f aca="false">-I6*Assumptions!I31/100</f>
        <v>-44.0650017732436</v>
      </c>
      <c r="J12" s="4" t="n">
        <f aca="false">-J6*Assumptions!J31/100</f>
        <v>-44.9463018087085</v>
      </c>
      <c r="K12" s="4" t="n">
        <f aca="false">-K6*Assumptions!K31/100</f>
        <v>-45.8452278448827</v>
      </c>
      <c r="L12" s="4" t="n">
        <f aca="false">-L6*Assumptions!L31/100</f>
        <v>-46.7621324017803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97.56497075</v>
      </c>
      <c r="D13" s="0" t="n">
        <f aca="false">D11+D12</f>
        <v>97.56497075</v>
      </c>
      <c r="E13" s="0" t="n">
        <f aca="false">E11+E12</f>
        <v>103.13097236</v>
      </c>
      <c r="F13" s="0" t="n">
        <f aca="false">F11+F12</f>
        <v>106.2249015308</v>
      </c>
      <c r="G13" s="0" t="n">
        <f aca="false">G11+G12</f>
        <v>108.88052406907</v>
      </c>
      <c r="H13" s="0" t="n">
        <f aca="false">H11+H12</f>
        <v>111.602537170797</v>
      </c>
      <c r="I13" s="0" t="n">
        <f aca="false">I11+I12</f>
        <v>113.834587914213</v>
      </c>
      <c r="J13" s="0" t="n">
        <f aca="false">J11+J12</f>
        <v>116.111279672497</v>
      </c>
      <c r="K13" s="0" t="n">
        <f aca="false">K11+K12</f>
        <v>118.433505265947</v>
      </c>
      <c r="L13" s="0" t="n">
        <f aca="false">L11+L12</f>
        <v>120.802175371266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73.1737280625</v>
      </c>
      <c r="D15" s="0" t="n">
        <f aca="false">D13-MAX(0,D13)*D14/100</f>
        <v>73.1737280625</v>
      </c>
      <c r="E15" s="0" t="n">
        <f aca="false">E13-MAX(0,E13)*E14/100</f>
        <v>77.34822927</v>
      </c>
      <c r="F15" s="0" t="n">
        <f aca="false">F13-MAX(0,F13)*F14/100</f>
        <v>79.6686761481</v>
      </c>
      <c r="G15" s="0" t="n">
        <f aca="false">G13-MAX(0,G13)*G14/100</f>
        <v>81.6603930518025</v>
      </c>
      <c r="H15" s="0" t="n">
        <f aca="false">H13-MAX(0,H13)*H14/100</f>
        <v>83.7019028780975</v>
      </c>
      <c r="I15" s="0" t="n">
        <f aca="false">I13-MAX(0,I13)*I14/100</f>
        <v>85.3759409356595</v>
      </c>
      <c r="J15" s="0" t="n">
        <f aca="false">J13-MAX(0,J13)*J14/100</f>
        <v>87.0834597543727</v>
      </c>
      <c r="K15" s="0" t="n">
        <f aca="false">K13-MAX(0,K13)*K14/100</f>
        <v>88.8251289494602</v>
      </c>
      <c r="L15" s="0" t="n">
        <f aca="false">L13-MAX(0,L13)*L14/100</f>
        <v>90.6016315284494</v>
      </c>
    </row>
    <row r="16" customFormat="false" ht="15" hidden="false" customHeight="false" outlineLevel="0" collapsed="false">
      <c r="A16" s="0" t="s">
        <v>117</v>
      </c>
      <c r="C16" s="0" t="n">
        <f aca="false">-C12</f>
        <v>36.78679225</v>
      </c>
      <c r="D16" s="0" t="n">
        <f aca="false">-D12</f>
        <v>38.386218</v>
      </c>
      <c r="E16" s="0" t="n">
        <f aca="false">-E12</f>
        <v>39.92166672</v>
      </c>
      <c r="F16" s="0" t="n">
        <f aca="false">-F12</f>
        <v>41.1193167216</v>
      </c>
      <c r="G16" s="0" t="n">
        <f aca="false">-G12</f>
        <v>42.14729963964</v>
      </c>
      <c r="H16" s="0" t="n">
        <f aca="false">-H12</f>
        <v>43.200982130631</v>
      </c>
      <c r="I16" s="0" t="n">
        <f aca="false">-I12</f>
        <v>44.0650017732436</v>
      </c>
      <c r="J16" s="0" t="n">
        <f aca="false">-J12</f>
        <v>44.9463018087085</v>
      </c>
      <c r="K16" s="0" t="n">
        <f aca="false">-K12</f>
        <v>45.8452278448827</v>
      </c>
      <c r="L16" s="0" t="n">
        <f aca="false">-L12</f>
        <v>46.7621324017803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-70.374733</v>
      </c>
      <c r="D17" s="4" t="n">
        <f aca="false">-D6*Assumptions!D32/100</f>
        <v>-57.579327</v>
      </c>
      <c r="E17" s="4" t="n">
        <f aca="false">-E6*Assumptions!E32/100</f>
        <v>-49.9020834</v>
      </c>
      <c r="F17" s="4" t="n">
        <f aca="false">-F6*Assumptions!F32/100</f>
        <v>-47.9725361752</v>
      </c>
      <c r="G17" s="4" t="n">
        <f aca="false">-G6*Assumptions!G32/100</f>
        <v>-47.415712094595</v>
      </c>
      <c r="H17" s="4" t="n">
        <f aca="false">-H6*Assumptions!H32/100</f>
        <v>-48.6011048969599</v>
      </c>
      <c r="I17" s="4" t="n">
        <f aca="false">-I6*Assumptions!I32/100</f>
        <v>-49.5731269948991</v>
      </c>
      <c r="J17" s="4" t="n">
        <f aca="false">-J6*Assumptions!J32/100</f>
        <v>-50.5645895347971</v>
      </c>
      <c r="K17" s="4" t="n">
        <f aca="false">-K6*Assumptions!K32/100</f>
        <v>-51.575881325493</v>
      </c>
      <c r="L17" s="4" t="n">
        <f aca="false">-L6*Assumptions!L32/100</f>
        <v>-52.6073989520029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-6.25862249999999</v>
      </c>
      <c r="D18" s="4" t="n">
        <f aca="false">(D6-C6)*Assumptions!$B$37/100</f>
        <v>-0</v>
      </c>
      <c r="E18" s="4" t="n">
        <f aca="false">(E6-D6)*Assumptions!$B$37/100</f>
        <v>-1.9193109</v>
      </c>
      <c r="F18" s="4" t="n">
        <f aca="false">(F6-E6)*Assumptions!$B$37/100</f>
        <v>-1.497062502</v>
      </c>
      <c r="G18" s="4" t="n">
        <f aca="false">(G6-F6)*Assumptions!$B$37/100</f>
        <v>-1.28497864754999</v>
      </c>
      <c r="H18" s="4" t="n">
        <f aca="false">(H6-G6)*Assumptions!$B$37/100</f>
        <v>-1.31710311373874</v>
      </c>
      <c r="I18" s="4" t="n">
        <f aca="false">(I6-H6)*Assumptions!$B$37/100</f>
        <v>-1.08002455326578</v>
      </c>
      <c r="J18" s="4" t="n">
        <f aca="false">(J6-I6)*Assumptions!$B$37/100</f>
        <v>-1.10162504433109</v>
      </c>
      <c r="K18" s="4" t="n">
        <f aca="false">(K6-J6)*Assumptions!$B$37/100</f>
        <v>-1.12365754521771</v>
      </c>
      <c r="L18" s="4" t="n">
        <f aca="false">(L6-K6)*Assumptions!$B$37/100</f>
        <v>-1.14613069612207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33.3271648125</v>
      </c>
      <c r="D19" s="0" t="n">
        <f aca="false">D15+D16+D17+D18</f>
        <v>53.9806190625</v>
      </c>
      <c r="E19" s="0" t="n">
        <f aca="false">E15+E16+E17+E18</f>
        <v>65.44850169</v>
      </c>
      <c r="F19" s="0" t="n">
        <f aca="false">F15+F16+F17+F18</f>
        <v>71.3183941925</v>
      </c>
      <c r="G19" s="0" t="n">
        <f aca="false">G15+G16+G17+G18</f>
        <v>75.1070019492975</v>
      </c>
      <c r="H19" s="0" t="n">
        <f aca="false">H15+H16+H17+H18</f>
        <v>76.9846769980299</v>
      </c>
      <c r="I19" s="0" t="n">
        <f aca="false">I15+I16+I17+I18</f>
        <v>78.7877911607383</v>
      </c>
      <c r="J19" s="0" t="n">
        <f aca="false">J15+J16+J17+J18</f>
        <v>80.3635469839531</v>
      </c>
      <c r="K19" s="0" t="n">
        <f aca="false">K15+K16+K17+K18</f>
        <v>81.9708179236321</v>
      </c>
      <c r="L19" s="0" t="n">
        <f aca="false">L15+L16+L17+L18</f>
        <v>83.6102342821047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30.7162809331797</v>
      </c>
      <c r="D21" s="0" t="n">
        <f aca="false">D19*D20</f>
        <v>45.854122247234</v>
      </c>
      <c r="E21" s="0" t="n">
        <f aca="false">E19*E20</f>
        <v>51.2401620032583</v>
      </c>
      <c r="F21" s="0" t="n">
        <f aca="false">F19*F20</f>
        <v>51.4615192445929</v>
      </c>
      <c r="G21" s="0" t="n">
        <f aca="false">G19*G20</f>
        <v>49.949567903296</v>
      </c>
      <c r="H21" s="0" t="n">
        <f aca="false">H19*H20</f>
        <v>47.1873798164777</v>
      </c>
      <c r="I21" s="0" t="n">
        <f aca="false">I19*I20</f>
        <v>44.5092993458804</v>
      </c>
      <c r="J21" s="0" t="n">
        <f aca="false">J19*J20</f>
        <v>41.8428436246987</v>
      </c>
      <c r="K21" s="0" t="n">
        <f aca="false">K19*K20</f>
        <v>39.3361294905001</v>
      </c>
      <c r="L21" s="0" t="n">
        <f aca="false">L19*L20</f>
        <v>36.9795871707928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439.076891779911</v>
      </c>
    </row>
    <row r="31" customFormat="false" ht="15" hidden="false" customHeight="false" outlineLevel="0" collapsed="false">
      <c r="A31" s="0" t="s">
        <v>126</v>
      </c>
      <c r="B31" s="0" t="n">
        <f aca="false">L19</f>
        <v>83.6102342821047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1212.34839709052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1086.93304566736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1086.93304566736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480.734633220306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919.811525000216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593.693525000216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0.180894988271262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-0.665009280979146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0.180894988271262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628.625094787676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0.0467274232004183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20</v>
      </c>
      <c r="D5" s="4" t="n">
        <f aca="false">Assumptions!D41</f>
        <v>5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278.161</v>
      </c>
      <c r="C6" s="0" t="n">
        <f aca="false">B6*(1+C5/100)</f>
        <v>333.7932</v>
      </c>
      <c r="D6" s="0" t="n">
        <f aca="false">C6*(1+D5/100)</f>
        <v>350.48286</v>
      </c>
      <c r="E6" s="0" t="n">
        <f aca="false">D6*(1+E5/100)</f>
        <v>371.5118316</v>
      </c>
      <c r="F6" s="0" t="n">
        <f aca="false">E6*(1+F5/100)</f>
        <v>390.08742318</v>
      </c>
      <c r="G6" s="0" t="n">
        <f aca="false">F6*(1+G5/100)</f>
        <v>405.6909201072</v>
      </c>
      <c r="H6" s="0" t="n">
        <f aca="false">G6*(1+H5/100)</f>
        <v>419.890102310952</v>
      </c>
      <c r="I6" s="0" t="n">
        <f aca="false">H6*(1+I5/100)</f>
        <v>432.486805380281</v>
      </c>
      <c r="J6" s="0" t="n">
        <f aca="false">I6*(1+J5/100)</f>
        <v>443.298975514788</v>
      </c>
      <c r="K6" s="0" t="n">
        <f aca="false">J6*(1+K5/100)</f>
        <v>454.381449902657</v>
      </c>
      <c r="L6" s="0" t="n">
        <f aca="false">K6*(1+L5/100)</f>
        <v>465.740986150224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44</v>
      </c>
      <c r="D7" s="4" t="n">
        <f aca="false">Assumptions!D42</f>
        <v>45</v>
      </c>
      <c r="E7" s="4" t="n">
        <f aca="false">Assumptions!E42</f>
        <v>46</v>
      </c>
      <c r="F7" s="4" t="n">
        <f aca="false">Assumptions!F42</f>
        <v>47</v>
      </c>
      <c r="G7" s="4" t="n">
        <f aca="false">Assumptions!G42</f>
        <v>47.5</v>
      </c>
      <c r="H7" s="4" t="n">
        <f aca="false">Assumptions!H42</f>
        <v>48</v>
      </c>
      <c r="I7" s="4" t="n">
        <f aca="false">Assumptions!I42</f>
        <v>48</v>
      </c>
      <c r="J7" s="4" t="n">
        <f aca="false">Assumptions!J42</f>
        <v>48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146.869008</v>
      </c>
      <c r="D8" s="0" t="n">
        <f aca="false">D6*D7/100</f>
        <v>157.717287</v>
      </c>
      <c r="E8" s="0" t="n">
        <f aca="false">E6*E7/100</f>
        <v>170.895442536</v>
      </c>
      <c r="F8" s="0" t="n">
        <f aca="false">F6*F7/100</f>
        <v>183.3410888946</v>
      </c>
      <c r="G8" s="0" t="n">
        <f aca="false">G6*G7/100</f>
        <v>192.70318705092</v>
      </c>
      <c r="H8" s="0" t="n">
        <f aca="false">H6*H7/100</f>
        <v>201.547249109257</v>
      </c>
      <c r="I8" s="0" t="n">
        <f aca="false">I6*I7/100</f>
        <v>207.593666582535</v>
      </c>
      <c r="J8" s="0" t="n">
        <f aca="false">J6*J7/100</f>
        <v>212.783508247098</v>
      </c>
      <c r="K8" s="0" t="n">
        <f aca="false">K6*K7/100</f>
        <v>218.103095953275</v>
      </c>
      <c r="L8" s="0" t="n">
        <f aca="false">L6*L7/100</f>
        <v>223.555673352107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146.869008</v>
      </c>
      <c r="D11" s="0" t="n">
        <f aca="false">D8+D10+D24</f>
        <v>157.717287</v>
      </c>
      <c r="E11" s="0" t="n">
        <f aca="false">E8+E10+E24</f>
        <v>170.895442536</v>
      </c>
      <c r="F11" s="0" t="n">
        <f aca="false">F8+F10+F24</f>
        <v>183.3410888946</v>
      </c>
      <c r="G11" s="0" t="n">
        <f aca="false">G8+G10+G24</f>
        <v>192.70318705092</v>
      </c>
      <c r="H11" s="0" t="n">
        <f aca="false">H8+H10+H24</f>
        <v>201.547249109257</v>
      </c>
      <c r="I11" s="0" t="n">
        <f aca="false">I8+I10+I24</f>
        <v>207.593666582535</v>
      </c>
      <c r="J11" s="0" t="n">
        <f aca="false">J8+J10+J24</f>
        <v>212.783508247098</v>
      </c>
      <c r="K11" s="0" t="n">
        <f aca="false">K8+K10+K24</f>
        <v>218.103095953275</v>
      </c>
      <c r="L11" s="0" t="n">
        <f aca="false">L8+L10+L24</f>
        <v>223.555673352107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-38.386218</v>
      </c>
      <c r="D12" s="4" t="n">
        <f aca="false">-D6*Assumptions!D45/100</f>
        <v>-42.0579432</v>
      </c>
      <c r="E12" s="4" t="n">
        <f aca="false">-E6*Assumptions!E45/100</f>
        <v>-44.581419792</v>
      </c>
      <c r="F12" s="4" t="n">
        <f aca="false">-F6*Assumptions!F45/100</f>
        <v>-46.8104907816</v>
      </c>
      <c r="G12" s="4" t="n">
        <f aca="false">-G6*Assumptions!G45/100</f>
        <v>-48.682910412864</v>
      </c>
      <c r="H12" s="4" t="n">
        <f aca="false">-H6*Assumptions!H45/100</f>
        <v>-50.3868122773143</v>
      </c>
      <c r="I12" s="4" t="n">
        <f aca="false">-I6*Assumptions!I45/100</f>
        <v>-51.8984166456337</v>
      </c>
      <c r="J12" s="4" t="n">
        <f aca="false">-J6*Assumptions!J45/100</f>
        <v>-53.1958770617745</v>
      </c>
      <c r="K12" s="4" t="n">
        <f aca="false">-K6*Assumptions!K45/100</f>
        <v>-54.5257739883189</v>
      </c>
      <c r="L12" s="4" t="n">
        <f aca="false">-L6*Assumptions!L45/100</f>
        <v>-55.8889183380268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108.48279</v>
      </c>
      <c r="D13" s="0" t="n">
        <f aca="false">D11+D12</f>
        <v>115.6593438</v>
      </c>
      <c r="E13" s="0" t="n">
        <f aca="false">E11+E12</f>
        <v>126.314022744</v>
      </c>
      <c r="F13" s="0" t="n">
        <f aca="false">F11+F12</f>
        <v>136.530598113</v>
      </c>
      <c r="G13" s="0" t="n">
        <f aca="false">G11+G12</f>
        <v>144.020276638056</v>
      </c>
      <c r="H13" s="0" t="n">
        <f aca="false">H11+H12</f>
        <v>151.160436831943</v>
      </c>
      <c r="I13" s="0" t="n">
        <f aca="false">I11+I12</f>
        <v>155.695249936901</v>
      </c>
      <c r="J13" s="0" t="n">
        <f aca="false">J11+J12</f>
        <v>159.587631185324</v>
      </c>
      <c r="K13" s="0" t="n">
        <f aca="false">K11+K12</f>
        <v>163.577321964957</v>
      </c>
      <c r="L13" s="0" t="n">
        <f aca="false">L11+L12</f>
        <v>167.666755014081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81.3620925</v>
      </c>
      <c r="D15" s="0" t="n">
        <f aca="false">D13-MAX(0,D13)*D14/100</f>
        <v>86.74450785</v>
      </c>
      <c r="E15" s="0" t="n">
        <f aca="false">E13-MAX(0,E13)*E14/100</f>
        <v>94.735517058</v>
      </c>
      <c r="F15" s="0" t="n">
        <f aca="false">F13-MAX(0,F13)*F14/100</f>
        <v>102.39794858475</v>
      </c>
      <c r="G15" s="0" t="n">
        <f aca="false">G13-MAX(0,G13)*G14/100</f>
        <v>108.015207478542</v>
      </c>
      <c r="H15" s="0" t="n">
        <f aca="false">H13-MAX(0,H13)*H14/100</f>
        <v>113.370327623957</v>
      </c>
      <c r="I15" s="0" t="n">
        <f aca="false">I13-MAX(0,I13)*I14/100</f>
        <v>116.771437452676</v>
      </c>
      <c r="J15" s="0" t="n">
        <f aca="false">J13-MAX(0,J13)*J14/100</f>
        <v>119.690723388993</v>
      </c>
      <c r="K15" s="0" t="n">
        <f aca="false">K13-MAX(0,K13)*K14/100</f>
        <v>122.682991473717</v>
      </c>
      <c r="L15" s="0" t="n">
        <f aca="false">L13-MAX(0,L13)*L14/100</f>
        <v>125.75006626056</v>
      </c>
    </row>
    <row r="16" customFormat="false" ht="15" hidden="false" customHeight="false" outlineLevel="0" collapsed="false">
      <c r="A16" s="0" t="s">
        <v>117</v>
      </c>
      <c r="C16" s="0" t="n">
        <f aca="false">-C12</f>
        <v>38.386218</v>
      </c>
      <c r="D16" s="0" t="n">
        <f aca="false">-D12</f>
        <v>42.0579432</v>
      </c>
      <c r="E16" s="0" t="n">
        <f aca="false">-E12</f>
        <v>44.581419792</v>
      </c>
      <c r="F16" s="0" t="n">
        <f aca="false">-F12</f>
        <v>46.8104907816</v>
      </c>
      <c r="G16" s="0" t="n">
        <f aca="false">-G12</f>
        <v>48.682910412864</v>
      </c>
      <c r="H16" s="0" t="n">
        <f aca="false">-H12</f>
        <v>50.3868122773143</v>
      </c>
      <c r="I16" s="0" t="n">
        <f aca="false">-I12</f>
        <v>51.8984166456337</v>
      </c>
      <c r="J16" s="0" t="n">
        <f aca="false">-J12</f>
        <v>53.1958770617745</v>
      </c>
      <c r="K16" s="0" t="n">
        <f aca="false">-K12</f>
        <v>54.5257739883189</v>
      </c>
      <c r="L16" s="0" t="n">
        <f aca="false">-L12</f>
        <v>55.8889183380268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-70.096572</v>
      </c>
      <c r="D17" s="4" t="n">
        <f aca="false">-D6*Assumptions!D46/100</f>
        <v>-56.0772576</v>
      </c>
      <c r="E17" s="4" t="n">
        <f aca="false">-E6*Assumptions!E46/100</f>
        <v>-50.154097266</v>
      </c>
      <c r="F17" s="4" t="n">
        <f aca="false">-F6*Assumptions!F46/100</f>
        <v>-50.7113650134</v>
      </c>
      <c r="G17" s="4" t="n">
        <f aca="false">-G6*Assumptions!G46/100</f>
        <v>-50.7113650134</v>
      </c>
      <c r="H17" s="4" t="n">
        <f aca="false">-H6*Assumptions!H46/100</f>
        <v>-52.486262788869</v>
      </c>
      <c r="I17" s="4" t="n">
        <f aca="false">-I6*Assumptions!I46/100</f>
        <v>-54.0608506725351</v>
      </c>
      <c r="J17" s="4" t="n">
        <f aca="false">-J6*Assumptions!J46/100</f>
        <v>-55.4123719393484</v>
      </c>
      <c r="K17" s="4" t="n">
        <f aca="false">-K6*Assumptions!K46/100</f>
        <v>-56.7976812378322</v>
      </c>
      <c r="L17" s="4" t="n">
        <f aca="false">-L6*Assumptions!L46/100</f>
        <v>-58.217623268778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-8.34483</v>
      </c>
      <c r="D18" s="4" t="n">
        <f aca="false">(D6-C6)*Assumptions!$B$51/100</f>
        <v>-2.503449</v>
      </c>
      <c r="E18" s="4" t="n">
        <f aca="false">(E6-D6)*Assumptions!$B$51/100</f>
        <v>-3.15434574000001</v>
      </c>
      <c r="F18" s="4" t="n">
        <f aca="false">(F6-E6)*Assumptions!$B$51/100</f>
        <v>-2.78633873700001</v>
      </c>
      <c r="G18" s="4" t="n">
        <f aca="false">(G6-F6)*Assumptions!$B$51/100</f>
        <v>-2.34052453908</v>
      </c>
      <c r="H18" s="4" t="n">
        <f aca="false">(H6-G6)*Assumptions!$B$51/100</f>
        <v>-2.12987733056279</v>
      </c>
      <c r="I18" s="4" t="n">
        <f aca="false">(I6-H6)*Assumptions!$B$51/100</f>
        <v>-1.88950546039928</v>
      </c>
      <c r="J18" s="4" t="n">
        <f aca="false">(J6-I6)*Assumptions!$B$51/100</f>
        <v>-1.62182552017605</v>
      </c>
      <c r="K18" s="4" t="n">
        <f aca="false">(K6-J6)*Assumptions!$B$51/100</f>
        <v>-1.66237115818045</v>
      </c>
      <c r="L18" s="4" t="n">
        <f aca="false">(L6-K6)*Assumptions!$B$51/100</f>
        <v>-1.70393043713496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41.3069085</v>
      </c>
      <c r="D19" s="0" t="n">
        <f aca="false">D15+D16+D17+D18</f>
        <v>70.22174445</v>
      </c>
      <c r="E19" s="0" t="n">
        <f aca="false">E15+E16+E17+E18</f>
        <v>86.008493844</v>
      </c>
      <c r="F19" s="0" t="n">
        <f aca="false">F15+F16+F17+F18</f>
        <v>95.71073561595</v>
      </c>
      <c r="G19" s="0" t="n">
        <f aca="false">G15+G16+G17+G18</f>
        <v>103.646228338926</v>
      </c>
      <c r="H19" s="0" t="n">
        <f aca="false">H15+H16+H17+H18</f>
        <v>109.14099978184</v>
      </c>
      <c r="I19" s="0" t="n">
        <f aca="false">I15+I16+I17+I18</f>
        <v>112.719497965375</v>
      </c>
      <c r="J19" s="0" t="n">
        <f aca="false">J15+J16+J17+J18</f>
        <v>115.852402991243</v>
      </c>
      <c r="K19" s="0" t="n">
        <f aca="false">K15+K16+K17+K18</f>
        <v>118.748713066024</v>
      </c>
      <c r="L19" s="0" t="n">
        <f aca="false">L15+L16+L17+L18</f>
        <v>121.717430892674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38.0708834101382</v>
      </c>
      <c r="D21" s="0" t="n">
        <f aca="false">D19*D20</f>
        <v>59.6502320711844</v>
      </c>
      <c r="E21" s="0" t="n">
        <f aca="false">E19*E20</f>
        <v>67.3367463642971</v>
      </c>
      <c r="F21" s="0" t="n">
        <f aca="false">F19*F20</f>
        <v>69.0624055488384</v>
      </c>
      <c r="G21" s="0" t="n">
        <f aca="false">G19*G20</f>
        <v>68.929449797911</v>
      </c>
      <c r="H21" s="0" t="n">
        <f aca="false">H19*H20</f>
        <v>66.8974399981904</v>
      </c>
      <c r="I21" s="0" t="n">
        <f aca="false">I19*I20</f>
        <v>63.6782146465144</v>
      </c>
      <c r="J21" s="0" t="n">
        <f aca="false">J19*J20</f>
        <v>60.3208066821155</v>
      </c>
      <c r="K21" s="0" t="n">
        <f aca="false">K19*K20</f>
        <v>56.9850938702013</v>
      </c>
      <c r="L21" s="0" t="n">
        <f aca="false">L19*L20</f>
        <v>53.8338444395911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604.765116828982</v>
      </c>
    </row>
    <row r="31" customFormat="false" ht="15" hidden="false" customHeight="false" outlineLevel="0" collapsed="false">
      <c r="A31" s="0" t="s">
        <v>126</v>
      </c>
      <c r="B31" s="0" t="n">
        <f aca="false">L19</f>
        <v>121.717430892674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1910.02737708504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1825.76146339011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1825.76146339011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807.507666593866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1412.27278342285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1086.15478342285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0.330945089569537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-0.387138723019376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0.330945089569537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955.013688542521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0.107570435441793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0.0450241239215351</v>
      </c>
      <c r="C4" s="0" t="n">
        <f aca="false">B4/Assumptions!$B$2-1</f>
        <v>-0.916621992737898</v>
      </c>
      <c r="D4" s="4" t="n">
        <f aca="false">Assumptions!$B$24</f>
        <v>0.25</v>
      </c>
      <c r="E4" s="4" t="n">
        <f aca="false">DCF_Bear!$B$43</f>
        <v>0.0450241239215351</v>
      </c>
      <c r="F4" s="4" t="n">
        <f aca="false">DCF_Bear!$B$47</f>
        <v>-0.0152852724459823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0.180894988271262</v>
      </c>
      <c r="C5" s="0" t="n">
        <f aca="false">B5/Assumptions!$B$2-1</f>
        <v>-0.665009280979146</v>
      </c>
      <c r="D5" s="4" t="n">
        <f aca="false">Assumptions!$B$38</f>
        <v>0.5</v>
      </c>
      <c r="E5" s="4" t="n">
        <f aca="false">DCF_Base!$B$43</f>
        <v>0.180894988271262</v>
      </c>
      <c r="F5" s="4" t="n">
        <f aca="false">DCF_Base!$B$47</f>
        <v>0.0467274232004183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0.330945089569537</v>
      </c>
      <c r="C6" s="0" t="n">
        <f aca="false">B6/Assumptions!$B$2-1</f>
        <v>-0.387138723019376</v>
      </c>
      <c r="D6" s="4" t="n">
        <f aca="false">Assumptions!$B$52</f>
        <v>0.25</v>
      </c>
      <c r="E6" s="4" t="n">
        <f aca="false">DCF_Bull!$B$43</f>
        <v>0.330945089569537</v>
      </c>
      <c r="F6" s="4" t="n">
        <f aca="false">DCF_Bull!$B$47</f>
        <v>0.107570435441793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0.184439797508399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0.184439797508399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-1.92778460665687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0.0464350023491617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0.180894988271262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0.171023277976025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0.142174801922316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0.114932453986719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0.0929338890007915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0.0467274232004183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0.225263430736087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0.225263430736087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0.225263430736087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0.225263430736087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0.225263430736087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0.202050760170298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0.202050760170298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0.202050760170298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0.202050760170298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0.202050760170298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0.175965471616105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0.180894988271262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0.180894988271262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0.180894988271262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0.180894988271262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0.14274431074033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0.150101385333596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0.158378094251019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0.161590515520339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0.161590515520339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0.116264239311099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0.121723194881063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0.127788701069913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0.134567796222156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0.14219427826843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2026-10-17T21:55:04Z</dcterms:created>
  <dc:creator>openpyxl</dc:creator>
  <dc:description/>
  <dc:language>en-NZ</dc:language>
  <cp:lastModifiedBy/>
  <dcterms:modified xsi:type="dcterms:W3CDTF">2026-10-17T21:55:04Z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