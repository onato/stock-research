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<sst xmlns="http://schemas.openxmlformats.org/spreadsheetml/2006/main" count="371" uniqueCount="182">
  <si>
    <t xml:space="preserve">Ticker</t>
  </si>
  <si>
    <t xml:space="preserve">3968.HK</t>
  </si>
  <si>
    <t xml:space="preserve">Company</t>
  </si>
  <si>
    <t xml:space="preserve">China Merchants Bank Co., Ltd.</t>
  </si>
  <si>
    <t xml:space="preserve">Valuation date</t>
  </si>
  <si>
    <t xml:space="preserve">2026-10-23</t>
  </si>
  <si>
    <t xml:space="preserve">Current price</t>
  </si>
  <si>
    <t xml:space="preserve">Price as of</t>
  </si>
  <si>
    <t xml:space="preserve">2026-10-23T08:08:08Z HKEX regular close (16:08 HKT)</t>
  </si>
  <si>
    <t xml:space="preserve">Balance sheet date</t>
  </si>
  <si>
    <t xml:space="preserve">2026-06-30</t>
  </si>
  <si>
    <t xml:space="preserve">Model</t>
  </si>
  <si>
    <t xml:space="preserve">Bank FCFE at cost of equity (engine route), net debt zero, CET1 retention on risk-weighted-asset growth, perpetual-bond and preference-share coupons and NCI charged in the flow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</si>
  <si>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</si>
  <si>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</si>
  <si>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</si>
  <si>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</si>
  <si>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</si>
  <si>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</si>
  <si>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</si>
  <si>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</si>
  <si>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</si>
  <si>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2026-10-23T08:52:27Z</t>
  </si>
  <si>
    <t xml:space="preserve">Drivers file</t>
  </si>
  <si>
    <t xml:space="preserve">3968.HK_Drivers.json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</si>
  <si>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</si>
  <si>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</si>
  <si>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</si>
  <si>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is valued on the cash it can pay its ordinary shareholders after funding the capital its balance sheet growth requires, discounted at the cost of equity - not on reported operating cash flow, which for CMB is deposit-flow noise of +/-RMB500bn a year. The flow is net profit to ordinary shareholders (after tax, NCI and perpetual/preference coupons) less the CET1 retained on RWA growth at a constant 14% ratio; no capital release is assumed because management has never bought back stock and guides to keeping capital 'relatively outstanding'. The model deliberately lets NI/RWA keep drifting down (revenue grows slower than RWA in every year of every scenario), which is the central fact of Chinese banking in a 1.8% NIM world; the offset CMB uniquely has is a 36% non-interest share led by wealth fees growing double digits. Deposits are not debt and nothing is bridged after the flows.
key_risks_to_valuation: NIM: every 10bp on ~RMB12tn of interest-earning assets is ~RMB12bn of pre-tax profit, ~7% of PBT; the base assumes a trough at ~1.7%, the bear 1.6%, and a further easing cycle could take it lower; Credit cost: impairments at 0.55% of loans are at a cyclical low with coverage of 385%; a return to the FY2019-22 charge (~RMB60-65bn) is worth ~RMB20bn of PBT, ~11%; RWA growth versus earnings: the CET1 ratio slipped 0.7pt in FY2025 at 9.5% RWA growth; if policy lending keeps RWA growing faster than ~7%, FCFE falls below the dividend and the 14% ratio cannot be held without a cut or a capital raise; Cost of equity: at 10% the base IV is ~HKD65; at 11% it is ~HKD56 and at 12% ~HKD49 (see the required-return table) - the valuation is a bet on CMB deserving a lower CoE than other Chinese banks; H-share premium to A-share (~5%) and CNY/HKD: the H line has no discount cushion, and a 5% RMB depreciation takes 5% off the HKD value directly; Management transition (new President April 2026) and the regulatory/policy environment (anti-involution pricing, LGFV resolution, dividend and capital directives) are outside the model</t>
  </si>
  <si>
    <t xml:space="preserve">Data sources</t>
  </si>
  <si>
    <t xml:space="preserve">price: Yahoo Finance chart API at inputs.price_as_of (HKEX regular close); 52-week range HKD 43.34-54.25; CNYHKD and the 600036.SS A-share cross from the same source at the same time
financials: 3968.HK_Metrics.csv / core_metrics (FY2018-FY2025 annual reports, H1 2024-H1 2026 interim reports, Q1/Q3 quarterly reports; IFRS, RMB millions); capital adequacy, RWA, dividend and coupon lines from 3968.HK_Annual_FY2025.txt and 3968.HK_HalfYear_H1-2026.txt as cited in inputs
qualitative: 3968.HK_Analysis.json (2026-10-23): business model, moat, risks, FY2026 guidance (loans/deposits +6-7%, continued NIM pressure), H1 2026 results commentary</t>
  </si>
  <si>
    <t xml:space="preserve">Scenario narrative: bear</t>
  </si>
  <si>
    <t xml:space="preserve">Another leg of LPR cuts takes NIM to 1.6%, household deleveraging flattens retail lending, credit-card and property NPLs push impairments back toward 55-60bn, and policy lending keeps RWA growing 7-8% against flat earnings. FCFE falls below the dividend for two years and the CET1 ratio drifts down to fund it - the FY2025 pattern, extended. Terminal ROE on CET1 ~8.5%, P/B ~0.75x.</t>
  </si>
  <si>
    <t xml:space="preserve">Scenario narrative: base</t>
  </si>
  <si>
    <t xml:space="preserve">CMB remains China's best-run bank but earns it in a 1.7% NIM world. Operating income grows 3-4% (NII mid-single digits on 6-7% loan growth and stabilising deposit costs; wealth fees double digits), the pre-tax margin eases ~3pt as credit cost normalises from a cyclical low, and the 14% CET1 ratio is held on RWA growth that decelerates from 7% to 3%. Net profit to ordinary shareholders ~RMB150bn in FY2027 funds ~83bn of retention and ~67bn of FCFE, covering the 35% payout with room; by FY2036 retention halves and FCFE rises to ~140bn. Terminal P/B on CET1 ~1.1x at a ~10.7% ROE.</t>
  </si>
  <si>
    <t xml:space="preserve">Scenario narrative: bull</t>
  </si>
  <si>
    <t xml:space="preserve">NIM troughs at ~1.8% in FY2027 as deposit repricing catches up, wealth-management fees compound 15%+ on RMB18tn+ AUM, credit cost stays at the FY2024-25 low and coverage is allowed to drift down from 385%. ROE holds ~13%, CET1 is glided to 13.5% and the surplus returned. The H-share already trades at a premium to the A-share, so the re-rating is in earnings and payout, not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</si>
  <si>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</si>
  <si>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</si>
  <si>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</si>
  <si>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</si>
  <si>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</si>
  <si>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</si>
  <si>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</si>
  <si>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</si>
  <si>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</si>
  <si>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</si>
  <si>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</si>
  <si>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</si>
  <si>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</si>
  <si>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</si>
  <si>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</si>
  <si>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</si>
  <si>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</si>
  <si>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</si>
  <si>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</si>
  <si>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</si>
  <si>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</si>
  <si>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</si>
  <si>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</si>
  <si>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</si>
  <si>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</si>
  <si>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</si>
  <si>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</si>
  <si>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</si>
  <si>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CET1Ratio</t>
  </si>
  <si>
    <t xml:space="preserve">CostToIncomeRatio</t>
  </si>
  <si>
    <t xml:space="preserve">CreditImpairmentCharge</t>
  </si>
  <si>
    <t xml:space="preserve">CustomerDeposits</t>
  </si>
  <si>
    <t xml:space="preserve">NIM</t>
  </si>
  <si>
    <t xml:space="preserve">NPLRatio</t>
  </si>
  <si>
    <t xml:space="preserve">NetFeeAndCommissionIncome</t>
  </si>
  <si>
    <t xml:space="preserve">NetIncomeTotal</t>
  </si>
  <si>
    <t xml:space="preserve">NetInterestIncome</t>
  </si>
  <si>
    <t xml:space="preserve">NetLoansAndAdvances</t>
  </si>
  <si>
    <t xml:space="preserve">OrdinaryShareholdersEquity</t>
  </si>
  <si>
    <t xml:space="preserve">OtherEquityInstruments</t>
  </si>
  <si>
    <t xml:space="preserve">PrePCLProfit</t>
  </si>
  <si>
    <t xml:space="preserve">ProvisionCoverage</t>
  </si>
  <si>
    <t xml:space="preserve">ROE</t>
  </si>
  <si>
    <t xml:space="preserve">Tier1Ratio</t>
  </si>
  <si>
    <t xml:space="preserve">TotalCapitalRatio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</si>
  <si>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</si>
  <si>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</si>
  <si>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</si>
  <si>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</si>
  <si>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</si>
  <si>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</si>
  <si>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</si>
  <si>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</si>
  <si>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</si>
  <si>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</si>
  <si>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</si>
  <si>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</si>
  <si>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</si>
  <si>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</si>
  <si>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</si>
  <si>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</si>
  <si>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</si>
  <si>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(year ending 2026-12-31, unreported: H1 2026 actual + H2 estimate)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</si>
  <si>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</si>
  <si>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</si>
  <si>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</si>
  <si>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</si>
  <si>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</si>
  <si>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</si>
  <si>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</si>
  <si>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</si>
  <si>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</si>
  <si>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</si>
  <si>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</si>
  <si>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</si>
  <si>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</si>
  <si>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</si>
  <si>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</si>
  <si>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</si>
  <si>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</si>
  <si>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</si>
  <si>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</si>
  <si>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</si>
  <si>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</si>
  <si>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</si>
  <si>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</si>
  <si>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</si>
  <si>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</si>
  <si>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</si>
  <si>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</si>
  <si>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</si>
  <si>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3968.HK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</si>
  <si>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</si>
  <si>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</si>
  <si>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</si>
  <si>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</si>
  <si>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</si>
  <si>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</si>
  <si>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</si>
  <si>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</si>
  <si>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</si>
  <si>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</si>
  <si>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</si>
  <si>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</si>
  <si>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</si>
  <si>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</si>
  <si>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</si>
  <si>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</si>
  <si>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</si>
  <si>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</si>
  <si>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</si>
  <si>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</si>
  <si>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</si>
  <si>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</si>
  <si>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</si>
  <si>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</si>
  <si>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</si>
  <si>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</si>
  <si>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</si>
  <si>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</si>
  <si>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</si>
  <si>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</si>
  <si>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3968.HK owner-FCF component DCF: base case (millions, CNY)</t>
  </si>
  <si>
    <t xml:space="preserve">3968.HK owner-FCF component DCF: bull case (millions, CNY)</t>
  </si>
  <si>
    <t xml:space="preserve">3968.HK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</si>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</sst>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51.45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  <c r="AM1" s="2" t="s">
        <v>74</v>
      </c>
      <c r="AN1" s="2" t="s">
        <v>75</v>
      </c>
      <c r="AO1" s="2" t="s">
        <v>76</v>
      </c>
      <c r="AP1" s="2" t="s">
        <v>77</v>
      </c>
      <c r="AQ1" s="2" t="s">
        <v>78</v>
      </c>
      <c r="AR1" s="2" t="s">
        <v>79</v>
      </c>
      <c r="AS1" s="2" t="s">
        <v>80</v>
      </c>
      <c r="AT1" s="2" t="s">
        <v>81</v>
      </c>
    </row>
    <row r="2" customFormat="false" ht="15" hidden="false" customHeight="false" outlineLevel="0" collapsed="false">
      <c r="A2" s="0" t="s">
        <v>82</v>
      </c>
      <c r="B2" s="0" t="n">
        <v>247135</v>
      </c>
      <c r="F2" s="0" t="n">
        <v>106497</v>
      </c>
      <c r="G2" s="0" t="n">
        <v>43.0926</v>
      </c>
      <c r="I2" s="0" t="n">
        <v>80560</v>
      </c>
      <c r="J2" s="0" t="n">
        <v>32.5976</v>
      </c>
      <c r="K2" s="0" t="n">
        <v>3.13</v>
      </c>
      <c r="L2" s="0" t="n">
        <v>-35721</v>
      </c>
      <c r="M2" s="0" t="n">
        <v>17492</v>
      </c>
      <c r="N2" s="0" t="n">
        <v>-53213</v>
      </c>
      <c r="O2" s="0" t="n">
        <v>540118</v>
      </c>
      <c r="P2" s="0" t="n">
        <v>6745729</v>
      </c>
      <c r="Q2" s="0" t="n">
        <v>6202124</v>
      </c>
      <c r="R2" s="0" t="n">
        <v>424926</v>
      </c>
      <c r="S2" s="0" t="n">
        <v>543683</v>
      </c>
      <c r="T2" s="0" t="n">
        <v>25220</v>
      </c>
      <c r="AA2" s="0" t="s">
        <v>18</v>
      </c>
      <c r="AB2" s="0" t="s">
        <v>14</v>
      </c>
      <c r="AC2" s="0" t="n">
        <v>20.0655</v>
      </c>
      <c r="AD2" s="0" t="n">
        <v>11.78</v>
      </c>
      <c r="AE2" s="0" t="n">
        <v>31.04</v>
      </c>
      <c r="AF2" s="0" t="n">
        <v>60829</v>
      </c>
      <c r="AG2" s="0" t="n">
        <v>4427566</v>
      </c>
      <c r="AH2" s="0" t="n">
        <v>2.57</v>
      </c>
      <c r="AI2" s="0" t="n">
        <v>1.36</v>
      </c>
      <c r="AJ2" s="0" t="n">
        <v>66480</v>
      </c>
      <c r="AK2" s="0" t="n">
        <v>80819</v>
      </c>
      <c r="AL2" s="0" t="n">
        <v>160384</v>
      </c>
      <c r="AM2" s="0" t="n">
        <v>3749949</v>
      </c>
      <c r="AN2" s="0" t="n">
        <v>506053</v>
      </c>
      <c r="AO2" s="0" t="n">
        <v>34065</v>
      </c>
      <c r="AP2" s="0" t="n">
        <v>166025</v>
      </c>
      <c r="AQ2" s="0" t="n">
        <v>358.18</v>
      </c>
      <c r="AR2" s="0" t="n">
        <v>16.57</v>
      </c>
      <c r="AS2" s="0" t="n">
        <v>12.62</v>
      </c>
      <c r="AT2" s="0" t="n">
        <v>15.68</v>
      </c>
    </row>
    <row r="3" customFormat="false" ht="15" hidden="false" customHeight="false" outlineLevel="0" collapsed="false">
      <c r="A3" s="0" t="s">
        <v>83</v>
      </c>
      <c r="B3" s="0" t="n">
        <v>268065</v>
      </c>
      <c r="F3" s="0" t="n">
        <v>117132</v>
      </c>
      <c r="G3" s="0" t="n">
        <v>43.6954</v>
      </c>
      <c r="I3" s="0" t="n">
        <v>92867</v>
      </c>
      <c r="J3" s="0" t="n">
        <v>34.6435</v>
      </c>
      <c r="K3" s="0" t="n">
        <v>3.62</v>
      </c>
      <c r="L3" s="0" t="n">
        <v>4432</v>
      </c>
      <c r="M3" s="0" t="n">
        <v>23964</v>
      </c>
      <c r="N3" s="0" t="n">
        <v>-19532</v>
      </c>
      <c r="O3" s="0" t="n">
        <v>611301</v>
      </c>
      <c r="P3" s="0" t="n">
        <v>7417240</v>
      </c>
      <c r="Q3" s="0" t="n">
        <v>6799533</v>
      </c>
      <c r="R3" s="0" t="n">
        <v>578191</v>
      </c>
      <c r="S3" s="0" t="n">
        <v>589675</v>
      </c>
      <c r="T3" s="0" t="n">
        <v>25220</v>
      </c>
      <c r="AA3" s="0" t="s">
        <v>18</v>
      </c>
      <c r="AB3" s="0" t="s">
        <v>14</v>
      </c>
      <c r="AC3" s="0" t="n">
        <v>22.888</v>
      </c>
      <c r="AD3" s="0" t="n">
        <v>11.95</v>
      </c>
      <c r="AE3" s="0" t="n">
        <v>32.08</v>
      </c>
      <c r="AF3" s="0" t="n">
        <v>61066</v>
      </c>
      <c r="AG3" s="0" t="n">
        <v>4874981</v>
      </c>
      <c r="AH3" s="0" t="n">
        <v>2.59</v>
      </c>
      <c r="AI3" s="0" t="n">
        <v>1.16</v>
      </c>
      <c r="AJ3" s="0" t="n">
        <v>71493</v>
      </c>
      <c r="AK3" s="0" t="n">
        <v>93423</v>
      </c>
      <c r="AL3" s="0" t="n">
        <v>173090</v>
      </c>
      <c r="AM3" s="0" t="n">
        <v>4277300</v>
      </c>
      <c r="AN3" s="0" t="n">
        <v>577236</v>
      </c>
      <c r="AO3" s="0" t="n">
        <v>34065</v>
      </c>
      <c r="AP3" s="0" t="n">
        <v>176568</v>
      </c>
      <c r="AQ3" s="0" t="n">
        <v>426.78</v>
      </c>
      <c r="AR3" s="0" t="n">
        <v>16.84</v>
      </c>
      <c r="AS3" s="0" t="n">
        <v>12.69</v>
      </c>
      <c r="AT3" s="0" t="n">
        <v>15.54</v>
      </c>
    </row>
    <row r="4" customFormat="false" ht="15" hidden="false" customHeight="false" outlineLevel="0" collapsed="false">
      <c r="A4" s="0" t="s">
        <v>84</v>
      </c>
      <c r="B4" s="0" t="n">
        <v>287398</v>
      </c>
      <c r="F4" s="0" t="n">
        <v>122440</v>
      </c>
      <c r="G4" s="0" t="n">
        <v>42.6029</v>
      </c>
      <c r="I4" s="0" t="n">
        <v>97342</v>
      </c>
      <c r="J4" s="0" t="n">
        <v>33.8701</v>
      </c>
      <c r="K4" s="0" t="n">
        <v>3.79</v>
      </c>
      <c r="L4" s="0" t="n">
        <v>421328</v>
      </c>
      <c r="M4" s="0" t="n">
        <v>19125</v>
      </c>
      <c r="N4" s="0" t="n">
        <v>402203</v>
      </c>
      <c r="O4" s="0" t="n">
        <v>723750</v>
      </c>
      <c r="P4" s="0" t="n">
        <v>8361448</v>
      </c>
      <c r="Q4" s="0" t="n">
        <v>7631094</v>
      </c>
      <c r="R4" s="0" t="n">
        <v>346141</v>
      </c>
      <c r="S4" s="0" t="n">
        <v>552790</v>
      </c>
      <c r="T4" s="0" t="n">
        <v>25220</v>
      </c>
      <c r="AA4" s="0" t="s">
        <v>18</v>
      </c>
      <c r="AB4" s="0" t="s">
        <v>14</v>
      </c>
      <c r="AC4" s="0" t="n">
        <v>25.3646</v>
      </c>
      <c r="AD4" s="0" t="n">
        <v>12.29</v>
      </c>
      <c r="AE4" s="0" t="n">
        <v>33.33</v>
      </c>
      <c r="AF4" s="0" t="n">
        <v>64871</v>
      </c>
      <c r="AG4" s="0" t="n">
        <v>5664135</v>
      </c>
      <c r="AH4" s="0" t="n">
        <v>2.49</v>
      </c>
      <c r="AI4" s="0" t="n">
        <v>1.07</v>
      </c>
      <c r="AJ4" s="0" t="n">
        <v>79486</v>
      </c>
      <c r="AK4" s="0" t="n">
        <v>97959</v>
      </c>
      <c r="AL4" s="0" t="n">
        <v>185031</v>
      </c>
      <c r="AM4" s="0" t="n">
        <v>4804361</v>
      </c>
      <c r="AN4" s="0" t="n">
        <v>639696</v>
      </c>
      <c r="AO4" s="0" t="n">
        <v>84054</v>
      </c>
      <c r="AP4" s="0" t="n">
        <v>184584</v>
      </c>
      <c r="AQ4" s="0" t="n">
        <v>437.68</v>
      </c>
      <c r="AR4" s="0" t="n">
        <v>15.73</v>
      </c>
      <c r="AS4" s="0" t="n">
        <v>13.98</v>
      </c>
      <c r="AT4" s="0" t="n">
        <v>16.54</v>
      </c>
    </row>
    <row r="5" customFormat="false" ht="15" hidden="false" customHeight="false" outlineLevel="0" collapsed="false">
      <c r="A5" s="0" t="s">
        <v>85</v>
      </c>
      <c r="B5" s="0" t="n">
        <v>327377</v>
      </c>
      <c r="F5" s="0" t="n">
        <v>148173</v>
      </c>
      <c r="G5" s="0" t="n">
        <v>45.2607</v>
      </c>
      <c r="I5" s="0" t="n">
        <v>119922</v>
      </c>
      <c r="J5" s="0" t="n">
        <v>36.6312</v>
      </c>
      <c r="K5" s="0" t="n">
        <v>4.61</v>
      </c>
      <c r="L5" s="0" t="n">
        <v>182048</v>
      </c>
      <c r="M5" s="0" t="n">
        <v>24160</v>
      </c>
      <c r="N5" s="0" t="n">
        <v>157888</v>
      </c>
      <c r="O5" s="0" t="n">
        <v>858745</v>
      </c>
      <c r="P5" s="0" t="n">
        <v>9249021</v>
      </c>
      <c r="Q5" s="0" t="n">
        <v>8383340</v>
      </c>
      <c r="R5" s="0" t="n">
        <v>446645</v>
      </c>
      <c r="S5" s="0" t="n">
        <v>801754</v>
      </c>
      <c r="T5" s="0" t="n">
        <v>25220</v>
      </c>
      <c r="AA5" s="0" t="s">
        <v>18</v>
      </c>
      <c r="AB5" s="0" t="s">
        <v>14</v>
      </c>
      <c r="AC5" s="0" t="n">
        <v>29.0128</v>
      </c>
      <c r="AD5" s="0" t="n">
        <v>12.66</v>
      </c>
      <c r="AE5" s="0" t="n">
        <v>33.11</v>
      </c>
      <c r="AF5" s="0" t="n">
        <v>65962</v>
      </c>
      <c r="AG5" s="0" t="n">
        <v>6385154</v>
      </c>
      <c r="AH5" s="0" t="n">
        <v>2.48</v>
      </c>
      <c r="AI5" s="0" t="n">
        <v>0.91</v>
      </c>
      <c r="AJ5" s="0" t="n">
        <v>94447</v>
      </c>
      <c r="AK5" s="0" t="n">
        <v>120834</v>
      </c>
      <c r="AL5" s="0" t="n">
        <v>203919</v>
      </c>
      <c r="AM5" s="0" t="n">
        <v>5335391</v>
      </c>
      <c r="AN5" s="0" t="n">
        <v>731702</v>
      </c>
      <c r="AO5" s="0" t="n">
        <v>127043</v>
      </c>
      <c r="AP5" s="0" t="n">
        <v>210498</v>
      </c>
      <c r="AQ5" s="0" t="n">
        <v>483.87</v>
      </c>
      <c r="AR5" s="0" t="n">
        <v>16.96</v>
      </c>
      <c r="AS5" s="0" t="n">
        <v>14.94</v>
      </c>
      <c r="AT5" s="0" t="n">
        <v>17.48</v>
      </c>
    </row>
    <row r="6" customFormat="false" ht="15" hidden="false" customHeight="false" outlineLevel="0" collapsed="false">
      <c r="A6" s="0" t="s">
        <v>86</v>
      </c>
      <c r="B6" s="0" t="n">
        <v>342215</v>
      </c>
      <c r="F6" s="0" t="n">
        <v>165113</v>
      </c>
      <c r="G6" s="0" t="n">
        <v>48.2483</v>
      </c>
      <c r="I6" s="0" t="n">
        <v>138012</v>
      </c>
      <c r="J6" s="0" t="n">
        <v>40.329</v>
      </c>
      <c r="K6" s="0" t="n">
        <v>5.26</v>
      </c>
      <c r="L6" s="0" t="n">
        <v>570143</v>
      </c>
      <c r="M6" s="0" t="n">
        <v>34892</v>
      </c>
      <c r="N6" s="0" t="n">
        <v>535251</v>
      </c>
      <c r="O6" s="0" t="n">
        <v>945503</v>
      </c>
      <c r="P6" s="0" t="n">
        <v>10138912</v>
      </c>
      <c r="Q6" s="0" t="n">
        <v>9184674</v>
      </c>
      <c r="R6" s="0" t="n">
        <v>223821</v>
      </c>
      <c r="S6" s="0" t="n">
        <v>567198</v>
      </c>
      <c r="T6" s="0" t="n">
        <v>25220</v>
      </c>
      <c r="AA6" s="0" t="s">
        <v>18</v>
      </c>
      <c r="AB6" s="0" t="s">
        <v>14</v>
      </c>
      <c r="AC6" s="0" t="n">
        <v>32.7144</v>
      </c>
      <c r="AD6" s="0" t="n">
        <v>13.68</v>
      </c>
      <c r="AE6" s="0" t="n">
        <v>32.89</v>
      </c>
      <c r="AF6" s="0" t="n">
        <v>56751</v>
      </c>
      <c r="AG6" s="0" t="n">
        <v>7590579</v>
      </c>
      <c r="AH6" s="0" t="n">
        <v>2.4</v>
      </c>
      <c r="AI6" s="0" t="n">
        <v>0.96</v>
      </c>
      <c r="AJ6" s="0" t="n">
        <v>94275</v>
      </c>
      <c r="AK6" s="0" t="n">
        <v>139294</v>
      </c>
      <c r="AL6" s="0" t="n">
        <v>218235</v>
      </c>
      <c r="AM6" s="0" t="n">
        <v>5807154</v>
      </c>
      <c r="AN6" s="0" t="n">
        <v>825057</v>
      </c>
      <c r="AO6" s="0" t="n">
        <v>120446</v>
      </c>
      <c r="AP6" s="0" t="n">
        <v>220154</v>
      </c>
      <c r="AQ6" s="0" t="n">
        <v>450.79</v>
      </c>
      <c r="AR6" s="0" t="n">
        <v>17.06</v>
      </c>
      <c r="AS6" s="0" t="n">
        <v>15.75</v>
      </c>
      <c r="AT6" s="0" t="n">
        <v>17.77</v>
      </c>
    </row>
    <row r="7" customFormat="false" ht="15" hidden="false" customHeight="false" outlineLevel="0" collapsed="false">
      <c r="A7" s="0" t="s">
        <v>87</v>
      </c>
      <c r="B7" s="0" t="n">
        <v>336602</v>
      </c>
      <c r="F7" s="0" t="n">
        <v>176618</v>
      </c>
      <c r="G7" s="0" t="n">
        <v>52.4709</v>
      </c>
      <c r="I7" s="0" t="n">
        <v>146602</v>
      </c>
      <c r="J7" s="0" t="n">
        <v>43.5535</v>
      </c>
      <c r="K7" s="0" t="n">
        <v>5.63</v>
      </c>
      <c r="L7" s="0" t="n">
        <v>357753</v>
      </c>
      <c r="M7" s="0" t="n">
        <v>30161</v>
      </c>
      <c r="N7" s="0" t="n">
        <v>327592</v>
      </c>
      <c r="O7" s="0" t="n">
        <v>1076370</v>
      </c>
      <c r="P7" s="0" t="n">
        <v>11028483</v>
      </c>
      <c r="Q7" s="0" t="n">
        <v>9942754</v>
      </c>
      <c r="R7" s="0" t="n">
        <v>176578</v>
      </c>
      <c r="S7" s="0" t="n">
        <v>599019</v>
      </c>
      <c r="T7" s="0" t="n">
        <v>25220</v>
      </c>
      <c r="AA7" s="0" t="s">
        <v>18</v>
      </c>
      <c r="AB7" s="0" t="s">
        <v>14</v>
      </c>
      <c r="AC7" s="0" t="n">
        <v>36.7139</v>
      </c>
      <c r="AD7" s="0" t="n">
        <v>13.73</v>
      </c>
      <c r="AE7" s="0" t="n">
        <v>32.97</v>
      </c>
      <c r="AF7" s="0" t="n">
        <v>41278</v>
      </c>
      <c r="AG7" s="0" t="n">
        <v>8240498</v>
      </c>
      <c r="AH7" s="0" t="n">
        <v>2.15</v>
      </c>
      <c r="AI7" s="0" t="n">
        <v>0.95</v>
      </c>
      <c r="AJ7" s="0" t="n">
        <v>84108</v>
      </c>
      <c r="AK7" s="0" t="n">
        <v>148006</v>
      </c>
      <c r="AL7" s="0" t="n">
        <v>214669</v>
      </c>
      <c r="AM7" s="0" t="n">
        <v>6252755</v>
      </c>
      <c r="AN7" s="0" t="n">
        <v>925924</v>
      </c>
      <c r="AO7" s="0" t="n">
        <v>150446</v>
      </c>
      <c r="AP7" s="0" t="n">
        <v>215611</v>
      </c>
      <c r="AQ7" s="0" t="n">
        <v>437.7</v>
      </c>
      <c r="AR7" s="0" t="n">
        <v>16.22</v>
      </c>
      <c r="AS7" s="0" t="n">
        <v>16.01</v>
      </c>
      <c r="AT7" s="0" t="n">
        <v>17.88</v>
      </c>
    </row>
    <row r="8" customFormat="false" ht="15" hidden="false" customHeight="false" outlineLevel="0" collapsed="false">
      <c r="A8" s="0" t="s">
        <v>88</v>
      </c>
      <c r="B8" s="0" t="n">
        <v>334489</v>
      </c>
      <c r="F8" s="0" t="n">
        <v>178652</v>
      </c>
      <c r="G8" s="0" t="n">
        <v>53.4104</v>
      </c>
      <c r="I8" s="0" t="n">
        <v>148391</v>
      </c>
      <c r="J8" s="0" t="n">
        <v>44.3635</v>
      </c>
      <c r="K8" s="0" t="n">
        <v>5.66</v>
      </c>
      <c r="L8" s="0" t="n">
        <v>447023</v>
      </c>
      <c r="M8" s="0" t="n">
        <v>34930</v>
      </c>
      <c r="N8" s="0" t="n">
        <v>412093</v>
      </c>
      <c r="O8" s="0" t="n">
        <v>1226014</v>
      </c>
      <c r="P8" s="0" t="n">
        <v>12152036</v>
      </c>
      <c r="Q8" s="0" t="n">
        <v>10918561</v>
      </c>
      <c r="R8" s="0" t="n">
        <v>222921</v>
      </c>
      <c r="S8" s="0" t="n">
        <v>756527</v>
      </c>
      <c r="T8" s="0" t="n">
        <v>25220</v>
      </c>
      <c r="AA8" s="0" t="s">
        <v>18</v>
      </c>
      <c r="AB8" s="0" t="s">
        <v>14</v>
      </c>
      <c r="AC8" s="0" t="n">
        <v>41.4579</v>
      </c>
      <c r="AD8" s="0" t="n">
        <v>14.86</v>
      </c>
      <c r="AE8" s="0" t="n">
        <v>31.92</v>
      </c>
      <c r="AF8" s="0" t="n">
        <v>39976</v>
      </c>
      <c r="AG8" s="0" t="n">
        <v>9195329</v>
      </c>
      <c r="AH8" s="0" t="n">
        <v>1.98</v>
      </c>
      <c r="AI8" s="0" t="n">
        <v>0.95</v>
      </c>
      <c r="AJ8" s="0" t="n">
        <v>72094</v>
      </c>
      <c r="AK8" s="0" t="n">
        <v>149559</v>
      </c>
      <c r="AL8" s="0" t="n">
        <v>211277</v>
      </c>
      <c r="AM8" s="0" t="n">
        <v>6632548</v>
      </c>
      <c r="AN8" s="0" t="n">
        <v>1045568</v>
      </c>
      <c r="AO8" s="0" t="n">
        <v>180446</v>
      </c>
      <c r="AP8" s="0" t="n">
        <v>216839</v>
      </c>
      <c r="AQ8" s="0" t="n">
        <v>411.98</v>
      </c>
      <c r="AR8" s="0" t="n">
        <v>14.49</v>
      </c>
      <c r="AS8" s="0" t="n">
        <v>17.48</v>
      </c>
      <c r="AT8" s="0" t="n">
        <v>19.05</v>
      </c>
    </row>
    <row r="9" customFormat="false" ht="15" hidden="false" customHeight="false" outlineLevel="0" collapsed="false">
      <c r="A9" s="0" t="s">
        <v>89</v>
      </c>
      <c r="B9" s="0" t="n">
        <v>331800</v>
      </c>
      <c r="F9" s="0" t="n">
        <v>178993</v>
      </c>
      <c r="G9" s="0" t="n">
        <v>53.9461</v>
      </c>
      <c r="I9" s="0" t="n">
        <v>150181</v>
      </c>
      <c r="J9" s="0" t="n">
        <v>45.2625</v>
      </c>
      <c r="K9" s="0" t="n">
        <v>5.7</v>
      </c>
      <c r="L9" s="0" t="n">
        <v>451457</v>
      </c>
      <c r="M9" s="0" t="n">
        <v>28141</v>
      </c>
      <c r="N9" s="0" t="n">
        <v>423316</v>
      </c>
      <c r="O9" s="0" t="n">
        <v>1272875</v>
      </c>
      <c r="P9" s="0" t="n">
        <v>13070523</v>
      </c>
      <c r="Q9" s="0" t="n">
        <v>11789624</v>
      </c>
      <c r="R9" s="0" t="n">
        <v>143487</v>
      </c>
      <c r="S9" s="0" t="n">
        <v>709822</v>
      </c>
      <c r="T9" s="0" t="n">
        <v>25220</v>
      </c>
      <c r="AA9" s="0" t="s">
        <v>18</v>
      </c>
      <c r="AB9" s="0" t="s">
        <v>14</v>
      </c>
      <c r="AC9" s="0" t="n">
        <v>43.4345</v>
      </c>
      <c r="AD9" s="0" t="n">
        <v>14.16</v>
      </c>
      <c r="AE9" s="0" t="n">
        <v>32.01</v>
      </c>
      <c r="AF9" s="0" t="n">
        <v>39586</v>
      </c>
      <c r="AG9" s="0" t="n">
        <v>9924558</v>
      </c>
      <c r="AH9" s="0" t="n">
        <v>1.87</v>
      </c>
      <c r="AI9" s="0" t="n">
        <v>0.94</v>
      </c>
      <c r="AJ9" s="0" t="n">
        <v>75258</v>
      </c>
      <c r="AK9" s="0" t="n">
        <v>151126</v>
      </c>
      <c r="AL9" s="0" t="n">
        <v>215593</v>
      </c>
      <c r="AM9" s="0" t="n">
        <v>7004238</v>
      </c>
      <c r="AN9" s="0" t="n">
        <v>1095418</v>
      </c>
      <c r="AO9" s="0" t="n">
        <v>177457</v>
      </c>
      <c r="AP9" s="0" t="n">
        <v>213295</v>
      </c>
      <c r="AQ9" s="0" t="n">
        <v>391.79</v>
      </c>
      <c r="AR9" s="0" t="n">
        <v>13.44</v>
      </c>
      <c r="AS9" s="0" t="n">
        <v>16.51</v>
      </c>
      <c r="AT9" s="0" t="n">
        <v>18.24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90</v>
      </c>
      <c r="B1" s="2" t="s">
        <v>91</v>
      </c>
    </row>
    <row r="2" customFormat="false" ht="15" hidden="false" customHeight="false" outlineLevel="0" collapsed="false">
      <c r="A2" s="0" t="s">
        <v>92</v>
      </c>
      <c r="B2" s="3" t="n">
        <v>51.45</v>
      </c>
    </row>
    <row r="3" customFormat="false" ht="15" hidden="false" customHeight="false" outlineLevel="0" collapsed="false">
      <c r="A3" s="0" t="s">
        <v>93</v>
      </c>
      <c r="B3" s="3" t="n">
        <v>25220</v>
      </c>
    </row>
    <row r="4" customFormat="false" ht="15" hidden="false" customHeight="false" outlineLevel="0" collapsed="false">
      <c r="A4" s="0" t="s">
        <v>94</v>
      </c>
      <c r="B4" s="3" t="n">
        <v>0</v>
      </c>
    </row>
    <row r="5" customFormat="false" ht="15" hidden="false" customHeight="false" outlineLevel="0" collapsed="false">
      <c r="A5" s="0" t="s">
        <v>95</v>
      </c>
      <c r="B5" s="3" t="n">
        <v>0</v>
      </c>
    </row>
    <row r="6" customFormat="false" ht="15" hidden="false" customHeight="false" outlineLevel="0" collapsed="false">
      <c r="A6" s="0" t="s">
        <v>96</v>
      </c>
      <c r="B6" s="3" t="n">
        <v>15</v>
      </c>
    </row>
    <row r="7" customFormat="false" ht="15" hidden="false" customHeight="false" outlineLevel="0" collapsed="false">
      <c r="A7" s="0" t="s">
        <v>97</v>
      </c>
      <c r="B7" s="3" t="n">
        <v>344000</v>
      </c>
    </row>
    <row r="8" customFormat="false" ht="15" hidden="false" customHeight="false" outlineLevel="0" collapsed="false">
      <c r="A8" s="0" t="s">
        <v>98</v>
      </c>
      <c r="B8" s="3" t="s">
        <v>99</v>
      </c>
    </row>
    <row r="9" customFormat="false" ht="15" hidden="false" customHeight="false" outlineLevel="0" collapsed="false">
      <c r="A9" s="0" t="s">
        <v>100</v>
      </c>
      <c r="B9" s="3" t="s">
        <v>101</v>
      </c>
    </row>
    <row r="10" customFormat="false" ht="15" hidden="false" customHeight="false" outlineLevel="0" collapsed="false">
      <c r="A10" s="0" t="s">
        <v>102</v>
      </c>
      <c r="B10" s="3" t="n">
        <v>1.175</v>
      </c>
    </row>
    <row r="12" customFormat="false" ht="15" hidden="false" customHeight="false" outlineLevel="0" collapsed="false">
      <c r="A12" s="2" t="s">
        <v>103</v>
      </c>
      <c r="C12" s="2" t="s">
        <v>104</v>
      </c>
      <c r="D12" s="2" t="s">
        <v>105</v>
      </c>
      <c r="E12" s="2" t="s">
        <v>106</v>
      </c>
      <c r="F12" s="2" t="s">
        <v>107</v>
      </c>
      <c r="G12" s="2" t="s">
        <v>108</v>
      </c>
      <c r="H12" s="2" t="s">
        <v>109</v>
      </c>
      <c r="I12" s="2" t="s">
        <v>110</v>
      </c>
      <c r="J12" s="2" t="s">
        <v>111</v>
      </c>
      <c r="K12" s="2" t="s">
        <v>112</v>
      </c>
      <c r="L12" s="2" t="s">
        <v>113</v>
      </c>
    </row>
    <row r="13" customFormat="false" ht="15" hidden="false" customHeight="false" outlineLevel="0" collapsed="false">
      <c r="A13" s="0" t="s">
        <v>114</v>
      </c>
      <c r="C13" s="3" t="n">
        <v>1</v>
      </c>
      <c r="D13" s="3" t="n">
        <v>1</v>
      </c>
      <c r="E13" s="3" t="n">
        <v>1.5</v>
      </c>
      <c r="F13" s="3" t="n">
        <v>2</v>
      </c>
      <c r="G13" s="3" t="n">
        <v>2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115</v>
      </c>
      <c r="C14" s="3" t="n">
        <v>51</v>
      </c>
      <c r="D14" s="3" t="n">
        <v>50</v>
      </c>
      <c r="E14" s="3" t="n">
        <v>49</v>
      </c>
      <c r="F14" s="3" t="n">
        <v>48.5</v>
      </c>
      <c r="G14" s="3" t="n">
        <v>48</v>
      </c>
      <c r="H14" s="3" t="n">
        <v>48</v>
      </c>
      <c r="I14" s="3" t="n">
        <v>48</v>
      </c>
      <c r="J14" s="3" t="n">
        <v>48</v>
      </c>
      <c r="K14" s="3" t="n">
        <v>48</v>
      </c>
      <c r="L14" s="3" t="n">
        <v>48</v>
      </c>
    </row>
    <row r="15" customFormat="false" ht="15" hidden="false" customHeight="false" outlineLevel="0" collapsed="false">
      <c r="A15" s="0" t="s">
        <v>116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119</v>
      </c>
      <c r="C18" s="3" t="n">
        <v>27.21</v>
      </c>
      <c r="D18" s="3" t="n">
        <v>24.63</v>
      </c>
      <c r="E18" s="3" t="n">
        <v>22.25</v>
      </c>
      <c r="F18" s="3" t="n">
        <v>21.2</v>
      </c>
      <c r="G18" s="3" t="n">
        <v>19.93</v>
      </c>
      <c r="H18" s="3" t="n">
        <v>18.38</v>
      </c>
      <c r="I18" s="3" t="n">
        <v>16.65</v>
      </c>
      <c r="J18" s="3" t="n">
        <v>16.9</v>
      </c>
      <c r="K18" s="3" t="n">
        <v>15</v>
      </c>
      <c r="L18" s="3" t="n">
        <v>15.15</v>
      </c>
    </row>
    <row r="19" customFormat="false" ht="15" hidden="false" customHeight="false" outlineLevel="0" collapsed="false">
      <c r="A19" s="0" t="s">
        <v>120</v>
      </c>
      <c r="C19" s="3" t="n">
        <v>20.5</v>
      </c>
      <c r="D19" s="3" t="n">
        <v>20.5</v>
      </c>
      <c r="E19" s="3" t="n">
        <v>20.5</v>
      </c>
      <c r="F19" s="3" t="n">
        <v>20.5</v>
      </c>
      <c r="G19" s="3" t="n">
        <v>20.5</v>
      </c>
      <c r="H19" s="3" t="n">
        <v>20.5</v>
      </c>
      <c r="I19" s="3" t="n">
        <v>20.5</v>
      </c>
      <c r="J19" s="3" t="n">
        <v>20.5</v>
      </c>
      <c r="K19" s="3" t="n">
        <v>20.5</v>
      </c>
      <c r="L19" s="3" t="n">
        <v>20.5</v>
      </c>
    </row>
    <row r="20" customFormat="false" ht="15" hidden="false" customHeight="false" outlineLevel="0" collapsed="false">
      <c r="A20" s="0" t="s">
        <v>121</v>
      </c>
      <c r="B20" s="3" t="n">
        <v>10.5</v>
      </c>
    </row>
    <row r="21" customFormat="false" ht="15" hidden="false" customHeight="false" outlineLevel="0" collapsed="false">
      <c r="A21" s="0" t="s">
        <v>122</v>
      </c>
      <c r="B21" s="3" t="n">
        <v>2.5</v>
      </c>
    </row>
    <row r="22" customFormat="false" ht="15" hidden="false" customHeight="false" outlineLevel="0" collapsed="false">
      <c r="A22" s="0" t="s">
        <v>123</v>
      </c>
      <c r="B22" s="3" t="n">
        <v>18</v>
      </c>
    </row>
    <row r="23" customFormat="false" ht="15" hidden="false" customHeight="false" outlineLevel="0" collapsed="false">
      <c r="A23" s="0" t="s">
        <v>124</v>
      </c>
      <c r="B23" s="3" t="n">
        <v>0</v>
      </c>
    </row>
    <row r="24" customFormat="false" ht="15" hidden="false" customHeight="false" outlineLevel="0" collapsed="false">
      <c r="A24" s="0" t="s">
        <v>125</v>
      </c>
      <c r="B24" s="3" t="n">
        <v>0.25</v>
      </c>
    </row>
    <row r="26" customFormat="false" ht="15" hidden="false" customHeight="false" outlineLevel="0" collapsed="false">
      <c r="A26" s="2" t="s">
        <v>126</v>
      </c>
      <c r="C26" s="2" t="s">
        <v>104</v>
      </c>
      <c r="D26" s="2" t="s">
        <v>105</v>
      </c>
      <c r="E26" s="2" t="s">
        <v>106</v>
      </c>
      <c r="F26" s="2" t="s">
        <v>107</v>
      </c>
      <c r="G26" s="2" t="s">
        <v>108</v>
      </c>
      <c r="H26" s="2" t="s">
        <v>109</v>
      </c>
      <c r="I26" s="2" t="s">
        <v>110</v>
      </c>
      <c r="J26" s="2" t="s">
        <v>111</v>
      </c>
      <c r="K26" s="2" t="s">
        <v>112</v>
      </c>
      <c r="L26" s="2" t="s">
        <v>113</v>
      </c>
    </row>
    <row r="27" customFormat="false" ht="15" hidden="false" customHeight="false" outlineLevel="0" collapsed="false">
      <c r="A27" s="0" t="s">
        <v>114</v>
      </c>
      <c r="C27" s="3" t="n">
        <v>4</v>
      </c>
      <c r="D27" s="3" t="n">
        <v>4</v>
      </c>
      <c r="E27" s="3" t="n">
        <v>3.5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115</v>
      </c>
      <c r="C28" s="3" t="n">
        <v>52.5</v>
      </c>
      <c r="D28" s="3" t="n">
        <v>52</v>
      </c>
      <c r="E28" s="3" t="n">
        <v>51.5</v>
      </c>
      <c r="F28" s="3" t="n">
        <v>51</v>
      </c>
      <c r="G28" s="3" t="n">
        <v>51</v>
      </c>
      <c r="H28" s="3" t="n">
        <v>51</v>
      </c>
      <c r="I28" s="3" t="n">
        <v>51</v>
      </c>
      <c r="J28" s="3" t="n">
        <v>51</v>
      </c>
      <c r="K28" s="3" t="n">
        <v>51</v>
      </c>
      <c r="L28" s="3" t="n">
        <v>51</v>
      </c>
    </row>
    <row r="29" customFormat="false" ht="15" hidden="false" customHeight="false" outlineLevel="0" collapsed="false">
      <c r="A29" s="0" t="s">
        <v>116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118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119</v>
      </c>
      <c r="C32" s="3" t="n">
        <v>23.23</v>
      </c>
      <c r="D32" s="3" t="n">
        <v>21.37</v>
      </c>
      <c r="E32" s="3" t="n">
        <v>20.3</v>
      </c>
      <c r="F32" s="3" t="n">
        <v>19.05</v>
      </c>
      <c r="G32" s="3" t="n">
        <v>17.66</v>
      </c>
      <c r="H32" s="3" t="n">
        <v>16.2</v>
      </c>
      <c r="I32" s="3" t="n">
        <v>14.61</v>
      </c>
      <c r="J32" s="3" t="n">
        <v>12.91</v>
      </c>
      <c r="K32" s="3" t="n">
        <v>11.12</v>
      </c>
      <c r="L32" s="3" t="n">
        <v>11.12</v>
      </c>
    </row>
    <row r="33" customFormat="false" ht="15" hidden="false" customHeight="false" outlineLevel="0" collapsed="false">
      <c r="A33" s="0" t="s">
        <v>120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121</v>
      </c>
      <c r="B34" s="3" t="n">
        <v>10</v>
      </c>
    </row>
    <row r="35" customFormat="false" ht="15" hidden="false" customHeight="false" outlineLevel="0" collapsed="false">
      <c r="A35" s="0" t="s">
        <v>122</v>
      </c>
      <c r="B35" s="3" t="n">
        <v>3</v>
      </c>
    </row>
    <row r="36" customFormat="false" ht="15" hidden="false" customHeight="false" outlineLevel="0" collapsed="false">
      <c r="A36" s="0" t="s">
        <v>123</v>
      </c>
      <c r="B36" s="3" t="n">
        <v>18</v>
      </c>
    </row>
    <row r="37" customFormat="false" ht="15" hidden="false" customHeight="false" outlineLevel="0" collapsed="false">
      <c r="A37" s="0" t="s">
        <v>124</v>
      </c>
      <c r="B37" s="3" t="n">
        <v>0</v>
      </c>
    </row>
    <row r="38" customFormat="false" ht="15" hidden="false" customHeight="false" outlineLevel="0" collapsed="false">
      <c r="A38" s="0" t="s">
        <v>125</v>
      </c>
      <c r="B38" s="3" t="n">
        <v>0.5</v>
      </c>
    </row>
    <row r="40" customFormat="false" ht="15" hidden="false" customHeight="false" outlineLevel="0" collapsed="false">
      <c r="A40" s="2" t="s">
        <v>127</v>
      </c>
      <c r="C40" s="2" t="s">
        <v>104</v>
      </c>
      <c r="D40" s="2" t="s">
        <v>105</v>
      </c>
      <c r="E40" s="2" t="s">
        <v>106</v>
      </c>
      <c r="F40" s="2" t="s">
        <v>107</v>
      </c>
      <c r="G40" s="2" t="s">
        <v>108</v>
      </c>
      <c r="H40" s="2" t="s">
        <v>109</v>
      </c>
      <c r="I40" s="2" t="s">
        <v>110</v>
      </c>
      <c r="J40" s="2" t="s">
        <v>111</v>
      </c>
      <c r="K40" s="2" t="s">
        <v>112</v>
      </c>
      <c r="L40" s="2" t="s">
        <v>113</v>
      </c>
    </row>
    <row r="41" customFormat="false" ht="15" hidden="false" customHeight="false" outlineLevel="0" collapsed="false">
      <c r="A41" s="0" t="s">
        <v>114</v>
      </c>
      <c r="C41" s="3" t="n">
        <v>6</v>
      </c>
      <c r="D41" s="3" t="n">
        <v>5.5</v>
      </c>
      <c r="E41" s="3" t="n">
        <v>5</v>
      </c>
      <c r="F41" s="3" t="n">
        <v>4.5</v>
      </c>
      <c r="G41" s="3" t="n">
        <v>4</v>
      </c>
      <c r="H41" s="3" t="n">
        <v>4</v>
      </c>
      <c r="I41" s="3" t="n">
        <v>3.5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115</v>
      </c>
      <c r="C42" s="3" t="n">
        <v>53.5</v>
      </c>
      <c r="D42" s="3" t="n">
        <v>53.5</v>
      </c>
      <c r="E42" s="3" t="n">
        <v>53</v>
      </c>
      <c r="F42" s="3" t="n">
        <v>53</v>
      </c>
      <c r="G42" s="3" t="n">
        <v>53</v>
      </c>
      <c r="H42" s="3" t="n">
        <v>53</v>
      </c>
      <c r="I42" s="3" t="n">
        <v>53</v>
      </c>
      <c r="J42" s="3" t="n">
        <v>53</v>
      </c>
      <c r="K42" s="3" t="n">
        <v>53</v>
      </c>
      <c r="L42" s="3" t="n">
        <v>53</v>
      </c>
    </row>
    <row r="43" customFormat="false" ht="15" hidden="false" customHeight="false" outlineLevel="0" collapsed="false">
      <c r="A43" s="0" t="s">
        <v>116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118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119</v>
      </c>
      <c r="C46" s="3" t="n">
        <v>18.84</v>
      </c>
      <c r="D46" s="3" t="n">
        <v>16.46</v>
      </c>
      <c r="E46" s="3" t="n">
        <v>14.91</v>
      </c>
      <c r="F46" s="3" t="n">
        <v>13.36</v>
      </c>
      <c r="G46" s="3" t="n">
        <v>11.8</v>
      </c>
      <c r="H46" s="3" t="n">
        <v>12.62</v>
      </c>
      <c r="I46" s="3" t="n">
        <v>11.1</v>
      </c>
      <c r="J46" s="3" t="n">
        <v>9.51</v>
      </c>
      <c r="K46" s="3" t="n">
        <v>9.47</v>
      </c>
      <c r="L46" s="3" t="n">
        <v>9.42</v>
      </c>
    </row>
    <row r="47" customFormat="false" ht="15" hidden="false" customHeight="false" outlineLevel="0" collapsed="false">
      <c r="A47" s="0" t="s">
        <v>120</v>
      </c>
      <c r="C47" s="3" t="n">
        <v>19.5</v>
      </c>
      <c r="D47" s="3" t="n">
        <v>19.5</v>
      </c>
      <c r="E47" s="3" t="n">
        <v>19.5</v>
      </c>
      <c r="F47" s="3" t="n">
        <v>19.5</v>
      </c>
      <c r="G47" s="3" t="n">
        <v>19.5</v>
      </c>
      <c r="H47" s="3" t="n">
        <v>19.5</v>
      </c>
      <c r="I47" s="3" t="n">
        <v>19.5</v>
      </c>
      <c r="J47" s="3" t="n">
        <v>19.5</v>
      </c>
      <c r="K47" s="3" t="n">
        <v>19.5</v>
      </c>
      <c r="L47" s="3" t="n">
        <v>19.5</v>
      </c>
    </row>
    <row r="48" customFormat="false" ht="15" hidden="false" customHeight="false" outlineLevel="0" collapsed="false">
      <c r="A48" s="0" t="s">
        <v>121</v>
      </c>
      <c r="B48" s="3" t="n">
        <v>9.5</v>
      </c>
    </row>
    <row r="49" customFormat="false" ht="15" hidden="false" customHeight="false" outlineLevel="0" collapsed="false">
      <c r="A49" s="0" t="s">
        <v>122</v>
      </c>
      <c r="B49" s="3" t="n">
        <v>3.5</v>
      </c>
    </row>
    <row r="50" customFormat="false" ht="15" hidden="false" customHeight="false" outlineLevel="0" collapsed="false">
      <c r="A50" s="0" t="s">
        <v>123</v>
      </c>
      <c r="B50" s="3" t="n">
        <v>18</v>
      </c>
    </row>
    <row r="51" customFormat="false" ht="15" hidden="false" customHeight="false" outlineLevel="0" collapsed="false">
      <c r="A51" s="0" t="s">
        <v>124</v>
      </c>
      <c r="B51" s="3" t="n">
        <v>0</v>
      </c>
    </row>
    <row r="52" customFormat="false" ht="15" hidden="false" customHeight="false" outlineLevel="0" collapsed="false">
      <c r="A52" s="0" t="s">
        <v>125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128</v>
      </c>
    </row>
    <row r="3" customFormat="false" ht="15" hidden="false" customHeight="false" outlineLevel="0" collapsed="false">
      <c r="A3" s="0" t="s">
        <v>129</v>
      </c>
      <c r="B3" s="0" t="s">
        <v>99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113</v>
      </c>
    </row>
    <row r="4" customFormat="false" ht="15" hidden="false" customHeight="false" outlineLevel="0" collapsed="false">
      <c r="A4" s="0" t="s">
        <v>130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114</v>
      </c>
      <c r="C5" s="4" t="n">
        <f aca="false">Assumptions!C13</f>
        <v>1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344000</v>
      </c>
      <c r="C6" s="0" t="n">
        <f aca="false">B6*(1+C5/100)</f>
        <v>347440</v>
      </c>
      <c r="D6" s="0" t="n">
        <f aca="false">C6*(1+D5/100)</f>
        <v>350914.4</v>
      </c>
      <c r="E6" s="0" t="n">
        <f aca="false">D6*(1+E5/100)</f>
        <v>356178.116</v>
      </c>
      <c r="F6" s="0" t="n">
        <f aca="false">E6*(1+F5/100)</f>
        <v>363301.67832</v>
      </c>
      <c r="G6" s="0" t="n">
        <f aca="false">F6*(1+G5/100)</f>
        <v>370567.7118864</v>
      </c>
      <c r="H6" s="0" t="n">
        <f aca="false">G6*(1+H5/100)</f>
        <v>379831.90468356</v>
      </c>
      <c r="I6" s="0" t="n">
        <f aca="false">H6*(1+I5/100)</f>
        <v>389327.702300649</v>
      </c>
      <c r="J6" s="0" t="n">
        <f aca="false">I6*(1+J5/100)</f>
        <v>399060.894858165</v>
      </c>
      <c r="K6" s="0" t="n">
        <f aca="false">J6*(1+K5/100)</f>
        <v>409037.417229619</v>
      </c>
      <c r="L6" s="0" t="n">
        <f aca="false">K6*(1+L5/100)</f>
        <v>419263.35266036</v>
      </c>
    </row>
    <row r="7" customFormat="false" ht="15" hidden="false" customHeight="false" outlineLevel="0" collapsed="false">
      <c r="A7" s="0" t="s">
        <v>115</v>
      </c>
      <c r="C7" s="4" t="n">
        <f aca="false">Assumptions!C14</f>
        <v>51</v>
      </c>
      <c r="D7" s="4" t="n">
        <f aca="false">Assumptions!D14</f>
        <v>50</v>
      </c>
      <c r="E7" s="4" t="n">
        <f aca="false">Assumptions!E14</f>
        <v>49</v>
      </c>
      <c r="F7" s="4" t="n">
        <f aca="false">Assumptions!F14</f>
        <v>48.5</v>
      </c>
      <c r="G7" s="4" t="n">
        <f aca="false">Assumptions!G14</f>
        <v>48</v>
      </c>
      <c r="H7" s="4" t="n">
        <f aca="false">Assumptions!H14</f>
        <v>48</v>
      </c>
      <c r="I7" s="4" t="n">
        <f aca="false">Assumptions!I14</f>
        <v>48</v>
      </c>
      <c r="J7" s="4" t="n">
        <f aca="false">Assumptions!J14</f>
        <v>48</v>
      </c>
      <c r="K7" s="4" t="n">
        <f aca="false">Assumptions!K14</f>
        <v>48</v>
      </c>
      <c r="L7" s="4" t="n">
        <f aca="false">Assumptions!L14</f>
        <v>48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177194.4</v>
      </c>
      <c r="D8" s="0" t="n">
        <f aca="false">D6*D7/100</f>
        <v>175457.2</v>
      </c>
      <c r="E8" s="0" t="n">
        <f aca="false">E6*E7/100</f>
        <v>174527.27684</v>
      </c>
      <c r="F8" s="0" t="n">
        <f aca="false">F6*F7/100</f>
        <v>176201.3139852</v>
      </c>
      <c r="G8" s="0" t="n">
        <f aca="false">G6*G7/100</f>
        <v>177872.501705472</v>
      </c>
      <c r="H8" s="0" t="n">
        <f aca="false">H6*H7/100</f>
        <v>182319.314248109</v>
      </c>
      <c r="I8" s="0" t="n">
        <f aca="false">I6*I7/100</f>
        <v>186877.297104311</v>
      </c>
      <c r="J8" s="0" t="n">
        <f aca="false">J6*J7/100</f>
        <v>191549.229531919</v>
      </c>
      <c r="K8" s="0" t="n">
        <f aca="false">K6*K7/100</f>
        <v>196337.960270217</v>
      </c>
      <c r="L8" s="0" t="n">
        <f aca="false">L6*L7/100</f>
        <v>201246.409276973</v>
      </c>
    </row>
    <row r="9" customFormat="false" ht="15" hidden="false" customHeight="false" outlineLevel="0" collapsed="false">
      <c r="A9" s="0" t="s">
        <v>116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131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132</v>
      </c>
      <c r="C11" s="0" t="n">
        <f aca="false">C8+C10+C24</f>
        <v>177194.4</v>
      </c>
      <c r="D11" s="0" t="n">
        <f aca="false">D8+D10+D24</f>
        <v>175457.2</v>
      </c>
      <c r="E11" s="0" t="n">
        <f aca="false">E8+E10+E24</f>
        <v>174527.27684</v>
      </c>
      <c r="F11" s="0" t="n">
        <f aca="false">F8+F10+F24</f>
        <v>176201.3139852</v>
      </c>
      <c r="G11" s="0" t="n">
        <f aca="false">G8+G10+G24</f>
        <v>177872.501705472</v>
      </c>
      <c r="H11" s="0" t="n">
        <f aca="false">H8+H10+H24</f>
        <v>182319.314248109</v>
      </c>
      <c r="I11" s="0" t="n">
        <f aca="false">I8+I10+I24</f>
        <v>186877.297104311</v>
      </c>
      <c r="J11" s="0" t="n">
        <f aca="false">J8+J10+J24</f>
        <v>191549.229531919</v>
      </c>
      <c r="K11" s="0" t="n">
        <f aca="false">K8+K10+K24</f>
        <v>196337.960270217</v>
      </c>
      <c r="L11" s="0" t="n">
        <f aca="false">L8+L10+L24</f>
        <v>201246.409276973</v>
      </c>
    </row>
    <row r="12" customFormat="false" ht="15" hidden="false" customHeight="false" outlineLevel="0" collapsed="false">
      <c r="A12" s="0" t="s">
        <v>133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134</v>
      </c>
      <c r="C13" s="0" t="n">
        <f aca="false">C11+C12</f>
        <v>177194.4</v>
      </c>
      <c r="D13" s="0" t="n">
        <f aca="false">D11+D12</f>
        <v>175457.2</v>
      </c>
      <c r="E13" s="0" t="n">
        <f aca="false">E11+E12</f>
        <v>174527.27684</v>
      </c>
      <c r="F13" s="0" t="n">
        <f aca="false">F11+F12</f>
        <v>176201.3139852</v>
      </c>
      <c r="G13" s="0" t="n">
        <f aca="false">G11+G12</f>
        <v>177872.501705472</v>
      </c>
      <c r="H13" s="0" t="n">
        <f aca="false">H11+H12</f>
        <v>182319.314248109</v>
      </c>
      <c r="I13" s="0" t="n">
        <f aca="false">I11+I12</f>
        <v>186877.297104311</v>
      </c>
      <c r="J13" s="0" t="n">
        <f aca="false">J11+J12</f>
        <v>191549.229531919</v>
      </c>
      <c r="K13" s="0" t="n">
        <f aca="false">K11+K12</f>
        <v>196337.960270217</v>
      </c>
      <c r="L13" s="0" t="n">
        <f aca="false">L11+L12</f>
        <v>201246.409276973</v>
      </c>
    </row>
    <row r="14" customFormat="false" ht="15" hidden="false" customHeight="false" outlineLevel="0" collapsed="false">
      <c r="A14" s="0" t="s">
        <v>120</v>
      </c>
      <c r="C14" s="4" t="n">
        <f aca="false">Assumptions!C19</f>
        <v>20.5</v>
      </c>
      <c r="D14" s="4" t="n">
        <f aca="false">Assumptions!D19</f>
        <v>20.5</v>
      </c>
      <c r="E14" s="4" t="n">
        <f aca="false">Assumptions!E19</f>
        <v>20.5</v>
      </c>
      <c r="F14" s="4" t="n">
        <f aca="false">Assumptions!F19</f>
        <v>20.5</v>
      </c>
      <c r="G14" s="4" t="n">
        <f aca="false">Assumptions!G19</f>
        <v>20.5</v>
      </c>
      <c r="H14" s="4" t="n">
        <f aca="false">Assumptions!H19</f>
        <v>20.5</v>
      </c>
      <c r="I14" s="4" t="n">
        <f aca="false">Assumptions!I19</f>
        <v>20.5</v>
      </c>
      <c r="J14" s="4" t="n">
        <f aca="false">Assumptions!J19</f>
        <v>20.5</v>
      </c>
      <c r="K14" s="4" t="n">
        <f aca="false">Assumptions!K19</f>
        <v>20.5</v>
      </c>
      <c r="L14" s="4" t="n">
        <f aca="false">Assumptions!L19</f>
        <v>20.5</v>
      </c>
    </row>
    <row r="15" customFormat="false" ht="15" hidden="false" customHeight="false" outlineLevel="0" collapsed="false">
      <c r="A15" s="0" t="s">
        <v>135</v>
      </c>
      <c r="C15" s="0" t="n">
        <f aca="false">C13-MAX(0,C13)*C14/100</f>
        <v>140869.548</v>
      </c>
      <c r="D15" s="0" t="n">
        <f aca="false">D13-MAX(0,D13)*D14/100</f>
        <v>139488.474</v>
      </c>
      <c r="E15" s="0" t="n">
        <f aca="false">E13-MAX(0,E13)*E14/100</f>
        <v>138749.1850878</v>
      </c>
      <c r="F15" s="0" t="n">
        <f aca="false">F13-MAX(0,F13)*F14/100</f>
        <v>140080.044618234</v>
      </c>
      <c r="G15" s="0" t="n">
        <f aca="false">G13-MAX(0,G13)*G14/100</f>
        <v>141408.63885585</v>
      </c>
      <c r="H15" s="0" t="n">
        <f aca="false">H13-MAX(0,H13)*H14/100</f>
        <v>144943.854827247</v>
      </c>
      <c r="I15" s="0" t="n">
        <f aca="false">I13-MAX(0,I13)*I14/100</f>
        <v>148567.451197928</v>
      </c>
      <c r="J15" s="0" t="n">
        <f aca="false">J13-MAX(0,J13)*J14/100</f>
        <v>152281.637477876</v>
      </c>
      <c r="K15" s="0" t="n">
        <f aca="false">K13-MAX(0,K13)*K14/100</f>
        <v>156088.678414823</v>
      </c>
      <c r="L15" s="0" t="n">
        <f aca="false">L13-MAX(0,L13)*L14/100</f>
        <v>159990.895375193</v>
      </c>
    </row>
    <row r="16" customFormat="false" ht="15" hidden="false" customHeight="false" outlineLevel="0" collapsed="false">
      <c r="A16" s="0" t="s">
        <v>136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137</v>
      </c>
      <c r="C17" s="4" t="n">
        <f aca="false">-C6*Assumptions!C18/100</f>
        <v>-94538.424</v>
      </c>
      <c r="D17" s="4" t="n">
        <f aca="false">-D6*Assumptions!D18/100</f>
        <v>-86430.21672</v>
      </c>
      <c r="E17" s="4" t="n">
        <f aca="false">-E6*Assumptions!E18/100</f>
        <v>-79249.63081</v>
      </c>
      <c r="F17" s="4" t="n">
        <f aca="false">-F6*Assumptions!F18/100</f>
        <v>-77019.95580384</v>
      </c>
      <c r="G17" s="4" t="n">
        <f aca="false">-G6*Assumptions!G18/100</f>
        <v>-73854.1449789595</v>
      </c>
      <c r="H17" s="4" t="n">
        <f aca="false">-H6*Assumptions!H18/100</f>
        <v>-69813.1040808383</v>
      </c>
      <c r="I17" s="4" t="n">
        <f aca="false">-I6*Assumptions!I18/100</f>
        <v>-64823.062433058</v>
      </c>
      <c r="J17" s="4" t="n">
        <f aca="false">-J6*Assumptions!J18/100</f>
        <v>-67441.2912310299</v>
      </c>
      <c r="K17" s="4" t="n">
        <f aca="false">-K6*Assumptions!K18/100</f>
        <v>-61355.6125844429</v>
      </c>
      <c r="L17" s="4" t="n">
        <f aca="false">-L6*Assumptions!L18/100</f>
        <v>-63518.3979280445</v>
      </c>
    </row>
    <row r="18" customFormat="false" ht="15" hidden="false" customHeight="false" outlineLevel="0" collapsed="false">
      <c r="A18" s="0" t="s">
        <v>138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139</v>
      </c>
      <c r="C19" s="0" t="n">
        <f aca="false">C15+C16+C17+C18</f>
        <v>46331.124</v>
      </c>
      <c r="D19" s="0" t="n">
        <f aca="false">D15+D16+D17+D18</f>
        <v>53058.25728</v>
      </c>
      <c r="E19" s="0" t="n">
        <f aca="false">E15+E16+E17+E18</f>
        <v>59499.5542778</v>
      </c>
      <c r="F19" s="0" t="n">
        <f aca="false">F15+F16+F17+F18</f>
        <v>63060.088814394</v>
      </c>
      <c r="G19" s="0" t="n">
        <f aca="false">G15+G16+G17+G18</f>
        <v>67554.4938768907</v>
      </c>
      <c r="H19" s="0" t="n">
        <f aca="false">H15+H16+H17+H18</f>
        <v>75130.7507464082</v>
      </c>
      <c r="I19" s="0" t="n">
        <f aca="false">I15+I16+I17+I18</f>
        <v>83744.3887648696</v>
      </c>
      <c r="J19" s="0" t="n">
        <f aca="false">J15+J16+J17+J18</f>
        <v>84840.3462468459</v>
      </c>
      <c r="K19" s="0" t="n">
        <f aca="false">K15+K16+K17+K18</f>
        <v>94733.0658303798</v>
      </c>
      <c r="L19" s="0" t="n">
        <f aca="false">L15+L16+L17+L18</f>
        <v>96472.4974471488</v>
      </c>
    </row>
    <row r="20" customFormat="false" ht="15" hidden="false" customHeight="false" outlineLevel="0" collapsed="false">
      <c r="A20" s="0" t="s">
        <v>140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141</v>
      </c>
      <c r="C21" s="0" t="n">
        <f aca="false">C19*C20</f>
        <v>41928.6190045249</v>
      </c>
      <c r="D21" s="0" t="n">
        <f aca="false">D19*D20</f>
        <v>43453.8664482709</v>
      </c>
      <c r="E21" s="0" t="n">
        <f aca="false">E19*E20</f>
        <v>44098.8108168523</v>
      </c>
      <c r="F21" s="0" t="n">
        <f aca="false">F19*F20</f>
        <v>42296.6007645899</v>
      </c>
      <c r="G21" s="0" t="n">
        <f aca="false">G19*G20</f>
        <v>41005.5701182671</v>
      </c>
      <c r="H21" s="0" t="n">
        <f aca="false">H19*H20</f>
        <v>41270.9114736937</v>
      </c>
      <c r="I21" s="0" t="n">
        <f aca="false">I19*I20</f>
        <v>41631.2806685363</v>
      </c>
      <c r="J21" s="0" t="n">
        <f aca="false">J19*J20</f>
        <v>38168.4222507645</v>
      </c>
      <c r="K21" s="0" t="n">
        <f aca="false">K19*K20</f>
        <v>38569.240807026</v>
      </c>
      <c r="L21" s="0" t="n">
        <f aca="false">L19*L20</f>
        <v>35545.1819232688</v>
      </c>
    </row>
    <row r="23" customFormat="false" ht="15" hidden="false" customHeight="false" outlineLevel="0" collapsed="false">
      <c r="A23" s="0" t="s">
        <v>117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142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143</v>
      </c>
    </row>
    <row r="27" customFormat="false" ht="15" hidden="false" customHeight="false" outlineLevel="0" collapsed="false">
      <c r="A27" s="0" t="s">
        <v>121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122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123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144</v>
      </c>
      <c r="B30" s="0" t="n">
        <f aca="false">SUM(C21:L21)</f>
        <v>407968.504275794</v>
      </c>
    </row>
    <row r="31" customFormat="false" ht="15" hidden="false" customHeight="false" outlineLevel="0" collapsed="false">
      <c r="A31" s="0" t="s">
        <v>145</v>
      </c>
      <c r="B31" s="0" t="n">
        <f aca="false">L19</f>
        <v>96472.4974471488</v>
      </c>
    </row>
    <row r="32" customFormat="false" ht="15" hidden="false" customHeight="false" outlineLevel="0" collapsed="false">
      <c r="A32" s="0" t="s">
        <v>146</v>
      </c>
      <c r="B32" s="0" t="n">
        <f aca="false">IF(B27&gt;B28,B31*(1+B28/100)/((B27-B28)/100),B31*B29)</f>
        <v>1236053.87354159</v>
      </c>
    </row>
    <row r="33" customFormat="false" ht="15" hidden="false" customHeight="false" outlineLevel="0" collapsed="false">
      <c r="A33" s="0" t="s">
        <v>147</v>
      </c>
      <c r="B33" s="0" t="n">
        <f aca="false">B31*B29</f>
        <v>1736504.95404868</v>
      </c>
    </row>
    <row r="34" customFormat="false" ht="15" hidden="false" customHeight="false" outlineLevel="0" collapsed="false">
      <c r="A34" s="0" t="s">
        <v>148</v>
      </c>
      <c r="B34" s="0" t="n">
        <f aca="false">MAX(0,MIN(B32,B33))</f>
        <v>1236053.87354159</v>
      </c>
    </row>
    <row r="35" customFormat="false" ht="15" hidden="false" customHeight="false" outlineLevel="0" collapsed="false">
      <c r="A35" s="0" t="s">
        <v>149</v>
      </c>
      <c r="B35" s="0" t="n">
        <f aca="false">B34/(1+B27/100)^L4</f>
        <v>455422.643391882</v>
      </c>
    </row>
    <row r="36" customFormat="false" ht="15" hidden="false" customHeight="false" outlineLevel="0" collapsed="false">
      <c r="A36" s="0" t="s">
        <v>150</v>
      </c>
      <c r="B36" s="0" t="n">
        <f aca="false">B30+B35</f>
        <v>863391.147667676</v>
      </c>
    </row>
    <row r="37" customFormat="false" ht="15" hidden="false" customHeight="false" outlineLevel="0" collapsed="false">
      <c r="A37" s="0" t="s">
        <v>151</v>
      </c>
      <c r="B37" s="0" t="n">
        <f aca="false">B36+Assumptions!$B$5-Assumptions!$B$4</f>
        <v>863391.147667676</v>
      </c>
    </row>
    <row r="38" customFormat="false" ht="15" hidden="false" customHeight="false" outlineLevel="0" collapsed="false">
      <c r="A38" s="0" t="s">
        <v>152</v>
      </c>
      <c r="B38" s="0" t="n">
        <f aca="false">B37/Assumptions!$B$3*Assumptions!$B$10</f>
        <v>40.2254004167137</v>
      </c>
    </row>
    <row r="39" customFormat="false" ht="15" hidden="false" customHeight="false" outlineLevel="0" collapsed="false">
      <c r="A39" s="0" t="s">
        <v>153</v>
      </c>
      <c r="B39" s="4" t="n">
        <f aca="false">B38/Assumptions!$B$2-1</f>
        <v>-0.218165200841328</v>
      </c>
    </row>
    <row r="41" customFormat="false" ht="15" hidden="false" customHeight="false" outlineLevel="0" collapsed="false">
      <c r="A41" s="0" t="s">
        <v>154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156</v>
      </c>
      <c r="B43" s="0" t="n">
        <f aca="false">(B37+B41+B42)/Assumptions!$B$3*Assumptions!$B$10</f>
        <v>40.2254004167137</v>
      </c>
    </row>
    <row r="45" customFormat="false" ht="15" hidden="false" customHeight="false" outlineLevel="0" collapsed="false">
      <c r="A45" s="0" t="s">
        <v>96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157</v>
      </c>
      <c r="B46" s="0" t="n">
        <f aca="false">MAX(0,MIN(IF(B45&gt;B28,B31*(1+B28/100)/((B45-B28)/100),B31*B29),B31*B29))</f>
        <v>791074.47906662</v>
      </c>
    </row>
    <row r="47" customFormat="false" ht="15" hidden="false" customHeight="false" outlineLevel="0" collapsed="false">
      <c r="A47" s="0" t="s">
        <v>158</v>
      </c>
      <c r="B47" s="0" t="n">
        <f aca="false">(SUMPRODUCT(C19:L19/(1+B45/100)^C4:L4)+B46/(1+B45/100)^L4+Assumptions!$B$5-Assumptions!$B$4)/Assumptions!$B$3*Assumptions!$B$10</f>
        <v>24.5616053990296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159</v>
      </c>
    </row>
    <row r="3" customFormat="false" ht="15" hidden="false" customHeight="false" outlineLevel="0" collapsed="false">
      <c r="A3" s="0" t="s">
        <v>129</v>
      </c>
      <c r="B3" s="0" t="s">
        <v>99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113</v>
      </c>
    </row>
    <row r="4" customFormat="false" ht="15" hidden="false" customHeight="false" outlineLevel="0" collapsed="false">
      <c r="A4" s="0" t="s">
        <v>130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114</v>
      </c>
      <c r="C5" s="4" t="n">
        <f aca="false">Assumptions!C27</f>
        <v>4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344000</v>
      </c>
      <c r="C6" s="0" t="n">
        <f aca="false">B6*(1+C5/100)</f>
        <v>357760</v>
      </c>
      <c r="D6" s="0" t="n">
        <f aca="false">C6*(1+D5/100)</f>
        <v>372070.4</v>
      </c>
      <c r="E6" s="0" t="n">
        <f aca="false">D6*(1+E5/100)</f>
        <v>385092.864</v>
      </c>
      <c r="F6" s="0" t="n">
        <f aca="false">E6*(1+F5/100)</f>
        <v>398571.11424</v>
      </c>
      <c r="G6" s="0" t="n">
        <f aca="false">F6*(1+G5/100)</f>
        <v>412521.1032384</v>
      </c>
      <c r="H6" s="0" t="n">
        <f aca="false">G6*(1+H5/100)</f>
        <v>424896.736335552</v>
      </c>
      <c r="I6" s="0" t="n">
        <f aca="false">H6*(1+I5/100)</f>
        <v>437643.638425619</v>
      </c>
      <c r="J6" s="0" t="n">
        <f aca="false">I6*(1+J5/100)</f>
        <v>450772.947578387</v>
      </c>
      <c r="K6" s="0" t="n">
        <f aca="false">J6*(1+K5/100)</f>
        <v>464296.136005739</v>
      </c>
      <c r="L6" s="0" t="n">
        <f aca="false">K6*(1+L5/100)</f>
        <v>478225.020085911</v>
      </c>
    </row>
    <row r="7" customFormat="false" ht="15" hidden="false" customHeight="false" outlineLevel="0" collapsed="false">
      <c r="A7" s="0" t="s">
        <v>115</v>
      </c>
      <c r="C7" s="4" t="n">
        <f aca="false">Assumptions!C28</f>
        <v>52.5</v>
      </c>
      <c r="D7" s="4" t="n">
        <f aca="false">Assumptions!D28</f>
        <v>52</v>
      </c>
      <c r="E7" s="4" t="n">
        <f aca="false">Assumptions!E28</f>
        <v>51.5</v>
      </c>
      <c r="F7" s="4" t="n">
        <f aca="false">Assumptions!F28</f>
        <v>51</v>
      </c>
      <c r="G7" s="4" t="n">
        <f aca="false">Assumptions!G28</f>
        <v>51</v>
      </c>
      <c r="H7" s="4" t="n">
        <f aca="false">Assumptions!H28</f>
        <v>51</v>
      </c>
      <c r="I7" s="4" t="n">
        <f aca="false">Assumptions!I28</f>
        <v>51</v>
      </c>
      <c r="J7" s="4" t="n">
        <f aca="false">Assumptions!J28</f>
        <v>51</v>
      </c>
      <c r="K7" s="4" t="n">
        <f aca="false">Assumptions!K28</f>
        <v>51</v>
      </c>
      <c r="L7" s="4" t="n">
        <f aca="false">Assumptions!L28</f>
        <v>51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187824</v>
      </c>
      <c r="D8" s="0" t="n">
        <f aca="false">D6*D7/100</f>
        <v>193476.608</v>
      </c>
      <c r="E8" s="0" t="n">
        <f aca="false">E6*E7/100</f>
        <v>198322.82496</v>
      </c>
      <c r="F8" s="0" t="n">
        <f aca="false">F6*F7/100</f>
        <v>203271.2682624</v>
      </c>
      <c r="G8" s="0" t="n">
        <f aca="false">G6*G7/100</f>
        <v>210385.762651584</v>
      </c>
      <c r="H8" s="0" t="n">
        <f aca="false">H6*H7/100</f>
        <v>216697.335531131</v>
      </c>
      <c r="I8" s="0" t="n">
        <f aca="false">I6*I7/100</f>
        <v>223198.255597065</v>
      </c>
      <c r="J8" s="0" t="n">
        <f aca="false">J6*J7/100</f>
        <v>229894.203264977</v>
      </c>
      <c r="K8" s="0" t="n">
        <f aca="false">K6*K7/100</f>
        <v>236791.029362927</v>
      </c>
      <c r="L8" s="0" t="n">
        <f aca="false">L6*L7/100</f>
        <v>243894.760243815</v>
      </c>
    </row>
    <row r="9" customFormat="false" ht="15" hidden="false" customHeight="false" outlineLevel="0" collapsed="false">
      <c r="A9" s="0" t="s">
        <v>116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131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132</v>
      </c>
      <c r="C11" s="0" t="n">
        <f aca="false">C8+C10+C24</f>
        <v>187824</v>
      </c>
      <c r="D11" s="0" t="n">
        <f aca="false">D8+D10+D24</f>
        <v>193476.608</v>
      </c>
      <c r="E11" s="0" t="n">
        <f aca="false">E8+E10+E24</f>
        <v>198322.82496</v>
      </c>
      <c r="F11" s="0" t="n">
        <f aca="false">F8+F10+F24</f>
        <v>203271.2682624</v>
      </c>
      <c r="G11" s="0" t="n">
        <f aca="false">G8+G10+G24</f>
        <v>210385.762651584</v>
      </c>
      <c r="H11" s="0" t="n">
        <f aca="false">H8+H10+H24</f>
        <v>216697.335531131</v>
      </c>
      <c r="I11" s="0" t="n">
        <f aca="false">I8+I10+I24</f>
        <v>223198.255597065</v>
      </c>
      <c r="J11" s="0" t="n">
        <f aca="false">J8+J10+J24</f>
        <v>229894.203264977</v>
      </c>
      <c r="K11" s="0" t="n">
        <f aca="false">K8+K10+K24</f>
        <v>236791.029362927</v>
      </c>
      <c r="L11" s="0" t="n">
        <f aca="false">L8+L10+L24</f>
        <v>243894.760243815</v>
      </c>
    </row>
    <row r="12" customFormat="false" ht="15" hidden="false" customHeight="false" outlineLevel="0" collapsed="false">
      <c r="A12" s="0" t="s">
        <v>133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134</v>
      </c>
      <c r="C13" s="0" t="n">
        <f aca="false">C11+C12</f>
        <v>187824</v>
      </c>
      <c r="D13" s="0" t="n">
        <f aca="false">D11+D12</f>
        <v>193476.608</v>
      </c>
      <c r="E13" s="0" t="n">
        <f aca="false">E11+E12</f>
        <v>198322.82496</v>
      </c>
      <c r="F13" s="0" t="n">
        <f aca="false">F11+F12</f>
        <v>203271.2682624</v>
      </c>
      <c r="G13" s="0" t="n">
        <f aca="false">G11+G12</f>
        <v>210385.762651584</v>
      </c>
      <c r="H13" s="0" t="n">
        <f aca="false">H11+H12</f>
        <v>216697.335531131</v>
      </c>
      <c r="I13" s="0" t="n">
        <f aca="false">I11+I12</f>
        <v>223198.255597065</v>
      </c>
      <c r="J13" s="0" t="n">
        <f aca="false">J11+J12</f>
        <v>229894.203264977</v>
      </c>
      <c r="K13" s="0" t="n">
        <f aca="false">K11+K12</f>
        <v>236791.029362927</v>
      </c>
      <c r="L13" s="0" t="n">
        <f aca="false">L11+L12</f>
        <v>243894.760243815</v>
      </c>
    </row>
    <row r="14" customFormat="false" ht="15" hidden="false" customHeight="false" outlineLevel="0" collapsed="false">
      <c r="A14" s="0" t="s">
        <v>120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135</v>
      </c>
      <c r="C15" s="0" t="n">
        <f aca="false">C13-MAX(0,C13)*C14/100</f>
        <v>150259.2</v>
      </c>
      <c r="D15" s="0" t="n">
        <f aca="false">D13-MAX(0,D13)*D14/100</f>
        <v>154781.2864</v>
      </c>
      <c r="E15" s="0" t="n">
        <f aca="false">E13-MAX(0,E13)*E14/100</f>
        <v>158658.259968</v>
      </c>
      <c r="F15" s="0" t="n">
        <f aca="false">F13-MAX(0,F13)*F14/100</f>
        <v>162617.01460992</v>
      </c>
      <c r="G15" s="0" t="n">
        <f aca="false">G13-MAX(0,G13)*G14/100</f>
        <v>168308.610121267</v>
      </c>
      <c r="H15" s="0" t="n">
        <f aca="false">H13-MAX(0,H13)*H14/100</f>
        <v>173357.868424905</v>
      </c>
      <c r="I15" s="0" t="n">
        <f aca="false">I13-MAX(0,I13)*I14/100</f>
        <v>178558.604477652</v>
      </c>
      <c r="J15" s="0" t="n">
        <f aca="false">J13-MAX(0,J13)*J14/100</f>
        <v>183915.362611982</v>
      </c>
      <c r="K15" s="0" t="n">
        <f aca="false">K13-MAX(0,K13)*K14/100</f>
        <v>189432.823490341</v>
      </c>
      <c r="L15" s="0" t="n">
        <f aca="false">L13-MAX(0,L13)*L14/100</f>
        <v>195115.808195052</v>
      </c>
    </row>
    <row r="16" customFormat="false" ht="15" hidden="false" customHeight="false" outlineLevel="0" collapsed="false">
      <c r="A16" s="0" t="s">
        <v>136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137</v>
      </c>
      <c r="C17" s="4" t="n">
        <f aca="false">-C6*Assumptions!C32/100</f>
        <v>-83107.648</v>
      </c>
      <c r="D17" s="4" t="n">
        <f aca="false">-D6*Assumptions!D32/100</f>
        <v>-79511.44448</v>
      </c>
      <c r="E17" s="4" t="n">
        <f aca="false">-E6*Assumptions!E32/100</f>
        <v>-78173.851392</v>
      </c>
      <c r="F17" s="4" t="n">
        <f aca="false">-F6*Assumptions!F32/100</f>
        <v>-75927.79726272</v>
      </c>
      <c r="G17" s="4" t="n">
        <f aca="false">-G6*Assumptions!G32/100</f>
        <v>-72851.2268319014</v>
      </c>
      <c r="H17" s="4" t="n">
        <f aca="false">-H6*Assumptions!H32/100</f>
        <v>-68833.2712863594</v>
      </c>
      <c r="I17" s="4" t="n">
        <f aca="false">-I6*Assumptions!I32/100</f>
        <v>-63939.7355739829</v>
      </c>
      <c r="J17" s="4" t="n">
        <f aca="false">-J6*Assumptions!J32/100</f>
        <v>-58194.7875323698</v>
      </c>
      <c r="K17" s="4" t="n">
        <f aca="false">-K6*Assumptions!K32/100</f>
        <v>-51629.7303238381</v>
      </c>
      <c r="L17" s="4" t="n">
        <f aca="false">-L6*Assumptions!L32/100</f>
        <v>-53178.6222335533</v>
      </c>
    </row>
    <row r="18" customFormat="false" ht="15" hidden="false" customHeight="false" outlineLevel="0" collapsed="false">
      <c r="A18" s="0" t="s">
        <v>138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139</v>
      </c>
      <c r="C19" s="0" t="n">
        <f aca="false">C15+C16+C17+C18</f>
        <v>67151.552</v>
      </c>
      <c r="D19" s="0" t="n">
        <f aca="false">D15+D16+D17+D18</f>
        <v>75269.84192</v>
      </c>
      <c r="E19" s="0" t="n">
        <f aca="false">E15+E16+E17+E18</f>
        <v>80484.408576</v>
      </c>
      <c r="F19" s="0" t="n">
        <f aca="false">F15+F16+F17+F18</f>
        <v>86689.2173472</v>
      </c>
      <c r="G19" s="0" t="n">
        <f aca="false">G15+G16+G17+G18</f>
        <v>95457.3832893657</v>
      </c>
      <c r="H19" s="0" t="n">
        <f aca="false">H15+H16+H17+H18</f>
        <v>104524.597138546</v>
      </c>
      <c r="I19" s="0" t="n">
        <f aca="false">I15+I16+I17+I18</f>
        <v>114618.86890367</v>
      </c>
      <c r="J19" s="0" t="n">
        <f aca="false">J15+J16+J17+J18</f>
        <v>125720.575079612</v>
      </c>
      <c r="K19" s="0" t="n">
        <f aca="false">K15+K16+K17+K18</f>
        <v>137803.093166503</v>
      </c>
      <c r="L19" s="0" t="n">
        <f aca="false">L15+L16+L17+L18</f>
        <v>141937.185961498</v>
      </c>
    </row>
    <row r="20" customFormat="false" ht="15" hidden="false" customHeight="false" outlineLevel="0" collapsed="false">
      <c r="A20" s="0" t="s">
        <v>140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141</v>
      </c>
      <c r="C21" s="0" t="n">
        <f aca="false">C19*C20</f>
        <v>61046.8654545455</v>
      </c>
      <c r="D21" s="0" t="n">
        <f aca="false">D19*D20</f>
        <v>62206.4809256198</v>
      </c>
      <c r="E21" s="0" t="n">
        <f aca="false">E19*E20</f>
        <v>60469.1274049587</v>
      </c>
      <c r="F21" s="0" t="n">
        <f aca="false">F19*F20</f>
        <v>59209.9018832047</v>
      </c>
      <c r="G21" s="0" t="n">
        <f aca="false">G19*G20</f>
        <v>59271.5247277978</v>
      </c>
      <c r="H21" s="0" t="n">
        <f aca="false">H19*H20</f>
        <v>59001.4101340827</v>
      </c>
      <c r="I21" s="0" t="n">
        <f aca="false">I19*I20</f>
        <v>58817.6030803391</v>
      </c>
      <c r="J21" s="0" t="n">
        <f aca="false">J19*J20</f>
        <v>58649.5761188509</v>
      </c>
      <c r="K21" s="0" t="n">
        <f aca="false">K19*K20</f>
        <v>58441.9636162757</v>
      </c>
      <c r="L21" s="0" t="n">
        <f aca="false">L19*L20</f>
        <v>54722.9295679672</v>
      </c>
    </row>
    <row r="23" customFormat="false" ht="15" hidden="false" customHeight="false" outlineLevel="0" collapsed="false">
      <c r="A23" s="0" t="s">
        <v>117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142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143</v>
      </c>
    </row>
    <row r="27" customFormat="false" ht="15" hidden="false" customHeight="false" outlineLevel="0" collapsed="false">
      <c r="A27" s="0" t="s">
        <v>121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122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123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144</v>
      </c>
      <c r="B30" s="0" t="n">
        <f aca="false">SUM(C21:L21)</f>
        <v>591837.382913642</v>
      </c>
    </row>
    <row r="31" customFormat="false" ht="15" hidden="false" customHeight="false" outlineLevel="0" collapsed="false">
      <c r="A31" s="0" t="s">
        <v>145</v>
      </c>
      <c r="B31" s="0" t="n">
        <f aca="false">L19</f>
        <v>141937.185961498</v>
      </c>
    </row>
    <row r="32" customFormat="false" ht="15" hidden="false" customHeight="false" outlineLevel="0" collapsed="false">
      <c r="A32" s="0" t="s">
        <v>146</v>
      </c>
      <c r="B32" s="0" t="n">
        <f aca="false">IF(B27&gt;B28,B31*(1+B28/100)/((B27-B28)/100),B31*B29)</f>
        <v>2088504.30771919</v>
      </c>
    </row>
    <row r="33" customFormat="false" ht="15" hidden="false" customHeight="false" outlineLevel="0" collapsed="false">
      <c r="A33" s="0" t="s">
        <v>147</v>
      </c>
      <c r="B33" s="0" t="n">
        <f aca="false">B31*B29</f>
        <v>2554869.34730697</v>
      </c>
    </row>
    <row r="34" customFormat="false" ht="15" hidden="false" customHeight="false" outlineLevel="0" collapsed="false">
      <c r="A34" s="0" t="s">
        <v>148</v>
      </c>
      <c r="B34" s="0" t="n">
        <f aca="false">MAX(0,MIN(B32,B33))</f>
        <v>2088504.30771919</v>
      </c>
    </row>
    <row r="35" customFormat="false" ht="15" hidden="false" customHeight="false" outlineLevel="0" collapsed="false">
      <c r="A35" s="0" t="s">
        <v>149</v>
      </c>
      <c r="B35" s="0" t="n">
        <f aca="false">B34/(1+B27/100)^L4</f>
        <v>805208.820785803</v>
      </c>
    </row>
    <row r="36" customFormat="false" ht="15" hidden="false" customHeight="false" outlineLevel="0" collapsed="false">
      <c r="A36" s="0" t="s">
        <v>150</v>
      </c>
      <c r="B36" s="0" t="n">
        <f aca="false">B30+B35</f>
        <v>1397046.20369945</v>
      </c>
    </row>
    <row r="37" customFormat="false" ht="15" hidden="false" customHeight="false" outlineLevel="0" collapsed="false">
      <c r="A37" s="0" t="s">
        <v>151</v>
      </c>
      <c r="B37" s="0" t="n">
        <f aca="false">B36+Assumptions!$B$5-Assumptions!$B$4</f>
        <v>1397046.20369945</v>
      </c>
    </row>
    <row r="38" customFormat="false" ht="15" hidden="false" customHeight="false" outlineLevel="0" collapsed="false">
      <c r="A38" s="0" t="s">
        <v>152</v>
      </c>
      <c r="B38" s="0" t="n">
        <f aca="false">B37/Assumptions!$B$3*Assumptions!$B$10</f>
        <v>65.0883937092327</v>
      </c>
    </row>
    <row r="39" customFormat="false" ht="15" hidden="false" customHeight="false" outlineLevel="0" collapsed="false">
      <c r="A39" s="0" t="s">
        <v>153</v>
      </c>
      <c r="B39" s="4" t="n">
        <f aca="false">B38/Assumptions!$B$2-1</f>
        <v>0.265080538566233</v>
      </c>
    </row>
    <row r="41" customFormat="false" ht="15" hidden="false" customHeight="false" outlineLevel="0" collapsed="false">
      <c r="A41" s="0" t="s">
        <v>154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156</v>
      </c>
      <c r="B43" s="0" t="n">
        <f aca="false">(B37+B41+B42)/Assumptions!$B$3*Assumptions!$B$10</f>
        <v>65.0883937092327</v>
      </c>
    </row>
    <row r="45" customFormat="false" ht="15" hidden="false" customHeight="false" outlineLevel="0" collapsed="false">
      <c r="A45" s="0" t="s">
        <v>96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157</v>
      </c>
      <c r="B46" s="0" t="n">
        <f aca="false">MAX(0,MIN(IF(B45&gt;B28,B31*(1+B28/100)/((B45-B28)/100),B31*B29),B31*B29))</f>
        <v>1218294.17950286</v>
      </c>
    </row>
    <row r="47" customFormat="false" ht="15" hidden="false" customHeight="false" outlineLevel="0" collapsed="false">
      <c r="A47" s="0" t="s">
        <v>158</v>
      </c>
      <c r="B47" s="0" t="n">
        <f aca="false">(SUMPRODUCT(C19:L19/(1+B45/100)^C4:L4)+B46/(1+B45/100)^L4+Assumptions!$B$5-Assumptions!$B$4)/Assumptions!$B$3*Assumptions!$B$10</f>
        <v>35.8756367144662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160</v>
      </c>
    </row>
    <row r="3" customFormat="false" ht="15" hidden="false" customHeight="false" outlineLevel="0" collapsed="false">
      <c r="A3" s="0" t="s">
        <v>129</v>
      </c>
      <c r="B3" s="0" t="s">
        <v>99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113</v>
      </c>
    </row>
    <row r="4" customFormat="false" ht="15" hidden="false" customHeight="false" outlineLevel="0" collapsed="false">
      <c r="A4" s="0" t="s">
        <v>130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114</v>
      </c>
      <c r="C5" s="4" t="n">
        <f aca="false">Assumptions!C41</f>
        <v>6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344000</v>
      </c>
      <c r="C6" s="0" t="n">
        <f aca="false">B6*(1+C5/100)</f>
        <v>364640</v>
      </c>
      <c r="D6" s="0" t="n">
        <f aca="false">C6*(1+D5/100)</f>
        <v>384695.2</v>
      </c>
      <c r="E6" s="0" t="n">
        <f aca="false">D6*(1+E5/100)</f>
        <v>403929.96</v>
      </c>
      <c r="F6" s="0" t="n">
        <f aca="false">E6*(1+F5/100)</f>
        <v>422106.8082</v>
      </c>
      <c r="G6" s="0" t="n">
        <f aca="false">F6*(1+G5/100)</f>
        <v>438991.080528</v>
      </c>
      <c r="H6" s="0" t="n">
        <f aca="false">G6*(1+H5/100)</f>
        <v>456550.72374912</v>
      </c>
      <c r="I6" s="0" t="n">
        <f aca="false">H6*(1+I5/100)</f>
        <v>472529.999080339</v>
      </c>
      <c r="J6" s="0" t="n">
        <f aca="false">I6*(1+J5/100)</f>
        <v>489068.549048151</v>
      </c>
      <c r="K6" s="0" t="n">
        <f aca="false">J6*(1+K5/100)</f>
        <v>506185.948264836</v>
      </c>
      <c r="L6" s="0" t="n">
        <f aca="false">K6*(1+L5/100)</f>
        <v>523902.456454105</v>
      </c>
    </row>
    <row r="7" customFormat="false" ht="15" hidden="false" customHeight="false" outlineLevel="0" collapsed="false">
      <c r="A7" s="0" t="s">
        <v>115</v>
      </c>
      <c r="C7" s="4" t="n">
        <f aca="false">Assumptions!C42</f>
        <v>53.5</v>
      </c>
      <c r="D7" s="4" t="n">
        <f aca="false">Assumptions!D42</f>
        <v>53.5</v>
      </c>
      <c r="E7" s="4" t="n">
        <f aca="false">Assumptions!E42</f>
        <v>53</v>
      </c>
      <c r="F7" s="4" t="n">
        <f aca="false">Assumptions!F42</f>
        <v>53</v>
      </c>
      <c r="G7" s="4" t="n">
        <f aca="false">Assumptions!G42</f>
        <v>53</v>
      </c>
      <c r="H7" s="4" t="n">
        <f aca="false">Assumptions!H42</f>
        <v>53</v>
      </c>
      <c r="I7" s="4" t="n">
        <f aca="false">Assumptions!I42</f>
        <v>53</v>
      </c>
      <c r="J7" s="4" t="n">
        <f aca="false">Assumptions!J42</f>
        <v>53</v>
      </c>
      <c r="K7" s="4" t="n">
        <f aca="false">Assumptions!K42</f>
        <v>53</v>
      </c>
      <c r="L7" s="4" t="n">
        <f aca="false">Assumptions!L42</f>
        <v>53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195082.4</v>
      </c>
      <c r="D8" s="0" t="n">
        <f aca="false">D6*D7/100</f>
        <v>205811.932</v>
      </c>
      <c r="E8" s="0" t="n">
        <f aca="false">E6*E7/100</f>
        <v>214082.8788</v>
      </c>
      <c r="F8" s="0" t="n">
        <f aca="false">F6*F7/100</f>
        <v>223716.608346</v>
      </c>
      <c r="G8" s="0" t="n">
        <f aca="false">G6*G7/100</f>
        <v>232665.27267984</v>
      </c>
      <c r="H8" s="0" t="n">
        <f aca="false">H6*H7/100</f>
        <v>241971.883587034</v>
      </c>
      <c r="I8" s="0" t="n">
        <f aca="false">I6*I7/100</f>
        <v>250440.89951258</v>
      </c>
      <c r="J8" s="0" t="n">
        <f aca="false">J6*J7/100</f>
        <v>259206.33099552</v>
      </c>
      <c r="K8" s="0" t="n">
        <f aca="false">K6*K7/100</f>
        <v>268278.552580363</v>
      </c>
      <c r="L8" s="0" t="n">
        <f aca="false">L6*L7/100</f>
        <v>277668.301920676</v>
      </c>
    </row>
    <row r="9" customFormat="false" ht="15" hidden="false" customHeight="false" outlineLevel="0" collapsed="false">
      <c r="A9" s="0" t="s">
        <v>116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131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132</v>
      </c>
      <c r="C11" s="0" t="n">
        <f aca="false">C8+C10+C24</f>
        <v>195082.4</v>
      </c>
      <c r="D11" s="0" t="n">
        <f aca="false">D8+D10+D24</f>
        <v>205811.932</v>
      </c>
      <c r="E11" s="0" t="n">
        <f aca="false">E8+E10+E24</f>
        <v>214082.8788</v>
      </c>
      <c r="F11" s="0" t="n">
        <f aca="false">F8+F10+F24</f>
        <v>223716.608346</v>
      </c>
      <c r="G11" s="0" t="n">
        <f aca="false">G8+G10+G24</f>
        <v>232665.27267984</v>
      </c>
      <c r="H11" s="0" t="n">
        <f aca="false">H8+H10+H24</f>
        <v>241971.883587034</v>
      </c>
      <c r="I11" s="0" t="n">
        <f aca="false">I8+I10+I24</f>
        <v>250440.89951258</v>
      </c>
      <c r="J11" s="0" t="n">
        <f aca="false">J8+J10+J24</f>
        <v>259206.33099552</v>
      </c>
      <c r="K11" s="0" t="n">
        <f aca="false">K8+K10+K24</f>
        <v>268278.552580363</v>
      </c>
      <c r="L11" s="0" t="n">
        <f aca="false">L8+L10+L24</f>
        <v>277668.301920676</v>
      </c>
    </row>
    <row r="12" customFormat="false" ht="15" hidden="false" customHeight="false" outlineLevel="0" collapsed="false">
      <c r="A12" s="0" t="s">
        <v>133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134</v>
      </c>
      <c r="C13" s="0" t="n">
        <f aca="false">C11+C12</f>
        <v>195082.4</v>
      </c>
      <c r="D13" s="0" t="n">
        <f aca="false">D11+D12</f>
        <v>205811.932</v>
      </c>
      <c r="E13" s="0" t="n">
        <f aca="false">E11+E12</f>
        <v>214082.8788</v>
      </c>
      <c r="F13" s="0" t="n">
        <f aca="false">F11+F12</f>
        <v>223716.608346</v>
      </c>
      <c r="G13" s="0" t="n">
        <f aca="false">G11+G12</f>
        <v>232665.27267984</v>
      </c>
      <c r="H13" s="0" t="n">
        <f aca="false">H11+H12</f>
        <v>241971.883587034</v>
      </c>
      <c r="I13" s="0" t="n">
        <f aca="false">I11+I12</f>
        <v>250440.89951258</v>
      </c>
      <c r="J13" s="0" t="n">
        <f aca="false">J11+J12</f>
        <v>259206.33099552</v>
      </c>
      <c r="K13" s="0" t="n">
        <f aca="false">K11+K12</f>
        <v>268278.552580363</v>
      </c>
      <c r="L13" s="0" t="n">
        <f aca="false">L11+L12</f>
        <v>277668.301920676</v>
      </c>
    </row>
    <row r="14" customFormat="false" ht="15" hidden="false" customHeight="false" outlineLevel="0" collapsed="false">
      <c r="A14" s="0" t="s">
        <v>120</v>
      </c>
      <c r="C14" s="4" t="n">
        <f aca="false">Assumptions!C47</f>
        <v>19.5</v>
      </c>
      <c r="D14" s="4" t="n">
        <f aca="false">Assumptions!D47</f>
        <v>19.5</v>
      </c>
      <c r="E14" s="4" t="n">
        <f aca="false">Assumptions!E47</f>
        <v>19.5</v>
      </c>
      <c r="F14" s="4" t="n">
        <f aca="false">Assumptions!F47</f>
        <v>19.5</v>
      </c>
      <c r="G14" s="4" t="n">
        <f aca="false">Assumptions!G47</f>
        <v>19.5</v>
      </c>
      <c r="H14" s="4" t="n">
        <f aca="false">Assumptions!H47</f>
        <v>19.5</v>
      </c>
      <c r="I14" s="4" t="n">
        <f aca="false">Assumptions!I47</f>
        <v>19.5</v>
      </c>
      <c r="J14" s="4" t="n">
        <f aca="false">Assumptions!J47</f>
        <v>19.5</v>
      </c>
      <c r="K14" s="4" t="n">
        <f aca="false">Assumptions!K47</f>
        <v>19.5</v>
      </c>
      <c r="L14" s="4" t="n">
        <f aca="false">Assumptions!L47</f>
        <v>19.5</v>
      </c>
    </row>
    <row r="15" customFormat="false" ht="15" hidden="false" customHeight="false" outlineLevel="0" collapsed="false">
      <c r="A15" s="0" t="s">
        <v>135</v>
      </c>
      <c r="C15" s="0" t="n">
        <f aca="false">C13-MAX(0,C13)*C14/100</f>
        <v>157041.332</v>
      </c>
      <c r="D15" s="0" t="n">
        <f aca="false">D13-MAX(0,D13)*D14/100</f>
        <v>165678.60526</v>
      </c>
      <c r="E15" s="0" t="n">
        <f aca="false">E13-MAX(0,E13)*E14/100</f>
        <v>172336.717434</v>
      </c>
      <c r="F15" s="0" t="n">
        <f aca="false">F13-MAX(0,F13)*F14/100</f>
        <v>180091.86971853</v>
      </c>
      <c r="G15" s="0" t="n">
        <f aca="false">G13-MAX(0,G13)*G14/100</f>
        <v>187295.544507271</v>
      </c>
      <c r="H15" s="0" t="n">
        <f aca="false">H13-MAX(0,H13)*H14/100</f>
        <v>194787.366287562</v>
      </c>
      <c r="I15" s="0" t="n">
        <f aca="false">I13-MAX(0,I13)*I14/100</f>
        <v>201604.924107627</v>
      </c>
      <c r="J15" s="0" t="n">
        <f aca="false">J13-MAX(0,J13)*J14/100</f>
        <v>208661.096451394</v>
      </c>
      <c r="K15" s="0" t="n">
        <f aca="false">K13-MAX(0,K13)*K14/100</f>
        <v>215964.234827192</v>
      </c>
      <c r="L15" s="0" t="n">
        <f aca="false">L13-MAX(0,L13)*L14/100</f>
        <v>223522.983046144</v>
      </c>
    </row>
    <row r="16" customFormat="false" ht="15" hidden="false" customHeight="false" outlineLevel="0" collapsed="false">
      <c r="A16" s="0" t="s">
        <v>136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137</v>
      </c>
      <c r="C17" s="4" t="n">
        <f aca="false">-C6*Assumptions!C46/100</f>
        <v>-68698.176</v>
      </c>
      <c r="D17" s="4" t="n">
        <f aca="false">-D6*Assumptions!D46/100</f>
        <v>-63320.82992</v>
      </c>
      <c r="E17" s="4" t="n">
        <f aca="false">-E6*Assumptions!E46/100</f>
        <v>-60225.957036</v>
      </c>
      <c r="F17" s="4" t="n">
        <f aca="false">-F6*Assumptions!F46/100</f>
        <v>-56393.46957552</v>
      </c>
      <c r="G17" s="4" t="n">
        <f aca="false">-G6*Assumptions!G46/100</f>
        <v>-51800.947502304</v>
      </c>
      <c r="H17" s="4" t="n">
        <f aca="false">-H6*Assumptions!H46/100</f>
        <v>-57616.7013371389</v>
      </c>
      <c r="I17" s="4" t="n">
        <f aca="false">-I6*Assumptions!I46/100</f>
        <v>-52450.8298979176</v>
      </c>
      <c r="J17" s="4" t="n">
        <f aca="false">-J6*Assumptions!J46/100</f>
        <v>-46510.4190144791</v>
      </c>
      <c r="K17" s="4" t="n">
        <f aca="false">-K6*Assumptions!K46/100</f>
        <v>-47935.80930068</v>
      </c>
      <c r="L17" s="4" t="n">
        <f aca="false">-L6*Assumptions!L46/100</f>
        <v>-49351.6113979767</v>
      </c>
    </row>
    <row r="18" customFormat="false" ht="15" hidden="false" customHeight="false" outlineLevel="0" collapsed="false">
      <c r="A18" s="0" t="s">
        <v>138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139</v>
      </c>
      <c r="C19" s="0" t="n">
        <f aca="false">C15+C16+C17+C18</f>
        <v>88343.156</v>
      </c>
      <c r="D19" s="0" t="n">
        <f aca="false">D15+D16+D17+D18</f>
        <v>102357.77534</v>
      </c>
      <c r="E19" s="0" t="n">
        <f aca="false">E15+E16+E17+E18</f>
        <v>112110.760398</v>
      </c>
      <c r="F19" s="0" t="n">
        <f aca="false">F15+F16+F17+F18</f>
        <v>123698.40014301</v>
      </c>
      <c r="G19" s="0" t="n">
        <f aca="false">G15+G16+G17+G18</f>
        <v>135494.597004967</v>
      </c>
      <c r="H19" s="0" t="n">
        <f aca="false">H15+H16+H17+H18</f>
        <v>137170.664950423</v>
      </c>
      <c r="I19" s="0" t="n">
        <f aca="false">I15+I16+I17+I18</f>
        <v>149154.094209709</v>
      </c>
      <c r="J19" s="0" t="n">
        <f aca="false">J15+J16+J17+J18</f>
        <v>162150.677436914</v>
      </c>
      <c r="K19" s="0" t="n">
        <f aca="false">K15+K16+K17+K18</f>
        <v>168028.425526512</v>
      </c>
      <c r="L19" s="0" t="n">
        <f aca="false">L15+L16+L17+L18</f>
        <v>174171.371648167</v>
      </c>
    </row>
    <row r="20" customFormat="false" ht="15" hidden="false" customHeight="false" outlineLevel="0" collapsed="false">
      <c r="A20" s="0" t="s">
        <v>140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141</v>
      </c>
      <c r="C21" s="0" t="n">
        <f aca="false">C19*C20</f>
        <v>80678.6812785388</v>
      </c>
      <c r="D21" s="0" t="n">
        <f aca="false">D19*D20</f>
        <v>85367.5072162799</v>
      </c>
      <c r="E21" s="0" t="n">
        <f aca="false">E19*E20</f>
        <v>85389.5924365488</v>
      </c>
      <c r="F21" s="0" t="n">
        <f aca="false">F19*F20</f>
        <v>86041.4272845305</v>
      </c>
      <c r="G21" s="0" t="n">
        <f aca="false">G19*G20</f>
        <v>86069.916513772</v>
      </c>
      <c r="H21" s="0" t="n">
        <f aca="false">H19*H20</f>
        <v>79574.9783028473</v>
      </c>
      <c r="I21" s="0" t="n">
        <f aca="false">I19*I20</f>
        <v>79019.8761761133</v>
      </c>
      <c r="J21" s="0" t="n">
        <f aca="false">J19*J20</f>
        <v>78452.324135981</v>
      </c>
      <c r="K21" s="0" t="n">
        <f aca="false">K19*K20</f>
        <v>74243.0295556068</v>
      </c>
      <c r="L21" s="0" t="n">
        <f aca="false">L19*L20</f>
        <v>70280.6193839038</v>
      </c>
    </row>
    <row r="23" customFormat="false" ht="15" hidden="false" customHeight="false" outlineLevel="0" collapsed="false">
      <c r="A23" s="0" t="s">
        <v>117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142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143</v>
      </c>
    </row>
    <row r="27" customFormat="false" ht="15" hidden="false" customHeight="false" outlineLevel="0" collapsed="false">
      <c r="A27" s="0" t="s">
        <v>121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122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123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144</v>
      </c>
      <c r="B30" s="0" t="n">
        <f aca="false">SUM(C21:L21)</f>
        <v>805117.952284122</v>
      </c>
    </row>
    <row r="31" customFormat="false" ht="15" hidden="false" customHeight="false" outlineLevel="0" collapsed="false">
      <c r="A31" s="0" t="s">
        <v>145</v>
      </c>
      <c r="B31" s="0" t="n">
        <f aca="false">L19</f>
        <v>174171.371648167</v>
      </c>
    </row>
    <row r="32" customFormat="false" ht="15" hidden="false" customHeight="false" outlineLevel="0" collapsed="false">
      <c r="A32" s="0" t="s">
        <v>146</v>
      </c>
      <c r="B32" s="0" t="n">
        <f aca="false">IF(B27&gt;B28,B31*(1+B28/100)/((B27-B28)/100),B31*B29)</f>
        <v>3004456.16093089</v>
      </c>
    </row>
    <row r="33" customFormat="false" ht="15" hidden="false" customHeight="false" outlineLevel="0" collapsed="false">
      <c r="A33" s="0" t="s">
        <v>147</v>
      </c>
      <c r="B33" s="0" t="n">
        <f aca="false">B31*B29</f>
        <v>3135084.68966701</v>
      </c>
    </row>
    <row r="34" customFormat="false" ht="15" hidden="false" customHeight="false" outlineLevel="0" collapsed="false">
      <c r="A34" s="0" t="s">
        <v>148</v>
      </c>
      <c r="B34" s="0" t="n">
        <f aca="false">MAX(0,MIN(B32,B33))</f>
        <v>3004456.16093089</v>
      </c>
    </row>
    <row r="35" customFormat="false" ht="15" hidden="false" customHeight="false" outlineLevel="0" collapsed="false">
      <c r="A35" s="0" t="s">
        <v>149</v>
      </c>
      <c r="B35" s="0" t="n">
        <f aca="false">B34/(1+B27/100)^L4</f>
        <v>1212340.68437234</v>
      </c>
    </row>
    <row r="36" customFormat="false" ht="15" hidden="false" customHeight="false" outlineLevel="0" collapsed="false">
      <c r="A36" s="0" t="s">
        <v>150</v>
      </c>
      <c r="B36" s="0" t="n">
        <f aca="false">B30+B35</f>
        <v>2017458.63665646</v>
      </c>
    </row>
    <row r="37" customFormat="false" ht="15" hidden="false" customHeight="false" outlineLevel="0" collapsed="false">
      <c r="A37" s="0" t="s">
        <v>151</v>
      </c>
      <c r="B37" s="0" t="n">
        <f aca="false">B36+Assumptions!$B$5-Assumptions!$B$4</f>
        <v>2017458.63665646</v>
      </c>
    </row>
    <row r="38" customFormat="false" ht="15" hidden="false" customHeight="false" outlineLevel="0" collapsed="false">
      <c r="A38" s="0" t="s">
        <v>152</v>
      </c>
      <c r="B38" s="0" t="n">
        <f aca="false">B37/Assumptions!$B$3*Assumptions!$B$10</f>
        <v>93.9934138807036</v>
      </c>
    </row>
    <row r="39" customFormat="false" ht="15" hidden="false" customHeight="false" outlineLevel="0" collapsed="false">
      <c r="A39" s="0" t="s">
        <v>153</v>
      </c>
      <c r="B39" s="4" t="n">
        <f aca="false">B38/Assumptions!$B$2-1</f>
        <v>0.826888510800847</v>
      </c>
    </row>
    <row r="41" customFormat="false" ht="15" hidden="false" customHeight="false" outlineLevel="0" collapsed="false">
      <c r="A41" s="0" t="s">
        <v>154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156</v>
      </c>
      <c r="B43" s="0" t="n">
        <f aca="false">(B37+B41+B42)/Assumptions!$B$3*Assumptions!$B$10</f>
        <v>93.9934138807036</v>
      </c>
    </row>
    <row r="45" customFormat="false" ht="15" hidden="false" customHeight="false" outlineLevel="0" collapsed="false">
      <c r="A45" s="0" t="s">
        <v>96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157</v>
      </c>
      <c r="B46" s="0" t="n">
        <f aca="false">MAX(0,MIN(IF(B45&gt;B28,B31*(1+B28/100)/((B45-B28)/100),B31*B29),B31*B29))</f>
        <v>1567542.34483351</v>
      </c>
    </row>
    <row r="47" customFormat="false" ht="15" hidden="false" customHeight="false" outlineLevel="0" collapsed="false">
      <c r="A47" s="0" t="s">
        <v>158</v>
      </c>
      <c r="B47" s="0" t="n">
        <f aca="false">(SUMPRODUCT(C19:L19/(1+B45/100)^C4:L4)+B46/(1+B45/100)^L4+Assumptions!$B$5-Assumptions!$B$4)/Assumptions!$B$3*Assumptions!$B$10</f>
        <v>47.1813936515856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161</v>
      </c>
    </row>
    <row r="3" customFormat="false" ht="15" hidden="false" customHeight="false" outlineLevel="0" collapsed="false">
      <c r="A3" s="2" t="s">
        <v>162</v>
      </c>
      <c r="B3" s="2" t="s">
        <v>163</v>
      </c>
      <c r="C3" s="2" t="s">
        <v>153</v>
      </c>
      <c r="D3" s="2" t="s">
        <v>164</v>
      </c>
      <c r="E3" s="2" t="s">
        <v>156</v>
      </c>
      <c r="F3" s="2" t="s">
        <v>165</v>
      </c>
    </row>
    <row r="4" customFormat="false" ht="15" hidden="false" customHeight="false" outlineLevel="0" collapsed="false">
      <c r="A4" s="0" t="s">
        <v>166</v>
      </c>
      <c r="B4" s="4" t="n">
        <f aca="false">DCF_Bear!$B$38</f>
        <v>40.2254004167137</v>
      </c>
      <c r="C4" s="0" t="n">
        <f aca="false">B4/Assumptions!$B$2-1</f>
        <v>-0.218165200841328</v>
      </c>
      <c r="D4" s="4" t="n">
        <f aca="false">Assumptions!$B$24</f>
        <v>0.25</v>
      </c>
      <c r="E4" s="4" t="n">
        <f aca="false">DCF_Bear!$B$43</f>
        <v>40.2254004167137</v>
      </c>
      <c r="F4" s="4" t="n">
        <f aca="false">DCF_Bear!$B$47</f>
        <v>24.5616053990296</v>
      </c>
    </row>
    <row r="5" customFormat="false" ht="15" hidden="false" customHeight="false" outlineLevel="0" collapsed="false">
      <c r="A5" s="0" t="s">
        <v>167</v>
      </c>
      <c r="B5" s="4" t="n">
        <f aca="false">DCF_Base!$B$38</f>
        <v>65.0883937092327</v>
      </c>
      <c r="C5" s="0" t="n">
        <f aca="false">B5/Assumptions!$B$2-1</f>
        <v>0.265080538566233</v>
      </c>
      <c r="D5" s="4" t="n">
        <f aca="false">Assumptions!$B$38</f>
        <v>0.5</v>
      </c>
      <c r="E5" s="4" t="n">
        <f aca="false">DCF_Base!$B$43</f>
        <v>65.0883937092327</v>
      </c>
      <c r="F5" s="4" t="n">
        <f aca="false">DCF_Base!$B$47</f>
        <v>35.8756367144662</v>
      </c>
    </row>
    <row r="6" customFormat="false" ht="15" hidden="false" customHeight="false" outlineLevel="0" collapsed="false">
      <c r="A6" s="0" t="s">
        <v>168</v>
      </c>
      <c r="B6" s="4" t="n">
        <f aca="false">DCF_Bull!$B$38</f>
        <v>93.9934138807036</v>
      </c>
      <c r="C6" s="0" t="n">
        <f aca="false">B6/Assumptions!$B$2-1</f>
        <v>0.826888510800847</v>
      </c>
      <c r="D6" s="4" t="n">
        <f aca="false">Assumptions!$B$52</f>
        <v>0.25</v>
      </c>
      <c r="E6" s="4" t="n">
        <f aca="false">DCF_Bull!$B$43</f>
        <v>93.9934138807036</v>
      </c>
      <c r="F6" s="4" t="n">
        <f aca="false">DCF_Bull!$B$47</f>
        <v>47.1813936515856</v>
      </c>
    </row>
    <row r="8" customFormat="false" ht="15" hidden="false" customHeight="false" outlineLevel="0" collapsed="false">
      <c r="A8" s="0" t="s">
        <v>169</v>
      </c>
      <c r="B8" s="0" t="n">
        <f aca="false">SUMPRODUCT(B4:B6,D4:D6)</f>
        <v>66.0989004289706</v>
      </c>
    </row>
    <row r="9" customFormat="false" ht="15" hidden="false" customHeight="false" outlineLevel="0" collapsed="false">
      <c r="A9" s="0" t="s">
        <v>170</v>
      </c>
      <c r="B9" s="0" t="n">
        <f aca="false">SUMPRODUCT(E4:E6,D4:D6)</f>
        <v>66.0989004289706</v>
      </c>
    </row>
    <row r="10" customFormat="false" ht="15" hidden="false" customHeight="false" outlineLevel="0" collapsed="false">
      <c r="A10" s="0" t="s">
        <v>171</v>
      </c>
      <c r="B10" s="0" t="n">
        <f aca="false">1-Assumptions!$B$2/B8</f>
        <v>0.221620939741838</v>
      </c>
    </row>
    <row r="11" customFormat="false" ht="15" hidden="false" customHeight="false" outlineLevel="0" collapsed="false">
      <c r="A11" s="0" t="s">
        <v>172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173</v>
      </c>
      <c r="B12" s="0" t="n">
        <f aca="false">SUMPRODUCT(F4:F6,D4:D6)</f>
        <v>35.8735681198869</v>
      </c>
    </row>
    <row r="14" customFormat="false" ht="15" hidden="false" customHeight="false" outlineLevel="0" collapsed="false">
      <c r="A14" s="2" t="s">
        <v>174</v>
      </c>
      <c r="C14" s="0" t="s">
        <v>175</v>
      </c>
    </row>
    <row r="15" customFormat="false" ht="15" hidden="false" customHeight="false" outlineLevel="0" collapsed="false">
      <c r="A15" s="0" t="s">
        <v>176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76.935372958631</v>
      </c>
      <c r="C15" s="3" t="n">
        <v>9</v>
      </c>
    </row>
    <row r="16" customFormat="false" ht="15" hidden="false" customHeight="false" outlineLevel="0" collapsed="false">
      <c r="A16" s="0" t="s">
        <v>177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65.0883937092327</v>
      </c>
      <c r="C16" s="3" t="n">
        <v>10</v>
      </c>
    </row>
    <row r="17" customFormat="false" ht="15" hidden="false" customHeight="false" outlineLevel="0" collapsed="false">
      <c r="A17" s="0" t="s">
        <v>178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56.2476596042718</v>
      </c>
      <c r="C17" s="3" t="n">
        <v>11</v>
      </c>
    </row>
    <row r="18" customFormat="false" ht="15" hidden="false" customHeight="false" outlineLevel="0" collapsed="false">
      <c r="A18" s="0" t="s">
        <v>179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49.4082300423836</v>
      </c>
      <c r="C18" s="3" t="n">
        <v>12</v>
      </c>
    </row>
    <row r="19" customFormat="false" ht="15" hidden="false" customHeight="false" outlineLevel="0" collapsed="false">
      <c r="A19" s="0" t="s">
        <v>180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35.8756367144662</v>
      </c>
      <c r="C19" s="3" t="n">
        <v>15</v>
      </c>
    </row>
    <row r="21" customFormat="false" ht="15" hidden="false" customHeight="false" outlineLevel="0" collapsed="false">
      <c r="A21" s="2" t="s">
        <v>181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82.5710490700249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85.6340802674459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85.6340802674459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85.6340802674459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85.6340802674459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69.6859873187781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73.0318576140948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76.935372958631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79.2631573384003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79.2631573384003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60.0803653256795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62.4174452380043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65.0883937092327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68.1702573298807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71.7657648873035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52.6572031032902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54.3468296919875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56.2476596042718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58.4019335048608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60.8639608198196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46.7586059651044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48.0136910543419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49.4082300423836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50.9668324407832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52.7202601389827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2026-10-23T08:52:27Z</dcterms:created>
  <dc:creator>openpyxl</dc:creator>
  <dc:description/>
  <dc:language>en-NZ</dc:language>
  <cp:lastModifiedBy/>
  <dcterms:modified xsi:type="dcterms:W3CDTF">2026-10-23T08:52:27Z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