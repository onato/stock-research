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<sst xmlns="http://schemas.openxmlformats.org/spreadsheetml/2006/main" count="353" uniqueCount="163">
  <si>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</si>
  <si>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2359.HK</t>
  </si>
  <si>
    <t xml:space="preserve">Company</t>
  </si>
  <si>
    <t xml:space="preserve">WuXi AppTec Co., Ltd. (H shares)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</si>
  <si>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</si>
  <si>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</si>
  <si>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</si>
  <si>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</si>
  <si>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</si>
  <si>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</si>
  <si>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</si>
  <si>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</si>
  <si>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</si>
  <si>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</si>
  <si>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</si>
  <si>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</si>
  <si>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</si>
  <si>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</si>
  <si>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</si>
  <si>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</si>
  <si>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</si>
  <si>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</si>
  <si>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2026-10-18T03:01:47Z</t>
  </si>
  <si>
    <t xml:space="preserve">Drivers file</t>
  </si>
  <si>
    <t xml:space="preserve">2359.HK_Drivers.json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</si>
  <si>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</si>
  <si>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</si>
  <si>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</si>
  <si>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best-in-class, net-cash CRDMO priced off a peak-margin, peak-growth year under a live US-policy overhang. The base case accepts the raised FY2026 guidance in full and then fades growth and margin; the value gap to the market is mostly the bear weight and the margin fade, not doubt about 2026.
key_risks_to_valuation: US policy: 1260H designation (enjoined, not resolved) and the forthcoming BIOSECURE section-851 OMB list; Concentration of the 2025-26 step-up in GLP-1/TIDES and a small number of commercial molecules; Margin mean-reversion from the H1 2026 44% EBIT peak as peptide capacity is added industry-wide; USD/CNY: revenue mostly USD, costs and reporting in RMB; CNY has strengthened (HKD/CNY 0.85); Terminal value carries the bulk of EV; the cap multiple binds in base and bear</t>
  </si>
  <si>
    <t xml:space="preserve">Data sources</t>
  </si>
  <si>
    <t xml:space="preserve">price: Yahoo Finance chart API at inputs.price_as_of; 52-week range 96.7-219.2 HKD. A-share parity from 603259.SS on the same endpoint; FX from HKDCNY=X.
financials: 2359.HK_Metrics.csv / DuckDB core_metrics + kpis (FY2018-H1 2026); FY2025 annual report (continuing-operations income statement, cash flow, adjusted FCF reconciliation); H1 2026 interim report (balance sheet, notes 8, 10, 11, 16, 26, guidance on p.9).
qualitative: 2359.HK_Analysis.json (2026-10-18).</t>
  </si>
  <si>
    <t xml:space="preserve">Scenario narrative: bear</t>
  </si>
  <si>
    <t xml:space="preserve">The US re-designates WuXi on sturdier grounds or OMB lists it under BIOSECURE section 851, and large-pharma customers -- led by the dominant GLP-1 programme(s) behind the 2025-26 step-up -- dual-source or move commercial supply out of China once validated alternative capacity exists. FY2026 is already largely booked, but FY2027 revenue falls ~8% and stays flat in 2028, utilisation of the newly built capacity collapses (D&amp;A rises as a share of revenue), pricing competition from Samsung/Lonza peptides compresses EBITDA margin to ~37%, and the market capitalises the remaining business as a domestic-plus-biotech CRO at a low multiple.</t>
  </si>
  <si>
    <t xml:space="preserve">Scenario narrative: base</t>
  </si>
  <si>
    <t xml:space="preserve">FY2026 lands at the 35-39% continuing-growth guidance on the GLP-1/TIDES ramp and late-stage small-molecule D&amp;M. The 1260H designation stays enjoined and BIOSECURE's OMB list either omits WuXi or bites only on federal contracts, so US customers (~72% of revenue) keep their commercial programmes in place but steer some new early-stage work to 'China+1' suppliers. Growth slows to low double digits in 2027-28 and mid-single digits thereafter, and margins drift down from the H1 2026 peak as commercial peptide/API pricing normalises and Western/Korean peptide capacity comes on line.</t>
  </si>
  <si>
    <t xml:space="preserve">Scenario narrative: bull</t>
  </si>
  <si>
    <t xml:space="preserve">WuXi wins the 1260H litigation on the merits and is kept off the OMB biotechnology-company-of-concern list; the follow-the-molecule pipeline keeps converting (commercial + Phase III projects compounding), oral and injectable GLP-1 volumes keep growing, and the &gt;130,000L peptide build plus the new Changzhou site fill. Revenue compounds ~20% then high-teens/low-teens, and scale holds EBITDA margins near 47-49% for most of the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</si>
  <si>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</si>
  <si>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</si>
  <si>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</si>
  <si>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</si>
  <si>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</si>
  <si>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</si>
  <si>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</si>
  <si>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</si>
  <si>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</si>
  <si>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</si>
  <si>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</si>
  <si>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</si>
  <si>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</si>
  <si>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</si>
  <si>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</si>
  <si>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</si>
  <si>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</si>
  <si>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</si>
  <si>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</si>
  <si>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</si>
  <si>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</si>
  <si>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</si>
  <si>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</si>
  <si>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</si>
  <si>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</si>
  <si>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</si>
  <si>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</si>
  <si>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</si>
  <si>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</si>
  <si>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</si>
  <si>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</si>
  <si>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</si>
  <si>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</si>
  <si>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</si>
  <si>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</si>
  <si>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</si>
  <si>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</si>
  <si>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</si>
  <si>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</si>
  <si>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</si>
  <si>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</si>
  <si>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</si>
  <si>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</si>
  <si>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</si>
  <si>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</si>
  <si>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</si>
  <si>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</si>
  <si>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</si>
  <si>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</si>
  <si>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</si>
  <si>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</si>
  <si>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</si>
  <si>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</si>
  <si>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</si>
  <si>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</si>
  <si>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</si>
  <si>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</si>
  <si>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</si>
  <si>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</si>
  <si>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</si>
  <si>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</si>
  <si>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</si>
  <si>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</si>
  <si>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</si>
  <si>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</si>
  <si>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</si>
  <si>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</si>
  <si>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</si>
  <si>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</si>
  <si>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</si>
  <si>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</si>
  <si>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</si>
  <si>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2359.HK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</si>
  <si>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</si>
  <si>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</si>
  <si>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</si>
  <si>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</si>
  <si>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</si>
  <si>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</si>
  <si>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</si>
  <si>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</si>
  <si>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</si>
  <si>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</si>
  <si>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</si>
  <si>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</si>
  <si>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</si>
  <si>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</si>
  <si>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</si>
  <si>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</si>
  <si>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</si>
  <si>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</si>
  <si>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</si>
  <si>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</si>
  <si>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</si>
  <si>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</si>
  <si>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</si>
  <si>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</si>
  <si>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</si>
  <si>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</si>
  <si>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</si>
  <si>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</si>
  <si>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</si>
  <si>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</si>
  <si>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2359.HK owner-FCF component DCF: base case (millions, CNY)</t>
  </si>
  <si>
    <t xml:space="preserve">2359.HK owner-FCF component DCF: bull case (millions, CNY)</t>
  </si>
  <si>
    <t xml:space="preserve">2359.HK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</si>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</sst>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196.2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9613.7</v>
      </c>
      <c r="C2" s="0" t="n">
        <v>5836.8</v>
      </c>
      <c r="D2" s="0" t="n">
        <v>3776.9</v>
      </c>
      <c r="E2" s="0" t="n">
        <v>39.3</v>
      </c>
      <c r="F2" s="0" t="n">
        <v>2596.4</v>
      </c>
      <c r="G2" s="0" t="n">
        <v>27</v>
      </c>
      <c r="H2" s="0" t="n">
        <v>3318.4</v>
      </c>
      <c r="I2" s="0" t="n">
        <v>2260.5</v>
      </c>
      <c r="J2" s="0" t="n">
        <v>23.5</v>
      </c>
      <c r="K2" s="0" t="n">
        <v>1.59</v>
      </c>
      <c r="L2" s="0" t="n">
        <v>1525.8</v>
      </c>
      <c r="M2" s="0" t="n">
        <v>2091.7</v>
      </c>
      <c r="N2" s="0" t="n">
        <v>-565.9</v>
      </c>
      <c r="O2" s="0" t="n">
        <v>17688</v>
      </c>
      <c r="R2" s="0" t="n">
        <v>135</v>
      </c>
      <c r="S2" s="0" t="n">
        <v>5757.7</v>
      </c>
      <c r="U2" s="0" t="n">
        <v>44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12872.2</v>
      </c>
      <c r="C3" s="0" t="n">
        <v>7866.1</v>
      </c>
      <c r="D3" s="0" t="n">
        <v>5006.1</v>
      </c>
      <c r="E3" s="0" t="n">
        <v>38.9</v>
      </c>
      <c r="F3" s="0" t="n">
        <v>2485.7</v>
      </c>
      <c r="G3" s="0" t="n">
        <v>19.3</v>
      </c>
      <c r="H3" s="0" t="n">
        <v>3428.4</v>
      </c>
      <c r="I3" s="0" t="n">
        <v>1854.6</v>
      </c>
      <c r="J3" s="0" t="n">
        <v>14.4</v>
      </c>
      <c r="K3" s="0" t="n">
        <v>1.14</v>
      </c>
      <c r="L3" s="0" t="n">
        <v>2529.3</v>
      </c>
      <c r="M3" s="0" t="n">
        <v>2297</v>
      </c>
      <c r="N3" s="0" t="n">
        <v>232.3</v>
      </c>
      <c r="O3" s="0" t="n">
        <v>17312.3</v>
      </c>
      <c r="P3" s="0" t="n">
        <v>29239.1</v>
      </c>
      <c r="Q3" s="0" t="n">
        <v>11829.4</v>
      </c>
      <c r="R3" s="0" t="n">
        <v>4447.2</v>
      </c>
      <c r="S3" s="0" t="n">
        <v>5223.3</v>
      </c>
      <c r="U3" s="0" t="n">
        <v>173.5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16535.4</v>
      </c>
      <c r="C4" s="0" t="n">
        <v>10280.4</v>
      </c>
      <c r="D4" s="0" t="n">
        <v>6255</v>
      </c>
      <c r="E4" s="0" t="n">
        <v>37.8</v>
      </c>
      <c r="F4" s="0" t="n">
        <v>3656.2</v>
      </c>
      <c r="G4" s="0" t="n">
        <v>22.1</v>
      </c>
      <c r="H4" s="0" t="n">
        <v>4701.4</v>
      </c>
      <c r="I4" s="0" t="n">
        <v>2960.2</v>
      </c>
      <c r="J4" s="0" t="n">
        <v>17.9</v>
      </c>
      <c r="K4" s="0" t="n">
        <v>1.06</v>
      </c>
      <c r="L4" s="0" t="n">
        <v>3827.6</v>
      </c>
      <c r="M4" s="0" t="n">
        <v>3031</v>
      </c>
      <c r="N4" s="0" t="n">
        <v>796.6</v>
      </c>
      <c r="O4" s="0" t="n">
        <v>32493.7</v>
      </c>
      <c r="P4" s="0" t="n">
        <v>46291.2</v>
      </c>
      <c r="Q4" s="0" t="n">
        <v>13572.7</v>
      </c>
      <c r="R4" s="0" t="n">
        <v>3049</v>
      </c>
      <c r="S4" s="0" t="n">
        <v>10228.1</v>
      </c>
      <c r="T4" s="0" t="n">
        <v>2792.7</v>
      </c>
      <c r="U4" s="0" t="n">
        <v>556.7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22902.4</v>
      </c>
      <c r="C5" s="0" t="n">
        <v>14636.9</v>
      </c>
      <c r="D5" s="0" t="n">
        <v>8265.5</v>
      </c>
      <c r="E5" s="0" t="n">
        <v>36.1</v>
      </c>
      <c r="F5" s="0" t="n">
        <v>6261.2</v>
      </c>
      <c r="G5" s="0" t="n">
        <v>27.3</v>
      </c>
      <c r="H5" s="0" t="n">
        <v>7623.9</v>
      </c>
      <c r="I5" s="0" t="n">
        <v>5097.2</v>
      </c>
      <c r="J5" s="0" t="n">
        <v>22.3</v>
      </c>
      <c r="K5" s="0" t="n">
        <v>1.75</v>
      </c>
      <c r="L5" s="0" t="n">
        <v>4378.7</v>
      </c>
      <c r="M5" s="0" t="n">
        <v>6765</v>
      </c>
      <c r="N5" s="0" t="n">
        <v>-2386.3</v>
      </c>
      <c r="O5" s="0" t="n">
        <v>38491.5</v>
      </c>
      <c r="P5" s="0" t="n">
        <v>55127.4</v>
      </c>
      <c r="Q5" s="0" t="n">
        <v>16369.9</v>
      </c>
      <c r="R5" s="0" t="n">
        <v>2868.6</v>
      </c>
      <c r="S5" s="0" t="n">
        <v>8175.3</v>
      </c>
      <c r="T5" s="0" t="n">
        <v>2912.7</v>
      </c>
      <c r="U5" s="0" t="n">
        <v>556.6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39354.8</v>
      </c>
      <c r="C6" s="0" t="n">
        <v>24848.3</v>
      </c>
      <c r="D6" s="0" t="n">
        <v>14506.5</v>
      </c>
      <c r="E6" s="0" t="n">
        <v>36.9</v>
      </c>
      <c r="F6" s="0" t="n">
        <v>10824.6</v>
      </c>
      <c r="G6" s="0" t="n">
        <v>27.5</v>
      </c>
      <c r="H6" s="0" t="n">
        <v>12692.8</v>
      </c>
      <c r="I6" s="0" t="n">
        <v>8813.7</v>
      </c>
      <c r="J6" s="0" t="n">
        <v>22.4</v>
      </c>
      <c r="K6" s="0" t="n">
        <v>3.01</v>
      </c>
      <c r="L6" s="0" t="n">
        <v>10229.7</v>
      </c>
      <c r="M6" s="0" t="n">
        <v>9802.3</v>
      </c>
      <c r="N6" s="0" t="n">
        <v>427.5</v>
      </c>
      <c r="O6" s="0" t="n">
        <v>46590</v>
      </c>
      <c r="P6" s="0" t="n">
        <v>64690.3</v>
      </c>
      <c r="Q6" s="0" t="n">
        <v>17763.7</v>
      </c>
      <c r="R6" s="0" t="n">
        <v>4655.2</v>
      </c>
      <c r="S6" s="0" t="n">
        <v>7983.9</v>
      </c>
      <c r="T6" s="0" t="n">
        <v>2928.1</v>
      </c>
      <c r="U6" s="0" t="n">
        <v>859.1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40340.8</v>
      </c>
      <c r="C7" s="0" t="n">
        <v>23968.3</v>
      </c>
      <c r="D7" s="0" t="n">
        <v>16372.5</v>
      </c>
      <c r="E7" s="0" t="n">
        <v>40.6</v>
      </c>
      <c r="F7" s="0" t="n">
        <v>13190.7</v>
      </c>
      <c r="G7" s="0" t="n">
        <v>32.7</v>
      </c>
      <c r="H7" s="0" t="n">
        <v>15634.6</v>
      </c>
      <c r="I7" s="0" t="n">
        <v>10690.2</v>
      </c>
      <c r="J7" s="0" t="n">
        <v>26.5</v>
      </c>
      <c r="K7" s="0" t="n">
        <v>3.64</v>
      </c>
      <c r="L7" s="0" t="n">
        <v>12641.2</v>
      </c>
      <c r="M7" s="0" t="n">
        <v>5404.9</v>
      </c>
      <c r="N7" s="0" t="n">
        <v>7236.3</v>
      </c>
      <c r="O7" s="0" t="n">
        <v>55122.5</v>
      </c>
      <c r="P7" s="0" t="n">
        <v>73669.3</v>
      </c>
      <c r="Q7" s="0" t="n">
        <v>18151.9</v>
      </c>
      <c r="R7" s="0" t="n">
        <v>4408.7</v>
      </c>
      <c r="S7" s="0" t="n">
        <v>10001</v>
      </c>
      <c r="T7" s="0" t="n">
        <v>2936.9</v>
      </c>
      <c r="U7" s="0" t="n">
        <v>756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39241.4</v>
      </c>
      <c r="C8" s="0" t="n">
        <v>23225.3</v>
      </c>
      <c r="D8" s="0" t="n">
        <v>16016.1</v>
      </c>
      <c r="E8" s="0" t="n">
        <v>40.8</v>
      </c>
      <c r="F8" s="0" t="n">
        <v>11464.5</v>
      </c>
      <c r="G8" s="0" t="n">
        <v>29.2</v>
      </c>
      <c r="H8" s="0" t="n">
        <v>14715.5</v>
      </c>
      <c r="I8" s="0" t="n">
        <v>9352.6</v>
      </c>
      <c r="J8" s="0" t="n">
        <v>23.8</v>
      </c>
      <c r="K8" s="0" t="n">
        <v>3.24</v>
      </c>
      <c r="L8" s="0" t="n">
        <v>11986.8</v>
      </c>
      <c r="M8" s="0" t="n">
        <v>3966.4</v>
      </c>
      <c r="N8" s="0" t="n">
        <v>8020.4</v>
      </c>
      <c r="O8" s="0" t="n">
        <v>58632.7</v>
      </c>
      <c r="P8" s="0" t="n">
        <v>80325.8</v>
      </c>
      <c r="Q8" s="0" t="n">
        <v>21240.2</v>
      </c>
      <c r="R8" s="0" t="n">
        <v>7731.2</v>
      </c>
      <c r="S8" s="0" t="n">
        <v>13434.3</v>
      </c>
      <c r="T8" s="0" t="n">
        <v>2886.6</v>
      </c>
      <c r="U8" s="0" t="n">
        <v>366.9</v>
      </c>
      <c r="X8" s="0" t="n">
        <v>37917.8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45456.2</v>
      </c>
      <c r="C9" s="0" t="n">
        <v>24077.1</v>
      </c>
      <c r="D9" s="0" t="n">
        <v>21379.1</v>
      </c>
      <c r="E9" s="0" t="n">
        <v>47</v>
      </c>
      <c r="F9" s="0" t="n">
        <v>23804.9</v>
      </c>
      <c r="G9" s="0" t="n">
        <v>52.4</v>
      </c>
      <c r="H9" s="0" t="n">
        <v>27792.1</v>
      </c>
      <c r="I9" s="0" t="n">
        <v>19194.9</v>
      </c>
      <c r="J9" s="0" t="n">
        <v>42.2</v>
      </c>
      <c r="K9" s="0" t="n">
        <v>6.72</v>
      </c>
      <c r="L9" s="0" t="n">
        <v>16426.3</v>
      </c>
      <c r="M9" s="0" t="n">
        <v>5528.5</v>
      </c>
      <c r="N9" s="0" t="n">
        <v>10897.8</v>
      </c>
      <c r="O9" s="0" t="n">
        <v>79712.3</v>
      </c>
      <c r="P9" s="0" t="n">
        <v>103121</v>
      </c>
      <c r="Q9" s="0" t="n">
        <v>22873.3</v>
      </c>
      <c r="R9" s="0" t="n">
        <v>7805.8</v>
      </c>
      <c r="S9" s="0" t="n">
        <v>29455.8</v>
      </c>
      <c r="T9" s="0" t="n">
        <v>2856.4</v>
      </c>
      <c r="U9" s="0" t="n">
        <v>801.8</v>
      </c>
      <c r="X9" s="0" t="n">
        <v>43420.8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196.2</v>
      </c>
    </row>
    <row r="3" customFormat="false" ht="15" hidden="false" customHeight="false" outlineLevel="0" collapsed="false">
      <c r="A3" s="0" t="s">
        <v>75</v>
      </c>
      <c r="B3" s="3" t="n">
        <v>3026.1</v>
      </c>
    </row>
    <row r="4" customFormat="false" ht="15" hidden="false" customHeight="false" outlineLevel="0" collapsed="false">
      <c r="A4" s="0" t="s">
        <v>76</v>
      </c>
      <c r="B4" s="3" t="n">
        <v>-36606.9</v>
      </c>
    </row>
    <row r="5" customFormat="false" ht="15" hidden="false" customHeight="false" outlineLevel="0" collapsed="false">
      <c r="A5" s="0" t="s">
        <v>77</v>
      </c>
      <c r="B5" s="3" t="n">
        <v>10127.1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43420.8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1.1758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35</v>
      </c>
      <c r="D13" s="3" t="n">
        <v>-8</v>
      </c>
      <c r="E13" s="3" t="n">
        <v>0</v>
      </c>
      <c r="F13" s="3" t="n">
        <v>4</v>
      </c>
      <c r="G13" s="3" t="n">
        <v>4</v>
      </c>
      <c r="H13" s="3" t="n">
        <v>4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96</v>
      </c>
      <c r="C14" s="3" t="n">
        <v>47</v>
      </c>
      <c r="D14" s="3" t="n">
        <v>41</v>
      </c>
      <c r="E14" s="3" t="n">
        <v>39</v>
      </c>
      <c r="F14" s="3" t="n">
        <v>38</v>
      </c>
      <c r="G14" s="3" t="n">
        <v>37.5</v>
      </c>
      <c r="H14" s="3" t="n">
        <v>37</v>
      </c>
      <c r="I14" s="3" t="n">
        <v>37</v>
      </c>
      <c r="J14" s="3" t="n">
        <v>37</v>
      </c>
      <c r="K14" s="3" t="n">
        <v>37</v>
      </c>
      <c r="L14" s="3" t="n">
        <v>37</v>
      </c>
    </row>
    <row r="15" customFormat="false" ht="15" hidden="false" customHeight="false" outlineLevel="0" collapsed="false">
      <c r="A15" s="0" t="s">
        <v>97</v>
      </c>
      <c r="C15" s="3" t="n">
        <v>1.1</v>
      </c>
      <c r="D15" s="3" t="n">
        <v>1.1</v>
      </c>
      <c r="E15" s="3" t="n">
        <v>1.1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6.8</v>
      </c>
      <c r="D17" s="3" t="n">
        <v>7.8</v>
      </c>
      <c r="E17" s="3" t="n">
        <v>8.3</v>
      </c>
      <c r="F17" s="3" t="n">
        <v>8.3</v>
      </c>
      <c r="G17" s="3" t="n">
        <v>8.2</v>
      </c>
      <c r="H17" s="3" t="n">
        <v>8</v>
      </c>
      <c r="I17" s="3" t="n">
        <v>7.8</v>
      </c>
      <c r="J17" s="3" t="n">
        <v>7.6</v>
      </c>
      <c r="K17" s="3" t="n">
        <v>7.5</v>
      </c>
      <c r="L17" s="3" t="n">
        <v>7.5</v>
      </c>
    </row>
    <row r="18" customFormat="false" ht="15" hidden="false" customHeight="false" outlineLevel="0" collapsed="false">
      <c r="A18" s="0" t="s">
        <v>100</v>
      </c>
      <c r="C18" s="3" t="n">
        <v>13.4</v>
      </c>
      <c r="D18" s="3" t="n">
        <v>11</v>
      </c>
      <c r="E18" s="3" t="n">
        <v>8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101</v>
      </c>
      <c r="C19" s="3" t="n">
        <v>19</v>
      </c>
      <c r="D19" s="3" t="n">
        <v>19</v>
      </c>
      <c r="E19" s="3" t="n">
        <v>19.5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13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37</v>
      </c>
      <c r="D27" s="3" t="n">
        <v>14</v>
      </c>
      <c r="E27" s="3" t="n">
        <v>11</v>
      </c>
      <c r="F27" s="3" t="n">
        <v>9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96</v>
      </c>
      <c r="C28" s="3" t="n">
        <v>48</v>
      </c>
      <c r="D28" s="3" t="n">
        <v>47</v>
      </c>
      <c r="E28" s="3" t="n">
        <v>46</v>
      </c>
      <c r="F28" s="3" t="n">
        <v>45.5</v>
      </c>
      <c r="G28" s="3" t="n">
        <v>45</v>
      </c>
      <c r="H28" s="3" t="n">
        <v>44.5</v>
      </c>
      <c r="I28" s="3" t="n">
        <v>44</v>
      </c>
      <c r="J28" s="3" t="n">
        <v>43.5</v>
      </c>
      <c r="K28" s="3" t="n">
        <v>43</v>
      </c>
      <c r="L28" s="3" t="n">
        <v>43</v>
      </c>
    </row>
    <row r="29" customFormat="false" ht="15" hidden="false" customHeight="false" outlineLevel="0" collapsed="false">
      <c r="A29" s="0" t="s">
        <v>97</v>
      </c>
      <c r="C29" s="3" t="n">
        <v>1.1</v>
      </c>
      <c r="D29" s="3" t="n">
        <v>1.1</v>
      </c>
      <c r="E29" s="3" t="n">
        <v>1.1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6.8</v>
      </c>
      <c r="D31" s="3" t="n">
        <v>7</v>
      </c>
      <c r="E31" s="3" t="n">
        <v>7.3</v>
      </c>
      <c r="F31" s="3" t="n">
        <v>7.5</v>
      </c>
      <c r="G31" s="3" t="n">
        <v>7.6</v>
      </c>
      <c r="H31" s="3" t="n">
        <v>7.6</v>
      </c>
      <c r="I31" s="3" t="n">
        <v>7.6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100</v>
      </c>
      <c r="C32" s="3" t="n">
        <v>13.4</v>
      </c>
      <c r="D32" s="3" t="n">
        <v>13</v>
      </c>
      <c r="E32" s="3" t="n">
        <v>11.5</v>
      </c>
      <c r="F32" s="3" t="n">
        <v>10.5</v>
      </c>
      <c r="G32" s="3" t="n">
        <v>9.5</v>
      </c>
      <c r="H32" s="3" t="n">
        <v>9</v>
      </c>
      <c r="I32" s="3" t="n">
        <v>8.5</v>
      </c>
      <c r="J32" s="3" t="n">
        <v>8.5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101</v>
      </c>
      <c r="C33" s="3" t="n">
        <v>19</v>
      </c>
      <c r="D33" s="3" t="n">
        <v>19</v>
      </c>
      <c r="E33" s="3" t="n">
        <v>19.5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16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0.45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39</v>
      </c>
      <c r="D41" s="3" t="n">
        <v>20</v>
      </c>
      <c r="E41" s="3" t="n">
        <v>16</v>
      </c>
      <c r="F41" s="3" t="n">
        <v>13</v>
      </c>
      <c r="G41" s="3" t="n">
        <v>11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96</v>
      </c>
      <c r="C42" s="3" t="n">
        <v>49</v>
      </c>
      <c r="D42" s="3" t="n">
        <v>49</v>
      </c>
      <c r="E42" s="3" t="n">
        <v>48.5</v>
      </c>
      <c r="F42" s="3" t="n">
        <v>48</v>
      </c>
      <c r="G42" s="3" t="n">
        <v>47.5</v>
      </c>
      <c r="H42" s="3" t="n">
        <v>47</v>
      </c>
      <c r="I42" s="3" t="n">
        <v>47</v>
      </c>
      <c r="J42" s="3" t="n">
        <v>46.5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97</v>
      </c>
      <c r="C43" s="3" t="n">
        <v>1.1</v>
      </c>
      <c r="D43" s="3" t="n">
        <v>1.1</v>
      </c>
      <c r="E43" s="3" t="n">
        <v>1.1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6.8</v>
      </c>
      <c r="D45" s="3" t="n">
        <v>7</v>
      </c>
      <c r="E45" s="3" t="n">
        <v>7.3</v>
      </c>
      <c r="F45" s="3" t="n">
        <v>7.5</v>
      </c>
      <c r="G45" s="3" t="n">
        <v>7.6</v>
      </c>
      <c r="H45" s="3" t="n">
        <v>7.6</v>
      </c>
      <c r="I45" s="3" t="n">
        <v>7.6</v>
      </c>
      <c r="J45" s="3" t="n">
        <v>7.5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100</v>
      </c>
      <c r="C46" s="3" t="n">
        <v>13.8</v>
      </c>
      <c r="D46" s="3" t="n">
        <v>13.5</v>
      </c>
      <c r="E46" s="3" t="n">
        <v>12.5</v>
      </c>
      <c r="F46" s="3" t="n">
        <v>11.5</v>
      </c>
      <c r="G46" s="3" t="n">
        <v>10.5</v>
      </c>
      <c r="H46" s="3" t="n">
        <v>9.5</v>
      </c>
      <c r="I46" s="3" t="n">
        <v>9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101</v>
      </c>
      <c r="C47" s="3" t="n">
        <v>19</v>
      </c>
      <c r="D47" s="3" t="n">
        <v>19</v>
      </c>
      <c r="E47" s="3" t="n">
        <v>19.5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35</v>
      </c>
      <c r="D5" s="4" t="n">
        <f aca="false">Assumptions!D13</f>
        <v>-8</v>
      </c>
      <c r="E5" s="4" t="n">
        <f aca="false">Assumptions!E13</f>
        <v>0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43420.8</v>
      </c>
      <c r="C6" s="0" t="n">
        <f aca="false">B6*(1+C5/100)</f>
        <v>58618.08</v>
      </c>
      <c r="D6" s="0" t="n">
        <f aca="false">C6*(1+D5/100)</f>
        <v>53928.6336</v>
      </c>
      <c r="E6" s="0" t="n">
        <f aca="false">D6*(1+E5/100)</f>
        <v>53928.6336</v>
      </c>
      <c r="F6" s="0" t="n">
        <f aca="false">E6*(1+F5/100)</f>
        <v>56085.778944</v>
      </c>
      <c r="G6" s="0" t="n">
        <f aca="false">F6*(1+G5/100)</f>
        <v>58329.21010176</v>
      </c>
      <c r="H6" s="0" t="n">
        <f aca="false">G6*(1+H5/100)</f>
        <v>60662.3785058304</v>
      </c>
      <c r="I6" s="0" t="n">
        <f aca="false">H6*(1+I5/100)</f>
        <v>62482.2498610053</v>
      </c>
      <c r="J6" s="0" t="n">
        <f aca="false">I6*(1+J5/100)</f>
        <v>64356.7173568355</v>
      </c>
      <c r="K6" s="0" t="n">
        <f aca="false">J6*(1+K5/100)</f>
        <v>66287.4188775406</v>
      </c>
      <c r="L6" s="0" t="n">
        <f aca="false">K6*(1+L5/100)</f>
        <v>68276.0414438668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47</v>
      </c>
      <c r="D7" s="4" t="n">
        <f aca="false">Assumptions!D14</f>
        <v>41</v>
      </c>
      <c r="E7" s="4" t="n">
        <f aca="false">Assumptions!E14</f>
        <v>39</v>
      </c>
      <c r="F7" s="4" t="n">
        <f aca="false">Assumptions!F14</f>
        <v>38</v>
      </c>
      <c r="G7" s="4" t="n">
        <f aca="false">Assumptions!G14</f>
        <v>37.5</v>
      </c>
      <c r="H7" s="4" t="n">
        <f aca="false">Assumptions!H14</f>
        <v>37</v>
      </c>
      <c r="I7" s="4" t="n">
        <f aca="false">Assumptions!I14</f>
        <v>37</v>
      </c>
      <c r="J7" s="4" t="n">
        <f aca="false">Assumptions!J14</f>
        <v>37</v>
      </c>
      <c r="K7" s="4" t="n">
        <f aca="false">Assumptions!K14</f>
        <v>37</v>
      </c>
      <c r="L7" s="4" t="n">
        <f aca="false">Assumptions!L14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27550.4976</v>
      </c>
      <c r="D8" s="0" t="n">
        <f aca="false">D6*D7/100</f>
        <v>22110.739776</v>
      </c>
      <c r="E8" s="0" t="n">
        <f aca="false">E6*E7/100</f>
        <v>21032.167104</v>
      </c>
      <c r="F8" s="0" t="n">
        <f aca="false">F6*F7/100</f>
        <v>21312.59599872</v>
      </c>
      <c r="G8" s="0" t="n">
        <f aca="false">G6*G7/100</f>
        <v>21873.45378816</v>
      </c>
      <c r="H8" s="0" t="n">
        <f aca="false">H6*H7/100</f>
        <v>22445.0800471573</v>
      </c>
      <c r="I8" s="0" t="n">
        <f aca="false">I6*I7/100</f>
        <v>23118.432448572</v>
      </c>
      <c r="J8" s="0" t="n">
        <f aca="false">J6*J7/100</f>
        <v>23811.9854220291</v>
      </c>
      <c r="K8" s="0" t="n">
        <f aca="false">K6*K7/100</f>
        <v>24526.34498469</v>
      </c>
      <c r="L8" s="0" t="n">
        <f aca="false">L6*L7/100</f>
        <v>25262.1353342307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1.1</v>
      </c>
      <c r="D9" s="4" t="n">
        <f aca="false">Assumptions!D15</f>
        <v>1.1</v>
      </c>
      <c r="E9" s="4" t="n">
        <f aca="false">Assumptions!E15</f>
        <v>1.1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-644.79888</v>
      </c>
      <c r="D10" s="0" t="n">
        <f aca="false">-D6*D9/100</f>
        <v>-593.2149696</v>
      </c>
      <c r="E10" s="0" t="n">
        <f aca="false">-E6*E9/100</f>
        <v>-593.2149696</v>
      </c>
      <c r="F10" s="0" t="n">
        <f aca="false">-F6*F9/100</f>
        <v>-560.85778944</v>
      </c>
      <c r="G10" s="0" t="n">
        <f aca="false">-G6*G9/100</f>
        <v>-583.2921010176</v>
      </c>
      <c r="H10" s="0" t="n">
        <f aca="false">-H6*H9/100</f>
        <v>-606.623785058304</v>
      </c>
      <c r="I10" s="0" t="n">
        <f aca="false">-I6*I9/100</f>
        <v>-624.822498610053</v>
      </c>
      <c r="J10" s="0" t="n">
        <f aca="false">-J6*J9/100</f>
        <v>-643.567173568355</v>
      </c>
      <c r="K10" s="0" t="n">
        <f aca="false">-K6*K9/100</f>
        <v>-662.874188775406</v>
      </c>
      <c r="L10" s="0" t="n">
        <f aca="false">-L6*L9/100</f>
        <v>-682.760414438668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26905.69872</v>
      </c>
      <c r="D11" s="0" t="n">
        <f aca="false">D8+D10+D24</f>
        <v>21517.5248064</v>
      </c>
      <c r="E11" s="0" t="n">
        <f aca="false">E8+E10+E24</f>
        <v>20438.9521344</v>
      </c>
      <c r="F11" s="0" t="n">
        <f aca="false">F8+F10+F24</f>
        <v>20751.73820928</v>
      </c>
      <c r="G11" s="0" t="n">
        <f aca="false">G8+G10+G24</f>
        <v>21290.1616871424</v>
      </c>
      <c r="H11" s="0" t="n">
        <f aca="false">H8+H10+H24</f>
        <v>21838.456262099</v>
      </c>
      <c r="I11" s="0" t="n">
        <f aca="false">I8+I10+I24</f>
        <v>22493.6099499619</v>
      </c>
      <c r="J11" s="0" t="n">
        <f aca="false">J8+J10+J24</f>
        <v>23168.4182484608</v>
      </c>
      <c r="K11" s="0" t="n">
        <f aca="false">K8+K10+K24</f>
        <v>23863.4707959146</v>
      </c>
      <c r="L11" s="0" t="n">
        <f aca="false">L8+L10+L24</f>
        <v>24579.374919792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-3986.02944</v>
      </c>
      <c r="D12" s="4" t="n">
        <f aca="false">-D6*Assumptions!D17/100</f>
        <v>-4206.4334208</v>
      </c>
      <c r="E12" s="4" t="n">
        <f aca="false">-E6*Assumptions!E17/100</f>
        <v>-4476.0765888</v>
      </c>
      <c r="F12" s="4" t="n">
        <f aca="false">-F6*Assumptions!F17/100</f>
        <v>-4655.119652352</v>
      </c>
      <c r="G12" s="4" t="n">
        <f aca="false">-G6*Assumptions!G17/100</f>
        <v>-4782.99522834432</v>
      </c>
      <c r="H12" s="4" t="n">
        <f aca="false">-H6*Assumptions!H17/100</f>
        <v>-4852.99028046643</v>
      </c>
      <c r="I12" s="4" t="n">
        <f aca="false">-I6*Assumptions!I17/100</f>
        <v>-4873.61548915842</v>
      </c>
      <c r="J12" s="4" t="n">
        <f aca="false">-J6*Assumptions!J17/100</f>
        <v>-4891.1105191195</v>
      </c>
      <c r="K12" s="4" t="n">
        <f aca="false">-K6*Assumptions!K17/100</f>
        <v>-4971.55641581554</v>
      </c>
      <c r="L12" s="4" t="n">
        <f aca="false">-L6*Assumptions!L17/100</f>
        <v>-5120.70310829001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22919.66928</v>
      </c>
      <c r="D13" s="0" t="n">
        <f aca="false">D11+D12</f>
        <v>17311.0913856</v>
      </c>
      <c r="E13" s="0" t="n">
        <f aca="false">E11+E12</f>
        <v>15962.8755456</v>
      </c>
      <c r="F13" s="0" t="n">
        <f aca="false">F11+F12</f>
        <v>16096.618556928</v>
      </c>
      <c r="G13" s="0" t="n">
        <f aca="false">G11+G12</f>
        <v>16507.1664587981</v>
      </c>
      <c r="H13" s="0" t="n">
        <f aca="false">H11+H12</f>
        <v>16985.4659816325</v>
      </c>
      <c r="I13" s="0" t="n">
        <f aca="false">I11+I12</f>
        <v>17619.9944608035</v>
      </c>
      <c r="J13" s="0" t="n">
        <f aca="false">J11+J12</f>
        <v>18277.3077293413</v>
      </c>
      <c r="K13" s="0" t="n">
        <f aca="false">K11+K12</f>
        <v>18891.9143800991</v>
      </c>
      <c r="L13" s="0" t="n">
        <f aca="false">L11+L12</f>
        <v>19458.671811502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19</v>
      </c>
      <c r="D14" s="4" t="n">
        <f aca="false">Assumptions!D19</f>
        <v>19</v>
      </c>
      <c r="E14" s="4" t="n">
        <f aca="false">Assumptions!E19</f>
        <v>19.5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18564.9321168</v>
      </c>
      <c r="D15" s="0" t="n">
        <f aca="false">D13-MAX(0,D13)*D14/100</f>
        <v>14021.984022336</v>
      </c>
      <c r="E15" s="0" t="n">
        <f aca="false">E13-MAX(0,E13)*E14/100</f>
        <v>12850.114814208</v>
      </c>
      <c r="F15" s="0" t="n">
        <f aca="false">F13-MAX(0,F13)*F14/100</f>
        <v>12877.2948455424</v>
      </c>
      <c r="G15" s="0" t="n">
        <f aca="false">G13-MAX(0,G13)*G14/100</f>
        <v>13205.7331670385</v>
      </c>
      <c r="H15" s="0" t="n">
        <f aca="false">H13-MAX(0,H13)*H14/100</f>
        <v>13588.372785306</v>
      </c>
      <c r="I15" s="0" t="n">
        <f aca="false">I13-MAX(0,I13)*I14/100</f>
        <v>14095.9955686428</v>
      </c>
      <c r="J15" s="0" t="n">
        <f aca="false">J13-MAX(0,J13)*J14/100</f>
        <v>14621.846183473</v>
      </c>
      <c r="K15" s="0" t="n">
        <f aca="false">K13-MAX(0,K13)*K14/100</f>
        <v>15113.5315040792</v>
      </c>
      <c r="L15" s="0" t="n">
        <f aca="false">L13-MAX(0,L13)*L14/100</f>
        <v>15566.9374492016</v>
      </c>
    </row>
    <row r="16" customFormat="false" ht="15" hidden="false" customHeight="false" outlineLevel="0" collapsed="false">
      <c r="A16" s="0" t="s">
        <v>117</v>
      </c>
      <c r="C16" s="0" t="n">
        <f aca="false">-C12</f>
        <v>3986.02944</v>
      </c>
      <c r="D16" s="0" t="n">
        <f aca="false">-D12</f>
        <v>4206.4334208</v>
      </c>
      <c r="E16" s="0" t="n">
        <f aca="false">-E12</f>
        <v>4476.0765888</v>
      </c>
      <c r="F16" s="0" t="n">
        <f aca="false">-F12</f>
        <v>4655.119652352</v>
      </c>
      <c r="G16" s="0" t="n">
        <f aca="false">-G12</f>
        <v>4782.99522834432</v>
      </c>
      <c r="H16" s="0" t="n">
        <f aca="false">-H12</f>
        <v>4852.99028046643</v>
      </c>
      <c r="I16" s="0" t="n">
        <f aca="false">-I12</f>
        <v>4873.61548915842</v>
      </c>
      <c r="J16" s="0" t="n">
        <f aca="false">-J12</f>
        <v>4891.1105191195</v>
      </c>
      <c r="K16" s="0" t="n">
        <f aca="false">-K12</f>
        <v>4971.55641581554</v>
      </c>
      <c r="L16" s="0" t="n">
        <f aca="false">-L12</f>
        <v>5120.70310829001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-7854.82272</v>
      </c>
      <c r="D17" s="4" t="n">
        <f aca="false">-D6*Assumptions!D18/100</f>
        <v>-5932.149696</v>
      </c>
      <c r="E17" s="4" t="n">
        <f aca="false">-E6*Assumptions!E18/100</f>
        <v>-4314.290688</v>
      </c>
      <c r="F17" s="4" t="n">
        <f aca="false">-F6*Assumptions!F18/100</f>
        <v>-4206.4334208</v>
      </c>
      <c r="G17" s="4" t="n">
        <f aca="false">-G6*Assumptions!G18/100</f>
        <v>-4374.690757632</v>
      </c>
      <c r="H17" s="4" t="n">
        <f aca="false">-H6*Assumptions!H18/100</f>
        <v>-4549.67838793728</v>
      </c>
      <c r="I17" s="4" t="n">
        <f aca="false">-I6*Assumptions!I18/100</f>
        <v>-4686.1687395754</v>
      </c>
      <c r="J17" s="4" t="n">
        <f aca="false">-J6*Assumptions!J18/100</f>
        <v>-4826.75380176266</v>
      </c>
      <c r="K17" s="4" t="n">
        <f aca="false">-K6*Assumptions!K18/100</f>
        <v>-4971.55641581554</v>
      </c>
      <c r="L17" s="4" t="n">
        <f aca="false">-L6*Assumptions!L18/100</f>
        <v>-5120.70310829001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-2279.592</v>
      </c>
      <c r="D18" s="4" t="n">
        <f aca="false">(D6-C6)*Assumptions!$B$23/100</f>
        <v>703.41696</v>
      </c>
      <c r="E18" s="4" t="n">
        <f aca="false">(E6-D6)*Assumptions!$B$23/100</f>
        <v>-0</v>
      </c>
      <c r="F18" s="4" t="n">
        <f aca="false">(F6-E6)*Assumptions!$B$23/100</f>
        <v>-323.571801600001</v>
      </c>
      <c r="G18" s="4" t="n">
        <f aca="false">(G6-F6)*Assumptions!$B$23/100</f>
        <v>-336.514673664</v>
      </c>
      <c r="H18" s="4" t="n">
        <f aca="false">(H6-G6)*Assumptions!$B$23/100</f>
        <v>-349.975260610561</v>
      </c>
      <c r="I18" s="4" t="n">
        <f aca="false">(I6-H6)*Assumptions!$B$23/100</f>
        <v>-272.980703276238</v>
      </c>
      <c r="J18" s="4" t="n">
        <f aca="false">(J6-I6)*Assumptions!$B$23/100</f>
        <v>-281.170124374524</v>
      </c>
      <c r="K18" s="4" t="n">
        <f aca="false">(K6-J6)*Assumptions!$B$23/100</f>
        <v>-289.60522810576</v>
      </c>
      <c r="L18" s="4" t="n">
        <f aca="false">(L6-K6)*Assumptions!$B$23/100</f>
        <v>-298.293384948932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12416.5468368</v>
      </c>
      <c r="D19" s="0" t="n">
        <f aca="false">D15+D16+D17+D18</f>
        <v>12999.684707136</v>
      </c>
      <c r="E19" s="0" t="n">
        <f aca="false">E15+E16+E17+E18</f>
        <v>13011.900715008</v>
      </c>
      <c r="F19" s="0" t="n">
        <f aca="false">F15+F16+F17+F18</f>
        <v>13002.4092754944</v>
      </c>
      <c r="G19" s="0" t="n">
        <f aca="false">G15+G16+G17+G18</f>
        <v>13277.5229640868</v>
      </c>
      <c r="H19" s="0" t="n">
        <f aca="false">H15+H16+H17+H18</f>
        <v>13541.7094172246</v>
      </c>
      <c r="I19" s="0" t="n">
        <f aca="false">I15+I16+I17+I18</f>
        <v>14010.4616149496</v>
      </c>
      <c r="J19" s="0" t="n">
        <f aca="false">J15+J16+J17+J18</f>
        <v>14405.0327764553</v>
      </c>
      <c r="K19" s="0" t="n">
        <f aca="false">K15+K16+K17+K18</f>
        <v>14823.9262759735</v>
      </c>
      <c r="L19" s="0" t="n">
        <f aca="false">L15+L16+L17+L18</f>
        <v>15268.6440642527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11391.327373211</v>
      </c>
      <c r="D21" s="0" t="n">
        <f aca="false">D19*D20</f>
        <v>10941.5745367696</v>
      </c>
      <c r="E21" s="0" t="n">
        <f aca="false">E19*E20</f>
        <v>10047.5747763239</v>
      </c>
      <c r="F21" s="0" t="n">
        <f aca="false">F19*F20</f>
        <v>9211.23453534819</v>
      </c>
      <c r="G21" s="0" t="n">
        <f aca="false">G19*G20</f>
        <v>8629.47890665704</v>
      </c>
      <c r="H21" s="0" t="n">
        <f aca="false">H19*H20</f>
        <v>8074.47887558362</v>
      </c>
      <c r="I21" s="0" t="n">
        <f aca="false">I19*I20</f>
        <v>7664.20228944023</v>
      </c>
      <c r="J21" s="0" t="n">
        <f aca="false">J19*J20</f>
        <v>7229.40020808393</v>
      </c>
      <c r="K21" s="0" t="n">
        <f aca="false">K19*K20</f>
        <v>6825.34745895982</v>
      </c>
      <c r="L21" s="0" t="n">
        <f aca="false">L19*L20</f>
        <v>6449.64025938405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86464.2592197614</v>
      </c>
    </row>
    <row r="31" customFormat="false" ht="15" hidden="false" customHeight="false" outlineLevel="0" collapsed="false">
      <c r="A31" s="0" t="s">
        <v>126</v>
      </c>
      <c r="B31" s="0" t="n">
        <f aca="false">L19</f>
        <v>15268.6440642527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222485.956364825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198492.372835285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198492.372835285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83845.3233719927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170309.582591754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217043.582591754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84.3329184135965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-0.570168611551496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3945.45719642662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4202.47835901517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87.4988225892974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119800.13035029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55.711870120804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37</v>
      </c>
      <c r="D5" s="4" t="n">
        <f aca="false">Assumptions!D27</f>
        <v>14</v>
      </c>
      <c r="E5" s="4" t="n">
        <f aca="false">Assumptions!E27</f>
        <v>11</v>
      </c>
      <c r="F5" s="4" t="n">
        <f aca="false">Assumptions!F27</f>
        <v>9</v>
      </c>
      <c r="G5" s="4" t="n">
        <f aca="false">Assumptions!G27</f>
        <v>8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43420.8</v>
      </c>
      <c r="C6" s="0" t="n">
        <f aca="false">B6*(1+C5/100)</f>
        <v>59486.496</v>
      </c>
      <c r="D6" s="0" t="n">
        <f aca="false">C6*(1+D5/100)</f>
        <v>67814.60544</v>
      </c>
      <c r="E6" s="0" t="n">
        <f aca="false">D6*(1+E5/100)</f>
        <v>75274.2120384</v>
      </c>
      <c r="F6" s="0" t="n">
        <f aca="false">E6*(1+F5/100)</f>
        <v>82048.891121856</v>
      </c>
      <c r="G6" s="0" t="n">
        <f aca="false">F6*(1+G5/100)</f>
        <v>88612.8024116045</v>
      </c>
      <c r="H6" s="0" t="n">
        <f aca="false">G6*(1+H5/100)</f>
        <v>94815.6985804168</v>
      </c>
      <c r="I6" s="0" t="n">
        <f aca="false">H6*(1+I5/100)</f>
        <v>100504.640495242</v>
      </c>
      <c r="J6" s="0" t="n">
        <f aca="false">I6*(1+J5/100)</f>
        <v>105529.872520004</v>
      </c>
      <c r="K6" s="0" t="n">
        <f aca="false">J6*(1+K5/100)</f>
        <v>109751.067420804</v>
      </c>
      <c r="L6" s="0" t="n">
        <f aca="false">K6*(1+L5/100)</f>
        <v>113592.354780532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48</v>
      </c>
      <c r="D7" s="4" t="n">
        <f aca="false">Assumptions!D28</f>
        <v>47</v>
      </c>
      <c r="E7" s="4" t="n">
        <f aca="false">Assumptions!E28</f>
        <v>46</v>
      </c>
      <c r="F7" s="4" t="n">
        <f aca="false">Assumptions!F28</f>
        <v>45.5</v>
      </c>
      <c r="G7" s="4" t="n">
        <f aca="false">Assumptions!G28</f>
        <v>45</v>
      </c>
      <c r="H7" s="4" t="n">
        <f aca="false">Assumptions!H28</f>
        <v>44.5</v>
      </c>
      <c r="I7" s="4" t="n">
        <f aca="false">Assumptions!I28</f>
        <v>44</v>
      </c>
      <c r="J7" s="4" t="n">
        <f aca="false">Assumptions!J28</f>
        <v>43.5</v>
      </c>
      <c r="K7" s="4" t="n">
        <f aca="false">Assumptions!K28</f>
        <v>43</v>
      </c>
      <c r="L7" s="4" t="n">
        <f aca="false">Assumptions!L28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28553.51808</v>
      </c>
      <c r="D8" s="0" t="n">
        <f aca="false">D6*D7/100</f>
        <v>31872.8645568</v>
      </c>
      <c r="E8" s="0" t="n">
        <f aca="false">E6*E7/100</f>
        <v>34626.137537664</v>
      </c>
      <c r="F8" s="0" t="n">
        <f aca="false">F6*F7/100</f>
        <v>37332.2454604445</v>
      </c>
      <c r="G8" s="0" t="n">
        <f aca="false">G6*G7/100</f>
        <v>39875.761085222</v>
      </c>
      <c r="H8" s="0" t="n">
        <f aca="false">H6*H7/100</f>
        <v>42192.9858682855</v>
      </c>
      <c r="I8" s="0" t="n">
        <f aca="false">I6*I7/100</f>
        <v>44222.0418179064</v>
      </c>
      <c r="J8" s="0" t="n">
        <f aca="false">J6*J7/100</f>
        <v>45905.4945462017</v>
      </c>
      <c r="K8" s="0" t="n">
        <f aca="false">K6*K7/100</f>
        <v>47192.9589909458</v>
      </c>
      <c r="L8" s="0" t="n">
        <f aca="false">L6*L7/100</f>
        <v>48844.7125556289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1.1</v>
      </c>
      <c r="D9" s="4" t="n">
        <f aca="false">Assumptions!D29</f>
        <v>1.1</v>
      </c>
      <c r="E9" s="4" t="n">
        <f aca="false">Assumptions!E29</f>
        <v>1.1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-654.351456</v>
      </c>
      <c r="D10" s="0" t="n">
        <f aca="false">-D6*D9/100</f>
        <v>-745.96065984</v>
      </c>
      <c r="E10" s="0" t="n">
        <f aca="false">-E6*E9/100</f>
        <v>-828.0163324224</v>
      </c>
      <c r="F10" s="0" t="n">
        <f aca="false">-F6*F9/100</f>
        <v>-820.48891121856</v>
      </c>
      <c r="G10" s="0" t="n">
        <f aca="false">-G6*G9/100</f>
        <v>-886.128024116045</v>
      </c>
      <c r="H10" s="0" t="n">
        <f aca="false">-H6*H9/100</f>
        <v>-948.156985804168</v>
      </c>
      <c r="I10" s="0" t="n">
        <f aca="false">-I6*I9/100</f>
        <v>-1005.04640495242</v>
      </c>
      <c r="J10" s="0" t="n">
        <f aca="false">-J6*J9/100</f>
        <v>-1055.29872520004</v>
      </c>
      <c r="K10" s="0" t="n">
        <f aca="false">-K6*K9/100</f>
        <v>-1097.51067420804</v>
      </c>
      <c r="L10" s="0" t="n">
        <f aca="false">-L6*L9/100</f>
        <v>-1135.92354780532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27899.166624</v>
      </c>
      <c r="D11" s="0" t="n">
        <f aca="false">D8+D10+D24</f>
        <v>31126.90389696</v>
      </c>
      <c r="E11" s="0" t="n">
        <f aca="false">E8+E10+E24</f>
        <v>33798.1212052416</v>
      </c>
      <c r="F11" s="0" t="n">
        <f aca="false">F8+F10+F24</f>
        <v>36511.7565492259</v>
      </c>
      <c r="G11" s="0" t="n">
        <f aca="false">G8+G10+G24</f>
        <v>38989.633061106</v>
      </c>
      <c r="H11" s="0" t="n">
        <f aca="false">H8+H10+H24</f>
        <v>41244.8288824813</v>
      </c>
      <c r="I11" s="0" t="n">
        <f aca="false">I8+I10+I24</f>
        <v>43216.995412954</v>
      </c>
      <c r="J11" s="0" t="n">
        <f aca="false">J8+J10+J24</f>
        <v>44850.1958210017</v>
      </c>
      <c r="K11" s="0" t="n">
        <f aca="false">K8+K10+K24</f>
        <v>46095.4483167377</v>
      </c>
      <c r="L11" s="0" t="n">
        <f aca="false">L8+L10+L24</f>
        <v>47708.7890078235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-4045.081728</v>
      </c>
      <c r="D12" s="4" t="n">
        <f aca="false">-D6*Assumptions!D31/100</f>
        <v>-4747.0223808</v>
      </c>
      <c r="E12" s="4" t="n">
        <f aca="false">-E6*Assumptions!E31/100</f>
        <v>-5495.0174788032</v>
      </c>
      <c r="F12" s="4" t="n">
        <f aca="false">-F6*Assumptions!F31/100</f>
        <v>-6153.6668341392</v>
      </c>
      <c r="G12" s="4" t="n">
        <f aca="false">-G6*Assumptions!G31/100</f>
        <v>-6734.57298328194</v>
      </c>
      <c r="H12" s="4" t="n">
        <f aca="false">-H6*Assumptions!H31/100</f>
        <v>-7205.99309211168</v>
      </c>
      <c r="I12" s="4" t="n">
        <f aca="false">-I6*Assumptions!I31/100</f>
        <v>-7638.35267763838</v>
      </c>
      <c r="J12" s="4" t="n">
        <f aca="false">-J6*Assumptions!J31/100</f>
        <v>-7914.7404390003</v>
      </c>
      <c r="K12" s="4" t="n">
        <f aca="false">-K6*Assumptions!K31/100</f>
        <v>-8231.33005656031</v>
      </c>
      <c r="L12" s="4" t="n">
        <f aca="false">-L6*Assumptions!L31/100</f>
        <v>-8519.42660853992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23854.084896</v>
      </c>
      <c r="D13" s="0" t="n">
        <f aca="false">D11+D12</f>
        <v>26379.88151616</v>
      </c>
      <c r="E13" s="0" t="n">
        <f aca="false">E11+E12</f>
        <v>28303.1037264384</v>
      </c>
      <c r="F13" s="0" t="n">
        <f aca="false">F11+F12</f>
        <v>30358.0897150867</v>
      </c>
      <c r="G13" s="0" t="n">
        <f aca="false">G11+G12</f>
        <v>32255.060077824</v>
      </c>
      <c r="H13" s="0" t="n">
        <f aca="false">H11+H12</f>
        <v>34038.8357903696</v>
      </c>
      <c r="I13" s="0" t="n">
        <f aca="false">I11+I12</f>
        <v>35578.6427353156</v>
      </c>
      <c r="J13" s="0" t="n">
        <f aca="false">J11+J12</f>
        <v>36935.4553820014</v>
      </c>
      <c r="K13" s="0" t="n">
        <f aca="false">K11+K12</f>
        <v>37864.1182601774</v>
      </c>
      <c r="L13" s="0" t="n">
        <f aca="false">L11+L12</f>
        <v>39189.3623992836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19</v>
      </c>
      <c r="D14" s="4" t="n">
        <f aca="false">Assumptions!D33</f>
        <v>19</v>
      </c>
      <c r="E14" s="4" t="n">
        <f aca="false">Assumptions!E33</f>
        <v>19.5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19321.80876576</v>
      </c>
      <c r="D15" s="0" t="n">
        <f aca="false">D13-MAX(0,D13)*D14/100</f>
        <v>21367.7040280896</v>
      </c>
      <c r="E15" s="0" t="n">
        <f aca="false">E13-MAX(0,E13)*E14/100</f>
        <v>22783.9984997829</v>
      </c>
      <c r="F15" s="0" t="n">
        <f aca="false">F13-MAX(0,F13)*F14/100</f>
        <v>24286.4717720694</v>
      </c>
      <c r="G15" s="0" t="n">
        <f aca="false">G13-MAX(0,G13)*G14/100</f>
        <v>25804.0480622592</v>
      </c>
      <c r="H15" s="0" t="n">
        <f aca="false">H13-MAX(0,H13)*H14/100</f>
        <v>27231.0686322957</v>
      </c>
      <c r="I15" s="0" t="n">
        <f aca="false">I13-MAX(0,I13)*I14/100</f>
        <v>28462.9141882525</v>
      </c>
      <c r="J15" s="0" t="n">
        <f aca="false">J13-MAX(0,J13)*J14/100</f>
        <v>29548.3643056011</v>
      </c>
      <c r="K15" s="0" t="n">
        <f aca="false">K13-MAX(0,K13)*K14/100</f>
        <v>30291.2946081419</v>
      </c>
      <c r="L15" s="0" t="n">
        <f aca="false">L13-MAX(0,L13)*L14/100</f>
        <v>31351.4899194269</v>
      </c>
    </row>
    <row r="16" customFormat="false" ht="15" hidden="false" customHeight="false" outlineLevel="0" collapsed="false">
      <c r="A16" s="0" t="s">
        <v>117</v>
      </c>
      <c r="C16" s="0" t="n">
        <f aca="false">-C12</f>
        <v>4045.081728</v>
      </c>
      <c r="D16" s="0" t="n">
        <f aca="false">-D12</f>
        <v>4747.0223808</v>
      </c>
      <c r="E16" s="0" t="n">
        <f aca="false">-E12</f>
        <v>5495.0174788032</v>
      </c>
      <c r="F16" s="0" t="n">
        <f aca="false">-F12</f>
        <v>6153.6668341392</v>
      </c>
      <c r="G16" s="0" t="n">
        <f aca="false">-G12</f>
        <v>6734.57298328194</v>
      </c>
      <c r="H16" s="0" t="n">
        <f aca="false">-H12</f>
        <v>7205.99309211168</v>
      </c>
      <c r="I16" s="0" t="n">
        <f aca="false">-I12</f>
        <v>7638.35267763838</v>
      </c>
      <c r="J16" s="0" t="n">
        <f aca="false">-J12</f>
        <v>7914.7404390003</v>
      </c>
      <c r="K16" s="0" t="n">
        <f aca="false">-K12</f>
        <v>8231.33005656031</v>
      </c>
      <c r="L16" s="0" t="n">
        <f aca="false">-L12</f>
        <v>8519.42660853992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-7971.190464</v>
      </c>
      <c r="D17" s="4" t="n">
        <f aca="false">-D6*Assumptions!D32/100</f>
        <v>-8815.8987072</v>
      </c>
      <c r="E17" s="4" t="n">
        <f aca="false">-E6*Assumptions!E32/100</f>
        <v>-8656.534384416</v>
      </c>
      <c r="F17" s="4" t="n">
        <f aca="false">-F6*Assumptions!F32/100</f>
        <v>-8615.13356779488</v>
      </c>
      <c r="G17" s="4" t="n">
        <f aca="false">-G6*Assumptions!G32/100</f>
        <v>-8418.21622910243</v>
      </c>
      <c r="H17" s="4" t="n">
        <f aca="false">-H6*Assumptions!H32/100</f>
        <v>-8533.41287223752</v>
      </c>
      <c r="I17" s="4" t="n">
        <f aca="false">-I6*Assumptions!I32/100</f>
        <v>-8542.89444209556</v>
      </c>
      <c r="J17" s="4" t="n">
        <f aca="false">-J6*Assumptions!J32/100</f>
        <v>-8970.03916420034</v>
      </c>
      <c r="K17" s="4" t="n">
        <f aca="false">-K6*Assumptions!K32/100</f>
        <v>-8780.08539366433</v>
      </c>
      <c r="L17" s="4" t="n">
        <f aca="false">-L6*Assumptions!L32/100</f>
        <v>-9087.38838244258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-2409.8544</v>
      </c>
      <c r="D18" s="4" t="n">
        <f aca="false">(D6-C6)*Assumptions!$B$37/100</f>
        <v>-1249.216416</v>
      </c>
      <c r="E18" s="4" t="n">
        <f aca="false">(E6-D6)*Assumptions!$B$37/100</f>
        <v>-1118.94098976</v>
      </c>
      <c r="F18" s="4" t="n">
        <f aca="false">(F6-E6)*Assumptions!$B$37/100</f>
        <v>-1016.2018625184</v>
      </c>
      <c r="G18" s="4" t="n">
        <f aca="false">(G6-F6)*Assumptions!$B$37/100</f>
        <v>-984.586693462273</v>
      </c>
      <c r="H18" s="4" t="n">
        <f aca="false">(H6-G6)*Assumptions!$B$37/100</f>
        <v>-930.434425321849</v>
      </c>
      <c r="I18" s="4" t="n">
        <f aca="false">(I6-H6)*Assumptions!$B$37/100</f>
        <v>-853.341287223753</v>
      </c>
      <c r="J18" s="4" t="n">
        <f aca="false">(J6-I6)*Assumptions!$B$37/100</f>
        <v>-753.784803714314</v>
      </c>
      <c r="K18" s="4" t="n">
        <f aca="false">(K6-J6)*Assumptions!$B$37/100</f>
        <v>-633.179235120025</v>
      </c>
      <c r="L18" s="4" t="n">
        <f aca="false">(L6-K6)*Assumptions!$B$37/100</f>
        <v>-576.193103959219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12985.84562976</v>
      </c>
      <c r="D19" s="0" t="n">
        <f aca="false">D15+D16+D17+D18</f>
        <v>16049.6112856896</v>
      </c>
      <c r="E19" s="0" t="n">
        <f aca="false">E15+E16+E17+E18</f>
        <v>18503.5406044101</v>
      </c>
      <c r="F19" s="0" t="n">
        <f aca="false">F15+F16+F17+F18</f>
        <v>20808.8031758953</v>
      </c>
      <c r="G19" s="0" t="n">
        <f aca="false">G15+G16+G17+G18</f>
        <v>23135.8181229765</v>
      </c>
      <c r="H19" s="0" t="n">
        <f aca="false">H15+H16+H17+H18</f>
        <v>24973.214426848</v>
      </c>
      <c r="I19" s="0" t="n">
        <f aca="false">I15+I16+I17+I18</f>
        <v>26705.0311365716</v>
      </c>
      <c r="J19" s="0" t="n">
        <f aca="false">J15+J16+J17+J18</f>
        <v>27739.2807766867</v>
      </c>
      <c r="K19" s="0" t="n">
        <f aca="false">K15+K16+K17+K18</f>
        <v>29109.3600359179</v>
      </c>
      <c r="L19" s="0" t="n">
        <f aca="false">L15+L16+L17+L18</f>
        <v>30207.335041565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11913.6198438165</v>
      </c>
      <c r="D21" s="0" t="n">
        <f aca="false">D19*D20</f>
        <v>13508.6367188701</v>
      </c>
      <c r="E21" s="0" t="n">
        <f aca="false">E19*E20</f>
        <v>14288.1283773646</v>
      </c>
      <c r="F21" s="0" t="n">
        <f aca="false">F19*F20</f>
        <v>14741.4807818978</v>
      </c>
      <c r="G21" s="0" t="n">
        <f aca="false">G19*G20</f>
        <v>15036.6943458125</v>
      </c>
      <c r="H21" s="0" t="n">
        <f aca="false">H19*H20</f>
        <v>14890.7118098781</v>
      </c>
      <c r="I21" s="0" t="n">
        <f aca="false">I19*I20</f>
        <v>14608.5665413117</v>
      </c>
      <c r="J21" s="0" t="n">
        <f aca="false">J19*J20</f>
        <v>13921.4096441941</v>
      </c>
      <c r="K21" s="0" t="n">
        <f aca="false">K19*K20</f>
        <v>13402.7580044782</v>
      </c>
      <c r="L21" s="0" t="n">
        <f aca="false">L19*L20</f>
        <v>12759.9047690759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139071.9108367</v>
      </c>
    </row>
    <row r="31" customFormat="false" ht="15" hidden="false" customHeight="false" outlineLevel="0" collapsed="false">
      <c r="A31" s="0" t="s">
        <v>126</v>
      </c>
      <c r="B31" s="0" t="n">
        <f aca="false">L19</f>
        <v>30207.335041565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476346.43719391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483317.36066504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476346.43719391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201213.882896966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340285.793733666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387019.793733666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150.377672076945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-0.23354907198295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5654.66004105785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7566.49295323486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155.51478971704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247700.147340833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82.6069488702305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39</v>
      </c>
      <c r="D5" s="4" t="n">
        <f aca="false">Assumptions!D41</f>
        <v>20</v>
      </c>
      <c r="E5" s="4" t="n">
        <f aca="false">Assumptions!E41</f>
        <v>16</v>
      </c>
      <c r="F5" s="4" t="n">
        <f aca="false">Assumptions!F41</f>
        <v>13</v>
      </c>
      <c r="G5" s="4" t="n">
        <f aca="false">Assumptions!G41</f>
        <v>11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43420.8</v>
      </c>
      <c r="C6" s="0" t="n">
        <f aca="false">B6*(1+C5/100)</f>
        <v>60354.912</v>
      </c>
      <c r="D6" s="0" t="n">
        <f aca="false">C6*(1+D5/100)</f>
        <v>72425.8944</v>
      </c>
      <c r="E6" s="0" t="n">
        <f aca="false">D6*(1+E5/100)</f>
        <v>84014.037504</v>
      </c>
      <c r="F6" s="0" t="n">
        <f aca="false">E6*(1+F5/100)</f>
        <v>94935.86237952</v>
      </c>
      <c r="G6" s="0" t="n">
        <f aca="false">F6*(1+G5/100)</f>
        <v>105378.807241267</v>
      </c>
      <c r="H6" s="0" t="n">
        <f aca="false">G6*(1+H5/100)</f>
        <v>114862.899892981</v>
      </c>
      <c r="I6" s="0" t="n">
        <f aca="false">H6*(1+I5/100)</f>
        <v>124051.93188442</v>
      </c>
      <c r="J6" s="0" t="n">
        <f aca="false">I6*(1+J5/100)</f>
        <v>132735.567116329</v>
      </c>
      <c r="K6" s="0" t="n">
        <f aca="false">J6*(1+K5/100)</f>
        <v>140699.701143309</v>
      </c>
      <c r="L6" s="0" t="n">
        <f aca="false">K6*(1+L5/100)</f>
        <v>147734.686200474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49</v>
      </c>
      <c r="D7" s="4" t="n">
        <f aca="false">Assumptions!D42</f>
        <v>49</v>
      </c>
      <c r="E7" s="4" t="n">
        <f aca="false">Assumptions!E42</f>
        <v>48.5</v>
      </c>
      <c r="F7" s="4" t="n">
        <f aca="false">Assumptions!F42</f>
        <v>48</v>
      </c>
      <c r="G7" s="4" t="n">
        <f aca="false">Assumptions!G42</f>
        <v>47.5</v>
      </c>
      <c r="H7" s="4" t="n">
        <f aca="false">Assumptions!H42</f>
        <v>47</v>
      </c>
      <c r="I7" s="4" t="n">
        <f aca="false">Assumptions!I42</f>
        <v>47</v>
      </c>
      <c r="J7" s="4" t="n">
        <f aca="false">Assumptions!J42</f>
        <v>46.5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29573.90688</v>
      </c>
      <c r="D8" s="0" t="n">
        <f aca="false">D6*D7/100</f>
        <v>35488.688256</v>
      </c>
      <c r="E8" s="0" t="n">
        <f aca="false">E6*E7/100</f>
        <v>40746.80818944</v>
      </c>
      <c r="F8" s="0" t="n">
        <f aca="false">F6*F7/100</f>
        <v>45569.2139421696</v>
      </c>
      <c r="G8" s="0" t="n">
        <f aca="false">G6*G7/100</f>
        <v>50054.9334396019</v>
      </c>
      <c r="H8" s="0" t="n">
        <f aca="false">H6*H7/100</f>
        <v>53985.5629497012</v>
      </c>
      <c r="I8" s="0" t="n">
        <f aca="false">I6*I7/100</f>
        <v>58304.4079856773</v>
      </c>
      <c r="J8" s="0" t="n">
        <f aca="false">J6*J7/100</f>
        <v>61722.0387090931</v>
      </c>
      <c r="K8" s="0" t="n">
        <f aca="false">K6*K7/100</f>
        <v>64721.8625259221</v>
      </c>
      <c r="L8" s="0" t="n">
        <f aca="false">L6*L7/100</f>
        <v>67957.9556522182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1.1</v>
      </c>
      <c r="D9" s="4" t="n">
        <f aca="false">Assumptions!D43</f>
        <v>1.1</v>
      </c>
      <c r="E9" s="4" t="n">
        <f aca="false">Assumptions!E43</f>
        <v>1.1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-663.904032</v>
      </c>
      <c r="D10" s="0" t="n">
        <f aca="false">-D6*D9/100</f>
        <v>-796.6848384</v>
      </c>
      <c r="E10" s="0" t="n">
        <f aca="false">-E6*E9/100</f>
        <v>-924.154412544</v>
      </c>
      <c r="F10" s="0" t="n">
        <f aca="false">-F6*F9/100</f>
        <v>-949.3586237952</v>
      </c>
      <c r="G10" s="0" t="n">
        <f aca="false">-G6*G9/100</f>
        <v>-1053.78807241267</v>
      </c>
      <c r="H10" s="0" t="n">
        <f aca="false">-H6*H9/100</f>
        <v>-1148.62899892981</v>
      </c>
      <c r="I10" s="0" t="n">
        <f aca="false">-I6*I9/100</f>
        <v>-1240.5193188442</v>
      </c>
      <c r="J10" s="0" t="n">
        <f aca="false">-J6*J9/100</f>
        <v>-1327.35567116329</v>
      </c>
      <c r="K10" s="0" t="n">
        <f aca="false">-K6*K9/100</f>
        <v>-1406.99701143309</v>
      </c>
      <c r="L10" s="0" t="n">
        <f aca="false">-L6*L9/100</f>
        <v>-1477.34686200474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28910.002848</v>
      </c>
      <c r="D11" s="0" t="n">
        <f aca="false">D8+D10+D24</f>
        <v>34692.0034176</v>
      </c>
      <c r="E11" s="0" t="n">
        <f aca="false">E8+E10+E24</f>
        <v>39822.653776896</v>
      </c>
      <c r="F11" s="0" t="n">
        <f aca="false">F8+F10+F24</f>
        <v>44619.8553183744</v>
      </c>
      <c r="G11" s="0" t="n">
        <f aca="false">G8+G10+G24</f>
        <v>49001.1453671892</v>
      </c>
      <c r="H11" s="0" t="n">
        <f aca="false">H8+H10+H24</f>
        <v>52836.9339507714</v>
      </c>
      <c r="I11" s="0" t="n">
        <f aca="false">I8+I10+I24</f>
        <v>57063.8886668331</v>
      </c>
      <c r="J11" s="0" t="n">
        <f aca="false">J8+J10+J24</f>
        <v>60394.6830379298</v>
      </c>
      <c r="K11" s="0" t="n">
        <f aca="false">K8+K10+K24</f>
        <v>63314.865514489</v>
      </c>
      <c r="L11" s="0" t="n">
        <f aca="false">L8+L10+L24</f>
        <v>66480.6087902135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-4104.134016</v>
      </c>
      <c r="D12" s="4" t="n">
        <f aca="false">-D6*Assumptions!D45/100</f>
        <v>-5069.812608</v>
      </c>
      <c r="E12" s="4" t="n">
        <f aca="false">-E6*Assumptions!E45/100</f>
        <v>-6133.024737792</v>
      </c>
      <c r="F12" s="4" t="n">
        <f aca="false">-F6*Assumptions!F45/100</f>
        <v>-7120.189678464</v>
      </c>
      <c r="G12" s="4" t="n">
        <f aca="false">-G6*Assumptions!G45/100</f>
        <v>-8008.78935033631</v>
      </c>
      <c r="H12" s="4" t="n">
        <f aca="false">-H6*Assumptions!H45/100</f>
        <v>-8729.58039186658</v>
      </c>
      <c r="I12" s="4" t="n">
        <f aca="false">-I6*Assumptions!I45/100</f>
        <v>-9427.9468232159</v>
      </c>
      <c r="J12" s="4" t="n">
        <f aca="false">-J6*Assumptions!J45/100</f>
        <v>-9955.16753372469</v>
      </c>
      <c r="K12" s="4" t="n">
        <f aca="false">-K6*Assumptions!K45/100</f>
        <v>-10552.4775857482</v>
      </c>
      <c r="L12" s="4" t="n">
        <f aca="false">-L6*Assumptions!L45/100</f>
        <v>-11080.1014650356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24805.868832</v>
      </c>
      <c r="D13" s="0" t="n">
        <f aca="false">D11+D12</f>
        <v>29622.1908096</v>
      </c>
      <c r="E13" s="0" t="n">
        <f aca="false">E11+E12</f>
        <v>33689.629039104</v>
      </c>
      <c r="F13" s="0" t="n">
        <f aca="false">F11+F12</f>
        <v>37499.6656399104</v>
      </c>
      <c r="G13" s="0" t="n">
        <f aca="false">G11+G12</f>
        <v>40992.3560168529</v>
      </c>
      <c r="H13" s="0" t="n">
        <f aca="false">H11+H12</f>
        <v>44107.3535589048</v>
      </c>
      <c r="I13" s="0" t="n">
        <f aca="false">I11+I12</f>
        <v>47635.9418436172</v>
      </c>
      <c r="J13" s="0" t="n">
        <f aca="false">J11+J12</f>
        <v>50439.5155042051</v>
      </c>
      <c r="K13" s="0" t="n">
        <f aca="false">K11+K12</f>
        <v>52762.3879287409</v>
      </c>
      <c r="L13" s="0" t="n">
        <f aca="false">L11+L12</f>
        <v>55400.5073251779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19</v>
      </c>
      <c r="D14" s="4" t="n">
        <f aca="false">Assumptions!D47</f>
        <v>19</v>
      </c>
      <c r="E14" s="4" t="n">
        <f aca="false">Assumptions!E47</f>
        <v>19.5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20092.75375392</v>
      </c>
      <c r="D15" s="0" t="n">
        <f aca="false">D13-MAX(0,D13)*D14/100</f>
        <v>23993.974555776</v>
      </c>
      <c r="E15" s="0" t="n">
        <f aca="false">E13-MAX(0,E13)*E14/100</f>
        <v>27120.1513764787</v>
      </c>
      <c r="F15" s="0" t="n">
        <f aca="false">F13-MAX(0,F13)*F14/100</f>
        <v>29999.7325119283</v>
      </c>
      <c r="G15" s="0" t="n">
        <f aca="false">G13-MAX(0,G13)*G14/100</f>
        <v>32793.8848134823</v>
      </c>
      <c r="H15" s="0" t="n">
        <f aca="false">H13-MAX(0,H13)*H14/100</f>
        <v>35285.8828471238</v>
      </c>
      <c r="I15" s="0" t="n">
        <f aca="false">I13-MAX(0,I13)*I14/100</f>
        <v>38108.7534748938</v>
      </c>
      <c r="J15" s="0" t="n">
        <f aca="false">J13-MAX(0,J13)*J14/100</f>
        <v>40351.6124033641</v>
      </c>
      <c r="K15" s="0" t="n">
        <f aca="false">K13-MAX(0,K13)*K14/100</f>
        <v>42209.9103429927</v>
      </c>
      <c r="L15" s="0" t="n">
        <f aca="false">L13-MAX(0,L13)*L14/100</f>
        <v>44320.4058601423</v>
      </c>
    </row>
    <row r="16" customFormat="false" ht="15" hidden="false" customHeight="false" outlineLevel="0" collapsed="false">
      <c r="A16" s="0" t="s">
        <v>117</v>
      </c>
      <c r="C16" s="0" t="n">
        <f aca="false">-C12</f>
        <v>4104.134016</v>
      </c>
      <c r="D16" s="0" t="n">
        <f aca="false">-D12</f>
        <v>5069.812608</v>
      </c>
      <c r="E16" s="0" t="n">
        <f aca="false">-E12</f>
        <v>6133.024737792</v>
      </c>
      <c r="F16" s="0" t="n">
        <f aca="false">-F12</f>
        <v>7120.189678464</v>
      </c>
      <c r="G16" s="0" t="n">
        <f aca="false">-G12</f>
        <v>8008.78935033631</v>
      </c>
      <c r="H16" s="0" t="n">
        <f aca="false">-H12</f>
        <v>8729.58039186658</v>
      </c>
      <c r="I16" s="0" t="n">
        <f aca="false">-I12</f>
        <v>9427.9468232159</v>
      </c>
      <c r="J16" s="0" t="n">
        <f aca="false">-J12</f>
        <v>9955.16753372469</v>
      </c>
      <c r="K16" s="0" t="n">
        <f aca="false">-K12</f>
        <v>10552.4775857482</v>
      </c>
      <c r="L16" s="0" t="n">
        <f aca="false">-L12</f>
        <v>11080.1014650356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-8328.977856</v>
      </c>
      <c r="D17" s="4" t="n">
        <f aca="false">-D6*Assumptions!D46/100</f>
        <v>-9777.495744</v>
      </c>
      <c r="E17" s="4" t="n">
        <f aca="false">-E6*Assumptions!E46/100</f>
        <v>-10501.754688</v>
      </c>
      <c r="F17" s="4" t="n">
        <f aca="false">-F6*Assumptions!F46/100</f>
        <v>-10917.6241736448</v>
      </c>
      <c r="G17" s="4" t="n">
        <f aca="false">-G6*Assumptions!G46/100</f>
        <v>-11064.7747603331</v>
      </c>
      <c r="H17" s="4" t="n">
        <f aca="false">-H6*Assumptions!H46/100</f>
        <v>-10911.9754898332</v>
      </c>
      <c r="I17" s="4" t="n">
        <f aca="false">-I6*Assumptions!I46/100</f>
        <v>-11164.6738695978</v>
      </c>
      <c r="J17" s="4" t="n">
        <f aca="false">-J6*Assumptions!J46/100</f>
        <v>-11282.523204888</v>
      </c>
      <c r="K17" s="4" t="n">
        <f aca="false">-K6*Assumptions!K46/100</f>
        <v>-11959.4745971813</v>
      </c>
      <c r="L17" s="4" t="n">
        <f aca="false">-L6*Assumptions!L46/100</f>
        <v>-12557.4483270403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-2540.1168</v>
      </c>
      <c r="D18" s="4" t="n">
        <f aca="false">(D6-C6)*Assumptions!$B$51/100</f>
        <v>-1810.64736</v>
      </c>
      <c r="E18" s="4" t="n">
        <f aca="false">(E6-D6)*Assumptions!$B$51/100</f>
        <v>-1738.2214656</v>
      </c>
      <c r="F18" s="4" t="n">
        <f aca="false">(F6-E6)*Assumptions!$B$51/100</f>
        <v>-1638.273731328</v>
      </c>
      <c r="G18" s="4" t="n">
        <f aca="false">(G6-F6)*Assumptions!$B$51/100</f>
        <v>-1566.44172926208</v>
      </c>
      <c r="H18" s="4" t="n">
        <f aca="false">(H6-G6)*Assumptions!$B$51/100</f>
        <v>-1422.61389775711</v>
      </c>
      <c r="I18" s="4" t="n">
        <f aca="false">(I6-H6)*Assumptions!$B$51/100</f>
        <v>-1378.35479871578</v>
      </c>
      <c r="J18" s="4" t="n">
        <f aca="false">(J6-I6)*Assumptions!$B$51/100</f>
        <v>-1302.54528478641</v>
      </c>
      <c r="K18" s="4" t="n">
        <f aca="false">(K6-J6)*Assumptions!$B$51/100</f>
        <v>-1194.62010404696</v>
      </c>
      <c r="L18" s="4" t="n">
        <f aca="false">(L6-K6)*Assumptions!$B$51/100</f>
        <v>-1055.24775857482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13327.79311392</v>
      </c>
      <c r="D19" s="0" t="n">
        <f aca="false">D15+D16+D17+D18</f>
        <v>17475.644059776</v>
      </c>
      <c r="E19" s="0" t="n">
        <f aca="false">E15+E16+E17+E18</f>
        <v>21013.1999606707</v>
      </c>
      <c r="F19" s="0" t="n">
        <f aca="false">F15+F16+F17+F18</f>
        <v>24564.0242854195</v>
      </c>
      <c r="G19" s="0" t="n">
        <f aca="false">G15+G16+G17+G18</f>
        <v>28171.4576742235</v>
      </c>
      <c r="H19" s="0" t="n">
        <f aca="false">H15+H16+H17+H18</f>
        <v>31680.8738514001</v>
      </c>
      <c r="I19" s="0" t="n">
        <f aca="false">I15+I16+I17+I18</f>
        <v>34993.6716297961</v>
      </c>
      <c r="J19" s="0" t="n">
        <f aca="false">J15+J16+J17+J18</f>
        <v>37721.7114474144</v>
      </c>
      <c r="K19" s="0" t="n">
        <f aca="false">K15+K16+K17+K18</f>
        <v>39608.2932275126</v>
      </c>
      <c r="L19" s="0" t="n">
        <f aca="false">L15+L16+L17+L18</f>
        <v>41787.8112395628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12227.3331320367</v>
      </c>
      <c r="D21" s="0" t="n">
        <f aca="false">D19*D20</f>
        <v>14708.8999745611</v>
      </c>
      <c r="E21" s="0" t="n">
        <f aca="false">E19*E20</f>
        <v>16226.0458728497</v>
      </c>
      <c r="F21" s="0" t="n">
        <f aca="false">F19*F20</f>
        <v>17401.7740890089</v>
      </c>
      <c r="G21" s="0" t="n">
        <f aca="false">G19*G20</f>
        <v>18309.5145402532</v>
      </c>
      <c r="H21" s="0" t="n">
        <f aca="false">H19*H20</f>
        <v>18890.269964572</v>
      </c>
      <c r="I21" s="0" t="n">
        <f aca="false">I19*I20</f>
        <v>19142.7367343005</v>
      </c>
      <c r="J21" s="0" t="n">
        <f aca="false">J19*J20</f>
        <v>18931.2549870035</v>
      </c>
      <c r="K21" s="0" t="n">
        <f aca="false">K19*K20</f>
        <v>18236.7585011742</v>
      </c>
      <c r="L21" s="0" t="n">
        <f aca="false">L19*L20</f>
        <v>17651.6230641084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171726.210859868</v>
      </c>
    </row>
    <row r="31" customFormat="false" ht="15" hidden="false" customHeight="false" outlineLevel="0" collapsed="false">
      <c r="A31" s="0" t="s">
        <v>126</v>
      </c>
      <c r="B31" s="0" t="n">
        <f aca="false">L19</f>
        <v>41787.8112395628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717357.426279161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752180.60231213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717357.426279161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303019.529267195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474745.740127063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521479.740127063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202.622477261624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0.0327343387442618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6652.21558776754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10712.8116407594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209.369709347577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358678.71313958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102.125825739675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84.3329184135965</v>
      </c>
      <c r="C4" s="0" t="n">
        <f aca="false">B4/Assumptions!$B$2-1</f>
        <v>-0.570168611551496</v>
      </c>
      <c r="D4" s="4" t="n">
        <f aca="false">Assumptions!$B$24</f>
        <v>0.3</v>
      </c>
      <c r="E4" s="4" t="n">
        <f aca="false">DCF_Bear!$B$43</f>
        <v>87.4988225892974</v>
      </c>
      <c r="F4" s="4" t="n">
        <f aca="false">DCF_Bear!$B$47</f>
        <v>55.711870120804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150.377672076945</v>
      </c>
      <c r="C5" s="0" t="n">
        <f aca="false">B5/Assumptions!$B$2-1</f>
        <v>-0.23354907198295</v>
      </c>
      <c r="D5" s="4" t="n">
        <f aca="false">Assumptions!$B$38</f>
        <v>0.45</v>
      </c>
      <c r="E5" s="4" t="n">
        <f aca="false">DCF_Base!$B$43</f>
        <v>155.51478971704</v>
      </c>
      <c r="F5" s="4" t="n">
        <f aca="false">DCF_Base!$B$47</f>
        <v>82.6069488702305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202.622477261624</v>
      </c>
      <c r="C6" s="0" t="n">
        <f aca="false">B6/Assumptions!$B$2-1</f>
        <v>0.0327343387442618</v>
      </c>
      <c r="D6" s="4" t="n">
        <f aca="false">Assumptions!$B$52</f>
        <v>0.25</v>
      </c>
      <c r="E6" s="4" t="n">
        <f aca="false">DCF_Bull!$B$43</f>
        <v>209.369709347577</v>
      </c>
      <c r="F6" s="4" t="n">
        <f aca="false">DCF_Bull!$B$47</f>
        <v>102.125825739675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143.62544727411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148.573729486351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-0.366053187117675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1062.48088671725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79.4181444627636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150.377672076945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131.401421118516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116.948208111334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105.586344049393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82.6069488702305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173.552122250931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173.552122250931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173.552122250931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173.552122250931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173.552122250931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159.926611022204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162.017599742261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162.017599742261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162.017599742261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162.017599742261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139.292319993946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144.43909060391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150.377672076945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151.521802452484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151.521802452484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123.59326950989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127.253340576434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131.401421118516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136.142084595182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141.612080914412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111.266050803924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113.949291754645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116.948208111334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120.32198901261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124.145607367388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2026-10-18T03:01:47Z</dcterms:created>
  <dc:creator>openpyxl</dc:creator>
  <dc:description/>
  <dc:language>en-NZ</dc:language>
  <cp:lastModifiedBy/>
  <dcterms:modified xsi:type="dcterms:W3CDTF">2026-10-18T03:01:47Z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