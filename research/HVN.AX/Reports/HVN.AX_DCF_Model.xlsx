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<sst xmlns="http://schemas.openxmlformats.org/spreadsheetml/2006/main" count="366" uniqueCount="167">
  <si>
    <t xml:space="preserve">Ticker</t>
  </si>
  <si>
    <t xml:space="preserve">HVN.AX</t>
  </si>
  <si>
    <t xml:space="preserve">Company</t>
  </si>
  <si>
    <t xml:space="preserve">Harvey Norman Holdings Limited</t>
  </si>
  <si>
    <t xml:space="preserve">Valuation date</t>
  </si>
  <si>
    <t xml:space="preserve">2026-09-23</t>
  </si>
  <si>
    <t xml:space="preserve">Current price</t>
  </si>
  <si>
    <t xml:space="preserve">Price as of</t>
  </si>
  <si>
    <t xml:space="preserve">2026-09-23T02:08:22Z (regular ASX session, ~12:08 AEST)</t>
  </si>
  <si>
    <t xml:space="preserve">Balance sheet date</t>
  </si>
  <si>
    <t xml:space="preserve">2026-06-30</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</si>
  <si>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</si>
  <si>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</si>
  <si>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</si>
  <si>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</si>
  <si>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</si>
  <si>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</si>
  <si>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</si>
  <si>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</si>
  <si>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</si>
  <si>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</si>
  <si>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2026-09-23T02:34:58Z</t>
  </si>
  <si>
    <t xml:space="preserve">Drivers file</t>
  </si>
  <si>
    <t xml:space="preserve">HVN.AX_Drivers.json</t>
  </si>
  <si>
    <t xml:space="preserve">Convention</t>
  </si>
  <si>
    <t xml:space="preserve">Percents stored as percents; formulas divide by 100. Blue = input, green = link, black = formula.</t>
  </si>
  <si>
    <t xml:space="preserve">Methodology</t>
  </si>
  <si>
    <t xml:space="preserve">summary: Owner-FCF component DCF on an unlevered, ex-lease, ex-revaluation basis. The consolidated EBITDA is cleaned of $170.7m of non-cash fair-value gains, $14.2m interest income and the $18.8m one-off ASIC penalty, and restated pre-AASB16 so that the full $226m lease cash can be charged once inside EBIT with lease liabilities kept out of net debt. Property is valued through the rent it earns (in the flows) and charged for the capex it consumes; the ~$155m/yr of revaluation gains are treated as marks, not cash. This is deliberately harsher than the market's usual lens for HVN (price ~1.1x NTA of $3.79/share basic, $4.37 including right-of-use assets), because appreciation on large-format retail property is a cap-rate bet the cash flows do not have to fund. A reader who believes the property book is worth its independent valuations should read the NTA as the asset-backing floor and the house DCF as what the operating cash flows alone support; the gap between the two is the price of the property thesis.
asset_backing_reference: Net tangible assets $4,717m at 30-Jun-2026 (FY26 AR p.4-5) = $3.79/share on 1,246.0m shares; freehold investment property $4,191.7m and owner-occupied land and buildings $596.8m at independent/directors' valuation. Not added to the bridge: the rent those assets earn is already in the flows.
key_risks_to_valuation: Consumer discretionary and interest-rate sensitivity: a further RBA move or housing-turnover slump pushes FY27-28 toward the bear path (July-2026 Australian franchisee sales -3.4%).; Revaluation dependence in reported earnings: $156.75m of the $790.3m FY26 PBT is a non-cash property mark; cap-rate expansion would hit reported EPS and NTA even though this model excludes it.; UK expansion loss (-$31.2m FY26, +33.5% YoY) with no stated breakeven; the bear case assumes it widens.; Property capex charged in full (6.5% of revenue tapering to 5%) while revaluation gains are excluded: if property spend continues at the FY23-26 pace without tapering, value is ~$0.30-0.40/share lower; if it stops, higher.; The 10% buyback authorisation ($900.9m) has never been executed; value is not credited for it, and a genuine execution at current prices would be accretive to the per-share figures here.; Regulatory: $35m Federal Court penalty and adverse-publicity order over interest-free finance advertising; promotional credit is a historically important sales driver.; GST/working-capital timing: FY26 OCF fell $157m on a $106m GST-payment swing; the model normalises this, so a structural rise in working capital would lower the flows.</t>
  </si>
  <si>
    <t xml:space="preserve">Data sources</t>
  </si>
  <si>
    <t xml:space="preserve">price: Yahoo Finance chart API at inputs.price_as_of; 52-week range 4.04-7.70 AUD
financials: HVN.AX_Metrics.csv and kpis (core_metrics from FY2015-FY2026 annual and half-year reports, AUD millions); FY2026 Annual Report (28 Aug 2026) for the income statement, note 3 revenue and other income, note 4 expenses, cash flow statement, AASB16 impact table, note 6 diluted shares, note 8 other financial assets, note 22 NCI, net-debt note
qualitative: HVN.AX_Analysis.json (2026-09-23); FY2026 Directors' Report Outlook and Retail Trading Update (July-2026 sales by country, August written sales +3.8%)</t>
  </si>
  <si>
    <t xml:space="preserve">Scenario narrative: bear</t>
  </si>
  <si>
    <t xml:space="preserve">Higher-for-longer rates and a soft housing market cut Australian franchisee sales for two years (-2%, 0%): franchising PBT, which fell 15.1% in 2H26, keeps falling and franchisee financial-accommodation losses rise; the UK loss widens rather than closes; Amazon/JB Hi-Fi/Temu take share from a weaker online proposition; the ASIC adverse-publicity order blunts promotional-finance campaigns. Margin troughs at 21.5% (below the FY24 trough of 22.5%), lease cost creeps to 5.6% of revenue as sales deleverage, and the terminal cap is 12x. No solvency risk: net debt/equity 18.8% with $4.8bn of freehold property; the bear case is an earnings and multiple case, not a balance-sheet case.</t>
  </si>
  <si>
    <t xml:space="preserve">Scenario narrative: base</t>
  </si>
  <si>
    <t xml:space="preserve">The rate cycle stalls the big-ticket consumer for one more year (FY27 revenue +1.5%: July-2026 Australian franchisee sales -3.4%, NZ -4.4%, Singapore -5.4%) before housing turnover and the AI-device replacement cycle (Copilot+ PCs, AI mobiles) restore 3-3.5% growth from FY28. Clean pre-lease EBITDA margin dips to 23.3% on inflation in freight/energy and a widening UK loss, then recovers to the 24.0% mid-cycle level. Property capex stays elevated near-term (one new complex, three freehold relocations, East Zagreb land) then tapers to 5% of revenue. Rent from franchisees and external tenants (~$466m) is the property portfolio's contribution to value; the ~$155m/yr of revaluation gains are excluded as non-cash marks.</t>
  </si>
  <si>
    <t xml:space="preserve">Scenario narrative: bull</t>
  </si>
  <si>
    <t xml:space="preserve">Consumer confidence recovers faster as the RBA pauses; the AI device cycle and technology categories carry Australian franchisee sales to +3.5% in FY27 and 5% in FY28-29; Established International (NZ, Ireland, Singapore/Malaysia, Slovenia/Croatia, +25.2% PBT in FY26) keeps compounding and the UK reaches breakeven by FY29 as the West Midlands cluster fills out. Margin expands to 25.0% (the FY23 level was 25.2%), tax edges lower on the overseas mix, and the terminal cap is 15x. Even in this case the company does not execute the authorised buyback.</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</si>
  <si>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</si>
  <si>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</si>
  <si>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</si>
  <si>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</si>
  <si>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</si>
  <si>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</si>
  <si>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</si>
  <si>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</si>
  <si>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</si>
  <si>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</si>
  <si>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</si>
  <si>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</si>
  <si>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</si>
  <si>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</si>
  <si>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</si>
  <si>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</si>
  <si>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</si>
  <si>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</si>
  <si>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</si>
  <si>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</si>
  <si>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</si>
  <si>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</si>
  <si>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</si>
  <si>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</si>
  <si>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</si>
  <si>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</si>
  <si>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</si>
  <si>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</si>
  <si>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</si>
  <si>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</si>
  <si>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</si>
  <si>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</si>
  <si>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</si>
  <si>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</si>
  <si>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</si>
  <si>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</si>
  <si>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</si>
  <si>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</si>
  <si>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</si>
  <si>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</si>
  <si>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</si>
  <si>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</si>
  <si>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</si>
  <si>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</si>
  <si>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</si>
  <si>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</si>
  <si>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</si>
  <si>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</si>
  <si>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</si>
  <si>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</si>
  <si>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</si>
  <si>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</si>
  <si>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</si>
  <si>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</si>
  <si>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</si>
  <si>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</si>
  <si>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</si>
  <si>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</si>
  <si>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</si>
  <si>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</si>
  <si>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</si>
  <si>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</si>
  <si>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</si>
  <si>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</si>
  <si>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</si>
  <si>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</si>
  <si>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</si>
  <si>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</si>
  <si>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</si>
  <si>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</si>
  <si>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</si>
  <si>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</si>
  <si>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</si>
  <si>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</si>
  <si>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</si>
  <si>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</si>
  <si>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HVN.AX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</si>
  <si>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</si>
  <si>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</si>
  <si>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</si>
  <si>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</si>
  <si>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</si>
  <si>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</si>
  <si>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</si>
  <si>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</si>
  <si>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</si>
  <si>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</si>
  <si>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</si>
  <si>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</si>
  <si>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</si>
  <si>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</si>
  <si>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</si>
  <si>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</si>
  <si>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</si>
  <si>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</si>
  <si>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</si>
  <si>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</si>
  <si>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</si>
  <si>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</si>
  <si>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</si>
  <si>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</si>
  <si>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</si>
  <si>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</si>
  <si>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</si>
  <si>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</si>
  <si>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</si>
  <si>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</si>
  <si>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HVN.AX owner-FCF component DCF: base case (millions, AUD)</t>
  </si>
  <si>
    <t xml:space="preserve">HVN.AX owner-FCF component DCF: bull case (millions, AUD)</t>
  </si>
  <si>
    <t xml:space="preserve">HVN.AX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</si>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</sst>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2580.961</v>
      </c>
      <c r="C2" s="0" t="n">
        <v>1126.894</v>
      </c>
      <c r="D2" s="0" t="n">
        <v>490.257</v>
      </c>
      <c r="E2" s="0" t="n">
        <v>30.3</v>
      </c>
      <c r="F2" s="0" t="n">
        <v>410.972</v>
      </c>
      <c r="G2" s="0" t="n">
        <v>15.9</v>
      </c>
      <c r="H2" s="0" t="n">
        <v>488.418</v>
      </c>
      <c r="I2" s="0" t="n">
        <v>268.095</v>
      </c>
      <c r="J2" s="0" t="n">
        <v>10.4</v>
      </c>
      <c r="K2" s="0" t="n">
        <v>0.2448</v>
      </c>
      <c r="L2" s="0" t="n">
        <v>340.448</v>
      </c>
      <c r="M2" s="0" t="n">
        <v>70.84</v>
      </c>
      <c r="N2" s="0" t="n">
        <v>269.608</v>
      </c>
      <c r="O2" s="0" t="n">
        <v>2556.86</v>
      </c>
      <c r="P2" s="0" t="n">
        <v>4326.661</v>
      </c>
      <c r="Q2" s="0" t="n">
        <v>1769.801</v>
      </c>
      <c r="R2" s="0" t="n">
        <v>698.438</v>
      </c>
      <c r="S2" s="0" t="n">
        <v>185.84</v>
      </c>
      <c r="T2" s="0" t="n">
        <v>1095.1</v>
      </c>
      <c r="U2" s="0" t="n">
        <v>4.246</v>
      </c>
      <c r="V2" s="0" t="n">
        <v>0.34</v>
      </c>
      <c r="AA2" s="0" t="s">
        <v>17</v>
      </c>
      <c r="AB2" s="0" t="s">
        <v>14</v>
      </c>
    </row>
    <row r="3" customFormat="false" ht="15" hidden="false" customHeight="false" outlineLevel="0" collapsed="false">
      <c r="A3" s="0" t="s">
        <v>64</v>
      </c>
      <c r="B3" s="0" t="n">
        <v>2825.978</v>
      </c>
      <c r="C3" s="0" t="n">
        <v>1231.933</v>
      </c>
      <c r="D3" s="0" t="n">
        <v>563.826</v>
      </c>
      <c r="E3" s="0" t="n">
        <v>31.4</v>
      </c>
      <c r="F3" s="0" t="n">
        <v>522.469</v>
      </c>
      <c r="G3" s="0" t="n">
        <v>18.5</v>
      </c>
      <c r="H3" s="0" t="n">
        <v>601.016</v>
      </c>
      <c r="I3" s="0" t="n">
        <v>348.605</v>
      </c>
      <c r="J3" s="0" t="n">
        <v>12.3</v>
      </c>
      <c r="K3" s="0" t="n">
        <v>0.3133</v>
      </c>
      <c r="L3" s="0" t="n">
        <v>437.691</v>
      </c>
      <c r="M3" s="0" t="n">
        <v>132.493</v>
      </c>
      <c r="N3" s="0" t="n">
        <v>305.198</v>
      </c>
      <c r="O3" s="0" t="n">
        <v>2688.674</v>
      </c>
      <c r="P3" s="0" t="n">
        <v>4431.8</v>
      </c>
      <c r="Q3" s="0" t="n">
        <v>1743.126</v>
      </c>
      <c r="R3" s="0" t="n">
        <v>654.077</v>
      </c>
      <c r="S3" s="0" t="n">
        <v>139.874</v>
      </c>
      <c r="T3" s="0" t="n">
        <v>1112.7</v>
      </c>
      <c r="U3" s="0" t="n">
        <v>3.628</v>
      </c>
      <c r="V3" s="0" t="n">
        <v>0.3</v>
      </c>
      <c r="AA3" s="0" t="s">
        <v>17</v>
      </c>
      <c r="AB3" s="0" t="s">
        <v>14</v>
      </c>
    </row>
    <row r="4" customFormat="false" ht="15" hidden="false" customHeight="false" outlineLevel="0" collapsed="false">
      <c r="A4" s="0" t="s">
        <v>65</v>
      </c>
      <c r="B4" s="0" t="n">
        <v>2876.199</v>
      </c>
      <c r="C4" s="0" t="n">
        <v>1235.602</v>
      </c>
      <c r="D4" s="0" t="n">
        <v>597.521</v>
      </c>
      <c r="E4" s="0" t="n">
        <v>32.6</v>
      </c>
      <c r="F4" s="0" t="n">
        <v>659.878</v>
      </c>
      <c r="G4" s="0" t="n">
        <v>22.9</v>
      </c>
      <c r="H4" s="0" t="n">
        <v>737.747</v>
      </c>
      <c r="I4" s="0" t="n">
        <v>448.976</v>
      </c>
      <c r="J4" s="0" t="n">
        <v>15.6</v>
      </c>
      <c r="K4" s="0" t="n">
        <v>0.403</v>
      </c>
      <c r="L4" s="0" t="n">
        <v>425.14</v>
      </c>
      <c r="M4" s="0" t="n">
        <v>204.118</v>
      </c>
      <c r="N4" s="0" t="n">
        <v>221.022</v>
      </c>
      <c r="O4" s="0" t="n">
        <v>2812.907</v>
      </c>
      <c r="P4" s="0" t="n">
        <v>4189.744</v>
      </c>
      <c r="Q4" s="0" t="n">
        <v>1376.837</v>
      </c>
      <c r="R4" s="0" t="n">
        <v>720.509</v>
      </c>
      <c r="S4" s="0" t="n">
        <v>80.224</v>
      </c>
      <c r="T4" s="0" t="n">
        <v>1114</v>
      </c>
      <c r="U4" s="0" t="n">
        <v>4.992</v>
      </c>
      <c r="V4" s="0" t="n">
        <v>0.26</v>
      </c>
      <c r="AA4" s="0" t="s">
        <v>17</v>
      </c>
      <c r="AB4" s="0" t="s">
        <v>14</v>
      </c>
    </row>
    <row r="5" customFormat="false" ht="15" hidden="false" customHeight="false" outlineLevel="0" collapsed="false">
      <c r="A5" s="0" t="s">
        <v>66</v>
      </c>
      <c r="B5" s="0" t="n">
        <v>2959.232</v>
      </c>
      <c r="C5" s="0" t="n">
        <v>1326.339</v>
      </c>
      <c r="D5" s="0" t="n">
        <v>667.421</v>
      </c>
      <c r="E5" s="0" t="n">
        <v>33.5</v>
      </c>
      <c r="F5" s="0" t="n">
        <v>556.516</v>
      </c>
      <c r="G5" s="0" t="n">
        <v>18.8</v>
      </c>
      <c r="H5" s="0" t="n">
        <v>641.307</v>
      </c>
      <c r="I5" s="0" t="n">
        <v>375.378</v>
      </c>
      <c r="J5" s="0" t="n">
        <v>12.7</v>
      </c>
      <c r="K5" s="0" t="n">
        <v>0.3367</v>
      </c>
      <c r="L5" s="0" t="n">
        <v>454.17</v>
      </c>
      <c r="M5" s="0" t="n">
        <v>219.556</v>
      </c>
      <c r="N5" s="0" t="n">
        <v>234.614</v>
      </c>
      <c r="O5" s="0" t="n">
        <v>2937.932</v>
      </c>
      <c r="P5" s="0" t="n">
        <v>4577.642</v>
      </c>
      <c r="Q5" s="0" t="n">
        <v>1639.71</v>
      </c>
      <c r="R5" s="0" t="n">
        <v>925.394</v>
      </c>
      <c r="S5" s="0" t="n">
        <v>170.544</v>
      </c>
      <c r="T5" s="0" t="n">
        <v>1114.7</v>
      </c>
      <c r="U5" s="0" t="n">
        <v>4.173</v>
      </c>
      <c r="V5" s="0" t="n">
        <v>0.3</v>
      </c>
      <c r="AA5" s="0" t="s">
        <v>17</v>
      </c>
      <c r="AB5" s="0" t="s">
        <v>14</v>
      </c>
    </row>
    <row r="6" customFormat="false" ht="15" hidden="false" customHeight="false" outlineLevel="0" collapsed="false">
      <c r="A6" s="0" t="s">
        <v>67</v>
      </c>
      <c r="B6" s="0" t="n">
        <v>3177.766</v>
      </c>
      <c r="C6" s="0" t="n">
        <v>1510.733</v>
      </c>
      <c r="D6" s="0" t="n">
        <v>723.385</v>
      </c>
      <c r="E6" s="0" t="n">
        <v>32.4</v>
      </c>
      <c r="F6" s="0" t="n">
        <v>603.341</v>
      </c>
      <c r="G6" s="0" t="n">
        <v>19</v>
      </c>
      <c r="H6" s="0" t="n">
        <v>688.6</v>
      </c>
      <c r="I6" s="0" t="n">
        <v>402.317</v>
      </c>
      <c r="J6" s="0" t="n">
        <v>12.7</v>
      </c>
      <c r="K6" s="0" t="n">
        <v>0.3391</v>
      </c>
      <c r="L6" s="0" t="n">
        <v>372.845</v>
      </c>
      <c r="M6" s="0" t="n">
        <v>122.1</v>
      </c>
      <c r="N6" s="0" t="n">
        <v>250.745</v>
      </c>
      <c r="O6" s="0" t="n">
        <v>3197.793</v>
      </c>
      <c r="P6" s="0" t="n">
        <v>4798.744</v>
      </c>
      <c r="Q6" s="0" t="n">
        <v>1600.951</v>
      </c>
      <c r="R6" s="0" t="n">
        <v>841.521</v>
      </c>
      <c r="S6" s="0" t="n">
        <v>215.048</v>
      </c>
      <c r="T6" s="0" t="n">
        <v>1160.6</v>
      </c>
      <c r="U6" s="0" t="n">
        <v>3.175</v>
      </c>
      <c r="V6" s="0" t="n">
        <v>0.33</v>
      </c>
      <c r="AA6" s="0" t="s">
        <v>17</v>
      </c>
      <c r="AB6" s="0" t="s">
        <v>14</v>
      </c>
    </row>
    <row r="7" customFormat="false" ht="15" hidden="false" customHeight="false" outlineLevel="0" collapsed="false">
      <c r="A7" s="0" t="s">
        <v>68</v>
      </c>
      <c r="B7" s="0" t="n">
        <v>3350.779</v>
      </c>
      <c r="C7" s="0" t="n">
        <v>1555.271</v>
      </c>
      <c r="D7" s="0" t="n">
        <v>739.642</v>
      </c>
      <c r="E7" s="0" t="n">
        <v>32.2</v>
      </c>
      <c r="F7" s="0" t="n">
        <v>721.082</v>
      </c>
      <c r="G7" s="0" t="n">
        <v>21.5</v>
      </c>
      <c r="H7" s="0" t="n">
        <v>870.467</v>
      </c>
      <c r="I7" s="0" t="n">
        <v>480.541</v>
      </c>
      <c r="J7" s="0" t="n">
        <v>14.3</v>
      </c>
      <c r="K7" s="0" t="n">
        <v>0.3915</v>
      </c>
      <c r="L7" s="0" t="n">
        <v>1056.964</v>
      </c>
      <c r="M7" s="0" t="n">
        <v>145.379</v>
      </c>
      <c r="N7" s="0" t="n">
        <v>911.585</v>
      </c>
      <c r="O7" s="0" t="n">
        <v>3477.325</v>
      </c>
      <c r="P7" s="0" t="n">
        <v>5828.602</v>
      </c>
      <c r="Q7" s="0" t="n">
        <v>2351.277</v>
      </c>
      <c r="R7" s="0" t="n">
        <v>297.841</v>
      </c>
      <c r="S7" s="0" t="n">
        <v>313.195</v>
      </c>
      <c r="T7" s="0" t="n">
        <v>1227.5</v>
      </c>
      <c r="U7" s="0" t="n">
        <v>3.449</v>
      </c>
      <c r="V7" s="0" t="n">
        <v>0.24</v>
      </c>
      <c r="AA7" s="0" t="s">
        <v>17</v>
      </c>
      <c r="AB7" s="0" t="s">
        <v>14</v>
      </c>
    </row>
    <row r="8" customFormat="false" ht="15" hidden="false" customHeight="false" outlineLevel="0" collapsed="false">
      <c r="A8" s="0" t="s">
        <v>69</v>
      </c>
      <c r="B8" s="0" t="n">
        <v>4114.11</v>
      </c>
      <c r="C8" s="0" t="n">
        <v>1838.365</v>
      </c>
      <c r="D8" s="0" t="n">
        <v>929.963</v>
      </c>
      <c r="E8" s="0" t="n">
        <v>33.6</v>
      </c>
      <c r="F8" s="0" t="n">
        <v>1232.742</v>
      </c>
      <c r="G8" s="0" t="n">
        <v>30</v>
      </c>
      <c r="H8" s="0" t="n">
        <v>1383.06</v>
      </c>
      <c r="I8" s="0" t="n">
        <v>841.414</v>
      </c>
      <c r="J8" s="0" t="n">
        <v>20.5</v>
      </c>
      <c r="K8" s="0" t="n">
        <v>0.6745</v>
      </c>
      <c r="L8" s="0" t="n">
        <v>543.869</v>
      </c>
      <c r="M8" s="0" t="n">
        <v>274.122</v>
      </c>
      <c r="N8" s="0" t="n">
        <v>269.747</v>
      </c>
      <c r="O8" s="0" t="n">
        <v>3893.019</v>
      </c>
      <c r="P8" s="0" t="n">
        <v>6672.934</v>
      </c>
      <c r="Q8" s="0" t="n">
        <v>2779.915</v>
      </c>
      <c r="R8" s="0" t="n">
        <v>559.969</v>
      </c>
      <c r="S8" s="0" t="n">
        <v>264.431</v>
      </c>
      <c r="T8" s="0" t="n">
        <v>1247.5</v>
      </c>
      <c r="U8" s="0" t="n">
        <v>5.648</v>
      </c>
      <c r="V8" s="0" t="n">
        <v>0.35</v>
      </c>
      <c r="AA8" s="0" t="s">
        <v>17</v>
      </c>
      <c r="AB8" s="0" t="s">
        <v>14</v>
      </c>
    </row>
    <row r="9" customFormat="false" ht="15" hidden="false" customHeight="false" outlineLevel="0" collapsed="false">
      <c r="A9" s="0" t="s">
        <v>70</v>
      </c>
      <c r="B9" s="0" t="n">
        <v>4108.471</v>
      </c>
      <c r="C9" s="0" t="n">
        <v>1871.051</v>
      </c>
      <c r="D9" s="0" t="n">
        <v>936.278</v>
      </c>
      <c r="E9" s="0" t="n">
        <v>33.4</v>
      </c>
      <c r="F9" s="0" t="n">
        <v>1192.591</v>
      </c>
      <c r="G9" s="0" t="n">
        <v>29</v>
      </c>
      <c r="H9" s="0" t="n">
        <v>1348.996</v>
      </c>
      <c r="I9" s="0" t="n">
        <v>811.527</v>
      </c>
      <c r="J9" s="0" t="n">
        <v>19.8</v>
      </c>
      <c r="K9" s="0" t="n">
        <v>0.6504</v>
      </c>
      <c r="L9" s="0" t="n">
        <v>597.3</v>
      </c>
      <c r="M9" s="0" t="n">
        <v>176.073</v>
      </c>
      <c r="N9" s="0" t="n">
        <v>421.227</v>
      </c>
      <c r="O9" s="0" t="n">
        <v>4294.124</v>
      </c>
      <c r="P9" s="0" t="n">
        <v>7246.403</v>
      </c>
      <c r="Q9" s="0" t="n">
        <v>2952.279</v>
      </c>
      <c r="R9" s="0" t="n">
        <v>699.575</v>
      </c>
      <c r="S9" s="0" t="n">
        <v>248.804</v>
      </c>
      <c r="T9" s="0" t="n">
        <v>1247.7</v>
      </c>
      <c r="U9" s="0" t="n">
        <v>7.326</v>
      </c>
      <c r="V9" s="0" t="n">
        <v>0.375</v>
      </c>
      <c r="AA9" s="0" t="s">
        <v>17</v>
      </c>
      <c r="AB9" s="0" t="s">
        <v>14</v>
      </c>
    </row>
    <row r="10" customFormat="false" ht="15" hidden="false" customHeight="false" outlineLevel="0" collapsed="false">
      <c r="A10" s="0" t="s">
        <v>71</v>
      </c>
      <c r="B10" s="0" t="n">
        <v>3947.213</v>
      </c>
      <c r="C10" s="0" t="n">
        <v>1884.104</v>
      </c>
      <c r="D10" s="0" t="n">
        <v>891.966</v>
      </c>
      <c r="E10" s="0" t="n">
        <v>32.1</v>
      </c>
      <c r="F10" s="0" t="n">
        <v>867.738</v>
      </c>
      <c r="G10" s="0" t="n">
        <v>22</v>
      </c>
      <c r="H10" s="0" t="n">
        <v>1028.596</v>
      </c>
      <c r="I10" s="0" t="n">
        <v>539.52</v>
      </c>
      <c r="J10" s="0" t="n">
        <v>13.7</v>
      </c>
      <c r="K10" s="0" t="n">
        <v>0.4323</v>
      </c>
      <c r="L10" s="0" t="n">
        <v>680.257</v>
      </c>
      <c r="M10" s="0" t="n">
        <v>325.458</v>
      </c>
      <c r="N10" s="0" t="n">
        <v>354.799</v>
      </c>
      <c r="O10" s="0" t="n">
        <v>4466.489</v>
      </c>
      <c r="P10" s="0" t="n">
        <v>7671.831</v>
      </c>
      <c r="Q10" s="0" t="n">
        <v>3205.342</v>
      </c>
      <c r="R10" s="0" t="n">
        <v>850.361</v>
      </c>
      <c r="S10" s="0" t="n">
        <v>218.75</v>
      </c>
      <c r="T10" s="0" t="n">
        <v>1248</v>
      </c>
      <c r="U10" s="0" t="n">
        <v>7.592</v>
      </c>
      <c r="V10" s="0" t="n">
        <v>0.25</v>
      </c>
      <c r="AA10" s="0" t="s">
        <v>17</v>
      </c>
      <c r="AB10" s="0" t="s">
        <v>14</v>
      </c>
    </row>
    <row r="11" customFormat="false" ht="15" hidden="false" customHeight="false" outlineLevel="0" collapsed="false">
      <c r="A11" s="0" t="s">
        <v>72</v>
      </c>
      <c r="B11" s="0" t="n">
        <v>3882.873</v>
      </c>
      <c r="C11" s="0" t="n">
        <v>1931.016</v>
      </c>
      <c r="D11" s="0" t="n">
        <v>872.342</v>
      </c>
      <c r="E11" s="0" t="n">
        <v>31.1</v>
      </c>
      <c r="F11" s="0" t="n">
        <v>652.67</v>
      </c>
      <c r="G11" s="0" t="n">
        <v>16.8</v>
      </c>
      <c r="H11" s="0" t="n">
        <v>819.131</v>
      </c>
      <c r="I11" s="0" t="n">
        <v>352.453</v>
      </c>
      <c r="J11" s="0" t="n">
        <v>9.1</v>
      </c>
      <c r="K11" s="0" t="n">
        <v>0.2823</v>
      </c>
      <c r="L11" s="0" t="n">
        <v>686.531</v>
      </c>
      <c r="M11" s="0" t="n">
        <v>323.357</v>
      </c>
      <c r="N11" s="0" t="n">
        <v>363.174</v>
      </c>
      <c r="O11" s="0" t="n">
        <v>4536.93</v>
      </c>
      <c r="P11" s="0" t="n">
        <v>7927.867</v>
      </c>
      <c r="Q11" s="0" t="n">
        <v>3390.937</v>
      </c>
      <c r="R11" s="0" t="n">
        <v>944.585</v>
      </c>
      <c r="S11" s="0" t="n">
        <v>273.472</v>
      </c>
      <c r="T11" s="0" t="n">
        <v>1248.5</v>
      </c>
      <c r="U11" s="0" t="n">
        <v>2.835</v>
      </c>
      <c r="V11" s="0" t="n">
        <v>0.22</v>
      </c>
      <c r="AA11" s="0" t="s">
        <v>17</v>
      </c>
      <c r="AB11" s="0" t="s">
        <v>14</v>
      </c>
    </row>
    <row r="12" customFormat="false" ht="15" hidden="false" customHeight="false" outlineLevel="0" collapsed="false">
      <c r="A12" s="0" t="s">
        <v>73</v>
      </c>
      <c r="B12" s="0" t="n">
        <v>4079.465</v>
      </c>
      <c r="C12" s="0" t="n">
        <v>2021.151</v>
      </c>
      <c r="D12" s="0" t="n">
        <v>898</v>
      </c>
      <c r="E12" s="0" t="n">
        <v>30.8</v>
      </c>
      <c r="F12" s="0" t="n">
        <v>870.977</v>
      </c>
      <c r="G12" s="0" t="n">
        <v>21.4</v>
      </c>
      <c r="H12" s="0" t="n">
        <v>1053.433</v>
      </c>
      <c r="I12" s="0" t="n">
        <v>518.016</v>
      </c>
      <c r="J12" s="0" t="n">
        <v>12.7</v>
      </c>
      <c r="K12" s="0" t="n">
        <v>0.415</v>
      </c>
      <c r="L12" s="0" t="n">
        <v>694.302</v>
      </c>
      <c r="M12" s="0" t="n">
        <v>264.847</v>
      </c>
      <c r="N12" s="0" t="n">
        <v>429.455</v>
      </c>
      <c r="O12" s="0" t="n">
        <v>4844.445</v>
      </c>
      <c r="P12" s="0" t="n">
        <v>8373.227</v>
      </c>
      <c r="Q12" s="0" t="n">
        <v>3528.782</v>
      </c>
      <c r="R12" s="0" t="n">
        <v>938.207</v>
      </c>
      <c r="S12" s="0" t="n">
        <v>279.688</v>
      </c>
      <c r="T12" s="0" t="n">
        <v>1248.2</v>
      </c>
      <c r="U12" s="0" t="n">
        <v>3.153</v>
      </c>
      <c r="V12" s="0" t="n">
        <v>0.265</v>
      </c>
      <c r="AA12" s="0" t="s">
        <v>17</v>
      </c>
      <c r="AB12" s="0" t="s">
        <v>14</v>
      </c>
    </row>
    <row r="13" customFormat="false" ht="15" hidden="false" customHeight="false" outlineLevel="0" collapsed="false">
      <c r="A13" s="0" t="s">
        <v>74</v>
      </c>
      <c r="B13" s="0" t="n">
        <v>4266.418</v>
      </c>
      <c r="C13" s="0" t="n">
        <v>2113.034</v>
      </c>
      <c r="D13" s="0" t="n">
        <v>938.811</v>
      </c>
      <c r="E13" s="0" t="n">
        <v>30.8</v>
      </c>
      <c r="F13" s="0" t="n">
        <v>917.016</v>
      </c>
      <c r="G13" s="0" t="n">
        <v>21.5</v>
      </c>
      <c r="H13" s="0" t="n">
        <v>1098.894</v>
      </c>
      <c r="I13" s="0" t="n">
        <v>528.459</v>
      </c>
      <c r="J13" s="0" t="n">
        <v>12.4</v>
      </c>
      <c r="K13" s="0" t="n">
        <v>0.4236</v>
      </c>
      <c r="L13" s="0" t="n">
        <v>537.22</v>
      </c>
      <c r="M13" s="0" t="n">
        <v>283.703</v>
      </c>
      <c r="N13" s="0" t="n">
        <v>253.517</v>
      </c>
      <c r="O13" s="0" t="n">
        <v>4939.978</v>
      </c>
      <c r="P13" s="0" t="n">
        <v>8849.931</v>
      </c>
      <c r="Q13" s="0" t="n">
        <v>3909.953</v>
      </c>
      <c r="R13" s="0" t="n">
        <v>1239.484</v>
      </c>
      <c r="S13" s="0" t="n">
        <v>298.612</v>
      </c>
      <c r="T13" s="0" t="n">
        <v>1247.5</v>
      </c>
      <c r="U13" s="0" t="n">
        <v>2.368</v>
      </c>
      <c r="V13" s="0" t="n">
        <v>0.275</v>
      </c>
      <c r="AA13" s="0" t="s">
        <v>17</v>
      </c>
      <c r="AB13"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4.21</v>
      </c>
    </row>
    <row r="3" customFormat="false" ht="15" hidden="false" customHeight="false" outlineLevel="0" collapsed="false">
      <c r="A3" s="0" t="s">
        <v>78</v>
      </c>
      <c r="B3" s="3" t="n">
        <v>1247.5</v>
      </c>
    </row>
    <row r="4" customFormat="false" ht="15" hidden="false" customHeight="false" outlineLevel="0" collapsed="false">
      <c r="A4" s="0" t="s">
        <v>79</v>
      </c>
      <c r="B4" s="3" t="n">
        <v>940.872</v>
      </c>
    </row>
    <row r="5" customFormat="false" ht="15" hidden="false" customHeight="false" outlineLevel="0" collapsed="false">
      <c r="A5" s="0" t="s">
        <v>80</v>
      </c>
      <c r="B5" s="3" t="n">
        <v>25.422</v>
      </c>
    </row>
    <row r="6" customFormat="false" ht="15" hidden="false" customHeight="false" outlineLevel="0" collapsed="false">
      <c r="A6" s="0" t="s">
        <v>81</v>
      </c>
      <c r="B6" s="3" t="n">
        <v>15</v>
      </c>
    </row>
    <row r="7" customFormat="false" ht="15" hidden="false" customHeight="false" outlineLevel="0" collapsed="false">
      <c r="A7" s="0" t="s">
        <v>82</v>
      </c>
      <c r="B7" s="3" t="n">
        <v>4266.418</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-2</v>
      </c>
      <c r="D13" s="3" t="n">
        <v>0</v>
      </c>
      <c r="E13" s="3" t="n">
        <v>2</v>
      </c>
      <c r="F13" s="3" t="n">
        <v>2</v>
      </c>
      <c r="G13" s="3" t="n">
        <v>2</v>
      </c>
      <c r="H13" s="3" t="n">
        <v>2</v>
      </c>
      <c r="I13" s="3" t="n">
        <v>2</v>
      </c>
      <c r="J13" s="3" t="n">
        <v>2</v>
      </c>
      <c r="K13" s="3" t="n">
        <v>2</v>
      </c>
      <c r="L13" s="3" t="n">
        <v>2</v>
      </c>
    </row>
    <row r="14" customFormat="false" ht="15" hidden="false" customHeight="false" outlineLevel="0" collapsed="false">
      <c r="A14" s="0" t="s">
        <v>99</v>
      </c>
      <c r="C14" s="3" t="n">
        <v>22</v>
      </c>
      <c r="D14" s="3" t="n">
        <v>21.5</v>
      </c>
      <c r="E14" s="3" t="n">
        <v>22</v>
      </c>
      <c r="F14" s="3" t="n">
        <v>22.5</v>
      </c>
      <c r="G14" s="3" t="n">
        <v>22.5</v>
      </c>
      <c r="H14" s="3" t="n">
        <v>22.5</v>
      </c>
      <c r="I14" s="3" t="n">
        <v>22.5</v>
      </c>
      <c r="J14" s="3" t="n">
        <v>22.5</v>
      </c>
      <c r="K14" s="3" t="n">
        <v>22.5</v>
      </c>
      <c r="L14" s="3" t="n">
        <v>22.5</v>
      </c>
    </row>
    <row r="15" customFormat="false" ht="15" hidden="false" customHeight="false" outlineLevel="0" collapsed="false">
      <c r="A15" s="0" t="s">
        <v>100</v>
      </c>
      <c r="C15" s="3" t="n">
        <v>0.06</v>
      </c>
      <c r="D15" s="3" t="n">
        <v>0.06</v>
      </c>
      <c r="E15" s="3" t="n">
        <v>0.06</v>
      </c>
      <c r="F15" s="3" t="n">
        <v>0.06</v>
      </c>
      <c r="G15" s="3" t="n">
        <v>0.06</v>
      </c>
      <c r="H15" s="3" t="n">
        <v>0.06</v>
      </c>
      <c r="I15" s="3" t="n">
        <v>0.06</v>
      </c>
      <c r="J15" s="3" t="n">
        <v>0.06</v>
      </c>
      <c r="K15" s="3" t="n">
        <v>0.06</v>
      </c>
      <c r="L15" s="3" t="n">
        <v>0.06</v>
      </c>
    </row>
    <row r="16" customFormat="false" ht="15" hidden="false" customHeight="false" outlineLevel="0" collapsed="false">
      <c r="A16" s="0" t="s">
        <v>101</v>
      </c>
      <c r="C16" s="3" t="n">
        <v>5.6</v>
      </c>
      <c r="D16" s="3" t="n">
        <v>5.6</v>
      </c>
      <c r="E16" s="3" t="n">
        <v>5.6</v>
      </c>
      <c r="F16" s="3" t="n">
        <v>5.6</v>
      </c>
      <c r="G16" s="3" t="n">
        <v>5.6</v>
      </c>
      <c r="H16" s="3" t="n">
        <v>5.6</v>
      </c>
      <c r="I16" s="3" t="n">
        <v>5.6</v>
      </c>
      <c r="J16" s="3" t="n">
        <v>5.6</v>
      </c>
      <c r="K16" s="3" t="n">
        <v>5.6</v>
      </c>
      <c r="L16" s="3" t="n">
        <v>5.6</v>
      </c>
    </row>
    <row r="17" customFormat="false" ht="15" hidden="false" customHeight="false" outlineLevel="0" collapsed="false">
      <c r="A17" s="0" t="s">
        <v>102</v>
      </c>
      <c r="C17" s="3" t="n">
        <v>2.5</v>
      </c>
      <c r="D17" s="3" t="n">
        <v>2.5</v>
      </c>
      <c r="E17" s="3" t="n">
        <v>2.5</v>
      </c>
      <c r="F17" s="3" t="n">
        <v>2.5</v>
      </c>
      <c r="G17" s="3" t="n">
        <v>2.5</v>
      </c>
      <c r="H17" s="3" t="n">
        <v>2.5</v>
      </c>
      <c r="I17" s="3" t="n">
        <v>2.5</v>
      </c>
      <c r="J17" s="3" t="n">
        <v>2.5</v>
      </c>
      <c r="K17" s="3" t="n">
        <v>2.5</v>
      </c>
      <c r="L17" s="3" t="n">
        <v>2.5</v>
      </c>
    </row>
    <row r="18" customFormat="false" ht="15" hidden="false" customHeight="false" outlineLevel="0" collapsed="false">
      <c r="A18" s="0" t="s">
        <v>103</v>
      </c>
      <c r="C18" s="3" t="n">
        <v>6</v>
      </c>
      <c r="D18" s="3" t="n">
        <v>5.8</v>
      </c>
      <c r="E18" s="3" t="n">
        <v>5.8</v>
      </c>
      <c r="F18" s="3" t="n">
        <v>5.6</v>
      </c>
      <c r="G18" s="3" t="n">
        <v>5.6</v>
      </c>
      <c r="H18" s="3" t="n">
        <v>5.5</v>
      </c>
      <c r="I18" s="3" t="n">
        <v>5.5</v>
      </c>
      <c r="J18" s="3" t="n">
        <v>5.5</v>
      </c>
      <c r="K18" s="3" t="n">
        <v>5.5</v>
      </c>
      <c r="L18" s="3" t="n">
        <v>5.5</v>
      </c>
    </row>
    <row r="19" customFormat="false" ht="15" hidden="false" customHeight="false" outlineLevel="0" collapsed="false">
      <c r="A19" s="0" t="s">
        <v>104</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105</v>
      </c>
      <c r="B20" s="3" t="n">
        <v>9.5</v>
      </c>
    </row>
    <row r="21" customFormat="false" ht="15" hidden="false" customHeight="false" outlineLevel="0" collapsed="false">
      <c r="A21" s="0" t="s">
        <v>106</v>
      </c>
      <c r="B21" s="3" t="n">
        <v>2</v>
      </c>
    </row>
    <row r="22" customFormat="false" ht="15" hidden="false" customHeight="false" outlineLevel="0" collapsed="false">
      <c r="A22" s="0" t="s">
        <v>107</v>
      </c>
      <c r="B22" s="3" t="n">
        <v>12</v>
      </c>
    </row>
    <row r="23" customFormat="false" ht="15" hidden="false" customHeight="false" outlineLevel="0" collapsed="false">
      <c r="A23" s="0" t="s">
        <v>108</v>
      </c>
      <c r="B23" s="3" t="n">
        <v>-5</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1.5</v>
      </c>
      <c r="D27" s="3" t="n">
        <v>3</v>
      </c>
      <c r="E27" s="3" t="n">
        <v>3.5</v>
      </c>
      <c r="F27" s="3" t="n">
        <v>3.5</v>
      </c>
      <c r="G27" s="3" t="n">
        <v>3.5</v>
      </c>
      <c r="H27" s="3" t="n">
        <v>3</v>
      </c>
      <c r="I27" s="3" t="n">
        <v>3</v>
      </c>
      <c r="J27" s="3" t="n">
        <v>2.5</v>
      </c>
      <c r="K27" s="3" t="n">
        <v>2.5</v>
      </c>
      <c r="L27" s="3" t="n">
        <v>2.5</v>
      </c>
    </row>
    <row r="28" customFormat="false" ht="15" hidden="false" customHeight="false" outlineLevel="0" collapsed="false">
      <c r="A28" s="0" t="s">
        <v>99</v>
      </c>
      <c r="C28" s="3" t="n">
        <v>23.3</v>
      </c>
      <c r="D28" s="3" t="n">
        <v>23.5</v>
      </c>
      <c r="E28" s="3" t="n">
        <v>23.8</v>
      </c>
      <c r="F28" s="3" t="n">
        <v>24</v>
      </c>
      <c r="G28" s="3" t="n">
        <v>24</v>
      </c>
      <c r="H28" s="3" t="n">
        <v>24</v>
      </c>
      <c r="I28" s="3" t="n">
        <v>24</v>
      </c>
      <c r="J28" s="3" t="n">
        <v>24</v>
      </c>
      <c r="K28" s="3" t="n">
        <v>24</v>
      </c>
      <c r="L28" s="3" t="n">
        <v>24</v>
      </c>
    </row>
    <row r="29" customFormat="false" ht="15" hidden="false" customHeight="false" outlineLevel="0" collapsed="false">
      <c r="A29" s="0" t="s">
        <v>100</v>
      </c>
      <c r="C29" s="3" t="n">
        <v>0.06</v>
      </c>
      <c r="D29" s="3" t="n">
        <v>0.06</v>
      </c>
      <c r="E29" s="3" t="n">
        <v>0.06</v>
      </c>
      <c r="F29" s="3" t="n">
        <v>0.06</v>
      </c>
      <c r="G29" s="3" t="n">
        <v>0.06</v>
      </c>
      <c r="H29" s="3" t="n">
        <v>0.06</v>
      </c>
      <c r="I29" s="3" t="n">
        <v>0.06</v>
      </c>
      <c r="J29" s="3" t="n">
        <v>0.06</v>
      </c>
      <c r="K29" s="3" t="n">
        <v>0.06</v>
      </c>
      <c r="L29" s="3" t="n">
        <v>0.06</v>
      </c>
    </row>
    <row r="30" customFormat="false" ht="15" hidden="false" customHeight="false" outlineLevel="0" collapsed="false">
      <c r="A30" s="0" t="s">
        <v>101</v>
      </c>
      <c r="C30" s="3" t="n">
        <v>5.4</v>
      </c>
      <c r="D30" s="3" t="n">
        <v>5.4</v>
      </c>
      <c r="E30" s="3" t="n">
        <v>5.4</v>
      </c>
      <c r="F30" s="3" t="n">
        <v>5.4</v>
      </c>
      <c r="G30" s="3" t="n">
        <v>5.4</v>
      </c>
      <c r="H30" s="3" t="n">
        <v>5.4</v>
      </c>
      <c r="I30" s="3" t="n">
        <v>5.4</v>
      </c>
      <c r="J30" s="3" t="n">
        <v>5.4</v>
      </c>
      <c r="K30" s="3" t="n">
        <v>5.4</v>
      </c>
      <c r="L30" s="3" t="n">
        <v>5.4</v>
      </c>
    </row>
    <row r="31" customFormat="false" ht="15" hidden="false" customHeight="false" outlineLevel="0" collapsed="false">
      <c r="A31" s="0" t="s">
        <v>102</v>
      </c>
      <c r="C31" s="3" t="n">
        <v>2.5</v>
      </c>
      <c r="D31" s="3" t="n">
        <v>2.5</v>
      </c>
      <c r="E31" s="3" t="n">
        <v>2.5</v>
      </c>
      <c r="F31" s="3" t="n">
        <v>2.5</v>
      </c>
      <c r="G31" s="3" t="n">
        <v>2.5</v>
      </c>
      <c r="H31" s="3" t="n">
        <v>2.5</v>
      </c>
      <c r="I31" s="3" t="n">
        <v>2.5</v>
      </c>
      <c r="J31" s="3" t="n">
        <v>2.5</v>
      </c>
      <c r="K31" s="3" t="n">
        <v>2.5</v>
      </c>
      <c r="L31" s="3" t="n">
        <v>2.5</v>
      </c>
    </row>
    <row r="32" customFormat="false" ht="15" hidden="false" customHeight="false" outlineLevel="0" collapsed="false">
      <c r="A32" s="0" t="s">
        <v>103</v>
      </c>
      <c r="C32" s="3" t="n">
        <v>6.5</v>
      </c>
      <c r="D32" s="3" t="n">
        <v>6.3</v>
      </c>
      <c r="E32" s="3" t="n">
        <v>6</v>
      </c>
      <c r="F32" s="3" t="n">
        <v>5.8</v>
      </c>
      <c r="G32" s="3" t="n">
        <v>5.6</v>
      </c>
      <c r="H32" s="3" t="n">
        <v>5.4</v>
      </c>
      <c r="I32" s="3" t="n">
        <v>5.2</v>
      </c>
      <c r="J32" s="3" t="n">
        <v>5</v>
      </c>
      <c r="K32" s="3" t="n">
        <v>5</v>
      </c>
      <c r="L32" s="3" t="n">
        <v>5</v>
      </c>
    </row>
    <row r="33" customFormat="false" ht="15" hidden="false" customHeight="false" outlineLevel="0" collapsed="false">
      <c r="A33" s="0" t="s">
        <v>104</v>
      </c>
      <c r="C33" s="3" t="n">
        <v>29.5</v>
      </c>
      <c r="D33" s="3" t="n">
        <v>29.5</v>
      </c>
      <c r="E33" s="3" t="n">
        <v>29.5</v>
      </c>
      <c r="F33" s="3" t="n">
        <v>29.5</v>
      </c>
      <c r="G33" s="3" t="n">
        <v>29.5</v>
      </c>
      <c r="H33" s="3" t="n">
        <v>29.5</v>
      </c>
      <c r="I33" s="3" t="n">
        <v>29.5</v>
      </c>
      <c r="J33" s="3" t="n">
        <v>29.5</v>
      </c>
      <c r="K33" s="3" t="n">
        <v>29.5</v>
      </c>
      <c r="L33" s="3" t="n">
        <v>29.5</v>
      </c>
    </row>
    <row r="34" customFormat="false" ht="15" hidden="false" customHeight="false" outlineLevel="0" collapsed="false">
      <c r="A34" s="0" t="s">
        <v>105</v>
      </c>
      <c r="B34" s="3" t="n">
        <v>9.5</v>
      </c>
    </row>
    <row r="35" customFormat="false" ht="15" hidden="false" customHeight="false" outlineLevel="0" collapsed="false">
      <c r="A35" s="0" t="s">
        <v>106</v>
      </c>
      <c r="B35" s="3" t="n">
        <v>2.5</v>
      </c>
    </row>
    <row r="36" customFormat="false" ht="15" hidden="false" customHeight="false" outlineLevel="0" collapsed="false">
      <c r="A36" s="0" t="s">
        <v>107</v>
      </c>
      <c r="B36" s="3" t="n">
        <v>14</v>
      </c>
    </row>
    <row r="37" customFormat="false" ht="15" hidden="false" customHeight="false" outlineLevel="0" collapsed="false">
      <c r="A37" s="0" t="s">
        <v>108</v>
      </c>
      <c r="B37" s="3" t="n">
        <v>-5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3.5</v>
      </c>
      <c r="D41" s="3" t="n">
        <v>5</v>
      </c>
      <c r="E41" s="3" t="n">
        <v>5</v>
      </c>
      <c r="F41" s="3" t="n">
        <v>4.5</v>
      </c>
      <c r="G41" s="3" t="n">
        <v>4.5</v>
      </c>
      <c r="H41" s="3" t="n">
        <v>4</v>
      </c>
      <c r="I41" s="3" t="n">
        <v>3.5</v>
      </c>
      <c r="J41" s="3" t="n">
        <v>3</v>
      </c>
      <c r="K41" s="3" t="n">
        <v>3</v>
      </c>
      <c r="L41" s="3" t="n">
        <v>3</v>
      </c>
    </row>
    <row r="42" customFormat="false" ht="15" hidden="false" customHeight="false" outlineLevel="0" collapsed="false">
      <c r="A42" s="0" t="s">
        <v>99</v>
      </c>
      <c r="C42" s="3" t="n">
        <v>24</v>
      </c>
      <c r="D42" s="3" t="n">
        <v>24.3</v>
      </c>
      <c r="E42" s="3" t="n">
        <v>24.6</v>
      </c>
      <c r="F42" s="3" t="n">
        <v>24.8</v>
      </c>
      <c r="G42" s="3" t="n">
        <v>25</v>
      </c>
      <c r="H42" s="3" t="n">
        <v>25</v>
      </c>
      <c r="I42" s="3" t="n">
        <v>25</v>
      </c>
      <c r="J42" s="3" t="n">
        <v>25</v>
      </c>
      <c r="K42" s="3" t="n">
        <v>25</v>
      </c>
      <c r="L42" s="3" t="n">
        <v>25</v>
      </c>
    </row>
    <row r="43" customFormat="false" ht="15" hidden="false" customHeight="false" outlineLevel="0" collapsed="false">
      <c r="A43" s="0" t="s">
        <v>100</v>
      </c>
      <c r="C43" s="3" t="n">
        <v>0.06</v>
      </c>
      <c r="D43" s="3" t="n">
        <v>0.06</v>
      </c>
      <c r="E43" s="3" t="n">
        <v>0.06</v>
      </c>
      <c r="F43" s="3" t="n">
        <v>0.06</v>
      </c>
      <c r="G43" s="3" t="n">
        <v>0.06</v>
      </c>
      <c r="H43" s="3" t="n">
        <v>0.06</v>
      </c>
      <c r="I43" s="3" t="n">
        <v>0.06</v>
      </c>
      <c r="J43" s="3" t="n">
        <v>0.06</v>
      </c>
      <c r="K43" s="3" t="n">
        <v>0.06</v>
      </c>
      <c r="L43" s="3" t="n">
        <v>0.06</v>
      </c>
    </row>
    <row r="44" customFormat="false" ht="15" hidden="false" customHeight="false" outlineLevel="0" collapsed="false">
      <c r="A44" s="0" t="s">
        <v>101</v>
      </c>
      <c r="C44" s="3" t="n">
        <v>5.3</v>
      </c>
      <c r="D44" s="3" t="n">
        <v>5.3</v>
      </c>
      <c r="E44" s="3" t="n">
        <v>5.3</v>
      </c>
      <c r="F44" s="3" t="n">
        <v>5.3</v>
      </c>
      <c r="G44" s="3" t="n">
        <v>5.3</v>
      </c>
      <c r="H44" s="3" t="n">
        <v>5.3</v>
      </c>
      <c r="I44" s="3" t="n">
        <v>5.3</v>
      </c>
      <c r="J44" s="3" t="n">
        <v>5.3</v>
      </c>
      <c r="K44" s="3" t="n">
        <v>5.3</v>
      </c>
      <c r="L44" s="3" t="n">
        <v>5.3</v>
      </c>
    </row>
    <row r="45" customFormat="false" ht="15" hidden="false" customHeight="false" outlineLevel="0" collapsed="false">
      <c r="A45" s="0" t="s">
        <v>102</v>
      </c>
      <c r="C45" s="3" t="n">
        <v>2.5</v>
      </c>
      <c r="D45" s="3" t="n">
        <v>2.5</v>
      </c>
      <c r="E45" s="3" t="n">
        <v>2.5</v>
      </c>
      <c r="F45" s="3" t="n">
        <v>2.5</v>
      </c>
      <c r="G45" s="3" t="n">
        <v>2.5</v>
      </c>
      <c r="H45" s="3" t="n">
        <v>2.5</v>
      </c>
      <c r="I45" s="3" t="n">
        <v>2.5</v>
      </c>
      <c r="J45" s="3" t="n">
        <v>2.5</v>
      </c>
      <c r="K45" s="3" t="n">
        <v>2.5</v>
      </c>
      <c r="L45" s="3" t="n">
        <v>2.5</v>
      </c>
    </row>
    <row r="46" customFormat="false" ht="15" hidden="false" customHeight="false" outlineLevel="0" collapsed="false">
      <c r="A46" s="0" t="s">
        <v>103</v>
      </c>
      <c r="C46" s="3" t="n">
        <v>6.5</v>
      </c>
      <c r="D46" s="3" t="n">
        <v>6.5</v>
      </c>
      <c r="E46" s="3" t="n">
        <v>6.3</v>
      </c>
      <c r="F46" s="3" t="n">
        <v>6</v>
      </c>
      <c r="G46" s="3" t="n">
        <v>5.8</v>
      </c>
      <c r="H46" s="3" t="n">
        <v>5.6</v>
      </c>
      <c r="I46" s="3" t="n">
        <v>5.4</v>
      </c>
      <c r="J46" s="3" t="n">
        <v>5.2</v>
      </c>
      <c r="K46" s="3" t="n">
        <v>5</v>
      </c>
      <c r="L46" s="3" t="n">
        <v>5</v>
      </c>
    </row>
    <row r="47" customFormat="false" ht="15" hidden="false" customHeight="false" outlineLevel="0" collapsed="false">
      <c r="A47" s="0" t="s">
        <v>104</v>
      </c>
      <c r="C47" s="3" t="n">
        <v>29</v>
      </c>
      <c r="D47" s="3" t="n">
        <v>29</v>
      </c>
      <c r="E47" s="3" t="n">
        <v>29</v>
      </c>
      <c r="F47" s="3" t="n">
        <v>29</v>
      </c>
      <c r="G47" s="3" t="n">
        <v>29</v>
      </c>
      <c r="H47" s="3" t="n">
        <v>29</v>
      </c>
      <c r="I47" s="3" t="n">
        <v>29</v>
      </c>
      <c r="J47" s="3" t="n">
        <v>29</v>
      </c>
      <c r="K47" s="3" t="n">
        <v>29</v>
      </c>
      <c r="L47" s="3" t="n">
        <v>29</v>
      </c>
    </row>
    <row r="48" customFormat="false" ht="15" hidden="false" customHeight="false" outlineLevel="0" collapsed="false">
      <c r="A48" s="0" t="s">
        <v>105</v>
      </c>
      <c r="B48" s="3" t="n">
        <v>9.5</v>
      </c>
    </row>
    <row r="49" customFormat="false" ht="15" hidden="false" customHeight="false" outlineLevel="0" collapsed="false">
      <c r="A49" s="0" t="s">
        <v>106</v>
      </c>
      <c r="B49" s="3" t="n">
        <v>3</v>
      </c>
    </row>
    <row r="50" customFormat="false" ht="15" hidden="false" customHeight="false" outlineLevel="0" collapsed="false">
      <c r="A50" s="0" t="s">
        <v>107</v>
      </c>
      <c r="B50" s="3" t="n">
        <v>15</v>
      </c>
    </row>
    <row r="51" customFormat="false" ht="15" hidden="false" customHeight="false" outlineLevel="0" collapsed="false">
      <c r="A51" s="0" t="s">
        <v>108</v>
      </c>
      <c r="B51" s="3" t="n">
        <v>-5</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-2</v>
      </c>
      <c r="D5" s="4" t="n">
        <f aca="false">Assumptions!D13</f>
        <v>0</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4266.418</v>
      </c>
      <c r="C6" s="0" t="n">
        <f aca="false">B6*(1+C5/100)</f>
        <v>4181.08964</v>
      </c>
      <c r="D6" s="0" t="n">
        <f aca="false">C6*(1+D5/100)</f>
        <v>4181.08964</v>
      </c>
      <c r="E6" s="0" t="n">
        <f aca="false">D6*(1+E5/100)</f>
        <v>4264.7114328</v>
      </c>
      <c r="F6" s="0" t="n">
        <f aca="false">E6*(1+F5/100)</f>
        <v>4350.005661456</v>
      </c>
      <c r="G6" s="0" t="n">
        <f aca="false">F6*(1+G5/100)</f>
        <v>4437.00577468512</v>
      </c>
      <c r="H6" s="0" t="n">
        <f aca="false">G6*(1+H5/100)</f>
        <v>4525.74589017882</v>
      </c>
      <c r="I6" s="0" t="n">
        <f aca="false">H6*(1+I5/100)</f>
        <v>4616.2608079824</v>
      </c>
      <c r="J6" s="0" t="n">
        <f aca="false">I6*(1+J5/100)</f>
        <v>4708.58602414205</v>
      </c>
      <c r="K6" s="0" t="n">
        <f aca="false">J6*(1+K5/100)</f>
        <v>4802.75774462489</v>
      </c>
      <c r="L6" s="0" t="n">
        <f aca="false">K6*(1+L5/100)</f>
        <v>4898.81289951739</v>
      </c>
    </row>
    <row r="7" customFormat="false" ht="15" hidden="false" customHeight="false" outlineLevel="0" collapsed="false">
      <c r="A7" s="0" t="s">
        <v>99</v>
      </c>
      <c r="C7" s="4" t="n">
        <f aca="false">Assumptions!C14</f>
        <v>22</v>
      </c>
      <c r="D7" s="4" t="n">
        <f aca="false">Assumptions!D14</f>
        <v>21.5</v>
      </c>
      <c r="E7" s="4" t="n">
        <f aca="false">Assumptions!E14</f>
        <v>22</v>
      </c>
      <c r="F7" s="4" t="n">
        <f aca="false">Assumptions!F14</f>
        <v>22.5</v>
      </c>
      <c r="G7" s="4" t="n">
        <f aca="false">Assumptions!G14</f>
        <v>22.5</v>
      </c>
      <c r="H7" s="4" t="n">
        <f aca="false">Assumptions!H14</f>
        <v>22.5</v>
      </c>
      <c r="I7" s="4" t="n">
        <f aca="false">Assumptions!I14</f>
        <v>22.5</v>
      </c>
      <c r="J7" s="4" t="n">
        <f aca="false">Assumptions!J14</f>
        <v>22.5</v>
      </c>
      <c r="K7" s="4" t="n">
        <f aca="false">Assumptions!K14</f>
        <v>22.5</v>
      </c>
      <c r="L7" s="4" t="n">
        <f aca="false">Assumptions!L14</f>
        <v>22.5</v>
      </c>
    </row>
    <row r="8" customFormat="false" ht="15" hidden="false" customHeight="false" outlineLevel="0" collapsed="false">
      <c r="A8" s="0" t="s">
        <v>43</v>
      </c>
      <c r="C8" s="0" t="n">
        <f aca="false">C6*C7/100</f>
        <v>919.8397208</v>
      </c>
      <c r="D8" s="0" t="n">
        <f aca="false">D6*D7/100</f>
        <v>898.9342726</v>
      </c>
      <c r="E8" s="0" t="n">
        <f aca="false">E6*E7/100</f>
        <v>938.236515216</v>
      </c>
      <c r="F8" s="0" t="n">
        <f aca="false">F6*F7/100</f>
        <v>978.7512738276</v>
      </c>
      <c r="G8" s="0" t="n">
        <f aca="false">G6*G7/100</f>
        <v>998.326299304152</v>
      </c>
      <c r="H8" s="0" t="n">
        <f aca="false">H6*H7/100</f>
        <v>1018.29282529023</v>
      </c>
      <c r="I8" s="0" t="n">
        <f aca="false">I6*I7/100</f>
        <v>1038.65868179604</v>
      </c>
      <c r="J8" s="0" t="n">
        <f aca="false">J6*J7/100</f>
        <v>1059.43185543196</v>
      </c>
      <c r="K8" s="0" t="n">
        <f aca="false">K6*K7/100</f>
        <v>1080.6204925406</v>
      </c>
      <c r="L8" s="0" t="n">
        <f aca="false">L6*L7/100</f>
        <v>1102.23290239141</v>
      </c>
    </row>
    <row r="9" customFormat="false" ht="15" hidden="false" customHeight="false" outlineLevel="0" collapsed="false">
      <c r="A9" s="0" t="s">
        <v>100</v>
      </c>
      <c r="C9" s="4" t="n">
        <f aca="false">Assumptions!C15</f>
        <v>0.06</v>
      </c>
      <c r="D9" s="4" t="n">
        <f aca="false">Assumptions!D15</f>
        <v>0.06</v>
      </c>
      <c r="E9" s="4" t="n">
        <f aca="false">Assumptions!E15</f>
        <v>0.06</v>
      </c>
      <c r="F9" s="4" t="n">
        <f aca="false">Assumptions!F15</f>
        <v>0.06</v>
      </c>
      <c r="G9" s="4" t="n">
        <f aca="false">Assumptions!G15</f>
        <v>0.06</v>
      </c>
      <c r="H9" s="4" t="n">
        <f aca="false">Assumptions!H15</f>
        <v>0.06</v>
      </c>
      <c r="I9" s="4" t="n">
        <f aca="false">Assumptions!I15</f>
        <v>0.06</v>
      </c>
      <c r="J9" s="4" t="n">
        <f aca="false">Assumptions!J15</f>
        <v>0.06</v>
      </c>
      <c r="K9" s="4" t="n">
        <f aca="false">Assumptions!K15</f>
        <v>0.06</v>
      </c>
      <c r="L9" s="4" t="n">
        <f aca="false">Assumptions!L15</f>
        <v>0.06</v>
      </c>
    </row>
    <row r="10" customFormat="false" ht="15" hidden="false" customHeight="false" outlineLevel="0" collapsed="false">
      <c r="A10" s="0" t="s">
        <v>115</v>
      </c>
      <c r="C10" s="0" t="n">
        <f aca="false">-C6*C9/100</f>
        <v>-2.508653784</v>
      </c>
      <c r="D10" s="0" t="n">
        <f aca="false">-D6*D9/100</f>
        <v>-2.508653784</v>
      </c>
      <c r="E10" s="0" t="n">
        <f aca="false">-E6*E9/100</f>
        <v>-2.55882685968</v>
      </c>
      <c r="F10" s="0" t="n">
        <f aca="false">-F6*F9/100</f>
        <v>-2.6100033968736</v>
      </c>
      <c r="G10" s="0" t="n">
        <f aca="false">-G6*G9/100</f>
        <v>-2.66220346481107</v>
      </c>
      <c r="H10" s="0" t="n">
        <f aca="false">-H6*H9/100</f>
        <v>-2.71544753410729</v>
      </c>
      <c r="I10" s="0" t="n">
        <f aca="false">-I6*I9/100</f>
        <v>-2.76975648478944</v>
      </c>
      <c r="J10" s="0" t="n">
        <f aca="false">-J6*J9/100</f>
        <v>-2.82515161448523</v>
      </c>
      <c r="K10" s="0" t="n">
        <f aca="false">-K6*K9/100</f>
        <v>-2.88165464677493</v>
      </c>
      <c r="L10" s="0" t="n">
        <f aca="false">-L6*L9/100</f>
        <v>-2.93928773971043</v>
      </c>
    </row>
    <row r="11" customFormat="false" ht="15" hidden="false" customHeight="false" outlineLevel="0" collapsed="false">
      <c r="A11" s="0" t="s">
        <v>116</v>
      </c>
      <c r="C11" s="0" t="n">
        <f aca="false">C8+C10+C24</f>
        <v>683.190047176</v>
      </c>
      <c r="D11" s="0" t="n">
        <f aca="false">D8+D10+D24</f>
        <v>662.284598976</v>
      </c>
      <c r="E11" s="0" t="n">
        <f aca="false">E8+E10+E24</f>
        <v>696.85384811952</v>
      </c>
      <c r="F11" s="0" t="n">
        <f aca="false">F8+F10+F24</f>
        <v>732.54095338919</v>
      </c>
      <c r="G11" s="0" t="n">
        <f aca="false">G8+G10+G24</f>
        <v>747.191772456974</v>
      </c>
      <c r="H11" s="0" t="n">
        <f aca="false">H8+H10+H24</f>
        <v>762.135607906114</v>
      </c>
      <c r="I11" s="0" t="n">
        <f aca="false">I8+I10+I24</f>
        <v>777.378320064236</v>
      </c>
      <c r="J11" s="0" t="n">
        <f aca="false">J8+J10+J24</f>
        <v>792.92588646552</v>
      </c>
      <c r="K11" s="0" t="n">
        <f aca="false">K8+K10+K24</f>
        <v>808.784404194831</v>
      </c>
      <c r="L11" s="0" t="n">
        <f aca="false">L8+L10+L24</f>
        <v>824.960092278728</v>
      </c>
    </row>
    <row r="12" customFormat="false" ht="15" hidden="false" customHeight="false" outlineLevel="0" collapsed="false">
      <c r="A12" s="0" t="s">
        <v>117</v>
      </c>
      <c r="C12" s="4" t="n">
        <f aca="false">-C6*Assumptions!C17/100</f>
        <v>-104.527241</v>
      </c>
      <c r="D12" s="4" t="n">
        <f aca="false">-D6*Assumptions!D17/100</f>
        <v>-104.527241</v>
      </c>
      <c r="E12" s="4" t="n">
        <f aca="false">-E6*Assumptions!E17/100</f>
        <v>-106.61778582</v>
      </c>
      <c r="F12" s="4" t="n">
        <f aca="false">-F6*Assumptions!F17/100</f>
        <v>-108.7501415364</v>
      </c>
      <c r="G12" s="4" t="n">
        <f aca="false">-G6*Assumptions!G17/100</f>
        <v>-110.925144367128</v>
      </c>
      <c r="H12" s="4" t="n">
        <f aca="false">-H6*Assumptions!H17/100</f>
        <v>-113.143647254471</v>
      </c>
      <c r="I12" s="4" t="n">
        <f aca="false">-I6*Assumptions!I17/100</f>
        <v>-115.40652019956</v>
      </c>
      <c r="J12" s="4" t="n">
        <f aca="false">-J6*Assumptions!J17/100</f>
        <v>-117.714650603551</v>
      </c>
      <c r="K12" s="4" t="n">
        <f aca="false">-K6*Assumptions!K17/100</f>
        <v>-120.068943615622</v>
      </c>
      <c r="L12" s="4" t="n">
        <f aca="false">-L6*Assumptions!L17/100</f>
        <v>-122.470322487935</v>
      </c>
    </row>
    <row r="13" customFormat="false" ht="15" hidden="false" customHeight="false" outlineLevel="0" collapsed="false">
      <c r="A13" s="0" t="s">
        <v>118</v>
      </c>
      <c r="C13" s="0" t="n">
        <f aca="false">C11+C12</f>
        <v>578.662806176</v>
      </c>
      <c r="D13" s="0" t="n">
        <f aca="false">D11+D12</f>
        <v>557.757357976</v>
      </c>
      <c r="E13" s="0" t="n">
        <f aca="false">E11+E12</f>
        <v>590.23606229952</v>
      </c>
      <c r="F13" s="0" t="n">
        <f aca="false">F11+F12</f>
        <v>623.79081185279</v>
      </c>
      <c r="G13" s="0" t="n">
        <f aca="false">G11+G12</f>
        <v>636.266628089846</v>
      </c>
      <c r="H13" s="0" t="n">
        <f aca="false">H11+H12</f>
        <v>648.991960651643</v>
      </c>
      <c r="I13" s="0" t="n">
        <f aca="false">I11+I12</f>
        <v>661.971799864676</v>
      </c>
      <c r="J13" s="0" t="n">
        <f aca="false">J11+J12</f>
        <v>675.211235861969</v>
      </c>
      <c r="K13" s="0" t="n">
        <f aca="false">K11+K12</f>
        <v>688.715460579209</v>
      </c>
      <c r="L13" s="0" t="n">
        <f aca="false">L11+L12</f>
        <v>702.489769790793</v>
      </c>
    </row>
    <row r="14" customFormat="false" ht="15" hidden="false" customHeight="false" outlineLevel="0" collapsed="false">
      <c r="A14" s="0" t="s">
        <v>104</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119</v>
      </c>
      <c r="C15" s="0" t="n">
        <f aca="false">C13-MAX(0,C13)*C14/100</f>
        <v>405.0639643232</v>
      </c>
      <c r="D15" s="0" t="n">
        <f aca="false">D13-MAX(0,D13)*D14/100</f>
        <v>390.4301505832</v>
      </c>
      <c r="E15" s="0" t="n">
        <f aca="false">E13-MAX(0,E13)*E14/100</f>
        <v>413.165243609664</v>
      </c>
      <c r="F15" s="0" t="n">
        <f aca="false">F13-MAX(0,F13)*F14/100</f>
        <v>436.653568296953</v>
      </c>
      <c r="G15" s="0" t="n">
        <f aca="false">G13-MAX(0,G13)*G14/100</f>
        <v>445.386639662892</v>
      </c>
      <c r="H15" s="0" t="n">
        <f aca="false">H13-MAX(0,H13)*H14/100</f>
        <v>454.29437245615</v>
      </c>
      <c r="I15" s="0" t="n">
        <f aca="false">I13-MAX(0,I13)*I14/100</f>
        <v>463.380259905273</v>
      </c>
      <c r="J15" s="0" t="n">
        <f aca="false">J13-MAX(0,J13)*J14/100</f>
        <v>472.647865103378</v>
      </c>
      <c r="K15" s="0" t="n">
        <f aca="false">K13-MAX(0,K13)*K14/100</f>
        <v>482.100822405446</v>
      </c>
      <c r="L15" s="0" t="n">
        <f aca="false">L13-MAX(0,L13)*L14/100</f>
        <v>491.742838853555</v>
      </c>
    </row>
    <row r="16" customFormat="false" ht="15" hidden="false" customHeight="false" outlineLevel="0" collapsed="false">
      <c r="A16" s="0" t="s">
        <v>120</v>
      </c>
      <c r="C16" s="0" t="n">
        <f aca="false">-C12</f>
        <v>104.527241</v>
      </c>
      <c r="D16" s="0" t="n">
        <f aca="false">-D12</f>
        <v>104.527241</v>
      </c>
      <c r="E16" s="0" t="n">
        <f aca="false">-E12</f>
        <v>106.61778582</v>
      </c>
      <c r="F16" s="0" t="n">
        <f aca="false">-F12</f>
        <v>108.7501415364</v>
      </c>
      <c r="G16" s="0" t="n">
        <f aca="false">-G12</f>
        <v>110.925144367128</v>
      </c>
      <c r="H16" s="0" t="n">
        <f aca="false">-H12</f>
        <v>113.143647254471</v>
      </c>
      <c r="I16" s="0" t="n">
        <f aca="false">-I12</f>
        <v>115.40652019956</v>
      </c>
      <c r="J16" s="0" t="n">
        <f aca="false">-J12</f>
        <v>117.714650603551</v>
      </c>
      <c r="K16" s="0" t="n">
        <f aca="false">-K12</f>
        <v>120.068943615622</v>
      </c>
      <c r="L16" s="0" t="n">
        <f aca="false">-L12</f>
        <v>122.470322487935</v>
      </c>
    </row>
    <row r="17" customFormat="false" ht="15" hidden="false" customHeight="false" outlineLevel="0" collapsed="false">
      <c r="A17" s="0" t="s">
        <v>121</v>
      </c>
      <c r="C17" s="4" t="n">
        <f aca="false">-C6*Assumptions!C18/100</f>
        <v>-250.8653784</v>
      </c>
      <c r="D17" s="4" t="n">
        <f aca="false">-D6*Assumptions!D18/100</f>
        <v>-242.50319912</v>
      </c>
      <c r="E17" s="4" t="n">
        <f aca="false">-E6*Assumptions!E18/100</f>
        <v>-247.3532631024</v>
      </c>
      <c r="F17" s="4" t="n">
        <f aca="false">-F6*Assumptions!F18/100</f>
        <v>-243.600317041536</v>
      </c>
      <c r="G17" s="4" t="n">
        <f aca="false">-G6*Assumptions!G18/100</f>
        <v>-248.472323382367</v>
      </c>
      <c r="H17" s="4" t="n">
        <f aca="false">-H6*Assumptions!H18/100</f>
        <v>-248.916023959835</v>
      </c>
      <c r="I17" s="4" t="n">
        <f aca="false">-I6*Assumptions!I18/100</f>
        <v>-253.894344439032</v>
      </c>
      <c r="J17" s="4" t="n">
        <f aca="false">-J6*Assumptions!J18/100</f>
        <v>-258.972231327813</v>
      </c>
      <c r="K17" s="4" t="n">
        <f aca="false">-K6*Assumptions!K18/100</f>
        <v>-264.151675954369</v>
      </c>
      <c r="L17" s="4" t="n">
        <f aca="false">-L6*Assumptions!L18/100</f>
        <v>-269.434709473456</v>
      </c>
    </row>
    <row r="18" customFormat="false" ht="15" hidden="false" customHeight="false" outlineLevel="0" collapsed="false">
      <c r="A18" s="0" t="s">
        <v>122</v>
      </c>
      <c r="C18" s="4" t="n">
        <f aca="false">(C6-B6)*Assumptions!$B$23/100</f>
        <v>4.26641800000002</v>
      </c>
      <c r="D18" s="4" t="n">
        <f aca="false">(D6-C6)*Assumptions!$B$23/100</f>
        <v>-0</v>
      </c>
      <c r="E18" s="4" t="n">
        <f aca="false">(E6-D6)*Assumptions!$B$23/100</f>
        <v>-4.18108963999998</v>
      </c>
      <c r="F18" s="4" t="n">
        <f aca="false">(F6-E6)*Assumptions!$B$23/100</f>
        <v>-4.2647114328</v>
      </c>
      <c r="G18" s="4" t="n">
        <f aca="false">(G6-F6)*Assumptions!$B$23/100</f>
        <v>-4.350005661456</v>
      </c>
      <c r="H18" s="4" t="n">
        <f aca="false">(H6-G6)*Assumptions!$B$23/100</f>
        <v>-4.43700577468512</v>
      </c>
      <c r="I18" s="4" t="n">
        <f aca="false">(I6-H6)*Assumptions!$B$23/100</f>
        <v>-4.52574589017881</v>
      </c>
      <c r="J18" s="4" t="n">
        <f aca="false">(J6-I6)*Assumptions!$B$23/100</f>
        <v>-4.61626080798242</v>
      </c>
      <c r="K18" s="4" t="n">
        <f aca="false">(K6-J6)*Assumptions!$B$23/100</f>
        <v>-4.70858602414205</v>
      </c>
      <c r="L18" s="4" t="n">
        <f aca="false">(L6-K6)*Assumptions!$B$23/100</f>
        <v>-4.80275774462489</v>
      </c>
    </row>
    <row r="19" customFormat="false" ht="15" hidden="false" customHeight="false" outlineLevel="0" collapsed="false">
      <c r="A19" s="0" t="s">
        <v>123</v>
      </c>
      <c r="C19" s="0" t="n">
        <f aca="false">C15+C16+C17+C18</f>
        <v>262.9922449232</v>
      </c>
      <c r="D19" s="0" t="n">
        <f aca="false">D15+D16+D17+D18</f>
        <v>252.4541924632</v>
      </c>
      <c r="E19" s="0" t="n">
        <f aca="false">E15+E16+E17+E18</f>
        <v>268.248676687264</v>
      </c>
      <c r="F19" s="0" t="n">
        <f aca="false">F15+F16+F17+F18</f>
        <v>297.538681359017</v>
      </c>
      <c r="G19" s="0" t="n">
        <f aca="false">G15+G16+G17+G18</f>
        <v>303.489454986198</v>
      </c>
      <c r="H19" s="0" t="n">
        <f aca="false">H15+H16+H17+H18</f>
        <v>314.0849899761</v>
      </c>
      <c r="I19" s="0" t="n">
        <f aca="false">I15+I16+I17+I18</f>
        <v>320.366689775622</v>
      </c>
      <c r="J19" s="0" t="n">
        <f aca="false">J15+J16+J17+J18</f>
        <v>326.774023571135</v>
      </c>
      <c r="K19" s="0" t="n">
        <f aca="false">K15+K16+K17+K18</f>
        <v>333.309504042558</v>
      </c>
      <c r="L19" s="0" t="n">
        <f aca="false">L15+L16+L17+L18</f>
        <v>339.975694123409</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240.175566139909</v>
      </c>
      <c r="D21" s="0" t="n">
        <f aca="false">D19*D20</f>
        <v>210.549565241092</v>
      </c>
      <c r="E21" s="0" t="n">
        <f aca="false">E19*E20</f>
        <v>204.312637722308</v>
      </c>
      <c r="F21" s="0" t="n">
        <f aca="false">F19*F20</f>
        <v>206.960258070352</v>
      </c>
      <c r="G21" s="0" t="n">
        <f aca="false">G19*G20</f>
        <v>192.784897928547</v>
      </c>
      <c r="H21" s="0" t="n">
        <f aca="false">H19*H20</f>
        <v>182.20591313479</v>
      </c>
      <c r="I21" s="0" t="n">
        <f aca="false">I19*I20</f>
        <v>169.726056070763</v>
      </c>
      <c r="J21" s="0" t="n">
        <f aca="false">J19*J20</f>
        <v>158.100983737149</v>
      </c>
      <c r="K21" s="0" t="n">
        <f aca="false">K19*K20</f>
        <v>147.272149234605</v>
      </c>
      <c r="L21" s="0" t="n">
        <f aca="false">L19*L20</f>
        <v>137.185015725385</v>
      </c>
    </row>
    <row r="23" customFormat="false" ht="15" hidden="false" customHeight="false" outlineLevel="0" collapsed="false">
      <c r="A23" s="0" t="s">
        <v>101</v>
      </c>
      <c r="C23" s="4" t="n">
        <f aca="false">Assumptions!C16</f>
        <v>5.6</v>
      </c>
      <c r="D23" s="4" t="n">
        <f aca="false">Assumptions!D16</f>
        <v>5.6</v>
      </c>
      <c r="E23" s="4" t="n">
        <f aca="false">Assumptions!E16</f>
        <v>5.6</v>
      </c>
      <c r="F23" s="4" t="n">
        <f aca="false">Assumptions!F16</f>
        <v>5.6</v>
      </c>
      <c r="G23" s="4" t="n">
        <f aca="false">Assumptions!G16</f>
        <v>5.6</v>
      </c>
      <c r="H23" s="4" t="n">
        <f aca="false">Assumptions!H16</f>
        <v>5.6</v>
      </c>
      <c r="I23" s="4" t="n">
        <f aca="false">Assumptions!I16</f>
        <v>5.6</v>
      </c>
      <c r="J23" s="4" t="n">
        <f aca="false">Assumptions!J16</f>
        <v>5.6</v>
      </c>
      <c r="K23" s="4" t="n">
        <f aca="false">Assumptions!K16</f>
        <v>5.6</v>
      </c>
      <c r="L23" s="4" t="n">
        <f aca="false">Assumptions!L16</f>
        <v>5.6</v>
      </c>
    </row>
    <row r="24" customFormat="false" ht="15" hidden="false" customHeight="false" outlineLevel="0" collapsed="false">
      <c r="A24" s="0" t="s">
        <v>126</v>
      </c>
      <c r="C24" s="0" t="n">
        <f aca="false">-C6*C23/100</f>
        <v>-234.14101984</v>
      </c>
      <c r="D24" s="0" t="n">
        <f aca="false">-D6*D23/100</f>
        <v>-234.14101984</v>
      </c>
      <c r="E24" s="0" t="n">
        <f aca="false">-E6*E23/100</f>
        <v>-238.8238402368</v>
      </c>
      <c r="F24" s="0" t="n">
        <f aca="false">-F6*F23/100</f>
        <v>-243.600317041536</v>
      </c>
      <c r="G24" s="0" t="n">
        <f aca="false">-G6*G23/100</f>
        <v>-248.472323382367</v>
      </c>
      <c r="H24" s="0" t="n">
        <f aca="false">-H6*H23/100</f>
        <v>-253.441769850014</v>
      </c>
      <c r="I24" s="0" t="n">
        <f aca="false">-I6*I23/100</f>
        <v>-258.510605247014</v>
      </c>
      <c r="J24" s="0" t="n">
        <f aca="false">-J6*J23/100</f>
        <v>-263.680817351955</v>
      </c>
      <c r="K24" s="0" t="n">
        <f aca="false">-K6*K23/100</f>
        <v>-268.954433698994</v>
      </c>
      <c r="L24" s="0" t="n">
        <f aca="false">-L6*L23/100</f>
        <v>-274.333522372974</v>
      </c>
    </row>
    <row r="26" customFormat="false" ht="15" hidden="false" customHeight="false" outlineLevel="0" collapsed="false">
      <c r="A26" s="2" t="s">
        <v>127</v>
      </c>
    </row>
    <row r="27" customFormat="false" ht="15" hidden="false" customHeight="false" outlineLevel="0" collapsed="false">
      <c r="A27" s="0" t="s">
        <v>105</v>
      </c>
      <c r="B27" s="4" t="n">
        <f aca="false">Assumptions!$B$20</f>
        <v>9.5</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12</v>
      </c>
    </row>
    <row r="30" customFormat="false" ht="15" hidden="false" customHeight="false" outlineLevel="0" collapsed="false">
      <c r="A30" s="0" t="s">
        <v>128</v>
      </c>
      <c r="B30" s="0" t="n">
        <f aca="false">SUM(C21:L21)</f>
        <v>1849.2730430049</v>
      </c>
    </row>
    <row r="31" customFormat="false" ht="15" hidden="false" customHeight="false" outlineLevel="0" collapsed="false">
      <c r="A31" s="0" t="s">
        <v>129</v>
      </c>
      <c r="B31" s="0" t="n">
        <f aca="false">L19</f>
        <v>339.975694123409</v>
      </c>
    </row>
    <row r="32" customFormat="false" ht="15" hidden="false" customHeight="false" outlineLevel="0" collapsed="false">
      <c r="A32" s="0" t="s">
        <v>130</v>
      </c>
      <c r="B32" s="0" t="n">
        <f aca="false">IF(B27&gt;B28,B31*(1+B28/100)/((B27-B28)/100),B31*B29)</f>
        <v>4623.66944007836</v>
      </c>
    </row>
    <row r="33" customFormat="false" ht="15" hidden="false" customHeight="false" outlineLevel="0" collapsed="false">
      <c r="A33" s="0" t="s">
        <v>131</v>
      </c>
      <c r="B33" s="0" t="n">
        <f aca="false">B31*B29</f>
        <v>4079.70832948091</v>
      </c>
    </row>
    <row r="34" customFormat="false" ht="15" hidden="false" customHeight="false" outlineLevel="0" collapsed="false">
      <c r="A34" s="0" t="s">
        <v>132</v>
      </c>
      <c r="B34" s="0" t="n">
        <f aca="false">MAX(0,MIN(B32,B33))</f>
        <v>4079.70832948091</v>
      </c>
    </row>
    <row r="35" customFormat="false" ht="15" hidden="false" customHeight="false" outlineLevel="0" collapsed="false">
      <c r="A35" s="0" t="s">
        <v>133</v>
      </c>
      <c r="B35" s="0" t="n">
        <f aca="false">B34/(1+B27/100)^L4</f>
        <v>1646.22018870463</v>
      </c>
    </row>
    <row r="36" customFormat="false" ht="15" hidden="false" customHeight="false" outlineLevel="0" collapsed="false">
      <c r="A36" s="0" t="s">
        <v>134</v>
      </c>
      <c r="B36" s="0" t="n">
        <f aca="false">B30+B35</f>
        <v>3495.49323170953</v>
      </c>
    </row>
    <row r="37" customFormat="false" ht="15" hidden="false" customHeight="false" outlineLevel="0" collapsed="false">
      <c r="A37" s="0" t="s">
        <v>135</v>
      </c>
      <c r="B37" s="0" t="n">
        <f aca="false">B36+Assumptions!$B$5-Assumptions!$B$4</f>
        <v>2580.04323170953</v>
      </c>
    </row>
    <row r="38" customFormat="false" ht="15" hidden="false" customHeight="false" outlineLevel="0" collapsed="false">
      <c r="A38" s="0" t="s">
        <v>136</v>
      </c>
      <c r="B38" s="0" t="n">
        <f aca="false">B37/Assumptions!$B$3*Assumptions!$B$10</f>
        <v>2.06817092722206</v>
      </c>
    </row>
    <row r="39" customFormat="false" ht="15" hidden="false" customHeight="false" outlineLevel="0" collapsed="false">
      <c r="A39" s="0" t="s">
        <v>137</v>
      </c>
      <c r="B39" s="4" t="n">
        <f aca="false">B38/Assumptions!$B$2-1</f>
        <v>-0.508747998284545</v>
      </c>
    </row>
    <row r="41" customFormat="false" ht="15" hidden="false" customHeight="false" outlineLevel="0" collapsed="false">
      <c r="A41" s="0" t="s">
        <v>138</v>
      </c>
      <c r="B41" s="0" t="n">
        <f aca="false">SUMPRODUCT(-C10:L10/(1+$B$27/100)^C4:L4)</f>
        <v>16.7075791418869</v>
      </c>
    </row>
    <row r="42" customFormat="false" ht="15" hidden="false" customHeight="false" outlineLevel="0" collapsed="false">
      <c r="A42" s="0" t="s">
        <v>139</v>
      </c>
      <c r="B42" s="0" t="n">
        <f aca="false">IF(B27&gt;B28,-L10*(1+B28/100)/((B27-B28)/100),-L10*20)/(1+B27/100)^L4</f>
        <v>16.1302025056017</v>
      </c>
    </row>
    <row r="43" customFormat="false" ht="15" hidden="false" customHeight="false" outlineLevel="0" collapsed="false">
      <c r="A43" s="0" t="s">
        <v>140</v>
      </c>
      <c r="B43" s="0" t="n">
        <f aca="false">(B37+B41+B42)/Assumptions!$B$3*Assumptions!$B$10</f>
        <v>2.09449379828218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2667.50160004521</v>
      </c>
    </row>
    <row r="47" customFormat="false" ht="15" hidden="false" customHeight="false" outlineLevel="0" collapsed="false">
      <c r="A47" s="0" t="s">
        <v>142</v>
      </c>
      <c r="B47" s="0" t="n">
        <f aca="false">(SUMPRODUCT(C19:L19/(1+B45/100)^C4:L4)+B46/(1+B45/100)^L4+Assumptions!$B$5-Assumptions!$B$4)/Assumptions!$B$3*Assumptions!$B$10</f>
        <v>0.964098666375738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1.5</v>
      </c>
      <c r="D5" s="4" t="n">
        <f aca="false">Assumptions!D27</f>
        <v>3</v>
      </c>
      <c r="E5" s="4" t="n">
        <f aca="false">Assumptions!E27</f>
        <v>3.5</v>
      </c>
      <c r="F5" s="4" t="n">
        <f aca="false">Assumptions!F27</f>
        <v>3.5</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37</v>
      </c>
      <c r="B6" s="3" t="n">
        <v>4266.418</v>
      </c>
      <c r="C6" s="0" t="n">
        <f aca="false">B6*(1+C5/100)</f>
        <v>4330.41427</v>
      </c>
      <c r="D6" s="0" t="n">
        <f aca="false">C6*(1+D5/100)</f>
        <v>4460.3266981</v>
      </c>
      <c r="E6" s="0" t="n">
        <f aca="false">D6*(1+E5/100)</f>
        <v>4616.4381325335</v>
      </c>
      <c r="F6" s="0" t="n">
        <f aca="false">E6*(1+F5/100)</f>
        <v>4778.01346717217</v>
      </c>
      <c r="G6" s="0" t="n">
        <f aca="false">F6*(1+G5/100)</f>
        <v>4945.2439385232</v>
      </c>
      <c r="H6" s="0" t="n">
        <f aca="false">G6*(1+H5/100)</f>
        <v>5093.60125667889</v>
      </c>
      <c r="I6" s="0" t="n">
        <f aca="false">H6*(1+I5/100)</f>
        <v>5246.40929437926</v>
      </c>
      <c r="J6" s="0" t="n">
        <f aca="false">I6*(1+J5/100)</f>
        <v>5377.56952673874</v>
      </c>
      <c r="K6" s="0" t="n">
        <f aca="false">J6*(1+K5/100)</f>
        <v>5512.00876490721</v>
      </c>
      <c r="L6" s="0" t="n">
        <f aca="false">K6*(1+L5/100)</f>
        <v>5649.80898402989</v>
      </c>
    </row>
    <row r="7" customFormat="false" ht="15" hidden="false" customHeight="false" outlineLevel="0" collapsed="false">
      <c r="A7" s="0" t="s">
        <v>99</v>
      </c>
      <c r="C7" s="4" t="n">
        <f aca="false">Assumptions!C28</f>
        <v>23.3</v>
      </c>
      <c r="D7" s="4" t="n">
        <f aca="false">Assumptions!D28</f>
        <v>23.5</v>
      </c>
      <c r="E7" s="4" t="n">
        <f aca="false">Assumptions!E28</f>
        <v>23.8</v>
      </c>
      <c r="F7" s="4" t="n">
        <f aca="false">Assumptions!F28</f>
        <v>24</v>
      </c>
      <c r="G7" s="4" t="n">
        <f aca="false">Assumptions!G28</f>
        <v>24</v>
      </c>
      <c r="H7" s="4" t="n">
        <f aca="false">Assumptions!H28</f>
        <v>24</v>
      </c>
      <c r="I7" s="4" t="n">
        <f aca="false">Assumptions!I28</f>
        <v>24</v>
      </c>
      <c r="J7" s="4" t="n">
        <f aca="false">Assumptions!J28</f>
        <v>24</v>
      </c>
      <c r="K7" s="4" t="n">
        <f aca="false">Assumptions!K28</f>
        <v>24</v>
      </c>
      <c r="L7" s="4" t="n">
        <f aca="false">Assumptions!L28</f>
        <v>24</v>
      </c>
    </row>
    <row r="8" customFormat="false" ht="15" hidden="false" customHeight="false" outlineLevel="0" collapsed="false">
      <c r="A8" s="0" t="s">
        <v>43</v>
      </c>
      <c r="C8" s="0" t="n">
        <f aca="false">C6*C7/100</f>
        <v>1008.98652491</v>
      </c>
      <c r="D8" s="0" t="n">
        <f aca="false">D6*D7/100</f>
        <v>1048.1767740535</v>
      </c>
      <c r="E8" s="0" t="n">
        <f aca="false">E6*E7/100</f>
        <v>1098.71227554297</v>
      </c>
      <c r="F8" s="0" t="n">
        <f aca="false">F6*F7/100</f>
        <v>1146.72323212132</v>
      </c>
      <c r="G8" s="0" t="n">
        <f aca="false">G6*G7/100</f>
        <v>1186.85854524557</v>
      </c>
      <c r="H8" s="0" t="n">
        <f aca="false">H6*H7/100</f>
        <v>1222.46430160293</v>
      </c>
      <c r="I8" s="0" t="n">
        <f aca="false">I6*I7/100</f>
        <v>1259.13823065102</v>
      </c>
      <c r="J8" s="0" t="n">
        <f aca="false">J6*J7/100</f>
        <v>1290.6166864173</v>
      </c>
      <c r="K8" s="0" t="n">
        <f aca="false">K6*K7/100</f>
        <v>1322.88210357773</v>
      </c>
      <c r="L8" s="0" t="n">
        <f aca="false">L6*L7/100</f>
        <v>1355.95415616717</v>
      </c>
    </row>
    <row r="9" customFormat="false" ht="15" hidden="false" customHeight="false" outlineLevel="0" collapsed="false">
      <c r="A9" s="0" t="s">
        <v>100</v>
      </c>
      <c r="C9" s="4" t="n">
        <f aca="false">Assumptions!C29</f>
        <v>0.06</v>
      </c>
      <c r="D9" s="4" t="n">
        <f aca="false">Assumptions!D29</f>
        <v>0.06</v>
      </c>
      <c r="E9" s="4" t="n">
        <f aca="false">Assumptions!E29</f>
        <v>0.06</v>
      </c>
      <c r="F9" s="4" t="n">
        <f aca="false">Assumptions!F29</f>
        <v>0.06</v>
      </c>
      <c r="G9" s="4" t="n">
        <f aca="false">Assumptions!G29</f>
        <v>0.06</v>
      </c>
      <c r="H9" s="4" t="n">
        <f aca="false">Assumptions!H29</f>
        <v>0.06</v>
      </c>
      <c r="I9" s="4" t="n">
        <f aca="false">Assumptions!I29</f>
        <v>0.06</v>
      </c>
      <c r="J9" s="4" t="n">
        <f aca="false">Assumptions!J29</f>
        <v>0.06</v>
      </c>
      <c r="K9" s="4" t="n">
        <f aca="false">Assumptions!K29</f>
        <v>0.06</v>
      </c>
      <c r="L9" s="4" t="n">
        <f aca="false">Assumptions!L29</f>
        <v>0.06</v>
      </c>
    </row>
    <row r="10" customFormat="false" ht="15" hidden="false" customHeight="false" outlineLevel="0" collapsed="false">
      <c r="A10" s="0" t="s">
        <v>115</v>
      </c>
      <c r="C10" s="0" t="n">
        <f aca="false">-C6*C9/100</f>
        <v>-2.598248562</v>
      </c>
      <c r="D10" s="0" t="n">
        <f aca="false">-D6*D9/100</f>
        <v>-2.67619601886</v>
      </c>
      <c r="E10" s="0" t="n">
        <f aca="false">-E6*E9/100</f>
        <v>-2.7698628795201</v>
      </c>
      <c r="F10" s="0" t="n">
        <f aca="false">-F6*F9/100</f>
        <v>-2.8668080803033</v>
      </c>
      <c r="G10" s="0" t="n">
        <f aca="false">-G6*G9/100</f>
        <v>-2.96714636311392</v>
      </c>
      <c r="H10" s="0" t="n">
        <f aca="false">-H6*H9/100</f>
        <v>-3.05616075400734</v>
      </c>
      <c r="I10" s="0" t="n">
        <f aca="false">-I6*I9/100</f>
        <v>-3.14784557662756</v>
      </c>
      <c r="J10" s="0" t="n">
        <f aca="false">-J6*J9/100</f>
        <v>-3.22654171604324</v>
      </c>
      <c r="K10" s="0" t="n">
        <f aca="false">-K6*K9/100</f>
        <v>-3.30720525894433</v>
      </c>
      <c r="L10" s="0" t="n">
        <f aca="false">-L6*L9/100</f>
        <v>-3.38988539041793</v>
      </c>
    </row>
    <row r="11" customFormat="false" ht="15" hidden="false" customHeight="false" outlineLevel="0" collapsed="false">
      <c r="A11" s="0" t="s">
        <v>116</v>
      </c>
      <c r="C11" s="0" t="n">
        <f aca="false">C8+C10+C24</f>
        <v>772.545905768</v>
      </c>
      <c r="D11" s="0" t="n">
        <f aca="false">D8+D10+D24</f>
        <v>804.64293633724</v>
      </c>
      <c r="E11" s="0" t="n">
        <f aca="false">E8+E10+E24</f>
        <v>846.654753506644</v>
      </c>
      <c r="F11" s="0" t="n">
        <f aca="false">F8+F10+F24</f>
        <v>885.84369681372</v>
      </c>
      <c r="G11" s="0" t="n">
        <f aca="false">G8+G10+G24</f>
        <v>916.848226202201</v>
      </c>
      <c r="H11" s="0" t="n">
        <f aca="false">H8+H10+H24</f>
        <v>944.353672988267</v>
      </c>
      <c r="I11" s="0" t="n">
        <f aca="false">I8+I10+I24</f>
        <v>972.684283177915</v>
      </c>
      <c r="J11" s="0" t="n">
        <f aca="false">J8+J10+J24</f>
        <v>997.001390257362</v>
      </c>
      <c r="K11" s="0" t="n">
        <f aca="false">K8+K10+K24</f>
        <v>1021.9264250138</v>
      </c>
      <c r="L11" s="0" t="n">
        <f aca="false">L8+L10+L24</f>
        <v>1047.47458563914</v>
      </c>
    </row>
    <row r="12" customFormat="false" ht="15" hidden="false" customHeight="false" outlineLevel="0" collapsed="false">
      <c r="A12" s="0" t="s">
        <v>117</v>
      </c>
      <c r="C12" s="4" t="n">
        <f aca="false">-C6*Assumptions!C31/100</f>
        <v>-108.26035675</v>
      </c>
      <c r="D12" s="4" t="n">
        <f aca="false">-D6*Assumptions!D31/100</f>
        <v>-111.5081674525</v>
      </c>
      <c r="E12" s="4" t="n">
        <f aca="false">-E6*Assumptions!E31/100</f>
        <v>-115.410953313337</v>
      </c>
      <c r="F12" s="4" t="n">
        <f aca="false">-F6*Assumptions!F31/100</f>
        <v>-119.450336679304</v>
      </c>
      <c r="G12" s="4" t="n">
        <f aca="false">-G6*Assumptions!G31/100</f>
        <v>-123.63109846308</v>
      </c>
      <c r="H12" s="4" t="n">
        <f aca="false">-H6*Assumptions!H31/100</f>
        <v>-127.340031416972</v>
      </c>
      <c r="I12" s="4" t="n">
        <f aca="false">-I6*Assumptions!I31/100</f>
        <v>-131.160232359481</v>
      </c>
      <c r="J12" s="4" t="n">
        <f aca="false">-J6*Assumptions!J31/100</f>
        <v>-134.439238168469</v>
      </c>
      <c r="K12" s="4" t="n">
        <f aca="false">-K6*Assumptions!K31/100</f>
        <v>-137.80021912268</v>
      </c>
      <c r="L12" s="4" t="n">
        <f aca="false">-L6*Assumptions!L31/100</f>
        <v>-141.245224600747</v>
      </c>
    </row>
    <row r="13" customFormat="false" ht="15" hidden="false" customHeight="false" outlineLevel="0" collapsed="false">
      <c r="A13" s="0" t="s">
        <v>118</v>
      </c>
      <c r="C13" s="0" t="n">
        <f aca="false">C11+C12</f>
        <v>664.285549018</v>
      </c>
      <c r="D13" s="0" t="n">
        <f aca="false">D11+D12</f>
        <v>693.13476888474</v>
      </c>
      <c r="E13" s="0" t="n">
        <f aca="false">E11+E12</f>
        <v>731.243800193306</v>
      </c>
      <c r="F13" s="0" t="n">
        <f aca="false">F11+F12</f>
        <v>766.393360134416</v>
      </c>
      <c r="G13" s="0" t="n">
        <f aca="false">G11+G12</f>
        <v>793.217127739121</v>
      </c>
      <c r="H13" s="0" t="n">
        <f aca="false">H11+H12</f>
        <v>817.013641571294</v>
      </c>
      <c r="I13" s="0" t="n">
        <f aca="false">I11+I12</f>
        <v>841.524050818433</v>
      </c>
      <c r="J13" s="0" t="n">
        <f aca="false">J11+J12</f>
        <v>862.562152088894</v>
      </c>
      <c r="K13" s="0" t="n">
        <f aca="false">K11+K12</f>
        <v>884.126205891116</v>
      </c>
      <c r="L13" s="0" t="n">
        <f aca="false">L11+L12</f>
        <v>906.229361038394</v>
      </c>
    </row>
    <row r="14" customFormat="false" ht="15" hidden="false" customHeight="false" outlineLevel="0" collapsed="false">
      <c r="A14" s="0" t="s">
        <v>104</v>
      </c>
      <c r="C14" s="4" t="n">
        <f aca="false">Assumptions!C33</f>
        <v>29.5</v>
      </c>
      <c r="D14" s="4" t="n">
        <f aca="false">Assumptions!D33</f>
        <v>29.5</v>
      </c>
      <c r="E14" s="4" t="n">
        <f aca="false">Assumptions!E33</f>
        <v>29.5</v>
      </c>
      <c r="F14" s="4" t="n">
        <f aca="false">Assumptions!F33</f>
        <v>29.5</v>
      </c>
      <c r="G14" s="4" t="n">
        <f aca="false">Assumptions!G33</f>
        <v>29.5</v>
      </c>
      <c r="H14" s="4" t="n">
        <f aca="false">Assumptions!H33</f>
        <v>29.5</v>
      </c>
      <c r="I14" s="4" t="n">
        <f aca="false">Assumptions!I33</f>
        <v>29.5</v>
      </c>
      <c r="J14" s="4" t="n">
        <f aca="false">Assumptions!J33</f>
        <v>29.5</v>
      </c>
      <c r="K14" s="4" t="n">
        <f aca="false">Assumptions!K33</f>
        <v>29.5</v>
      </c>
      <c r="L14" s="4" t="n">
        <f aca="false">Assumptions!L33</f>
        <v>29.5</v>
      </c>
    </row>
    <row r="15" customFormat="false" ht="15" hidden="false" customHeight="false" outlineLevel="0" collapsed="false">
      <c r="A15" s="0" t="s">
        <v>119</v>
      </c>
      <c r="C15" s="0" t="n">
        <f aca="false">C13-MAX(0,C13)*C14/100</f>
        <v>468.32131205769</v>
      </c>
      <c r="D15" s="0" t="n">
        <f aca="false">D13-MAX(0,D13)*D14/100</f>
        <v>488.660012063742</v>
      </c>
      <c r="E15" s="0" t="n">
        <f aca="false">E13-MAX(0,E13)*E14/100</f>
        <v>515.526879136281</v>
      </c>
      <c r="F15" s="0" t="n">
        <f aca="false">F13-MAX(0,F13)*F14/100</f>
        <v>540.307318894763</v>
      </c>
      <c r="G15" s="0" t="n">
        <f aca="false">G13-MAX(0,G13)*G14/100</f>
        <v>559.21807505608</v>
      </c>
      <c r="H15" s="0" t="n">
        <f aca="false">H13-MAX(0,H13)*H14/100</f>
        <v>575.994617307762</v>
      </c>
      <c r="I15" s="0" t="n">
        <f aca="false">I13-MAX(0,I13)*I14/100</f>
        <v>593.274455826995</v>
      </c>
      <c r="J15" s="0" t="n">
        <f aca="false">J13-MAX(0,J13)*J14/100</f>
        <v>608.10631722267</v>
      </c>
      <c r="K15" s="0" t="n">
        <f aca="false">K13-MAX(0,K13)*K14/100</f>
        <v>623.308975153237</v>
      </c>
      <c r="L15" s="0" t="n">
        <f aca="false">L13-MAX(0,L13)*L14/100</f>
        <v>638.891699532068</v>
      </c>
    </row>
    <row r="16" customFormat="false" ht="15" hidden="false" customHeight="false" outlineLevel="0" collapsed="false">
      <c r="A16" s="0" t="s">
        <v>120</v>
      </c>
      <c r="C16" s="0" t="n">
        <f aca="false">-C12</f>
        <v>108.26035675</v>
      </c>
      <c r="D16" s="0" t="n">
        <f aca="false">-D12</f>
        <v>111.5081674525</v>
      </c>
      <c r="E16" s="0" t="n">
        <f aca="false">-E12</f>
        <v>115.410953313337</v>
      </c>
      <c r="F16" s="0" t="n">
        <f aca="false">-F12</f>
        <v>119.450336679304</v>
      </c>
      <c r="G16" s="0" t="n">
        <f aca="false">-G12</f>
        <v>123.63109846308</v>
      </c>
      <c r="H16" s="0" t="n">
        <f aca="false">-H12</f>
        <v>127.340031416972</v>
      </c>
      <c r="I16" s="0" t="n">
        <f aca="false">-I12</f>
        <v>131.160232359481</v>
      </c>
      <c r="J16" s="0" t="n">
        <f aca="false">-J12</f>
        <v>134.439238168469</v>
      </c>
      <c r="K16" s="0" t="n">
        <f aca="false">-K12</f>
        <v>137.80021912268</v>
      </c>
      <c r="L16" s="0" t="n">
        <f aca="false">-L12</f>
        <v>141.245224600747</v>
      </c>
    </row>
    <row r="17" customFormat="false" ht="15" hidden="false" customHeight="false" outlineLevel="0" collapsed="false">
      <c r="A17" s="0" t="s">
        <v>121</v>
      </c>
      <c r="C17" s="4" t="n">
        <f aca="false">-C6*Assumptions!C32/100</f>
        <v>-281.47692755</v>
      </c>
      <c r="D17" s="4" t="n">
        <f aca="false">-D6*Assumptions!D32/100</f>
        <v>-281.0005819803</v>
      </c>
      <c r="E17" s="4" t="n">
        <f aca="false">-E6*Assumptions!E32/100</f>
        <v>-276.98628795201</v>
      </c>
      <c r="F17" s="4" t="n">
        <f aca="false">-F6*Assumptions!F32/100</f>
        <v>-277.124781095986</v>
      </c>
      <c r="G17" s="4" t="n">
        <f aca="false">-G6*Assumptions!G32/100</f>
        <v>-276.933660557299</v>
      </c>
      <c r="H17" s="4" t="n">
        <f aca="false">-H6*Assumptions!H32/100</f>
        <v>-275.05446786066</v>
      </c>
      <c r="I17" s="4" t="n">
        <f aca="false">-I6*Assumptions!I32/100</f>
        <v>-272.813283307722</v>
      </c>
      <c r="J17" s="4" t="n">
        <f aca="false">-J6*Assumptions!J32/100</f>
        <v>-268.878476336937</v>
      </c>
      <c r="K17" s="4" t="n">
        <f aca="false">-K6*Assumptions!K32/100</f>
        <v>-275.60043824536</v>
      </c>
      <c r="L17" s="4" t="n">
        <f aca="false">-L6*Assumptions!L32/100</f>
        <v>-282.490449201494</v>
      </c>
    </row>
    <row r="18" customFormat="false" ht="15" hidden="false" customHeight="false" outlineLevel="0" collapsed="false">
      <c r="A18" s="0" t="s">
        <v>122</v>
      </c>
      <c r="C18" s="4" t="n">
        <f aca="false">(C6-B6)*Assumptions!$B$37/100</f>
        <v>-3.19981349999998</v>
      </c>
      <c r="D18" s="4" t="n">
        <f aca="false">(D6-C6)*Assumptions!$B$37/100</f>
        <v>-6.49562140500002</v>
      </c>
      <c r="E18" s="4" t="n">
        <f aca="false">(E6-D6)*Assumptions!$B$37/100</f>
        <v>-7.80557172167496</v>
      </c>
      <c r="F18" s="4" t="n">
        <f aca="false">(F6-E6)*Assumptions!$B$37/100</f>
        <v>-8.07876673193359</v>
      </c>
      <c r="G18" s="4" t="n">
        <f aca="false">(G6-F6)*Assumptions!$B$37/100</f>
        <v>-8.36152356755128</v>
      </c>
      <c r="H18" s="4" t="n">
        <f aca="false">(H6-G6)*Assumptions!$B$37/100</f>
        <v>-7.41786590778479</v>
      </c>
      <c r="I18" s="4" t="n">
        <f aca="false">(I6-H6)*Assumptions!$B$37/100</f>
        <v>-7.64040188501835</v>
      </c>
      <c r="J18" s="4" t="n">
        <f aca="false">(J6-I6)*Assumptions!$B$37/100</f>
        <v>-6.55801161797403</v>
      </c>
      <c r="K18" s="4" t="n">
        <f aca="false">(K6-J6)*Assumptions!$B$37/100</f>
        <v>-6.72196190842342</v>
      </c>
      <c r="L18" s="4" t="n">
        <f aca="false">(L6-K6)*Assumptions!$B$37/100</f>
        <v>-6.89001095613398</v>
      </c>
    </row>
    <row r="19" customFormat="false" ht="15" hidden="false" customHeight="false" outlineLevel="0" collapsed="false">
      <c r="A19" s="0" t="s">
        <v>123</v>
      </c>
      <c r="C19" s="0" t="n">
        <f aca="false">C15+C16+C17+C18</f>
        <v>291.90492775769</v>
      </c>
      <c r="D19" s="0" t="n">
        <f aca="false">D15+D16+D17+D18</f>
        <v>312.671976130942</v>
      </c>
      <c r="E19" s="0" t="n">
        <f aca="false">E15+E16+E17+E18</f>
        <v>346.145972775933</v>
      </c>
      <c r="F19" s="0" t="n">
        <f aca="false">F15+F16+F17+F18</f>
        <v>374.554107746148</v>
      </c>
      <c r="G19" s="0" t="n">
        <f aca="false">G15+G16+G17+G18</f>
        <v>397.55398939431</v>
      </c>
      <c r="H19" s="0" t="n">
        <f aca="false">H15+H16+H17+H18</f>
        <v>420.86231495629</v>
      </c>
      <c r="I19" s="0" t="n">
        <f aca="false">I15+I16+I17+I18</f>
        <v>443.981002993737</v>
      </c>
      <c r="J19" s="0" t="n">
        <f aca="false">J15+J16+J17+J18</f>
        <v>467.109067436228</v>
      </c>
      <c r="K19" s="0" t="n">
        <f aca="false">K15+K16+K17+K18</f>
        <v>478.786794122133</v>
      </c>
      <c r="L19" s="0" t="n">
        <f aca="false">L15+L16+L17+L18</f>
        <v>490.756463975187</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266.579842701087</v>
      </c>
      <c r="D21" s="0" t="n">
        <f aca="false">D19*D20</f>
        <v>260.771857243128</v>
      </c>
      <c r="E21" s="0" t="n">
        <f aca="false">E19*E20</f>
        <v>263.64341329913</v>
      </c>
      <c r="F21" s="0" t="n">
        <f aca="false">F19*F20</f>
        <v>260.530208866922</v>
      </c>
      <c r="G21" s="0" t="n">
        <f aca="false">G19*G20</f>
        <v>252.537292506437</v>
      </c>
      <c r="H21" s="0" t="n">
        <f aca="false">H19*H20</f>
        <v>244.149210716715</v>
      </c>
      <c r="I21" s="0" t="n">
        <f aca="false">I19*I20</f>
        <v>235.215292392745</v>
      </c>
      <c r="J21" s="0" t="n">
        <f aca="false">J19*J20</f>
        <v>225.998389551101</v>
      </c>
      <c r="K21" s="0" t="n">
        <f aca="false">K19*K20</f>
        <v>211.551003917697</v>
      </c>
      <c r="L21" s="0" t="n">
        <f aca="false">L19*L20</f>
        <v>198.027195448073</v>
      </c>
    </row>
    <row r="23" customFormat="false" ht="15" hidden="false" customHeight="false" outlineLevel="0" collapsed="false">
      <c r="A23" s="0" t="s">
        <v>101</v>
      </c>
      <c r="C23" s="4" t="n">
        <f aca="false">Assumptions!C30</f>
        <v>5.4</v>
      </c>
      <c r="D23" s="4" t="n">
        <f aca="false">Assumptions!D30</f>
        <v>5.4</v>
      </c>
      <c r="E23" s="4" t="n">
        <f aca="false">Assumptions!E30</f>
        <v>5.4</v>
      </c>
      <c r="F23" s="4" t="n">
        <f aca="false">Assumptions!F30</f>
        <v>5.4</v>
      </c>
      <c r="G23" s="4" t="n">
        <f aca="false">Assumptions!G30</f>
        <v>5.4</v>
      </c>
      <c r="H23" s="4" t="n">
        <f aca="false">Assumptions!H30</f>
        <v>5.4</v>
      </c>
      <c r="I23" s="4" t="n">
        <f aca="false">Assumptions!I30</f>
        <v>5.4</v>
      </c>
      <c r="J23" s="4" t="n">
        <f aca="false">Assumptions!J30</f>
        <v>5.4</v>
      </c>
      <c r="K23" s="4" t="n">
        <f aca="false">Assumptions!K30</f>
        <v>5.4</v>
      </c>
      <c r="L23" s="4" t="n">
        <f aca="false">Assumptions!L30</f>
        <v>5.4</v>
      </c>
    </row>
    <row r="24" customFormat="false" ht="15" hidden="false" customHeight="false" outlineLevel="0" collapsed="false">
      <c r="A24" s="0" t="s">
        <v>126</v>
      </c>
      <c r="C24" s="0" t="n">
        <f aca="false">-C6*C23/100</f>
        <v>-233.84237058</v>
      </c>
      <c r="D24" s="0" t="n">
        <f aca="false">-D6*D23/100</f>
        <v>-240.8576416974</v>
      </c>
      <c r="E24" s="0" t="n">
        <f aca="false">-E6*E23/100</f>
        <v>-249.287659156809</v>
      </c>
      <c r="F24" s="0" t="n">
        <f aca="false">-F6*F23/100</f>
        <v>-258.012727227297</v>
      </c>
      <c r="G24" s="0" t="n">
        <f aca="false">-G6*G23/100</f>
        <v>-267.043172680253</v>
      </c>
      <c r="H24" s="0" t="n">
        <f aca="false">-H6*H23/100</f>
        <v>-275.05446786066</v>
      </c>
      <c r="I24" s="0" t="n">
        <f aca="false">-I6*I23/100</f>
        <v>-283.30610189648</v>
      </c>
      <c r="J24" s="0" t="n">
        <f aca="false">-J6*J23/100</f>
        <v>-290.388754443892</v>
      </c>
      <c r="K24" s="0" t="n">
        <f aca="false">-K6*K23/100</f>
        <v>-297.648473304989</v>
      </c>
      <c r="L24" s="0" t="n">
        <f aca="false">-L6*L23/100</f>
        <v>-305.089685137614</v>
      </c>
    </row>
    <row r="26" customFormat="false" ht="15" hidden="false" customHeight="false" outlineLevel="0" collapsed="false">
      <c r="A26" s="2" t="s">
        <v>127</v>
      </c>
    </row>
    <row r="27" customFormat="false" ht="15" hidden="false" customHeight="false" outlineLevel="0" collapsed="false">
      <c r="A27" s="0" t="s">
        <v>105</v>
      </c>
      <c r="B27" s="4" t="n">
        <f aca="false">Assumptions!$B$34</f>
        <v>9.5</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14</v>
      </c>
    </row>
    <row r="30" customFormat="false" ht="15" hidden="false" customHeight="false" outlineLevel="0" collapsed="false">
      <c r="A30" s="0" t="s">
        <v>128</v>
      </c>
      <c r="B30" s="0" t="n">
        <f aca="false">SUM(C21:L21)</f>
        <v>2419.00370664304</v>
      </c>
    </row>
    <row r="31" customFormat="false" ht="15" hidden="false" customHeight="false" outlineLevel="0" collapsed="false">
      <c r="A31" s="0" t="s">
        <v>129</v>
      </c>
      <c r="B31" s="0" t="n">
        <f aca="false">L19</f>
        <v>490.756463975187</v>
      </c>
    </row>
    <row r="32" customFormat="false" ht="15" hidden="false" customHeight="false" outlineLevel="0" collapsed="false">
      <c r="A32" s="0" t="s">
        <v>130</v>
      </c>
      <c r="B32" s="0" t="n">
        <f aca="false">IF(B27&gt;B28,B31*(1+B28/100)/((B27-B28)/100),B31*B29)</f>
        <v>7186.07679392237</v>
      </c>
    </row>
    <row r="33" customFormat="false" ht="15" hidden="false" customHeight="false" outlineLevel="0" collapsed="false">
      <c r="A33" s="0" t="s">
        <v>131</v>
      </c>
      <c r="B33" s="0" t="n">
        <f aca="false">B31*B29</f>
        <v>6870.59049565261</v>
      </c>
    </row>
    <row r="34" customFormat="false" ht="15" hidden="false" customHeight="false" outlineLevel="0" collapsed="false">
      <c r="A34" s="0" t="s">
        <v>132</v>
      </c>
      <c r="B34" s="0" t="n">
        <f aca="false">MAX(0,MIN(B32,B33))</f>
        <v>6870.59049565261</v>
      </c>
    </row>
    <row r="35" customFormat="false" ht="15" hidden="false" customHeight="false" outlineLevel="0" collapsed="false">
      <c r="A35" s="0" t="s">
        <v>133</v>
      </c>
      <c r="B35" s="0" t="n">
        <f aca="false">B34/(1+B27/100)^L4</f>
        <v>2772.38073627302</v>
      </c>
    </row>
    <row r="36" customFormat="false" ht="15" hidden="false" customHeight="false" outlineLevel="0" collapsed="false">
      <c r="A36" s="0" t="s">
        <v>134</v>
      </c>
      <c r="B36" s="0" t="n">
        <f aca="false">B30+B35</f>
        <v>5191.38444291606</v>
      </c>
    </row>
    <row r="37" customFormat="false" ht="15" hidden="false" customHeight="false" outlineLevel="0" collapsed="false">
      <c r="A37" s="0" t="s">
        <v>135</v>
      </c>
      <c r="B37" s="0" t="n">
        <f aca="false">B36+Assumptions!$B$5-Assumptions!$B$4</f>
        <v>4275.93444291606</v>
      </c>
    </row>
    <row r="38" customFormat="false" ht="15" hidden="false" customHeight="false" outlineLevel="0" collapsed="false">
      <c r="A38" s="0" t="s">
        <v>136</v>
      </c>
      <c r="B38" s="0" t="n">
        <f aca="false">B37/Assumptions!$B$3*Assumptions!$B$10</f>
        <v>3.42760275985255</v>
      </c>
    </row>
    <row r="39" customFormat="false" ht="15" hidden="false" customHeight="false" outlineLevel="0" collapsed="false">
      <c r="A39" s="0" t="s">
        <v>137</v>
      </c>
      <c r="B39" s="4" t="n">
        <f aca="false">B38/Assumptions!$B$2-1</f>
        <v>-0.185842574856877</v>
      </c>
    </row>
    <row r="41" customFormat="false" ht="15" hidden="false" customHeight="false" outlineLevel="0" collapsed="false">
      <c r="A41" s="0" t="s">
        <v>138</v>
      </c>
      <c r="B41" s="0" t="n">
        <f aca="false">SUMPRODUCT(-C10:L10/(1+$B$27/100)^C4:L4)</f>
        <v>18.4242174824236</v>
      </c>
    </row>
    <row r="42" customFormat="false" ht="15" hidden="false" customHeight="false" outlineLevel="0" collapsed="false">
      <c r="A42" s="0" t="s">
        <v>139</v>
      </c>
      <c r="B42" s="0" t="n">
        <f aca="false">IF(B27&gt;B28,-L10*(1+B28/100)/((B27-B28)/100),-L10*20)/(1+B27/100)^L4</f>
        <v>20.0294788230825</v>
      </c>
    </row>
    <row r="43" customFormat="false" ht="15" hidden="false" customHeight="false" outlineLevel="0" collapsed="false">
      <c r="A43" s="0" t="s">
        <v>140</v>
      </c>
      <c r="B43" s="0" t="n">
        <f aca="false">(B37+B41+B42)/Assumptions!$B$3*Assumptions!$B$10</f>
        <v>3.45842736610947</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4024.20300459653</v>
      </c>
    </row>
    <row r="47" customFormat="false" ht="15" hidden="false" customHeight="false" outlineLevel="0" collapsed="false">
      <c r="A47" s="0" t="s">
        <v>142</v>
      </c>
      <c r="B47" s="0" t="n">
        <f aca="false">(SUMPRODUCT(C19:L19/(1+B45/100)^C4:L4)+B46/(1+B45/100)^L4+Assumptions!$B$5-Assumptions!$B$4)/Assumptions!$B$3*Assumptions!$B$10</f>
        <v>1.5774726427262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3.5</v>
      </c>
      <c r="D5" s="4" t="n">
        <f aca="false">Assumptions!D41</f>
        <v>5</v>
      </c>
      <c r="E5" s="4" t="n">
        <f aca="false">Assumptions!E41</f>
        <v>5</v>
      </c>
      <c r="F5" s="4" t="n">
        <f aca="false">Assumptions!F41</f>
        <v>4.5</v>
      </c>
      <c r="G5" s="4" t="n">
        <f aca="false">Assumptions!G41</f>
        <v>4.5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4266.418</v>
      </c>
      <c r="C6" s="0" t="n">
        <f aca="false">B6*(1+C5/100)</f>
        <v>4415.74263</v>
      </c>
      <c r="D6" s="0" t="n">
        <f aca="false">C6*(1+D5/100)</f>
        <v>4636.5297615</v>
      </c>
      <c r="E6" s="0" t="n">
        <f aca="false">D6*(1+E5/100)</f>
        <v>4868.356249575</v>
      </c>
      <c r="F6" s="0" t="n">
        <f aca="false">E6*(1+F5/100)</f>
        <v>5087.43228080588</v>
      </c>
      <c r="G6" s="0" t="n">
        <f aca="false">F6*(1+G5/100)</f>
        <v>5316.36673344214</v>
      </c>
      <c r="H6" s="0" t="n">
        <f aca="false">G6*(1+H5/100)</f>
        <v>5529.02140277983</v>
      </c>
      <c r="I6" s="0" t="n">
        <f aca="false">H6*(1+I5/100)</f>
        <v>5722.53715187712</v>
      </c>
      <c r="J6" s="0" t="n">
        <f aca="false">I6*(1+J5/100)</f>
        <v>5894.21326643343</v>
      </c>
      <c r="K6" s="0" t="n">
        <f aca="false">J6*(1+K5/100)</f>
        <v>6071.03966442644</v>
      </c>
      <c r="L6" s="0" t="n">
        <f aca="false">K6*(1+L5/100)</f>
        <v>6253.17085435923</v>
      </c>
    </row>
    <row r="7" customFormat="false" ht="15" hidden="false" customHeight="false" outlineLevel="0" collapsed="false">
      <c r="A7" s="0" t="s">
        <v>99</v>
      </c>
      <c r="C7" s="4" t="n">
        <f aca="false">Assumptions!C42</f>
        <v>24</v>
      </c>
      <c r="D7" s="4" t="n">
        <f aca="false">Assumptions!D42</f>
        <v>24.3</v>
      </c>
      <c r="E7" s="4" t="n">
        <f aca="false">Assumptions!E42</f>
        <v>24.6</v>
      </c>
      <c r="F7" s="4" t="n">
        <f aca="false">Assumptions!F42</f>
        <v>24.8</v>
      </c>
      <c r="G7" s="4" t="n">
        <f aca="false">Assumptions!G42</f>
        <v>25</v>
      </c>
      <c r="H7" s="4" t="n">
        <f aca="false">Assumptions!H42</f>
        <v>25</v>
      </c>
      <c r="I7" s="4" t="n">
        <f aca="false">Assumptions!I42</f>
        <v>25</v>
      </c>
      <c r="J7" s="4" t="n">
        <f aca="false">Assumptions!J42</f>
        <v>25</v>
      </c>
      <c r="K7" s="4" t="n">
        <f aca="false">Assumptions!K42</f>
        <v>25</v>
      </c>
      <c r="L7" s="4" t="n">
        <f aca="false">Assumptions!L42</f>
        <v>25</v>
      </c>
    </row>
    <row r="8" customFormat="false" ht="15" hidden="false" customHeight="false" outlineLevel="0" collapsed="false">
      <c r="A8" s="0" t="s">
        <v>43</v>
      </c>
      <c r="C8" s="0" t="n">
        <f aca="false">C6*C7/100</f>
        <v>1059.7782312</v>
      </c>
      <c r="D8" s="0" t="n">
        <f aca="false">D6*D7/100</f>
        <v>1126.6767320445</v>
      </c>
      <c r="E8" s="0" t="n">
        <f aca="false">E6*E7/100</f>
        <v>1197.61563739545</v>
      </c>
      <c r="F8" s="0" t="n">
        <f aca="false">F6*F7/100</f>
        <v>1261.68320563986</v>
      </c>
      <c r="G8" s="0" t="n">
        <f aca="false">G6*G7/100</f>
        <v>1329.09168336053</v>
      </c>
      <c r="H8" s="0" t="n">
        <f aca="false">H6*H7/100</f>
        <v>1382.25535069496</v>
      </c>
      <c r="I8" s="0" t="n">
        <f aca="false">I6*I7/100</f>
        <v>1430.63428796928</v>
      </c>
      <c r="J8" s="0" t="n">
        <f aca="false">J6*J7/100</f>
        <v>1473.55331660836</v>
      </c>
      <c r="K8" s="0" t="n">
        <f aca="false">K6*K7/100</f>
        <v>1517.75991610661</v>
      </c>
      <c r="L8" s="0" t="n">
        <f aca="false">L6*L7/100</f>
        <v>1563.29271358981</v>
      </c>
    </row>
    <row r="9" customFormat="false" ht="15" hidden="false" customHeight="false" outlineLevel="0" collapsed="false">
      <c r="A9" s="0" t="s">
        <v>100</v>
      </c>
      <c r="C9" s="4" t="n">
        <f aca="false">Assumptions!C43</f>
        <v>0.06</v>
      </c>
      <c r="D9" s="4" t="n">
        <f aca="false">Assumptions!D43</f>
        <v>0.06</v>
      </c>
      <c r="E9" s="4" t="n">
        <f aca="false">Assumptions!E43</f>
        <v>0.06</v>
      </c>
      <c r="F9" s="4" t="n">
        <f aca="false">Assumptions!F43</f>
        <v>0.06</v>
      </c>
      <c r="G9" s="4" t="n">
        <f aca="false">Assumptions!G43</f>
        <v>0.06</v>
      </c>
      <c r="H9" s="4" t="n">
        <f aca="false">Assumptions!H43</f>
        <v>0.06</v>
      </c>
      <c r="I9" s="4" t="n">
        <f aca="false">Assumptions!I43</f>
        <v>0.06</v>
      </c>
      <c r="J9" s="4" t="n">
        <f aca="false">Assumptions!J43</f>
        <v>0.06</v>
      </c>
      <c r="K9" s="4" t="n">
        <f aca="false">Assumptions!K43</f>
        <v>0.06</v>
      </c>
      <c r="L9" s="4" t="n">
        <f aca="false">Assumptions!L43</f>
        <v>0.06</v>
      </c>
    </row>
    <row r="10" customFormat="false" ht="15" hidden="false" customHeight="false" outlineLevel="0" collapsed="false">
      <c r="A10" s="0" t="s">
        <v>115</v>
      </c>
      <c r="C10" s="0" t="n">
        <f aca="false">-C6*C9/100</f>
        <v>-2.649445578</v>
      </c>
      <c r="D10" s="0" t="n">
        <f aca="false">-D6*D9/100</f>
        <v>-2.7819178569</v>
      </c>
      <c r="E10" s="0" t="n">
        <f aca="false">-E6*E9/100</f>
        <v>-2.921013749745</v>
      </c>
      <c r="F10" s="0" t="n">
        <f aca="false">-F6*F9/100</f>
        <v>-3.05245936848353</v>
      </c>
      <c r="G10" s="0" t="n">
        <f aca="false">-G6*G9/100</f>
        <v>-3.18982004006528</v>
      </c>
      <c r="H10" s="0" t="n">
        <f aca="false">-H6*H9/100</f>
        <v>-3.31741284166789</v>
      </c>
      <c r="I10" s="0" t="n">
        <f aca="false">-I6*I9/100</f>
        <v>-3.43352229112627</v>
      </c>
      <c r="J10" s="0" t="n">
        <f aca="false">-J6*J9/100</f>
        <v>-3.53652795986006</v>
      </c>
      <c r="K10" s="0" t="n">
        <f aca="false">-K6*K9/100</f>
        <v>-3.64262379865586</v>
      </c>
      <c r="L10" s="0" t="n">
        <f aca="false">-L6*L9/100</f>
        <v>-3.75190251261554</v>
      </c>
    </row>
    <row r="11" customFormat="false" ht="15" hidden="false" customHeight="false" outlineLevel="0" collapsed="false">
      <c r="A11" s="0" t="s">
        <v>116</v>
      </c>
      <c r="C11" s="0" t="n">
        <f aca="false">C8+C10+C24</f>
        <v>823.094426232</v>
      </c>
      <c r="D11" s="0" t="n">
        <f aca="false">D8+D10+D24</f>
        <v>878.1587368281</v>
      </c>
      <c r="E11" s="0" t="n">
        <f aca="false">E8+E10+E24</f>
        <v>936.67174241823</v>
      </c>
      <c r="F11" s="0" t="n">
        <f aca="false">F8+F10+F24</f>
        <v>988.996835388662</v>
      </c>
      <c r="G11" s="0" t="n">
        <f aca="false">G8+G10+G24</f>
        <v>1044.13442644804</v>
      </c>
      <c r="H11" s="0" t="n">
        <f aca="false">H8+H10+H24</f>
        <v>1085.89980350596</v>
      </c>
      <c r="I11" s="0" t="n">
        <f aca="false">I8+I10+I24</f>
        <v>1123.90629662867</v>
      </c>
      <c r="J11" s="0" t="n">
        <f aca="false">J8+J10+J24</f>
        <v>1157.62348552753</v>
      </c>
      <c r="K11" s="0" t="n">
        <f aca="false">K8+K10+K24</f>
        <v>1192.35219009335</v>
      </c>
      <c r="L11" s="0" t="n">
        <f aca="false">L8+L10+L24</f>
        <v>1228.12275579615</v>
      </c>
    </row>
    <row r="12" customFormat="false" ht="15" hidden="false" customHeight="false" outlineLevel="0" collapsed="false">
      <c r="A12" s="0" t="s">
        <v>117</v>
      </c>
      <c r="C12" s="4" t="n">
        <f aca="false">-C6*Assumptions!C45/100</f>
        <v>-110.39356575</v>
      </c>
      <c r="D12" s="4" t="n">
        <f aca="false">-D6*Assumptions!D45/100</f>
        <v>-115.9132440375</v>
      </c>
      <c r="E12" s="4" t="n">
        <f aca="false">-E6*Assumptions!E45/100</f>
        <v>-121.708906239375</v>
      </c>
      <c r="F12" s="4" t="n">
        <f aca="false">-F6*Assumptions!F45/100</f>
        <v>-127.185807020147</v>
      </c>
      <c r="G12" s="4" t="n">
        <f aca="false">-G6*Assumptions!G45/100</f>
        <v>-132.909168336053</v>
      </c>
      <c r="H12" s="4" t="n">
        <f aca="false">-H6*Assumptions!H45/100</f>
        <v>-138.225535069496</v>
      </c>
      <c r="I12" s="4" t="n">
        <f aca="false">-I6*Assumptions!I45/100</f>
        <v>-143.063428796928</v>
      </c>
      <c r="J12" s="4" t="n">
        <f aca="false">-J6*Assumptions!J45/100</f>
        <v>-147.355331660836</v>
      </c>
      <c r="K12" s="4" t="n">
        <f aca="false">-K6*Assumptions!K45/100</f>
        <v>-151.775991610661</v>
      </c>
      <c r="L12" s="4" t="n">
        <f aca="false">-L6*Assumptions!L45/100</f>
        <v>-156.329271358981</v>
      </c>
    </row>
    <row r="13" customFormat="false" ht="15" hidden="false" customHeight="false" outlineLevel="0" collapsed="false">
      <c r="A13" s="0" t="s">
        <v>118</v>
      </c>
      <c r="C13" s="0" t="n">
        <f aca="false">C11+C12</f>
        <v>712.700860482</v>
      </c>
      <c r="D13" s="0" t="n">
        <f aca="false">D11+D12</f>
        <v>762.2454927906</v>
      </c>
      <c r="E13" s="0" t="n">
        <f aca="false">E11+E12</f>
        <v>814.962836178855</v>
      </c>
      <c r="F13" s="0" t="n">
        <f aca="false">F11+F12</f>
        <v>861.811028368515</v>
      </c>
      <c r="G13" s="0" t="n">
        <f aca="false">G11+G12</f>
        <v>911.225258111983</v>
      </c>
      <c r="H13" s="0" t="n">
        <f aca="false">H11+H12</f>
        <v>947.674268436462</v>
      </c>
      <c r="I13" s="0" t="n">
        <f aca="false">I11+I12</f>
        <v>980.842867831738</v>
      </c>
      <c r="J13" s="0" t="n">
        <f aca="false">J11+J12</f>
        <v>1010.26815386669</v>
      </c>
      <c r="K13" s="0" t="n">
        <f aca="false">K11+K12</f>
        <v>1040.57619848269</v>
      </c>
      <c r="L13" s="0" t="n">
        <f aca="false">L11+L12</f>
        <v>1071.79348443717</v>
      </c>
    </row>
    <row r="14" customFormat="false" ht="15" hidden="false" customHeight="false" outlineLevel="0" collapsed="false">
      <c r="A14" s="0" t="s">
        <v>104</v>
      </c>
      <c r="C14" s="4" t="n">
        <f aca="false">Assumptions!C47</f>
        <v>29</v>
      </c>
      <c r="D14" s="4" t="n">
        <f aca="false">Assumptions!D47</f>
        <v>29</v>
      </c>
      <c r="E14" s="4" t="n">
        <f aca="false">Assumptions!E47</f>
        <v>29</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119</v>
      </c>
      <c r="C15" s="0" t="n">
        <f aca="false">C13-MAX(0,C13)*C14/100</f>
        <v>506.01761094222</v>
      </c>
      <c r="D15" s="0" t="n">
        <f aca="false">D13-MAX(0,D13)*D14/100</f>
        <v>541.194299881326</v>
      </c>
      <c r="E15" s="0" t="n">
        <f aca="false">E13-MAX(0,E13)*E14/100</f>
        <v>578.623613686987</v>
      </c>
      <c r="F15" s="0" t="n">
        <f aca="false">F13-MAX(0,F13)*F14/100</f>
        <v>611.885830141646</v>
      </c>
      <c r="G15" s="0" t="n">
        <f aca="false">G13-MAX(0,G13)*G14/100</f>
        <v>646.969933259508</v>
      </c>
      <c r="H15" s="0" t="n">
        <f aca="false">H13-MAX(0,H13)*H14/100</f>
        <v>672.848730589888</v>
      </c>
      <c r="I15" s="0" t="n">
        <f aca="false">I13-MAX(0,I13)*I14/100</f>
        <v>696.398436160534</v>
      </c>
      <c r="J15" s="0" t="n">
        <f aca="false">J13-MAX(0,J13)*J14/100</f>
        <v>717.29038924535</v>
      </c>
      <c r="K15" s="0" t="n">
        <f aca="false">K13-MAX(0,K13)*K14/100</f>
        <v>738.809100922711</v>
      </c>
      <c r="L15" s="0" t="n">
        <f aca="false">L13-MAX(0,L13)*L14/100</f>
        <v>760.973373950392</v>
      </c>
    </row>
    <row r="16" customFormat="false" ht="15" hidden="false" customHeight="false" outlineLevel="0" collapsed="false">
      <c r="A16" s="0" t="s">
        <v>120</v>
      </c>
      <c r="C16" s="0" t="n">
        <f aca="false">-C12</f>
        <v>110.39356575</v>
      </c>
      <c r="D16" s="0" t="n">
        <f aca="false">-D12</f>
        <v>115.9132440375</v>
      </c>
      <c r="E16" s="0" t="n">
        <f aca="false">-E12</f>
        <v>121.708906239375</v>
      </c>
      <c r="F16" s="0" t="n">
        <f aca="false">-F12</f>
        <v>127.185807020147</v>
      </c>
      <c r="G16" s="0" t="n">
        <f aca="false">-G12</f>
        <v>132.909168336053</v>
      </c>
      <c r="H16" s="0" t="n">
        <f aca="false">-H12</f>
        <v>138.225535069496</v>
      </c>
      <c r="I16" s="0" t="n">
        <f aca="false">-I12</f>
        <v>143.063428796928</v>
      </c>
      <c r="J16" s="0" t="n">
        <f aca="false">-J12</f>
        <v>147.355331660836</v>
      </c>
      <c r="K16" s="0" t="n">
        <f aca="false">-K12</f>
        <v>151.775991610661</v>
      </c>
      <c r="L16" s="0" t="n">
        <f aca="false">-L12</f>
        <v>156.329271358981</v>
      </c>
    </row>
    <row r="17" customFormat="false" ht="15" hidden="false" customHeight="false" outlineLevel="0" collapsed="false">
      <c r="A17" s="0" t="s">
        <v>121</v>
      </c>
      <c r="C17" s="4" t="n">
        <f aca="false">-C6*Assumptions!C46/100</f>
        <v>-287.02327095</v>
      </c>
      <c r="D17" s="4" t="n">
        <f aca="false">-D6*Assumptions!D46/100</f>
        <v>-301.3744344975</v>
      </c>
      <c r="E17" s="4" t="n">
        <f aca="false">-E6*Assumptions!E46/100</f>
        <v>-306.706443723225</v>
      </c>
      <c r="F17" s="4" t="n">
        <f aca="false">-F6*Assumptions!F46/100</f>
        <v>-305.245936848353</v>
      </c>
      <c r="G17" s="4" t="n">
        <f aca="false">-G6*Assumptions!G46/100</f>
        <v>-308.349270539644</v>
      </c>
      <c r="H17" s="4" t="n">
        <f aca="false">-H6*Assumptions!H46/100</f>
        <v>-309.62519855567</v>
      </c>
      <c r="I17" s="4" t="n">
        <f aca="false">-I6*Assumptions!I46/100</f>
        <v>-309.017006201364</v>
      </c>
      <c r="J17" s="4" t="n">
        <f aca="false">-J6*Assumptions!J46/100</f>
        <v>-306.499089854538</v>
      </c>
      <c r="K17" s="4" t="n">
        <f aca="false">-K6*Assumptions!K46/100</f>
        <v>-303.551983221322</v>
      </c>
      <c r="L17" s="4" t="n">
        <f aca="false">-L6*Assumptions!L46/100</f>
        <v>-312.658542717961</v>
      </c>
    </row>
    <row r="18" customFormat="false" ht="15" hidden="false" customHeight="false" outlineLevel="0" collapsed="false">
      <c r="A18" s="0" t="s">
        <v>122</v>
      </c>
      <c r="C18" s="4" t="n">
        <f aca="false">(C6-B6)*Assumptions!$B$51/100</f>
        <v>-7.4662315</v>
      </c>
      <c r="D18" s="4" t="n">
        <f aca="false">(D6-C6)*Assumptions!$B$51/100</f>
        <v>-11.039356575</v>
      </c>
      <c r="E18" s="4" t="n">
        <f aca="false">(E6-D6)*Assumptions!$B$51/100</f>
        <v>-11.59132440375</v>
      </c>
      <c r="F18" s="4" t="n">
        <f aca="false">(F6-E6)*Assumptions!$B$51/100</f>
        <v>-10.9538015615437</v>
      </c>
      <c r="G18" s="4" t="n">
        <f aca="false">(G6-F6)*Assumptions!$B$51/100</f>
        <v>-11.4467226318132</v>
      </c>
      <c r="H18" s="4" t="n">
        <f aca="false">(H6-G6)*Assumptions!$B$51/100</f>
        <v>-10.6327334668843</v>
      </c>
      <c r="I18" s="4" t="n">
        <f aca="false">(I6-H6)*Assumptions!$B$51/100</f>
        <v>-9.67578745486467</v>
      </c>
      <c r="J18" s="4" t="n">
        <f aca="false">(J6-I6)*Assumptions!$B$51/100</f>
        <v>-8.58380572781571</v>
      </c>
      <c r="K18" s="4" t="n">
        <f aca="false">(K6-J6)*Assumptions!$B$51/100</f>
        <v>-8.84131989965017</v>
      </c>
      <c r="L18" s="4" t="n">
        <f aca="false">(L6-K6)*Assumptions!$B$51/100</f>
        <v>-9.10655949663965</v>
      </c>
    </row>
    <row r="19" customFormat="false" ht="15" hidden="false" customHeight="false" outlineLevel="0" collapsed="false">
      <c r="A19" s="0" t="s">
        <v>123</v>
      </c>
      <c r="C19" s="0" t="n">
        <f aca="false">C15+C16+C17+C18</f>
        <v>321.92167424222</v>
      </c>
      <c r="D19" s="0" t="n">
        <f aca="false">D15+D16+D17+D18</f>
        <v>344.693752846326</v>
      </c>
      <c r="E19" s="0" t="n">
        <f aca="false">E15+E16+E17+E18</f>
        <v>382.034751799387</v>
      </c>
      <c r="F19" s="0" t="n">
        <f aca="false">F15+F16+F17+F18</f>
        <v>422.871898751896</v>
      </c>
      <c r="G19" s="0" t="n">
        <f aca="false">G15+G16+G17+G18</f>
        <v>460.083108424104</v>
      </c>
      <c r="H19" s="0" t="n">
        <f aca="false">H15+H16+H17+H18</f>
        <v>490.816333636829</v>
      </c>
      <c r="I19" s="0" t="n">
        <f aca="false">I15+I16+I17+I18</f>
        <v>520.769071301233</v>
      </c>
      <c r="J19" s="0" t="n">
        <f aca="false">J15+J16+J17+J18</f>
        <v>549.562825323832</v>
      </c>
      <c r="K19" s="0" t="n">
        <f aca="false">K15+K16+K17+K18</f>
        <v>578.1917894124</v>
      </c>
      <c r="L19" s="0" t="n">
        <f aca="false">L15+L16+L17+L18</f>
        <v>595.537543094772</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293.992396568237</v>
      </c>
      <c r="D21" s="0" t="n">
        <f aca="false">D19*D20</f>
        <v>287.478370214404</v>
      </c>
      <c r="E21" s="0" t="n">
        <f aca="false">E19*E20</f>
        <v>290.978240063116</v>
      </c>
      <c r="F21" s="0" t="n">
        <f aca="false">F19*F20</f>
        <v>294.138822208435</v>
      </c>
      <c r="G21" s="0" t="n">
        <f aca="false">G19*G20</f>
        <v>292.257518799865</v>
      </c>
      <c r="H21" s="0" t="n">
        <f aca="false">H19*H20</f>
        <v>284.730697441394</v>
      </c>
      <c r="I21" s="0" t="n">
        <f aca="false">I19*I20</f>
        <v>275.896600415909</v>
      </c>
      <c r="J21" s="0" t="n">
        <f aca="false">J19*J20</f>
        <v>265.891463340723</v>
      </c>
      <c r="K21" s="0" t="n">
        <f aca="false">K19*K20</f>
        <v>255.472905704165</v>
      </c>
      <c r="L21" s="0" t="n">
        <f aca="false">L19*L20</f>
        <v>240.307847374694</v>
      </c>
    </row>
    <row r="23" customFormat="false" ht="15" hidden="false" customHeight="false" outlineLevel="0" collapsed="false">
      <c r="A23" s="0" t="s">
        <v>101</v>
      </c>
      <c r="C23" s="4" t="n">
        <f aca="false">Assumptions!C44</f>
        <v>5.3</v>
      </c>
      <c r="D23" s="4" t="n">
        <f aca="false">Assumptions!D44</f>
        <v>5.3</v>
      </c>
      <c r="E23" s="4" t="n">
        <f aca="false">Assumptions!E44</f>
        <v>5.3</v>
      </c>
      <c r="F23" s="4" t="n">
        <f aca="false">Assumptions!F44</f>
        <v>5.3</v>
      </c>
      <c r="G23" s="4" t="n">
        <f aca="false">Assumptions!G44</f>
        <v>5.3</v>
      </c>
      <c r="H23" s="4" t="n">
        <f aca="false">Assumptions!H44</f>
        <v>5.3</v>
      </c>
      <c r="I23" s="4" t="n">
        <f aca="false">Assumptions!I44</f>
        <v>5.3</v>
      </c>
      <c r="J23" s="4" t="n">
        <f aca="false">Assumptions!J44</f>
        <v>5.3</v>
      </c>
      <c r="K23" s="4" t="n">
        <f aca="false">Assumptions!K44</f>
        <v>5.3</v>
      </c>
      <c r="L23" s="4" t="n">
        <f aca="false">Assumptions!L44</f>
        <v>5.3</v>
      </c>
    </row>
    <row r="24" customFormat="false" ht="15" hidden="false" customHeight="false" outlineLevel="0" collapsed="false">
      <c r="A24" s="0" t="s">
        <v>126</v>
      </c>
      <c r="C24" s="0" t="n">
        <f aca="false">-C6*C23/100</f>
        <v>-234.03435939</v>
      </c>
      <c r="D24" s="0" t="n">
        <f aca="false">-D6*D23/100</f>
        <v>-245.7360773595</v>
      </c>
      <c r="E24" s="0" t="n">
        <f aca="false">-E6*E23/100</f>
        <v>-258.022881227475</v>
      </c>
      <c r="F24" s="0" t="n">
        <f aca="false">-F6*F23/100</f>
        <v>-269.633910882711</v>
      </c>
      <c r="G24" s="0" t="n">
        <f aca="false">-G6*G23/100</f>
        <v>-281.767436872433</v>
      </c>
      <c r="H24" s="0" t="n">
        <f aca="false">-H6*H23/100</f>
        <v>-293.038134347331</v>
      </c>
      <c r="I24" s="0" t="n">
        <f aca="false">-I6*I23/100</f>
        <v>-303.294469049487</v>
      </c>
      <c r="J24" s="0" t="n">
        <f aca="false">-J6*J23/100</f>
        <v>-312.393303120972</v>
      </c>
      <c r="K24" s="0" t="n">
        <f aca="false">-K6*K23/100</f>
        <v>-321.765102214601</v>
      </c>
      <c r="L24" s="0" t="n">
        <f aca="false">-L6*L23/100</f>
        <v>-331.418055281039</v>
      </c>
    </row>
    <row r="26" customFormat="false" ht="15" hidden="false" customHeight="false" outlineLevel="0" collapsed="false">
      <c r="A26" s="2" t="s">
        <v>127</v>
      </c>
    </row>
    <row r="27" customFormat="false" ht="15" hidden="false" customHeight="false" outlineLevel="0" collapsed="false">
      <c r="A27" s="0" t="s">
        <v>105</v>
      </c>
      <c r="B27" s="4" t="n">
        <f aca="false">Assumptions!$B$48</f>
        <v>9.5</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15</v>
      </c>
    </row>
    <row r="30" customFormat="false" ht="15" hidden="false" customHeight="false" outlineLevel="0" collapsed="false">
      <c r="A30" s="0" t="s">
        <v>128</v>
      </c>
      <c r="B30" s="0" t="n">
        <f aca="false">SUM(C21:L21)</f>
        <v>2781.14486213094</v>
      </c>
    </row>
    <row r="31" customFormat="false" ht="15" hidden="false" customHeight="false" outlineLevel="0" collapsed="false">
      <c r="A31" s="0" t="s">
        <v>129</v>
      </c>
      <c r="B31" s="0" t="n">
        <f aca="false">L19</f>
        <v>595.537543094772</v>
      </c>
    </row>
    <row r="32" customFormat="false" ht="15" hidden="false" customHeight="false" outlineLevel="0" collapsed="false">
      <c r="A32" s="0" t="s">
        <v>130</v>
      </c>
      <c r="B32" s="0" t="n">
        <f aca="false">IF(B27&gt;B28,B31*(1+B28/100)/((B27-B28)/100),B31*B29)</f>
        <v>9436.97952904023</v>
      </c>
    </row>
    <row r="33" customFormat="false" ht="15" hidden="false" customHeight="false" outlineLevel="0" collapsed="false">
      <c r="A33" s="0" t="s">
        <v>131</v>
      </c>
      <c r="B33" s="0" t="n">
        <f aca="false">B31*B29</f>
        <v>8933.06314642157</v>
      </c>
    </row>
    <row r="34" customFormat="false" ht="15" hidden="false" customHeight="false" outlineLevel="0" collapsed="false">
      <c r="A34" s="0" t="s">
        <v>132</v>
      </c>
      <c r="B34" s="0" t="n">
        <f aca="false">MAX(0,MIN(B32,B33))</f>
        <v>8933.06314642157</v>
      </c>
    </row>
    <row r="35" customFormat="false" ht="15" hidden="false" customHeight="false" outlineLevel="0" collapsed="false">
      <c r="A35" s="0" t="s">
        <v>133</v>
      </c>
      <c r="B35" s="0" t="n">
        <f aca="false">B34/(1+B27/100)^L4</f>
        <v>3604.61771062041</v>
      </c>
    </row>
    <row r="36" customFormat="false" ht="15" hidden="false" customHeight="false" outlineLevel="0" collapsed="false">
      <c r="A36" s="0" t="s">
        <v>134</v>
      </c>
      <c r="B36" s="0" t="n">
        <f aca="false">B30+B35</f>
        <v>6385.76257275135</v>
      </c>
    </row>
    <row r="37" customFormat="false" ht="15" hidden="false" customHeight="false" outlineLevel="0" collapsed="false">
      <c r="A37" s="0" t="s">
        <v>135</v>
      </c>
      <c r="B37" s="0" t="n">
        <f aca="false">B36+Assumptions!$B$5-Assumptions!$B$4</f>
        <v>5470.31257275135</v>
      </c>
    </row>
    <row r="38" customFormat="false" ht="15" hidden="false" customHeight="false" outlineLevel="0" collapsed="false">
      <c r="A38" s="0" t="s">
        <v>136</v>
      </c>
      <c r="B38" s="0" t="n">
        <f aca="false">B37/Assumptions!$B$3*Assumptions!$B$10</f>
        <v>4.38502009839787</v>
      </c>
    </row>
    <row r="39" customFormat="false" ht="15" hidden="false" customHeight="false" outlineLevel="0" collapsed="false">
      <c r="A39" s="0" t="s">
        <v>137</v>
      </c>
      <c r="B39" s="4" t="n">
        <f aca="false">B38/Assumptions!$B$2-1</f>
        <v>0.0415724699282358</v>
      </c>
    </row>
    <row r="41" customFormat="false" ht="15" hidden="false" customHeight="false" outlineLevel="0" collapsed="false">
      <c r="A41" s="0" t="s">
        <v>138</v>
      </c>
      <c r="B41" s="0" t="n">
        <f aca="false">SUMPRODUCT(-C10:L10/(1+$B$27/100)^C4:L4)</f>
        <v>19.6920194671961</v>
      </c>
    </row>
    <row r="42" customFormat="false" ht="15" hidden="false" customHeight="false" outlineLevel="0" collapsed="false">
      <c r="A42" s="0" t="s">
        <v>139</v>
      </c>
      <c r="B42" s="0" t="n">
        <f aca="false">IF(B27&gt;B28,-L10*(1+B28/100)/((B27-B28)/100),-L10*20)/(1+B27/100)^L4</f>
        <v>23.9902195051823</v>
      </c>
    </row>
    <row r="43" customFormat="false" ht="15" hidden="false" customHeight="false" outlineLevel="0" collapsed="false">
      <c r="A43" s="0" t="s">
        <v>140</v>
      </c>
      <c r="B43" s="0" t="n">
        <f aca="false">(B37+B41+B42)/Assumptions!$B$3*Assumptions!$B$10</f>
        <v>4.42003592122142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5111.69724489679</v>
      </c>
    </row>
    <row r="47" customFormat="false" ht="15" hidden="false" customHeight="false" outlineLevel="0" collapsed="false">
      <c r="A47" s="0" t="s">
        <v>142</v>
      </c>
      <c r="B47" s="0" t="n">
        <f aca="false">(SUMPRODUCT(C19:L19/(1+B45/100)^C4:L4)+B46/(1+B45/100)^L4+Assumptions!$B$5-Assumptions!$B$4)/Assumptions!$B$3*Assumptions!$B$10</f>
        <v>2.0116690787433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2.06817092722206</v>
      </c>
      <c r="C4" s="0" t="n">
        <f aca="false">B4/Assumptions!$B$2-1</f>
        <v>-0.508747998284545</v>
      </c>
      <c r="D4" s="4" t="n">
        <f aca="false">Assumptions!$B$24</f>
        <v>0.25</v>
      </c>
      <c r="E4" s="4" t="n">
        <f aca="false">DCF_Bear!$B$43</f>
        <v>2.09449379828218</v>
      </c>
      <c r="F4" s="4" t="n">
        <f aca="false">DCF_Bear!$B$47</f>
        <v>0.964098666375738</v>
      </c>
    </row>
    <row r="5" customFormat="false" ht="15" hidden="false" customHeight="false" outlineLevel="0" collapsed="false">
      <c r="A5" s="0" t="s">
        <v>151</v>
      </c>
      <c r="B5" s="4" t="n">
        <f aca="false">DCF_Base!$B$38</f>
        <v>3.42760275985255</v>
      </c>
      <c r="C5" s="0" t="n">
        <f aca="false">B5/Assumptions!$B$2-1</f>
        <v>-0.185842574856877</v>
      </c>
      <c r="D5" s="4" t="n">
        <f aca="false">Assumptions!$B$38</f>
        <v>0.5</v>
      </c>
      <c r="E5" s="4" t="n">
        <f aca="false">DCF_Base!$B$43</f>
        <v>3.45842736610947</v>
      </c>
      <c r="F5" s="4" t="n">
        <f aca="false">DCF_Base!$B$47</f>
        <v>1.5774726427262</v>
      </c>
    </row>
    <row r="6" customFormat="false" ht="15" hidden="false" customHeight="false" outlineLevel="0" collapsed="false">
      <c r="A6" s="0" t="s">
        <v>152</v>
      </c>
      <c r="B6" s="4" t="n">
        <f aca="false">DCF_Bull!$B$38</f>
        <v>4.38502009839787</v>
      </c>
      <c r="C6" s="0" t="n">
        <f aca="false">B6/Assumptions!$B$2-1</f>
        <v>0.0415724699282358</v>
      </c>
      <c r="D6" s="4" t="n">
        <f aca="false">Assumptions!$B$52</f>
        <v>0.25</v>
      </c>
      <c r="E6" s="4" t="n">
        <f aca="false">DCF_Bull!$B$43</f>
        <v>4.42003592122142</v>
      </c>
      <c r="F6" s="4" t="n">
        <f aca="false">DCF_Bull!$B$47</f>
        <v>2.0116690787433</v>
      </c>
    </row>
    <row r="8" customFormat="false" ht="15" hidden="false" customHeight="false" outlineLevel="0" collapsed="false">
      <c r="A8" s="0" t="s">
        <v>153</v>
      </c>
      <c r="B8" s="0" t="n">
        <f aca="false">SUMPRODUCT(B4:B6,D4:D6)</f>
        <v>3.32709913633126</v>
      </c>
    </row>
    <row r="9" customFormat="false" ht="15" hidden="false" customHeight="false" outlineLevel="0" collapsed="false">
      <c r="A9" s="0" t="s">
        <v>154</v>
      </c>
      <c r="B9" s="0" t="n">
        <f aca="false">SUMPRODUCT(E4:E6,D4:D6)</f>
        <v>3.35784611293063</v>
      </c>
    </row>
    <row r="10" customFormat="false" ht="15" hidden="false" customHeight="false" outlineLevel="0" collapsed="false">
      <c r="A10" s="0" t="s">
        <v>155</v>
      </c>
      <c r="B10" s="0" t="n">
        <f aca="false">1-Assumptions!$B$2/B8</f>
        <v>-0.265366563330692</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1.53267825764286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3.5789513607776</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3.42760275985255</v>
      </c>
      <c r="C16" s="3" t="n">
        <v>9.5</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3.23244377292467</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2.74374402191339</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2.358851636408</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1.5774726427262</v>
      </c>
      <c r="C20" s="3" t="n">
        <v>15</v>
      </c>
    </row>
    <row r="22" customFormat="false" ht="15" hidden="false" customHeight="false" outlineLevel="0" collapsed="false">
      <c r="A22" s="2" t="s">
        <v>166</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4.07719927667897</v>
      </c>
      <c r="C24" s="0" t="n">
        <f aca="false">(SUMPRODUCT(DCF_Base!$C$19:$L$19/(1+$A$24/100)^DCF_Base!$C$4:$L$4)+MAX(0,MIN(IF($A$24&gt;$C$23,DCF_Base!$L$19*(1+$C$23/100)/(($A$24-$C$23)/100),DCF_Base!$L$19*DCF_Base!$B$29),DCF_Base!$L$19*DCF_Base!$B$29))/(1+$A$24/100)^DCF_Base!$L$4+Assumptions!$B$5-Assumptions!$B$4)/Assumptions!$B$3*Assumptions!$B$10</f>
        <v>4.07719927667897</v>
      </c>
      <c r="D24" s="0" t="n">
        <f aca="false">(SUMPRODUCT(DCF_Base!$C$19:$L$19/(1+$A$24/100)^DCF_Base!$C$4:$L$4)+MAX(0,MIN(IF($A$24&gt;$D$23,DCF_Base!$L$19*(1+$D$23/100)/(($A$24-$D$23)/100),DCF_Base!$L$19*DCF_Base!$B$29),DCF_Base!$L$19*DCF_Base!$B$29))/(1+$A$24/100)^DCF_Base!$L$4+Assumptions!$B$5-Assumptions!$B$4)/Assumptions!$B$3*Assumptions!$B$10</f>
        <v>4.07719927667897</v>
      </c>
      <c r="E24" s="0" t="n">
        <f aca="false">(SUMPRODUCT(DCF_Base!$C$19:$L$19/(1+$A$24/100)^DCF_Base!$C$4:$L$4)+MAX(0,MIN(IF($A$24&gt;$E$23,DCF_Base!$L$19*(1+$E$23/100)/(($A$24-$E$23)/100),DCF_Base!$L$19*DCF_Base!$B$29),DCF_Base!$L$19*DCF_Base!$B$29))/(1+$A$24/100)^DCF_Base!$L$4+Assumptions!$B$5-Assumptions!$B$4)/Assumptions!$B$3*Assumptions!$B$10</f>
        <v>4.07719927667897</v>
      </c>
      <c r="F24" s="0" t="n">
        <f aca="false">(SUMPRODUCT(DCF_Base!$C$19:$L$19/(1+$A$24/100)^DCF_Base!$C$4:$L$4)+MAX(0,MIN(IF($A$24&gt;$F$23,DCF_Base!$L$19*(1+$F$23/100)/(($A$24-$F$23)/100),DCF_Base!$L$19*DCF_Base!$B$29),DCF_Base!$L$19*DCF_Base!$B$29))/(1+$A$24/100)^DCF_Base!$L$4+Assumptions!$B$5-Assumptions!$B$4)/Assumptions!$B$3*Assumptions!$B$10</f>
        <v>4.07719927667897</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3.73740773224577</v>
      </c>
      <c r="C25" s="0" t="n">
        <f aca="false">(SUMPRODUCT(DCF_Base!$C$19:$L$19/(1+$A$25/100)^DCF_Base!$C$4:$L$4)+MAX(0,MIN(IF($A$25&gt;$C$23,DCF_Base!$L$19*(1+$C$23/100)/(($A$25-$C$23)/100),DCF_Base!$L$19*DCF_Base!$B$29),DCF_Base!$L$19*DCF_Base!$B$29))/(1+$A$25/100)^DCF_Base!$L$4+Assumptions!$B$5-Assumptions!$B$4)/Assumptions!$B$3*Assumptions!$B$10</f>
        <v>3.73740773224577</v>
      </c>
      <c r="D25" s="0" t="n">
        <f aca="false">(SUMPRODUCT(DCF_Base!$C$19:$L$19/(1+$A$25/100)^DCF_Base!$C$4:$L$4)+MAX(0,MIN(IF($A$25&gt;$D$23,DCF_Base!$L$19*(1+$D$23/100)/(($A$25-$D$23)/100),DCF_Base!$L$19*DCF_Base!$B$29),DCF_Base!$L$19*DCF_Base!$B$29))/(1+$A$25/100)^DCF_Base!$L$4+Assumptions!$B$5-Assumptions!$B$4)/Assumptions!$B$3*Assumptions!$B$10</f>
        <v>3.73740773224577</v>
      </c>
      <c r="E25" s="0" t="n">
        <f aca="false">(SUMPRODUCT(DCF_Base!$C$19:$L$19/(1+$A$25/100)^DCF_Base!$C$4:$L$4)+MAX(0,MIN(IF($A$25&gt;$E$23,DCF_Base!$L$19*(1+$E$23/100)/(($A$25-$E$23)/100),DCF_Base!$L$19*DCF_Base!$B$29),DCF_Base!$L$19*DCF_Base!$B$29))/(1+$A$25/100)^DCF_Base!$L$4+Assumptions!$B$5-Assumptions!$B$4)/Assumptions!$B$3*Assumptions!$B$10</f>
        <v>3.73740773224577</v>
      </c>
      <c r="F25" s="0" t="n">
        <f aca="false">(SUMPRODUCT(DCF_Base!$C$19:$L$19/(1+$A$25/100)^DCF_Base!$C$4:$L$4)+MAX(0,MIN(IF($A$25&gt;$F$23,DCF_Base!$L$19*(1+$F$23/100)/(($A$25-$F$23)/100),DCF_Base!$L$19*DCF_Base!$B$29),DCF_Base!$L$19*DCF_Base!$B$29))/(1+$A$25/100)^DCF_Base!$L$4+Assumptions!$B$5-Assumptions!$B$4)/Assumptions!$B$3*Assumptions!$B$10</f>
        <v>3.73740773224577</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3.21925751414065</v>
      </c>
      <c r="C26" s="0" t="n">
        <f aca="false">(SUMPRODUCT(DCF_Base!$C$19:$L$19/(1+$A$26/100)^DCF_Base!$C$4:$L$4)+MAX(0,MIN(IF($A$26&gt;$C$23,DCF_Base!$L$19*(1+$C$23/100)/(($A$26-$C$23)/100),DCF_Base!$L$19*DCF_Base!$B$29),DCF_Base!$L$19*DCF_Base!$B$29))/(1+$A$26/100)^DCF_Base!$L$4+Assumptions!$B$5-Assumptions!$B$4)/Assumptions!$B$3*Assumptions!$B$10</f>
        <v>3.3641070659213</v>
      </c>
      <c r="D26" s="0" t="n">
        <f aca="false">(SUMPRODUCT(DCF_Base!$C$19:$L$19/(1+$A$26/100)^DCF_Base!$C$4:$L$4)+MAX(0,MIN(IF($A$26&gt;$D$23,DCF_Base!$L$19*(1+$D$23/100)/(($A$26-$D$23)/100),DCF_Base!$L$19*DCF_Base!$B$29),DCF_Base!$L$19*DCF_Base!$B$29))/(1+$A$26/100)^DCF_Base!$L$4+Assumptions!$B$5-Assumptions!$B$4)/Assumptions!$B$3*Assumptions!$B$10</f>
        <v>3.42760275985255</v>
      </c>
      <c r="E26" s="0" t="n">
        <f aca="false">(SUMPRODUCT(DCF_Base!$C$19:$L$19/(1+$A$26/100)^DCF_Base!$C$4:$L$4)+MAX(0,MIN(IF($A$26&gt;$E$23,DCF_Base!$L$19*(1+$E$23/100)/(($A$26-$E$23)/100),DCF_Base!$L$19*DCF_Base!$B$29),DCF_Base!$L$19*DCF_Base!$B$29))/(1+$A$26/100)^DCF_Base!$L$4+Assumptions!$B$5-Assumptions!$B$4)/Assumptions!$B$3*Assumptions!$B$10</f>
        <v>3.42760275985255</v>
      </c>
      <c r="F26" s="0" t="n">
        <f aca="false">(SUMPRODUCT(DCF_Base!$C$19:$L$19/(1+$A$26/100)^DCF_Base!$C$4:$L$4)+MAX(0,MIN(IF($A$26&gt;$F$23,DCF_Base!$L$19*(1+$F$23/100)/(($A$26-$F$23)/100),DCF_Base!$L$19*DCF_Base!$B$29),DCF_Base!$L$19*DCF_Base!$B$29))/(1+$A$26/100)^DCF_Base!$L$4+Assumptions!$B$5-Assumptions!$B$4)/Assumptions!$B$3*Assumptions!$B$10</f>
        <v>3.42760275985255</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2.75023062688117</v>
      </c>
      <c r="C27" s="0" t="n">
        <f aca="false">(SUMPRODUCT(DCF_Base!$C$19:$L$19/(1+$A$27/100)^DCF_Base!$C$4:$L$4)+MAX(0,MIN(IF($A$27&gt;$C$23,DCF_Base!$L$19*(1+$C$23/100)/(($A$27-$C$23)/100),DCF_Base!$L$19*DCF_Base!$B$29),DCF_Base!$L$19*DCF_Base!$B$29))/(1+$A$27/100)^DCF_Base!$L$4+Assumptions!$B$5-Assumptions!$B$4)/Assumptions!$B$3*Assumptions!$B$10</f>
        <v>2.85491299563402</v>
      </c>
      <c r="D27" s="0" t="n">
        <f aca="false">(SUMPRODUCT(DCF_Base!$C$19:$L$19/(1+$A$27/100)^DCF_Base!$C$4:$L$4)+MAX(0,MIN(IF($A$27&gt;$D$23,DCF_Base!$L$19*(1+$D$23/100)/(($A$27-$D$23)/100),DCF_Base!$L$19*DCF_Base!$B$29),DCF_Base!$L$19*DCF_Base!$B$29))/(1+$A$27/100)^DCF_Base!$L$4+Assumptions!$B$5-Assumptions!$B$4)/Assumptions!$B$3*Assumptions!$B$10</f>
        <v>2.97268066048097</v>
      </c>
      <c r="E27" s="0" t="n">
        <f aca="false">(SUMPRODUCT(DCF_Base!$C$19:$L$19/(1+$A$27/100)^DCF_Base!$C$4:$L$4)+MAX(0,MIN(IF($A$27&gt;$E$23,DCF_Base!$L$19*(1+$E$23/100)/(($A$27-$E$23)/100),DCF_Base!$L$19*DCF_Base!$B$29),DCF_Base!$L$19*DCF_Base!$B$29))/(1+$A$27/100)^DCF_Base!$L$4+Assumptions!$B$5-Assumptions!$B$4)/Assumptions!$B$3*Assumptions!$B$10</f>
        <v>3.10615068064085</v>
      </c>
      <c r="F27" s="0" t="n">
        <f aca="false">(SUMPRODUCT(DCF_Base!$C$19:$L$19/(1+$A$27/100)^DCF_Base!$C$4:$L$4)+MAX(0,MIN(IF($A$27&gt;$F$23,DCF_Base!$L$19*(1+$F$23/100)/(($A$27-$F$23)/100),DCF_Base!$L$19*DCF_Base!$B$29),DCF_Base!$L$19*DCF_Base!$B$29))/(1+$A$27/100)^DCF_Base!$L$4+Assumptions!$B$5-Assumptions!$B$4)/Assumptions!$B$3*Assumptions!$B$10</f>
        <v>3.14480263218037</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2.37638812172385</v>
      </c>
      <c r="C28" s="0" t="n">
        <f aca="false">(SUMPRODUCT(DCF_Base!$C$19:$L$19/(1+$A$28/100)^DCF_Base!$C$4:$L$4)+MAX(0,MIN(IF($A$28&gt;$C$23,DCF_Base!$L$19*(1+$C$23/100)/(($A$28-$C$23)/100),DCF_Base!$L$19*DCF_Base!$B$29),DCF_Base!$L$19*DCF_Base!$B$29))/(1+$A$28/100)^DCF_Base!$L$4+Assumptions!$B$5-Assumptions!$B$4)/Assumptions!$B$3*Assumptions!$B$10</f>
        <v>2.45411980400802</v>
      </c>
      <c r="D28" s="0" t="n">
        <f aca="false">(SUMPRODUCT(DCF_Base!$C$19:$L$19/(1+$A$28/100)^DCF_Base!$C$4:$L$4)+MAX(0,MIN(IF($A$28&gt;$D$23,DCF_Base!$L$19*(1+$D$23/100)/(($A$28-$D$23)/100),DCF_Base!$L$19*DCF_Base!$B$29),DCF_Base!$L$19*DCF_Base!$B$29))/(1+$A$28/100)^DCF_Base!$L$4+Assumptions!$B$5-Assumptions!$B$4)/Assumptions!$B$3*Assumptions!$B$10</f>
        <v>2.54048833987932</v>
      </c>
      <c r="E28" s="0" t="n">
        <f aca="false">(SUMPRODUCT(DCF_Base!$C$19:$L$19/(1+$A$28/100)^DCF_Base!$C$4:$L$4)+MAX(0,MIN(IF($A$28&gt;$E$23,DCF_Base!$L$19*(1+$E$23/100)/(($A$28-$E$23)/100),DCF_Base!$L$19*DCF_Base!$B$29),DCF_Base!$L$19*DCF_Base!$B$29))/(1+$A$28/100)^DCF_Base!$L$4+Assumptions!$B$5-Assumptions!$B$4)/Assumptions!$B$3*Assumptions!$B$10</f>
        <v>2.63701787997077</v>
      </c>
      <c r="F28" s="0" t="n">
        <f aca="false">(SUMPRODUCT(DCF_Base!$C$19:$L$19/(1+$A$28/100)^DCF_Base!$C$4:$L$4)+MAX(0,MIN(IF($A$28&gt;$F$23,DCF_Base!$L$19*(1+$F$23/100)/(($A$28-$F$23)/100),DCF_Base!$L$19*DCF_Base!$B$29),DCF_Base!$L$19*DCF_Base!$B$29))/(1+$A$28/100)^DCF_Base!$L$4+Assumptions!$B$5-Assumptions!$B$4)/Assumptions!$B$3*Assumptions!$B$10</f>
        <v>2.74561361257365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2026-09-23T02:34:58Z</dcterms:created>
  <dc:creator>openpyxl</dc:creator>
  <dc:description/>
  <dc:language>en-NZ</dc:language>
  <cp:lastModifiedBy/>
  <dcterms:modified xsi:type="dcterms:W3CDTF">2026-09-23T02:34:58Z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