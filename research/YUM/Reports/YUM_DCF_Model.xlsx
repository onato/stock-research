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<sst xmlns="http://schemas.openxmlformats.org/spreadsheetml/2006/main" count="390" uniqueCount="176">
  <si>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</si>
  <si>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YUM</t>
  </si>
  <si>
    <t xml:space="preserve">Company</t>
  </si>
  <si>
    <t xml:space="preserve">Yum! Brands,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</si>
  <si>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</si>
  <si>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</si>
  <si>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</si>
  <si>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</si>
  <si>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</si>
  <si>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</si>
  <si>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</si>
  <si>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</si>
  <si>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</si>
  <si>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</si>
  <si>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</si>
  <si>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</si>
  <si>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</si>
  <si>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</si>
  <si>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</si>
  <si>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</si>
  <si>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</si>
  <si>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2026-10-02T22:06:38Z</t>
  </si>
  <si>
    <t xml:space="preserve">Drivers file</t>
  </si>
  <si>
    <t xml:space="preserve">YUM_Drivers.json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</si>
  <si>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</si>
  <si>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</si>
  <si>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</si>
  <si>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a pro forma ex-Pizza Hut base. YUM's value is its royalty stream; its negative book equity reflects returned capital, not impairment, so book-based models are not meaningful. Debt is deducted once, at the pro forma post-sale level; SBC (incl. withholding) is expensed with a flat share count. At ~27x pro forma unlevered owner FCF the market is pricing a high-quality franchisor at roughly the base case.
key_risks_to_valuation: Terminal value carries most of the value (cap-bound at 20x in base); a 1pp WACC change moves value by roughly 20%.; IRS 2014 reorganization claim (~$4.6bn incl. interest and penalties, ~$17/share) is carried at expected value only.; Pro forma ex-Pizza Hut base is estimated from segment disclosures (Pizza Hut TTM revenue/OP partly interpolated); stranded corporate costs post-sale could be larger than assumed.; Taco Bell US lettuce recall (July 2026) -- depth and duration of traffic loss not yet visible in reported numbers.; Geopolitical boycotts of Western brands in KFC's Middle East/SE Asia markets and FX on a ~90%-international KFC system.</t>
  </si>
  <si>
    <t xml:space="preserve">Data sources</t>
  </si>
  <si>
    <t xml:space="preserve">price: Yahoo Finance chart API at inputs.price_as_of (regular close); 52-week range 134.26-170.14
financials: SEC XBRL companyfacts (CIK 1041061) via YUM_Metrics.csv; 10-K FY2025 (filed 2026-02-20) segment note, Special Items, equity statement, Contingencies; 10-Q Q2-2026 (filed 2026-08-05) balance sheet, Note 3 Pizza Hut Divestitures, Note 8 Income Taxes, Note 10 segments; 8-Ks 2026-06-16 (purchase agreement), 2026-08-07 (China transaction close), 2026-09-01 (Pizza Hut ex-China close)
qualitative: 10-Q MD&amp;A (Taco Bell lettuce recall, Pizza Hut strategic review, capital allocation); no Analysis.json existed at build time</t>
  </si>
  <si>
    <t xml:space="preserve">Scenario narrative: bear</t>
  </si>
  <si>
    <t xml:space="preserve">Western-brand boycotts in the Middle East/Southeast Asia and a slower Yum China cadence cap KFC unit growth; Taco Bell's food-safety recall leaves a lasting traffic scar and US QSR value wars compress same-store sales and franchisee health; GLP-1 adoption and delivery-aggregator costs weigh on traffic. Growth slows to ~3-4%, margins stall near 34%, stranded corporate costs from the Pizza Hut exit linger, and tax rates drift up (Pillar Two, IRS posture). Leverage at ~3.5x limits flexibility.</t>
  </si>
  <si>
    <t xml:space="preserve">Scenario narrative: base</t>
  </si>
  <si>
    <t xml:space="preserve">Post-Pizza Hut YUM is a two-engine franchisor: KFC (international unit growth in emerging markets, Yum China master licence) and Taco Bell (US value leadership plus early international scaling). System sales grow ~6-7% from ~5% unit growth plus low single-digit same-store sales; Taco Bell's lettuce-recall hit fades through H1 FY2027; refranchising-style royalty mix and G&amp;A leverage lift the EBITDA margin from ~34.5% to ~38%. Proceeds go to revolver repayment and buybacks, keeping leverage near ~3.5x. The IRS 2014 case is carried at expected value.</t>
  </si>
  <si>
    <t xml:space="preserve">Scenario narrative: bull</t>
  </si>
  <si>
    <t xml:space="preserve">KFC net unit growth holds at the upper end (~6%+) in India, Africa, Middle East and Southeast Asia, Taco Bell's international pipeline finally scales and its US value positioning keeps taking share in a cautious-consumer QSR market; Byte by Yum! digital/AI ordering drives same-store sales and franchisee margins. With Pizza Hut gone, the portfolio's growth rate and margin re-rate toward pure-play franchisor peers; EBITDA margin reaches 40%.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</si>
  <si>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</si>
  <si>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</si>
  <si>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</si>
  <si>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</si>
  <si>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</si>
  <si>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</si>
  <si>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</si>
  <si>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</si>
  <si>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</si>
  <si>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</si>
  <si>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</si>
  <si>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</si>
  <si>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</si>
  <si>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</si>
  <si>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</si>
  <si>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</si>
  <si>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</si>
  <si>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</si>
  <si>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</si>
  <si>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</si>
  <si>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</si>
  <si>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</si>
  <si>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</si>
  <si>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</si>
  <si>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</si>
  <si>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</si>
  <si>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</si>
  <si>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</si>
  <si>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</si>
  <si>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</si>
  <si>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</si>
  <si>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</si>
  <si>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</si>
  <si>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</si>
  <si>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</si>
  <si>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</si>
  <si>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</si>
  <si>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</si>
  <si>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</si>
  <si>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</si>
  <si>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</si>
  <si>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</si>
  <si>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</si>
  <si>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</si>
  <si>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</si>
  <si>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</si>
  <si>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</si>
  <si>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</si>
  <si>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</si>
  <si>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</si>
  <si>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</si>
  <si>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</si>
  <si>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</si>
  <si>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</si>
  <si>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</si>
  <si>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</si>
  <si>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 pro forma ex-Pizza Hut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</si>
  <si>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</si>
  <si>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</si>
  <si>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</si>
  <si>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</si>
  <si>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</si>
  <si>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</si>
  <si>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</si>
  <si>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</si>
  <si>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</si>
  <si>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</si>
  <si>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</si>
  <si>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</si>
  <si>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</si>
  <si>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</si>
  <si>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</si>
  <si>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</si>
  <si>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</si>
  <si>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</si>
  <si>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</si>
  <si>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</si>
  <si>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</si>
  <si>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</si>
  <si>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</si>
  <si>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</si>
  <si>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</si>
  <si>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</si>
  <si>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</si>
  <si>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</si>
  <si>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YUM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</si>
  <si>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</si>
  <si>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</si>
  <si>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</si>
  <si>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</si>
  <si>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</si>
  <si>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</si>
  <si>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</si>
  <si>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</si>
  <si>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</si>
  <si>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</si>
  <si>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</si>
  <si>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</si>
  <si>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</si>
  <si>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</si>
  <si>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</si>
  <si>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</si>
  <si>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</si>
  <si>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</si>
  <si>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</si>
  <si>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</si>
  <si>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</si>
  <si>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</si>
  <si>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</si>
  <si>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</si>
  <si>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</si>
  <si>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</si>
  <si>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</si>
  <si>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</si>
  <si>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</si>
  <si>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</si>
  <si>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YUM owner-FCF component DCF: base case (millions, USD)</t>
  </si>
  <si>
    <t xml:space="preserve">YUM owner-FCF component DCF: bull case (millions, USD)</t>
  </si>
  <si>
    <t xml:space="preserve">YUM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</si>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</sst>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136.12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1452</v>
      </c>
      <c r="S2" s="0" t="n">
        <v>319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10435</v>
      </c>
      <c r="F3" s="0" t="n">
        <v>1357</v>
      </c>
      <c r="G3" s="0" t="n">
        <v>13.0043124101581</v>
      </c>
      <c r="H3" s="0" t="n">
        <v>1899</v>
      </c>
      <c r="I3" s="0" t="n">
        <v>909</v>
      </c>
      <c r="J3" s="0" t="n">
        <v>8.71106851940585</v>
      </c>
      <c r="K3" s="0" t="n">
        <v>1.74</v>
      </c>
      <c r="L3" s="0" t="n">
        <v>1551</v>
      </c>
      <c r="M3" s="0" t="n">
        <v>726</v>
      </c>
      <c r="N3" s="0" t="n">
        <v>825</v>
      </c>
      <c r="O3" s="0" t="n">
        <v>1139</v>
      </c>
      <c r="S3" s="0" t="n">
        <v>789</v>
      </c>
      <c r="U3" s="0" t="n">
        <v>61</v>
      </c>
      <c r="V3" s="0" t="n">
        <v>0.45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11304</v>
      </c>
      <c r="F4" s="0" t="n">
        <v>1517</v>
      </c>
      <c r="G4" s="0" t="n">
        <v>13.4200283085633</v>
      </c>
      <c r="H4" s="0" t="n">
        <v>2073</v>
      </c>
      <c r="I4" s="0" t="n">
        <v>972</v>
      </c>
      <c r="J4" s="0" t="n">
        <v>8.59872611464968</v>
      </c>
      <c r="K4" s="0" t="n">
        <v>2.03</v>
      </c>
      <c r="L4" s="0" t="n">
        <v>1521</v>
      </c>
      <c r="M4" s="0" t="n">
        <v>935</v>
      </c>
      <c r="N4" s="0" t="n">
        <v>586</v>
      </c>
      <c r="O4" s="0" t="n">
        <v>-94</v>
      </c>
      <c r="P4" s="0" t="n">
        <v>6527</v>
      </c>
      <c r="Q4" s="0" t="n">
        <v>6621</v>
      </c>
      <c r="R4" s="0" t="n">
        <v>3564</v>
      </c>
      <c r="S4" s="0" t="n">
        <v>216</v>
      </c>
      <c r="U4" s="0" t="n">
        <v>59</v>
      </c>
      <c r="V4" s="0" t="n">
        <v>0.72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10836</v>
      </c>
      <c r="F5" s="0" t="n">
        <v>1590</v>
      </c>
      <c r="G5" s="0" t="n">
        <v>14.6733111849391</v>
      </c>
      <c r="H5" s="0" t="n">
        <v>2170</v>
      </c>
      <c r="I5" s="0" t="n">
        <v>1083</v>
      </c>
      <c r="J5" s="0" t="n">
        <v>9.99446290143965</v>
      </c>
      <c r="K5" s="0" t="n">
        <v>2.28</v>
      </c>
      <c r="L5" s="0" t="n">
        <v>1404</v>
      </c>
      <c r="M5" s="0" t="n">
        <v>797</v>
      </c>
      <c r="N5" s="0" t="n">
        <v>607</v>
      </c>
      <c r="O5" s="0" t="n">
        <v>1114</v>
      </c>
      <c r="P5" s="0" t="n">
        <v>7148</v>
      </c>
      <c r="Q5" s="0" t="n">
        <v>6034</v>
      </c>
      <c r="R5" s="0" t="n">
        <v>3263</v>
      </c>
      <c r="S5" s="0" t="n">
        <v>353</v>
      </c>
      <c r="T5" s="0" t="n">
        <v>483</v>
      </c>
      <c r="U5" s="0" t="n">
        <v>56</v>
      </c>
      <c r="V5" s="0" t="n">
        <v>0.8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11343</v>
      </c>
      <c r="F6" s="0" t="n">
        <v>1769</v>
      </c>
      <c r="G6" s="0" t="n">
        <v>15.595521466984</v>
      </c>
      <c r="H6" s="0" t="n">
        <v>2358</v>
      </c>
      <c r="I6" s="0" t="n">
        <v>1178</v>
      </c>
      <c r="J6" s="0" t="n">
        <v>10.3852596314908</v>
      </c>
      <c r="K6" s="0" t="n">
        <v>2.44</v>
      </c>
      <c r="L6" s="0" t="n">
        <v>1968</v>
      </c>
      <c r="M6" s="0" t="n">
        <v>796</v>
      </c>
      <c r="N6" s="0" t="n">
        <v>1172</v>
      </c>
      <c r="O6" s="0" t="n">
        <v>1669</v>
      </c>
      <c r="P6" s="0" t="n">
        <v>8316</v>
      </c>
      <c r="Q6" s="0" t="n">
        <v>6647</v>
      </c>
      <c r="R6" s="0" t="n">
        <v>3588</v>
      </c>
      <c r="S6" s="0" t="n">
        <v>1426</v>
      </c>
      <c r="T6" s="0" t="n">
        <v>486</v>
      </c>
      <c r="U6" s="0" t="n">
        <v>47</v>
      </c>
      <c r="V6" s="0" t="n">
        <v>0.92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12626</v>
      </c>
      <c r="F7" s="0" t="n">
        <v>1815</v>
      </c>
      <c r="G7" s="0" t="n">
        <v>14.3750990020592</v>
      </c>
      <c r="H7" s="0" t="n">
        <v>2452</v>
      </c>
      <c r="I7" s="0" t="n">
        <v>1335</v>
      </c>
      <c r="J7" s="0" t="n">
        <v>10.5734199271345</v>
      </c>
      <c r="K7" s="0" t="n">
        <v>2.81</v>
      </c>
      <c r="L7" s="0" t="n">
        <v>2170</v>
      </c>
      <c r="M7" s="0" t="n">
        <v>940</v>
      </c>
      <c r="N7" s="0" t="n">
        <v>1230</v>
      </c>
      <c r="O7" s="0" t="n">
        <v>1916</v>
      </c>
      <c r="P7" s="0" t="n">
        <v>8834</v>
      </c>
      <c r="Q7" s="0" t="n">
        <v>6918</v>
      </c>
      <c r="R7" s="0" t="n">
        <v>2997</v>
      </c>
      <c r="S7" s="0" t="n">
        <v>1198</v>
      </c>
      <c r="T7" s="0" t="n">
        <v>481</v>
      </c>
      <c r="U7" s="0" t="n">
        <v>59</v>
      </c>
      <c r="V7" s="0" t="n">
        <v>1.07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13633</v>
      </c>
      <c r="F8" s="0" t="n">
        <v>2294</v>
      </c>
      <c r="G8" s="0" t="n">
        <v>16.8268172815961</v>
      </c>
      <c r="H8" s="0" t="n">
        <v>2959</v>
      </c>
      <c r="I8" s="0" t="n">
        <v>1608</v>
      </c>
      <c r="J8" s="0" t="n">
        <v>11.794909410988</v>
      </c>
      <c r="K8" s="0" t="n">
        <v>3.46</v>
      </c>
      <c r="L8" s="0" t="n">
        <v>2294</v>
      </c>
      <c r="M8" s="0" t="n">
        <v>1099</v>
      </c>
      <c r="N8" s="0" t="n">
        <v>1195</v>
      </c>
      <c r="O8" s="0" t="n">
        <v>2253</v>
      </c>
      <c r="P8" s="0" t="n">
        <v>9013</v>
      </c>
      <c r="Q8" s="0" t="n">
        <v>6701</v>
      </c>
      <c r="R8" s="0" t="n">
        <v>2932</v>
      </c>
      <c r="S8" s="0" t="n">
        <v>776</v>
      </c>
      <c r="T8" s="0" t="n">
        <v>473</v>
      </c>
      <c r="U8" s="0" t="n">
        <v>50</v>
      </c>
      <c r="V8" s="0" t="n">
        <v>1.24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13084</v>
      </c>
      <c r="F9" s="0" t="n">
        <v>1798</v>
      </c>
      <c r="G9" s="0" t="n">
        <v>13.7419749312137</v>
      </c>
      <c r="H9" s="0" t="n">
        <v>2519</v>
      </c>
      <c r="I9" s="0" t="n">
        <v>1091</v>
      </c>
      <c r="J9" s="0" t="n">
        <v>8.33842861510242</v>
      </c>
      <c r="K9" s="0" t="n">
        <v>2.41</v>
      </c>
      <c r="L9" s="0" t="n">
        <v>2139</v>
      </c>
      <c r="M9" s="0" t="n">
        <v>1049</v>
      </c>
      <c r="N9" s="0" t="n">
        <v>1090</v>
      </c>
      <c r="O9" s="0" t="n">
        <v>2229</v>
      </c>
      <c r="P9" s="0" t="n">
        <v>8695</v>
      </c>
      <c r="Q9" s="0" t="n">
        <v>6427</v>
      </c>
      <c r="R9" s="0" t="n">
        <v>2918</v>
      </c>
      <c r="S9" s="0" t="n">
        <v>573</v>
      </c>
      <c r="T9" s="0" t="n">
        <v>461</v>
      </c>
      <c r="U9" s="0" t="n">
        <v>49</v>
      </c>
      <c r="V9" s="0" t="n">
        <v>1.41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13279</v>
      </c>
      <c r="F10" s="0" t="n">
        <v>1517</v>
      </c>
      <c r="G10" s="0" t="n">
        <v>11.4240530160404</v>
      </c>
      <c r="H10" s="0" t="n">
        <v>1845</v>
      </c>
      <c r="I10" s="0" t="n">
        <v>1051</v>
      </c>
      <c r="J10" s="0" t="n">
        <v>7.91475261691392</v>
      </c>
      <c r="K10" s="0" t="n">
        <v>2.37</v>
      </c>
      <c r="L10" s="0" t="n">
        <v>2049</v>
      </c>
      <c r="M10" s="0" t="n">
        <v>1033</v>
      </c>
      <c r="N10" s="0" t="n">
        <v>1016</v>
      </c>
      <c r="O10" s="0" t="n">
        <v>1604</v>
      </c>
      <c r="P10" s="0" t="n">
        <v>8334</v>
      </c>
      <c r="Q10" s="0" t="n">
        <v>6721</v>
      </c>
      <c r="R10" s="0" t="n">
        <v>3341</v>
      </c>
      <c r="S10" s="0" t="n">
        <v>578</v>
      </c>
      <c r="T10" s="0" t="n">
        <v>453</v>
      </c>
      <c r="U10" s="0" t="n">
        <v>55</v>
      </c>
      <c r="V10" s="0" t="n">
        <v>1.56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6418</v>
      </c>
      <c r="F11" s="0" t="n">
        <v>1434</v>
      </c>
      <c r="G11" s="0" t="n">
        <v>22.3434091617326</v>
      </c>
      <c r="H11" s="0" t="n">
        <v>1753</v>
      </c>
      <c r="I11" s="0" t="n">
        <v>1283</v>
      </c>
      <c r="J11" s="0" t="n">
        <v>19.9906512932378</v>
      </c>
      <c r="K11" s="0" t="n">
        <v>2.95</v>
      </c>
      <c r="L11" s="0" t="n">
        <v>2139</v>
      </c>
      <c r="M11" s="0" t="n">
        <v>973</v>
      </c>
      <c r="N11" s="0" t="n">
        <v>1166</v>
      </c>
      <c r="O11" s="0" t="n">
        <v>969</v>
      </c>
      <c r="P11" s="0" t="n">
        <v>8061</v>
      </c>
      <c r="Q11" s="0" t="n">
        <v>7086</v>
      </c>
      <c r="R11" s="0" t="n">
        <v>3319</v>
      </c>
      <c r="S11" s="0" t="n">
        <v>737</v>
      </c>
      <c r="T11" s="0" t="n">
        <v>443</v>
      </c>
      <c r="U11" s="0" t="n">
        <v>57</v>
      </c>
      <c r="V11" s="0" t="n">
        <v>1.74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6356</v>
      </c>
      <c r="F12" s="0" t="n">
        <v>1682</v>
      </c>
      <c r="G12" s="0" t="n">
        <v>26.4631843926998</v>
      </c>
      <c r="H12" s="0" t="n">
        <v>1992</v>
      </c>
      <c r="I12" s="0" t="n">
        <v>1643</v>
      </c>
      <c r="J12" s="0" t="n">
        <v>25.8495909376967</v>
      </c>
      <c r="K12" s="0" t="n">
        <v>4.17</v>
      </c>
      <c r="O12" s="0" t="n">
        <v>-5615</v>
      </c>
      <c r="P12" s="0" t="n">
        <v>5453</v>
      </c>
      <c r="Q12" s="0" t="n">
        <v>11068</v>
      </c>
      <c r="R12" s="0" t="n">
        <v>9125</v>
      </c>
      <c r="S12" s="0" t="n">
        <v>725</v>
      </c>
      <c r="T12" s="0" t="n">
        <v>400</v>
      </c>
      <c r="V12" s="0" t="n">
        <v>1.73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5878</v>
      </c>
      <c r="C13" s="0" t="n">
        <v>2954</v>
      </c>
      <c r="F13" s="0" t="n">
        <v>2761</v>
      </c>
      <c r="G13" s="0" t="n">
        <v>46.9717591017353</v>
      </c>
      <c r="H13" s="0" t="n">
        <v>3014</v>
      </c>
      <c r="I13" s="0" t="n">
        <v>1340</v>
      </c>
      <c r="J13" s="0" t="n">
        <v>22.7968696835658</v>
      </c>
      <c r="K13" s="0" t="n">
        <v>3.86</v>
      </c>
      <c r="L13" s="0" t="n">
        <v>1030</v>
      </c>
      <c r="M13" s="0" t="n">
        <v>318</v>
      </c>
      <c r="N13" s="0" t="n">
        <v>712</v>
      </c>
      <c r="O13" s="0" t="n">
        <v>-6334</v>
      </c>
      <c r="P13" s="0" t="n">
        <v>5311</v>
      </c>
      <c r="Q13" s="0" t="n">
        <v>11645</v>
      </c>
      <c r="R13" s="0" t="n">
        <v>9815</v>
      </c>
      <c r="S13" s="0" t="n">
        <v>1522</v>
      </c>
      <c r="T13" s="0" t="n">
        <v>355</v>
      </c>
      <c r="U13" s="0" t="n">
        <v>65</v>
      </c>
      <c r="V13" s="0" t="n">
        <v>0.9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5688</v>
      </c>
      <c r="C14" s="0" t="n">
        <v>1634</v>
      </c>
      <c r="F14" s="0" t="n">
        <v>2296</v>
      </c>
      <c r="G14" s="0" t="n">
        <v>40.365682137834</v>
      </c>
      <c r="H14" s="0" t="n">
        <v>2433</v>
      </c>
      <c r="I14" s="0" t="n">
        <v>1542</v>
      </c>
      <c r="J14" s="0" t="n">
        <v>27.1097046413502</v>
      </c>
      <c r="K14" s="0" t="n">
        <v>4.8</v>
      </c>
      <c r="L14" s="0" t="n">
        <v>1176</v>
      </c>
      <c r="M14" s="0" t="n">
        <v>234</v>
      </c>
      <c r="N14" s="0" t="n">
        <v>942</v>
      </c>
      <c r="O14" s="0" t="n">
        <v>-7926</v>
      </c>
      <c r="P14" s="0" t="n">
        <v>4130</v>
      </c>
      <c r="Q14" s="0" t="n">
        <v>12056</v>
      </c>
      <c r="R14" s="0" t="n">
        <v>10082</v>
      </c>
      <c r="S14" s="0" t="n">
        <v>292</v>
      </c>
      <c r="T14" s="0" t="n">
        <v>329</v>
      </c>
      <c r="U14" s="0" t="n">
        <v>50</v>
      </c>
      <c r="V14" s="0" t="n">
        <v>1.44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5597</v>
      </c>
      <c r="C15" s="0" t="n">
        <v>1235</v>
      </c>
      <c r="F15" s="0" t="n">
        <v>1930</v>
      </c>
      <c r="G15" s="0" t="n">
        <v>34.4827586206897</v>
      </c>
      <c r="H15" s="0" t="n">
        <v>2042</v>
      </c>
      <c r="I15" s="0" t="n">
        <v>1294</v>
      </c>
      <c r="J15" s="0" t="n">
        <v>23.1195283187422</v>
      </c>
      <c r="K15" s="0" t="n">
        <v>4.23</v>
      </c>
      <c r="L15" s="0" t="n">
        <v>1315</v>
      </c>
      <c r="M15" s="0" t="n">
        <v>196</v>
      </c>
      <c r="N15" s="0" t="n">
        <v>1119</v>
      </c>
      <c r="O15" s="0" t="n">
        <v>-8016</v>
      </c>
      <c r="P15" s="0" t="n">
        <v>5231</v>
      </c>
      <c r="Q15" s="0" t="n">
        <v>13247</v>
      </c>
      <c r="R15" s="0" t="n">
        <v>10572</v>
      </c>
      <c r="S15" s="0" t="n">
        <v>605</v>
      </c>
      <c r="T15" s="0" t="n">
        <v>313</v>
      </c>
      <c r="U15" s="0" t="n">
        <v>59</v>
      </c>
      <c r="V15" s="0" t="n">
        <v>1.68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5652</v>
      </c>
      <c r="C16" s="0" t="n">
        <v>1506</v>
      </c>
      <c r="F16" s="0" t="n">
        <v>1503</v>
      </c>
      <c r="G16" s="0" t="n">
        <v>26.5923566878981</v>
      </c>
      <c r="H16" s="0" t="n">
        <v>1649</v>
      </c>
      <c r="I16" s="0" t="n">
        <v>904</v>
      </c>
      <c r="J16" s="0" t="n">
        <v>15.9943382873319</v>
      </c>
      <c r="K16" s="0" t="n">
        <v>2.99</v>
      </c>
      <c r="L16" s="0" t="n">
        <v>1305</v>
      </c>
      <c r="M16" s="0" t="n">
        <v>160</v>
      </c>
      <c r="N16" s="0" t="n">
        <v>1145</v>
      </c>
      <c r="O16" s="0" t="n">
        <v>-7891</v>
      </c>
      <c r="P16" s="0" t="n">
        <v>5852</v>
      </c>
      <c r="Q16" s="0" t="n">
        <v>13743</v>
      </c>
      <c r="R16" s="0" t="n">
        <v>10735</v>
      </c>
      <c r="S16" s="0" t="n">
        <v>730</v>
      </c>
      <c r="T16" s="0" t="n">
        <v>307</v>
      </c>
      <c r="U16" s="0" t="n">
        <v>97</v>
      </c>
      <c r="V16" s="0" t="n">
        <v>1.88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6584</v>
      </c>
      <c r="C17" s="0" t="n">
        <v>1725</v>
      </c>
      <c r="F17" s="0" t="n">
        <v>2139</v>
      </c>
      <c r="G17" s="0" t="n">
        <v>32.4878493317132</v>
      </c>
      <c r="H17" s="0" t="n">
        <v>2303</v>
      </c>
      <c r="I17" s="0" t="n">
        <v>1575</v>
      </c>
      <c r="J17" s="0" t="n">
        <v>23.9216281895504</v>
      </c>
      <c r="K17" s="0" t="n">
        <v>5.3</v>
      </c>
      <c r="L17" s="0" t="n">
        <v>1706</v>
      </c>
      <c r="M17" s="0" t="n">
        <v>230</v>
      </c>
      <c r="N17" s="0" t="n">
        <v>1476</v>
      </c>
      <c r="O17" s="0" t="n">
        <v>-8373</v>
      </c>
      <c r="P17" s="0" t="n">
        <v>5966</v>
      </c>
      <c r="Q17" s="0" t="n">
        <v>14339</v>
      </c>
      <c r="R17" s="0" t="n">
        <v>11253</v>
      </c>
      <c r="S17" s="0" t="n">
        <v>486</v>
      </c>
      <c r="T17" s="0" t="n">
        <v>302</v>
      </c>
      <c r="U17" s="0" t="n">
        <v>75</v>
      </c>
      <c r="V17" s="0" t="n">
        <v>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6842</v>
      </c>
      <c r="C18" s="0" t="n">
        <v>1745</v>
      </c>
      <c r="F18" s="0" t="n">
        <v>2187</v>
      </c>
      <c r="G18" s="0" t="n">
        <v>31.964337912891</v>
      </c>
      <c r="H18" s="0" t="n">
        <v>2333</v>
      </c>
      <c r="I18" s="0" t="n">
        <v>1325</v>
      </c>
      <c r="J18" s="0" t="n">
        <v>19.3656825489623</v>
      </c>
      <c r="K18" s="0" t="n">
        <v>4.63</v>
      </c>
      <c r="L18" s="0" t="n">
        <v>1427</v>
      </c>
      <c r="M18" s="0" t="n">
        <v>279</v>
      </c>
      <c r="N18" s="0" t="n">
        <v>1148</v>
      </c>
      <c r="O18" s="0" t="n">
        <v>-8876</v>
      </c>
      <c r="P18" s="0" t="n">
        <v>5846</v>
      </c>
      <c r="Q18" s="0" t="n">
        <v>14722</v>
      </c>
      <c r="R18" s="0" t="n">
        <v>11858</v>
      </c>
      <c r="S18" s="0" t="n">
        <v>367</v>
      </c>
      <c r="T18" s="0" t="n">
        <v>290</v>
      </c>
      <c r="U18" s="0" t="n">
        <v>84</v>
      </c>
      <c r="V18" s="0" t="n">
        <v>2.28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7076</v>
      </c>
      <c r="C19" s="0" t="n">
        <v>1774</v>
      </c>
      <c r="F19" s="0" t="n">
        <v>2318</v>
      </c>
      <c r="G19" s="0" t="n">
        <v>32.7586206896552</v>
      </c>
      <c r="H19" s="0" t="n">
        <v>2471</v>
      </c>
      <c r="I19" s="0" t="n">
        <v>1597</v>
      </c>
      <c r="J19" s="0" t="n">
        <v>22.5692481628038</v>
      </c>
      <c r="K19" s="0" t="n">
        <v>5.68</v>
      </c>
      <c r="L19" s="0" t="n">
        <v>1603</v>
      </c>
      <c r="M19" s="0" t="n">
        <v>285</v>
      </c>
      <c r="N19" s="0" t="n">
        <v>1318</v>
      </c>
      <c r="O19" s="0" t="n">
        <v>-7858</v>
      </c>
      <c r="P19" s="0" t="n">
        <v>6231</v>
      </c>
      <c r="Q19" s="0" t="n">
        <v>14089</v>
      </c>
      <c r="R19" s="0" t="n">
        <v>11198</v>
      </c>
      <c r="S19" s="0" t="n">
        <v>512</v>
      </c>
      <c r="T19" s="0" t="n">
        <v>285</v>
      </c>
      <c r="U19" s="0" t="n">
        <v>95</v>
      </c>
      <c r="V19" s="0" t="n">
        <v>2.42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7549</v>
      </c>
      <c r="C20" s="0" t="n">
        <v>2120</v>
      </c>
      <c r="F20" s="0" t="n">
        <v>2403</v>
      </c>
      <c r="G20" s="0" t="n">
        <v>31.8320307325474</v>
      </c>
      <c r="H20" s="0" t="n">
        <v>2578</v>
      </c>
      <c r="I20" s="0" t="n">
        <v>1486</v>
      </c>
      <c r="J20" s="0" t="n">
        <v>19.6847264538349</v>
      </c>
      <c r="K20" s="0" t="n">
        <v>5.28</v>
      </c>
      <c r="L20" s="0" t="n">
        <v>1689</v>
      </c>
      <c r="M20" s="0" t="n">
        <v>257</v>
      </c>
      <c r="N20" s="0" t="n">
        <v>1432</v>
      </c>
      <c r="O20" s="0" t="n">
        <v>-7648</v>
      </c>
      <c r="P20" s="0" t="n">
        <v>6727</v>
      </c>
      <c r="Q20" s="0" t="n">
        <v>14375</v>
      </c>
      <c r="R20" s="0" t="n">
        <v>11335</v>
      </c>
      <c r="S20" s="0" t="n">
        <v>616</v>
      </c>
      <c r="T20" s="0" t="n">
        <v>285</v>
      </c>
      <c r="U20" s="0" t="n">
        <v>69</v>
      </c>
      <c r="V20" s="0" t="n">
        <v>2.68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8214</v>
      </c>
      <c r="C21" s="0" t="n">
        <v>2483</v>
      </c>
      <c r="F21" s="0" t="n">
        <v>2574</v>
      </c>
      <c r="G21" s="0" t="n">
        <v>31.336742147553</v>
      </c>
      <c r="H21" s="0" t="n">
        <v>2780</v>
      </c>
      <c r="I21" s="0" t="n">
        <v>1559</v>
      </c>
      <c r="J21" s="0" t="n">
        <v>18.9797906014122</v>
      </c>
      <c r="K21" s="0" t="n">
        <v>5.59</v>
      </c>
      <c r="L21" s="0" t="n">
        <v>2010</v>
      </c>
      <c r="M21" s="0" t="n">
        <v>371</v>
      </c>
      <c r="N21" s="0" t="n">
        <v>1639</v>
      </c>
      <c r="O21" s="0" t="n">
        <v>-7325</v>
      </c>
      <c r="P21" s="0" t="n">
        <v>8197</v>
      </c>
      <c r="Q21" s="0" t="n">
        <v>15521</v>
      </c>
      <c r="R21" s="0" t="n">
        <v>11911</v>
      </c>
      <c r="S21" s="0" t="n">
        <v>709</v>
      </c>
      <c r="T21" s="0" t="n">
        <v>281</v>
      </c>
      <c r="U21" s="0" t="n">
        <v>70</v>
      </c>
      <c r="V21" s="0" t="n">
        <v>2.84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136.12</v>
      </c>
    </row>
    <row r="3" customFormat="false" ht="15" hidden="false" customHeight="false" outlineLevel="0" collapsed="false">
      <c r="A3" s="0" t="s">
        <v>86</v>
      </c>
      <c r="B3" s="3" t="n">
        <v>275</v>
      </c>
    </row>
    <row r="4" customFormat="false" ht="15" hidden="false" customHeight="false" outlineLevel="0" collapsed="false">
      <c r="A4" s="0" t="s">
        <v>87</v>
      </c>
      <c r="B4" s="3" t="n">
        <v>9286</v>
      </c>
    </row>
    <row r="5" customFormat="false" ht="15" hidden="false" customHeight="false" outlineLevel="0" collapsed="false">
      <c r="A5" s="0" t="s">
        <v>88</v>
      </c>
      <c r="B5" s="3" t="n">
        <v>-925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7676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3</v>
      </c>
      <c r="D13" s="3" t="n">
        <v>4</v>
      </c>
      <c r="E13" s="3" t="n">
        <v>4</v>
      </c>
      <c r="F13" s="3" t="n">
        <v>4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33.5</v>
      </c>
      <c r="D14" s="3" t="n">
        <v>33.8</v>
      </c>
      <c r="E14" s="3" t="n">
        <v>34</v>
      </c>
      <c r="F14" s="3" t="n">
        <v>34</v>
      </c>
      <c r="G14" s="3" t="n">
        <v>34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109</v>
      </c>
      <c r="C15" s="3" t="n">
        <v>1.35</v>
      </c>
      <c r="D15" s="3" t="n">
        <v>1.35</v>
      </c>
      <c r="E15" s="3" t="n">
        <v>1.35</v>
      </c>
      <c r="F15" s="3" t="n">
        <v>1.35</v>
      </c>
      <c r="G15" s="3" t="n">
        <v>1.35</v>
      </c>
      <c r="H15" s="3" t="n">
        <v>1.35</v>
      </c>
      <c r="I15" s="3" t="n">
        <v>1.35</v>
      </c>
      <c r="J15" s="3" t="n">
        <v>1.35</v>
      </c>
      <c r="K15" s="3" t="n">
        <v>1.35</v>
      </c>
      <c r="L15" s="3" t="n">
        <v>1.35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112</v>
      </c>
      <c r="C18" s="3" t="n">
        <v>5</v>
      </c>
      <c r="D18" s="3" t="n">
        <v>5</v>
      </c>
      <c r="E18" s="3" t="n">
        <v>5</v>
      </c>
      <c r="F18" s="3" t="n">
        <v>4.8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113</v>
      </c>
      <c r="C19" s="3" t="n">
        <v>22</v>
      </c>
      <c r="D19" s="3" t="n">
        <v>23</v>
      </c>
      <c r="E19" s="3" t="n">
        <v>23.5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114</v>
      </c>
      <c r="B20" s="3" t="n">
        <v>7.5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</v>
      </c>
      <c r="D27" s="3" t="n">
        <v>7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34.5</v>
      </c>
      <c r="D28" s="3" t="n">
        <v>35.3</v>
      </c>
      <c r="E28" s="3" t="n">
        <v>35.9</v>
      </c>
      <c r="F28" s="3" t="n">
        <v>36.4</v>
      </c>
      <c r="G28" s="3" t="n">
        <v>36.8</v>
      </c>
      <c r="H28" s="3" t="n">
        <v>37.1</v>
      </c>
      <c r="I28" s="3" t="n">
        <v>37.4</v>
      </c>
      <c r="J28" s="3" t="n">
        <v>37.6</v>
      </c>
      <c r="K28" s="3" t="n">
        <v>37.8</v>
      </c>
      <c r="L28" s="3" t="n">
        <v>38</v>
      </c>
    </row>
    <row r="29" customFormat="false" ht="15" hidden="false" customHeight="false" outlineLevel="0" collapsed="false">
      <c r="A29" s="0" t="s">
        <v>109</v>
      </c>
      <c r="C29" s="3" t="n">
        <v>1.35</v>
      </c>
      <c r="D29" s="3" t="n">
        <v>1.33</v>
      </c>
      <c r="E29" s="3" t="n">
        <v>1.31</v>
      </c>
      <c r="F29" s="3" t="n">
        <v>1.29</v>
      </c>
      <c r="G29" s="3" t="n">
        <v>1.27</v>
      </c>
      <c r="H29" s="3" t="n">
        <v>1.25</v>
      </c>
      <c r="I29" s="3" t="n">
        <v>1.23</v>
      </c>
      <c r="J29" s="3" t="n">
        <v>1.21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2.8</v>
      </c>
      <c r="D31" s="3" t="n">
        <v>2.8</v>
      </c>
      <c r="E31" s="3" t="n">
        <v>2.8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112</v>
      </c>
      <c r="C32" s="3" t="n">
        <v>4.9</v>
      </c>
      <c r="D32" s="3" t="n">
        <v>4.8</v>
      </c>
      <c r="E32" s="3" t="n">
        <v>4.7</v>
      </c>
      <c r="F32" s="3" t="n">
        <v>4.6</v>
      </c>
      <c r="G32" s="3" t="n">
        <v>4.5</v>
      </c>
      <c r="H32" s="3" t="n">
        <v>4.4</v>
      </c>
      <c r="I32" s="3" t="n">
        <v>4.3</v>
      </c>
      <c r="J32" s="3" t="n">
        <v>4.2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113</v>
      </c>
      <c r="C33" s="3" t="n">
        <v>21</v>
      </c>
      <c r="D33" s="3" t="n">
        <v>21.5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114</v>
      </c>
      <c r="B34" s="3" t="n">
        <v>7.5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7.5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6.5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108</v>
      </c>
      <c r="C42" s="3" t="n">
        <v>35</v>
      </c>
      <c r="D42" s="3" t="n">
        <v>36</v>
      </c>
      <c r="E42" s="3" t="n">
        <v>37</v>
      </c>
      <c r="F42" s="3" t="n">
        <v>37.8</v>
      </c>
      <c r="G42" s="3" t="n">
        <v>38.5</v>
      </c>
      <c r="H42" s="3" t="n">
        <v>39</v>
      </c>
      <c r="I42" s="3" t="n">
        <v>39.4</v>
      </c>
      <c r="J42" s="3" t="n">
        <v>39.7</v>
      </c>
      <c r="K42" s="3" t="n">
        <v>39.9</v>
      </c>
      <c r="L42" s="3" t="n">
        <v>40</v>
      </c>
    </row>
    <row r="43" customFormat="false" ht="15" hidden="false" customHeight="false" outlineLevel="0" collapsed="false">
      <c r="A43" s="0" t="s">
        <v>109</v>
      </c>
      <c r="C43" s="3" t="n">
        <v>1.35</v>
      </c>
      <c r="D43" s="3" t="n">
        <v>1.33</v>
      </c>
      <c r="E43" s="3" t="n">
        <v>1.31</v>
      </c>
      <c r="F43" s="3" t="n">
        <v>1.29</v>
      </c>
      <c r="G43" s="3" t="n">
        <v>1.27</v>
      </c>
      <c r="H43" s="3" t="n">
        <v>1.25</v>
      </c>
      <c r="I43" s="3" t="n">
        <v>1.23</v>
      </c>
      <c r="J43" s="3" t="n">
        <v>1.21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2.8</v>
      </c>
      <c r="D45" s="3" t="n">
        <v>2.8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112</v>
      </c>
      <c r="C46" s="3" t="n">
        <v>4.9</v>
      </c>
      <c r="D46" s="3" t="n">
        <v>4.8</v>
      </c>
      <c r="E46" s="3" t="n">
        <v>4.6</v>
      </c>
      <c r="F46" s="3" t="n">
        <v>4.4</v>
      </c>
      <c r="G46" s="3" t="n">
        <v>4.2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113</v>
      </c>
      <c r="C47" s="3" t="n">
        <v>21</v>
      </c>
      <c r="D47" s="3" t="n">
        <v>21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114</v>
      </c>
      <c r="B48" s="3" t="n">
        <v>7.5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22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3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7676</v>
      </c>
      <c r="C6" s="0" t="n">
        <f aca="false">B6*(1+C5/100)</f>
        <v>7906.28</v>
      </c>
      <c r="D6" s="0" t="n">
        <f aca="false">C6*(1+D5/100)</f>
        <v>8222.5312</v>
      </c>
      <c r="E6" s="0" t="n">
        <f aca="false">D6*(1+E5/100)</f>
        <v>8551.432448</v>
      </c>
      <c r="F6" s="0" t="n">
        <f aca="false">E6*(1+F5/100)</f>
        <v>8893.48974592</v>
      </c>
      <c r="G6" s="0" t="n">
        <f aca="false">F6*(1+G5/100)</f>
        <v>9204.7618870272</v>
      </c>
      <c r="H6" s="0" t="n">
        <f aca="false">G6*(1+H5/100)</f>
        <v>9526.92855307315</v>
      </c>
      <c r="I6" s="0" t="n">
        <f aca="false">H6*(1+I5/100)</f>
        <v>9812.73640966535</v>
      </c>
      <c r="J6" s="0" t="n">
        <f aca="false">I6*(1+J5/100)</f>
        <v>10107.1185019553</v>
      </c>
      <c r="K6" s="0" t="n">
        <f aca="false">J6*(1+K5/100)</f>
        <v>10359.7964645042</v>
      </c>
      <c r="L6" s="0" t="n">
        <f aca="false">K6*(1+L5/100)</f>
        <v>10618.7913761168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33.5</v>
      </c>
      <c r="D7" s="4" t="n">
        <f aca="false">Assumptions!D14</f>
        <v>33.8</v>
      </c>
      <c r="E7" s="4" t="n">
        <f aca="false">Assumptions!E14</f>
        <v>34</v>
      </c>
      <c r="F7" s="4" t="n">
        <f aca="false">Assumptions!F14</f>
        <v>34</v>
      </c>
      <c r="G7" s="4" t="n">
        <f aca="false">Assumptions!G14</f>
        <v>34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2648.6038</v>
      </c>
      <c r="D8" s="0" t="n">
        <f aca="false">D6*D7/100</f>
        <v>2779.2155456</v>
      </c>
      <c r="E8" s="0" t="n">
        <f aca="false">E6*E7/100</f>
        <v>2907.48703232</v>
      </c>
      <c r="F8" s="0" t="n">
        <f aca="false">F6*F7/100</f>
        <v>3023.7865136128</v>
      </c>
      <c r="G8" s="0" t="n">
        <f aca="false">G6*G7/100</f>
        <v>3129.61904158925</v>
      </c>
      <c r="H8" s="0" t="n">
        <f aca="false">H6*H7/100</f>
        <v>3239.15570804487</v>
      </c>
      <c r="I8" s="0" t="n">
        <f aca="false">I6*I7/100</f>
        <v>3336.33037928622</v>
      </c>
      <c r="J8" s="0" t="n">
        <f aca="false">J6*J7/100</f>
        <v>3436.4202906648</v>
      </c>
      <c r="K8" s="0" t="n">
        <f aca="false">K6*K7/100</f>
        <v>3522.33079793142</v>
      </c>
      <c r="L8" s="0" t="n">
        <f aca="false">L6*L7/100</f>
        <v>3610.38906787971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1.35</v>
      </c>
      <c r="D9" s="4" t="n">
        <f aca="false">Assumptions!D15</f>
        <v>1.35</v>
      </c>
      <c r="E9" s="4" t="n">
        <f aca="false">Assumptions!E15</f>
        <v>1.35</v>
      </c>
      <c r="F9" s="4" t="n">
        <f aca="false">Assumptions!F15</f>
        <v>1.35</v>
      </c>
      <c r="G9" s="4" t="n">
        <f aca="false">Assumptions!G15</f>
        <v>1.35</v>
      </c>
      <c r="H9" s="4" t="n">
        <f aca="false">Assumptions!H15</f>
        <v>1.35</v>
      </c>
      <c r="I9" s="4" t="n">
        <f aca="false">Assumptions!I15</f>
        <v>1.35</v>
      </c>
      <c r="J9" s="4" t="n">
        <f aca="false">Assumptions!J15</f>
        <v>1.35</v>
      </c>
      <c r="K9" s="4" t="n">
        <f aca="false">Assumptions!K15</f>
        <v>1.35</v>
      </c>
      <c r="L9" s="4" t="n">
        <f aca="false">Assumptions!L15</f>
        <v>1.35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-106.73478</v>
      </c>
      <c r="D10" s="0" t="n">
        <f aca="false">-D6*D9/100</f>
        <v>-111.0041712</v>
      </c>
      <c r="E10" s="0" t="n">
        <f aca="false">-E6*E9/100</f>
        <v>-115.444338048</v>
      </c>
      <c r="F10" s="0" t="n">
        <f aca="false">-F6*F9/100</f>
        <v>-120.06211156992</v>
      </c>
      <c r="G10" s="0" t="n">
        <f aca="false">-G6*G9/100</f>
        <v>-124.264285474867</v>
      </c>
      <c r="H10" s="0" t="n">
        <f aca="false">-H6*H9/100</f>
        <v>-128.613535466488</v>
      </c>
      <c r="I10" s="0" t="n">
        <f aca="false">-I6*I9/100</f>
        <v>-132.471941530482</v>
      </c>
      <c r="J10" s="0" t="n">
        <f aca="false">-J6*J9/100</f>
        <v>-136.446099776397</v>
      </c>
      <c r="K10" s="0" t="n">
        <f aca="false">-K6*K9/100</f>
        <v>-139.857252270807</v>
      </c>
      <c r="L10" s="0" t="n">
        <f aca="false">-L6*L9/100</f>
        <v>-143.353683577577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2541.86902</v>
      </c>
      <c r="D11" s="0" t="n">
        <f aca="false">D8+D10+D24</f>
        <v>2668.2113744</v>
      </c>
      <c r="E11" s="0" t="n">
        <f aca="false">E8+E10+E24</f>
        <v>2792.042694272</v>
      </c>
      <c r="F11" s="0" t="n">
        <f aca="false">F8+F10+F24</f>
        <v>2903.72440204288</v>
      </c>
      <c r="G11" s="0" t="n">
        <f aca="false">G8+G10+G24</f>
        <v>3005.35475611438</v>
      </c>
      <c r="H11" s="0" t="n">
        <f aca="false">H8+H10+H24</f>
        <v>3110.54217257838</v>
      </c>
      <c r="I11" s="0" t="n">
        <f aca="false">I8+I10+I24</f>
        <v>3203.85843775574</v>
      </c>
      <c r="J11" s="0" t="n">
        <f aca="false">J8+J10+J24</f>
        <v>3299.97419088841</v>
      </c>
      <c r="K11" s="0" t="n">
        <f aca="false">K8+K10+K24</f>
        <v>3382.47354566062</v>
      </c>
      <c r="L11" s="0" t="n">
        <f aca="false">L8+L10+L24</f>
        <v>3467.03538430213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-221.37584</v>
      </c>
      <c r="D12" s="4" t="n">
        <f aca="false">-D6*Assumptions!D17/100</f>
        <v>-230.2308736</v>
      </c>
      <c r="E12" s="4" t="n">
        <f aca="false">-E6*Assumptions!E17/100</f>
        <v>-239.440108544</v>
      </c>
      <c r="F12" s="4" t="n">
        <f aca="false">-F6*Assumptions!F17/100</f>
        <v>-249.01771288576</v>
      </c>
      <c r="G12" s="4" t="n">
        <f aca="false">-G6*Assumptions!G17/100</f>
        <v>-257.733332836762</v>
      </c>
      <c r="H12" s="4" t="n">
        <f aca="false">-H6*Assumptions!H17/100</f>
        <v>-266.753999486048</v>
      </c>
      <c r="I12" s="4" t="n">
        <f aca="false">-I6*Assumptions!I17/100</f>
        <v>-274.75661947063</v>
      </c>
      <c r="J12" s="4" t="n">
        <f aca="false">-J6*Assumptions!J17/100</f>
        <v>-282.999318054749</v>
      </c>
      <c r="K12" s="4" t="n">
        <f aca="false">-K6*Assumptions!K17/100</f>
        <v>-290.074301006117</v>
      </c>
      <c r="L12" s="4" t="n">
        <f aca="false">-L6*Assumptions!L17/100</f>
        <v>-297.32615853127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2320.49318</v>
      </c>
      <c r="D13" s="0" t="n">
        <f aca="false">D11+D12</f>
        <v>2437.9805008</v>
      </c>
      <c r="E13" s="0" t="n">
        <f aca="false">E11+E12</f>
        <v>2552.602585728</v>
      </c>
      <c r="F13" s="0" t="n">
        <f aca="false">F11+F12</f>
        <v>2654.70668915712</v>
      </c>
      <c r="G13" s="0" t="n">
        <f aca="false">G11+G12</f>
        <v>2747.62142327762</v>
      </c>
      <c r="H13" s="0" t="n">
        <f aca="false">H11+H12</f>
        <v>2843.78817309234</v>
      </c>
      <c r="I13" s="0" t="n">
        <f aca="false">I11+I12</f>
        <v>2929.10181828511</v>
      </c>
      <c r="J13" s="0" t="n">
        <f aca="false">J11+J12</f>
        <v>3016.97487283366</v>
      </c>
      <c r="K13" s="0" t="n">
        <f aca="false">K11+K12</f>
        <v>3092.3992446545</v>
      </c>
      <c r="L13" s="0" t="n">
        <f aca="false">L11+L12</f>
        <v>3169.70922577086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23.5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1809.9846804</v>
      </c>
      <c r="D15" s="0" t="n">
        <f aca="false">D13-MAX(0,D13)*D14/100</f>
        <v>1877.244985616</v>
      </c>
      <c r="E15" s="0" t="n">
        <f aca="false">E13-MAX(0,E13)*E14/100</f>
        <v>1952.74097808192</v>
      </c>
      <c r="F15" s="0" t="n">
        <f aca="false">F13-MAX(0,F13)*F14/100</f>
        <v>2017.57708375941</v>
      </c>
      <c r="G15" s="0" t="n">
        <f aca="false">G13-MAX(0,G13)*G14/100</f>
        <v>2088.19228169099</v>
      </c>
      <c r="H15" s="0" t="n">
        <f aca="false">H13-MAX(0,H13)*H14/100</f>
        <v>2161.27901155018</v>
      </c>
      <c r="I15" s="0" t="n">
        <f aca="false">I13-MAX(0,I13)*I14/100</f>
        <v>2226.11738189668</v>
      </c>
      <c r="J15" s="0" t="n">
        <f aca="false">J13-MAX(0,J13)*J14/100</f>
        <v>2292.90090335358</v>
      </c>
      <c r="K15" s="0" t="n">
        <f aca="false">K13-MAX(0,K13)*K14/100</f>
        <v>2350.22342593742</v>
      </c>
      <c r="L15" s="0" t="n">
        <f aca="false">L13-MAX(0,L13)*L14/100</f>
        <v>2408.97901158586</v>
      </c>
    </row>
    <row r="16" customFormat="false" ht="15" hidden="false" customHeight="false" outlineLevel="0" collapsed="false">
      <c r="A16" s="0" t="s">
        <v>129</v>
      </c>
      <c r="C16" s="0" t="n">
        <f aca="false">-C12</f>
        <v>221.37584</v>
      </c>
      <c r="D16" s="0" t="n">
        <f aca="false">-D12</f>
        <v>230.2308736</v>
      </c>
      <c r="E16" s="0" t="n">
        <f aca="false">-E12</f>
        <v>239.440108544</v>
      </c>
      <c r="F16" s="0" t="n">
        <f aca="false">-F12</f>
        <v>249.01771288576</v>
      </c>
      <c r="G16" s="0" t="n">
        <f aca="false">-G12</f>
        <v>257.733332836762</v>
      </c>
      <c r="H16" s="0" t="n">
        <f aca="false">-H12</f>
        <v>266.753999486048</v>
      </c>
      <c r="I16" s="0" t="n">
        <f aca="false">-I12</f>
        <v>274.75661947063</v>
      </c>
      <c r="J16" s="0" t="n">
        <f aca="false">-J12</f>
        <v>282.999318054749</v>
      </c>
      <c r="K16" s="0" t="n">
        <f aca="false">-K12</f>
        <v>290.074301006117</v>
      </c>
      <c r="L16" s="0" t="n">
        <f aca="false">-L12</f>
        <v>297.32615853127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-395.314</v>
      </c>
      <c r="D17" s="4" t="n">
        <f aca="false">-D6*Assumptions!D18/100</f>
        <v>-411.12656</v>
      </c>
      <c r="E17" s="4" t="n">
        <f aca="false">-E6*Assumptions!E18/100</f>
        <v>-427.5716224</v>
      </c>
      <c r="F17" s="4" t="n">
        <f aca="false">-F6*Assumptions!F18/100</f>
        <v>-426.88750780416</v>
      </c>
      <c r="G17" s="4" t="n">
        <f aca="false">-G6*Assumptions!G18/100</f>
        <v>-441.828570577306</v>
      </c>
      <c r="H17" s="4" t="n">
        <f aca="false">-H6*Assumptions!H18/100</f>
        <v>-457.292570547511</v>
      </c>
      <c r="I17" s="4" t="n">
        <f aca="false">-I6*Assumptions!I18/100</f>
        <v>-471.011347663937</v>
      </c>
      <c r="J17" s="4" t="n">
        <f aca="false">-J6*Assumptions!J18/100</f>
        <v>-485.141688093855</v>
      </c>
      <c r="K17" s="4" t="n">
        <f aca="false">-K6*Assumptions!K18/100</f>
        <v>-497.270230296201</v>
      </c>
      <c r="L17" s="4" t="n">
        <f aca="false">-L6*Assumptions!L18/100</f>
        <v>-509.701986053606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1636.0465204</v>
      </c>
      <c r="D19" s="0" t="n">
        <f aca="false">D15+D16+D17+D18</f>
        <v>1696.349299216</v>
      </c>
      <c r="E19" s="0" t="n">
        <f aca="false">E15+E16+E17+E18</f>
        <v>1764.60946422592</v>
      </c>
      <c r="F19" s="0" t="n">
        <f aca="false">F15+F16+F17+F18</f>
        <v>1839.70728884101</v>
      </c>
      <c r="G19" s="0" t="n">
        <f aca="false">G15+G16+G17+G18</f>
        <v>1904.09704395045</v>
      </c>
      <c r="H19" s="0" t="n">
        <f aca="false">H15+H16+H17+H18</f>
        <v>1970.74044048871</v>
      </c>
      <c r="I19" s="0" t="n">
        <f aca="false">I15+I16+I17+I18</f>
        <v>2029.86265370337</v>
      </c>
      <c r="J19" s="0" t="n">
        <f aca="false">J15+J16+J17+J18</f>
        <v>2090.75853331448</v>
      </c>
      <c r="K19" s="0" t="n">
        <f aca="false">K15+K16+K17+K18</f>
        <v>2143.02749664734</v>
      </c>
      <c r="L19" s="0" t="n">
        <f aca="false">L15+L16+L17+L18</f>
        <v>2196.60318406352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1521.90373990698</v>
      </c>
      <c r="D21" s="0" t="n">
        <f aca="false">D19*D20</f>
        <v>1467.90637033294</v>
      </c>
      <c r="E21" s="0" t="n">
        <f aca="false">E19*E20</f>
        <v>1420.44103928533</v>
      </c>
      <c r="F21" s="0" t="n">
        <f aca="false">F19*F20</f>
        <v>1377.57379251761</v>
      </c>
      <c r="G21" s="0" t="n">
        <f aca="false">G19*G20</f>
        <v>1326.31523279602</v>
      </c>
      <c r="H21" s="0" t="n">
        <f aca="false">H19*H20</f>
        <v>1276.96396831989</v>
      </c>
      <c r="I21" s="0" t="n">
        <f aca="false">I19*I20</f>
        <v>1223.50966266929</v>
      </c>
      <c r="J21" s="0" t="n">
        <f aca="false">J19*J20</f>
        <v>1172.29297911569</v>
      </c>
      <c r="K21" s="0" t="n">
        <f aca="false">K19*K20</f>
        <v>1117.7677242731</v>
      </c>
      <c r="L21" s="0" t="n">
        <f aca="false">L19*L20</f>
        <v>1065.77852779528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12970.4530370121</v>
      </c>
    </row>
    <row r="31" customFormat="false" ht="15" hidden="false" customHeight="false" outlineLevel="0" collapsed="false">
      <c r="A31" s="0" t="s">
        <v>138</v>
      </c>
      <c r="B31" s="0" t="n">
        <f aca="false">L19</f>
        <v>2196.60318406352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45030.3652733022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32949.0477609528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32949.0477609528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15986.6779169293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28957.1309539414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18746.1309539414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68.1677489234233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-0.499208426951049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846.923705297687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1425.86390586554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76.432431145835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18012.1461093209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12.9315574117123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7676</v>
      </c>
      <c r="C6" s="0" t="n">
        <f aca="false">B6*(1+C5/100)</f>
        <v>8136.56</v>
      </c>
      <c r="D6" s="0" t="n">
        <f aca="false">C6*(1+D5/100)</f>
        <v>8706.1192</v>
      </c>
      <c r="E6" s="0" t="n">
        <f aca="false">D6*(1+E5/100)</f>
        <v>9315.547544</v>
      </c>
      <c r="F6" s="0" t="n">
        <f aca="false">E6*(1+F5/100)</f>
        <v>9921.05813436</v>
      </c>
      <c r="G6" s="0" t="n">
        <f aca="false">F6*(1+G5/100)</f>
        <v>10516.3216224216</v>
      </c>
      <c r="H6" s="0" t="n">
        <f aca="false">G6*(1+H5/100)</f>
        <v>11094.7193116548</v>
      </c>
      <c r="I6" s="0" t="n">
        <f aca="false">H6*(1+I5/100)</f>
        <v>11649.4552772375</v>
      </c>
      <c r="J6" s="0" t="n">
        <f aca="false">I6*(1+J5/100)</f>
        <v>12173.6807647132</v>
      </c>
      <c r="K6" s="0" t="n">
        <f aca="false">J6*(1+K5/100)</f>
        <v>12660.6279953017</v>
      </c>
      <c r="L6" s="0" t="n">
        <f aca="false">K6*(1+L5/100)</f>
        <v>13103.7499751373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34.5</v>
      </c>
      <c r="D7" s="4" t="n">
        <f aca="false">Assumptions!D28</f>
        <v>35.3</v>
      </c>
      <c r="E7" s="4" t="n">
        <f aca="false">Assumptions!E28</f>
        <v>35.9</v>
      </c>
      <c r="F7" s="4" t="n">
        <f aca="false">Assumptions!F28</f>
        <v>36.4</v>
      </c>
      <c r="G7" s="4" t="n">
        <f aca="false">Assumptions!G28</f>
        <v>36.8</v>
      </c>
      <c r="H7" s="4" t="n">
        <f aca="false">Assumptions!H28</f>
        <v>37.1</v>
      </c>
      <c r="I7" s="4" t="n">
        <f aca="false">Assumptions!I28</f>
        <v>37.4</v>
      </c>
      <c r="J7" s="4" t="n">
        <f aca="false">Assumptions!J28</f>
        <v>37.6</v>
      </c>
      <c r="K7" s="4" t="n">
        <f aca="false">Assumptions!K28</f>
        <v>37.8</v>
      </c>
      <c r="L7" s="4" t="n">
        <f aca="false">Assumptions!L28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2807.1132</v>
      </c>
      <c r="D8" s="0" t="n">
        <f aca="false">D6*D7/100</f>
        <v>3073.2600776</v>
      </c>
      <c r="E8" s="0" t="n">
        <f aca="false">E6*E7/100</f>
        <v>3344.281568296</v>
      </c>
      <c r="F8" s="0" t="n">
        <f aca="false">F6*F7/100</f>
        <v>3611.26516090704</v>
      </c>
      <c r="G8" s="0" t="n">
        <f aca="false">G6*G7/100</f>
        <v>3870.00635705115</v>
      </c>
      <c r="H8" s="0" t="n">
        <f aca="false">H6*H7/100</f>
        <v>4116.14086462393</v>
      </c>
      <c r="I8" s="0" t="n">
        <f aca="false">I6*I7/100</f>
        <v>4356.89627368684</v>
      </c>
      <c r="J8" s="0" t="n">
        <f aca="false">J6*J7/100</f>
        <v>4577.30396753217</v>
      </c>
      <c r="K8" s="0" t="n">
        <f aca="false">K6*K7/100</f>
        <v>4785.71738222406</v>
      </c>
      <c r="L8" s="0" t="n">
        <f aca="false">L6*L7/100</f>
        <v>4979.42499055218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1.35</v>
      </c>
      <c r="D9" s="4" t="n">
        <f aca="false">Assumptions!D29</f>
        <v>1.33</v>
      </c>
      <c r="E9" s="4" t="n">
        <f aca="false">Assumptions!E29</f>
        <v>1.31</v>
      </c>
      <c r="F9" s="4" t="n">
        <f aca="false">Assumptions!F29</f>
        <v>1.29</v>
      </c>
      <c r="G9" s="4" t="n">
        <f aca="false">Assumptions!G29</f>
        <v>1.27</v>
      </c>
      <c r="H9" s="4" t="n">
        <f aca="false">Assumptions!H29</f>
        <v>1.25</v>
      </c>
      <c r="I9" s="4" t="n">
        <f aca="false">Assumptions!I29</f>
        <v>1.23</v>
      </c>
      <c r="J9" s="4" t="n">
        <f aca="false">Assumptions!J29</f>
        <v>1.21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-109.84356</v>
      </c>
      <c r="D10" s="0" t="n">
        <f aca="false">-D6*D9/100</f>
        <v>-115.79138536</v>
      </c>
      <c r="E10" s="0" t="n">
        <f aca="false">-E6*E9/100</f>
        <v>-122.0336728264</v>
      </c>
      <c r="F10" s="0" t="n">
        <f aca="false">-F6*F9/100</f>
        <v>-127.981649933244</v>
      </c>
      <c r="G10" s="0" t="n">
        <f aca="false">-G6*G9/100</f>
        <v>-133.557284604754</v>
      </c>
      <c r="H10" s="0" t="n">
        <f aca="false">-H6*H9/100</f>
        <v>-138.683991395685</v>
      </c>
      <c r="I10" s="0" t="n">
        <f aca="false">-I6*I9/100</f>
        <v>-143.288299910022</v>
      </c>
      <c r="J10" s="0" t="n">
        <f aca="false">-J6*J9/100</f>
        <v>-147.30153725303</v>
      </c>
      <c r="K10" s="0" t="n">
        <f aca="false">-K6*K9/100</f>
        <v>-151.927535943621</v>
      </c>
      <c r="L10" s="0" t="n">
        <f aca="false">-L6*L9/100</f>
        <v>-157.244999701648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2697.26964</v>
      </c>
      <c r="D11" s="0" t="n">
        <f aca="false">D8+D10+D24</f>
        <v>2957.46869224</v>
      </c>
      <c r="E11" s="0" t="n">
        <f aca="false">E8+E10+E24</f>
        <v>3222.2478954696</v>
      </c>
      <c r="F11" s="0" t="n">
        <f aca="false">F8+F10+F24</f>
        <v>3483.2835109738</v>
      </c>
      <c r="G11" s="0" t="n">
        <f aca="false">G8+G10+G24</f>
        <v>3736.44907244639</v>
      </c>
      <c r="H11" s="0" t="n">
        <f aca="false">H8+H10+H24</f>
        <v>3977.45687322824</v>
      </c>
      <c r="I11" s="0" t="n">
        <f aca="false">I8+I10+I24</f>
        <v>4213.60797377681</v>
      </c>
      <c r="J11" s="0" t="n">
        <f aca="false">J8+J10+J24</f>
        <v>4430.00243027914</v>
      </c>
      <c r="K11" s="0" t="n">
        <f aca="false">K8+K10+K24</f>
        <v>4633.78984628044</v>
      </c>
      <c r="L11" s="0" t="n">
        <f aca="false">L8+L10+L24</f>
        <v>4822.17999085053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-227.82368</v>
      </c>
      <c r="D12" s="4" t="n">
        <f aca="false">-D6*Assumptions!D31/100</f>
        <v>-243.7713376</v>
      </c>
      <c r="E12" s="4" t="n">
        <f aca="false">-E6*Assumptions!E31/100</f>
        <v>-260.835331232</v>
      </c>
      <c r="F12" s="4" t="n">
        <f aca="false">-F6*Assumptions!F31/100</f>
        <v>-277.78962776208</v>
      </c>
      <c r="G12" s="4" t="n">
        <f aca="false">-G6*Assumptions!G31/100</f>
        <v>-294.457005427805</v>
      </c>
      <c r="H12" s="4" t="n">
        <f aca="false">-H6*Assumptions!H31/100</f>
        <v>-310.652140726334</v>
      </c>
      <c r="I12" s="4" t="n">
        <f aca="false">-I6*Assumptions!I31/100</f>
        <v>-326.184747762651</v>
      </c>
      <c r="J12" s="4" t="n">
        <f aca="false">-J6*Assumptions!J31/100</f>
        <v>-340.86306141197</v>
      </c>
      <c r="K12" s="4" t="n">
        <f aca="false">-K6*Assumptions!K31/100</f>
        <v>-354.497583868449</v>
      </c>
      <c r="L12" s="4" t="n">
        <f aca="false">-L6*Assumptions!L31/100</f>
        <v>-366.904999303845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2469.44596</v>
      </c>
      <c r="D13" s="0" t="n">
        <f aca="false">D11+D12</f>
        <v>2713.69735464</v>
      </c>
      <c r="E13" s="0" t="n">
        <f aca="false">E11+E12</f>
        <v>2961.4125642376</v>
      </c>
      <c r="F13" s="0" t="n">
        <f aca="false">F11+F12</f>
        <v>3205.49388321172</v>
      </c>
      <c r="G13" s="0" t="n">
        <f aca="false">G11+G12</f>
        <v>3441.99206701859</v>
      </c>
      <c r="H13" s="0" t="n">
        <f aca="false">H11+H12</f>
        <v>3666.80473250191</v>
      </c>
      <c r="I13" s="0" t="n">
        <f aca="false">I11+I12</f>
        <v>3887.42322601416</v>
      </c>
      <c r="J13" s="0" t="n">
        <f aca="false">J11+J12</f>
        <v>4089.13936886717</v>
      </c>
      <c r="K13" s="0" t="n">
        <f aca="false">K11+K12</f>
        <v>4279.29226241199</v>
      </c>
      <c r="L13" s="0" t="n">
        <f aca="false">L11+L12</f>
        <v>4455.27499154668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21</v>
      </c>
      <c r="D14" s="4" t="n">
        <f aca="false">Assumptions!D33</f>
        <v>21.5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1950.8623084</v>
      </c>
      <c r="D15" s="0" t="n">
        <f aca="false">D13-MAX(0,D13)*D14/100</f>
        <v>2130.2524233924</v>
      </c>
      <c r="E15" s="0" t="n">
        <f aca="false">E13-MAX(0,E13)*E14/100</f>
        <v>2309.90180010533</v>
      </c>
      <c r="F15" s="0" t="n">
        <f aca="false">F13-MAX(0,F13)*F14/100</f>
        <v>2500.28522890514</v>
      </c>
      <c r="G15" s="0" t="n">
        <f aca="false">G13-MAX(0,G13)*G14/100</f>
        <v>2684.7538122745</v>
      </c>
      <c r="H15" s="0" t="n">
        <f aca="false">H13-MAX(0,H13)*H14/100</f>
        <v>2860.10769135149</v>
      </c>
      <c r="I15" s="0" t="n">
        <f aca="false">I13-MAX(0,I13)*I14/100</f>
        <v>3032.19011629105</v>
      </c>
      <c r="J15" s="0" t="n">
        <f aca="false">J13-MAX(0,J13)*J14/100</f>
        <v>3189.52870771639</v>
      </c>
      <c r="K15" s="0" t="n">
        <f aca="false">K13-MAX(0,K13)*K14/100</f>
        <v>3337.84796468135</v>
      </c>
      <c r="L15" s="0" t="n">
        <f aca="false">L13-MAX(0,L13)*L14/100</f>
        <v>3475.11449340641</v>
      </c>
    </row>
    <row r="16" customFormat="false" ht="15" hidden="false" customHeight="false" outlineLevel="0" collapsed="false">
      <c r="A16" s="0" t="s">
        <v>129</v>
      </c>
      <c r="C16" s="0" t="n">
        <f aca="false">-C12</f>
        <v>227.82368</v>
      </c>
      <c r="D16" s="0" t="n">
        <f aca="false">-D12</f>
        <v>243.7713376</v>
      </c>
      <c r="E16" s="0" t="n">
        <f aca="false">-E12</f>
        <v>260.835331232</v>
      </c>
      <c r="F16" s="0" t="n">
        <f aca="false">-F12</f>
        <v>277.78962776208</v>
      </c>
      <c r="G16" s="0" t="n">
        <f aca="false">-G12</f>
        <v>294.457005427805</v>
      </c>
      <c r="H16" s="0" t="n">
        <f aca="false">-H12</f>
        <v>310.652140726334</v>
      </c>
      <c r="I16" s="0" t="n">
        <f aca="false">-I12</f>
        <v>326.184747762651</v>
      </c>
      <c r="J16" s="0" t="n">
        <f aca="false">-J12</f>
        <v>340.86306141197</v>
      </c>
      <c r="K16" s="0" t="n">
        <f aca="false">-K12</f>
        <v>354.497583868449</v>
      </c>
      <c r="L16" s="0" t="n">
        <f aca="false">-L12</f>
        <v>366.904999303845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-398.69144</v>
      </c>
      <c r="D17" s="4" t="n">
        <f aca="false">-D6*Assumptions!D32/100</f>
        <v>-417.8937216</v>
      </c>
      <c r="E17" s="4" t="n">
        <f aca="false">-E6*Assumptions!E32/100</f>
        <v>-437.830734568</v>
      </c>
      <c r="F17" s="4" t="n">
        <f aca="false">-F6*Assumptions!F32/100</f>
        <v>-456.36867418056</v>
      </c>
      <c r="G17" s="4" t="n">
        <f aca="false">-G6*Assumptions!G32/100</f>
        <v>-473.234473008972</v>
      </c>
      <c r="H17" s="4" t="n">
        <f aca="false">-H6*Assumptions!H32/100</f>
        <v>-488.167649712811</v>
      </c>
      <c r="I17" s="4" t="n">
        <f aca="false">-I6*Assumptions!I32/100</f>
        <v>-500.926576921214</v>
      </c>
      <c r="J17" s="4" t="n">
        <f aca="false">-J6*Assumptions!J32/100</f>
        <v>-511.294592117955</v>
      </c>
      <c r="K17" s="4" t="n">
        <f aca="false">-K6*Assumptions!K32/100</f>
        <v>-531.746375802673</v>
      </c>
      <c r="L17" s="4" t="n">
        <f aca="false">-L6*Assumptions!L32/100</f>
        <v>-550.357498955767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1779.9945484</v>
      </c>
      <c r="D19" s="0" t="n">
        <f aca="false">D15+D16+D17+D18</f>
        <v>1956.1300393924</v>
      </c>
      <c r="E19" s="0" t="n">
        <f aca="false">E15+E16+E17+E18</f>
        <v>2132.90639676933</v>
      </c>
      <c r="F19" s="0" t="n">
        <f aca="false">F15+F16+F17+F18</f>
        <v>2321.70618248666</v>
      </c>
      <c r="G19" s="0" t="n">
        <f aca="false">G15+G16+G17+G18</f>
        <v>2505.97634469333</v>
      </c>
      <c r="H19" s="0" t="n">
        <f aca="false">H15+H16+H17+H18</f>
        <v>2682.59218236501</v>
      </c>
      <c r="I19" s="0" t="n">
        <f aca="false">I15+I16+I17+I18</f>
        <v>2857.44828713248</v>
      </c>
      <c r="J19" s="0" t="n">
        <f aca="false">J15+J16+J17+J18</f>
        <v>3019.09717701041</v>
      </c>
      <c r="K19" s="0" t="n">
        <f aca="false">K15+K16+K17+K18</f>
        <v>3160.59917274713</v>
      </c>
      <c r="L19" s="0" t="n">
        <f aca="false">L15+L16+L17+L18</f>
        <v>3291.66199375449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1655.80888223256</v>
      </c>
      <c r="D21" s="0" t="n">
        <f aca="false">D19*D20</f>
        <v>1692.70311683496</v>
      </c>
      <c r="E21" s="0" t="n">
        <f aca="false">E19*E20</f>
        <v>1716.90554785411</v>
      </c>
      <c r="F21" s="0" t="n">
        <f aca="false">F19*F20</f>
        <v>1738.49481943109</v>
      </c>
      <c r="G21" s="0" t="n">
        <f aca="false">G19*G20</f>
        <v>1745.55945536133</v>
      </c>
      <c r="H21" s="0" t="n">
        <f aca="false">H19*H20</f>
        <v>1738.21650390817</v>
      </c>
      <c r="I21" s="0" t="n">
        <f aca="false">I19*I20</f>
        <v>1722.34095913137</v>
      </c>
      <c r="J21" s="0" t="n">
        <f aca="false">J19*J20</f>
        <v>1692.81452998138</v>
      </c>
      <c r="K21" s="0" t="n">
        <f aca="false">K19*K20</f>
        <v>1648.5162930424</v>
      </c>
      <c r="L21" s="0" t="n">
        <f aca="false">L19*L20</f>
        <v>1597.09441339037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16948.4545211678</v>
      </c>
    </row>
    <row r="31" customFormat="false" ht="15" hidden="false" customHeight="false" outlineLevel="0" collapsed="false">
      <c r="A31" s="0" t="s">
        <v>138</v>
      </c>
      <c r="B31" s="0" t="n">
        <f aca="false">L19</f>
        <v>3291.66199375449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75342.485634825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65833.2398750898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65833.2398750898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31941.8882678074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48890.3427889752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38679.3427889752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140.652155596273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0.0332952953002748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903.832745859445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1746.29219298523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150.288973555709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28253.4321130594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31.6674374993087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7.5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7676</v>
      </c>
      <c r="C6" s="0" t="n">
        <f aca="false">B6*(1+C5/100)</f>
        <v>8251.7</v>
      </c>
      <c r="D6" s="0" t="n">
        <f aca="false">C6*(1+D5/100)</f>
        <v>8994.353</v>
      </c>
      <c r="E6" s="0" t="n">
        <f aca="false">D6*(1+E5/100)</f>
        <v>9803.84477</v>
      </c>
      <c r="F6" s="0" t="n">
        <f aca="false">E6*(1+F5/100)</f>
        <v>10637.17157545</v>
      </c>
      <c r="G6" s="0" t="n">
        <f aca="false">F6*(1+G5/100)</f>
        <v>11488.145301486</v>
      </c>
      <c r="H6" s="0" t="n">
        <f aca="false">G6*(1+H5/100)</f>
        <v>12292.31547259</v>
      </c>
      <c r="I6" s="0" t="n">
        <f aca="false">H6*(1+I5/100)</f>
        <v>13091.3159783084</v>
      </c>
      <c r="J6" s="0" t="n">
        <f aca="false">I6*(1+J5/100)</f>
        <v>13876.7949370069</v>
      </c>
      <c r="K6" s="0" t="n">
        <f aca="false">J6*(1+K5/100)</f>
        <v>14570.6346838572</v>
      </c>
      <c r="L6" s="0" t="n">
        <f aca="false">K6*(1+L5/100)</f>
        <v>15226.3132446308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35</v>
      </c>
      <c r="D7" s="4" t="n">
        <f aca="false">Assumptions!D42</f>
        <v>36</v>
      </c>
      <c r="E7" s="4" t="n">
        <f aca="false">Assumptions!E42</f>
        <v>37</v>
      </c>
      <c r="F7" s="4" t="n">
        <f aca="false">Assumptions!F42</f>
        <v>37.8</v>
      </c>
      <c r="G7" s="4" t="n">
        <f aca="false">Assumptions!G42</f>
        <v>38.5</v>
      </c>
      <c r="H7" s="4" t="n">
        <f aca="false">Assumptions!H42</f>
        <v>39</v>
      </c>
      <c r="I7" s="4" t="n">
        <f aca="false">Assumptions!I42</f>
        <v>39.4</v>
      </c>
      <c r="J7" s="4" t="n">
        <f aca="false">Assumptions!J42</f>
        <v>39.7</v>
      </c>
      <c r="K7" s="4" t="n">
        <f aca="false">Assumptions!K42</f>
        <v>39.9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2888.095</v>
      </c>
      <c r="D8" s="0" t="n">
        <f aca="false">D6*D7/100</f>
        <v>3237.96708</v>
      </c>
      <c r="E8" s="0" t="n">
        <f aca="false">E6*E7/100</f>
        <v>3627.4225649</v>
      </c>
      <c r="F8" s="0" t="n">
        <f aca="false">F6*F7/100</f>
        <v>4020.8508555201</v>
      </c>
      <c r="G8" s="0" t="n">
        <f aca="false">G6*G7/100</f>
        <v>4422.93594107211</v>
      </c>
      <c r="H8" s="0" t="n">
        <f aca="false">H6*H7/100</f>
        <v>4794.00303431011</v>
      </c>
      <c r="I8" s="0" t="n">
        <f aca="false">I6*I7/100</f>
        <v>5157.9784954535</v>
      </c>
      <c r="J8" s="0" t="n">
        <f aca="false">J6*J7/100</f>
        <v>5509.08758999173</v>
      </c>
      <c r="K8" s="0" t="n">
        <f aca="false">K6*K7/100</f>
        <v>5813.68323885903</v>
      </c>
      <c r="L8" s="0" t="n">
        <f aca="false">L6*L7/100</f>
        <v>6090.52529785232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1.35</v>
      </c>
      <c r="D9" s="4" t="n">
        <f aca="false">Assumptions!D43</f>
        <v>1.33</v>
      </c>
      <c r="E9" s="4" t="n">
        <f aca="false">Assumptions!E43</f>
        <v>1.31</v>
      </c>
      <c r="F9" s="4" t="n">
        <f aca="false">Assumptions!F43</f>
        <v>1.29</v>
      </c>
      <c r="G9" s="4" t="n">
        <f aca="false">Assumptions!G43</f>
        <v>1.27</v>
      </c>
      <c r="H9" s="4" t="n">
        <f aca="false">Assumptions!H43</f>
        <v>1.25</v>
      </c>
      <c r="I9" s="4" t="n">
        <f aca="false">Assumptions!I43</f>
        <v>1.23</v>
      </c>
      <c r="J9" s="4" t="n">
        <f aca="false">Assumptions!J43</f>
        <v>1.21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-111.39795</v>
      </c>
      <c r="D10" s="0" t="n">
        <f aca="false">-D6*D9/100</f>
        <v>-119.6248949</v>
      </c>
      <c r="E10" s="0" t="n">
        <f aca="false">-E6*E9/100</f>
        <v>-128.430366487</v>
      </c>
      <c r="F10" s="0" t="n">
        <f aca="false">-F6*F9/100</f>
        <v>-137.219513323305</v>
      </c>
      <c r="G10" s="0" t="n">
        <f aca="false">-G6*G9/100</f>
        <v>-145.899445328872</v>
      </c>
      <c r="H10" s="0" t="n">
        <f aca="false">-H6*H9/100</f>
        <v>-153.653943407375</v>
      </c>
      <c r="I10" s="0" t="n">
        <f aca="false">-I6*I9/100</f>
        <v>-161.023186533193</v>
      </c>
      <c r="J10" s="0" t="n">
        <f aca="false">-J6*J9/100</f>
        <v>-167.909218737783</v>
      </c>
      <c r="K10" s="0" t="n">
        <f aca="false">-K6*K9/100</f>
        <v>-174.847616206287</v>
      </c>
      <c r="L10" s="0" t="n">
        <f aca="false">-L6*L9/100</f>
        <v>-182.71575893557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2776.69705</v>
      </c>
      <c r="D11" s="0" t="n">
        <f aca="false">D8+D10+D24</f>
        <v>3118.3421851</v>
      </c>
      <c r="E11" s="0" t="n">
        <f aca="false">E8+E10+E24</f>
        <v>3498.992198413</v>
      </c>
      <c r="F11" s="0" t="n">
        <f aca="false">F8+F10+F24</f>
        <v>3883.6313421968</v>
      </c>
      <c r="G11" s="0" t="n">
        <f aca="false">G8+G10+G24</f>
        <v>4277.03649574324</v>
      </c>
      <c r="H11" s="0" t="n">
        <f aca="false">H8+H10+H24</f>
        <v>4640.34909090273</v>
      </c>
      <c r="I11" s="0" t="n">
        <f aca="false">I8+I10+I24</f>
        <v>4996.95530892031</v>
      </c>
      <c r="J11" s="0" t="n">
        <f aca="false">J8+J10+J24</f>
        <v>5341.17837125395</v>
      </c>
      <c r="K11" s="0" t="n">
        <f aca="false">K8+K10+K24</f>
        <v>5638.83562265274</v>
      </c>
      <c r="L11" s="0" t="n">
        <f aca="false">L8+L10+L24</f>
        <v>5907.80953891675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-231.0476</v>
      </c>
      <c r="D12" s="4" t="n">
        <f aca="false">-D6*Assumptions!D45/100</f>
        <v>-251.841884</v>
      </c>
      <c r="E12" s="4" t="n">
        <f aca="false">-E6*Assumptions!E45/100</f>
        <v>-274.50765356</v>
      </c>
      <c r="F12" s="4" t="n">
        <f aca="false">-F6*Assumptions!F45/100</f>
        <v>-297.8408041126</v>
      </c>
      <c r="G12" s="4" t="n">
        <f aca="false">-G6*Assumptions!G45/100</f>
        <v>-321.668068441608</v>
      </c>
      <c r="H12" s="4" t="n">
        <f aca="false">-H6*Assumptions!H45/100</f>
        <v>-344.184833232521</v>
      </c>
      <c r="I12" s="4" t="n">
        <f aca="false">-I6*Assumptions!I45/100</f>
        <v>-366.556847392634</v>
      </c>
      <c r="J12" s="4" t="n">
        <f aca="false">-J6*Assumptions!J45/100</f>
        <v>-388.550258236193</v>
      </c>
      <c r="K12" s="4" t="n">
        <f aca="false">-K6*Assumptions!K45/100</f>
        <v>-407.977771148002</v>
      </c>
      <c r="L12" s="4" t="n">
        <f aca="false">-L6*Assumptions!L45/100</f>
        <v>-426.336770849662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2545.64945</v>
      </c>
      <c r="D13" s="0" t="n">
        <f aca="false">D11+D12</f>
        <v>2866.5003011</v>
      </c>
      <c r="E13" s="0" t="n">
        <f aca="false">E11+E12</f>
        <v>3224.484544853</v>
      </c>
      <c r="F13" s="0" t="n">
        <f aca="false">F11+F12</f>
        <v>3585.7905380842</v>
      </c>
      <c r="G13" s="0" t="n">
        <f aca="false">G11+G12</f>
        <v>3955.36842730163</v>
      </c>
      <c r="H13" s="0" t="n">
        <f aca="false">H11+H12</f>
        <v>4296.16425767021</v>
      </c>
      <c r="I13" s="0" t="n">
        <f aca="false">I11+I12</f>
        <v>4630.39846152767</v>
      </c>
      <c r="J13" s="0" t="n">
        <f aca="false">J11+J12</f>
        <v>4952.62811301776</v>
      </c>
      <c r="K13" s="0" t="n">
        <f aca="false">K11+K12</f>
        <v>5230.85785150474</v>
      </c>
      <c r="L13" s="0" t="n">
        <f aca="false">L11+L12</f>
        <v>5481.47276806709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2011.0630655</v>
      </c>
      <c r="D15" s="0" t="n">
        <f aca="false">D13-MAX(0,D13)*D14/100</f>
        <v>2264.535237869</v>
      </c>
      <c r="E15" s="0" t="n">
        <f aca="false">E13-MAX(0,E13)*E14/100</f>
        <v>2531.22036770961</v>
      </c>
      <c r="F15" s="0" t="n">
        <f aca="false">F13-MAX(0,F13)*F14/100</f>
        <v>2814.84557239609</v>
      </c>
      <c r="G15" s="0" t="n">
        <f aca="false">G13-MAX(0,G13)*G14/100</f>
        <v>3104.96421543178</v>
      </c>
      <c r="H15" s="0" t="n">
        <f aca="false">H13-MAX(0,H13)*H14/100</f>
        <v>3372.48894227112</v>
      </c>
      <c r="I15" s="0" t="n">
        <f aca="false">I13-MAX(0,I13)*I14/100</f>
        <v>3634.86279229922</v>
      </c>
      <c r="J15" s="0" t="n">
        <f aca="false">J13-MAX(0,J13)*J14/100</f>
        <v>3887.81306871894</v>
      </c>
      <c r="K15" s="0" t="n">
        <f aca="false">K13-MAX(0,K13)*K14/100</f>
        <v>4106.22341343122</v>
      </c>
      <c r="L15" s="0" t="n">
        <f aca="false">L13-MAX(0,L13)*L14/100</f>
        <v>4302.95612293266</v>
      </c>
    </row>
    <row r="16" customFormat="false" ht="15" hidden="false" customHeight="false" outlineLevel="0" collapsed="false">
      <c r="A16" s="0" t="s">
        <v>129</v>
      </c>
      <c r="C16" s="0" t="n">
        <f aca="false">-C12</f>
        <v>231.0476</v>
      </c>
      <c r="D16" s="0" t="n">
        <f aca="false">-D12</f>
        <v>251.841884</v>
      </c>
      <c r="E16" s="0" t="n">
        <f aca="false">-E12</f>
        <v>274.50765356</v>
      </c>
      <c r="F16" s="0" t="n">
        <f aca="false">-F12</f>
        <v>297.8408041126</v>
      </c>
      <c r="G16" s="0" t="n">
        <f aca="false">-G12</f>
        <v>321.668068441608</v>
      </c>
      <c r="H16" s="0" t="n">
        <f aca="false">-H12</f>
        <v>344.184833232521</v>
      </c>
      <c r="I16" s="0" t="n">
        <f aca="false">-I12</f>
        <v>366.556847392634</v>
      </c>
      <c r="J16" s="0" t="n">
        <f aca="false">-J12</f>
        <v>388.550258236193</v>
      </c>
      <c r="K16" s="0" t="n">
        <f aca="false">-K12</f>
        <v>407.977771148002</v>
      </c>
      <c r="L16" s="0" t="n">
        <f aca="false">-L12</f>
        <v>426.336770849662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-404.3333</v>
      </c>
      <c r="D17" s="4" t="n">
        <f aca="false">-D6*Assumptions!D46/100</f>
        <v>-431.728944</v>
      </c>
      <c r="E17" s="4" t="n">
        <f aca="false">-E6*Assumptions!E46/100</f>
        <v>-450.97685942</v>
      </c>
      <c r="F17" s="4" t="n">
        <f aca="false">-F6*Assumptions!F46/100</f>
        <v>-468.0355493198</v>
      </c>
      <c r="G17" s="4" t="n">
        <f aca="false">-G6*Assumptions!G46/100</f>
        <v>-482.502102662412</v>
      </c>
      <c r="H17" s="4" t="n">
        <f aca="false">-H6*Assumptions!H46/100</f>
        <v>-491.692618903601</v>
      </c>
      <c r="I17" s="4" t="n">
        <f aca="false">-I6*Assumptions!I46/100</f>
        <v>-523.652639132335</v>
      </c>
      <c r="J17" s="4" t="n">
        <f aca="false">-J6*Assumptions!J46/100</f>
        <v>-555.071797480275</v>
      </c>
      <c r="K17" s="4" t="n">
        <f aca="false">-K6*Assumptions!K46/100</f>
        <v>-582.825387354289</v>
      </c>
      <c r="L17" s="4" t="n">
        <f aca="false">-L6*Assumptions!L46/100</f>
        <v>-609.052529785232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1837.7773655</v>
      </c>
      <c r="D19" s="0" t="n">
        <f aca="false">D15+D16+D17+D18</f>
        <v>2084.648177869</v>
      </c>
      <c r="E19" s="0" t="n">
        <f aca="false">E15+E16+E17+E18</f>
        <v>2354.75116184961</v>
      </c>
      <c r="F19" s="0" t="n">
        <f aca="false">F15+F16+F17+F18</f>
        <v>2644.65082718889</v>
      </c>
      <c r="G19" s="0" t="n">
        <f aca="false">G15+G16+G17+G18</f>
        <v>2944.13018121098</v>
      </c>
      <c r="H19" s="0" t="n">
        <f aca="false">H15+H16+H17+H18</f>
        <v>3224.98115660004</v>
      </c>
      <c r="I19" s="0" t="n">
        <f aca="false">I15+I16+I17+I18</f>
        <v>3477.76700055952</v>
      </c>
      <c r="J19" s="0" t="n">
        <f aca="false">J15+J16+J17+J18</f>
        <v>3721.29152947486</v>
      </c>
      <c r="K19" s="0" t="n">
        <f aca="false">K15+K16+K17+K18</f>
        <v>3931.37579722494</v>
      </c>
      <c r="L19" s="0" t="n">
        <f aca="false">L15+L16+L17+L18</f>
        <v>4120.24036399709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1709.56034</v>
      </c>
      <c r="D21" s="0" t="n">
        <f aca="false">D19*D20</f>
        <v>1803.91405332093</v>
      </c>
      <c r="E21" s="0" t="n">
        <f aca="false">E19*E20</f>
        <v>1895.48183629586</v>
      </c>
      <c r="F21" s="0" t="n">
        <f aca="false">F19*F20</f>
        <v>1980.31594047257</v>
      </c>
      <c r="G21" s="0" t="n">
        <f aca="false">G19*G20</f>
        <v>2050.75929248502</v>
      </c>
      <c r="H21" s="0" t="n">
        <f aca="false">H19*H20</f>
        <v>2089.6636872523</v>
      </c>
      <c r="I21" s="0" t="n">
        <f aca="false">I19*I20</f>
        <v>2096.24110376818</v>
      </c>
      <c r="J21" s="0" t="n">
        <f aca="false">J19*J20</f>
        <v>2086.53647168442</v>
      </c>
      <c r="K21" s="0" t="n">
        <f aca="false">K19*K20</f>
        <v>2050.54064168623</v>
      </c>
      <c r="L21" s="0" t="n">
        <f aca="false">L19*L20</f>
        <v>1999.11560775401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19762.1289747195</v>
      </c>
    </row>
    <row r="31" customFormat="false" ht="15" hidden="false" customHeight="false" outlineLevel="0" collapsed="false">
      <c r="A31" s="0" t="s">
        <v>138</v>
      </c>
      <c r="B31" s="0" t="n">
        <f aca="false">L19</f>
        <v>4120.24036399709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106611.219418425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90645.2880079361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90645.2880079361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43980.5433705881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63742.6723453076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53531.6723453076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194.66062671021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0.430066314356521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985.516901128471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2293.88542574878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206.585726080672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37082.1632759738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46.2101876965758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68.1677489234233</v>
      </c>
      <c r="C4" s="0" t="n">
        <f aca="false">B4/Assumptions!$B$2-1</f>
        <v>-0.499208426951049</v>
      </c>
      <c r="D4" s="4" t="n">
        <f aca="false">Assumptions!$B$24</f>
        <v>0.2</v>
      </c>
      <c r="E4" s="4" t="n">
        <f aca="false">DCF_Bear!$B$43</f>
        <v>76.432431145835</v>
      </c>
      <c r="F4" s="4" t="n">
        <f aca="false">DCF_Bear!$B$47</f>
        <v>12.9315574117123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140.652155596273</v>
      </c>
      <c r="C5" s="0" t="n">
        <f aca="false">B5/Assumptions!$B$2-1</f>
        <v>0.0332952953002748</v>
      </c>
      <c r="D5" s="4" t="n">
        <f aca="false">Assumptions!$B$38</f>
        <v>0.5</v>
      </c>
      <c r="E5" s="4" t="n">
        <f aca="false">DCF_Base!$B$43</f>
        <v>150.288973555709</v>
      </c>
      <c r="F5" s="4" t="n">
        <f aca="false">DCF_Base!$B$47</f>
        <v>31.6674374993087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194.66062671021</v>
      </c>
      <c r="C6" s="0" t="n">
        <f aca="false">B6/Assumptions!$B$2-1</f>
        <v>0.430066314356521</v>
      </c>
      <c r="D6" s="4" t="n">
        <f aca="false">Assumptions!$B$52</f>
        <v>0.3</v>
      </c>
      <c r="E6" s="4" t="n">
        <f aca="false">DCF_Bull!$B$43</f>
        <v>206.585726080672</v>
      </c>
      <c r="F6" s="4" t="n">
        <f aca="false">DCF_Bull!$B$47</f>
        <v>46.2101876965758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142.357815595884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152.406690831223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0.0438178653540998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-62.0747640885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32.2830865409695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140.652155596273</v>
      </c>
      <c r="C15" s="3" t="n">
        <v>7.5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106.841962074991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85.2368554978185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69.0815200321739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56.5564203231783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31.6674374993087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171.413212510644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171.413212510644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171.413212510644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171.413212510644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171.413212510644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155.286554820466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155.286554820466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155.286554820466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155.286554820466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155.286554820466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132.204714070903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140.652155596273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140.652155596273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140.652155596273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140.652155596273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104.551589785264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111.915700222605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120.618739830373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127.356576946063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127.356576946063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84.3519352443451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89.388868169408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95.2007138521729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101.981200482065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109.994502862847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2026-10-02T22:06:38Z</dcterms:created>
  <dc:creator>openpyxl</dc:creator>
  <dc:description/>
  <dc:language>en-NZ</dc:language>
  <cp:lastModifiedBy/>
  <dcterms:modified xsi:type="dcterms:W3CDTF">2026-10-02T22:06:38Z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