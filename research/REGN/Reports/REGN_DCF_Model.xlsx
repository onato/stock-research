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<sst xmlns="http://schemas.openxmlformats.org/spreadsheetml/2006/main" count="387" uniqueCount="174">
  <si>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</si>
  <si>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REGN</t>
  </si>
  <si>
    <t xml:space="preserve">Company</t>
  </si>
  <si>
    <t xml:space="preserve">Regeneron Pharmaceuticals,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</si>
  <si>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</si>
  <si>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</si>
  <si>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</si>
  <si>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</si>
  <si>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</si>
  <si>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</si>
  <si>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</si>
  <si>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</si>
  <si>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</si>
  <si>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</si>
  <si>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</si>
  <si>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</si>
  <si>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</si>
  <si>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</si>
  <si>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</si>
  <si>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</si>
  <si>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</si>
  <si>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2026-10-02T07:50:34Z</t>
  </si>
  <si>
    <t xml:space="preserve">Drivers file</t>
  </si>
  <si>
    <t xml:space="preserve">REGN_Drivers.json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</si>
  <si>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</si>
  <si>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</si>
  <si>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</si>
  <si>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 values REGN on owner FCF -- reported FCF less SBC and net-share-settlement withholding taxes, less interest earned on the $17.8B cash and securities pile (which is added back as net cash instead). On that basis the operating business converts only ~13% of revenue to owner FCF today, versus 28% reported, because R&amp;D is ~41% of revenue and equity comp ~10%. The valuation hinges on (1) how much of the Dupixent profit share survives the ~2031 US patent expiry and (2) whether margins recover as revenue outgrows a ~$6B R&amp;D budget. Net cash is ~19% of the market cap and floors the downside.
key_risks_to_valuation: Dupixent US compound-patent expiry (2031) and the speed of biosimilar erosion of the Sanofi profit share; EYLEA 2mg biosimilar erosion and Vabysmo share gains outpacing EYLEA HD; IRA Medicare price negotiation (Part B selection from 2028) on EYLEA/Dupixent; Pipeline readout risk (itepekimab COPD, fianlimab, Factor XI, obesity) given R&amp;D at ~41% of revenue; Equity-comp withholding taxes are lumpy (FY21-25 range $446M-$1,033M), so year-to-year owner FCF is noisy; Capital allocation: the $17.8B pile valued at book assumes it is not destroyed in M&amp;A</t>
  </si>
  <si>
    <t xml:space="preserve">Data sources</t>
  </si>
  <si>
    <t xml:space="preserve">price: Yahoo Finance chart API at inputs.price_as_of; 52-week range 541.00-859.34
financials: REGN_Metrics.csv (SEC XBRL, FY2007-Q2 2026); SEC companyfacts API (CIK 872589) for marketable securities, finance lease, interest income on debt securities, equity-award withholding taxes, buybacks, diluted shares, cash taxes paid
qualitative: REGN_Analysis.json not yet available at build time; scenario axes from filings and general knowledge of Regeneron's franchises and pipeline</t>
  </si>
  <si>
    <t xml:space="preserve">Scenario narrative: bear</t>
  </si>
  <si>
    <t xml:space="preserve">The anti-VEGF franchise shrinks faster than EYLEA HD can offset (aflibercept biosimilars plus Vabysmo, and Medicare Part B negotiation under the IRA from 2028); Dupixent growth slows as competing type-2 biologics and oral agents arrive, then US biosimilars take share sharply from 2032; key pipeline readouts fail (as one of the two itepekimab COPD trials already did in 2025), leaving R&amp;D spend high against a shrinking base. Revenue is roughly flat to FY2030 and falls ~15% through the LOE; margins compress to ~30%. Even here the $17.8B net cash (~$143/share) cushions the downside.</t>
  </si>
  <si>
    <t xml:space="preserve">Scenario narrative: base</t>
  </si>
  <si>
    <t xml:space="preserve">Dupixent keeps compounding through COPD and newer type-2 indications until US biosimilars arrive after the 2031 compound-patent expiry; EYLEA HD (8mg) holds the anti-VEGF franchise roughly flat in aggregate as EYLEA 2mg erodes to biosimilars and Roche's Vabysmo; Libtayo and the bispecifics (linvoseltamab, odronextamab) add low-single-digit points of growth; the pipeline replaces part but not all of the Dupixent profit share in 2032-33. R&amp;D intensity eases from ~41% of revenue as sales outgrow it, so adj. EBITDA margin recovers from 34% to ~39% before the LOE dip. Revenue ~$21B by FY2031, ~$21B in FY2035.</t>
  </si>
  <si>
    <t xml:space="preserve">Scenario narrative: bull</t>
  </si>
  <si>
    <t xml:space="preserve">Pipeline delivers: a second positive itepekimab COPD trial, fianlimab+cemiplimab in melanoma, Factor XI anticoagulants and the obesity muscle-preservation combos reach market; Dupixent COPD and new indications push the profit share well above consensus, and biosimilar erosion of a complex IL-4Ralpha antibody in dermatology/respiratory proves slow and partial. EYLEA HD prefilled syringe and extended dosing defend share against Vabysmo. Revenue compounds ~9% to FY2031 and keeps growing through the LOE; margins expand to ~41.5% on operating leverage over a stable R&amp;D budget.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</si>
  <si>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</si>
  <si>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</si>
  <si>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</si>
  <si>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</si>
  <si>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</si>
  <si>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</si>
  <si>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</si>
  <si>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</si>
  <si>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</si>
  <si>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</si>
  <si>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</si>
  <si>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</si>
  <si>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</si>
  <si>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</si>
  <si>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</si>
  <si>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</si>
  <si>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</si>
  <si>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</si>
  <si>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</si>
  <si>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</si>
  <si>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</si>
  <si>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</si>
  <si>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</si>
  <si>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</si>
  <si>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</si>
  <si>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</si>
  <si>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</si>
  <si>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</si>
  <si>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</si>
  <si>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</si>
  <si>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</si>
  <si>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</si>
  <si>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</si>
  <si>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</si>
  <si>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</si>
  <si>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</si>
  <si>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</si>
  <si>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</si>
  <si>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</si>
  <si>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</si>
  <si>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</si>
  <si>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</si>
  <si>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</si>
  <si>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</si>
  <si>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</si>
  <si>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</si>
  <si>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</si>
  <si>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</si>
  <si>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</si>
  <si>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</si>
  <si>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</si>
  <si>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</si>
  <si>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</si>
  <si>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</si>
  <si>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</si>
  <si>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</si>
  <si>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</si>
  <si>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</si>
  <si>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</si>
  <si>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</si>
  <si>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</si>
  <si>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</si>
  <si>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</si>
  <si>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</si>
  <si>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</si>
  <si>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</si>
  <si>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</si>
  <si>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</si>
  <si>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</si>
  <si>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</si>
  <si>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</si>
  <si>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</si>
  <si>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</si>
  <si>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</si>
  <si>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</si>
  <si>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</si>
  <si>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</si>
  <si>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</si>
  <si>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</si>
  <si>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</si>
  <si>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</si>
  <si>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</si>
  <si>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</si>
  <si>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REGN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</si>
  <si>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</si>
  <si>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</si>
  <si>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</si>
  <si>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</si>
  <si>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</si>
  <si>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</si>
  <si>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</si>
  <si>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</si>
  <si>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</si>
  <si>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</si>
  <si>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</si>
  <si>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</si>
  <si>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</si>
  <si>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</si>
  <si>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</si>
  <si>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</si>
  <si>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</si>
  <si>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</si>
  <si>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</si>
  <si>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</si>
  <si>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</si>
  <si>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</si>
  <si>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</si>
  <si>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</si>
  <si>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</si>
  <si>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</si>
  <si>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</si>
  <si>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</si>
  <si>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</si>
  <si>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</si>
  <si>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REGN owner-FCF component DCF: base case (millions, USD)</t>
  </si>
  <si>
    <t xml:space="preserve">REGN owner-FCF component DCF: bull case (millions, USD)</t>
  </si>
  <si>
    <t xml:space="preserve">REGN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</si>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</sst>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734.81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459.348</v>
      </c>
      <c r="S2" s="0" t="n">
        <v>498.925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238.457</v>
      </c>
      <c r="F3" s="0" t="n">
        <v>-86.249</v>
      </c>
      <c r="G3" s="0" t="n">
        <v>-36.1696238734866</v>
      </c>
      <c r="H3" s="0" t="n">
        <v>-74.962</v>
      </c>
      <c r="I3" s="0" t="n">
        <v>-79.129</v>
      </c>
      <c r="J3" s="0" t="n">
        <v>-33.1837605941532</v>
      </c>
      <c r="L3" s="0" t="n">
        <v>-89.086</v>
      </c>
      <c r="M3" s="0" t="n">
        <v>34.857</v>
      </c>
      <c r="N3" s="0" t="n">
        <v>-123.943</v>
      </c>
      <c r="O3" s="0" t="n">
        <v>421.514</v>
      </c>
      <c r="S3" s="0" t="n">
        <v>247.796</v>
      </c>
      <c r="U3" s="0" t="n">
        <v>32.523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379.268</v>
      </c>
      <c r="F4" s="0" t="n">
        <v>-74.103</v>
      </c>
      <c r="G4" s="0" t="n">
        <v>-19.5384266534482</v>
      </c>
      <c r="H4" s="0" t="n">
        <v>-59.903</v>
      </c>
      <c r="I4" s="0" t="n">
        <v>-67.83</v>
      </c>
      <c r="J4" s="0" t="n">
        <v>-17.884451100541</v>
      </c>
      <c r="L4" s="0" t="n">
        <v>-69.936</v>
      </c>
      <c r="M4" s="0" t="n">
        <v>97.318</v>
      </c>
      <c r="N4" s="0" t="n">
        <v>-167.254</v>
      </c>
      <c r="O4" s="0" t="n">
        <v>396.762</v>
      </c>
      <c r="P4" s="0" t="n">
        <v>741.202</v>
      </c>
      <c r="Q4" s="0" t="n">
        <v>344.44</v>
      </c>
      <c r="S4" s="0" t="n">
        <v>207.075</v>
      </c>
      <c r="T4" s="0" t="n">
        <v>78.860862</v>
      </c>
      <c r="U4" s="0" t="n">
        <v>31.259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459.074</v>
      </c>
      <c r="F5" s="0" t="n">
        <v>-97.472</v>
      </c>
      <c r="G5" s="0" t="n">
        <v>-21.2323067740713</v>
      </c>
      <c r="H5" s="0" t="n">
        <v>-77.785</v>
      </c>
      <c r="I5" s="0" t="n">
        <v>-104.468</v>
      </c>
      <c r="J5" s="0" t="n">
        <v>-22.7562440913665</v>
      </c>
      <c r="K5" s="0" t="n">
        <v>-1.26</v>
      </c>
      <c r="L5" s="0" t="n">
        <v>99.222</v>
      </c>
      <c r="M5" s="0" t="n">
        <v>99.689</v>
      </c>
      <c r="N5" s="0" t="n">
        <v>-0.466999999999999</v>
      </c>
      <c r="O5" s="0" t="n">
        <v>527.815</v>
      </c>
      <c r="P5" s="0" t="n">
        <v>1089.432</v>
      </c>
      <c r="Q5" s="0" t="n">
        <v>561.617</v>
      </c>
      <c r="S5" s="0" t="n">
        <v>112.572</v>
      </c>
      <c r="T5" s="0" t="n">
        <v>82.926</v>
      </c>
      <c r="U5" s="0" t="n">
        <v>39.897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445.824</v>
      </c>
      <c r="F6" s="0" t="n">
        <v>-205.159</v>
      </c>
      <c r="G6" s="0" t="n">
        <v>-46.0179353287396</v>
      </c>
      <c r="H6" s="0" t="n">
        <v>-174.077</v>
      </c>
      <c r="I6" s="0" t="n">
        <v>-221.76</v>
      </c>
      <c r="J6" s="0" t="n">
        <v>-49.7416020671835</v>
      </c>
      <c r="K6" s="0" t="n">
        <v>-2.45</v>
      </c>
      <c r="L6" s="0" t="n">
        <v>-141.682</v>
      </c>
      <c r="M6" s="0" t="n">
        <v>57.217</v>
      </c>
      <c r="N6" s="0" t="n">
        <v>-198.899</v>
      </c>
      <c r="O6" s="0" t="n">
        <v>485.732</v>
      </c>
      <c r="P6" s="0" t="n">
        <v>1323.583</v>
      </c>
      <c r="Q6" s="0" t="n">
        <v>837.851</v>
      </c>
      <c r="S6" s="0" t="n">
        <v>483.61</v>
      </c>
      <c r="T6" s="0" t="n">
        <v>90.61</v>
      </c>
      <c r="U6" s="0" t="n">
        <v>56.094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1378.477</v>
      </c>
      <c r="F7" s="0" t="n">
        <v>457.713</v>
      </c>
      <c r="G7" s="0" t="n">
        <v>33.2042536799671</v>
      </c>
      <c r="H7" s="0" t="n">
        <v>494.653</v>
      </c>
      <c r="I7" s="0" t="n">
        <v>750.269</v>
      </c>
      <c r="J7" s="0" t="n">
        <v>54.4273861660369</v>
      </c>
      <c r="K7" s="0" t="n">
        <v>7.92</v>
      </c>
      <c r="L7" s="0" t="n">
        <v>-74.615</v>
      </c>
      <c r="M7" s="0" t="n">
        <v>49.337</v>
      </c>
      <c r="N7" s="0" t="n">
        <v>-123.952</v>
      </c>
      <c r="O7" s="0" t="n">
        <v>1256.618</v>
      </c>
      <c r="P7" s="0" t="n">
        <v>2080.49</v>
      </c>
      <c r="Q7" s="0" t="n">
        <v>835.105</v>
      </c>
      <c r="S7" s="0" t="n">
        <v>230.276</v>
      </c>
      <c r="T7" s="0" t="n">
        <v>115.382</v>
      </c>
      <c r="U7" s="0" t="n">
        <v>94.157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2104.745</v>
      </c>
      <c r="F8" s="0" t="n">
        <v>743.05</v>
      </c>
      <c r="G8" s="0" t="n">
        <v>35.3035640897116</v>
      </c>
      <c r="H8" s="0" t="n">
        <v>784.254</v>
      </c>
      <c r="I8" s="0" t="n">
        <v>413.738</v>
      </c>
      <c r="J8" s="0" t="n">
        <v>19.6573931758954</v>
      </c>
      <c r="K8" s="0" t="n">
        <v>4.23</v>
      </c>
      <c r="L8" s="0" t="n">
        <v>588.596</v>
      </c>
      <c r="M8" s="0" t="n">
        <v>156.323</v>
      </c>
      <c r="N8" s="0" t="n">
        <v>432.273</v>
      </c>
      <c r="O8" s="0" t="n">
        <v>1964.716</v>
      </c>
      <c r="P8" s="0" t="n">
        <v>2951.013</v>
      </c>
      <c r="Q8" s="0" t="n">
        <v>998.937</v>
      </c>
      <c r="S8" s="0" t="n">
        <v>535.608</v>
      </c>
      <c r="T8" s="0" t="n">
        <v>111.29</v>
      </c>
      <c r="U8" s="0" t="n">
        <v>215.377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2819.557</v>
      </c>
      <c r="F9" s="0" t="n">
        <v>823.919</v>
      </c>
      <c r="G9" s="0" t="n">
        <v>29.2215762972694</v>
      </c>
      <c r="H9" s="0" t="n">
        <v>876.605</v>
      </c>
      <c r="I9" s="0" t="n">
        <v>338.126</v>
      </c>
      <c r="J9" s="0" t="n">
        <v>11.9921675639116</v>
      </c>
      <c r="K9" s="0" t="n">
        <v>3.36</v>
      </c>
      <c r="L9" s="0" t="n">
        <v>752.435</v>
      </c>
      <c r="M9" s="0" t="n">
        <v>333.006</v>
      </c>
      <c r="N9" s="0" t="n">
        <v>419.429</v>
      </c>
      <c r="O9" s="0" t="n">
        <v>2550.251</v>
      </c>
      <c r="P9" s="0" t="n">
        <v>3837.672</v>
      </c>
      <c r="Q9" s="0" t="n">
        <v>1287.421</v>
      </c>
      <c r="S9" s="0" t="n">
        <v>648.719</v>
      </c>
      <c r="T9" s="0" t="n">
        <v>113.413</v>
      </c>
      <c r="U9" s="0" t="n">
        <v>321.75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4103.728</v>
      </c>
      <c r="F10" s="0" t="n">
        <v>1251.916</v>
      </c>
      <c r="G10" s="0" t="n">
        <v>30.5067977214864</v>
      </c>
      <c r="H10" s="0" t="n">
        <v>1326.825</v>
      </c>
      <c r="I10" s="0" t="n">
        <v>636.056</v>
      </c>
      <c r="J10" s="0" t="n">
        <v>15.4994678009849</v>
      </c>
      <c r="K10" s="0" t="n">
        <v>6.17</v>
      </c>
      <c r="L10" s="0" t="n">
        <v>1330.78</v>
      </c>
      <c r="M10" s="0" t="n">
        <v>677.933</v>
      </c>
      <c r="N10" s="0" t="n">
        <v>652.847</v>
      </c>
      <c r="O10" s="0" t="n">
        <v>3654.8</v>
      </c>
      <c r="P10" s="0" t="n">
        <v>5609.132</v>
      </c>
      <c r="Q10" s="0" t="n">
        <v>1954.295</v>
      </c>
      <c r="S10" s="0" t="n">
        <v>809.102</v>
      </c>
      <c r="T10" s="0" t="n">
        <v>115.23</v>
      </c>
      <c r="U10" s="0" t="n">
        <v>459.049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4860.4</v>
      </c>
      <c r="F11" s="0" t="n">
        <v>1330.7</v>
      </c>
      <c r="G11" s="0" t="n">
        <v>27.3784050695416</v>
      </c>
      <c r="H11" s="0" t="n">
        <v>1435.4</v>
      </c>
      <c r="I11" s="0" t="n">
        <v>895.5</v>
      </c>
      <c r="J11" s="0" t="n">
        <v>18.4244095136203</v>
      </c>
      <c r="K11" s="0" t="n">
        <v>8.55</v>
      </c>
      <c r="L11" s="0" t="n">
        <v>1485.9</v>
      </c>
      <c r="M11" s="0" t="n">
        <v>511.9</v>
      </c>
      <c r="N11" s="0" t="n">
        <v>974</v>
      </c>
      <c r="O11" s="0" t="n">
        <v>4449.3</v>
      </c>
      <c r="P11" s="0" t="n">
        <v>6973.466</v>
      </c>
      <c r="Q11" s="0" t="n">
        <v>2524.221</v>
      </c>
      <c r="S11" s="0" t="n">
        <v>535.2</v>
      </c>
      <c r="T11" s="0" t="n">
        <v>116.3</v>
      </c>
      <c r="U11" s="0" t="n">
        <v>559.9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5872.2</v>
      </c>
      <c r="F12" s="0" t="n">
        <v>2079.6</v>
      </c>
      <c r="G12" s="0" t="n">
        <v>35.414325125166</v>
      </c>
      <c r="H12" s="0" t="n">
        <v>2225.1</v>
      </c>
      <c r="I12" s="0" t="n">
        <v>1198.5</v>
      </c>
      <c r="J12" s="0" t="n">
        <v>20.4097271891284</v>
      </c>
      <c r="K12" s="0" t="n">
        <v>11.27</v>
      </c>
      <c r="L12" s="0" t="n">
        <v>1307.1</v>
      </c>
      <c r="M12" s="0" t="n">
        <v>272.6</v>
      </c>
      <c r="N12" s="0" t="n">
        <v>1034.5</v>
      </c>
      <c r="O12" s="0" t="n">
        <v>6144.1</v>
      </c>
      <c r="P12" s="0" t="n">
        <v>8764.3</v>
      </c>
      <c r="Q12" s="0" t="n">
        <v>2620.2</v>
      </c>
      <c r="S12" s="0" t="n">
        <v>812.7</v>
      </c>
      <c r="T12" s="0" t="n">
        <v>115.9</v>
      </c>
      <c r="U12" s="0" t="n">
        <v>507.3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5145.6</v>
      </c>
      <c r="C13" s="0" t="n">
        <v>237.5</v>
      </c>
      <c r="F13" s="0" t="n">
        <v>2534.4</v>
      </c>
      <c r="G13" s="0" t="n">
        <v>49.2537313432836</v>
      </c>
      <c r="H13" s="0" t="n">
        <v>2682.6</v>
      </c>
      <c r="I13" s="0" t="n">
        <v>2444.4</v>
      </c>
      <c r="J13" s="0" t="n">
        <v>47.5046641791045</v>
      </c>
      <c r="K13" s="0" t="n">
        <v>22.65</v>
      </c>
      <c r="L13" s="0" t="n">
        <v>2195.1</v>
      </c>
      <c r="M13" s="0" t="n">
        <v>383.1</v>
      </c>
      <c r="N13" s="0" t="n">
        <v>1812</v>
      </c>
      <c r="O13" s="0" t="n">
        <v>8757.3</v>
      </c>
      <c r="P13" s="0" t="n">
        <v>11734.5</v>
      </c>
      <c r="Q13" s="0" t="n">
        <v>2977.2</v>
      </c>
      <c r="S13" s="0" t="n">
        <v>1467.7</v>
      </c>
      <c r="T13" s="0" t="n">
        <v>114.8</v>
      </c>
      <c r="U13" s="0" t="n">
        <v>427.4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6557.6</v>
      </c>
      <c r="C14" s="0" t="n">
        <v>402.8</v>
      </c>
      <c r="F14" s="0" t="n">
        <v>2209.8</v>
      </c>
      <c r="G14" s="0" t="n">
        <v>33.6983042576552</v>
      </c>
      <c r="H14" s="0" t="n">
        <v>2420.1</v>
      </c>
      <c r="I14" s="0" t="n">
        <v>2115.8</v>
      </c>
      <c r="J14" s="0" t="n">
        <v>32.2648529949982</v>
      </c>
      <c r="K14" s="0" t="n">
        <v>19.38</v>
      </c>
      <c r="L14" s="0" t="n">
        <v>2430</v>
      </c>
      <c r="M14" s="0" t="n">
        <v>429.6</v>
      </c>
      <c r="N14" s="0" t="n">
        <v>2000.4</v>
      </c>
      <c r="O14" s="0" t="n">
        <v>11089.7</v>
      </c>
      <c r="P14" s="0" t="n">
        <v>14805.2</v>
      </c>
      <c r="Q14" s="0" t="n">
        <v>3715.5</v>
      </c>
      <c r="R14" s="0" t="n">
        <v>0</v>
      </c>
      <c r="S14" s="0" t="n">
        <v>1617.8</v>
      </c>
      <c r="T14" s="0" t="n">
        <v>114.6</v>
      </c>
      <c r="U14" s="0" t="n">
        <v>464.3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8497.1</v>
      </c>
      <c r="F15" s="0" t="n">
        <v>3576.6</v>
      </c>
      <c r="G15" s="0" t="n">
        <v>42.0920078615057</v>
      </c>
      <c r="H15" s="0" t="n">
        <v>3812.5</v>
      </c>
      <c r="I15" s="0" t="n">
        <v>3513.2</v>
      </c>
      <c r="J15" s="0" t="n">
        <v>41.3458709442045</v>
      </c>
      <c r="K15" s="0" t="n">
        <v>32.65</v>
      </c>
      <c r="L15" s="0" t="n">
        <v>2618.1</v>
      </c>
      <c r="M15" s="0" t="n">
        <v>614.6</v>
      </c>
      <c r="N15" s="0" t="n">
        <v>2003.5</v>
      </c>
      <c r="O15" s="0" t="n">
        <v>11025.3</v>
      </c>
      <c r="P15" s="0" t="n">
        <v>17163.3</v>
      </c>
      <c r="Q15" s="0" t="n">
        <v>6138</v>
      </c>
      <c r="R15" s="0" t="n">
        <v>1978.5</v>
      </c>
      <c r="S15" s="0" t="n">
        <v>2193.7</v>
      </c>
      <c r="T15" s="0" t="n">
        <v>115.1</v>
      </c>
      <c r="U15" s="0" t="n">
        <v>432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16071.7</v>
      </c>
      <c r="F16" s="0" t="n">
        <v>8946.8</v>
      </c>
      <c r="G16" s="0" t="n">
        <v>55.668037606476</v>
      </c>
      <c r="H16" s="0" t="n">
        <v>9233</v>
      </c>
      <c r="I16" s="0" t="n">
        <v>8075.3</v>
      </c>
      <c r="J16" s="0" t="n">
        <v>50.2454625210774</v>
      </c>
      <c r="K16" s="0" t="n">
        <v>76.4</v>
      </c>
      <c r="L16" s="0" t="n">
        <v>7081.3</v>
      </c>
      <c r="M16" s="0" t="n">
        <v>551.9</v>
      </c>
      <c r="N16" s="0" t="n">
        <v>6529.4</v>
      </c>
      <c r="O16" s="0" t="n">
        <v>18768.8</v>
      </c>
      <c r="P16" s="0" t="n">
        <v>25434.8</v>
      </c>
      <c r="Q16" s="0" t="n">
        <v>6666</v>
      </c>
      <c r="R16" s="0" t="n">
        <v>1980</v>
      </c>
      <c r="S16" s="0" t="n">
        <v>2885.6</v>
      </c>
      <c r="T16" s="0" t="n">
        <v>112.2</v>
      </c>
      <c r="U16" s="0" t="n">
        <v>601.7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12172.9</v>
      </c>
      <c r="F17" s="0" t="n">
        <v>4738.9</v>
      </c>
      <c r="G17" s="0" t="n">
        <v>38.9299180967559</v>
      </c>
      <c r="H17" s="0" t="n">
        <v>5080.3</v>
      </c>
      <c r="I17" s="0" t="n">
        <v>4338.4</v>
      </c>
      <c r="J17" s="0" t="n">
        <v>35.6398228852615</v>
      </c>
      <c r="K17" s="0" t="n">
        <v>40.51</v>
      </c>
      <c r="L17" s="0" t="n">
        <v>5014.9</v>
      </c>
      <c r="M17" s="0" t="n">
        <v>590.1</v>
      </c>
      <c r="N17" s="0" t="n">
        <v>4424.8</v>
      </c>
      <c r="O17" s="0" t="n">
        <v>22664</v>
      </c>
      <c r="P17" s="0" t="n">
        <v>29214.5</v>
      </c>
      <c r="Q17" s="0" t="n">
        <v>6550.5</v>
      </c>
      <c r="R17" s="0" t="n">
        <v>1981.4</v>
      </c>
      <c r="S17" s="0" t="n">
        <v>3105.9</v>
      </c>
      <c r="T17" s="0" t="n">
        <v>113.5</v>
      </c>
      <c r="U17" s="0" t="n">
        <v>725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13117.2</v>
      </c>
      <c r="F18" s="0" t="n">
        <v>4047.1</v>
      </c>
      <c r="G18" s="0" t="n">
        <v>30.8533833440063</v>
      </c>
      <c r="H18" s="0" t="n">
        <v>4468.1</v>
      </c>
      <c r="I18" s="0" t="n">
        <v>3953.6</v>
      </c>
      <c r="J18" s="0" t="n">
        <v>30.1405787820571</v>
      </c>
      <c r="K18" s="0" t="n">
        <v>37.05</v>
      </c>
      <c r="L18" s="0" t="n">
        <v>4594</v>
      </c>
      <c r="M18" s="0" t="n">
        <v>718.6</v>
      </c>
      <c r="N18" s="0" t="n">
        <v>3875.4</v>
      </c>
      <c r="O18" s="0" t="n">
        <v>25973.1</v>
      </c>
      <c r="P18" s="0" t="n">
        <v>33080.2</v>
      </c>
      <c r="Q18" s="0" t="n">
        <v>7107.1</v>
      </c>
      <c r="R18" s="0" t="n">
        <v>1982.9</v>
      </c>
      <c r="S18" s="0" t="n">
        <v>2730</v>
      </c>
      <c r="T18" s="0" t="n">
        <v>113.7</v>
      </c>
      <c r="U18" s="0" t="n">
        <v>885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14202</v>
      </c>
      <c r="F19" s="0" t="n">
        <v>3990.7</v>
      </c>
      <c r="G19" s="0" t="n">
        <v>28.0995634417688</v>
      </c>
      <c r="H19" s="0" t="n">
        <v>4473.6</v>
      </c>
      <c r="I19" s="0" t="n">
        <v>4412.6</v>
      </c>
      <c r="J19" s="0" t="n">
        <v>31.0702717927053</v>
      </c>
      <c r="K19" s="0" t="n">
        <v>40.9</v>
      </c>
      <c r="L19" s="0" t="n">
        <v>4420.5</v>
      </c>
      <c r="M19" s="0" t="n">
        <v>755.9</v>
      </c>
      <c r="N19" s="0" t="n">
        <v>3664.6</v>
      </c>
      <c r="O19" s="0" t="n">
        <v>29353.6</v>
      </c>
      <c r="P19" s="0" t="n">
        <v>37759.4</v>
      </c>
      <c r="Q19" s="0" t="n">
        <v>8405.8</v>
      </c>
      <c r="R19" s="0" t="n">
        <v>1984.4</v>
      </c>
      <c r="S19" s="0" t="n">
        <v>2488.2</v>
      </c>
      <c r="T19" s="0" t="n">
        <v>115.1</v>
      </c>
      <c r="U19" s="0" t="n">
        <v>982.8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14342.9</v>
      </c>
      <c r="F20" s="0" t="n">
        <v>3577.9</v>
      </c>
      <c r="G20" s="0" t="n">
        <v>24.9454433901094</v>
      </c>
      <c r="H20" s="0" t="n">
        <v>4121.6</v>
      </c>
      <c r="I20" s="0" t="n">
        <v>4504.9</v>
      </c>
      <c r="J20" s="0" t="n">
        <v>31.4085714883322</v>
      </c>
      <c r="K20" s="0" t="n">
        <v>43.07</v>
      </c>
      <c r="L20" s="0" t="n">
        <v>4978.9</v>
      </c>
      <c r="M20" s="0" t="n">
        <v>898.4</v>
      </c>
      <c r="N20" s="0" t="n">
        <v>4080.5</v>
      </c>
      <c r="O20" s="0" t="n">
        <v>31256.9</v>
      </c>
      <c r="P20" s="0" t="n">
        <v>40558.7</v>
      </c>
      <c r="Q20" s="0" t="n">
        <v>9301.8</v>
      </c>
      <c r="R20" s="0" t="n">
        <v>1985.9</v>
      </c>
      <c r="S20" s="0" t="n">
        <v>3118.1</v>
      </c>
      <c r="T20" s="0" t="n">
        <v>108.6</v>
      </c>
      <c r="U20" s="0" t="n">
        <v>993.7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734.81</v>
      </c>
    </row>
    <row r="3" customFormat="false" ht="15" hidden="false" customHeight="false" outlineLevel="0" collapsed="false">
      <c r="A3" s="0" t="s">
        <v>85</v>
      </c>
      <c r="B3" s="3" t="n">
        <v>106</v>
      </c>
    </row>
    <row r="4" customFormat="false" ht="15" hidden="false" customHeight="false" outlineLevel="0" collapsed="false">
      <c r="A4" s="0" t="s">
        <v>86</v>
      </c>
      <c r="B4" s="3" t="n">
        <v>-15116.3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14342.9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9</v>
      </c>
      <c r="D13" s="3" t="n">
        <v>3</v>
      </c>
      <c r="E13" s="3" t="n">
        <v>2</v>
      </c>
      <c r="F13" s="3" t="n">
        <v>1</v>
      </c>
      <c r="G13" s="3" t="n">
        <v>0</v>
      </c>
      <c r="H13" s="3" t="n">
        <v>-2</v>
      </c>
      <c r="I13" s="3" t="n">
        <v>-6</v>
      </c>
      <c r="J13" s="3" t="n">
        <v>-6</v>
      </c>
      <c r="K13" s="3" t="n">
        <v>-2</v>
      </c>
      <c r="L13" s="3" t="n">
        <v>1.5</v>
      </c>
    </row>
    <row r="14" customFormat="false" ht="15" hidden="false" customHeight="false" outlineLevel="0" collapsed="false">
      <c r="A14" s="0" t="s">
        <v>106</v>
      </c>
      <c r="C14" s="3" t="n">
        <v>33.5</v>
      </c>
      <c r="D14" s="3" t="n">
        <v>33</v>
      </c>
      <c r="E14" s="3" t="n">
        <v>33</v>
      </c>
      <c r="F14" s="3" t="n">
        <v>33</v>
      </c>
      <c r="G14" s="3" t="n">
        <v>33</v>
      </c>
      <c r="H14" s="3" t="n">
        <v>32.5</v>
      </c>
      <c r="I14" s="3" t="n">
        <v>31</v>
      </c>
      <c r="J14" s="3" t="n">
        <v>30</v>
      </c>
      <c r="K14" s="3" t="n">
        <v>30</v>
      </c>
      <c r="L14" s="3" t="n">
        <v>30.5</v>
      </c>
    </row>
    <row r="15" customFormat="false" ht="15" hidden="false" customHeight="false" outlineLevel="0" collapsed="false">
      <c r="A15" s="0" t="s">
        <v>107</v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</v>
      </c>
      <c r="H15" s="3" t="n">
        <v>10</v>
      </c>
      <c r="I15" s="3" t="n">
        <v>10</v>
      </c>
      <c r="J15" s="3" t="n">
        <v>10</v>
      </c>
      <c r="K15" s="3" t="n">
        <v>10</v>
      </c>
      <c r="L15" s="3" t="n">
        <v>10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3.6</v>
      </c>
      <c r="D17" s="3" t="n">
        <v>3.7</v>
      </c>
      <c r="E17" s="3" t="n">
        <v>3.8</v>
      </c>
      <c r="F17" s="3" t="n">
        <v>4</v>
      </c>
      <c r="G17" s="3" t="n">
        <v>4.1</v>
      </c>
      <c r="H17" s="3" t="n">
        <v>4.2</v>
      </c>
      <c r="I17" s="3" t="n">
        <v>4.4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110</v>
      </c>
      <c r="C18" s="3" t="n">
        <v>6.5</v>
      </c>
      <c r="D18" s="3" t="n">
        <v>6.5</v>
      </c>
      <c r="E18" s="3" t="n">
        <v>6</v>
      </c>
      <c r="F18" s="3" t="n">
        <v>5.5</v>
      </c>
      <c r="G18" s="3" t="n">
        <v>5</v>
      </c>
      <c r="H18" s="3" t="n">
        <v>4.8</v>
      </c>
      <c r="I18" s="3" t="n">
        <v>4.6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111</v>
      </c>
      <c r="C19" s="3" t="n">
        <v>14</v>
      </c>
      <c r="D19" s="3" t="n">
        <v>15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1.5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-20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13</v>
      </c>
      <c r="D27" s="3" t="n">
        <v>8</v>
      </c>
      <c r="E27" s="3" t="n">
        <v>7</v>
      </c>
      <c r="F27" s="3" t="n">
        <v>6</v>
      </c>
      <c r="G27" s="3" t="n">
        <v>5</v>
      </c>
      <c r="H27" s="3" t="n">
        <v>3</v>
      </c>
      <c r="I27" s="3" t="n">
        <v>-2</v>
      </c>
      <c r="J27" s="3" t="n">
        <v>-3</v>
      </c>
      <c r="K27" s="3" t="n">
        <v>1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34.5</v>
      </c>
      <c r="D28" s="3" t="n">
        <v>35.5</v>
      </c>
      <c r="E28" s="3" t="n">
        <v>36.5</v>
      </c>
      <c r="F28" s="3" t="n">
        <v>37.5</v>
      </c>
      <c r="G28" s="3" t="n">
        <v>38.5</v>
      </c>
      <c r="H28" s="3" t="n">
        <v>39</v>
      </c>
      <c r="I28" s="3" t="n">
        <v>37.5</v>
      </c>
      <c r="J28" s="3" t="n">
        <v>36.5</v>
      </c>
      <c r="K28" s="3" t="n">
        <v>36.5</v>
      </c>
      <c r="L28" s="3" t="n">
        <v>37</v>
      </c>
    </row>
    <row r="29" customFormat="false" ht="15" hidden="false" customHeight="false" outlineLevel="0" collapsed="false">
      <c r="A29" s="0" t="s">
        <v>107</v>
      </c>
      <c r="C29" s="3" t="n">
        <v>10</v>
      </c>
      <c r="D29" s="3" t="n">
        <v>9.8</v>
      </c>
      <c r="E29" s="3" t="n">
        <v>9.6</v>
      </c>
      <c r="F29" s="3" t="n">
        <v>9.4</v>
      </c>
      <c r="G29" s="3" t="n">
        <v>9.2</v>
      </c>
      <c r="H29" s="3" t="n">
        <v>9</v>
      </c>
      <c r="I29" s="3" t="n">
        <v>9</v>
      </c>
      <c r="J29" s="3" t="n">
        <v>9</v>
      </c>
      <c r="K29" s="3" t="n">
        <v>9</v>
      </c>
      <c r="L29" s="3" t="n">
        <v>9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3.6</v>
      </c>
      <c r="D31" s="3" t="n">
        <v>3.7</v>
      </c>
      <c r="E31" s="3" t="n">
        <v>3.8</v>
      </c>
      <c r="F31" s="3" t="n">
        <v>3.9</v>
      </c>
      <c r="G31" s="3" t="n">
        <v>4</v>
      </c>
      <c r="H31" s="3" t="n">
        <v>4.1</v>
      </c>
      <c r="I31" s="3" t="n">
        <v>4.2</v>
      </c>
      <c r="J31" s="3" t="n">
        <v>4.2</v>
      </c>
      <c r="K31" s="3" t="n">
        <v>4.2</v>
      </c>
      <c r="L31" s="3" t="n">
        <v>4.2</v>
      </c>
    </row>
    <row r="32" customFormat="false" ht="15" hidden="false" customHeight="false" outlineLevel="0" collapsed="false">
      <c r="A32" s="0" t="s">
        <v>110</v>
      </c>
      <c r="C32" s="3" t="n">
        <v>6.5</v>
      </c>
      <c r="D32" s="3" t="n">
        <v>6.5</v>
      </c>
      <c r="E32" s="3" t="n">
        <v>6</v>
      </c>
      <c r="F32" s="3" t="n">
        <v>5.5</v>
      </c>
      <c r="G32" s="3" t="n">
        <v>5</v>
      </c>
      <c r="H32" s="3" t="n">
        <v>4.8</v>
      </c>
      <c r="I32" s="3" t="n">
        <v>4.6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111</v>
      </c>
      <c r="C33" s="3" t="n">
        <v>14</v>
      </c>
      <c r="D33" s="3" t="n">
        <v>15</v>
      </c>
      <c r="E33" s="3" t="n">
        <v>16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-20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15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6</v>
      </c>
      <c r="I41" s="3" t="n">
        <v>3</v>
      </c>
      <c r="J41" s="3" t="n">
        <v>2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35</v>
      </c>
      <c r="D42" s="3" t="n">
        <v>36.5</v>
      </c>
      <c r="E42" s="3" t="n">
        <v>38</v>
      </c>
      <c r="F42" s="3" t="n">
        <v>39.5</v>
      </c>
      <c r="G42" s="3" t="n">
        <v>40.5</v>
      </c>
      <c r="H42" s="3" t="n">
        <v>41.5</v>
      </c>
      <c r="I42" s="3" t="n">
        <v>41.5</v>
      </c>
      <c r="J42" s="3" t="n">
        <v>41.5</v>
      </c>
      <c r="K42" s="3" t="n">
        <v>41.5</v>
      </c>
      <c r="L42" s="3" t="n">
        <v>41.5</v>
      </c>
    </row>
    <row r="43" customFormat="false" ht="15" hidden="false" customHeight="false" outlineLevel="0" collapsed="false">
      <c r="A43" s="0" t="s">
        <v>107</v>
      </c>
      <c r="C43" s="3" t="n">
        <v>10</v>
      </c>
      <c r="D43" s="3" t="n">
        <v>9.7</v>
      </c>
      <c r="E43" s="3" t="n">
        <v>9.4</v>
      </c>
      <c r="F43" s="3" t="n">
        <v>9.1</v>
      </c>
      <c r="G43" s="3" t="n">
        <v>8.8</v>
      </c>
      <c r="H43" s="3" t="n">
        <v>8.5</v>
      </c>
      <c r="I43" s="3" t="n">
        <v>8.5</v>
      </c>
      <c r="J43" s="3" t="n">
        <v>8.5</v>
      </c>
      <c r="K43" s="3" t="n">
        <v>8.5</v>
      </c>
      <c r="L43" s="3" t="n">
        <v>8.5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3.6</v>
      </c>
      <c r="D45" s="3" t="n">
        <v>3.7</v>
      </c>
      <c r="E45" s="3" t="n">
        <v>3.8</v>
      </c>
      <c r="F45" s="3" t="n">
        <v>3.9</v>
      </c>
      <c r="G45" s="3" t="n">
        <v>4</v>
      </c>
      <c r="H45" s="3" t="n">
        <v>4.1</v>
      </c>
      <c r="I45" s="3" t="n">
        <v>4.2</v>
      </c>
      <c r="J45" s="3" t="n">
        <v>4.2</v>
      </c>
      <c r="K45" s="3" t="n">
        <v>4.2</v>
      </c>
      <c r="L45" s="3" t="n">
        <v>4.2</v>
      </c>
    </row>
    <row r="46" customFormat="false" ht="15" hidden="false" customHeight="false" outlineLevel="0" collapsed="false">
      <c r="A46" s="0" t="s">
        <v>110</v>
      </c>
      <c r="C46" s="3" t="n">
        <v>6.5</v>
      </c>
      <c r="D46" s="3" t="n">
        <v>6.5</v>
      </c>
      <c r="E46" s="3" t="n">
        <v>6</v>
      </c>
      <c r="F46" s="3" t="n">
        <v>5.5</v>
      </c>
      <c r="G46" s="3" t="n">
        <v>5</v>
      </c>
      <c r="H46" s="3" t="n">
        <v>4.8</v>
      </c>
      <c r="I46" s="3" t="n">
        <v>4.6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111</v>
      </c>
      <c r="C47" s="3" t="n">
        <v>14</v>
      </c>
      <c r="D47" s="3" t="n">
        <v>15</v>
      </c>
      <c r="E47" s="3" t="n">
        <v>16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-20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9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1</v>
      </c>
      <c r="G5" s="4" t="n">
        <f aca="false">Assumptions!G13</f>
        <v>0</v>
      </c>
      <c r="H5" s="4" t="n">
        <f aca="false">Assumptions!H13</f>
        <v>-2</v>
      </c>
      <c r="I5" s="4" t="n">
        <f aca="false">Assumptions!I13</f>
        <v>-6</v>
      </c>
      <c r="J5" s="4" t="n">
        <f aca="false">Assumptions!J13</f>
        <v>-6</v>
      </c>
      <c r="K5" s="4" t="n">
        <f aca="false">Assumptions!K13</f>
        <v>-2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14342.9</v>
      </c>
      <c r="C6" s="0" t="n">
        <f aca="false">B6*(1+C5/100)</f>
        <v>15633.761</v>
      </c>
      <c r="D6" s="0" t="n">
        <f aca="false">C6*(1+D5/100)</f>
        <v>16102.77383</v>
      </c>
      <c r="E6" s="0" t="n">
        <f aca="false">D6*(1+E5/100)</f>
        <v>16424.8293066</v>
      </c>
      <c r="F6" s="0" t="n">
        <f aca="false">E6*(1+F5/100)</f>
        <v>16589.077599666</v>
      </c>
      <c r="G6" s="0" t="n">
        <f aca="false">F6*(1+G5/100)</f>
        <v>16589.077599666</v>
      </c>
      <c r="H6" s="0" t="n">
        <f aca="false">G6*(1+H5/100)</f>
        <v>16257.2960476727</v>
      </c>
      <c r="I6" s="0" t="n">
        <f aca="false">H6*(1+I5/100)</f>
        <v>15281.8582848123</v>
      </c>
      <c r="J6" s="0" t="n">
        <f aca="false">I6*(1+J5/100)</f>
        <v>14364.9467877236</v>
      </c>
      <c r="K6" s="0" t="n">
        <f aca="false">J6*(1+K5/100)</f>
        <v>14077.6478519691</v>
      </c>
      <c r="L6" s="0" t="n">
        <f aca="false">K6*(1+L5/100)</f>
        <v>14288.8125697486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33.5</v>
      </c>
      <c r="D7" s="4" t="n">
        <f aca="false">Assumptions!D14</f>
        <v>33</v>
      </c>
      <c r="E7" s="4" t="n">
        <f aca="false">Assumptions!E14</f>
        <v>33</v>
      </c>
      <c r="F7" s="4" t="n">
        <f aca="false">Assumptions!F14</f>
        <v>33</v>
      </c>
      <c r="G7" s="4" t="n">
        <f aca="false">Assumptions!G14</f>
        <v>33</v>
      </c>
      <c r="H7" s="4" t="n">
        <f aca="false">Assumptions!H14</f>
        <v>32.5</v>
      </c>
      <c r="I7" s="4" t="n">
        <f aca="false">Assumptions!I14</f>
        <v>31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5237.309935</v>
      </c>
      <c r="D8" s="0" t="n">
        <f aca="false">D6*D7/100</f>
        <v>5313.9153639</v>
      </c>
      <c r="E8" s="0" t="n">
        <f aca="false">E6*E7/100</f>
        <v>5420.193671178</v>
      </c>
      <c r="F8" s="0" t="n">
        <f aca="false">F6*F7/100</f>
        <v>5474.39560788978</v>
      </c>
      <c r="G8" s="0" t="n">
        <f aca="false">G6*G7/100</f>
        <v>5474.39560788978</v>
      </c>
      <c r="H8" s="0" t="n">
        <f aca="false">H6*H7/100</f>
        <v>5283.62121549362</v>
      </c>
      <c r="I8" s="0" t="n">
        <f aca="false">I6*I7/100</f>
        <v>4737.37606829182</v>
      </c>
      <c r="J8" s="0" t="n">
        <f aca="false">J6*J7/100</f>
        <v>4309.48403631707</v>
      </c>
      <c r="K8" s="0" t="n">
        <f aca="false">K6*K7/100</f>
        <v>4223.29435559073</v>
      </c>
      <c r="L8" s="0" t="n">
        <f aca="false">L6*L7/100</f>
        <v>4358.08783377334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10</v>
      </c>
      <c r="D9" s="4" t="n">
        <f aca="false">Assumptions!D15</f>
        <v>10</v>
      </c>
      <c r="E9" s="4" t="n">
        <f aca="false">Assumptions!E15</f>
        <v>10</v>
      </c>
      <c r="F9" s="4" t="n">
        <f aca="false">Assumptions!F15</f>
        <v>10</v>
      </c>
      <c r="G9" s="4" t="n">
        <f aca="false">Assumptions!G15</f>
        <v>10</v>
      </c>
      <c r="H9" s="4" t="n">
        <f aca="false">Assumptions!H15</f>
        <v>10</v>
      </c>
      <c r="I9" s="4" t="n">
        <f aca="false">Assumptions!I15</f>
        <v>10</v>
      </c>
      <c r="J9" s="4" t="n">
        <f aca="false">Assumptions!J15</f>
        <v>10</v>
      </c>
      <c r="K9" s="4" t="n">
        <f aca="false">Assumptions!K15</f>
        <v>10</v>
      </c>
      <c r="L9" s="4" t="n">
        <f aca="false">Assumptions!L15</f>
        <v>10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-1563.3761</v>
      </c>
      <c r="D10" s="0" t="n">
        <f aca="false">-D6*D9/100</f>
        <v>-1610.277383</v>
      </c>
      <c r="E10" s="0" t="n">
        <f aca="false">-E6*E9/100</f>
        <v>-1642.48293066</v>
      </c>
      <c r="F10" s="0" t="n">
        <f aca="false">-F6*F9/100</f>
        <v>-1658.9077599666</v>
      </c>
      <c r="G10" s="0" t="n">
        <f aca="false">-G6*G9/100</f>
        <v>-1658.9077599666</v>
      </c>
      <c r="H10" s="0" t="n">
        <f aca="false">-H6*H9/100</f>
        <v>-1625.72960476727</v>
      </c>
      <c r="I10" s="0" t="n">
        <f aca="false">-I6*I9/100</f>
        <v>-1528.18582848123</v>
      </c>
      <c r="J10" s="0" t="n">
        <f aca="false">-J6*J9/100</f>
        <v>-1436.49467877236</v>
      </c>
      <c r="K10" s="0" t="n">
        <f aca="false">-K6*K9/100</f>
        <v>-1407.76478519691</v>
      </c>
      <c r="L10" s="0" t="n">
        <f aca="false">-L6*L9/100</f>
        <v>-1428.88125697486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3673.933835</v>
      </c>
      <c r="D11" s="0" t="n">
        <f aca="false">D8+D10+D24</f>
        <v>3703.6379809</v>
      </c>
      <c r="E11" s="0" t="n">
        <f aca="false">E8+E10+E24</f>
        <v>3777.710740518</v>
      </c>
      <c r="F11" s="0" t="n">
        <f aca="false">F8+F10+F24</f>
        <v>3815.48784792318</v>
      </c>
      <c r="G11" s="0" t="n">
        <f aca="false">G8+G10+G24</f>
        <v>3815.48784792318</v>
      </c>
      <c r="H11" s="0" t="n">
        <f aca="false">H8+H10+H24</f>
        <v>3657.89161072635</v>
      </c>
      <c r="I11" s="0" t="n">
        <f aca="false">I8+I10+I24</f>
        <v>3209.19023981059</v>
      </c>
      <c r="J11" s="0" t="n">
        <f aca="false">J8+J10+J24</f>
        <v>2872.98935754472</v>
      </c>
      <c r="K11" s="0" t="n">
        <f aca="false">K8+K10+K24</f>
        <v>2815.52957039382</v>
      </c>
      <c r="L11" s="0" t="n">
        <f aca="false">L8+L10+L24</f>
        <v>2929.20657679847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-562.815396</v>
      </c>
      <c r="D12" s="4" t="n">
        <f aca="false">-D6*Assumptions!D17/100</f>
        <v>-595.80263171</v>
      </c>
      <c r="E12" s="4" t="n">
        <f aca="false">-E6*Assumptions!E17/100</f>
        <v>-624.1435136508</v>
      </c>
      <c r="F12" s="4" t="n">
        <f aca="false">-F6*Assumptions!F17/100</f>
        <v>-663.56310398664</v>
      </c>
      <c r="G12" s="4" t="n">
        <f aca="false">-G6*Assumptions!G17/100</f>
        <v>-680.152181586306</v>
      </c>
      <c r="H12" s="4" t="n">
        <f aca="false">-H6*Assumptions!H17/100</f>
        <v>-682.806434002253</v>
      </c>
      <c r="I12" s="4" t="n">
        <f aca="false">-I6*Assumptions!I17/100</f>
        <v>-672.401764531742</v>
      </c>
      <c r="J12" s="4" t="n">
        <f aca="false">-J6*Assumptions!J17/100</f>
        <v>-646.422605447561</v>
      </c>
      <c r="K12" s="4" t="n">
        <f aca="false">-K6*Assumptions!K17/100</f>
        <v>-633.49415333861</v>
      </c>
      <c r="L12" s="4" t="n">
        <f aca="false">-L6*Assumptions!L17/100</f>
        <v>-642.996565638689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3111.118439</v>
      </c>
      <c r="D13" s="0" t="n">
        <f aca="false">D11+D12</f>
        <v>3107.83534919</v>
      </c>
      <c r="E13" s="0" t="n">
        <f aca="false">E11+E12</f>
        <v>3153.5672268672</v>
      </c>
      <c r="F13" s="0" t="n">
        <f aca="false">F11+F12</f>
        <v>3151.92474393654</v>
      </c>
      <c r="G13" s="0" t="n">
        <f aca="false">G11+G12</f>
        <v>3135.33566633687</v>
      </c>
      <c r="H13" s="0" t="n">
        <f aca="false">H11+H12</f>
        <v>2975.0851767241</v>
      </c>
      <c r="I13" s="0" t="n">
        <f aca="false">I11+I12</f>
        <v>2536.78847527885</v>
      </c>
      <c r="J13" s="0" t="n">
        <f aca="false">J11+J12</f>
        <v>2226.56675209715</v>
      </c>
      <c r="K13" s="0" t="n">
        <f aca="false">K11+K12</f>
        <v>2182.03541705521</v>
      </c>
      <c r="L13" s="0" t="n">
        <f aca="false">L11+L12</f>
        <v>2286.21001115978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14</v>
      </c>
      <c r="D14" s="4" t="n">
        <f aca="false">Assumptions!D19</f>
        <v>15</v>
      </c>
      <c r="E14" s="4" t="n">
        <f aca="false">Assumptions!E19</f>
        <v>16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2675.56185754</v>
      </c>
      <c r="D15" s="0" t="n">
        <f aca="false">D13-MAX(0,D13)*D14/100</f>
        <v>2641.6600468115</v>
      </c>
      <c r="E15" s="0" t="n">
        <f aca="false">E13-MAX(0,E13)*E14/100</f>
        <v>2648.99647056845</v>
      </c>
      <c r="F15" s="0" t="n">
        <f aca="false">F13-MAX(0,F13)*F14/100</f>
        <v>2647.61678490669</v>
      </c>
      <c r="G15" s="0" t="n">
        <f aca="false">G13-MAX(0,G13)*G14/100</f>
        <v>2633.68195972297</v>
      </c>
      <c r="H15" s="0" t="n">
        <f aca="false">H13-MAX(0,H13)*H14/100</f>
        <v>2499.07154844824</v>
      </c>
      <c r="I15" s="0" t="n">
        <f aca="false">I13-MAX(0,I13)*I14/100</f>
        <v>2130.90231923423</v>
      </c>
      <c r="J15" s="0" t="n">
        <f aca="false">J13-MAX(0,J13)*J14/100</f>
        <v>1870.31607176161</v>
      </c>
      <c r="K15" s="0" t="n">
        <f aca="false">K13-MAX(0,K13)*K14/100</f>
        <v>1832.90975032638</v>
      </c>
      <c r="L15" s="0" t="n">
        <f aca="false">L13-MAX(0,L13)*L14/100</f>
        <v>1920.41640937422</v>
      </c>
    </row>
    <row r="16" customFormat="false" ht="15" hidden="false" customHeight="false" outlineLevel="0" collapsed="false">
      <c r="A16" s="0" t="s">
        <v>127</v>
      </c>
      <c r="C16" s="0" t="n">
        <f aca="false">-C12</f>
        <v>562.815396</v>
      </c>
      <c r="D16" s="0" t="n">
        <f aca="false">-D12</f>
        <v>595.80263171</v>
      </c>
      <c r="E16" s="0" t="n">
        <f aca="false">-E12</f>
        <v>624.1435136508</v>
      </c>
      <c r="F16" s="0" t="n">
        <f aca="false">-F12</f>
        <v>663.56310398664</v>
      </c>
      <c r="G16" s="0" t="n">
        <f aca="false">-G12</f>
        <v>680.152181586306</v>
      </c>
      <c r="H16" s="0" t="n">
        <f aca="false">-H12</f>
        <v>682.806434002253</v>
      </c>
      <c r="I16" s="0" t="n">
        <f aca="false">-I12</f>
        <v>672.401764531742</v>
      </c>
      <c r="J16" s="0" t="n">
        <f aca="false">-J12</f>
        <v>646.422605447561</v>
      </c>
      <c r="K16" s="0" t="n">
        <f aca="false">-K12</f>
        <v>633.49415333861</v>
      </c>
      <c r="L16" s="0" t="n">
        <f aca="false">-L12</f>
        <v>642.996565638689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-1016.194465</v>
      </c>
      <c r="D17" s="4" t="n">
        <f aca="false">-D6*Assumptions!D18/100</f>
        <v>-1046.68029895</v>
      </c>
      <c r="E17" s="4" t="n">
        <f aca="false">-E6*Assumptions!E18/100</f>
        <v>-985.489758396</v>
      </c>
      <c r="F17" s="4" t="n">
        <f aca="false">-F6*Assumptions!F18/100</f>
        <v>-912.39926798163</v>
      </c>
      <c r="G17" s="4" t="n">
        <f aca="false">-G6*Assumptions!G18/100</f>
        <v>-829.4538799833</v>
      </c>
      <c r="H17" s="4" t="n">
        <f aca="false">-H6*Assumptions!H18/100</f>
        <v>-780.350210288289</v>
      </c>
      <c r="I17" s="4" t="n">
        <f aca="false">-I6*Assumptions!I18/100</f>
        <v>-702.965481101367</v>
      </c>
      <c r="J17" s="4" t="n">
        <f aca="false">-J6*Assumptions!J18/100</f>
        <v>-646.422605447561</v>
      </c>
      <c r="K17" s="4" t="n">
        <f aca="false">-K6*Assumptions!K18/100</f>
        <v>-633.49415333861</v>
      </c>
      <c r="L17" s="4" t="n">
        <f aca="false">-L6*Assumptions!L18/100</f>
        <v>-642.996565638689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-258.1722</v>
      </c>
      <c r="D18" s="4" t="n">
        <f aca="false">(D6-C6)*Assumptions!$B$23/100</f>
        <v>-93.8025659999999</v>
      </c>
      <c r="E18" s="4" t="n">
        <f aca="false">(E6-D6)*Assumptions!$B$23/100</f>
        <v>-64.4110953200001</v>
      </c>
      <c r="F18" s="4" t="n">
        <f aca="false">(F6-E6)*Assumptions!$B$23/100</f>
        <v>-32.8496586132002</v>
      </c>
      <c r="G18" s="4" t="n">
        <f aca="false">(G6-F6)*Assumptions!$B$23/100</f>
        <v>-0</v>
      </c>
      <c r="H18" s="4" t="n">
        <f aca="false">(H6-G6)*Assumptions!$B$23/100</f>
        <v>66.3563103986642</v>
      </c>
      <c r="I18" s="4" t="n">
        <f aca="false">(I6-H6)*Assumptions!$B$23/100</f>
        <v>195.087552572072</v>
      </c>
      <c r="J18" s="4" t="n">
        <f aca="false">(J6-I6)*Assumptions!$B$23/100</f>
        <v>183.382299417748</v>
      </c>
      <c r="K18" s="4" t="n">
        <f aca="false">(K6-J6)*Assumptions!$B$23/100</f>
        <v>57.4597871508944</v>
      </c>
      <c r="L18" s="4" t="n">
        <f aca="false">(L6-K6)*Assumptions!$B$23/100</f>
        <v>-42.232943555907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1964.01058854</v>
      </c>
      <c r="D19" s="0" t="n">
        <f aca="false">D15+D16+D17+D18</f>
        <v>2096.9798135715</v>
      </c>
      <c r="E19" s="0" t="n">
        <f aca="false">E15+E16+E17+E18</f>
        <v>2223.23913050325</v>
      </c>
      <c r="F19" s="0" t="n">
        <f aca="false">F15+F16+F17+F18</f>
        <v>2365.9309622985</v>
      </c>
      <c r="G19" s="0" t="n">
        <f aca="false">G15+G16+G17+G18</f>
        <v>2484.38026132598</v>
      </c>
      <c r="H19" s="0" t="n">
        <f aca="false">H15+H16+H17+H18</f>
        <v>2467.88408256087</v>
      </c>
      <c r="I19" s="0" t="n">
        <f aca="false">I15+I16+I17+I18</f>
        <v>2295.42615523668</v>
      </c>
      <c r="J19" s="0" t="n">
        <f aca="false">J15+J16+J17+J18</f>
        <v>2053.69837117936</v>
      </c>
      <c r="K19" s="0" t="n">
        <f aca="false">K15+K16+K17+K18</f>
        <v>1890.36953747727</v>
      </c>
      <c r="L19" s="0" t="n">
        <f aca="false">L15+L16+L17+L18</f>
        <v>1878.18346581831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1818.52832272222</v>
      </c>
      <c r="D21" s="0" t="n">
        <f aca="false">D19*D20</f>
        <v>1797.82219956404</v>
      </c>
      <c r="E21" s="0" t="n">
        <f aca="false">E19*E20</f>
        <v>1764.87890129113</v>
      </c>
      <c r="F21" s="0" t="n">
        <f aca="false">F19*F20</f>
        <v>1739.02988694484</v>
      </c>
      <c r="G21" s="0" t="n">
        <f aca="false">G19*G20</f>
        <v>1690.82746090079</v>
      </c>
      <c r="H21" s="0" t="n">
        <f aca="false">H19*H20</f>
        <v>1555.18559149814</v>
      </c>
      <c r="I21" s="0" t="n">
        <f aca="false">I19*I20</f>
        <v>1339.35911461409</v>
      </c>
      <c r="J21" s="0" t="n">
        <f aca="false">J19*J20</f>
        <v>1109.5493281006</v>
      </c>
      <c r="K21" s="0" t="n">
        <f aca="false">K19*K20</f>
        <v>945.655408619779</v>
      </c>
      <c r="L21" s="0" t="n">
        <f aca="false">L19*L20</f>
        <v>869.962350795364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14630.798565051</v>
      </c>
    </row>
    <row r="31" customFormat="false" ht="15" hidden="false" customHeight="false" outlineLevel="0" collapsed="false">
      <c r="A31" s="0" t="s">
        <v>136</v>
      </c>
      <c r="B31" s="0" t="n">
        <f aca="false">L19</f>
        <v>1878.18346581831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29328.557197009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22538.2015898197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22538.2015898197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10439.5482095444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25070.3467745954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40186.6467745954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379.119309194296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-0.484058043311474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10538.693076492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10335.0187827565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576.041119187206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14121.1571689303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278.800518454888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13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3</v>
      </c>
      <c r="I5" s="4" t="n">
        <f aca="false">Assumptions!I27</f>
        <v>-2</v>
      </c>
      <c r="J5" s="4" t="n">
        <f aca="false">Assumptions!J27</f>
        <v>-3</v>
      </c>
      <c r="K5" s="4" t="n">
        <f aca="false">Assumptions!K27</f>
        <v>1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14342.9</v>
      </c>
      <c r="C6" s="0" t="n">
        <f aca="false">B6*(1+C5/100)</f>
        <v>16207.477</v>
      </c>
      <c r="D6" s="0" t="n">
        <f aca="false">C6*(1+D5/100)</f>
        <v>17504.07516</v>
      </c>
      <c r="E6" s="0" t="n">
        <f aca="false">D6*(1+E5/100)</f>
        <v>18729.3604212</v>
      </c>
      <c r="F6" s="0" t="n">
        <f aca="false">E6*(1+F5/100)</f>
        <v>19853.122046472</v>
      </c>
      <c r="G6" s="0" t="n">
        <f aca="false">F6*(1+G5/100)</f>
        <v>20845.7781487956</v>
      </c>
      <c r="H6" s="0" t="n">
        <f aca="false">G6*(1+H5/100)</f>
        <v>21471.1514932595</v>
      </c>
      <c r="I6" s="0" t="n">
        <f aca="false">H6*(1+I5/100)</f>
        <v>21041.7284633943</v>
      </c>
      <c r="J6" s="0" t="n">
        <f aca="false">I6*(1+J5/100)</f>
        <v>20410.4766094925</v>
      </c>
      <c r="K6" s="0" t="n">
        <f aca="false">J6*(1+K5/100)</f>
        <v>20614.5813755874</v>
      </c>
      <c r="L6" s="0" t="n">
        <f aca="false">K6*(1+L5/100)</f>
        <v>21129.9459099771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34.5</v>
      </c>
      <c r="D7" s="4" t="n">
        <f aca="false">Assumptions!D28</f>
        <v>35.5</v>
      </c>
      <c r="E7" s="4" t="n">
        <f aca="false">Assumptions!E28</f>
        <v>36.5</v>
      </c>
      <c r="F7" s="4" t="n">
        <f aca="false">Assumptions!F28</f>
        <v>37.5</v>
      </c>
      <c r="G7" s="4" t="n">
        <f aca="false">Assumptions!G28</f>
        <v>38.5</v>
      </c>
      <c r="H7" s="4" t="n">
        <f aca="false">Assumptions!H28</f>
        <v>39</v>
      </c>
      <c r="I7" s="4" t="n">
        <f aca="false">Assumptions!I28</f>
        <v>37.5</v>
      </c>
      <c r="J7" s="4" t="n">
        <f aca="false">Assumptions!J28</f>
        <v>36.5</v>
      </c>
      <c r="K7" s="4" t="n">
        <f aca="false">Assumptions!K28</f>
        <v>36.5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5591.579565</v>
      </c>
      <c r="D8" s="0" t="n">
        <f aca="false">D6*D7/100</f>
        <v>6213.9466818</v>
      </c>
      <c r="E8" s="0" t="n">
        <f aca="false">E6*E7/100</f>
        <v>6836.216553738</v>
      </c>
      <c r="F8" s="0" t="n">
        <f aca="false">F6*F7/100</f>
        <v>7444.920767427</v>
      </c>
      <c r="G8" s="0" t="n">
        <f aca="false">G6*G7/100</f>
        <v>8025.62458728631</v>
      </c>
      <c r="H8" s="0" t="n">
        <f aca="false">H6*H7/100</f>
        <v>8373.74908237119</v>
      </c>
      <c r="I8" s="0" t="n">
        <f aca="false">I6*I7/100</f>
        <v>7890.64817377286</v>
      </c>
      <c r="J8" s="0" t="n">
        <f aca="false">J6*J7/100</f>
        <v>7449.82396246475</v>
      </c>
      <c r="K8" s="0" t="n">
        <f aca="false">K6*K7/100</f>
        <v>7524.32220208939</v>
      </c>
      <c r="L8" s="0" t="n">
        <f aca="false">L6*L7/100</f>
        <v>7818.07998669152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10</v>
      </c>
      <c r="D9" s="4" t="n">
        <f aca="false">Assumptions!D29</f>
        <v>9.8</v>
      </c>
      <c r="E9" s="4" t="n">
        <f aca="false">Assumptions!E29</f>
        <v>9.6</v>
      </c>
      <c r="F9" s="4" t="n">
        <f aca="false">Assumptions!F29</f>
        <v>9.4</v>
      </c>
      <c r="G9" s="4" t="n">
        <f aca="false">Assumptions!G29</f>
        <v>9.2</v>
      </c>
      <c r="H9" s="4" t="n">
        <f aca="false">Assumptions!H29</f>
        <v>9</v>
      </c>
      <c r="I9" s="4" t="n">
        <f aca="false">Assumptions!I29</f>
        <v>9</v>
      </c>
      <c r="J9" s="4" t="n">
        <f aca="false">Assumptions!J29</f>
        <v>9</v>
      </c>
      <c r="K9" s="4" t="n">
        <f aca="false">Assumptions!K29</f>
        <v>9</v>
      </c>
      <c r="L9" s="4" t="n">
        <f aca="false">Assumptions!L29</f>
        <v>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-1620.7477</v>
      </c>
      <c r="D10" s="0" t="n">
        <f aca="false">-D6*D9/100</f>
        <v>-1715.39936568</v>
      </c>
      <c r="E10" s="0" t="n">
        <f aca="false">-E6*E9/100</f>
        <v>-1798.0186004352</v>
      </c>
      <c r="F10" s="0" t="n">
        <f aca="false">-F6*F9/100</f>
        <v>-1866.19347236837</v>
      </c>
      <c r="G10" s="0" t="n">
        <f aca="false">-G6*G9/100</f>
        <v>-1917.8115896892</v>
      </c>
      <c r="H10" s="0" t="n">
        <f aca="false">-H6*H9/100</f>
        <v>-1932.40363439335</v>
      </c>
      <c r="I10" s="0" t="n">
        <f aca="false">-I6*I9/100</f>
        <v>-1893.75556170549</v>
      </c>
      <c r="J10" s="0" t="n">
        <f aca="false">-J6*J9/100</f>
        <v>-1836.94289485432</v>
      </c>
      <c r="K10" s="0" t="n">
        <f aca="false">-K6*K9/100</f>
        <v>-1855.31232380286</v>
      </c>
      <c r="L10" s="0" t="n">
        <f aca="false">-L6*L9/100</f>
        <v>-1901.69513189794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3970.831865</v>
      </c>
      <c r="D11" s="0" t="n">
        <f aca="false">D8+D10+D24</f>
        <v>4498.54731612</v>
      </c>
      <c r="E11" s="0" t="n">
        <f aca="false">E8+E10+E24</f>
        <v>5038.1979533028</v>
      </c>
      <c r="F11" s="0" t="n">
        <f aca="false">F8+F10+F24</f>
        <v>5578.72729505863</v>
      </c>
      <c r="G11" s="0" t="n">
        <f aca="false">G8+G10+G24</f>
        <v>6107.81299759711</v>
      </c>
      <c r="H11" s="0" t="n">
        <f aca="false">H8+H10+H24</f>
        <v>6441.34544797784</v>
      </c>
      <c r="I11" s="0" t="n">
        <f aca="false">I8+I10+I24</f>
        <v>5996.89261206737</v>
      </c>
      <c r="J11" s="0" t="n">
        <f aca="false">J8+J10+J24</f>
        <v>5612.88106761043</v>
      </c>
      <c r="K11" s="0" t="n">
        <f aca="false">K8+K10+K24</f>
        <v>5669.00987828653</v>
      </c>
      <c r="L11" s="0" t="n">
        <f aca="false">L8+L10+L24</f>
        <v>5916.38485479358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-583.469172</v>
      </c>
      <c r="D12" s="4" t="n">
        <f aca="false">-D6*Assumptions!D31/100</f>
        <v>-647.65078092</v>
      </c>
      <c r="E12" s="4" t="n">
        <f aca="false">-E6*Assumptions!E31/100</f>
        <v>-711.7156960056</v>
      </c>
      <c r="F12" s="4" t="n">
        <f aca="false">-F6*Assumptions!F31/100</f>
        <v>-774.271759812408</v>
      </c>
      <c r="G12" s="4" t="n">
        <f aca="false">-G6*Assumptions!G31/100</f>
        <v>-833.831125951824</v>
      </c>
      <c r="H12" s="4" t="n">
        <f aca="false">-H6*Assumptions!H31/100</f>
        <v>-880.317211223638</v>
      </c>
      <c r="I12" s="4" t="n">
        <f aca="false">-I6*Assumptions!I31/100</f>
        <v>-883.75259546256</v>
      </c>
      <c r="J12" s="4" t="n">
        <f aca="false">-J6*Assumptions!J31/100</f>
        <v>-857.240017598683</v>
      </c>
      <c r="K12" s="4" t="n">
        <f aca="false">-K6*Assumptions!K31/100</f>
        <v>-865.81241777467</v>
      </c>
      <c r="L12" s="4" t="n">
        <f aca="false">-L6*Assumptions!L31/100</f>
        <v>-887.457728219037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3387.362693</v>
      </c>
      <c r="D13" s="0" t="n">
        <f aca="false">D11+D12</f>
        <v>3850.8965352</v>
      </c>
      <c r="E13" s="0" t="n">
        <f aca="false">E11+E12</f>
        <v>4326.4822572972</v>
      </c>
      <c r="F13" s="0" t="n">
        <f aca="false">F11+F12</f>
        <v>4804.45553524623</v>
      </c>
      <c r="G13" s="0" t="n">
        <f aca="false">G11+G12</f>
        <v>5273.98187164529</v>
      </c>
      <c r="H13" s="0" t="n">
        <f aca="false">H11+H12</f>
        <v>5561.0282367542</v>
      </c>
      <c r="I13" s="0" t="n">
        <f aca="false">I11+I12</f>
        <v>5113.14001660481</v>
      </c>
      <c r="J13" s="0" t="n">
        <f aca="false">J11+J12</f>
        <v>4755.64105001174</v>
      </c>
      <c r="K13" s="0" t="n">
        <f aca="false">K11+K12</f>
        <v>4803.19746051186</v>
      </c>
      <c r="L13" s="0" t="n">
        <f aca="false">L11+L12</f>
        <v>5028.92712657454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14</v>
      </c>
      <c r="D14" s="4" t="n">
        <f aca="false">Assumptions!D33</f>
        <v>15</v>
      </c>
      <c r="E14" s="4" t="n">
        <f aca="false">Assumptions!E33</f>
        <v>16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2913.13191598</v>
      </c>
      <c r="D15" s="0" t="n">
        <f aca="false">D13-MAX(0,D13)*D14/100</f>
        <v>3273.26205492</v>
      </c>
      <c r="E15" s="0" t="n">
        <f aca="false">E13-MAX(0,E13)*E14/100</f>
        <v>3634.24509612965</v>
      </c>
      <c r="F15" s="0" t="n">
        <f aca="false">F13-MAX(0,F13)*F14/100</f>
        <v>4035.74264960683</v>
      </c>
      <c r="G15" s="0" t="n">
        <f aca="false">G13-MAX(0,G13)*G14/100</f>
        <v>4430.14477218204</v>
      </c>
      <c r="H15" s="0" t="n">
        <f aca="false">H13-MAX(0,H13)*H14/100</f>
        <v>4671.26371887353</v>
      </c>
      <c r="I15" s="0" t="n">
        <f aca="false">I13-MAX(0,I13)*I14/100</f>
        <v>4295.03761394804</v>
      </c>
      <c r="J15" s="0" t="n">
        <f aca="false">J13-MAX(0,J13)*J14/100</f>
        <v>3994.73848200986</v>
      </c>
      <c r="K15" s="0" t="n">
        <f aca="false">K13-MAX(0,K13)*K14/100</f>
        <v>4034.68586682996</v>
      </c>
      <c r="L15" s="0" t="n">
        <f aca="false">L13-MAX(0,L13)*L14/100</f>
        <v>4224.29878632262</v>
      </c>
    </row>
    <row r="16" customFormat="false" ht="15" hidden="false" customHeight="false" outlineLevel="0" collapsed="false">
      <c r="A16" s="0" t="s">
        <v>127</v>
      </c>
      <c r="C16" s="0" t="n">
        <f aca="false">-C12</f>
        <v>583.469172</v>
      </c>
      <c r="D16" s="0" t="n">
        <f aca="false">-D12</f>
        <v>647.65078092</v>
      </c>
      <c r="E16" s="0" t="n">
        <f aca="false">-E12</f>
        <v>711.7156960056</v>
      </c>
      <c r="F16" s="0" t="n">
        <f aca="false">-F12</f>
        <v>774.271759812408</v>
      </c>
      <c r="G16" s="0" t="n">
        <f aca="false">-G12</f>
        <v>833.831125951824</v>
      </c>
      <c r="H16" s="0" t="n">
        <f aca="false">-H12</f>
        <v>880.317211223638</v>
      </c>
      <c r="I16" s="0" t="n">
        <f aca="false">-I12</f>
        <v>883.75259546256</v>
      </c>
      <c r="J16" s="0" t="n">
        <f aca="false">-J12</f>
        <v>857.240017598683</v>
      </c>
      <c r="K16" s="0" t="n">
        <f aca="false">-K12</f>
        <v>865.81241777467</v>
      </c>
      <c r="L16" s="0" t="n">
        <f aca="false">-L12</f>
        <v>887.457728219037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-1053.486005</v>
      </c>
      <c r="D17" s="4" t="n">
        <f aca="false">-D6*Assumptions!D32/100</f>
        <v>-1137.7648854</v>
      </c>
      <c r="E17" s="4" t="n">
        <f aca="false">-E6*Assumptions!E32/100</f>
        <v>-1123.761625272</v>
      </c>
      <c r="F17" s="4" t="n">
        <f aca="false">-F6*Assumptions!F32/100</f>
        <v>-1091.92171255596</v>
      </c>
      <c r="G17" s="4" t="n">
        <f aca="false">-G6*Assumptions!G32/100</f>
        <v>-1042.28890743978</v>
      </c>
      <c r="H17" s="4" t="n">
        <f aca="false">-H6*Assumptions!H32/100</f>
        <v>-1030.61527167645</v>
      </c>
      <c r="I17" s="4" t="n">
        <f aca="false">-I6*Assumptions!I32/100</f>
        <v>-967.919509316137</v>
      </c>
      <c r="J17" s="4" t="n">
        <f aca="false">-J6*Assumptions!J32/100</f>
        <v>-918.471447427161</v>
      </c>
      <c r="K17" s="4" t="n">
        <f aca="false">-K6*Assumptions!K32/100</f>
        <v>-927.656161901432</v>
      </c>
      <c r="L17" s="4" t="n">
        <f aca="false">-L6*Assumptions!L32/100</f>
        <v>-950.847565948968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-372.9154</v>
      </c>
      <c r="D18" s="4" t="n">
        <f aca="false">(D6-C6)*Assumptions!$B$37/100</f>
        <v>-259.319632</v>
      </c>
      <c r="E18" s="4" t="n">
        <f aca="false">(E6-D6)*Assumptions!$B$37/100</f>
        <v>-245.05705224</v>
      </c>
      <c r="F18" s="4" t="n">
        <f aca="false">(F6-E6)*Assumptions!$B$37/100</f>
        <v>-224.7523250544</v>
      </c>
      <c r="G18" s="4" t="n">
        <f aca="false">(G6-F6)*Assumptions!$B$37/100</f>
        <v>-198.531220464721</v>
      </c>
      <c r="H18" s="4" t="n">
        <f aca="false">(H6-G6)*Assumptions!$B$37/100</f>
        <v>-125.074668892773</v>
      </c>
      <c r="I18" s="4" t="n">
        <f aca="false">(I6-H6)*Assumptions!$B$37/100</f>
        <v>85.8846059730378</v>
      </c>
      <c r="J18" s="4" t="n">
        <f aca="false">(J6-I6)*Assumptions!$B$37/100</f>
        <v>126.250370780365</v>
      </c>
      <c r="K18" s="4" t="n">
        <f aca="false">(K6-J6)*Assumptions!$B$37/100</f>
        <v>-40.8209532189852</v>
      </c>
      <c r="L18" s="4" t="n">
        <f aca="false">(L6-K6)*Assumptions!$B$37/100</f>
        <v>-103.072906877936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2070.19968298</v>
      </c>
      <c r="D19" s="0" t="n">
        <f aca="false">D15+D16+D17+D18</f>
        <v>2523.82831844</v>
      </c>
      <c r="E19" s="0" t="n">
        <f aca="false">E15+E16+E17+E18</f>
        <v>2977.14211462325</v>
      </c>
      <c r="F19" s="0" t="n">
        <f aca="false">F15+F16+F17+F18</f>
        <v>3493.34037180888</v>
      </c>
      <c r="G19" s="0" t="n">
        <f aca="false">G15+G16+G17+G18</f>
        <v>4023.15577022937</v>
      </c>
      <c r="H19" s="0" t="n">
        <f aca="false">H15+H16+H17+H18</f>
        <v>4395.89098952794</v>
      </c>
      <c r="I19" s="0" t="n">
        <f aca="false">I15+I16+I17+I18</f>
        <v>4296.7553060675</v>
      </c>
      <c r="J19" s="0" t="n">
        <f aca="false">J15+J16+J17+J18</f>
        <v>4059.75742296175</v>
      </c>
      <c r="K19" s="0" t="n">
        <f aca="false">K15+K16+K17+K18</f>
        <v>3932.02116948421</v>
      </c>
      <c r="L19" s="0" t="n">
        <f aca="false">L15+L16+L17+L18</f>
        <v>4057.83604171475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1916.85155831481</v>
      </c>
      <c r="D21" s="0" t="n">
        <f aca="false">D19*D20</f>
        <v>2163.77599317558</v>
      </c>
      <c r="E21" s="0" t="n">
        <f aca="false">E19*E20</f>
        <v>2363.3513966869</v>
      </c>
      <c r="F21" s="0" t="n">
        <f aca="false">F19*F20</f>
        <v>2567.70945925859</v>
      </c>
      <c r="G21" s="0" t="n">
        <f aca="false">G19*G20</f>
        <v>2738.09221626749</v>
      </c>
      <c r="H21" s="0" t="n">
        <f aca="false">H19*H20</f>
        <v>2770.15698468962</v>
      </c>
      <c r="I21" s="0" t="n">
        <f aca="false">I19*I20</f>
        <v>2507.115451882</v>
      </c>
      <c r="J21" s="0" t="n">
        <f aca="false">J19*J20</f>
        <v>2193.36061425216</v>
      </c>
      <c r="K21" s="0" t="n">
        <f aca="false">K19*K20</f>
        <v>1966.98952877351</v>
      </c>
      <c r="L21" s="0" t="n">
        <f aca="false">L19*L20</f>
        <v>1879.5632302376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23066.9664335383</v>
      </c>
    </row>
    <row r="31" customFormat="false" ht="15" hidden="false" customHeight="false" outlineLevel="0" collapsed="false">
      <c r="A31" s="0" t="s">
        <v>136</v>
      </c>
      <c r="B31" s="0" t="n">
        <f aca="false">L19</f>
        <v>4057.83604171475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75623.3080501385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60867.5406257212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60867.5406257212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28193.448453564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51260.4148871023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66376.7148871023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626.195423463229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-0.147813144264192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12199.7783969219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16415.8931173255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896.154588691979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33274.2555420609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377.061152052557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15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3</v>
      </c>
      <c r="J5" s="4" t="n">
        <f aca="false">Assumptions!J41</f>
        <v>2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14342.9</v>
      </c>
      <c r="C6" s="0" t="n">
        <f aca="false">B6*(1+C5/100)</f>
        <v>16494.335</v>
      </c>
      <c r="D6" s="0" t="n">
        <f aca="false">C6*(1+D5/100)</f>
        <v>18308.71185</v>
      </c>
      <c r="E6" s="0" t="n">
        <f aca="false">D6*(1+E5/100)</f>
        <v>20139.583035</v>
      </c>
      <c r="F6" s="0" t="n">
        <f aca="false">E6*(1+F5/100)</f>
        <v>21952.14550815</v>
      </c>
      <c r="G6" s="0" t="n">
        <f aca="false">F6*(1+G5/100)</f>
        <v>23708.317148802</v>
      </c>
      <c r="H6" s="0" t="n">
        <f aca="false">G6*(1+H5/100)</f>
        <v>25130.8161777301</v>
      </c>
      <c r="I6" s="0" t="n">
        <f aca="false">H6*(1+I5/100)</f>
        <v>25884.740663062</v>
      </c>
      <c r="J6" s="0" t="n">
        <f aca="false">I6*(1+J5/100)</f>
        <v>26402.4354763233</v>
      </c>
      <c r="K6" s="0" t="n">
        <f aca="false">J6*(1+K5/100)</f>
        <v>27194.508540613</v>
      </c>
      <c r="L6" s="0" t="n">
        <f aca="false">K6*(1+L5/100)</f>
        <v>28010.3437968314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35</v>
      </c>
      <c r="D7" s="4" t="n">
        <f aca="false">Assumptions!D42</f>
        <v>36.5</v>
      </c>
      <c r="E7" s="4" t="n">
        <f aca="false">Assumptions!E42</f>
        <v>38</v>
      </c>
      <c r="F7" s="4" t="n">
        <f aca="false">Assumptions!F42</f>
        <v>39.5</v>
      </c>
      <c r="G7" s="4" t="n">
        <f aca="false">Assumptions!G42</f>
        <v>40.5</v>
      </c>
      <c r="H7" s="4" t="n">
        <f aca="false">Assumptions!H42</f>
        <v>41.5</v>
      </c>
      <c r="I7" s="4" t="n">
        <f aca="false">Assumptions!I42</f>
        <v>41.5</v>
      </c>
      <c r="J7" s="4" t="n">
        <f aca="false">Assumptions!J42</f>
        <v>41.5</v>
      </c>
      <c r="K7" s="4" t="n">
        <f aca="false">Assumptions!K42</f>
        <v>41.5</v>
      </c>
      <c r="L7" s="4" t="n">
        <f aca="false">Assumptions!L42</f>
        <v>41.5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5773.01725</v>
      </c>
      <c r="D8" s="0" t="n">
        <f aca="false">D6*D7/100</f>
        <v>6682.67982525</v>
      </c>
      <c r="E8" s="0" t="n">
        <f aca="false">E6*E7/100</f>
        <v>7653.0415533</v>
      </c>
      <c r="F8" s="0" t="n">
        <f aca="false">F6*F7/100</f>
        <v>8671.09747571925</v>
      </c>
      <c r="G8" s="0" t="n">
        <f aca="false">G6*G7/100</f>
        <v>9601.86844526481</v>
      </c>
      <c r="H8" s="0" t="n">
        <f aca="false">H6*H7/100</f>
        <v>10429.288713758</v>
      </c>
      <c r="I8" s="0" t="n">
        <f aca="false">I6*I7/100</f>
        <v>10742.1673751707</v>
      </c>
      <c r="J8" s="0" t="n">
        <f aca="false">J6*J7/100</f>
        <v>10957.0107226742</v>
      </c>
      <c r="K8" s="0" t="n">
        <f aca="false">K6*K7/100</f>
        <v>11285.7210443544</v>
      </c>
      <c r="L8" s="0" t="n">
        <f aca="false">L6*L7/100</f>
        <v>11624.292675685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10</v>
      </c>
      <c r="D9" s="4" t="n">
        <f aca="false">Assumptions!D43</f>
        <v>9.7</v>
      </c>
      <c r="E9" s="4" t="n">
        <f aca="false">Assumptions!E43</f>
        <v>9.4</v>
      </c>
      <c r="F9" s="4" t="n">
        <f aca="false">Assumptions!F43</f>
        <v>9.1</v>
      </c>
      <c r="G9" s="4" t="n">
        <f aca="false">Assumptions!G43</f>
        <v>8.8</v>
      </c>
      <c r="H9" s="4" t="n">
        <f aca="false">Assumptions!H43</f>
        <v>8.5</v>
      </c>
      <c r="I9" s="4" t="n">
        <f aca="false">Assumptions!I43</f>
        <v>8.5</v>
      </c>
      <c r="J9" s="4" t="n">
        <f aca="false">Assumptions!J43</f>
        <v>8.5</v>
      </c>
      <c r="K9" s="4" t="n">
        <f aca="false">Assumptions!K43</f>
        <v>8.5</v>
      </c>
      <c r="L9" s="4" t="n">
        <f aca="false">Assumptions!L43</f>
        <v>8.5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-1649.4335</v>
      </c>
      <c r="D10" s="0" t="n">
        <f aca="false">-D6*D9/100</f>
        <v>-1775.94504945</v>
      </c>
      <c r="E10" s="0" t="n">
        <f aca="false">-E6*E9/100</f>
        <v>-1893.12080529</v>
      </c>
      <c r="F10" s="0" t="n">
        <f aca="false">-F6*F9/100</f>
        <v>-1997.64524124165</v>
      </c>
      <c r="G10" s="0" t="n">
        <f aca="false">-G6*G9/100</f>
        <v>-2086.33190909458</v>
      </c>
      <c r="H10" s="0" t="n">
        <f aca="false">-H6*H9/100</f>
        <v>-2136.11937510706</v>
      </c>
      <c r="I10" s="0" t="n">
        <f aca="false">-I6*I9/100</f>
        <v>-2200.20295636027</v>
      </c>
      <c r="J10" s="0" t="n">
        <f aca="false">-J6*J9/100</f>
        <v>-2244.20701548748</v>
      </c>
      <c r="K10" s="0" t="n">
        <f aca="false">-K6*K9/100</f>
        <v>-2311.5332259521</v>
      </c>
      <c r="L10" s="0" t="n">
        <f aca="false">-L6*L9/100</f>
        <v>-2380.87922273067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4123.58375</v>
      </c>
      <c r="D11" s="0" t="n">
        <f aca="false">D8+D10+D24</f>
        <v>4906.7347758</v>
      </c>
      <c r="E11" s="0" t="n">
        <f aca="false">E8+E10+E24</f>
        <v>5759.92074801</v>
      </c>
      <c r="F11" s="0" t="n">
        <f aca="false">F8+F10+F24</f>
        <v>6673.4522344776</v>
      </c>
      <c r="G11" s="0" t="n">
        <f aca="false">G8+G10+G24</f>
        <v>7515.53653617024</v>
      </c>
      <c r="H11" s="0" t="n">
        <f aca="false">H8+H10+H24</f>
        <v>8293.16933865094</v>
      </c>
      <c r="I11" s="0" t="n">
        <f aca="false">I8+I10+I24</f>
        <v>8541.96441881047</v>
      </c>
      <c r="J11" s="0" t="n">
        <f aca="false">J8+J10+J24</f>
        <v>8712.80370718668</v>
      </c>
      <c r="K11" s="0" t="n">
        <f aca="false">K8+K10+K24</f>
        <v>8974.18781840228</v>
      </c>
      <c r="L11" s="0" t="n">
        <f aca="false">L8+L10+L24</f>
        <v>9243.41345295435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-593.79606</v>
      </c>
      <c r="D12" s="4" t="n">
        <f aca="false">-D6*Assumptions!D45/100</f>
        <v>-677.42233845</v>
      </c>
      <c r="E12" s="4" t="n">
        <f aca="false">-E6*Assumptions!E45/100</f>
        <v>-765.30415533</v>
      </c>
      <c r="F12" s="4" t="n">
        <f aca="false">-F6*Assumptions!F45/100</f>
        <v>-856.13367481785</v>
      </c>
      <c r="G12" s="4" t="n">
        <f aca="false">-G6*Assumptions!G45/100</f>
        <v>-948.33268595208</v>
      </c>
      <c r="H12" s="4" t="n">
        <f aca="false">-H6*Assumptions!H45/100</f>
        <v>-1030.36346328694</v>
      </c>
      <c r="I12" s="4" t="n">
        <f aca="false">-I6*Assumptions!I45/100</f>
        <v>-1087.15910784861</v>
      </c>
      <c r="J12" s="4" t="n">
        <f aca="false">-J6*Assumptions!J45/100</f>
        <v>-1108.90229000558</v>
      </c>
      <c r="K12" s="4" t="n">
        <f aca="false">-K6*Assumptions!K45/100</f>
        <v>-1142.16935870575</v>
      </c>
      <c r="L12" s="4" t="n">
        <f aca="false">-L6*Assumptions!L45/100</f>
        <v>-1176.43443946692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3529.78769</v>
      </c>
      <c r="D13" s="0" t="n">
        <f aca="false">D11+D12</f>
        <v>4229.31243735</v>
      </c>
      <c r="E13" s="0" t="n">
        <f aca="false">E11+E12</f>
        <v>4994.61659268</v>
      </c>
      <c r="F13" s="0" t="n">
        <f aca="false">F11+F12</f>
        <v>5817.31855965975</v>
      </c>
      <c r="G13" s="0" t="n">
        <f aca="false">G11+G12</f>
        <v>6567.20385021816</v>
      </c>
      <c r="H13" s="0" t="n">
        <f aca="false">H11+H12</f>
        <v>7262.80587536401</v>
      </c>
      <c r="I13" s="0" t="n">
        <f aca="false">I11+I12</f>
        <v>7454.80531096186</v>
      </c>
      <c r="J13" s="0" t="n">
        <f aca="false">J11+J12</f>
        <v>7603.90141718111</v>
      </c>
      <c r="K13" s="0" t="n">
        <f aca="false">K11+K12</f>
        <v>7832.01845969653</v>
      </c>
      <c r="L13" s="0" t="n">
        <f aca="false">L11+L12</f>
        <v>8066.97901348743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14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3035.6174134</v>
      </c>
      <c r="D15" s="0" t="n">
        <f aca="false">D13-MAX(0,D13)*D14/100</f>
        <v>3594.9155717475</v>
      </c>
      <c r="E15" s="0" t="n">
        <f aca="false">E13-MAX(0,E13)*E14/100</f>
        <v>4195.4779378512</v>
      </c>
      <c r="F15" s="0" t="n">
        <f aca="false">F13-MAX(0,F13)*F14/100</f>
        <v>4886.54759011419</v>
      </c>
      <c r="G15" s="0" t="n">
        <f aca="false">G13-MAX(0,G13)*G14/100</f>
        <v>5516.45123418325</v>
      </c>
      <c r="H15" s="0" t="n">
        <f aca="false">H13-MAX(0,H13)*H14/100</f>
        <v>6100.75693530577</v>
      </c>
      <c r="I15" s="0" t="n">
        <f aca="false">I13-MAX(0,I13)*I14/100</f>
        <v>6262.03646120797</v>
      </c>
      <c r="J15" s="0" t="n">
        <f aca="false">J13-MAX(0,J13)*J14/100</f>
        <v>6387.27719043213</v>
      </c>
      <c r="K15" s="0" t="n">
        <f aca="false">K13-MAX(0,K13)*K14/100</f>
        <v>6578.89550614509</v>
      </c>
      <c r="L15" s="0" t="n">
        <f aca="false">L13-MAX(0,L13)*L14/100</f>
        <v>6776.26237132944</v>
      </c>
    </row>
    <row r="16" customFormat="false" ht="15" hidden="false" customHeight="false" outlineLevel="0" collapsed="false">
      <c r="A16" s="0" t="s">
        <v>127</v>
      </c>
      <c r="C16" s="0" t="n">
        <f aca="false">-C12</f>
        <v>593.79606</v>
      </c>
      <c r="D16" s="0" t="n">
        <f aca="false">-D12</f>
        <v>677.42233845</v>
      </c>
      <c r="E16" s="0" t="n">
        <f aca="false">-E12</f>
        <v>765.30415533</v>
      </c>
      <c r="F16" s="0" t="n">
        <f aca="false">-F12</f>
        <v>856.13367481785</v>
      </c>
      <c r="G16" s="0" t="n">
        <f aca="false">-G12</f>
        <v>948.33268595208</v>
      </c>
      <c r="H16" s="0" t="n">
        <f aca="false">-H12</f>
        <v>1030.36346328694</v>
      </c>
      <c r="I16" s="0" t="n">
        <f aca="false">-I12</f>
        <v>1087.15910784861</v>
      </c>
      <c r="J16" s="0" t="n">
        <f aca="false">-J12</f>
        <v>1108.90229000558</v>
      </c>
      <c r="K16" s="0" t="n">
        <f aca="false">-K12</f>
        <v>1142.16935870575</v>
      </c>
      <c r="L16" s="0" t="n">
        <f aca="false">-L12</f>
        <v>1176.43443946692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-1072.131775</v>
      </c>
      <c r="D17" s="4" t="n">
        <f aca="false">-D6*Assumptions!D46/100</f>
        <v>-1190.06627025</v>
      </c>
      <c r="E17" s="4" t="n">
        <f aca="false">-E6*Assumptions!E46/100</f>
        <v>-1208.3749821</v>
      </c>
      <c r="F17" s="4" t="n">
        <f aca="false">-F6*Assumptions!F46/100</f>
        <v>-1207.36800294825</v>
      </c>
      <c r="G17" s="4" t="n">
        <f aca="false">-G6*Assumptions!G46/100</f>
        <v>-1185.4158574401</v>
      </c>
      <c r="H17" s="4" t="n">
        <f aca="false">-H6*Assumptions!H46/100</f>
        <v>-1206.27917653105</v>
      </c>
      <c r="I17" s="4" t="n">
        <f aca="false">-I6*Assumptions!I46/100</f>
        <v>-1190.69807050085</v>
      </c>
      <c r="J17" s="4" t="n">
        <f aca="false">-J6*Assumptions!J46/100</f>
        <v>-1188.10959643455</v>
      </c>
      <c r="K17" s="4" t="n">
        <f aca="false">-K6*Assumptions!K46/100</f>
        <v>-1223.75288432758</v>
      </c>
      <c r="L17" s="4" t="n">
        <f aca="false">-L6*Assumptions!L46/100</f>
        <v>-1260.46547085741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-430.287</v>
      </c>
      <c r="D18" s="4" t="n">
        <f aca="false">(D6-C6)*Assumptions!$B$51/100</f>
        <v>-362.87537</v>
      </c>
      <c r="E18" s="4" t="n">
        <f aca="false">(E6-D6)*Assumptions!$B$51/100</f>
        <v>-366.174237</v>
      </c>
      <c r="F18" s="4" t="n">
        <f aca="false">(F6-E6)*Assumptions!$B$51/100</f>
        <v>-362.512494630001</v>
      </c>
      <c r="G18" s="4" t="n">
        <f aca="false">(G6-F6)*Assumptions!$B$51/100</f>
        <v>-351.234328130401</v>
      </c>
      <c r="H18" s="4" t="n">
        <f aca="false">(H6-G6)*Assumptions!$B$51/100</f>
        <v>-284.499805785625</v>
      </c>
      <c r="I18" s="4" t="n">
        <f aca="false">(I6-H6)*Assumptions!$B$51/100</f>
        <v>-150.784897066381</v>
      </c>
      <c r="J18" s="4" t="n">
        <f aca="false">(J6-I6)*Assumptions!$B$51/100</f>
        <v>-103.538962652248</v>
      </c>
      <c r="K18" s="4" t="n">
        <f aca="false">(K6-J6)*Assumptions!$B$51/100</f>
        <v>-158.41461285794</v>
      </c>
      <c r="L18" s="4" t="n">
        <f aca="false">(L6-K6)*Assumptions!$B$51/100</f>
        <v>-163.167051243678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2126.9946984</v>
      </c>
      <c r="D19" s="0" t="n">
        <f aca="false">D15+D16+D17+D18</f>
        <v>2719.3962699475</v>
      </c>
      <c r="E19" s="0" t="n">
        <f aca="false">E15+E16+E17+E18</f>
        <v>3386.2328740812</v>
      </c>
      <c r="F19" s="0" t="n">
        <f aca="false">F15+F16+F17+F18</f>
        <v>4172.80076735379</v>
      </c>
      <c r="G19" s="0" t="n">
        <f aca="false">G15+G16+G17+G18</f>
        <v>4928.13373456483</v>
      </c>
      <c r="H19" s="0" t="n">
        <f aca="false">H15+H16+H17+H18</f>
        <v>5640.34141627603</v>
      </c>
      <c r="I19" s="0" t="n">
        <f aca="false">I15+I16+I17+I18</f>
        <v>6007.71260148934</v>
      </c>
      <c r="J19" s="0" t="n">
        <f aca="false">J15+J16+J17+J18</f>
        <v>6204.53092135091</v>
      </c>
      <c r="K19" s="0" t="n">
        <f aca="false">K15+K16+K17+K18</f>
        <v>6338.89736766531</v>
      </c>
      <c r="L19" s="0" t="n">
        <f aca="false">L15+L16+L17+L18</f>
        <v>6529.06428869527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1969.43953555556</v>
      </c>
      <c r="D21" s="0" t="n">
        <f aca="false">D19*D20</f>
        <v>2331.44399000986</v>
      </c>
      <c r="E21" s="0" t="n">
        <f aca="false">E19*E20</f>
        <v>2688.10083104805</v>
      </c>
      <c r="F21" s="0" t="n">
        <f aca="false">F19*F20</f>
        <v>3067.13313377698</v>
      </c>
      <c r="G21" s="0" t="n">
        <f aca="false">G19*G20</f>
        <v>3354.00501248002</v>
      </c>
      <c r="H21" s="0" t="n">
        <f aca="false">H19*H20</f>
        <v>3554.37184578799</v>
      </c>
      <c r="I21" s="0" t="n">
        <f aca="false">I19*I20</f>
        <v>3505.44260046431</v>
      </c>
      <c r="J21" s="0" t="n">
        <f aca="false">J19*J20</f>
        <v>3352.11499973627</v>
      </c>
      <c r="K21" s="0" t="n">
        <f aca="false">K19*K20</f>
        <v>3171.0268609269</v>
      </c>
      <c r="L21" s="0" t="n">
        <f aca="false">L19*L20</f>
        <v>3024.22006180991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30017.2988715959</v>
      </c>
    </row>
    <row r="31" customFormat="false" ht="15" hidden="false" customHeight="false" outlineLevel="0" collapsed="false">
      <c r="A31" s="0" t="s">
        <v>136</v>
      </c>
      <c r="B31" s="0" t="n">
        <f aca="false">L19</f>
        <v>6529.06428869527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134498.724347123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110994.09290782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110994.09290782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51411.7410507685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81429.0399223643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96545.3399223643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910.805093607211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0.239511021362271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13542.4514578758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22717.8396888304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1252.88331197236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56041.1351446344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472.435466939028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379.119309194296</v>
      </c>
      <c r="C4" s="0" t="n">
        <f aca="false">B4/Assumptions!$B$2-1</f>
        <v>-0.484058043311474</v>
      </c>
      <c r="D4" s="4" t="n">
        <f aca="false">Assumptions!$B$24</f>
        <v>0.25</v>
      </c>
      <c r="E4" s="4" t="n">
        <f aca="false">DCF_Bear!$B$43</f>
        <v>576.041119187206</v>
      </c>
      <c r="F4" s="4" t="n">
        <f aca="false">DCF_Bear!$B$47</f>
        <v>278.800518454888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626.195423463229</v>
      </c>
      <c r="C5" s="0" t="n">
        <f aca="false">B5/Assumptions!$B$2-1</f>
        <v>-0.147813144264192</v>
      </c>
      <c r="D5" s="4" t="n">
        <f aca="false">Assumptions!$B$38</f>
        <v>0.5</v>
      </c>
      <c r="E5" s="4" t="n">
        <f aca="false">DCF_Base!$B$43</f>
        <v>896.154588691979</v>
      </c>
      <c r="F5" s="4" t="n">
        <f aca="false">DCF_Base!$B$47</f>
        <v>377.061152052557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910.805093607211</v>
      </c>
      <c r="C6" s="0" t="n">
        <f aca="false">B6/Assumptions!$B$2-1</f>
        <v>0.239511021362271</v>
      </c>
      <c r="D6" s="4" t="n">
        <f aca="false">Assumptions!$B$52</f>
        <v>0.25</v>
      </c>
      <c r="E6" s="4" t="n">
        <f aca="false">DCF_Bull!$B$43</f>
        <v>1252.88331197236</v>
      </c>
      <c r="F6" s="4" t="n">
        <f aca="false">DCF_Bull!$B$47</f>
        <v>472.435466939028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635.578812431991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905.308402135882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-0.156127274268802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36.7891367339211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376.339572374758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626.195423463229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592.197296814709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541.493118366892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493.172888033056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455.001079210001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377.061152052557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704.467730450197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704.467730450197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704.467730450197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704.467730450197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704.467730450197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663.49558894213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663.49558894213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663.49558894213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663.49558894213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663.49558894213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626.195423463229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626.195423463229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626.195423463229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626.195423463229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626.195423463229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568.480552458806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585.267079308114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592.197296814709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592.197296814709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592.197296814709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516.026324418875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527.963884082008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541.493118366892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556.95510040676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561.172004599451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2026-10-02T07:50:34Z</dcterms:created>
  <dc:creator>openpyxl</dc:creator>
  <dc:description/>
  <dc:language>en-NZ</dc:language>
  <cp:lastModifiedBy/>
  <dcterms:modified xsi:type="dcterms:W3CDTF">2026-10-02T07:50:34Z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