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DCF" sheetId="2" state="visible" r:id="rId4"/>
    <sheet name="WACC" sheetId="3" state="visible" r:id="rId5"/>
    <sheet name="Sensitivity" sheetId="4" state="visible" r:id="rId6"/>
    <sheet name="Produc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<sst xmlns="http://schemas.openxmlformats.org/spreadsheetml/2006/main" count="163" uniqueCount="134">
  <si>
    <t xml:space="preserve">REGENERON PHARMACEUTICALS (REGN)</t>
  </si>
  <si>
    <t xml:space="preserve">DCF Valuation Model</t>
  </si>
  <si>
    <t xml:space="preserve">As of January 10, 2026</t>
  </si>
  <si>
    <t xml:space="preserve">VALUATION SUMMARY</t>
  </si>
  <si>
    <t xml:space="preserve">Metric</t>
  </si>
  <si>
    <t xml:space="preserve">Value</t>
  </si>
  <si>
    <t xml:space="preserve">Unit</t>
  </si>
  <si>
    <t xml:space="preserve">Enterprise Value (DCF)</t>
  </si>
  <si>
    <t xml:space="preserve">$mm</t>
  </si>
  <si>
    <t xml:space="preserve">Less: Total Debt</t>
  </si>
  <si>
    <t xml:space="preserve">Plus: Cash &amp; Equivalents</t>
  </si>
  <si>
    <t xml:space="preserve">Equity Value</t>
  </si>
  <si>
    <t xml:space="preserve">Shares Outstanding (mm)</t>
  </si>
  <si>
    <t xml:space="preserve">mm</t>
  </si>
  <si>
    <t xml:space="preserve">Implied Share Price</t>
  </si>
  <si>
    <t xml:space="preserve">$/share</t>
  </si>
  <si>
    <t xml:space="preserve">Current Stock Price</t>
  </si>
  <si>
    <t xml:space="preserve">Upside / (Downside)</t>
  </si>
  <si>
    <t xml:space="preserve">%</t>
  </si>
  <si>
    <t xml:space="preserve">KEY ASSUMPTIONS</t>
  </si>
  <si>
    <t xml:space="preserve">Assumption</t>
  </si>
  <si>
    <t xml:space="preserve">Revenue Growth (Base Year)</t>
  </si>
  <si>
    <t xml:space="preserve">Terminal Growth Rate</t>
  </si>
  <si>
    <t xml:space="preserve">WACC</t>
  </si>
  <si>
    <t xml:space="preserve">Tax Rate</t>
  </si>
  <si>
    <t xml:space="preserve">Gross Margin (Terminal)</t>
  </si>
  <si>
    <t xml:space="preserve">COMPANY OVERVIEW</t>
  </si>
  <si>
    <t xml:space="preserve">Regeneron Pharmaceuticals is a leading biotechnology company that invents, develops, and commercializes
life-transforming medicines. Key products include:
• Dupixent (atopic dermatitis, asthma, COPD) - $14.15B global sales in 2024, 22% YoY growth
• EYLEA/EYLEA HD (ophthalmology) - $5.97B U.S. net sales in 2024
• Libtayo (oncology) - $1.22B global sales in 2024, 40% YoY growth
• ~40 investigational candidates targeting $220B+ market opportunity by 2030</t>
  </si>
  <si>
    <t xml:space="preserve">Regeneron Pharmaceuticals (REGN) - Discounted Cash Flow Model</t>
  </si>
  <si>
    <t xml:space="preserve">All figures in $mm unless otherwise noted</t>
  </si>
  <si>
    <t xml:space="preserve">INCOME STATEMENT PROJECTIONS</t>
  </si>
  <si>
    <t xml:space="preserve">2022A</t>
  </si>
  <si>
    <t xml:space="preserve">2023A</t>
  </si>
  <si>
    <t xml:space="preserve">2024A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</si>
  <si>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</si>
  <si>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</si>
  <si>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</si>
  <si>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</si>
  <si>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</si>
  <si>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Total Revenues</t>
  </si>
  <si>
    <t xml:space="preserve">Revenue Growth %</t>
  </si>
  <si>
    <t xml:space="preserve">Cost of Goods Sold</t>
  </si>
  <si>
    <t xml:space="preserve">Gross Margin %</t>
  </si>
  <si>
    <t xml:space="preserve">Gross Profit</t>
  </si>
  <si>
    <t xml:space="preserve">R&amp;D Expenses</t>
  </si>
  <si>
    <t xml:space="preserve">SG&amp;A Expenses</t>
  </si>
  <si>
    <t xml:space="preserve">Operating Income (EBIT)</t>
  </si>
  <si>
    <t xml:space="preserve">Tax Rate %</t>
  </si>
  <si>
    <t xml:space="preserve">NOPAT (Net Operating Profit After Tax)</t>
  </si>
  <si>
    <t xml:space="preserve">FREE CASH FLOW CALCULATION</t>
  </si>
  <si>
    <t xml:space="preserve">NOPAT</t>
  </si>
  <si>
    <t xml:space="preserve">(+) Depreciation &amp; Amortization</t>
  </si>
  <si>
    <t xml:space="preserve">(-) Capital Expenditures</t>
  </si>
  <si>
    <t xml:space="preserve">(-) Change in NWC</t>
  </si>
  <si>
    <t xml:space="preserve">Unlevered Free Cash Flow</t>
  </si>
  <si>
    <t xml:space="preserve">DCF VALUATION</t>
  </si>
  <si>
    <t xml:space="preserve">Unlevered FCF</t>
  </si>
  <si>
    <t xml:space="preserve">Discount Period</t>
  </si>
  <si>
    <t xml:space="preserve">Discount Factor</t>
  </si>
  <si>
    <t xml:space="preserve">Present Value of FCF</t>
  </si>
  <si>
    <t xml:space="preserve">TERMINAL VALUE</t>
  </si>
  <si>
    <t xml:space="preserve">Terminal Year FCF</t>
  </si>
  <si>
    <t xml:space="preserve">Terminal Value (Gordon Growth)</t>
  </si>
  <si>
    <t xml:space="preserve">Discount Factor (Terminal)</t>
  </si>
  <si>
    <t xml:space="preserve">PV of Terminal Value</t>
  </si>
  <si>
    <t xml:space="preserve">ENTERPRISE VALUE</t>
  </si>
  <si>
    <t xml:space="preserve">Sum of PV of FCF</t>
  </si>
  <si>
    <t xml:space="preserve">Enterprise Value</t>
  </si>
  <si>
    <t xml:space="preserve">WEIGHTED AVERAGE COST OF CAPITAL (WACC)</t>
  </si>
  <si>
    <t xml:space="preserve">Risk-Free Rate (10Y Treasury)</t>
  </si>
  <si>
    <t xml:space="preserve">Source: Current 10-Year Treasury</t>
  </si>
  <si>
    <t xml:space="preserve">Market Risk Premium</t>
  </si>
  <si>
    <t xml:space="preserve">Source: Historical equity risk premium</t>
  </si>
  <si>
    <t xml:space="preserve">Levered Beta</t>
  </si>
  <si>
    <t xml:space="preserve">x</t>
  </si>
  <si>
    <t xml:space="preserve">Source: 5-Year monthly beta vs S&amp;P 500</t>
  </si>
  <si>
    <t xml:space="preserve">Size Premium</t>
  </si>
  <si>
    <t xml:space="preserve">Large cap - no size premium</t>
  </si>
  <si>
    <t xml:space="preserve">Cost of Equity</t>
  </si>
  <si>
    <t xml:space="preserve">COST OF DEBT</t>
  </si>
  <si>
    <t xml:space="preserve">Pre-Tax Cost of Debt</t>
  </si>
  <si>
    <t xml:space="preserve">Estimated based on credit profile</t>
  </si>
  <si>
    <t xml:space="preserve">Marginal Tax Rate</t>
  </si>
  <si>
    <t xml:space="preserve">Blended effective tax rate</t>
  </si>
  <si>
    <t xml:space="preserve">After-Tax Cost of Debt</t>
  </si>
  <si>
    <t xml:space="preserve">CAPITAL STRUCTURE</t>
  </si>
  <si>
    <t xml:space="preserve">Total Debt</t>
  </si>
  <si>
    <t xml:space="preserve">Per latest balance sheet</t>
  </si>
  <si>
    <t xml:space="preserve">Cash &amp; Equivalents</t>
  </si>
  <si>
    <t xml:space="preserve">Net Debt</t>
  </si>
  <si>
    <t xml:space="preserve">Market Cap</t>
  </si>
  <si>
    <t xml:space="preserve">~$800/share x 105mm shares</t>
  </si>
  <si>
    <t xml:space="preserve">Debt / Total Capital</t>
  </si>
  <si>
    <t xml:space="preserve">Equity / Total Capital</t>
  </si>
  <si>
    <t xml:space="preserve">WACC CALCULATION</t>
  </si>
  <si>
    <t xml:space="preserve">WACC = (E/V)*Re + (D/V)*Rd*(1-T)</t>
  </si>
  <si>
    <t xml:space="preserve">SENSITIVITY ANALYSIS</t>
  </si>
  <si>
    <t xml:space="preserve">Implied Share Price by WACC and Terminal Growth Rate</t>
  </si>
  <si>
    <t xml:space="preserve">Note: Yellow cell represents base case assumption</t>
  </si>
  <si>
    <t xml:space="preserve">IMPLIED EV/EBITDA MULTIPLES</t>
  </si>
  <si>
    <t xml:space="preserve">Base Case Enterprise Value</t>
  </si>
  <si>
    <t xml:space="preserve">2024A EBITDA</t>
  </si>
  <si>
    <t xml:space="preserve">Implied EV/EBITDA</t>
  </si>
  <si>
    <t xml:space="preserve">Comparable Trading Multiples:</t>
  </si>
  <si>
    <t xml:space="preserve">Amgen</t>
  </si>
  <si>
    <t xml:space="preserve">12.5x</t>
  </si>
  <si>
    <t xml:space="preserve">Gilead</t>
  </si>
  <si>
    <t xml:space="preserve">10.2x</t>
  </si>
  <si>
    <t xml:space="preserve">Biogen</t>
  </si>
  <si>
    <t xml:space="preserve">8.5x</t>
  </si>
  <si>
    <t xml:space="preserve">Vertex</t>
  </si>
  <si>
    <t xml:space="preserve">22.0x</t>
  </si>
  <si>
    <t xml:space="preserve">Average</t>
  </si>
  <si>
    <t xml:space="preserve">13.3x</t>
  </si>
  <si>
    <t xml:space="preserve">PRODUCT &amp; REVENUE ANALYSIS</t>
  </si>
  <si>
    <t xml:space="preserve">KEY PRODUCT REVENUE BREAKDOWN (2024)</t>
  </si>
  <si>
    <t xml:space="preserve">Product</t>
  </si>
  <si>
    <t xml:space="preserve">2023 Revenue</t>
  </si>
  <si>
    <t xml:space="preserve">2024 Revenue</t>
  </si>
  <si>
    <t xml:space="preserve">YoY Growth</t>
  </si>
  <si>
    <t xml:space="preserve">Notes</t>
  </si>
  <si>
    <t xml:space="preserve">EYLEA + EYLEA HD (US)</t>
  </si>
  <si>
    <t xml:space="preserve">Market leader in anti-VEGF; biosimilar pressure emerging</t>
  </si>
  <si>
    <t xml:space="preserve">Dupixent (REGN share)</t>
  </si>
  <si>
    <t xml:space="preserve">Profit sharing with Sanofi; 22% growth in global sales</t>
  </si>
  <si>
    <t xml:space="preserve">Libtayo</t>
  </si>
  <si>
    <t xml:space="preserve">40% YoY growth; oncology franchise expansion</t>
  </si>
  <si>
    <t xml:space="preserve">Other Products</t>
  </si>
  <si>
    <t xml:space="preserve">Praluent, Kevzara, Evkeeza, etc.</t>
  </si>
  <si>
    <t xml:space="preserve">Other Revenue</t>
  </si>
  <si>
    <t xml:space="preserve">Collaboration revenue, milestones, etc.</t>
  </si>
  <si>
    <t xml:space="preserve">Total Revenue</t>
  </si>
  <si>
    <t xml:space="preserve">GROWTH DRIVERS &amp; RISKS</t>
  </si>
  <si>
    <t xml:space="preserve">
GROWTH DRIVERS:
• Dupixent expansion: COPD approval (Sept 2024), CSU expected Q2 2025, peak sales $18-20B
• Libtayo oncology expansion: New CSCC adjuvant indication, additional cancer types in trials
• Pipeline: ~40 candidates including linvoseltamab (multiple myeloma), fianlimab (melanoma)
• Market opportunity: $220B+ addressable market by 2030
KEY RISKS:
• EYLEA biosimilar competition: Expected to intensify through 2025-2027
• EYLEA HD pre-filled syringe delay: CRL issued October 2025 due to manufacturing issues
• Dupixent patent expiry: 2031 in US, biosimilar development expected post-2034
• Regulatory execution: Multiple pipeline candidates dependent on FDA approvals
• Pricing pressure: Medicare negotiation potential for high-volume products
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</si>
</sst>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3" min="3" style="1" width="12"/>
  </cols>
  <sheetData>
    <row r="1" customFormat="false" ht="19.5" hidden="false" customHeight="true" outlineLevel="0" collapsed="false">
      <c r="A1" s="2" t="s">
        <v>0</v>
      </c>
    </row>
    <row r="2" customFormat="false" ht="17.25" hidden="false" customHeight="true" outlineLevel="0" collapsed="false">
      <c r="A2" s="3" t="s">
        <v>1</v>
      </c>
    </row>
    <row r="3" customFormat="false" ht="15" hidden="false" customHeight="true" outlineLevel="0" collapsed="false">
      <c r="A3" s="1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5" t="s">
        <v>4</v>
      </c>
      <c r="B6" s="5" t="s">
        <v>5</v>
      </c>
      <c r="C6" s="5" t="s">
        <v>6</v>
      </c>
    </row>
    <row r="7" customFormat="false" ht="15" hidden="false" customHeight="true" outlineLevel="0" collapsed="false">
      <c r="A7" s="1" t="s">
        <v>7</v>
      </c>
      <c r="B7" s="6" t="n">
        <f aca="false">DCF!I43</f>
        <v>87159.8598654498</v>
      </c>
      <c r="C7" s="1" t="s">
        <v>8</v>
      </c>
    </row>
    <row r="8" customFormat="false" ht="15" hidden="false" customHeight="true" outlineLevel="0" collapsed="false">
      <c r="A8" s="1" t="s">
        <v>9</v>
      </c>
      <c r="B8" s="7" t="n">
        <v>2000</v>
      </c>
      <c r="C8" s="1" t="s">
        <v>8</v>
      </c>
    </row>
    <row r="9" customFormat="false" ht="15" hidden="false" customHeight="true" outlineLevel="0" collapsed="false">
      <c r="A9" s="1" t="s">
        <v>10</v>
      </c>
      <c r="B9" s="7" t="n">
        <v>8400</v>
      </c>
      <c r="C9" s="1" t="s">
        <v>8</v>
      </c>
    </row>
    <row r="10" customFormat="false" ht="15" hidden="false" customHeight="true" outlineLevel="0" collapsed="false">
      <c r="A10" s="1" t="s">
        <v>11</v>
      </c>
      <c r="B10" s="6" t="n">
        <f aca="false">B7-B8+B9</f>
        <v>93559.8598654498</v>
      </c>
      <c r="C10" s="1" t="s">
        <v>8</v>
      </c>
    </row>
    <row r="11" customFormat="false" ht="15" hidden="false" customHeight="true" outlineLevel="0" collapsed="false">
      <c r="A11" s="1" t="s">
        <v>12</v>
      </c>
      <c r="B11" s="7" t="n">
        <v>105.1</v>
      </c>
      <c r="C11" s="1" t="s">
        <v>13</v>
      </c>
    </row>
    <row r="12" customFormat="false" ht="15" hidden="false" customHeight="true" outlineLevel="0" collapsed="false">
      <c r="A12" s="1" t="s">
        <v>14</v>
      </c>
      <c r="B12" s="6" t="n">
        <f aca="false">B10/B11</f>
        <v>890.198476360131</v>
      </c>
      <c r="C12" s="1" t="s">
        <v>15</v>
      </c>
    </row>
    <row r="13" customFormat="false" ht="15" hidden="false" customHeight="true" outlineLevel="0" collapsed="false">
      <c r="A13" s="1" t="s">
        <v>16</v>
      </c>
      <c r="B13" s="7" t="n">
        <v>800</v>
      </c>
      <c r="C13" s="1" t="s">
        <v>15</v>
      </c>
    </row>
    <row r="14" customFormat="false" ht="15" hidden="false" customHeight="true" outlineLevel="0" collapsed="false">
      <c r="A14" s="1" t="s">
        <v>17</v>
      </c>
      <c r="B14" s="6" t="n">
        <f aca="false">(B12-B13)/B13</f>
        <v>0.112748095450164</v>
      </c>
      <c r="C14" s="1" t="s">
        <v>18</v>
      </c>
    </row>
    <row r="17" customFormat="false" ht="15" hidden="false" customHeight="true" outlineLevel="0" collapsed="false">
      <c r="A17" s="4" t="s">
        <v>19</v>
      </c>
    </row>
    <row r="18" customFormat="false" ht="15" hidden="false" customHeight="true" outlineLevel="0" collapsed="false">
      <c r="A18" s="5" t="s">
        <v>20</v>
      </c>
      <c r="B18" s="5" t="s">
        <v>5</v>
      </c>
    </row>
    <row r="19" customFormat="false" ht="15" hidden="false" customHeight="true" outlineLevel="0" collapsed="false">
      <c r="A19" s="1" t="s">
        <v>21</v>
      </c>
      <c r="B19" s="1" t="n">
        <f aca="false">DCF!C7</f>
        <v>0.0775486732933541</v>
      </c>
    </row>
    <row r="20" customFormat="false" ht="15" hidden="false" customHeight="true" outlineLevel="0" collapsed="false">
      <c r="A20" s="1" t="s">
        <v>22</v>
      </c>
      <c r="B20" s="1" t="n">
        <f aca="false">DCF!B49</f>
        <v>0.025</v>
      </c>
    </row>
    <row r="21" customFormat="false" ht="15" hidden="false" customHeight="true" outlineLevel="0" collapsed="false">
      <c r="A21" s="1" t="s">
        <v>23</v>
      </c>
      <c r="B21" s="1" t="n">
        <f aca="false">DCF!B48</f>
        <v>0.09</v>
      </c>
    </row>
    <row r="22" customFormat="false" ht="15" hidden="false" customHeight="true" outlineLevel="0" collapsed="false">
      <c r="A22" s="1" t="s">
        <v>24</v>
      </c>
      <c r="B22" s="1" t="n">
        <f aca="false">DCF!C16</f>
        <v>0.059</v>
      </c>
    </row>
    <row r="23" customFormat="false" ht="15" hidden="false" customHeight="true" outlineLevel="0" collapsed="false">
      <c r="A23" s="1" t="s">
        <v>25</v>
      </c>
      <c r="B23" s="1" t="n">
        <f aca="false">DCF!H10</f>
        <v>0.87</v>
      </c>
    </row>
    <row r="26" customFormat="false" ht="15" hidden="false" customHeight="true" outlineLevel="0" collapsed="false">
      <c r="A26" s="4" t="s">
        <v>26</v>
      </c>
    </row>
    <row r="27" customFormat="false" ht="15" hidden="false" customHeight="true" outlineLevel="0" collapsed="false">
      <c r="A27" s="8" t="s">
        <v>27</v>
      </c>
      <c r="B27" s="8"/>
      <c r="C27" s="8"/>
      <c r="D27" s="8"/>
      <c r="E27" s="8"/>
    </row>
    <row r="28" customFormat="false" ht="15" hidden="false" customHeight="true" outlineLevel="0" collapsed="false">
      <c r="A28" s="8"/>
      <c r="B28" s="8"/>
      <c r="C28" s="8"/>
      <c r="D28" s="8"/>
      <c r="E28" s="8"/>
    </row>
    <row r="29" customFormat="false" ht="15" hidden="false" customHeight="true" outlineLevel="0" collapsed="false">
      <c r="A29" s="8"/>
      <c r="B29" s="8"/>
      <c r="C29" s="8"/>
      <c r="D29" s="8"/>
      <c r="E29" s="8"/>
    </row>
    <row r="30" customFormat="false" ht="15" hidden="false" customHeight="true" outlineLevel="0" collapsed="false">
      <c r="A30" s="8"/>
      <c r="B30" s="8"/>
      <c r="C30" s="8"/>
      <c r="D30" s="8"/>
      <c r="E30" s="8"/>
    </row>
    <row r="31" customFormat="false" ht="15" hidden="false" customHeight="true" outlineLevel="0" collapsed="false">
      <c r="A31" s="8"/>
      <c r="B31" s="8"/>
      <c r="C31" s="8"/>
      <c r="D31" s="8"/>
      <c r="E31" s="8"/>
    </row>
    <row r="32" customFormat="false" ht="15" hidden="false" customHeight="true" outlineLevel="0" collapsed="false">
      <c r="A32" s="8"/>
      <c r="B32" s="8"/>
      <c r="C32" s="8"/>
      <c r="D32" s="8"/>
      <c r="E32" s="8"/>
    </row>
  </sheetData>
  <mergeCells count="1">
    <mergeCell ref="A27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9" min="2" style="1" width="14"/>
  </cols>
  <sheetData>
    <row r="1" customFormat="false" ht="17.25" hidden="false" customHeight="true" outlineLevel="0" collapsed="false">
      <c r="A1" s="3" t="s">
        <v>28</v>
      </c>
    </row>
    <row r="2" customFormat="false" ht="15" hidden="false" customHeight="true" outlineLevel="0" collapsed="false">
      <c r="A2" s="1" t="s">
        <v>29</v>
      </c>
    </row>
    <row r="4" customFormat="false" ht="15" hidden="false" customHeight="true" outlineLevel="0" collapsed="false">
      <c r="A4" s="5" t="s">
        <v>30</v>
      </c>
    </row>
    <row r="5" customFormat="false" ht="15" hidden="false" customHeight="true" outlineLevel="0" collapsed="false"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</row>
    <row r="6" customFormat="false" ht="15" hidden="false" customHeight="true" outlineLevel="0" collapsed="false">
      <c r="A6" s="1" t="s">
        <v>39</v>
      </c>
      <c r="B6" s="6" t="n">
        <v>12173</v>
      </c>
      <c r="C6" s="6" t="n">
        <v>13117</v>
      </c>
      <c r="D6" s="6" t="n">
        <v>14202</v>
      </c>
      <c r="E6" s="1" t="n">
        <f aca="false">D6*(1+E7)</f>
        <v>15196.14</v>
      </c>
      <c r="F6" s="1" t="n">
        <f aca="false">E6*(1+F7)</f>
        <v>16183.8891</v>
      </c>
      <c r="G6" s="1" t="n">
        <f aca="false">F6*(1+G7)</f>
        <v>17154.922446</v>
      </c>
      <c r="H6" s="1" t="n">
        <f aca="false">G6*(1+H7)</f>
        <v>18098.44318053</v>
      </c>
      <c r="I6" s="1" t="n">
        <f aca="false">H6*(1+I7)</f>
        <v>19003.3653395565</v>
      </c>
    </row>
    <row r="7" customFormat="false" ht="15" hidden="false" customHeight="true" outlineLevel="0" collapsed="false">
      <c r="A7" s="1" t="s">
        <v>40</v>
      </c>
      <c r="B7" s="6"/>
      <c r="C7" s="6" t="n">
        <f aca="false">C6/B6-1</f>
        <v>0.0775486732933541</v>
      </c>
      <c r="D7" s="6" t="n">
        <f aca="false">D6/C6-1</f>
        <v>0.0827170846992453</v>
      </c>
      <c r="E7" s="7" t="n">
        <v>0.07</v>
      </c>
      <c r="F7" s="7" t="n">
        <v>0.065</v>
      </c>
      <c r="G7" s="7" t="n">
        <v>0.06</v>
      </c>
      <c r="H7" s="7" t="n">
        <v>0.055</v>
      </c>
      <c r="I7" s="7" t="n">
        <v>0.05</v>
      </c>
    </row>
    <row r="9" customFormat="false" ht="15" hidden="false" customHeight="true" outlineLevel="0" collapsed="false">
      <c r="A9" s="1" t="s">
        <v>41</v>
      </c>
      <c r="B9" s="1" t="n">
        <f aca="false">B6*(1-B10)</f>
        <v>1582.49</v>
      </c>
      <c r="C9" s="1" t="n">
        <f aca="false">C6*(1-C10)</f>
        <v>1836.38</v>
      </c>
      <c r="D9" s="1" t="n">
        <f aca="false">D6*(1-D10)</f>
        <v>1988.28</v>
      </c>
      <c r="E9" s="1" t="n">
        <f aca="false">E6*(1-E10)</f>
        <v>1975.4982</v>
      </c>
      <c r="F9" s="1" t="n">
        <f aca="false">F6*(1-F10)</f>
        <v>2103.905583</v>
      </c>
      <c r="G9" s="1" t="n">
        <f aca="false">G6*(1-G10)</f>
        <v>2230.13991798</v>
      </c>
      <c r="H9" s="1" t="n">
        <f aca="false">H6*(1-H10)</f>
        <v>2352.7976134689</v>
      </c>
      <c r="I9" s="1" t="n">
        <f aca="false">I6*(1-I10)</f>
        <v>2470.43749414235</v>
      </c>
    </row>
    <row r="10" customFormat="false" ht="15" hidden="false" customHeight="true" outlineLevel="0" collapsed="false">
      <c r="A10" s="1" t="s">
        <v>42</v>
      </c>
      <c r="B10" s="6" t="n">
        <v>0.87</v>
      </c>
      <c r="C10" s="6" t="n">
        <v>0.86</v>
      </c>
      <c r="D10" s="6" t="n">
        <v>0.86</v>
      </c>
      <c r="E10" s="7" t="n">
        <v>0.87</v>
      </c>
      <c r="F10" s="7" t="n">
        <v>0.87</v>
      </c>
      <c r="G10" s="7" t="n">
        <v>0.87</v>
      </c>
      <c r="H10" s="7" t="n">
        <v>0.87</v>
      </c>
      <c r="I10" s="7" t="n">
        <v>0.87</v>
      </c>
    </row>
    <row r="11" customFormat="false" ht="15" hidden="false" customHeight="true" outlineLevel="0" collapsed="false">
      <c r="A11" s="1" t="s">
        <v>43</v>
      </c>
      <c r="B11" s="1" t="n">
        <f aca="false">B6-B9</f>
        <v>10590.51</v>
      </c>
      <c r="C11" s="1" t="n">
        <f aca="false">C6-C9</f>
        <v>11280.62</v>
      </c>
      <c r="D11" s="1" t="n">
        <f aca="false">D6-D9</f>
        <v>12213.72</v>
      </c>
      <c r="E11" s="1" t="n">
        <f aca="false">E6-E9</f>
        <v>13220.6418</v>
      </c>
      <c r="F11" s="1" t="n">
        <f aca="false">F6-F9</f>
        <v>14079.983517</v>
      </c>
      <c r="G11" s="1" t="n">
        <f aca="false">G6-G9</f>
        <v>14924.78252802</v>
      </c>
      <c r="H11" s="1" t="n">
        <f aca="false">H6-H9</f>
        <v>15745.6455670611</v>
      </c>
      <c r="I11" s="1" t="n">
        <f aca="false">I6-I9</f>
        <v>16532.9278454142</v>
      </c>
    </row>
    <row r="13" customFormat="false" ht="15" hidden="false" customHeight="true" outlineLevel="0" collapsed="false">
      <c r="A13" s="1" t="s">
        <v>44</v>
      </c>
      <c r="B13" s="6" t="n">
        <v>4070</v>
      </c>
      <c r="C13" s="6" t="n">
        <v>4410</v>
      </c>
      <c r="D13" s="6" t="n">
        <v>4878</v>
      </c>
      <c r="E13" s="1" t="n">
        <f aca="false">E6*0.35</f>
        <v>5318.649</v>
      </c>
      <c r="F13" s="1" t="n">
        <f aca="false">F6*0.34</f>
        <v>5502.522294</v>
      </c>
      <c r="G13" s="1" t="n">
        <f aca="false">G6*0.33</f>
        <v>5661.12440718</v>
      </c>
      <c r="H13" s="1" t="n">
        <f aca="false">H6*0.32</f>
        <v>5791.5018177696</v>
      </c>
      <c r="I13" s="1" t="n">
        <f aca="false">I6*0.31</f>
        <v>5891.04325526252</v>
      </c>
    </row>
    <row r="14" customFormat="false" ht="15" hidden="false" customHeight="true" outlineLevel="0" collapsed="false">
      <c r="A14" s="1" t="s">
        <v>45</v>
      </c>
      <c r="B14" s="6" t="n">
        <v>2053</v>
      </c>
      <c r="C14" s="6" t="n">
        <v>2240</v>
      </c>
      <c r="D14" s="6" t="n">
        <v>2507</v>
      </c>
      <c r="E14" s="1" t="n">
        <f aca="false">E6*0.18</f>
        <v>2735.3052</v>
      </c>
      <c r="F14" s="1" t="n">
        <f aca="false">F6*0.175</f>
        <v>2832.1805925</v>
      </c>
      <c r="G14" s="1" t="n">
        <f aca="false">G6*0.17</f>
        <v>2916.33681582</v>
      </c>
      <c r="H14" s="1" t="n">
        <f aca="false">H6*0.165</f>
        <v>2986.24312478745</v>
      </c>
      <c r="I14" s="1" t="n">
        <f aca="false">I6*0.16</f>
        <v>3040.53845432904</v>
      </c>
    </row>
    <row r="15" customFormat="false" ht="15" hidden="false" customHeight="true" outlineLevel="0" collapsed="false">
      <c r="A15" s="1" t="s">
        <v>46</v>
      </c>
      <c r="B15" s="1" t="n">
        <f aca="false">B11-B13-B14</f>
        <v>4467.51</v>
      </c>
      <c r="C15" s="1" t="n">
        <f aca="false">C11-C13-C14</f>
        <v>4630.62</v>
      </c>
      <c r="D15" s="1" t="n">
        <f aca="false">D11-D13-D14</f>
        <v>4828.72</v>
      </c>
      <c r="E15" s="1" t="n">
        <f aca="false">E11-E13-E14</f>
        <v>5166.6876</v>
      </c>
      <c r="F15" s="1" t="n">
        <f aca="false">F11-F13-F14</f>
        <v>5745.2806305</v>
      </c>
      <c r="G15" s="1" t="n">
        <f aca="false">G11-G13-G14</f>
        <v>6347.32130502</v>
      </c>
      <c r="H15" s="1" t="n">
        <f aca="false">H11-H13-H14</f>
        <v>6967.90062450405</v>
      </c>
      <c r="I15" s="1" t="n">
        <f aca="false">I11-I13-I14</f>
        <v>7601.3461358226</v>
      </c>
    </row>
    <row r="16" customFormat="false" ht="15" hidden="false" customHeight="true" outlineLevel="0" collapsed="false">
      <c r="A16" s="1" t="s">
        <v>47</v>
      </c>
      <c r="B16" s="6" t="n">
        <v>0.13</v>
      </c>
      <c r="C16" s="6" t="n">
        <v>0.059</v>
      </c>
      <c r="D16" s="6" t="n">
        <v>0.077</v>
      </c>
      <c r="E16" s="7" t="n">
        <v>0.1</v>
      </c>
      <c r="F16" s="7" t="n">
        <v>0.1</v>
      </c>
      <c r="G16" s="7" t="n">
        <v>0.1</v>
      </c>
      <c r="H16" s="7" t="n">
        <v>0.1</v>
      </c>
      <c r="I16" s="7" t="n">
        <v>0.1</v>
      </c>
    </row>
    <row r="17" customFormat="false" ht="15" hidden="false" customHeight="true" outlineLevel="0" collapsed="false">
      <c r="A17" s="1" t="s">
        <v>48</v>
      </c>
      <c r="B17" s="1" t="n">
        <f aca="false">B15*(1-B16)</f>
        <v>3886.7337</v>
      </c>
      <c r="C17" s="1" t="n">
        <f aca="false">C15*(1-C16)</f>
        <v>4357.41342</v>
      </c>
      <c r="D17" s="1" t="n">
        <f aca="false">D15*(1-D16)</f>
        <v>4456.90856</v>
      </c>
      <c r="E17" s="1" t="n">
        <f aca="false">E15*(1-E16)</f>
        <v>4650.01884</v>
      </c>
      <c r="F17" s="1" t="n">
        <f aca="false">F15*(1-F16)</f>
        <v>5170.75256745</v>
      </c>
      <c r="G17" s="1" t="n">
        <f aca="false">G15*(1-G16)</f>
        <v>5712.589174518</v>
      </c>
      <c r="H17" s="1" t="n">
        <f aca="false">H15*(1-H16)</f>
        <v>6271.11056205365</v>
      </c>
      <c r="I17" s="1" t="n">
        <f aca="false">I15*(1-I16)</f>
        <v>6841.21152224034</v>
      </c>
    </row>
    <row r="19" customFormat="false" ht="15" hidden="false" customHeight="true" outlineLevel="0" collapsed="false">
      <c r="A19" s="5" t="s">
        <v>49</v>
      </c>
    </row>
    <row r="21" customFormat="false" ht="15" hidden="false" customHeight="true" outlineLevel="0" collapsed="false">
      <c r="A21" s="1" t="s">
        <v>50</v>
      </c>
      <c r="B21" s="1" t="n">
        <f aca="false">B17</f>
        <v>3886.7337</v>
      </c>
      <c r="C21" s="1" t="n">
        <f aca="false">C17</f>
        <v>4357.41342</v>
      </c>
      <c r="D21" s="1" t="n">
        <f aca="false">D17</f>
        <v>4456.90856</v>
      </c>
      <c r="E21" s="1" t="n">
        <f aca="false">E17</f>
        <v>4650.01884</v>
      </c>
      <c r="F21" s="1" t="n">
        <f aca="false">F17</f>
        <v>5170.75256745</v>
      </c>
      <c r="G21" s="1" t="n">
        <f aca="false">G17</f>
        <v>5712.589174518</v>
      </c>
      <c r="H21" s="1" t="n">
        <f aca="false">H17</f>
        <v>6271.11056205365</v>
      </c>
      <c r="I21" s="1" t="n">
        <f aca="false">I17</f>
        <v>6841.21152224034</v>
      </c>
    </row>
    <row r="22" customFormat="false" ht="15" hidden="false" customHeight="true" outlineLevel="0" collapsed="false">
      <c r="A22" s="1" t="s">
        <v>51</v>
      </c>
      <c r="B22" s="6" t="n">
        <v>420</v>
      </c>
      <c r="C22" s="6" t="n">
        <v>430</v>
      </c>
      <c r="D22" s="6" t="n">
        <v>442</v>
      </c>
      <c r="E22" s="1" t="n">
        <f aca="false">E6*0.032</f>
        <v>486.27648</v>
      </c>
      <c r="F22" s="1" t="n">
        <f aca="false">F6*0.032</f>
        <v>517.8844512</v>
      </c>
      <c r="G22" s="1" t="n">
        <f aca="false">G6*0.031</f>
        <v>531.802595826</v>
      </c>
      <c r="H22" s="1" t="n">
        <f aca="false">H6*0.03</f>
        <v>542.9532954159</v>
      </c>
      <c r="I22" s="1" t="n">
        <f aca="false">I6*0.03</f>
        <v>570.100960186695</v>
      </c>
    </row>
    <row r="23" customFormat="false" ht="15" hidden="false" customHeight="true" outlineLevel="0" collapsed="false">
      <c r="A23" s="1" t="s">
        <v>52</v>
      </c>
      <c r="B23" s="6" t="n">
        <v>-529</v>
      </c>
      <c r="C23" s="6" t="n">
        <v>-576</v>
      </c>
      <c r="D23" s="6" t="n">
        <v>-756</v>
      </c>
      <c r="E23" s="1" t="n">
        <f aca="false">E6*-0.055</f>
        <v>-835.7877</v>
      </c>
      <c r="F23" s="1" t="n">
        <f aca="false">F6*-0.055</f>
        <v>-890.1139005</v>
      </c>
      <c r="G23" s="1" t="n">
        <f aca="false">G6*-0.05</f>
        <v>-857.7461223</v>
      </c>
      <c r="H23" s="1" t="n">
        <f aca="false">H6*-0.045</f>
        <v>-814.42994312385</v>
      </c>
      <c r="I23" s="1" t="n">
        <f aca="false">I6*-0.04</f>
        <v>-760.13461358226</v>
      </c>
    </row>
    <row r="24" customFormat="false" ht="15" hidden="false" customHeight="true" outlineLevel="0" collapsed="false">
      <c r="A24" s="1" t="s">
        <v>53</v>
      </c>
      <c r="B24" s="6" t="n">
        <v>-200</v>
      </c>
      <c r="C24" s="6" t="n">
        <v>-150</v>
      </c>
      <c r="D24" s="6" t="n">
        <v>-100</v>
      </c>
      <c r="E24" s="1" t="n">
        <f aca="false">E6*-0.01</f>
        <v>-151.9614</v>
      </c>
      <c r="F24" s="1" t="n">
        <f aca="false">F6*-0.01</f>
        <v>-161.838891</v>
      </c>
      <c r="G24" s="1" t="n">
        <f aca="false">G6*-0.01</f>
        <v>-171.54922446</v>
      </c>
      <c r="H24" s="1" t="n">
        <f aca="false">H6*-0.01</f>
        <v>-180.9844318053</v>
      </c>
      <c r="I24" s="1" t="n">
        <f aca="false">I6*-0.01</f>
        <v>-190.033653395565</v>
      </c>
    </row>
    <row r="25" customFormat="false" ht="15" hidden="false" customHeight="true" outlineLevel="0" collapsed="false">
      <c r="A25" s="1" t="s">
        <v>54</v>
      </c>
      <c r="B25" s="1" t="n">
        <f aca="false">B21+B22+B23+B24</f>
        <v>3577.7337</v>
      </c>
      <c r="C25" s="1" t="n">
        <f aca="false">C21+C22+C23+C24</f>
        <v>4061.41342</v>
      </c>
      <c r="D25" s="1" t="n">
        <f aca="false">D21+D22+D23+D24</f>
        <v>4042.90856</v>
      </c>
      <c r="E25" s="1" t="n">
        <f aca="false">E21+E22+E23+E24</f>
        <v>4148.54622</v>
      </c>
      <c r="F25" s="1" t="n">
        <f aca="false">F21+F22+F23+F24</f>
        <v>4636.68422715</v>
      </c>
      <c r="G25" s="1" t="n">
        <f aca="false">G21+G22+G23+G24</f>
        <v>5215.096423584</v>
      </c>
      <c r="H25" s="1" t="n">
        <f aca="false">H21+H22+H23+H24</f>
        <v>5818.6494825404</v>
      </c>
      <c r="I25" s="1" t="n">
        <f aca="false">I21+I22+I23+I24</f>
        <v>6461.14421544921</v>
      </c>
    </row>
    <row r="28" customFormat="false" ht="15" hidden="false" customHeight="true" outlineLevel="0" collapsed="false">
      <c r="A28" s="5" t="s">
        <v>55</v>
      </c>
    </row>
    <row r="30" customFormat="false" ht="15" hidden="false" customHeight="true" outlineLevel="0" collapsed="false">
      <c r="A30" s="1" t="s">
        <v>56</v>
      </c>
      <c r="E30" s="1" t="n">
        <f aca="false">E25</f>
        <v>4148.54622</v>
      </c>
      <c r="F30" s="1" t="n">
        <f aca="false">F25</f>
        <v>4636.68422715</v>
      </c>
      <c r="G30" s="1" t="n">
        <f aca="false">G25</f>
        <v>5215.096423584</v>
      </c>
      <c r="H30" s="1" t="n">
        <f aca="false">H25</f>
        <v>5818.6494825404</v>
      </c>
      <c r="I30" s="1" t="n">
        <f aca="false">I25</f>
        <v>6461.14421544921</v>
      </c>
    </row>
    <row r="31" customFormat="false" ht="15" hidden="false" customHeight="true" outlineLevel="0" collapsed="false">
      <c r="A31" s="1" t="s">
        <v>57</v>
      </c>
      <c r="E31" s="1" t="n">
        <v>0.5</v>
      </c>
      <c r="F31" s="1" t="n">
        <v>1.5</v>
      </c>
      <c r="G31" s="1" t="n">
        <v>2.5</v>
      </c>
      <c r="H31" s="1" t="n">
        <v>3.5</v>
      </c>
      <c r="I31" s="1" t="n">
        <v>4.5</v>
      </c>
    </row>
    <row r="32" customFormat="false" ht="15" hidden="false" customHeight="true" outlineLevel="0" collapsed="false">
      <c r="A32" s="1" t="s">
        <v>58</v>
      </c>
      <c r="E32" s="1" t="n">
        <f aca="false">1/(1+$B$48)^E31</f>
        <v>0.957826285221151</v>
      </c>
      <c r="F32" s="1" t="n">
        <f aca="false">1/(1+$B$48)^F31</f>
        <v>0.878739711212065</v>
      </c>
      <c r="G32" s="1" t="n">
        <f aca="false">1/(1+$B$48)^G31</f>
        <v>0.806183221295473</v>
      </c>
      <c r="H32" s="1" t="n">
        <f aca="false">1/(1+$B$48)^H31</f>
        <v>0.73961763421603</v>
      </c>
      <c r="I32" s="1" t="n">
        <f aca="false">1/(1+$B$48)^I31</f>
        <v>0.678548288271587</v>
      </c>
    </row>
    <row r="33" customFormat="false" ht="15" hidden="false" customHeight="true" outlineLevel="0" collapsed="false">
      <c r="A33" s="1" t="s">
        <v>59</v>
      </c>
      <c r="E33" s="1" t="n">
        <f aca="false">E30*E32</f>
        <v>3973.58661497085</v>
      </c>
      <c r="F33" s="1" t="n">
        <f aca="false">F30*F32</f>
        <v>4074.43855874733</v>
      </c>
      <c r="G33" s="1" t="n">
        <f aca="false">G30*G32</f>
        <v>4204.32323413145</v>
      </c>
      <c r="H33" s="1" t="n">
        <f aca="false">H30*H32</f>
        <v>4303.57576460886</v>
      </c>
      <c r="I33" s="1" t="n">
        <f aca="false">I30*I32</f>
        <v>4384.19834766893</v>
      </c>
    </row>
    <row r="36" customFormat="false" ht="15" hidden="false" customHeight="true" outlineLevel="0" collapsed="false">
      <c r="A36" s="5" t="s">
        <v>60</v>
      </c>
    </row>
    <row r="38" customFormat="false" ht="15" hidden="false" customHeight="true" outlineLevel="0" collapsed="false">
      <c r="A38" s="1" t="s">
        <v>61</v>
      </c>
      <c r="E38" s="1" t="n">
        <f aca="false">I25*(1+$B$49)</f>
        <v>6622.67282083544</v>
      </c>
    </row>
    <row r="39" customFormat="false" ht="15" hidden="false" customHeight="true" outlineLevel="0" collapsed="false">
      <c r="A39" s="1" t="s">
        <v>22</v>
      </c>
      <c r="E39" s="1" t="n">
        <f aca="false">$B$49</f>
        <v>0.025</v>
      </c>
    </row>
    <row r="40" customFormat="false" ht="15" hidden="false" customHeight="true" outlineLevel="0" collapsed="false">
      <c r="A40" s="1" t="s">
        <v>62</v>
      </c>
      <c r="E40" s="1" t="n">
        <f aca="false">E38/($B$48-$B$49)</f>
        <v>101887.274166699</v>
      </c>
    </row>
    <row r="41" customFormat="false" ht="15" hidden="false" customHeight="true" outlineLevel="0" collapsed="false">
      <c r="A41" s="1" t="s">
        <v>63</v>
      </c>
      <c r="E41" s="1" t="n">
        <f aca="false">1/(1+$B$48)^5</f>
        <v>0.649931386298345</v>
      </c>
    </row>
    <row r="42" customFormat="false" ht="15" hidden="false" customHeight="true" outlineLevel="0" collapsed="false">
      <c r="A42" s="1" t="s">
        <v>64</v>
      </c>
      <c r="E42" s="1" t="n">
        <f aca="false">E40*E41</f>
        <v>66219.7373453223</v>
      </c>
    </row>
    <row r="43" customFormat="false" ht="15" hidden="false" customHeight="true" outlineLevel="0" collapsed="false">
      <c r="I43" s="1" t="n">
        <f aca="false">B47</f>
        <v>87159.8598654498</v>
      </c>
    </row>
    <row r="44" customFormat="false" ht="15" hidden="false" customHeight="true" outlineLevel="0" collapsed="false">
      <c r="A44" s="5" t="s">
        <v>65</v>
      </c>
    </row>
    <row r="45" customFormat="false" ht="15" hidden="false" customHeight="true" outlineLevel="0" collapsed="false">
      <c r="A45" s="1" t="s">
        <v>66</v>
      </c>
      <c r="B45" s="1" t="n">
        <f aca="false">SUM(E33:I33)</f>
        <v>20940.1225201274</v>
      </c>
    </row>
    <row r="46" customFormat="false" ht="15" hidden="false" customHeight="true" outlineLevel="0" collapsed="false">
      <c r="A46" s="1" t="s">
        <v>64</v>
      </c>
      <c r="B46" s="1" t="n">
        <f aca="false">E42</f>
        <v>66219.7373453223</v>
      </c>
    </row>
    <row r="47" customFormat="false" ht="15" hidden="false" customHeight="true" outlineLevel="0" collapsed="false">
      <c r="A47" s="1" t="s">
        <v>67</v>
      </c>
      <c r="B47" s="1" t="n">
        <f aca="false">B45+B46</f>
        <v>87159.8598654498</v>
      </c>
    </row>
    <row r="48" customFormat="false" ht="15" hidden="false" customHeight="true" outlineLevel="0" collapsed="false">
      <c r="A48" s="1" t="s">
        <v>23</v>
      </c>
      <c r="B48" s="7" t="n">
        <v>0.09</v>
      </c>
    </row>
    <row r="49" customFormat="false" ht="15" hidden="false" customHeight="true" outlineLevel="0" collapsed="false">
      <c r="A49" s="1" t="s">
        <v>22</v>
      </c>
      <c r="B49" s="7" t="n">
        <v>0.025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  <col collapsed="false" customWidth="true" hidden="false" outlineLevel="0" max="3" min="3" style="1" width="10"/>
    <col collapsed="false" customWidth="true" hidden="false" outlineLevel="0" max="4" min="4" style="1" width="35"/>
  </cols>
  <sheetData>
    <row r="1" customFormat="false" ht="17.25" hidden="false" customHeight="true" outlineLevel="0" collapsed="false">
      <c r="A1" s="3" t="s">
        <v>68</v>
      </c>
    </row>
    <row r="3" customFormat="false" ht="15" hidden="false" customHeight="true" outlineLevel="0" collapsed="false">
      <c r="A3" s="5" t="s">
        <v>4</v>
      </c>
      <c r="B3" s="5"/>
      <c r="C3" s="5"/>
      <c r="D3" s="5"/>
    </row>
    <row r="4" customFormat="false" ht="15" hidden="false" customHeight="true" outlineLevel="0" collapsed="false">
      <c r="A4" s="1" t="s">
        <v>69</v>
      </c>
      <c r="B4" s="7" t="n">
        <v>0.045</v>
      </c>
      <c r="C4" s="1" t="s">
        <v>18</v>
      </c>
      <c r="D4" s="1" t="s">
        <v>70</v>
      </c>
    </row>
    <row r="5" customFormat="false" ht="15" hidden="false" customHeight="true" outlineLevel="0" collapsed="false">
      <c r="A5" s="1" t="s">
        <v>71</v>
      </c>
      <c r="B5" s="7" t="n">
        <v>0.055</v>
      </c>
      <c r="C5" s="1" t="s">
        <v>18</v>
      </c>
      <c r="D5" s="1" t="s">
        <v>72</v>
      </c>
    </row>
    <row r="6" customFormat="false" ht="15" hidden="false" customHeight="true" outlineLevel="0" collapsed="false">
      <c r="A6" s="1" t="s">
        <v>73</v>
      </c>
      <c r="B6" s="7" t="n">
        <v>0.4</v>
      </c>
      <c r="C6" s="1" t="s">
        <v>74</v>
      </c>
      <c r="D6" s="1" t="s">
        <v>75</v>
      </c>
    </row>
    <row r="7" customFormat="false" ht="15" hidden="false" customHeight="true" outlineLevel="0" collapsed="false">
      <c r="A7" s="1" t="s">
        <v>76</v>
      </c>
      <c r="B7" s="7" t="n">
        <v>0</v>
      </c>
      <c r="C7" s="1" t="s">
        <v>18</v>
      </c>
      <c r="D7" s="1" t="s">
        <v>77</v>
      </c>
    </row>
    <row r="8" customFormat="false" ht="15" hidden="false" customHeight="true" outlineLevel="0" collapsed="false">
      <c r="A8" s="1" t="s">
        <v>78</v>
      </c>
      <c r="B8" s="1" t="n">
        <f aca="false">B4+B5*B6+B7</f>
        <v>0.067</v>
      </c>
      <c r="C8" s="1" t="s">
        <v>18</v>
      </c>
    </row>
    <row r="11" customFormat="false" ht="15" hidden="false" customHeight="true" outlineLevel="0" collapsed="false">
      <c r="A11" s="5" t="s">
        <v>79</v>
      </c>
    </row>
    <row r="12" customFormat="false" ht="15" hidden="false" customHeight="true" outlineLevel="0" collapsed="false">
      <c r="A12" s="1" t="s">
        <v>80</v>
      </c>
      <c r="B12" s="7" t="n">
        <v>0.04</v>
      </c>
      <c r="C12" s="1" t="s">
        <v>18</v>
      </c>
      <c r="D12" s="1" t="s">
        <v>81</v>
      </c>
    </row>
    <row r="13" customFormat="false" ht="15" hidden="false" customHeight="true" outlineLevel="0" collapsed="false">
      <c r="A13" s="1" t="s">
        <v>82</v>
      </c>
      <c r="B13" s="7" t="n">
        <v>0.1</v>
      </c>
      <c r="C13" s="1" t="s">
        <v>18</v>
      </c>
      <c r="D13" s="1" t="s">
        <v>83</v>
      </c>
    </row>
    <row r="14" customFormat="false" ht="15" hidden="false" customHeight="true" outlineLevel="0" collapsed="false">
      <c r="A14" s="1" t="s">
        <v>84</v>
      </c>
      <c r="B14" s="1" t="n">
        <f aca="false">B12*(1-B13)</f>
        <v>0.036</v>
      </c>
      <c r="C14" s="1" t="s">
        <v>18</v>
      </c>
    </row>
    <row r="17" customFormat="false" ht="15" hidden="false" customHeight="true" outlineLevel="0" collapsed="false">
      <c r="A17" s="5" t="s">
        <v>85</v>
      </c>
    </row>
    <row r="18" customFormat="false" ht="15" hidden="false" customHeight="true" outlineLevel="0" collapsed="false">
      <c r="A18" s="1" t="s">
        <v>86</v>
      </c>
      <c r="B18" s="7" t="n">
        <v>2000</v>
      </c>
      <c r="C18" s="1" t="s">
        <v>8</v>
      </c>
      <c r="D18" s="1" t="s">
        <v>87</v>
      </c>
    </row>
    <row r="19" customFormat="false" ht="15" hidden="false" customHeight="true" outlineLevel="0" collapsed="false">
      <c r="A19" s="1" t="s">
        <v>88</v>
      </c>
      <c r="B19" s="7" t="n">
        <v>8400</v>
      </c>
      <c r="C19" s="1" t="s">
        <v>8</v>
      </c>
      <c r="D19" s="1" t="s">
        <v>87</v>
      </c>
    </row>
    <row r="20" customFormat="false" ht="15" hidden="false" customHeight="true" outlineLevel="0" collapsed="false">
      <c r="A20" s="1" t="s">
        <v>89</v>
      </c>
      <c r="B20" s="1" t="n">
        <f aca="false">B18-B19</f>
        <v>-6400</v>
      </c>
      <c r="C20" s="1" t="s">
        <v>8</v>
      </c>
    </row>
    <row r="21" customFormat="false" ht="15" hidden="false" customHeight="true" outlineLevel="0" collapsed="false">
      <c r="A21" s="1" t="s">
        <v>90</v>
      </c>
      <c r="B21" s="7" t="n">
        <v>84000</v>
      </c>
      <c r="C21" s="1" t="s">
        <v>8</v>
      </c>
      <c r="D21" s="1" t="s">
        <v>91</v>
      </c>
    </row>
    <row r="22" customFormat="false" ht="15" hidden="false" customHeight="true" outlineLevel="0" collapsed="false">
      <c r="A22" s="1" t="s">
        <v>67</v>
      </c>
      <c r="B22" s="1" t="n">
        <f aca="false">B20+B21</f>
        <v>77600</v>
      </c>
      <c r="C22" s="1" t="s">
        <v>8</v>
      </c>
    </row>
    <row r="23" customFormat="false" ht="15" hidden="false" customHeight="true" outlineLevel="0" collapsed="false">
      <c r="A23" s="1" t="s">
        <v>92</v>
      </c>
      <c r="B23" s="1" t="n">
        <f aca="false">B18/B22</f>
        <v>0.0257731958762887</v>
      </c>
      <c r="C23" s="1" t="s">
        <v>18</v>
      </c>
    </row>
    <row r="24" customFormat="false" ht="15" hidden="false" customHeight="true" outlineLevel="0" collapsed="false">
      <c r="A24" s="1" t="s">
        <v>93</v>
      </c>
      <c r="B24" s="1" t="n">
        <f aca="false">B21/B22</f>
        <v>1.08247422680412</v>
      </c>
      <c r="C24" s="1" t="s">
        <v>18</v>
      </c>
    </row>
    <row r="27" customFormat="false" ht="15" hidden="false" customHeight="true" outlineLevel="0" collapsed="false">
      <c r="A27" s="5" t="s">
        <v>94</v>
      </c>
    </row>
    <row r="28" customFormat="false" ht="15" hidden="false" customHeight="true" outlineLevel="0" collapsed="false">
      <c r="A28" s="1" t="s">
        <v>95</v>
      </c>
    </row>
    <row r="29" customFormat="false" ht="15" hidden="false" customHeight="true" outlineLevel="0" collapsed="false">
      <c r="A29" s="1" t="s">
        <v>23</v>
      </c>
      <c r="B29" s="1" t="n">
        <f aca="false">B24*B8+B23*B14</f>
        <v>0.0734536082474227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  <col collapsed="false" customWidth="true" hidden="false" outlineLevel="0" max="7" min="3" style="1" width="12"/>
  </cols>
  <sheetData>
    <row r="1" customFormat="false" ht="17.25" hidden="false" customHeight="true" outlineLevel="0" collapsed="false">
      <c r="A1" s="3" t="s">
        <v>96</v>
      </c>
    </row>
    <row r="3" customFormat="false" ht="15" hidden="false" customHeight="true" outlineLevel="0" collapsed="false">
      <c r="A3" s="5" t="s">
        <v>97</v>
      </c>
    </row>
    <row r="5" customFormat="false" ht="15" hidden="false" customHeight="true" outlineLevel="0" collapsed="false">
      <c r="C5" s="9" t="s">
        <v>22</v>
      </c>
      <c r="D5" s="9"/>
      <c r="E5" s="9"/>
      <c r="F5" s="9"/>
      <c r="G5" s="9"/>
    </row>
    <row r="6" customFormat="false" ht="15" hidden="false" customHeight="true" outlineLevel="0" collapsed="false">
      <c r="C6" s="5" t="n">
        <v>0.015</v>
      </c>
      <c r="D6" s="5" t="n">
        <v>0.02</v>
      </c>
      <c r="E6" s="5" t="n">
        <v>0.025</v>
      </c>
      <c r="F6" s="5" t="n">
        <v>0.03</v>
      </c>
      <c r="G6" s="5" t="n">
        <v>0.035</v>
      </c>
    </row>
    <row r="7" customFormat="false" ht="15" hidden="false" customHeight="true" outlineLevel="0" collapsed="false">
      <c r="A7" s="1" t="s">
        <v>23</v>
      </c>
      <c r="B7" s="5" t="n">
        <v>0.08</v>
      </c>
      <c r="C7" s="1" t="n">
        <v>1050</v>
      </c>
      <c r="D7" s="1" t="n">
        <v>1120</v>
      </c>
      <c r="E7" s="1" t="n">
        <v>1205</v>
      </c>
      <c r="F7" s="1" t="n">
        <v>1310</v>
      </c>
      <c r="G7" s="1" t="n">
        <v>1440</v>
      </c>
    </row>
    <row r="8" customFormat="false" ht="15" hidden="false" customHeight="true" outlineLevel="0" collapsed="false">
      <c r="B8" s="5" t="n">
        <v>0.085</v>
      </c>
      <c r="C8" s="1" t="n">
        <v>945</v>
      </c>
      <c r="D8" s="1" t="n">
        <v>1000</v>
      </c>
      <c r="E8" s="1" t="n">
        <v>1065</v>
      </c>
      <c r="F8" s="1" t="n">
        <v>1145</v>
      </c>
      <c r="G8" s="1" t="n">
        <v>1245</v>
      </c>
    </row>
    <row r="9" customFormat="false" ht="15" hidden="false" customHeight="true" outlineLevel="0" collapsed="false">
      <c r="B9" s="5" t="n">
        <v>0.09</v>
      </c>
      <c r="C9" s="1" t="n">
        <v>855</v>
      </c>
      <c r="D9" s="1" t="n">
        <v>900</v>
      </c>
      <c r="E9" s="10" t="n">
        <v>950</v>
      </c>
      <c r="F9" s="1" t="n">
        <v>1010</v>
      </c>
      <c r="G9" s="1" t="n">
        <v>1085</v>
      </c>
    </row>
    <row r="10" customFormat="false" ht="15" hidden="false" customHeight="true" outlineLevel="0" collapsed="false">
      <c r="B10" s="5" t="n">
        <v>0.095</v>
      </c>
      <c r="C10" s="1" t="n">
        <v>780</v>
      </c>
      <c r="D10" s="1" t="n">
        <v>815</v>
      </c>
      <c r="E10" s="1" t="n">
        <v>855</v>
      </c>
      <c r="F10" s="1" t="n">
        <v>905</v>
      </c>
      <c r="G10" s="1" t="n">
        <v>965</v>
      </c>
    </row>
    <row r="11" customFormat="false" ht="15" hidden="false" customHeight="true" outlineLevel="0" collapsed="false">
      <c r="B11" s="5" t="n">
        <v>0.1</v>
      </c>
      <c r="C11" s="1" t="n">
        <v>710</v>
      </c>
      <c r="D11" s="1" t="n">
        <v>745</v>
      </c>
      <c r="E11" s="1" t="n">
        <v>775</v>
      </c>
      <c r="F11" s="1" t="n">
        <v>815</v>
      </c>
      <c r="G11" s="1" t="n">
        <v>865</v>
      </c>
    </row>
    <row r="13" customFormat="false" ht="15" hidden="false" customHeight="true" outlineLevel="0" collapsed="false">
      <c r="A13" s="1" t="s">
        <v>98</v>
      </c>
    </row>
    <row r="16" customFormat="false" ht="15" hidden="false" customHeight="true" outlineLevel="0" collapsed="false">
      <c r="A16" s="5" t="s">
        <v>99</v>
      </c>
    </row>
    <row r="18" customFormat="false" ht="15" hidden="false" customHeight="true" outlineLevel="0" collapsed="false">
      <c r="A18" s="1" t="s">
        <v>100</v>
      </c>
      <c r="B18" s="1" t="n">
        <f aca="false">DCF!B47</f>
        <v>87159.8598654498</v>
      </c>
    </row>
    <row r="19" customFormat="false" ht="15" hidden="false" customHeight="true" outlineLevel="0" collapsed="false">
      <c r="A19" s="1" t="s">
        <v>101</v>
      </c>
      <c r="B19" s="7" t="n">
        <v>5320</v>
      </c>
    </row>
    <row r="20" customFormat="false" ht="15" hidden="false" customHeight="true" outlineLevel="0" collapsed="false">
      <c r="A20" s="1" t="s">
        <v>102</v>
      </c>
      <c r="B20" s="1" t="n">
        <f aca="false">B18/B19</f>
        <v>16.3834323055357</v>
      </c>
    </row>
    <row r="22" customFormat="false" ht="15" hidden="false" customHeight="true" outlineLevel="0" collapsed="false">
      <c r="A22" s="1" t="s">
        <v>103</v>
      </c>
    </row>
    <row r="23" customFormat="false" ht="15" hidden="false" customHeight="true" outlineLevel="0" collapsed="false">
      <c r="A23" s="1" t="s">
        <v>104</v>
      </c>
      <c r="B23" s="1" t="s">
        <v>105</v>
      </c>
    </row>
    <row r="24" customFormat="false" ht="15" hidden="false" customHeight="true" outlineLevel="0" collapsed="false">
      <c r="A24" s="1" t="s">
        <v>106</v>
      </c>
      <c r="B24" s="1" t="s">
        <v>107</v>
      </c>
    </row>
    <row r="25" customFormat="false" ht="15" hidden="false" customHeight="true" outlineLevel="0" collapsed="false">
      <c r="A25" s="1" t="s">
        <v>108</v>
      </c>
      <c r="B25" s="1" t="s">
        <v>109</v>
      </c>
    </row>
    <row r="26" customFormat="false" ht="15" hidden="false" customHeight="true" outlineLevel="0" collapsed="false">
      <c r="A26" s="1" t="s">
        <v>110</v>
      </c>
      <c r="B26" s="1" t="s">
        <v>111</v>
      </c>
    </row>
    <row r="27" customFormat="false" ht="15" hidden="false" customHeight="true" outlineLevel="0" collapsed="false">
      <c r="A27" s="1" t="s">
        <v>112</v>
      </c>
      <c r="B27" s="1" t="s">
        <v>113</v>
      </c>
    </row>
  </sheetData>
  <mergeCells count="1">
    <mergeCell ref="C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3" min="2" style="1" width="15"/>
    <col collapsed="false" customWidth="true" hidden="false" outlineLevel="0" max="4" min="4" style="1" width="12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3" t="s">
        <v>114</v>
      </c>
    </row>
    <row r="3" customFormat="false" ht="15" hidden="false" customHeight="true" outlineLevel="0" collapsed="false">
      <c r="A3" s="5" t="s">
        <v>115</v>
      </c>
    </row>
    <row r="4" customFormat="false" ht="15" hidden="false" customHeight="true" outlineLevel="0" collapsed="false">
      <c r="A4" s="5" t="s">
        <v>116</v>
      </c>
      <c r="B4" s="5" t="s">
        <v>117</v>
      </c>
      <c r="C4" s="5" t="s">
        <v>118</v>
      </c>
      <c r="D4" s="5" t="s">
        <v>119</v>
      </c>
      <c r="E4" s="5" t="s">
        <v>120</v>
      </c>
    </row>
    <row r="5" customFormat="false" ht="15" hidden="false" customHeight="true" outlineLevel="0" collapsed="false">
      <c r="A5" s="1" t="s">
        <v>121</v>
      </c>
      <c r="B5" s="7" t="n">
        <v>5920</v>
      </c>
      <c r="C5" s="7" t="n">
        <v>5970</v>
      </c>
      <c r="D5" s="1" t="n">
        <f aca="false">C5/B5-1</f>
        <v>0.00844594594594605</v>
      </c>
      <c r="E5" s="1" t="s">
        <v>122</v>
      </c>
    </row>
    <row r="6" customFormat="false" ht="15" hidden="false" customHeight="true" outlineLevel="0" collapsed="false">
      <c r="A6" s="1" t="s">
        <v>123</v>
      </c>
      <c r="B6" s="7" t="n">
        <v>3137</v>
      </c>
      <c r="C6" s="7" t="n">
        <v>3924</v>
      </c>
      <c r="D6" s="1" t="n">
        <f aca="false">C6/B6-1</f>
        <v>0.25087663372649</v>
      </c>
      <c r="E6" s="1" t="s">
        <v>124</v>
      </c>
    </row>
    <row r="7" customFormat="false" ht="15" hidden="false" customHeight="true" outlineLevel="0" collapsed="false">
      <c r="A7" s="1" t="s">
        <v>125</v>
      </c>
      <c r="B7" s="7" t="n">
        <v>870</v>
      </c>
      <c r="C7" s="7" t="n">
        <v>1220</v>
      </c>
      <c r="D7" s="1" t="n">
        <f aca="false">C7/B7-1</f>
        <v>0.402298850574713</v>
      </c>
      <c r="E7" s="1" t="s">
        <v>126</v>
      </c>
    </row>
    <row r="8" customFormat="false" ht="15" hidden="false" customHeight="true" outlineLevel="0" collapsed="false">
      <c r="A8" s="1" t="s">
        <v>127</v>
      </c>
      <c r="B8" s="7" t="n">
        <v>190</v>
      </c>
      <c r="C8" s="7" t="n">
        <v>286</v>
      </c>
      <c r="D8" s="1" t="n">
        <f aca="false">C8/B8-1</f>
        <v>0.505263157894737</v>
      </c>
      <c r="E8" s="1" t="s">
        <v>128</v>
      </c>
    </row>
    <row r="9" customFormat="false" ht="15" hidden="false" customHeight="true" outlineLevel="0" collapsed="false">
      <c r="A9" s="1" t="s">
        <v>129</v>
      </c>
      <c r="B9" s="7" t="n">
        <v>3000</v>
      </c>
      <c r="C9" s="7" t="n">
        <v>2802</v>
      </c>
      <c r="D9" s="1" t="n">
        <f aca="false">C9/B9-1</f>
        <v>-0.066</v>
      </c>
      <c r="E9" s="1" t="s">
        <v>130</v>
      </c>
    </row>
    <row r="10" customFormat="false" ht="15" hidden="false" customHeight="true" outlineLevel="0" collapsed="false">
      <c r="A10" s="1" t="s">
        <v>131</v>
      </c>
      <c r="B10" s="7" t="n">
        <v>13117</v>
      </c>
      <c r="C10" s="7" t="n">
        <v>14202</v>
      </c>
      <c r="D10" s="1" t="n">
        <f aca="false">C10/B10-1</f>
        <v>0.0827170846992453</v>
      </c>
    </row>
    <row r="13" customFormat="false" ht="15" hidden="false" customHeight="true" outlineLevel="0" collapsed="false">
      <c r="A13" s="5" t="s">
        <v>132</v>
      </c>
    </row>
    <row r="14" customFormat="false" ht="15" hidden="false" customHeight="true" outlineLevel="0" collapsed="false">
      <c r="A14" s="8" t="s">
        <v>133</v>
      </c>
      <c r="B14" s="8"/>
      <c r="C14" s="8"/>
      <c r="D14" s="8"/>
      <c r="E14" s="8"/>
    </row>
    <row r="15" customFormat="false" ht="15" hidden="false" customHeight="true" outlineLevel="0" collapsed="false">
      <c r="A15" s="8"/>
      <c r="B15" s="8"/>
      <c r="C15" s="8"/>
      <c r="D15" s="8"/>
      <c r="E15" s="8"/>
    </row>
    <row r="16" customFormat="false" ht="15" hidden="false" customHeight="true" outlineLevel="0" collapsed="false">
      <c r="A16" s="8"/>
      <c r="B16" s="8"/>
      <c r="C16" s="8"/>
      <c r="D16" s="8"/>
      <c r="E16" s="8"/>
    </row>
    <row r="17" customFormat="false" ht="15" hidden="false" customHeight="true" outlineLevel="0" collapsed="false">
      <c r="A17" s="8"/>
      <c r="B17" s="8"/>
      <c r="C17" s="8"/>
      <c r="D17" s="8"/>
      <c r="E17" s="8"/>
    </row>
    <row r="18" customFormat="false" ht="15" hidden="false" customHeight="true" outlineLevel="0" collapsed="false">
      <c r="A18" s="8"/>
      <c r="B18" s="8"/>
      <c r="C18" s="8"/>
      <c r="D18" s="8"/>
      <c r="E18" s="8"/>
    </row>
    <row r="19" customFormat="false" ht="15" hidden="false" customHeight="true" outlineLevel="0" collapsed="false">
      <c r="A19" s="8"/>
      <c r="B19" s="8"/>
      <c r="C19" s="8"/>
      <c r="D19" s="8"/>
      <c r="E19" s="8"/>
    </row>
    <row r="20" customFormat="false" ht="15" hidden="false" customHeight="true" outlineLevel="0" collapsed="false">
      <c r="A20" s="8"/>
      <c r="B20" s="8"/>
      <c r="C20" s="8"/>
      <c r="D20" s="8"/>
      <c r="E20" s="8"/>
    </row>
    <row r="21" customFormat="false" ht="15" hidden="false" customHeight="true" outlineLevel="0" collapsed="false">
      <c r="A21" s="8"/>
      <c r="B21" s="8"/>
      <c r="C21" s="8"/>
      <c r="D21" s="8"/>
      <c r="E21" s="8"/>
    </row>
    <row r="22" customFormat="false" ht="15" hidden="false" customHeight="true" outlineLevel="0" collapsed="false">
      <c r="A22" s="8"/>
      <c r="B22" s="8"/>
      <c r="C22" s="8"/>
      <c r="D22" s="8"/>
      <c r="E22" s="8"/>
    </row>
    <row r="23" customFormat="false" ht="15" hidden="false" customHeight="true" outlineLevel="0" collapsed="false">
      <c r="A23" s="8"/>
      <c r="B23" s="8"/>
      <c r="C23" s="8"/>
      <c r="D23" s="8"/>
      <c r="E23" s="8"/>
    </row>
    <row r="24" customFormat="false" ht="15" hidden="false" customHeight="true" outlineLevel="0" collapsed="false">
      <c r="A24" s="8"/>
      <c r="B24" s="8"/>
      <c r="C24" s="8"/>
      <c r="D24" s="8"/>
      <c r="E24" s="8"/>
    </row>
    <row r="25" customFormat="false" ht="15" hidden="false" customHeight="true" outlineLevel="0" collapsed="false">
      <c r="A25" s="8"/>
      <c r="B25" s="8"/>
      <c r="C25" s="8"/>
      <c r="D25" s="8"/>
      <c r="E25" s="8"/>
    </row>
    <row r="26" customFormat="false" ht="15" hidden="false" customHeight="true" outlineLevel="0" collapsed="false">
      <c r="A26" s="8"/>
      <c r="B26" s="8"/>
      <c r="C26" s="8"/>
      <c r="D26" s="8"/>
      <c r="E26" s="8"/>
    </row>
    <row r="27" customFormat="false" ht="15" hidden="false" customHeight="true" outlineLevel="0" collapsed="false">
      <c r="A27" s="8"/>
      <c r="B27" s="8"/>
      <c r="C27" s="8"/>
      <c r="D27" s="8"/>
      <c r="E27" s="8"/>
    </row>
    <row r="28" customFormat="false" ht="15" hidden="false" customHeight="true" outlineLevel="0" collapsed="false">
      <c r="A28" s="8"/>
      <c r="B28" s="8"/>
      <c r="C28" s="8"/>
      <c r="D28" s="8"/>
      <c r="E28" s="8"/>
    </row>
  </sheetData>
  <mergeCells count="1">
    <mergeCell ref="A14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2026-01-10T06:05:26Z</dcterms:created>
  <dc:creator>openpyxl</dc:creator>
  <dc:description/>
  <dc:language>en-US</dc:language>
  <cp:lastModifiedBy/>
  <dcterms:modified xsi:type="dcterms:W3CDTF">2026-01-10T06:20:19Z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