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<sst xmlns="http://schemas.openxmlformats.org/spreadsheetml/2006/main" count="358" uniqueCount="166">
  <si>
    <t xml:space="preserve">Ticker</t>
  </si>
  <si>
    <t xml:space="preserve">1055.HK</t>
  </si>
  <si>
    <t xml:space="preserve">Company</t>
  </si>
  <si>
    <t xml:space="preserve">China Southern Airlines Company Limited</t>
  </si>
  <si>
    <t xml:space="preserve">Valuation date</t>
  </si>
  <si>
    <t xml:space="preserve">2026-10-12</t>
  </si>
  <si>
    <t xml:space="preserve">Current price</t>
  </si>
  <si>
    <t xml:space="preserve">Price as of</t>
  </si>
  <si>
    <t xml:space="preserve">2026-10-09T08:08:06Z regular close (HKEX, Friday); 52-week range 2.815-6.62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</si>
  <si>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</si>
  <si>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</si>
  <si>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</si>
  <si>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</si>
  <si>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</si>
  <si>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</si>
  <si>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</si>
  <si>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</si>
  <si>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</si>
  <si>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</si>
  <si>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</si>
  <si>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</si>
  <si>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</si>
  <si>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2026-10-11T14:30:38Z</t>
  </si>
  <si>
    <t xml:space="preserve">Drivers file</t>
  </si>
  <si>
    <t xml:space="preserve">1055.HK_Drivers.json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</si>
  <si>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</si>
  <si>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</si>
  <si>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</si>
  <si>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lease-adjusted, mid-cycle owner-FCF DCF on consolidated flows in RMB, discounted at a CNY WACC and converted to HKD at the quote. Leases are treated as an operating cost (treatment B) so lease liabilities stay out of net debt; NCI is deducted once at book; associates/JVs and non-cash financial assets are added at book. The model deliberately does not credit state support, A/H arbitrage or recovery optionality: it answers only what the discounted cash flows to the H-share are worth, and that answer is below zero in every scenario because the enterprise is almost entirely owned by lenders and lessors.
key_risks_to_valuation: Margin, not discount rate, drives the result: each 1pp of mid-cycle EBITDA margin is ~2-3bn RMB/yr of FCF, more than the entire base-case terminal-year FCF.; Lease treatment (B) charges finance-lease principal (19.8bn) above ROU amortisation (17.9bn); if the purchase-option fleet is thought of as owned, ~2bn/yr of the charge is equity build-up in aircraft rather than cost. This is worth ~RMB 1/share over the horizon and does not change the sign.; NCI deducted at book (21.2bn) although the subsidiaries earn ~68% of group profit; an earnings-based NCI claim would be larger and the H-share value lower.; Net cash capex is taken as reported; if sale-and-leaseback refunds of pre-delivery payments are netted inside the capex line, the FY2026 capex assumption of 15% may be high by a few points, which moves year-1 FCF by ~5bn but not the terminal.; Refinancing: 92.9bn of borrowings are current (ultra-short-term bills and bank loans at 1.2-2.9%); the valuation assumes they roll at policy rates. A move to commercial rates adds ~1.5-3bn/yr of interest, which is outside the unlevered flows but inside the equity's survivability.; State action in either direction: a parent recapitalisation (as in 2020) dilutes; a policy-driven fuel surcharge or route subsidy expansion lifts margins; neither is modelled.; FX: RMB-denominated value translated at CNY/HKD 1.1722 (2026-10-11); a 5% RMB move shifts the HKD IV by the same proportion. Most lease liabilities are USD/EUR, so a weaker RMB also raises lease cost and finance charges.</t>
  </si>
  <si>
    <t xml:space="preserve">Data sources</t>
  </si>
  <si>
    <t xml:space="preserve">price: Yahoo Finance chart API at inputs.price_as_of (HKEX regular close); 52-week range 2.815-6.62. FX from Yahoo CNYHKD=X; A-share reference from Yahoo 600029.SS.
financials: 1055.HK_Metrics.csv (core_metrics, RMB millions, IFRS); FY2025 annual report (operating expense table lines 1230-1254, note 12 D&amp;A, note 21 right-of-use assets, consolidated cash flow statement lines 5904-5950, fleet plan lines 1895-1922, commitments line 1409); H1 2026 interim report (operating expenses lines 866-900, balance sheet lines 2452-2531, cash flow lines 2607-2650, fleet table lines 746-776, commitments line 381); kpis table for lease principal, lease liabilities, cash taxes, interest income, NCI dividends.
qualitative: No Analysis JSON exists for this ticker; bull/bear axes drawn from the FY2025 and H1 2026 management discussion (fuel, yield/RPK, fleet plan, subsidies, high-speed rail risk section) and the capital commitments notes.</t>
  </si>
  <si>
    <t xml:space="preserve">Scenario narrative: bear</t>
  </si>
  <si>
    <t xml:space="preserve">Structural yield decline continues under fleet growth and high-speed rail competition, fuel stays elevated, subsidies shrink. EBITDA margin 19%, lease cost flat at 12.5%, capex 9.5%. Ex-lease EBIT never turns positive, FCF is negative every year, the terminal value is floored at zero, and equity is wiped on a going-concern basis absent recapitalisation.</t>
  </si>
  <si>
    <t xml:space="preserve">Scenario narrative: base</t>
  </si>
  <si>
    <t xml:space="preserve">Mid-cycle normalisation. FY2026 is a fuel-shock trough (H1 operating loss 1,799) and an investment year (net cash capex ~29bn, commitments 172.7bn), after which the post-IFRS-16 EBITDA margin returns to the 21.5% band the airline earned in FY2019 and FY2023-25. Revenue grows with the fleet plan (988 -&gt; 1,104 aircraft by 2028) at 5-7% then decays to 3%. Lease cost drifts from 12.5% to 11.5% of revenue, cash capex settles at 9%, cash tax at 25%. The flows say what the history says: EBITDA of ~21% is fully consumed by lease rentals (~12%), owned-fleet reinvestment (~9%) and tax, leaving an owner-FCF margin under 1% at maturity against 142bn of net borrowings and 21bn of NCI. Equity value is negative; the H-share price rests on state support and recovery optionality, not on discounted cash flow.</t>
  </si>
  <si>
    <t xml:space="preserve">Scenario narrative: bull</t>
  </si>
  <si>
    <t xml:space="preserve">Yield recovery plus fuel relief plus cheaper fleet. EBITDA margin climbs to 25% (above any historical year), lease cost falls to 10.5%, capex to 8.5%; growth 9% fading to 3%. Owner-FCF margin reaches ~4% by year 10. Even this leaves enterprise value short of net borrowings plus NCI: the equity needs an EV roughly double the bull-case DCF to justify the current H-share price.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</si>
  <si>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</si>
  <si>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</si>
  <si>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</si>
  <si>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</si>
  <si>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</si>
  <si>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</si>
  <si>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</si>
  <si>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</si>
  <si>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</si>
  <si>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</si>
  <si>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</si>
  <si>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</si>
  <si>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</si>
  <si>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</si>
  <si>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</si>
  <si>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</si>
  <si>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</si>
  <si>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</si>
  <si>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</si>
  <si>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</si>
  <si>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</si>
  <si>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</si>
  <si>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</si>
  <si>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</si>
  <si>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</si>
  <si>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</si>
  <si>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</si>
  <si>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MinorityDividendsPaid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</si>
  <si>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</si>
  <si>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</si>
  <si>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</si>
  <si>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</si>
  <si>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</si>
  <si>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</si>
  <si>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</si>
  <si>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</si>
  <si>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</si>
  <si>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</si>
  <si>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</si>
  <si>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</si>
  <si>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</si>
  <si>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</si>
  <si>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</si>
  <si>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</si>
  <si>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</si>
  <si>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</si>
  <si>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</si>
  <si>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</si>
  <si>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</si>
  <si>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</si>
  <si>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</si>
  <si>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</si>
  <si>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</si>
  <si>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</si>
  <si>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</si>
  <si>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</si>
  <si>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</si>
  <si>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</si>
  <si>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</si>
  <si>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</si>
  <si>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</si>
  <si>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</si>
  <si>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</si>
  <si>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</si>
  <si>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</si>
  <si>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</si>
  <si>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</si>
  <si>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</si>
  <si>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</si>
  <si>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</si>
  <si>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</si>
  <si>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</si>
  <si>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</si>
  <si>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</si>
  <si>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1055.HK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</si>
  <si>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</si>
  <si>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</si>
  <si>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</si>
  <si>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</si>
  <si>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</si>
  <si>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</si>
  <si>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</si>
  <si>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</si>
  <si>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</si>
  <si>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</si>
  <si>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</si>
  <si>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</si>
  <si>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</si>
  <si>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</si>
  <si>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</si>
  <si>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</si>
  <si>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</si>
  <si>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</si>
  <si>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</si>
  <si>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</si>
  <si>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</si>
  <si>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</si>
  <si>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</si>
  <si>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</si>
  <si>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</si>
  <si>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</si>
  <si>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</si>
  <si>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</si>
  <si>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</si>
  <si>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</si>
  <si>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1055.HK owner-FCF component DCF: base case (millions, CNY)</t>
  </si>
  <si>
    <t xml:space="preserve">1055.HK owner-FCF component DCF: bull case (millions, CNY)</t>
  </si>
  <si>
    <t xml:space="preserve">1055.HK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</si>
  <si>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</si>
  <si>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</si>
  <si>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</si>
  <si>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</si>
  <si>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</si>
  <si>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</si>
  <si>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</si>
  <si>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</si>
  <si>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</si>
  <si>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</si>
  <si>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</si>
  <si>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</si>
  <si>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</si>
  <si>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</si>
  <si>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5.5%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</si>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</sst>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2.865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127806</v>
      </c>
      <c r="F2" s="0" t="n">
        <v>9156</v>
      </c>
      <c r="G2" s="0" t="n">
        <v>7.2</v>
      </c>
      <c r="I2" s="0" t="n">
        <v>5961</v>
      </c>
      <c r="J2" s="0" t="n">
        <v>4.7</v>
      </c>
      <c r="K2" s="0" t="n">
        <v>0.6</v>
      </c>
      <c r="O2" s="0" t="n">
        <v>49936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66</v>
      </c>
      <c r="B3" s="0" t="n">
        <v>143623</v>
      </c>
      <c r="F3" s="0" t="n">
        <v>8819</v>
      </c>
      <c r="G3" s="0" t="n">
        <v>6.1</v>
      </c>
      <c r="H3" s="0" t="n">
        <v>23127</v>
      </c>
      <c r="I3" s="0" t="n">
        <v>2895</v>
      </c>
      <c r="J3" s="0" t="n">
        <v>2</v>
      </c>
      <c r="K3" s="0" t="n">
        <v>0.27</v>
      </c>
      <c r="L3" s="0" t="n">
        <v>15388</v>
      </c>
      <c r="M3" s="0" t="n">
        <v>24033</v>
      </c>
      <c r="N3" s="0" t="n">
        <v>-8645</v>
      </c>
      <c r="O3" s="0" t="n">
        <v>65257</v>
      </c>
      <c r="P3" s="0" t="n">
        <v>246949</v>
      </c>
      <c r="Q3" s="0" t="n">
        <v>168480</v>
      </c>
      <c r="R3" s="0" t="n">
        <v>54417</v>
      </c>
      <c r="S3" s="0" t="n">
        <v>6928</v>
      </c>
      <c r="T3" s="0" t="n">
        <v>12267</v>
      </c>
      <c r="AA3" s="0" t="s">
        <v>18</v>
      </c>
      <c r="AB3" s="0" t="s">
        <v>14</v>
      </c>
      <c r="AC3" s="0" t="n">
        <v>98</v>
      </c>
    </row>
    <row r="4" customFormat="false" ht="15" hidden="false" customHeight="false" outlineLevel="0" collapsed="false">
      <c r="A4" s="0" t="s">
        <v>67</v>
      </c>
      <c r="B4" s="0" t="n">
        <v>154322</v>
      </c>
      <c r="F4" s="0" t="n">
        <v>10838</v>
      </c>
      <c r="G4" s="0" t="n">
        <v>7</v>
      </c>
      <c r="H4" s="0" t="n">
        <v>35458</v>
      </c>
      <c r="I4" s="0" t="n">
        <v>2640</v>
      </c>
      <c r="J4" s="0" t="n">
        <v>1.7</v>
      </c>
      <c r="K4" s="0" t="n">
        <v>0.22</v>
      </c>
      <c r="L4" s="0" t="n">
        <v>31175</v>
      </c>
      <c r="M4" s="0" t="n">
        <v>15622</v>
      </c>
      <c r="N4" s="0" t="n">
        <v>15553</v>
      </c>
      <c r="O4" s="0" t="n">
        <v>64106</v>
      </c>
      <c r="P4" s="0" t="n">
        <v>306928</v>
      </c>
      <c r="Q4" s="0" t="n">
        <v>229599</v>
      </c>
      <c r="R4" s="0" t="n">
        <v>51180</v>
      </c>
      <c r="S4" s="0" t="n">
        <v>1849</v>
      </c>
      <c r="T4" s="0" t="n">
        <v>12267</v>
      </c>
      <c r="AA4" s="0" t="s">
        <v>18</v>
      </c>
      <c r="AB4" s="0" t="s">
        <v>14</v>
      </c>
      <c r="AC4" s="0" t="n">
        <v>82</v>
      </c>
    </row>
    <row r="5" customFormat="false" ht="15" hidden="false" customHeight="false" outlineLevel="0" collapsed="false">
      <c r="A5" s="0" t="s">
        <v>68</v>
      </c>
      <c r="B5" s="0" t="n">
        <v>92561</v>
      </c>
      <c r="F5" s="0" t="n">
        <v>-11864</v>
      </c>
      <c r="G5" s="0" t="n">
        <v>-12.8</v>
      </c>
      <c r="H5" s="0" t="n">
        <v>12726</v>
      </c>
      <c r="I5" s="0" t="n">
        <v>-10847</v>
      </c>
      <c r="J5" s="0" t="n">
        <v>-11.7</v>
      </c>
      <c r="K5" s="0" t="n">
        <v>-0.77</v>
      </c>
      <c r="L5" s="0" t="n">
        <v>2698</v>
      </c>
      <c r="M5" s="0" t="n">
        <v>11061</v>
      </c>
      <c r="N5" s="0" t="n">
        <v>-8363</v>
      </c>
      <c r="O5" s="0" t="n">
        <v>69584</v>
      </c>
      <c r="P5" s="0" t="n">
        <v>326383</v>
      </c>
      <c r="Q5" s="0" t="n">
        <v>241252</v>
      </c>
      <c r="R5" s="0" t="n">
        <v>78233</v>
      </c>
      <c r="S5" s="0" t="n">
        <v>25419</v>
      </c>
      <c r="T5" s="0" t="n">
        <v>15329</v>
      </c>
      <c r="AA5" s="0" t="s">
        <v>18</v>
      </c>
      <c r="AB5" s="0" t="s">
        <v>14</v>
      </c>
      <c r="AC5" s="0" t="n">
        <v>32</v>
      </c>
    </row>
    <row r="6" customFormat="false" ht="15" hidden="false" customHeight="false" outlineLevel="0" collapsed="false">
      <c r="A6" s="0" t="s">
        <v>69</v>
      </c>
      <c r="B6" s="0" t="n">
        <v>101644</v>
      </c>
      <c r="F6" s="0" t="n">
        <v>-9929</v>
      </c>
      <c r="G6" s="0" t="n">
        <v>-9.8</v>
      </c>
      <c r="H6" s="0" t="n">
        <v>14312</v>
      </c>
      <c r="I6" s="0" t="n">
        <v>-12106</v>
      </c>
      <c r="J6" s="0" t="n">
        <v>-11.9</v>
      </c>
      <c r="K6" s="0" t="n">
        <v>-0.75</v>
      </c>
      <c r="L6" s="0" t="n">
        <v>7688</v>
      </c>
      <c r="M6" s="0" t="n">
        <v>17137</v>
      </c>
      <c r="N6" s="0" t="n">
        <v>-9449</v>
      </c>
      <c r="O6" s="0" t="n">
        <v>67851</v>
      </c>
      <c r="P6" s="0" t="n">
        <v>323211</v>
      </c>
      <c r="Q6" s="0" t="n">
        <v>238703</v>
      </c>
      <c r="R6" s="0" t="n">
        <v>96267</v>
      </c>
      <c r="S6" s="0" t="n">
        <v>21456</v>
      </c>
      <c r="T6" s="0" t="n">
        <v>16948</v>
      </c>
      <c r="AA6" s="0" t="s">
        <v>18</v>
      </c>
      <c r="AB6" s="0" t="s">
        <v>14</v>
      </c>
      <c r="AC6" s="0" t="n">
        <v>687</v>
      </c>
    </row>
    <row r="7" customFormat="false" ht="15" hidden="false" customHeight="false" outlineLevel="0" collapsed="false">
      <c r="A7" s="0" t="s">
        <v>70</v>
      </c>
      <c r="B7" s="0" t="n">
        <v>87059</v>
      </c>
      <c r="F7" s="0" t="n">
        <v>-22542</v>
      </c>
      <c r="G7" s="0" t="n">
        <v>-25.9</v>
      </c>
      <c r="H7" s="0" t="n">
        <v>1724</v>
      </c>
      <c r="I7" s="0" t="n">
        <v>-32699</v>
      </c>
      <c r="J7" s="0" t="n">
        <v>-37.6</v>
      </c>
      <c r="K7" s="0" t="n">
        <v>-1.9</v>
      </c>
      <c r="L7" s="0" t="n">
        <v>-2450</v>
      </c>
      <c r="M7" s="0" t="n">
        <v>11696</v>
      </c>
      <c r="N7" s="0" t="n">
        <v>-14146</v>
      </c>
      <c r="O7" s="0" t="n">
        <v>41275</v>
      </c>
      <c r="P7" s="0" t="n">
        <v>312246</v>
      </c>
      <c r="Q7" s="0" t="n">
        <v>256887</v>
      </c>
      <c r="R7" s="0" t="n">
        <v>119780</v>
      </c>
      <c r="S7" s="0" t="n">
        <v>19889</v>
      </c>
      <c r="T7" s="0" t="n">
        <v>18121</v>
      </c>
      <c r="AA7" s="0" t="s">
        <v>18</v>
      </c>
      <c r="AB7" s="0" t="s">
        <v>14</v>
      </c>
      <c r="AC7" s="0" t="n">
        <v>909</v>
      </c>
    </row>
    <row r="8" customFormat="false" ht="15" hidden="false" customHeight="false" outlineLevel="0" collapsed="false">
      <c r="A8" s="0" t="s">
        <v>71</v>
      </c>
      <c r="B8" s="0" t="n">
        <v>159929</v>
      </c>
      <c r="F8" s="0" t="n">
        <v>5557</v>
      </c>
      <c r="G8" s="0" t="n">
        <v>3.5</v>
      </c>
      <c r="H8" s="0" t="n">
        <v>32722</v>
      </c>
      <c r="I8" s="0" t="n">
        <v>-4140</v>
      </c>
      <c r="J8" s="0" t="n">
        <v>-2.6</v>
      </c>
      <c r="K8" s="0" t="n">
        <v>-0.23</v>
      </c>
      <c r="L8" s="0" t="n">
        <v>34107</v>
      </c>
      <c r="M8" s="0" t="n">
        <v>11369</v>
      </c>
      <c r="N8" s="0" t="n">
        <v>22738</v>
      </c>
      <c r="O8" s="0" t="n">
        <v>37071</v>
      </c>
      <c r="P8" s="0" t="n">
        <v>309596</v>
      </c>
      <c r="Q8" s="0" t="n">
        <v>257229</v>
      </c>
      <c r="R8" s="0" t="n">
        <v>116216</v>
      </c>
      <c r="S8" s="0" t="n">
        <v>9531</v>
      </c>
      <c r="T8" s="0" t="n">
        <v>18121</v>
      </c>
      <c r="AA8" s="0" t="s">
        <v>18</v>
      </c>
      <c r="AB8" s="0" t="s">
        <v>14</v>
      </c>
      <c r="AC8" s="0" t="n">
        <v>914</v>
      </c>
    </row>
    <row r="9" customFormat="false" ht="15" hidden="false" customHeight="false" outlineLevel="0" collapsed="false">
      <c r="A9" s="0" t="s">
        <v>72</v>
      </c>
      <c r="B9" s="0" t="n">
        <v>174224</v>
      </c>
      <c r="F9" s="0" t="n">
        <v>8327</v>
      </c>
      <c r="G9" s="0" t="n">
        <v>4.8</v>
      </c>
      <c r="H9" s="0" t="n">
        <v>36668</v>
      </c>
      <c r="I9" s="0" t="n">
        <v>-1769</v>
      </c>
      <c r="J9" s="0" t="n">
        <v>-1</v>
      </c>
      <c r="K9" s="0" t="n">
        <v>-0.1</v>
      </c>
      <c r="L9" s="0" t="n">
        <v>25764</v>
      </c>
      <c r="M9" s="0" t="n">
        <v>16197</v>
      </c>
      <c r="N9" s="0" t="n">
        <v>9567</v>
      </c>
      <c r="O9" s="0" t="n">
        <v>34943</v>
      </c>
      <c r="P9" s="0" t="n">
        <v>329979</v>
      </c>
      <c r="Q9" s="0" t="n">
        <v>277143</v>
      </c>
      <c r="R9" s="0" t="n">
        <v>130824</v>
      </c>
      <c r="S9" s="0" t="n">
        <v>12984</v>
      </c>
      <c r="T9" s="0" t="n">
        <v>18121</v>
      </c>
      <c r="AA9" s="0" t="s">
        <v>18</v>
      </c>
      <c r="AB9" s="0" t="s">
        <v>14</v>
      </c>
      <c r="AC9" s="0" t="n">
        <v>12</v>
      </c>
    </row>
    <row r="10" customFormat="false" ht="15" hidden="false" customHeight="false" outlineLevel="0" collapsed="false">
      <c r="A10" s="0" t="s">
        <v>73</v>
      </c>
      <c r="B10" s="0" t="n">
        <v>182256</v>
      </c>
      <c r="F10" s="0" t="n">
        <v>9583</v>
      </c>
      <c r="G10" s="0" t="n">
        <v>5.3</v>
      </c>
      <c r="H10" s="0" t="n">
        <v>40792</v>
      </c>
      <c r="I10" s="0" t="n">
        <v>855</v>
      </c>
      <c r="J10" s="0" t="n">
        <v>0.5</v>
      </c>
      <c r="K10" s="0" t="n">
        <v>0.05</v>
      </c>
      <c r="L10" s="0" t="n">
        <v>32711</v>
      </c>
      <c r="M10" s="0" t="n">
        <v>17767</v>
      </c>
      <c r="N10" s="0" t="n">
        <v>14944</v>
      </c>
      <c r="O10" s="0" t="n">
        <v>35792</v>
      </c>
      <c r="P10" s="0" t="n">
        <v>350053</v>
      </c>
      <c r="Q10" s="0" t="n">
        <v>294803</v>
      </c>
      <c r="R10" s="0" t="n">
        <v>134279</v>
      </c>
      <c r="S10" s="0" t="n">
        <v>9402</v>
      </c>
      <c r="T10" s="0" t="n">
        <v>18121</v>
      </c>
      <c r="AA10" s="0" t="s">
        <v>18</v>
      </c>
      <c r="AB10" s="0" t="s">
        <v>14</v>
      </c>
      <c r="AC10" s="0" t="n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2.865</v>
      </c>
    </row>
    <row r="3" customFormat="false" ht="15" hidden="false" customHeight="false" outlineLevel="0" collapsed="false">
      <c r="A3" s="0" t="s">
        <v>77</v>
      </c>
      <c r="B3" s="3" t="n">
        <v>18121</v>
      </c>
    </row>
    <row r="4" customFormat="false" ht="15" hidden="false" customHeight="false" outlineLevel="0" collapsed="false">
      <c r="A4" s="0" t="s">
        <v>78</v>
      </c>
      <c r="B4" s="3" t="n">
        <v>141881</v>
      </c>
    </row>
    <row r="5" customFormat="false" ht="15" hidden="false" customHeight="false" outlineLevel="0" collapsed="false">
      <c r="A5" s="0" t="s">
        <v>79</v>
      </c>
      <c r="B5" s="3" t="n">
        <v>-11498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182256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1.1722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6</v>
      </c>
      <c r="D13" s="3" t="n">
        <v>4</v>
      </c>
      <c r="E13" s="3" t="n">
        <v>4</v>
      </c>
      <c r="F13" s="3" t="n">
        <v>3.5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98</v>
      </c>
      <c r="C14" s="3" t="n">
        <v>16.5</v>
      </c>
      <c r="D14" s="3" t="n">
        <v>17.5</v>
      </c>
      <c r="E14" s="3" t="n">
        <v>18.5</v>
      </c>
      <c r="F14" s="3" t="n">
        <v>19</v>
      </c>
      <c r="G14" s="3" t="n">
        <v>19</v>
      </c>
      <c r="H14" s="3" t="n">
        <v>19</v>
      </c>
      <c r="I14" s="3" t="n">
        <v>19</v>
      </c>
      <c r="J14" s="3" t="n">
        <v>19</v>
      </c>
      <c r="K14" s="3" t="n">
        <v>19</v>
      </c>
      <c r="L14" s="3" t="n">
        <v>19</v>
      </c>
    </row>
    <row r="15" customFormat="false" ht="15" hidden="false" customHeight="false" outlineLevel="0" collapsed="false">
      <c r="A15" s="0" t="s">
        <v>99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100</v>
      </c>
      <c r="C16" s="3" t="n">
        <v>12.5</v>
      </c>
      <c r="D16" s="3" t="n">
        <v>12.5</v>
      </c>
      <c r="E16" s="3" t="n">
        <v>12.5</v>
      </c>
      <c r="F16" s="3" t="n">
        <v>12.5</v>
      </c>
      <c r="G16" s="3" t="n">
        <v>12.5</v>
      </c>
      <c r="H16" s="3" t="n">
        <v>12.5</v>
      </c>
      <c r="I16" s="3" t="n">
        <v>12.5</v>
      </c>
      <c r="J16" s="3" t="n">
        <v>12.5</v>
      </c>
      <c r="K16" s="3" t="n">
        <v>12.5</v>
      </c>
      <c r="L16" s="3" t="n">
        <v>12.5</v>
      </c>
    </row>
    <row r="17" customFormat="false" ht="15" hidden="false" customHeight="false" outlineLevel="0" collapsed="false">
      <c r="A17" s="0" t="s">
        <v>101</v>
      </c>
      <c r="C17" s="3" t="n">
        <v>7.5</v>
      </c>
      <c r="D17" s="3" t="n">
        <v>7.5</v>
      </c>
      <c r="E17" s="3" t="n">
        <v>7.6</v>
      </c>
      <c r="F17" s="3" t="n">
        <v>7.6</v>
      </c>
      <c r="G17" s="3" t="n">
        <v>7.7</v>
      </c>
      <c r="H17" s="3" t="n">
        <v>7.7</v>
      </c>
      <c r="I17" s="3" t="n">
        <v>7.8</v>
      </c>
      <c r="J17" s="3" t="n">
        <v>7.8</v>
      </c>
      <c r="K17" s="3" t="n">
        <v>7.8</v>
      </c>
      <c r="L17" s="3" t="n">
        <v>7.8</v>
      </c>
    </row>
    <row r="18" customFormat="false" ht="15" hidden="false" customHeight="false" outlineLevel="0" collapsed="false">
      <c r="A18" s="0" t="s">
        <v>102</v>
      </c>
      <c r="C18" s="3" t="n">
        <v>15</v>
      </c>
      <c r="D18" s="3" t="n">
        <v>13</v>
      </c>
      <c r="E18" s="3" t="n">
        <v>11</v>
      </c>
      <c r="F18" s="3" t="n">
        <v>10.5</v>
      </c>
      <c r="G18" s="3" t="n">
        <v>10</v>
      </c>
      <c r="H18" s="3" t="n">
        <v>10</v>
      </c>
      <c r="I18" s="3" t="n">
        <v>9.5</v>
      </c>
      <c r="J18" s="3" t="n">
        <v>9.5</v>
      </c>
      <c r="K18" s="3" t="n">
        <v>9.5</v>
      </c>
      <c r="L18" s="3" t="n">
        <v>9.5</v>
      </c>
    </row>
    <row r="19" customFormat="false" ht="15" hidden="false" customHeight="false" outlineLevel="0" collapsed="false">
      <c r="A19" s="0" t="s">
        <v>103</v>
      </c>
      <c r="C19" s="3" t="n">
        <v>30</v>
      </c>
      <c r="D19" s="3" t="n">
        <v>30</v>
      </c>
      <c r="E19" s="3" t="n">
        <v>28</v>
      </c>
      <c r="F19" s="3" t="n">
        <v>26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104</v>
      </c>
      <c r="B20" s="3" t="n">
        <v>5.5</v>
      </c>
    </row>
    <row r="21" customFormat="false" ht="15" hidden="false" customHeight="false" outlineLevel="0" collapsed="false">
      <c r="A21" s="0" t="s">
        <v>105</v>
      </c>
      <c r="B21" s="3" t="n">
        <v>2</v>
      </c>
    </row>
    <row r="22" customFormat="false" ht="15" hidden="false" customHeight="false" outlineLevel="0" collapsed="false">
      <c r="A22" s="0" t="s">
        <v>106</v>
      </c>
      <c r="B22" s="3" t="n">
        <v>12</v>
      </c>
    </row>
    <row r="23" customFormat="false" ht="15" hidden="false" customHeight="false" outlineLevel="0" collapsed="false">
      <c r="A23" s="0" t="s">
        <v>107</v>
      </c>
      <c r="B23" s="3" t="n">
        <v>0</v>
      </c>
    </row>
    <row r="24" customFormat="false" ht="15" hidden="false" customHeight="false" outlineLevel="0" collapsed="false">
      <c r="A24" s="0" t="s">
        <v>108</v>
      </c>
      <c r="B24" s="3" t="n">
        <v>0.35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7.5</v>
      </c>
      <c r="D27" s="3" t="n">
        <v>6</v>
      </c>
      <c r="E27" s="3" t="n">
        <v>5.5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98</v>
      </c>
      <c r="C28" s="3" t="n">
        <v>17.5</v>
      </c>
      <c r="D28" s="3" t="n">
        <v>19.5</v>
      </c>
      <c r="E28" s="3" t="n">
        <v>20.5</v>
      </c>
      <c r="F28" s="3" t="n">
        <v>21</v>
      </c>
      <c r="G28" s="3" t="n">
        <v>21.5</v>
      </c>
      <c r="H28" s="3" t="n">
        <v>21.5</v>
      </c>
      <c r="I28" s="3" t="n">
        <v>21.5</v>
      </c>
      <c r="J28" s="3" t="n">
        <v>21.5</v>
      </c>
      <c r="K28" s="3" t="n">
        <v>21.5</v>
      </c>
      <c r="L28" s="3" t="n">
        <v>21.5</v>
      </c>
    </row>
    <row r="29" customFormat="false" ht="15" hidden="false" customHeight="false" outlineLevel="0" collapsed="false">
      <c r="A29" s="0" t="s">
        <v>99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100</v>
      </c>
      <c r="C30" s="3" t="n">
        <v>12.5</v>
      </c>
      <c r="D30" s="3" t="n">
        <v>12.5</v>
      </c>
      <c r="E30" s="3" t="n">
        <v>12.4</v>
      </c>
      <c r="F30" s="3" t="n">
        <v>12.3</v>
      </c>
      <c r="G30" s="3" t="n">
        <v>12.2</v>
      </c>
      <c r="H30" s="3" t="n">
        <v>12.1</v>
      </c>
      <c r="I30" s="3" t="n">
        <v>12</v>
      </c>
      <c r="J30" s="3" t="n">
        <v>11.8</v>
      </c>
      <c r="K30" s="3" t="n">
        <v>11.6</v>
      </c>
      <c r="L30" s="3" t="n">
        <v>11.5</v>
      </c>
    </row>
    <row r="31" customFormat="false" ht="15" hidden="false" customHeight="false" outlineLevel="0" collapsed="false">
      <c r="A31" s="0" t="s">
        <v>101</v>
      </c>
      <c r="C31" s="3" t="n">
        <v>7.5</v>
      </c>
      <c r="D31" s="3" t="n">
        <v>7.5</v>
      </c>
      <c r="E31" s="3" t="n">
        <v>7.6</v>
      </c>
      <c r="F31" s="3" t="n">
        <v>7.6</v>
      </c>
      <c r="G31" s="3" t="n">
        <v>7.7</v>
      </c>
      <c r="H31" s="3" t="n">
        <v>7.7</v>
      </c>
      <c r="I31" s="3" t="n">
        <v>7.8</v>
      </c>
      <c r="J31" s="3" t="n">
        <v>7.8</v>
      </c>
      <c r="K31" s="3" t="n">
        <v>7.8</v>
      </c>
      <c r="L31" s="3" t="n">
        <v>7.8</v>
      </c>
    </row>
    <row r="32" customFormat="false" ht="15" hidden="false" customHeight="false" outlineLevel="0" collapsed="false">
      <c r="A32" s="0" t="s">
        <v>102</v>
      </c>
      <c r="C32" s="3" t="n">
        <v>15</v>
      </c>
      <c r="D32" s="3" t="n">
        <v>13</v>
      </c>
      <c r="E32" s="3" t="n">
        <v>11</v>
      </c>
      <c r="F32" s="3" t="n">
        <v>10</v>
      </c>
      <c r="G32" s="3" t="n">
        <v>9.5</v>
      </c>
      <c r="H32" s="3" t="n">
        <v>9</v>
      </c>
      <c r="I32" s="3" t="n">
        <v>9</v>
      </c>
      <c r="J32" s="3" t="n">
        <v>9</v>
      </c>
      <c r="K32" s="3" t="n">
        <v>9</v>
      </c>
      <c r="L32" s="3" t="n">
        <v>9</v>
      </c>
    </row>
    <row r="33" customFormat="false" ht="15" hidden="false" customHeight="false" outlineLevel="0" collapsed="false">
      <c r="A33" s="0" t="s">
        <v>103</v>
      </c>
      <c r="C33" s="3" t="n">
        <v>30</v>
      </c>
      <c r="D33" s="3" t="n">
        <v>30</v>
      </c>
      <c r="E33" s="3" t="n">
        <v>28</v>
      </c>
      <c r="F33" s="3" t="n">
        <v>26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104</v>
      </c>
      <c r="B34" s="3" t="n">
        <v>5.5</v>
      </c>
    </row>
    <row r="35" customFormat="false" ht="15" hidden="false" customHeight="false" outlineLevel="0" collapsed="false">
      <c r="A35" s="0" t="s">
        <v>105</v>
      </c>
      <c r="B35" s="3" t="n">
        <v>2.5</v>
      </c>
    </row>
    <row r="36" customFormat="false" ht="15" hidden="false" customHeight="false" outlineLevel="0" collapsed="false">
      <c r="A36" s="0" t="s">
        <v>106</v>
      </c>
      <c r="B36" s="3" t="n">
        <v>12</v>
      </c>
    </row>
    <row r="37" customFormat="false" ht="15" hidden="false" customHeight="false" outlineLevel="0" collapsed="false">
      <c r="A37" s="0" t="s">
        <v>107</v>
      </c>
      <c r="B37" s="3" t="n">
        <v>0</v>
      </c>
    </row>
    <row r="38" customFormat="false" ht="15" hidden="false" customHeight="false" outlineLevel="0" collapsed="false">
      <c r="A38" s="0" t="s">
        <v>108</v>
      </c>
      <c r="B38" s="3" t="n">
        <v>0.45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9</v>
      </c>
      <c r="D41" s="3" t="n">
        <v>7</v>
      </c>
      <c r="E41" s="3" t="n">
        <v>6.5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98</v>
      </c>
      <c r="C42" s="3" t="n">
        <v>18.5</v>
      </c>
      <c r="D42" s="3" t="n">
        <v>21.5</v>
      </c>
      <c r="E42" s="3" t="n">
        <v>23</v>
      </c>
      <c r="F42" s="3" t="n">
        <v>24</v>
      </c>
      <c r="G42" s="3" t="n">
        <v>24.5</v>
      </c>
      <c r="H42" s="3" t="n">
        <v>25</v>
      </c>
      <c r="I42" s="3" t="n">
        <v>25</v>
      </c>
      <c r="J42" s="3" t="n">
        <v>25</v>
      </c>
      <c r="K42" s="3" t="n">
        <v>25</v>
      </c>
      <c r="L42" s="3" t="n">
        <v>25</v>
      </c>
    </row>
    <row r="43" customFormat="false" ht="15" hidden="false" customHeight="false" outlineLevel="0" collapsed="false">
      <c r="A43" s="0" t="s">
        <v>99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100</v>
      </c>
      <c r="C44" s="3" t="n">
        <v>12.5</v>
      </c>
      <c r="D44" s="3" t="n">
        <v>12.3</v>
      </c>
      <c r="E44" s="3" t="n">
        <v>12</v>
      </c>
      <c r="F44" s="3" t="n">
        <v>11.7</v>
      </c>
      <c r="G44" s="3" t="n">
        <v>11.4</v>
      </c>
      <c r="H44" s="3" t="n">
        <v>11.1</v>
      </c>
      <c r="I44" s="3" t="n">
        <v>10.8</v>
      </c>
      <c r="J44" s="3" t="n">
        <v>10.6</v>
      </c>
      <c r="K44" s="3" t="n">
        <v>10.5</v>
      </c>
      <c r="L44" s="3" t="n">
        <v>10.5</v>
      </c>
    </row>
    <row r="45" customFormat="false" ht="15" hidden="false" customHeight="false" outlineLevel="0" collapsed="false">
      <c r="A45" s="0" t="s">
        <v>101</v>
      </c>
      <c r="C45" s="3" t="n">
        <v>7.5</v>
      </c>
      <c r="D45" s="3" t="n">
        <v>7.5</v>
      </c>
      <c r="E45" s="3" t="n">
        <v>7.6</v>
      </c>
      <c r="F45" s="3" t="n">
        <v>7.6</v>
      </c>
      <c r="G45" s="3" t="n">
        <v>7.7</v>
      </c>
      <c r="H45" s="3" t="n">
        <v>7.7</v>
      </c>
      <c r="I45" s="3" t="n">
        <v>7.8</v>
      </c>
      <c r="J45" s="3" t="n">
        <v>7.8</v>
      </c>
      <c r="K45" s="3" t="n">
        <v>7.8</v>
      </c>
      <c r="L45" s="3" t="n">
        <v>7.8</v>
      </c>
    </row>
    <row r="46" customFormat="false" ht="15" hidden="false" customHeight="false" outlineLevel="0" collapsed="false">
      <c r="A46" s="0" t="s">
        <v>102</v>
      </c>
      <c r="C46" s="3" t="n">
        <v>14</v>
      </c>
      <c r="D46" s="3" t="n">
        <v>12</v>
      </c>
      <c r="E46" s="3" t="n">
        <v>10.5</v>
      </c>
      <c r="F46" s="3" t="n">
        <v>9.5</v>
      </c>
      <c r="G46" s="3" t="n">
        <v>9</v>
      </c>
      <c r="H46" s="3" t="n">
        <v>8.5</v>
      </c>
      <c r="I46" s="3" t="n">
        <v>8.5</v>
      </c>
      <c r="J46" s="3" t="n">
        <v>8.5</v>
      </c>
      <c r="K46" s="3" t="n">
        <v>8.5</v>
      </c>
      <c r="L46" s="3" t="n">
        <v>8.5</v>
      </c>
    </row>
    <row r="47" customFormat="false" ht="15" hidden="false" customHeight="false" outlineLevel="0" collapsed="false">
      <c r="A47" s="0" t="s">
        <v>103</v>
      </c>
      <c r="C47" s="3" t="n">
        <v>30</v>
      </c>
      <c r="D47" s="3" t="n">
        <v>28</v>
      </c>
      <c r="E47" s="3" t="n">
        <v>26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104</v>
      </c>
      <c r="B48" s="3" t="n">
        <v>5.5</v>
      </c>
    </row>
    <row r="49" customFormat="false" ht="15" hidden="false" customHeight="false" outlineLevel="0" collapsed="false">
      <c r="A49" s="0" t="s">
        <v>105</v>
      </c>
      <c r="B49" s="3" t="n">
        <v>3</v>
      </c>
    </row>
    <row r="50" customFormat="false" ht="15" hidden="false" customHeight="false" outlineLevel="0" collapsed="false">
      <c r="A50" s="0" t="s">
        <v>106</v>
      </c>
      <c r="B50" s="3" t="n">
        <v>12</v>
      </c>
    </row>
    <row r="51" customFormat="false" ht="15" hidden="false" customHeight="false" outlineLevel="0" collapsed="false">
      <c r="A51" s="0" t="s">
        <v>107</v>
      </c>
      <c r="B51" s="3" t="n">
        <v>0</v>
      </c>
    </row>
    <row r="52" customFormat="false" ht="15" hidden="false" customHeight="false" outlineLevel="0" collapsed="false">
      <c r="A52" s="0" t="s">
        <v>108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6</v>
      </c>
      <c r="D5" s="4" t="n">
        <f aca="false">Assumptions!D13</f>
        <v>4</v>
      </c>
      <c r="E5" s="4" t="n">
        <f aca="false">Assumptions!E13</f>
        <v>4</v>
      </c>
      <c r="F5" s="4" t="n">
        <f aca="false">Assumptions!F13</f>
        <v>3.5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182256</v>
      </c>
      <c r="C6" s="0" t="n">
        <f aca="false">B6*(1+C5/100)</f>
        <v>193191.36</v>
      </c>
      <c r="D6" s="0" t="n">
        <f aca="false">C6*(1+D5/100)</f>
        <v>200919.0144</v>
      </c>
      <c r="E6" s="0" t="n">
        <f aca="false">D6*(1+E5/100)</f>
        <v>208955.774976</v>
      </c>
      <c r="F6" s="0" t="n">
        <f aca="false">E6*(1+F5/100)</f>
        <v>216269.22710016</v>
      </c>
      <c r="G6" s="0" t="n">
        <f aca="false">F6*(1+G5/100)</f>
        <v>222757.303913165</v>
      </c>
      <c r="H6" s="0" t="n">
        <f aca="false">G6*(1+H5/100)</f>
        <v>229440.02303056</v>
      </c>
      <c r="I6" s="0" t="n">
        <f aca="false">H6*(1+I5/100)</f>
        <v>235176.023606324</v>
      </c>
      <c r="J6" s="0" t="n">
        <f aca="false">I6*(1+J5/100)</f>
        <v>241055.424196482</v>
      </c>
      <c r="K6" s="0" t="n">
        <f aca="false">J6*(1+K5/100)</f>
        <v>247081.809801394</v>
      </c>
      <c r="L6" s="0" t="n">
        <f aca="false">K6*(1+L5/100)</f>
        <v>253258.855046429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16.5</v>
      </c>
      <c r="D7" s="4" t="n">
        <f aca="false">Assumptions!D14</f>
        <v>17.5</v>
      </c>
      <c r="E7" s="4" t="n">
        <f aca="false">Assumptions!E14</f>
        <v>18.5</v>
      </c>
      <c r="F7" s="4" t="n">
        <f aca="false">Assumptions!F14</f>
        <v>19</v>
      </c>
      <c r="G7" s="4" t="n">
        <f aca="false">Assumptions!G14</f>
        <v>19</v>
      </c>
      <c r="H7" s="4" t="n">
        <f aca="false">Assumptions!H14</f>
        <v>19</v>
      </c>
      <c r="I7" s="4" t="n">
        <f aca="false">Assumptions!I14</f>
        <v>19</v>
      </c>
      <c r="J7" s="4" t="n">
        <f aca="false">Assumptions!J14</f>
        <v>19</v>
      </c>
      <c r="K7" s="4" t="n">
        <f aca="false">Assumptions!K14</f>
        <v>19</v>
      </c>
      <c r="L7" s="4" t="n">
        <f aca="false">Assumptions!L14</f>
        <v>19</v>
      </c>
    </row>
    <row r="8" customFormat="false" ht="15" hidden="false" customHeight="false" outlineLevel="0" collapsed="false">
      <c r="A8" s="0" t="s">
        <v>44</v>
      </c>
      <c r="C8" s="0" t="n">
        <f aca="false">C6*C7/100</f>
        <v>31876.5744</v>
      </c>
      <c r="D8" s="0" t="n">
        <f aca="false">D6*D7/100</f>
        <v>35160.82752</v>
      </c>
      <c r="E8" s="0" t="n">
        <f aca="false">E6*E7/100</f>
        <v>38656.81837056</v>
      </c>
      <c r="F8" s="0" t="n">
        <f aca="false">F6*F7/100</f>
        <v>41091.1531490304</v>
      </c>
      <c r="G8" s="0" t="n">
        <f aca="false">G6*G7/100</f>
        <v>42323.8877435013</v>
      </c>
      <c r="H8" s="0" t="n">
        <f aca="false">H6*H7/100</f>
        <v>43593.6043758063</v>
      </c>
      <c r="I8" s="0" t="n">
        <f aca="false">I6*I7/100</f>
        <v>44683.4444852015</v>
      </c>
      <c r="J8" s="0" t="n">
        <f aca="false">J6*J7/100</f>
        <v>45800.5305973315</v>
      </c>
      <c r="K8" s="0" t="n">
        <f aca="false">K6*K7/100</f>
        <v>46945.5438622648</v>
      </c>
      <c r="L8" s="0" t="n">
        <f aca="false">L6*L7/100</f>
        <v>48119.1824588214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7727.65440000001</v>
      </c>
      <c r="D11" s="0" t="n">
        <f aca="false">D8+D10+D24</f>
        <v>10045.95072</v>
      </c>
      <c r="E11" s="0" t="n">
        <f aca="false">E8+E10+E24</f>
        <v>12537.34649856</v>
      </c>
      <c r="F11" s="0" t="n">
        <f aca="false">F8+F10+F24</f>
        <v>14057.4997615104</v>
      </c>
      <c r="G11" s="0" t="n">
        <f aca="false">G8+G10+G24</f>
        <v>14479.2247543557</v>
      </c>
      <c r="H11" s="0" t="n">
        <f aca="false">H8+H10+H24</f>
        <v>14913.6014969864</v>
      </c>
      <c r="I11" s="0" t="n">
        <f aca="false">I8+I10+I24</f>
        <v>15286.441534411</v>
      </c>
      <c r="J11" s="0" t="n">
        <f aca="false">J8+J10+J24</f>
        <v>15668.6025727713</v>
      </c>
      <c r="K11" s="0" t="n">
        <f aca="false">K8+K10+K24</f>
        <v>16060.3176370906</v>
      </c>
      <c r="L11" s="0" t="n">
        <f aca="false">L8+L10+L24</f>
        <v>16461.8255780179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-14489.352</v>
      </c>
      <c r="D12" s="4" t="n">
        <f aca="false">-D6*Assumptions!D17/100</f>
        <v>-15068.92608</v>
      </c>
      <c r="E12" s="4" t="n">
        <f aca="false">-E6*Assumptions!E17/100</f>
        <v>-15880.638898176</v>
      </c>
      <c r="F12" s="4" t="n">
        <f aca="false">-F6*Assumptions!F17/100</f>
        <v>-16436.4612596122</v>
      </c>
      <c r="G12" s="4" t="n">
        <f aca="false">-G6*Assumptions!G17/100</f>
        <v>-17152.3124013137</v>
      </c>
      <c r="H12" s="4" t="n">
        <f aca="false">-H6*Assumptions!H17/100</f>
        <v>-17666.8817733531</v>
      </c>
      <c r="I12" s="4" t="n">
        <f aca="false">-I6*Assumptions!I17/100</f>
        <v>-18343.7298412932</v>
      </c>
      <c r="J12" s="4" t="n">
        <f aca="false">-J6*Assumptions!J17/100</f>
        <v>-18802.3230873256</v>
      </c>
      <c r="K12" s="4" t="n">
        <f aca="false">-K6*Assumptions!K17/100</f>
        <v>-19272.3811645087</v>
      </c>
      <c r="L12" s="4" t="n">
        <f aca="false">-L6*Assumptions!L17/100</f>
        <v>-19754.1906936214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-6761.6976</v>
      </c>
      <c r="D13" s="0" t="n">
        <f aca="false">D11+D12</f>
        <v>-5022.97536</v>
      </c>
      <c r="E13" s="0" t="n">
        <f aca="false">E11+E12</f>
        <v>-3343.292399616</v>
      </c>
      <c r="F13" s="0" t="n">
        <f aca="false">F11+F12</f>
        <v>-2378.96149810176</v>
      </c>
      <c r="G13" s="0" t="n">
        <f aca="false">G11+G12</f>
        <v>-2673.08764695797</v>
      </c>
      <c r="H13" s="0" t="n">
        <f aca="false">H11+H12</f>
        <v>-2753.28027636672</v>
      </c>
      <c r="I13" s="0" t="n">
        <f aca="false">I11+I12</f>
        <v>-3057.28830688221</v>
      </c>
      <c r="J13" s="0" t="n">
        <f aca="false">J11+J12</f>
        <v>-3133.72051455427</v>
      </c>
      <c r="K13" s="0" t="n">
        <f aca="false">K11+K12</f>
        <v>-3212.06352741812</v>
      </c>
      <c r="L13" s="0" t="n">
        <f aca="false">L11+L12</f>
        <v>-3292.36511560357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30</v>
      </c>
      <c r="D14" s="4" t="n">
        <f aca="false">Assumptions!D19</f>
        <v>30</v>
      </c>
      <c r="E14" s="4" t="n">
        <f aca="false">Assumptions!E19</f>
        <v>28</v>
      </c>
      <c r="F14" s="4" t="n">
        <f aca="false">Assumptions!F19</f>
        <v>26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-6761.6976</v>
      </c>
      <c r="D15" s="0" t="n">
        <f aca="false">D13-MAX(0,D13)*D14/100</f>
        <v>-5022.97536</v>
      </c>
      <c r="E15" s="0" t="n">
        <f aca="false">E13-MAX(0,E13)*E14/100</f>
        <v>-3343.292399616</v>
      </c>
      <c r="F15" s="0" t="n">
        <f aca="false">F13-MAX(0,F13)*F14/100</f>
        <v>-2378.96149810176</v>
      </c>
      <c r="G15" s="0" t="n">
        <f aca="false">G13-MAX(0,G13)*G14/100</f>
        <v>-2673.08764695797</v>
      </c>
      <c r="H15" s="0" t="n">
        <f aca="false">H13-MAX(0,H13)*H14/100</f>
        <v>-2753.28027636672</v>
      </c>
      <c r="I15" s="0" t="n">
        <f aca="false">I13-MAX(0,I13)*I14/100</f>
        <v>-3057.28830688221</v>
      </c>
      <c r="J15" s="0" t="n">
        <f aca="false">J13-MAX(0,J13)*J14/100</f>
        <v>-3133.72051455427</v>
      </c>
      <c r="K15" s="0" t="n">
        <f aca="false">K13-MAX(0,K13)*K14/100</f>
        <v>-3212.06352741812</v>
      </c>
      <c r="L15" s="0" t="n">
        <f aca="false">L13-MAX(0,L13)*L14/100</f>
        <v>-3292.36511560357</v>
      </c>
    </row>
    <row r="16" customFormat="false" ht="15" hidden="false" customHeight="false" outlineLevel="0" collapsed="false">
      <c r="A16" s="0" t="s">
        <v>119</v>
      </c>
      <c r="C16" s="0" t="n">
        <f aca="false">-C12</f>
        <v>14489.352</v>
      </c>
      <c r="D16" s="0" t="n">
        <f aca="false">-D12</f>
        <v>15068.92608</v>
      </c>
      <c r="E16" s="0" t="n">
        <f aca="false">-E12</f>
        <v>15880.638898176</v>
      </c>
      <c r="F16" s="0" t="n">
        <f aca="false">-F12</f>
        <v>16436.4612596122</v>
      </c>
      <c r="G16" s="0" t="n">
        <f aca="false">-G12</f>
        <v>17152.3124013137</v>
      </c>
      <c r="H16" s="0" t="n">
        <f aca="false">-H12</f>
        <v>17666.8817733531</v>
      </c>
      <c r="I16" s="0" t="n">
        <f aca="false">-I12</f>
        <v>18343.7298412932</v>
      </c>
      <c r="J16" s="0" t="n">
        <f aca="false">-J12</f>
        <v>18802.3230873256</v>
      </c>
      <c r="K16" s="0" t="n">
        <f aca="false">-K12</f>
        <v>19272.3811645087</v>
      </c>
      <c r="L16" s="0" t="n">
        <f aca="false">-L12</f>
        <v>19754.1906936214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-28978.704</v>
      </c>
      <c r="D17" s="4" t="n">
        <f aca="false">-D6*Assumptions!D18/100</f>
        <v>-26119.471872</v>
      </c>
      <c r="E17" s="4" t="n">
        <f aca="false">-E6*Assumptions!E18/100</f>
        <v>-22985.13524736</v>
      </c>
      <c r="F17" s="4" t="n">
        <f aca="false">-F6*Assumptions!F18/100</f>
        <v>-22708.2688455168</v>
      </c>
      <c r="G17" s="4" t="n">
        <f aca="false">-G6*Assumptions!G18/100</f>
        <v>-22275.7303913165</v>
      </c>
      <c r="H17" s="4" t="n">
        <f aca="false">-H6*Assumptions!H18/100</f>
        <v>-22944.002303056</v>
      </c>
      <c r="I17" s="4" t="n">
        <f aca="false">-I6*Assumptions!I18/100</f>
        <v>-22341.7222426008</v>
      </c>
      <c r="J17" s="4" t="n">
        <f aca="false">-J6*Assumptions!J18/100</f>
        <v>-22900.2652986658</v>
      </c>
      <c r="K17" s="4" t="n">
        <f aca="false">-K6*Assumptions!K18/100</f>
        <v>-23472.7719311324</v>
      </c>
      <c r="L17" s="4" t="n">
        <f aca="false">-L6*Assumptions!L18/100</f>
        <v>-24059.5912294107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-21251.0496</v>
      </c>
      <c r="D19" s="0" t="n">
        <f aca="false">D15+D16+D17+D18</f>
        <v>-16073.521152</v>
      </c>
      <c r="E19" s="0" t="n">
        <f aca="false">E15+E16+E17+E18</f>
        <v>-10447.7887488</v>
      </c>
      <c r="F19" s="0" t="n">
        <f aca="false">F15+F16+F17+F18</f>
        <v>-8650.76908400641</v>
      </c>
      <c r="G19" s="0" t="n">
        <f aca="false">G15+G16+G17+G18</f>
        <v>-7796.50563696077</v>
      </c>
      <c r="H19" s="0" t="n">
        <f aca="false">H15+H16+H17+H18</f>
        <v>-8030.40080606959</v>
      </c>
      <c r="I19" s="0" t="n">
        <f aca="false">I15+I16+I17+I18</f>
        <v>-7055.28070818972</v>
      </c>
      <c r="J19" s="0" t="n">
        <f aca="false">J15+J16+J17+J18</f>
        <v>-7231.66272589446</v>
      </c>
      <c r="K19" s="0" t="n">
        <f aca="false">K15+K16+K17+K18</f>
        <v>-7412.45429404181</v>
      </c>
      <c r="L19" s="0" t="n">
        <f aca="false">L15+L16+L17+L18</f>
        <v>-7597.76565139286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0.947867298578199</v>
      </c>
      <c r="D20" s="0" t="n">
        <f aca="false">1/(1+$B$27/100)^D4</f>
        <v>0.898452415713933</v>
      </c>
      <c r="E20" s="0" t="n">
        <f aca="false">1/(1+$B$27/100)^E4</f>
        <v>0.851613664183823</v>
      </c>
      <c r="F20" s="0" t="n">
        <f aca="false">1/(1+$B$27/100)^F4</f>
        <v>0.807216743302202</v>
      </c>
      <c r="G20" s="0" t="n">
        <f aca="false">1/(1+$B$27/100)^G4</f>
        <v>0.765134353840949</v>
      </c>
      <c r="H20" s="0" t="n">
        <f aca="false">1/(1+$B$27/100)^H4</f>
        <v>0.725245833024597</v>
      </c>
      <c r="I20" s="0" t="n">
        <f aca="false">1/(1+$B$27/100)^I4</f>
        <v>0.68743680855412</v>
      </c>
      <c r="J20" s="0" t="n">
        <f aca="false">1/(1+$B$27/100)^J4</f>
        <v>0.651598870667413</v>
      </c>
      <c r="K20" s="0" t="n">
        <f aca="false">1/(1+$B$27/100)^K4</f>
        <v>0.617629261296126</v>
      </c>
      <c r="L20" s="0" t="n">
        <f aca="false">1/(1+$B$27/100)^L4</f>
        <v>0.585430579427607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-20143.1749763033</v>
      </c>
      <c r="D21" s="0" t="n">
        <f aca="false">D19*D20</f>
        <v>-14441.2939080434</v>
      </c>
      <c r="E21" s="0" t="n">
        <f aca="false">E19*E20</f>
        <v>-8897.47965898409</v>
      </c>
      <c r="F21" s="0" t="n">
        <f aca="false">F19*F20</f>
        <v>-6983.04564705102</v>
      </c>
      <c r="G21" s="0" t="n">
        <f aca="false">G19*G20</f>
        <v>-5965.3743027533</v>
      </c>
      <c r="H21" s="0" t="n">
        <f aca="false">H19*H20</f>
        <v>-5824.01472211933</v>
      </c>
      <c r="I21" s="0" t="n">
        <f aca="false">I19*I20</f>
        <v>-4850.05965349139</v>
      </c>
      <c r="J21" s="0" t="n">
        <f aca="false">J19*J20</f>
        <v>-4712.14326524045</v>
      </c>
      <c r="K21" s="0" t="n">
        <f aca="false">K19*K20</f>
        <v>-4578.14867002034</v>
      </c>
      <c r="L21" s="0" t="n">
        <f aca="false">L19*L20</f>
        <v>-4447.96434765009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12.5</v>
      </c>
      <c r="D23" s="4" t="n">
        <f aca="false">Assumptions!D16</f>
        <v>12.5</v>
      </c>
      <c r="E23" s="4" t="n">
        <f aca="false">Assumptions!E16</f>
        <v>12.5</v>
      </c>
      <c r="F23" s="4" t="n">
        <f aca="false">Assumptions!F16</f>
        <v>12.5</v>
      </c>
      <c r="G23" s="4" t="n">
        <f aca="false">Assumptions!G16</f>
        <v>12.5</v>
      </c>
      <c r="H23" s="4" t="n">
        <f aca="false">Assumptions!H16</f>
        <v>12.5</v>
      </c>
      <c r="I23" s="4" t="n">
        <f aca="false">Assumptions!I16</f>
        <v>12.5</v>
      </c>
      <c r="J23" s="4" t="n">
        <f aca="false">Assumptions!J16</f>
        <v>12.5</v>
      </c>
      <c r="K23" s="4" t="n">
        <f aca="false">Assumptions!K16</f>
        <v>12.5</v>
      </c>
      <c r="L23" s="4" t="n">
        <f aca="false">Assumptions!L16</f>
        <v>12.5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-24148.92</v>
      </c>
      <c r="D24" s="0" t="n">
        <f aca="false">-D6*D23/100</f>
        <v>-25114.8768</v>
      </c>
      <c r="E24" s="0" t="n">
        <f aca="false">-E6*E23/100</f>
        <v>-26119.471872</v>
      </c>
      <c r="F24" s="0" t="n">
        <f aca="false">-F6*F23/100</f>
        <v>-27033.65338752</v>
      </c>
      <c r="G24" s="0" t="n">
        <f aca="false">-G6*G23/100</f>
        <v>-27844.6629891456</v>
      </c>
      <c r="H24" s="0" t="n">
        <f aca="false">-H6*H23/100</f>
        <v>-28680.00287882</v>
      </c>
      <c r="I24" s="0" t="n">
        <f aca="false">-I6*I23/100</f>
        <v>-29397.0029507905</v>
      </c>
      <c r="J24" s="0" t="n">
        <f aca="false">-J6*J23/100</f>
        <v>-30131.9280245602</v>
      </c>
      <c r="K24" s="0" t="n">
        <f aca="false">-K6*K23/100</f>
        <v>-30885.2262251742</v>
      </c>
      <c r="L24" s="0" t="n">
        <f aca="false">-L6*L23/100</f>
        <v>-31657.3568808036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5.5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-80842.6991516567</v>
      </c>
    </row>
    <row r="31" customFormat="false" ht="15" hidden="false" customHeight="false" outlineLevel="0" collapsed="false">
      <c r="A31" s="0" t="s">
        <v>128</v>
      </c>
      <c r="B31" s="0" t="n">
        <f aca="false">L19</f>
        <v>-7597.76565139286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-221420.598983449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-91173.1878167143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0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0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-80842.6991516567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-234221.699151657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-15.1511878894968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-6.28837273629907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-15.1511878894968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0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-13.7251924590907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7.5</v>
      </c>
      <c r="D5" s="4" t="n">
        <f aca="false">Assumptions!D27</f>
        <v>6</v>
      </c>
      <c r="E5" s="4" t="n">
        <f aca="false">Assumptions!E27</f>
        <v>5.5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182256</v>
      </c>
      <c r="C6" s="0" t="n">
        <f aca="false">B6*(1+C5/100)</f>
        <v>195925.2</v>
      </c>
      <c r="D6" s="0" t="n">
        <f aca="false">C6*(1+D5/100)</f>
        <v>207680.712</v>
      </c>
      <c r="E6" s="0" t="n">
        <f aca="false">D6*(1+E5/100)</f>
        <v>219103.15116</v>
      </c>
      <c r="F6" s="0" t="n">
        <f aca="false">E6*(1+F5/100)</f>
        <v>230058.308718</v>
      </c>
      <c r="G6" s="0" t="n">
        <f aca="false">F6*(1+G5/100)</f>
        <v>240410.93261031</v>
      </c>
      <c r="H6" s="0" t="n">
        <f aca="false">G6*(1+H5/100)</f>
        <v>250027.369914722</v>
      </c>
      <c r="I6" s="0" t="n">
        <f aca="false">H6*(1+I5/100)</f>
        <v>258778.327861738</v>
      </c>
      <c r="J6" s="0" t="n">
        <f aca="false">I6*(1+J5/100)</f>
        <v>266541.67769759</v>
      </c>
      <c r="K6" s="0" t="n">
        <f aca="false">J6*(1+K5/100)</f>
        <v>274537.928028518</v>
      </c>
      <c r="L6" s="0" t="n">
        <f aca="false">K6*(1+L5/100)</f>
        <v>282774.065869373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17.5</v>
      </c>
      <c r="D7" s="4" t="n">
        <f aca="false">Assumptions!D28</f>
        <v>19.5</v>
      </c>
      <c r="E7" s="4" t="n">
        <f aca="false">Assumptions!E28</f>
        <v>20.5</v>
      </c>
      <c r="F7" s="4" t="n">
        <f aca="false">Assumptions!F28</f>
        <v>21</v>
      </c>
      <c r="G7" s="4" t="n">
        <f aca="false">Assumptions!G28</f>
        <v>21.5</v>
      </c>
      <c r="H7" s="4" t="n">
        <f aca="false">Assumptions!H28</f>
        <v>21.5</v>
      </c>
      <c r="I7" s="4" t="n">
        <f aca="false">Assumptions!I28</f>
        <v>21.5</v>
      </c>
      <c r="J7" s="4" t="n">
        <f aca="false">Assumptions!J28</f>
        <v>21.5</v>
      </c>
      <c r="K7" s="4" t="n">
        <f aca="false">Assumptions!K28</f>
        <v>21.5</v>
      </c>
      <c r="L7" s="4" t="n">
        <f aca="false">Assumptions!L28</f>
        <v>21.5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34286.91</v>
      </c>
      <c r="D8" s="0" t="n">
        <f aca="false">D6*D7/100</f>
        <v>40497.73884</v>
      </c>
      <c r="E8" s="0" t="n">
        <f aca="false">E6*E7/100</f>
        <v>44916.1459878</v>
      </c>
      <c r="F8" s="0" t="n">
        <f aca="false">F6*F7/100</f>
        <v>48312.24483078</v>
      </c>
      <c r="G8" s="0" t="n">
        <f aca="false">G6*G7/100</f>
        <v>51688.3505112166</v>
      </c>
      <c r="H8" s="0" t="n">
        <f aca="false">H6*H7/100</f>
        <v>53755.8845316653</v>
      </c>
      <c r="I8" s="0" t="n">
        <f aca="false">I6*I7/100</f>
        <v>55637.3404902736</v>
      </c>
      <c r="J8" s="0" t="n">
        <f aca="false">J6*J7/100</f>
        <v>57306.4607049818</v>
      </c>
      <c r="K8" s="0" t="n">
        <f aca="false">K6*K7/100</f>
        <v>59025.6545261313</v>
      </c>
      <c r="L8" s="0" t="n">
        <f aca="false">L6*L7/100</f>
        <v>60796.4241619152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9796.26</v>
      </c>
      <c r="D11" s="0" t="n">
        <f aca="false">D8+D10+D24</f>
        <v>14537.64984</v>
      </c>
      <c r="E11" s="0" t="n">
        <f aca="false">E8+E10+E24</f>
        <v>17747.35524396</v>
      </c>
      <c r="F11" s="0" t="n">
        <f aca="false">F8+F10+F24</f>
        <v>20015.072858466</v>
      </c>
      <c r="G11" s="0" t="n">
        <f aca="false">G8+G10+G24</f>
        <v>22358.2167327588</v>
      </c>
      <c r="H11" s="0" t="n">
        <f aca="false">H8+H10+H24</f>
        <v>23502.5727719839</v>
      </c>
      <c r="I11" s="0" t="n">
        <f aca="false">I8+I10+I24</f>
        <v>24583.9411468651</v>
      </c>
      <c r="J11" s="0" t="n">
        <f aca="false">J8+J10+J24</f>
        <v>25854.5427366662</v>
      </c>
      <c r="K11" s="0" t="n">
        <f aca="false">K8+K10+K24</f>
        <v>27179.2548748232</v>
      </c>
      <c r="L11" s="0" t="n">
        <f aca="false">L8+L10+L24</f>
        <v>28277.4065869373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-14694.39</v>
      </c>
      <c r="D12" s="4" t="n">
        <f aca="false">-D6*Assumptions!D31/100</f>
        <v>-15576.0534</v>
      </c>
      <c r="E12" s="4" t="n">
        <f aca="false">-E6*Assumptions!E31/100</f>
        <v>-16651.83948816</v>
      </c>
      <c r="F12" s="4" t="n">
        <f aca="false">-F6*Assumptions!F31/100</f>
        <v>-17484.431462568</v>
      </c>
      <c r="G12" s="4" t="n">
        <f aca="false">-G6*Assumptions!G31/100</f>
        <v>-18511.6418109939</v>
      </c>
      <c r="H12" s="4" t="n">
        <f aca="false">-H6*Assumptions!H31/100</f>
        <v>-19252.1074834336</v>
      </c>
      <c r="I12" s="4" t="n">
        <f aca="false">-I6*Assumptions!I31/100</f>
        <v>-20184.7095732155</v>
      </c>
      <c r="J12" s="4" t="n">
        <f aca="false">-J6*Assumptions!J31/100</f>
        <v>-20790.250860412</v>
      </c>
      <c r="K12" s="4" t="n">
        <f aca="false">-K6*Assumptions!K31/100</f>
        <v>-21413.9583862244</v>
      </c>
      <c r="L12" s="4" t="n">
        <f aca="false">-L6*Assumptions!L31/100</f>
        <v>-22056.3771378111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-4898.13</v>
      </c>
      <c r="D13" s="0" t="n">
        <f aca="false">D11+D12</f>
        <v>-1038.40356</v>
      </c>
      <c r="E13" s="0" t="n">
        <f aca="false">E11+E12</f>
        <v>1095.5157558</v>
      </c>
      <c r="F13" s="0" t="n">
        <f aca="false">F11+F12</f>
        <v>2530.641395898</v>
      </c>
      <c r="G13" s="0" t="n">
        <f aca="false">G11+G12</f>
        <v>3846.57492176496</v>
      </c>
      <c r="H13" s="0" t="n">
        <f aca="false">H11+H12</f>
        <v>4250.46528855028</v>
      </c>
      <c r="I13" s="0" t="n">
        <f aca="false">I11+I12</f>
        <v>4399.23157364954</v>
      </c>
      <c r="J13" s="0" t="n">
        <f aca="false">J11+J12</f>
        <v>5064.2918762542</v>
      </c>
      <c r="K13" s="0" t="n">
        <f aca="false">K11+K12</f>
        <v>5765.29648859887</v>
      </c>
      <c r="L13" s="0" t="n">
        <f aca="false">L11+L12</f>
        <v>6221.02944912621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30</v>
      </c>
      <c r="D14" s="4" t="n">
        <f aca="false">Assumptions!D33</f>
        <v>30</v>
      </c>
      <c r="E14" s="4" t="n">
        <f aca="false">Assumptions!E33</f>
        <v>28</v>
      </c>
      <c r="F14" s="4" t="n">
        <f aca="false">Assumptions!F33</f>
        <v>26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-4898.13</v>
      </c>
      <c r="D15" s="0" t="n">
        <f aca="false">D13-MAX(0,D13)*D14/100</f>
        <v>-1038.40356</v>
      </c>
      <c r="E15" s="0" t="n">
        <f aca="false">E13-MAX(0,E13)*E14/100</f>
        <v>788.771344176002</v>
      </c>
      <c r="F15" s="0" t="n">
        <f aca="false">F13-MAX(0,F13)*F14/100</f>
        <v>1872.67463296452</v>
      </c>
      <c r="G15" s="0" t="n">
        <f aca="false">G13-MAX(0,G13)*G14/100</f>
        <v>2884.93119132372</v>
      </c>
      <c r="H15" s="0" t="n">
        <f aca="false">H13-MAX(0,H13)*H14/100</f>
        <v>3187.84896641271</v>
      </c>
      <c r="I15" s="0" t="n">
        <f aca="false">I13-MAX(0,I13)*I14/100</f>
        <v>3299.42368023716</v>
      </c>
      <c r="J15" s="0" t="n">
        <f aca="false">J13-MAX(0,J13)*J14/100</f>
        <v>3798.21890719065</v>
      </c>
      <c r="K15" s="0" t="n">
        <f aca="false">K13-MAX(0,K13)*K14/100</f>
        <v>4323.97236644915</v>
      </c>
      <c r="L15" s="0" t="n">
        <f aca="false">L13-MAX(0,L13)*L14/100</f>
        <v>4665.77208684466</v>
      </c>
    </row>
    <row r="16" customFormat="false" ht="15" hidden="false" customHeight="false" outlineLevel="0" collapsed="false">
      <c r="A16" s="0" t="s">
        <v>119</v>
      </c>
      <c r="C16" s="0" t="n">
        <f aca="false">-C12</f>
        <v>14694.39</v>
      </c>
      <c r="D16" s="0" t="n">
        <f aca="false">-D12</f>
        <v>15576.0534</v>
      </c>
      <c r="E16" s="0" t="n">
        <f aca="false">-E12</f>
        <v>16651.83948816</v>
      </c>
      <c r="F16" s="0" t="n">
        <f aca="false">-F12</f>
        <v>17484.431462568</v>
      </c>
      <c r="G16" s="0" t="n">
        <f aca="false">-G12</f>
        <v>18511.6418109939</v>
      </c>
      <c r="H16" s="0" t="n">
        <f aca="false">-H12</f>
        <v>19252.1074834336</v>
      </c>
      <c r="I16" s="0" t="n">
        <f aca="false">-I12</f>
        <v>20184.7095732155</v>
      </c>
      <c r="J16" s="0" t="n">
        <f aca="false">-J12</f>
        <v>20790.250860412</v>
      </c>
      <c r="K16" s="0" t="n">
        <f aca="false">-K12</f>
        <v>21413.9583862244</v>
      </c>
      <c r="L16" s="0" t="n">
        <f aca="false">-L12</f>
        <v>22056.3771378111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-29388.78</v>
      </c>
      <c r="D17" s="4" t="n">
        <f aca="false">-D6*Assumptions!D32/100</f>
        <v>-26998.49256</v>
      </c>
      <c r="E17" s="4" t="n">
        <f aca="false">-E6*Assumptions!E32/100</f>
        <v>-24101.3466276</v>
      </c>
      <c r="F17" s="4" t="n">
        <f aca="false">-F6*Assumptions!F32/100</f>
        <v>-23005.8308718</v>
      </c>
      <c r="G17" s="4" t="n">
        <f aca="false">-G6*Assumptions!G32/100</f>
        <v>-22839.0385979795</v>
      </c>
      <c r="H17" s="4" t="n">
        <f aca="false">-H6*Assumptions!H32/100</f>
        <v>-22502.463292325</v>
      </c>
      <c r="I17" s="4" t="n">
        <f aca="false">-I6*Assumptions!I32/100</f>
        <v>-23290.0495075564</v>
      </c>
      <c r="J17" s="4" t="n">
        <f aca="false">-J6*Assumptions!J32/100</f>
        <v>-23988.7509927831</v>
      </c>
      <c r="K17" s="4" t="n">
        <f aca="false">-K6*Assumptions!K32/100</f>
        <v>-24708.4135225666</v>
      </c>
      <c r="L17" s="4" t="n">
        <f aca="false">-L6*Assumptions!L32/100</f>
        <v>-25449.6659282436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-19592.52</v>
      </c>
      <c r="D19" s="0" t="n">
        <f aca="false">D15+D16+D17+D18</f>
        <v>-12460.84272</v>
      </c>
      <c r="E19" s="0" t="n">
        <f aca="false">E15+E16+E17+E18</f>
        <v>-6660.735795264</v>
      </c>
      <c r="F19" s="0" t="n">
        <f aca="false">F15+F16+F17+F18</f>
        <v>-3648.72477626747</v>
      </c>
      <c r="G19" s="0" t="n">
        <f aca="false">G15+G16+G17+G18</f>
        <v>-1442.46559566186</v>
      </c>
      <c r="H19" s="0" t="n">
        <f aca="false">H15+H16+H17+H18</f>
        <v>-62.5068424786841</v>
      </c>
      <c r="I19" s="0" t="n">
        <f aca="false">I15+I16+I17+I18</f>
        <v>194.083745896311</v>
      </c>
      <c r="J19" s="0" t="n">
        <f aca="false">J15+J16+J17+J18</f>
        <v>599.718774819576</v>
      </c>
      <c r="K19" s="0" t="n">
        <f aca="false">K15+K16+K17+K18</f>
        <v>1029.51723010694</v>
      </c>
      <c r="L19" s="0" t="n">
        <f aca="false">L15+L16+L17+L18</f>
        <v>1272.48329641218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0.947867298578199</v>
      </c>
      <c r="D20" s="0" t="n">
        <f aca="false">1/(1+$B$27/100)^D4</f>
        <v>0.898452415713933</v>
      </c>
      <c r="E20" s="0" t="n">
        <f aca="false">1/(1+$B$27/100)^E4</f>
        <v>0.851613664183823</v>
      </c>
      <c r="F20" s="0" t="n">
        <f aca="false">1/(1+$B$27/100)^F4</f>
        <v>0.807216743302202</v>
      </c>
      <c r="G20" s="0" t="n">
        <f aca="false">1/(1+$B$27/100)^G4</f>
        <v>0.765134353840949</v>
      </c>
      <c r="H20" s="0" t="n">
        <f aca="false">1/(1+$B$27/100)^H4</f>
        <v>0.725245833024597</v>
      </c>
      <c r="I20" s="0" t="n">
        <f aca="false">1/(1+$B$27/100)^I4</f>
        <v>0.68743680855412</v>
      </c>
      <c r="J20" s="0" t="n">
        <f aca="false">1/(1+$B$27/100)^J4</f>
        <v>0.651598870667413</v>
      </c>
      <c r="K20" s="0" t="n">
        <f aca="false">1/(1+$B$27/100)^K4</f>
        <v>0.617629261296126</v>
      </c>
      <c r="L20" s="0" t="n">
        <f aca="false">1/(1+$B$27/100)^L4</f>
        <v>0.585430579427607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-18571.1090047393</v>
      </c>
      <c r="D21" s="0" t="n">
        <f aca="false">D19*D20</f>
        <v>-11195.4742436154</v>
      </c>
      <c r="E21" s="0" t="n">
        <f aca="false">E19*E20</f>
        <v>-5672.37361676512</v>
      </c>
      <c r="F21" s="0" t="n">
        <f aca="false">F19*F20</f>
        <v>-2945.31173110469</v>
      </c>
      <c r="G21" s="0" t="n">
        <f aca="false">G19*G20</f>
        <v>-1103.67998147453</v>
      </c>
      <c r="H21" s="0" t="n">
        <f aca="false">H19*H20</f>
        <v>-45.3328270431905</v>
      </c>
      <c r="I21" s="0" t="n">
        <f aca="false">I19*I20</f>
        <v>133.420310871189</v>
      </c>
      <c r="J21" s="0" t="n">
        <f aca="false">J19*J20</f>
        <v>390.77607639048</v>
      </c>
      <c r="K21" s="0" t="n">
        <f aca="false">K19*K20</f>
        <v>635.859966322583</v>
      </c>
      <c r="L21" s="0" t="n">
        <f aca="false">L19*L20</f>
        <v>744.950633530533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12.5</v>
      </c>
      <c r="D23" s="4" t="n">
        <f aca="false">Assumptions!D30</f>
        <v>12.5</v>
      </c>
      <c r="E23" s="4" t="n">
        <f aca="false">Assumptions!E30</f>
        <v>12.4</v>
      </c>
      <c r="F23" s="4" t="n">
        <f aca="false">Assumptions!F30</f>
        <v>12.3</v>
      </c>
      <c r="G23" s="4" t="n">
        <f aca="false">Assumptions!G30</f>
        <v>12.2</v>
      </c>
      <c r="H23" s="4" t="n">
        <f aca="false">Assumptions!H30</f>
        <v>12.1</v>
      </c>
      <c r="I23" s="4" t="n">
        <f aca="false">Assumptions!I30</f>
        <v>12</v>
      </c>
      <c r="J23" s="4" t="n">
        <f aca="false">Assumptions!J30</f>
        <v>11.8</v>
      </c>
      <c r="K23" s="4" t="n">
        <f aca="false">Assumptions!K30</f>
        <v>11.6</v>
      </c>
      <c r="L23" s="4" t="n">
        <f aca="false">Assumptions!L30</f>
        <v>11.5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-24490.65</v>
      </c>
      <c r="D24" s="0" t="n">
        <f aca="false">-D6*D23/100</f>
        <v>-25960.089</v>
      </c>
      <c r="E24" s="0" t="n">
        <f aca="false">-E6*E23/100</f>
        <v>-27168.79074384</v>
      </c>
      <c r="F24" s="0" t="n">
        <f aca="false">-F6*F23/100</f>
        <v>-28297.171972314</v>
      </c>
      <c r="G24" s="0" t="n">
        <f aca="false">-G6*G23/100</f>
        <v>-29330.1337784578</v>
      </c>
      <c r="H24" s="0" t="n">
        <f aca="false">-H6*H23/100</f>
        <v>-30253.3117596814</v>
      </c>
      <c r="I24" s="0" t="n">
        <f aca="false">-I6*I23/100</f>
        <v>-31053.3993434085</v>
      </c>
      <c r="J24" s="0" t="n">
        <f aca="false">-J6*J23/100</f>
        <v>-31451.9179683156</v>
      </c>
      <c r="K24" s="0" t="n">
        <f aca="false">-K6*K23/100</f>
        <v>-31846.399651308</v>
      </c>
      <c r="L24" s="0" t="n">
        <f aca="false">-L6*L23/100</f>
        <v>-32519.0175749779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5.5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-37628.2744176275</v>
      </c>
    </row>
    <row r="31" customFormat="false" ht="15" hidden="false" customHeight="false" outlineLevel="0" collapsed="false">
      <c r="A31" s="0" t="s">
        <v>128</v>
      </c>
      <c r="B31" s="0" t="n">
        <f aca="false">L19</f>
        <v>1272.48329641218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43476.5126274161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15269.7995569461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15269.7995569461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8939.4076023664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-28688.8668152611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-182067.866815261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-11.7774931560537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-5.11081785551612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-11.7774931560537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10434.3630305799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-11.8761266281654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9</v>
      </c>
      <c r="D5" s="4" t="n">
        <f aca="false">Assumptions!D41</f>
        <v>7</v>
      </c>
      <c r="E5" s="4" t="n">
        <f aca="false">Assumptions!E41</f>
        <v>6.5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182256</v>
      </c>
      <c r="C6" s="0" t="n">
        <f aca="false">B6*(1+C5/100)</f>
        <v>198659.04</v>
      </c>
      <c r="D6" s="0" t="n">
        <f aca="false">C6*(1+D5/100)</f>
        <v>212565.1728</v>
      </c>
      <c r="E6" s="0" t="n">
        <f aca="false">D6*(1+E5/100)</f>
        <v>226381.909032</v>
      </c>
      <c r="F6" s="0" t="n">
        <f aca="false">E6*(1+F5/100)</f>
        <v>239964.82357392</v>
      </c>
      <c r="G6" s="0" t="n">
        <f aca="false">F6*(1+G5/100)</f>
        <v>253162.888870486</v>
      </c>
      <c r="H6" s="0" t="n">
        <f aca="false">G6*(1+H5/100)</f>
        <v>265821.03331401</v>
      </c>
      <c r="I6" s="0" t="n">
        <f aca="false">H6*(1+I5/100)</f>
        <v>277782.97981314</v>
      </c>
      <c r="J6" s="0" t="n">
        <f aca="false">I6*(1+J5/100)</f>
        <v>288894.299005666</v>
      </c>
      <c r="K6" s="0" t="n">
        <f aca="false">J6*(1+K5/100)</f>
        <v>299005.599470864</v>
      </c>
      <c r="L6" s="0" t="n">
        <f aca="false">K6*(1+L5/100)</f>
        <v>307975.76745499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18.5</v>
      </c>
      <c r="D7" s="4" t="n">
        <f aca="false">Assumptions!D42</f>
        <v>21.5</v>
      </c>
      <c r="E7" s="4" t="n">
        <f aca="false">Assumptions!E42</f>
        <v>23</v>
      </c>
      <c r="F7" s="4" t="n">
        <f aca="false">Assumptions!F42</f>
        <v>24</v>
      </c>
      <c r="G7" s="4" t="n">
        <f aca="false">Assumptions!G42</f>
        <v>24.5</v>
      </c>
      <c r="H7" s="4" t="n">
        <f aca="false">Assumptions!H42</f>
        <v>25</v>
      </c>
      <c r="I7" s="4" t="n">
        <f aca="false">Assumptions!I42</f>
        <v>25</v>
      </c>
      <c r="J7" s="4" t="n">
        <f aca="false">Assumptions!J42</f>
        <v>25</v>
      </c>
      <c r="K7" s="4" t="n">
        <f aca="false">Assumptions!K42</f>
        <v>25</v>
      </c>
      <c r="L7" s="4" t="n">
        <f aca="false">Assumptions!L42</f>
        <v>25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36751.9224</v>
      </c>
      <c r="D8" s="0" t="n">
        <f aca="false">D6*D7/100</f>
        <v>45701.512152</v>
      </c>
      <c r="E8" s="0" t="n">
        <f aca="false">E6*E7/100</f>
        <v>52067.83907736</v>
      </c>
      <c r="F8" s="0" t="n">
        <f aca="false">F6*F7/100</f>
        <v>57591.5576577408</v>
      </c>
      <c r="G8" s="0" t="n">
        <f aca="false">G6*G7/100</f>
        <v>62024.907773269</v>
      </c>
      <c r="H8" s="0" t="n">
        <f aca="false">H6*H7/100</f>
        <v>66455.2583285025</v>
      </c>
      <c r="I8" s="0" t="n">
        <f aca="false">I6*I7/100</f>
        <v>69445.7449532851</v>
      </c>
      <c r="J8" s="0" t="n">
        <f aca="false">J6*J7/100</f>
        <v>72223.5747514165</v>
      </c>
      <c r="K8" s="0" t="n">
        <f aca="false">K6*K7/100</f>
        <v>74751.3998677161</v>
      </c>
      <c r="L8" s="0" t="n">
        <f aca="false">L6*L7/100</f>
        <v>76993.9418637476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11919.5424</v>
      </c>
      <c r="D11" s="0" t="n">
        <f aca="false">D8+D10+D24</f>
        <v>19555.9958976</v>
      </c>
      <c r="E11" s="0" t="n">
        <f aca="false">E8+E10+E24</f>
        <v>24902.00999352</v>
      </c>
      <c r="F11" s="0" t="n">
        <f aca="false">F8+F10+F24</f>
        <v>29515.6732995922</v>
      </c>
      <c r="G11" s="0" t="n">
        <f aca="false">G8+G10+G24</f>
        <v>33164.3384420336</v>
      </c>
      <c r="H11" s="0" t="n">
        <f aca="false">H8+H10+H24</f>
        <v>36949.1236306474</v>
      </c>
      <c r="I11" s="0" t="n">
        <f aca="false">I8+I10+I24</f>
        <v>39445.1831334659</v>
      </c>
      <c r="J11" s="0" t="n">
        <f aca="false">J8+J10+J24</f>
        <v>41600.7790568159</v>
      </c>
      <c r="K11" s="0" t="n">
        <f aca="false">K8+K10+K24</f>
        <v>43355.8119232753</v>
      </c>
      <c r="L11" s="0" t="n">
        <f aca="false">L8+L10+L24</f>
        <v>44656.4862809736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-14899.428</v>
      </c>
      <c r="D12" s="4" t="n">
        <f aca="false">-D6*Assumptions!D45/100</f>
        <v>-15942.38796</v>
      </c>
      <c r="E12" s="4" t="n">
        <f aca="false">-E6*Assumptions!E45/100</f>
        <v>-17205.025086432</v>
      </c>
      <c r="F12" s="4" t="n">
        <f aca="false">-F6*Assumptions!F45/100</f>
        <v>-18237.3265916179</v>
      </c>
      <c r="G12" s="4" t="n">
        <f aca="false">-G6*Assumptions!G45/100</f>
        <v>-19493.5424430274</v>
      </c>
      <c r="H12" s="4" t="n">
        <f aca="false">-H6*Assumptions!H45/100</f>
        <v>-20468.2195651788</v>
      </c>
      <c r="I12" s="4" t="n">
        <f aca="false">-I6*Assumptions!I45/100</f>
        <v>-21667.0724254249</v>
      </c>
      <c r="J12" s="4" t="n">
        <f aca="false">-J6*Assumptions!J45/100</f>
        <v>-22533.7553224419</v>
      </c>
      <c r="K12" s="4" t="n">
        <f aca="false">-K6*Assumptions!K45/100</f>
        <v>-23322.4367587274</v>
      </c>
      <c r="L12" s="4" t="n">
        <f aca="false">-L6*Assumptions!L45/100</f>
        <v>-24022.1098614892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-2979.8856</v>
      </c>
      <c r="D13" s="0" t="n">
        <f aca="false">D11+D12</f>
        <v>3613.60793759999</v>
      </c>
      <c r="E13" s="0" t="n">
        <f aca="false">E11+E12</f>
        <v>7696.984907088</v>
      </c>
      <c r="F13" s="0" t="n">
        <f aca="false">F11+F12</f>
        <v>11278.3467079742</v>
      </c>
      <c r="G13" s="0" t="n">
        <f aca="false">G11+G12</f>
        <v>13670.7959990062</v>
      </c>
      <c r="H13" s="0" t="n">
        <f aca="false">H11+H12</f>
        <v>16480.9040654686</v>
      </c>
      <c r="I13" s="0" t="n">
        <f aca="false">I11+I12</f>
        <v>17778.110708041</v>
      </c>
      <c r="J13" s="0" t="n">
        <f aca="false">J11+J12</f>
        <v>19067.023734374</v>
      </c>
      <c r="K13" s="0" t="n">
        <f aca="false">K11+K12</f>
        <v>20033.3751645479</v>
      </c>
      <c r="L13" s="0" t="n">
        <f aca="false">L11+L12</f>
        <v>20634.3764194843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30</v>
      </c>
      <c r="D14" s="4" t="n">
        <f aca="false">Assumptions!D47</f>
        <v>28</v>
      </c>
      <c r="E14" s="4" t="n">
        <f aca="false">Assumptions!E47</f>
        <v>26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-2979.8856</v>
      </c>
      <c r="D15" s="0" t="n">
        <f aca="false">D13-MAX(0,D13)*D14/100</f>
        <v>2601.797715072</v>
      </c>
      <c r="E15" s="0" t="n">
        <f aca="false">E13-MAX(0,E13)*E14/100</f>
        <v>5695.76883124512</v>
      </c>
      <c r="F15" s="0" t="n">
        <f aca="false">F13-MAX(0,F13)*F14/100</f>
        <v>8458.76003098068</v>
      </c>
      <c r="G15" s="0" t="n">
        <f aca="false">G13-MAX(0,G13)*G14/100</f>
        <v>10253.0969992547</v>
      </c>
      <c r="H15" s="0" t="n">
        <f aca="false">H13-MAX(0,H13)*H14/100</f>
        <v>12360.6780491015</v>
      </c>
      <c r="I15" s="0" t="n">
        <f aca="false">I13-MAX(0,I13)*I14/100</f>
        <v>13333.5830310307</v>
      </c>
      <c r="J15" s="0" t="n">
        <f aca="false">J13-MAX(0,J13)*J14/100</f>
        <v>14300.2678007805</v>
      </c>
      <c r="K15" s="0" t="n">
        <f aca="false">K13-MAX(0,K13)*K14/100</f>
        <v>15025.0313734109</v>
      </c>
      <c r="L15" s="0" t="n">
        <f aca="false">L13-MAX(0,L13)*L14/100</f>
        <v>15475.7823146133</v>
      </c>
    </row>
    <row r="16" customFormat="false" ht="15" hidden="false" customHeight="false" outlineLevel="0" collapsed="false">
      <c r="A16" s="0" t="s">
        <v>119</v>
      </c>
      <c r="C16" s="0" t="n">
        <f aca="false">-C12</f>
        <v>14899.428</v>
      </c>
      <c r="D16" s="0" t="n">
        <f aca="false">-D12</f>
        <v>15942.38796</v>
      </c>
      <c r="E16" s="0" t="n">
        <f aca="false">-E12</f>
        <v>17205.025086432</v>
      </c>
      <c r="F16" s="0" t="n">
        <f aca="false">-F12</f>
        <v>18237.3265916179</v>
      </c>
      <c r="G16" s="0" t="n">
        <f aca="false">-G12</f>
        <v>19493.5424430274</v>
      </c>
      <c r="H16" s="0" t="n">
        <f aca="false">-H12</f>
        <v>20468.2195651788</v>
      </c>
      <c r="I16" s="0" t="n">
        <f aca="false">-I12</f>
        <v>21667.0724254249</v>
      </c>
      <c r="J16" s="0" t="n">
        <f aca="false">-J12</f>
        <v>22533.7553224419</v>
      </c>
      <c r="K16" s="0" t="n">
        <f aca="false">-K12</f>
        <v>23322.4367587274</v>
      </c>
      <c r="L16" s="0" t="n">
        <f aca="false">-L12</f>
        <v>24022.1098614892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-27812.2656</v>
      </c>
      <c r="D17" s="4" t="n">
        <f aca="false">-D6*Assumptions!D46/100</f>
        <v>-25507.820736</v>
      </c>
      <c r="E17" s="4" t="n">
        <f aca="false">-E6*Assumptions!E46/100</f>
        <v>-23770.10044836</v>
      </c>
      <c r="F17" s="4" t="n">
        <f aca="false">-F6*Assumptions!F46/100</f>
        <v>-22796.6582395224</v>
      </c>
      <c r="G17" s="4" t="n">
        <f aca="false">-G6*Assumptions!G46/100</f>
        <v>-22784.6599983437</v>
      </c>
      <c r="H17" s="4" t="n">
        <f aca="false">-H6*Assumptions!H46/100</f>
        <v>-22594.7878316908</v>
      </c>
      <c r="I17" s="4" t="n">
        <f aca="false">-I6*Assumptions!I46/100</f>
        <v>-23611.5532841169</v>
      </c>
      <c r="J17" s="4" t="n">
        <f aca="false">-J6*Assumptions!J46/100</f>
        <v>-24556.0154154816</v>
      </c>
      <c r="K17" s="4" t="n">
        <f aca="false">-K6*Assumptions!K46/100</f>
        <v>-25415.4759550235</v>
      </c>
      <c r="L17" s="4" t="n">
        <f aca="false">-L6*Assumptions!L46/100</f>
        <v>-26177.9402336742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-15892.7232</v>
      </c>
      <c r="D19" s="0" t="n">
        <f aca="false">D15+D16+D17+D18</f>
        <v>-6963.635060928</v>
      </c>
      <c r="E19" s="0" t="n">
        <f aca="false">E15+E16+E17+E18</f>
        <v>-869.306530682879</v>
      </c>
      <c r="F19" s="0" t="n">
        <f aca="false">F15+F16+F17+F18</f>
        <v>3899.4283830762</v>
      </c>
      <c r="G19" s="0" t="n">
        <f aca="false">G15+G16+G17+G18</f>
        <v>6961.97944393834</v>
      </c>
      <c r="H19" s="0" t="n">
        <f aca="false">H15+H16+H17+H18</f>
        <v>10234.1097825894</v>
      </c>
      <c r="I19" s="0" t="n">
        <f aca="false">I15+I16+I17+I18</f>
        <v>11389.1021723388</v>
      </c>
      <c r="J19" s="0" t="n">
        <f aca="false">J15+J16+J17+J18</f>
        <v>12278.0077077408</v>
      </c>
      <c r="K19" s="0" t="n">
        <f aca="false">K15+K16+K17+K18</f>
        <v>12931.9921771149</v>
      </c>
      <c r="L19" s="0" t="n">
        <f aca="false">L15+L16+L17+L18</f>
        <v>13319.9519424283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0.947867298578199</v>
      </c>
      <c r="D20" s="0" t="n">
        <f aca="false">1/(1+$B$27/100)^D4</f>
        <v>0.898452415713933</v>
      </c>
      <c r="E20" s="0" t="n">
        <f aca="false">1/(1+$B$27/100)^E4</f>
        <v>0.851613664183823</v>
      </c>
      <c r="F20" s="0" t="n">
        <f aca="false">1/(1+$B$27/100)^F4</f>
        <v>0.807216743302202</v>
      </c>
      <c r="G20" s="0" t="n">
        <f aca="false">1/(1+$B$27/100)^G4</f>
        <v>0.765134353840949</v>
      </c>
      <c r="H20" s="0" t="n">
        <f aca="false">1/(1+$B$27/100)^H4</f>
        <v>0.725245833024597</v>
      </c>
      <c r="I20" s="0" t="n">
        <f aca="false">1/(1+$B$27/100)^I4</f>
        <v>0.68743680855412</v>
      </c>
      <c r="J20" s="0" t="n">
        <f aca="false">1/(1+$B$27/100)^J4</f>
        <v>0.651598870667413</v>
      </c>
      <c r="K20" s="0" t="n">
        <f aca="false">1/(1+$B$27/100)^K4</f>
        <v>0.617629261296126</v>
      </c>
      <c r="L20" s="0" t="n">
        <f aca="false">1/(1+$B$27/100)^L4</f>
        <v>0.585430579427607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-15064.1926066351</v>
      </c>
      <c r="D21" s="0" t="n">
        <f aca="false">D19*D20</f>
        <v>-6256.494742641</v>
      </c>
      <c r="E21" s="0" t="n">
        <f aca="false">E19*E20</f>
        <v>-740.313319893774</v>
      </c>
      <c r="F21" s="0" t="n">
        <f aca="false">F19*F20</f>
        <v>3147.68388012694</v>
      </c>
      <c r="G21" s="0" t="n">
        <f aca="false">G19*G20</f>
        <v>5326.84964329174</v>
      </c>
      <c r="H21" s="0" t="n">
        <f aca="false">H19*H20</f>
        <v>7422.24547453921</v>
      </c>
      <c r="I21" s="0" t="n">
        <f aca="false">I19*I20</f>
        <v>7829.28804964935</v>
      </c>
      <c r="J21" s="0" t="n">
        <f aca="false">J19*J20</f>
        <v>8000.33595640969</v>
      </c>
      <c r="K21" s="0" t="n">
        <f aca="false">K19*K20</f>
        <v>7987.17677543873</v>
      </c>
      <c r="L21" s="0" t="n">
        <f aca="false">L19*L20</f>
        <v>7797.9071836037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12.5</v>
      </c>
      <c r="D23" s="4" t="n">
        <f aca="false">Assumptions!D44</f>
        <v>12.3</v>
      </c>
      <c r="E23" s="4" t="n">
        <f aca="false">Assumptions!E44</f>
        <v>12</v>
      </c>
      <c r="F23" s="4" t="n">
        <f aca="false">Assumptions!F44</f>
        <v>11.7</v>
      </c>
      <c r="G23" s="4" t="n">
        <f aca="false">Assumptions!G44</f>
        <v>11.4</v>
      </c>
      <c r="H23" s="4" t="n">
        <f aca="false">Assumptions!H44</f>
        <v>11.1</v>
      </c>
      <c r="I23" s="4" t="n">
        <f aca="false">Assumptions!I44</f>
        <v>10.8</v>
      </c>
      <c r="J23" s="4" t="n">
        <f aca="false">Assumptions!J44</f>
        <v>10.6</v>
      </c>
      <c r="K23" s="4" t="n">
        <f aca="false">Assumptions!K44</f>
        <v>10.5</v>
      </c>
      <c r="L23" s="4" t="n">
        <f aca="false">Assumptions!L44</f>
        <v>10.5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-24832.38</v>
      </c>
      <c r="D24" s="0" t="n">
        <f aca="false">-D6*D23/100</f>
        <v>-26145.5162544</v>
      </c>
      <c r="E24" s="0" t="n">
        <f aca="false">-E6*E23/100</f>
        <v>-27165.82908384</v>
      </c>
      <c r="F24" s="0" t="n">
        <f aca="false">-F6*F23/100</f>
        <v>-28075.8843581486</v>
      </c>
      <c r="G24" s="0" t="n">
        <f aca="false">-G6*G23/100</f>
        <v>-28860.5693312354</v>
      </c>
      <c r="H24" s="0" t="n">
        <f aca="false">-H6*H23/100</f>
        <v>-29506.1346978551</v>
      </c>
      <c r="I24" s="0" t="n">
        <f aca="false">-I6*I23/100</f>
        <v>-30000.5618198192</v>
      </c>
      <c r="J24" s="0" t="n">
        <f aca="false">-J6*J23/100</f>
        <v>-30622.7956946006</v>
      </c>
      <c r="K24" s="0" t="n">
        <f aca="false">-K6*K23/100</f>
        <v>-31395.5879444407</v>
      </c>
      <c r="L24" s="0" t="n">
        <f aca="false">-L6*L23/100</f>
        <v>-32337.455582774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5.5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25450.4862938895</v>
      </c>
    </row>
    <row r="31" customFormat="false" ht="15" hidden="false" customHeight="false" outlineLevel="0" collapsed="false">
      <c r="A31" s="0" t="s">
        <v>128</v>
      </c>
      <c r="B31" s="0" t="n">
        <f aca="false">L19</f>
        <v>13319.9519424283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548782.020028047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159839.42330914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159839.42330914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93574.8862032444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119025.372497134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-34353.6275028661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-2.22224613204899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-1.77565310019162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-2.22224613204899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114329.587505843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-7.72342318925108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-15.1511878894968</v>
      </c>
      <c r="C4" s="0" t="n">
        <f aca="false">B4/Assumptions!$B$2-1</f>
        <v>-6.28837273629907</v>
      </c>
      <c r="D4" s="4" t="n">
        <f aca="false">Assumptions!$B$24</f>
        <v>0.35</v>
      </c>
      <c r="E4" s="4" t="n">
        <f aca="false">DCF_Bear!$B$43</f>
        <v>-15.1511878894968</v>
      </c>
      <c r="F4" s="4" t="n">
        <f aca="false">DCF_Bear!$B$47</f>
        <v>-13.7251924590907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-11.7774931560537</v>
      </c>
      <c r="C5" s="0" t="n">
        <f aca="false">B5/Assumptions!$B$2-1</f>
        <v>-5.11081785551612</v>
      </c>
      <c r="D5" s="4" t="n">
        <f aca="false">Assumptions!$B$38</f>
        <v>0.45</v>
      </c>
      <c r="E5" s="4" t="n">
        <f aca="false">DCF_Base!$B$43</f>
        <v>-11.7774931560537</v>
      </c>
      <c r="F5" s="4" t="n">
        <f aca="false">DCF_Base!$B$47</f>
        <v>-11.8761266281654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-2.22224613204899</v>
      </c>
      <c r="C6" s="0" t="n">
        <f aca="false">B6/Assumptions!$B$2-1</f>
        <v>-1.77565310019162</v>
      </c>
      <c r="D6" s="4" t="n">
        <f aca="false">Assumptions!$B$52</f>
        <v>0.2</v>
      </c>
      <c r="E6" s="4" t="n">
        <f aca="false">DCF_Bull!$B$43</f>
        <v>-2.22224613204899</v>
      </c>
      <c r="F6" s="4" t="n">
        <f aca="false">DCF_Bull!$B$47</f>
        <v>-7.72342318925108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-11.0472369079578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-11.0472369079578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1.25934086721144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-11.6927589812064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-11.7774931560537</v>
      </c>
      <c r="C15" s="3" t="n">
        <v>5.5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-11.8168289656083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-11.8198219847353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-11.8199726510926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-11.8497267903665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-11.8761266281654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3.5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-11.728042899044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-11.728042899044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-11.728042899044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-11.728042899044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-11.728042899044</v>
      </c>
    </row>
    <row r="25" customFormat="false" ht="15" hidden="false" customHeight="false" outlineLevel="0" collapsed="false">
      <c r="A25" s="3" t="n">
        <v>4.5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-11.7557295648643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-11.7557295648643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-11.7557295648643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-11.7557295648643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-11.7557295648643</v>
      </c>
    </row>
    <row r="26" customFormat="false" ht="15" hidden="false" customHeight="false" outlineLevel="0" collapsed="false">
      <c r="A26" s="3" t="n">
        <v>5.5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-11.7774931560537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-11.7774931560537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-11.7774931560537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-11.7774931560537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-11.7774931560537</v>
      </c>
    </row>
    <row r="27" customFormat="false" ht="15" hidden="false" customHeight="false" outlineLevel="0" collapsed="false">
      <c r="A27" s="3" t="n">
        <v>6.5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-11.7940663104267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-11.7940663104267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-11.7940663104267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-11.7940663104267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-11.7940663104267</v>
      </c>
    </row>
    <row r="28" customFormat="false" ht="15" hidden="false" customHeight="false" outlineLevel="0" collapsed="false">
      <c r="A28" s="3" t="n">
        <v>7.5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-11.8060930263163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-11.8060930263163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-11.8060930263163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-11.8060930263163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-11.8060930263163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2026-10-11T14:30:38Z</dcterms:created>
  <dc:creator>openpyxl</dc:creator>
  <dc:description/>
  <dc:language>en-NZ</dc:language>
  <cp:lastModifiedBy/>
  <dcterms:modified xsi:type="dcterms:W3CDTF">2026-10-11T14:30:38Z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