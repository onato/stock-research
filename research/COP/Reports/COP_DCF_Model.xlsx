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<sst xmlns="http://schemas.openxmlformats.org/spreadsheetml/2006/main" count="389" uniqueCount="174">
  <si>
    <t xml:space="preserve">Ticker</t>
  </si>
  <si>
    <t xml:space="preserve">COP</t>
  </si>
  <si>
    <t xml:space="preserve">Company</t>
  </si>
  <si>
    <t xml:space="preserve">ConocoPhillips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</si>
  <si>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</si>
  <si>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</si>
  <si>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</si>
  <si>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</si>
  <si>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2026-09-25T20:00:02Z regular close (Yahoo chart API regularMarketTime)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</si>
  <si>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</si>
  <si>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</si>
  <si>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</si>
  <si>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</si>
  <si>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</si>
  <si>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</si>
  <si>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</si>
  <si>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</si>
  <si>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</si>
  <si>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</si>
  <si>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</si>
  <si>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</si>
  <si>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2026-09-26T01:05:52Z</t>
  </si>
  <si>
    <t xml:space="preserve">Drivers file</t>
  </si>
  <si>
    <t xml:space="preserve">COP_Drivers.json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</si>
  <si>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</si>
  <si>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</si>
  <si>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</si>
  <si>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barrels at a mid-cycle price, not at today's print. The owner-FCF build normalises FY2025 (a ~$65 WTI year) and grows it with volume and cost-out, so the valuation is deliberately insensitive to where oil sits on the valuation date. When the share price runs ahead of this number, the market is capitalising an above-mid-cycle oil price.
key_risks_to_valuation: Oil and gas price: every ~$5/bbl WTI moves revenue ~6-8% and, with high operating leverage, owner FCF considerably more; Willow cost and schedule (already raised to $8.5-9.0bn, first oil early 2029) and Alaska/federal permitting litigation; Qatar NFE/NFS and Port Arthur LNG timing, which drive the FY2028-30 growth leg; Lower 48 Tier-1 inventory depletion raising sustaining capex above ~18% of revenue; Terminal cap at 12x owner FCF binds in the base case; a lower exit multiple for a depleting asset would cut value further</t>
  </si>
  <si>
    <t xml:space="preserve">Data sources</t>
  </si>
  <si>
    <t xml:space="preserve">price: Yahoo Finance chart API at inputs.price_as_of; 52-week range 85.57-141.62
financials: SEC EDGAR XBRL companyfacts (CIK 1163165) via COP_Metrics.csv; FY2025 10-K (cop-20251231.htm) and Q2-2026 10-Q (cop-20260630.htm) for capex, cash taxes, debt, investments, share count and equity-award taxes
qualitative: COP_Analysis.json (2026-09): guidance (FY26 capex $12.0-12.5bn, production 2.33-2.36 MMBOED, 45% of CFO returned), Willow, LNG and cost-reduction targets</t>
  </si>
  <si>
    <t xml:space="preserve">Scenario narrative: bear</t>
  </si>
  <si>
    <t xml:space="preserve">OPEC+ unwinds spare capacity into non-OPEC growth (Guyana, Brazil, US shale) and WTI falls to ~$55 from 2027: revenue drops ~12% and margin compresses to ~39-40% as fixed North Slope and oil-sands costs deleverage. Willow runs over budget again and slips, Tier-1 Permian inventory depletes faster than assumed so maintenance capex stays near 19.5% of revenue, and growth fades to ~1%. The balance sheet (A-rated, ~0.6x net debt/EBITDA) survives this comfortably; it is a value case, not a solvency one.</t>
  </si>
  <si>
    <t xml:space="preserve">Scenario narrative: base</t>
  </si>
  <si>
    <t xml:space="preserve">Oil settles back into a $65-70 WTI / ~$4 Henry Hub mid-cycle after the 2026 rally. COP delivers the incremental $1bn cost target and holds the Marathon synergies, so margins edge back to the ~45% EBITDA it earned on comparable decks in FY19 and FY23. Willow reaches first oil in early 2029 near its revised $8.5-9.0bn budget and Port Arthur/Qatar LNG ramp on a months-not-years delay, adding 3-4%/yr of revenue through FY2030 before Lower 48 maturity slows growth to ~2%. Capex falls from the Willow peak to sustaining levels roughly equal to DD&amp;A.</t>
  </si>
  <si>
    <t xml:space="preserve">Scenario narrative: bull</t>
  </si>
  <si>
    <t xml:space="preserve">A structurally tighter market - LNG demand outrunning the Qatar/US Gulf supply wave and OPEC+ spare capacity absorbed - keeps realised prices near $75-80 WTI. Lower cost structure plus price torque lifts EBITDA margin to ~48% (FY22-type conversion without FY22 prices), Willow and the LNG projects come on schedule, the FCF breakeven falls to the low-$30s as guided, and capex intensity drops to ~17.5% of revenue.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</si>
  <si>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</si>
  <si>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</si>
  <si>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</si>
  <si>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</si>
  <si>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</si>
  <si>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</si>
  <si>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</si>
  <si>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</si>
  <si>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</si>
  <si>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</si>
  <si>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</si>
  <si>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</si>
  <si>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</si>
  <si>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</si>
  <si>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</si>
  <si>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</si>
  <si>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</si>
  <si>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</si>
  <si>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</si>
  <si>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</si>
  <si>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</si>
  <si>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</si>
  <si>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</si>
  <si>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</si>
  <si>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</si>
  <si>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</si>
  <si>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</si>
  <si>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</si>
  <si>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</si>
  <si>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</si>
  <si>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</si>
  <si>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</si>
  <si>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</si>
  <si>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</si>
  <si>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</si>
  <si>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</si>
  <si>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</si>
  <si>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</si>
  <si>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</si>
  <si>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</si>
  <si>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</si>
  <si>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</si>
  <si>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</si>
  <si>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</si>
  <si>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</si>
  <si>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</si>
  <si>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</si>
  <si>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</si>
  <si>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</si>
  <si>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</si>
  <si>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</si>
  <si>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</si>
  <si>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</si>
  <si>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</si>
  <si>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</si>
  <si>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</si>
  <si>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</si>
  <si>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</si>
  <si>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</si>
  <si>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</si>
  <si>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</si>
  <si>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</si>
  <si>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</si>
  <si>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</si>
  <si>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</si>
  <si>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</si>
  <si>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</si>
  <si>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</si>
  <si>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</si>
  <si>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</si>
  <si>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</si>
  <si>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</si>
  <si>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</si>
  <si>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</si>
  <si>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</si>
  <si>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</si>
  <si>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</si>
  <si>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</si>
  <si>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</si>
  <si>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</si>
  <si>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</si>
  <si>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</si>
  <si>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</si>
  <si>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</si>
  <si>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COP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</si>
  <si>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</si>
  <si>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</si>
  <si>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</si>
  <si>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</si>
  <si>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</si>
  <si>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</si>
  <si>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</si>
  <si>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</si>
  <si>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</si>
  <si>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</si>
  <si>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</si>
  <si>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</si>
  <si>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</si>
  <si>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</si>
  <si>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</si>
  <si>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</si>
  <si>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</si>
  <si>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</si>
  <si>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</si>
  <si>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</si>
  <si>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</si>
  <si>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</si>
  <si>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</si>
  <si>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</si>
  <si>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</si>
  <si>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</si>
  <si>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</si>
  <si>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</si>
  <si>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</si>
  <si>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</si>
  <si>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COP owner-FCF component DCF: base case (millions, USD)</t>
  </si>
  <si>
    <t xml:space="preserve">COP owner-FCF component DCF: bull case (millions, USD)</t>
  </si>
  <si>
    <t xml:space="preserve">COP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</si>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</sst>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127.3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83848</v>
      </c>
      <c r="S2" s="0" t="n">
        <v>817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187437</v>
      </c>
      <c r="I3" s="0" t="n">
        <v>11978</v>
      </c>
      <c r="J3" s="0" t="n">
        <v>6.39041384571883</v>
      </c>
      <c r="K3" s="0" t="n">
        <v>7.32</v>
      </c>
      <c r="L3" s="0" t="n">
        <v>24550</v>
      </c>
      <c r="O3" s="0" t="n">
        <v>89507</v>
      </c>
      <c r="S3" s="0" t="n">
        <v>1456</v>
      </c>
      <c r="T3" s="0" t="n">
        <v>1645.919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240842</v>
      </c>
      <c r="I4" s="0" t="n">
        <v>-16349</v>
      </c>
      <c r="J4" s="0" t="n">
        <v>-6.78826782704013</v>
      </c>
      <c r="K4" s="0" t="n">
        <v>-10.73</v>
      </c>
      <c r="L4" s="0" t="n">
        <v>22658</v>
      </c>
      <c r="O4" s="0" t="n">
        <v>56265</v>
      </c>
      <c r="P4" s="0" t="n">
        <v>142865</v>
      </c>
      <c r="Q4" s="0" t="n">
        <v>86600</v>
      </c>
      <c r="R4" s="0" t="n">
        <v>27455</v>
      </c>
      <c r="S4" s="0" t="n">
        <v>755</v>
      </c>
      <c r="T4" s="0" t="n">
        <v>1523.432</v>
      </c>
      <c r="U4" s="0" t="n">
        <v>193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149341</v>
      </c>
      <c r="I5" s="0" t="n">
        <v>4492</v>
      </c>
      <c r="J5" s="0" t="n">
        <v>3.00788129180868</v>
      </c>
      <c r="K5" s="0" t="n">
        <v>2.96</v>
      </c>
      <c r="L5" s="0" t="n">
        <v>12479</v>
      </c>
      <c r="O5" s="0" t="n">
        <v>62628</v>
      </c>
      <c r="P5" s="0" t="n">
        <v>152138</v>
      </c>
      <c r="Q5" s="0" t="n">
        <v>89525</v>
      </c>
      <c r="R5" s="0" t="n">
        <v>28653</v>
      </c>
      <c r="S5" s="0" t="n">
        <v>542</v>
      </c>
      <c r="T5" s="0" t="n">
        <v>1497.608</v>
      </c>
      <c r="U5" s="0" t="n">
        <v>121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63335</v>
      </c>
      <c r="I6" s="0" t="n">
        <v>11417</v>
      </c>
      <c r="J6" s="0" t="n">
        <v>18.0263677271651</v>
      </c>
      <c r="K6" s="0" t="n">
        <v>7.68</v>
      </c>
      <c r="L6" s="0" t="n">
        <v>17045</v>
      </c>
      <c r="O6" s="0" t="n">
        <v>69124</v>
      </c>
      <c r="P6" s="0" t="n">
        <v>156314</v>
      </c>
      <c r="Q6" s="0" t="n">
        <v>87205</v>
      </c>
      <c r="R6" s="0" t="n">
        <v>23592</v>
      </c>
      <c r="S6" s="0" t="n">
        <v>9454</v>
      </c>
      <c r="U6" s="0" t="n">
        <v>211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66069</v>
      </c>
      <c r="I7" s="0" t="n">
        <v>12502</v>
      </c>
      <c r="J7" s="0" t="n">
        <v>18.9226414808761</v>
      </c>
      <c r="K7" s="0" t="n">
        <v>9.04</v>
      </c>
      <c r="L7" s="0" t="n">
        <v>19646</v>
      </c>
      <c r="O7" s="0" t="n">
        <v>65749</v>
      </c>
      <c r="P7" s="0" t="n">
        <v>153230</v>
      </c>
      <c r="Q7" s="0" t="n">
        <v>87481</v>
      </c>
      <c r="R7" s="0" t="n">
        <v>22623</v>
      </c>
      <c r="S7" s="0" t="n">
        <v>5780</v>
      </c>
      <c r="U7" s="0" t="n">
        <v>246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62004</v>
      </c>
      <c r="I8" s="0" t="n">
        <v>8498</v>
      </c>
      <c r="J8" s="0" t="n">
        <v>13.7055673827495</v>
      </c>
      <c r="K8" s="0" t="n">
        <v>6.77</v>
      </c>
      <c r="L8" s="0" t="n">
        <v>13922</v>
      </c>
      <c r="M8" s="0" t="n">
        <v>14172</v>
      </c>
      <c r="N8" s="0" t="n">
        <v>-250</v>
      </c>
      <c r="O8" s="0" t="n">
        <v>48427</v>
      </c>
      <c r="P8" s="0" t="n">
        <v>117144</v>
      </c>
      <c r="Q8" s="0" t="n">
        <v>68717</v>
      </c>
      <c r="R8" s="0" t="n">
        <v>21725</v>
      </c>
      <c r="S8" s="0" t="n">
        <v>3618</v>
      </c>
      <c r="U8" s="0" t="n">
        <v>321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58248</v>
      </c>
      <c r="I9" s="0" t="n">
        <v>9215</v>
      </c>
      <c r="J9" s="0" t="n">
        <v>15.8202856750446</v>
      </c>
      <c r="K9" s="0" t="n">
        <v>7.43</v>
      </c>
      <c r="L9" s="0" t="n">
        <v>16141</v>
      </c>
      <c r="M9" s="0" t="n">
        <v>15537</v>
      </c>
      <c r="N9" s="0" t="n">
        <v>604</v>
      </c>
      <c r="O9" s="0" t="n">
        <v>52492</v>
      </c>
      <c r="P9" s="0" t="n">
        <v>118057</v>
      </c>
      <c r="Q9" s="0" t="n">
        <v>65565</v>
      </c>
      <c r="R9" s="0" t="n">
        <v>21662</v>
      </c>
      <c r="S9" s="0" t="n">
        <v>6246</v>
      </c>
      <c r="U9" s="0" t="n">
        <v>308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55517</v>
      </c>
      <c r="I10" s="0" t="n">
        <v>6938</v>
      </c>
      <c r="J10" s="0" t="n">
        <v>12.4970729686402</v>
      </c>
      <c r="K10" s="0" t="n">
        <v>5.54</v>
      </c>
      <c r="L10" s="0" t="n">
        <v>16569</v>
      </c>
      <c r="M10" s="0" t="n">
        <v>17085</v>
      </c>
      <c r="N10" s="0" t="n">
        <v>-516</v>
      </c>
      <c r="O10" s="0" t="n">
        <v>52273</v>
      </c>
      <c r="P10" s="0" t="n">
        <v>116539</v>
      </c>
      <c r="Q10" s="0" t="n">
        <v>64266</v>
      </c>
      <c r="R10" s="0" t="n">
        <v>22565</v>
      </c>
      <c r="S10" s="0" t="n">
        <v>5062</v>
      </c>
      <c r="U10" s="0" t="n">
        <v>358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30935</v>
      </c>
      <c r="I11" s="0" t="n">
        <v>-4428</v>
      </c>
      <c r="J11" s="0" t="n">
        <v>-14.3138839502182</v>
      </c>
      <c r="K11" s="0" t="n">
        <v>-3.58</v>
      </c>
      <c r="L11" s="0" t="n">
        <v>7572</v>
      </c>
      <c r="M11" s="0" t="n">
        <v>10050</v>
      </c>
      <c r="N11" s="0" t="n">
        <v>-2478</v>
      </c>
      <c r="O11" s="0" t="n">
        <v>40082</v>
      </c>
      <c r="P11" s="0" t="n">
        <v>97484</v>
      </c>
      <c r="Q11" s="0" t="n">
        <v>57402</v>
      </c>
      <c r="R11" s="0" t="n">
        <v>24880</v>
      </c>
      <c r="S11" s="0" t="n">
        <v>2368</v>
      </c>
      <c r="U11" s="0" t="n">
        <v>362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24360</v>
      </c>
      <c r="C12" s="0" t="n">
        <v>9994</v>
      </c>
      <c r="I12" s="0" t="n">
        <v>-3615</v>
      </c>
      <c r="J12" s="0" t="n">
        <v>-14.8399014778325</v>
      </c>
      <c r="K12" s="0" t="n">
        <v>-2.91</v>
      </c>
      <c r="L12" s="0" t="n">
        <v>4403</v>
      </c>
      <c r="M12" s="0" t="n">
        <v>4869</v>
      </c>
      <c r="N12" s="0" t="n">
        <v>-466</v>
      </c>
      <c r="O12" s="0" t="n">
        <v>35226</v>
      </c>
      <c r="P12" s="0" t="n">
        <v>89772</v>
      </c>
      <c r="Q12" s="0" t="n">
        <v>54546</v>
      </c>
      <c r="R12" s="0" t="n">
        <v>27275</v>
      </c>
      <c r="S12" s="0" t="n">
        <v>3610</v>
      </c>
      <c r="U12" s="0" t="n">
        <v>272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32584</v>
      </c>
      <c r="C13" s="0" t="n">
        <v>12475</v>
      </c>
      <c r="I13" s="0" t="n">
        <v>-855</v>
      </c>
      <c r="J13" s="0" t="n">
        <v>-2.62398723299779</v>
      </c>
      <c r="K13" s="0" t="n">
        <v>-0.7</v>
      </c>
      <c r="L13" s="0" t="n">
        <v>7077</v>
      </c>
      <c r="M13" s="0" t="n">
        <v>4591</v>
      </c>
      <c r="N13" s="0" t="n">
        <v>2486</v>
      </c>
      <c r="O13" s="0" t="n">
        <v>30801</v>
      </c>
      <c r="P13" s="0" t="n">
        <v>73362</v>
      </c>
      <c r="Q13" s="0" t="n">
        <v>42561</v>
      </c>
      <c r="R13" s="0" t="n">
        <v>25010</v>
      </c>
      <c r="S13" s="0" t="n">
        <v>6325</v>
      </c>
      <c r="U13" s="0" t="n">
        <v>227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38727</v>
      </c>
      <c r="C14" s="0" t="n">
        <v>14294</v>
      </c>
      <c r="I14" s="0" t="n">
        <v>6305</v>
      </c>
      <c r="J14" s="0" t="n">
        <v>16.2806310842565</v>
      </c>
      <c r="K14" s="0" t="n">
        <v>5.36</v>
      </c>
      <c r="L14" s="0" t="n">
        <v>12934</v>
      </c>
      <c r="M14" s="0" t="n">
        <v>6750</v>
      </c>
      <c r="N14" s="0" t="n">
        <v>6184</v>
      </c>
      <c r="O14" s="0" t="n">
        <v>32064</v>
      </c>
      <c r="P14" s="0" t="n">
        <v>69980</v>
      </c>
      <c r="Q14" s="0" t="n">
        <v>37916</v>
      </c>
      <c r="R14" s="0" t="n">
        <v>14968</v>
      </c>
      <c r="S14" s="0" t="n">
        <v>5915</v>
      </c>
      <c r="U14" s="0" t="n">
        <v>265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36670</v>
      </c>
      <c r="C15" s="0" t="n">
        <v>11842</v>
      </c>
      <c r="I15" s="0" t="n">
        <v>7257</v>
      </c>
      <c r="J15" s="0" t="n">
        <v>19.7900190891737</v>
      </c>
      <c r="K15" s="0" t="n">
        <v>6.43</v>
      </c>
      <c r="L15" s="0" t="n">
        <v>11104</v>
      </c>
      <c r="M15" s="0" t="n">
        <v>6636</v>
      </c>
      <c r="N15" s="0" t="n">
        <v>4468</v>
      </c>
      <c r="O15" s="0" t="n">
        <v>35050</v>
      </c>
      <c r="P15" s="0" t="n">
        <v>70514</v>
      </c>
      <c r="Q15" s="0" t="n">
        <v>35464</v>
      </c>
      <c r="R15" s="0" t="n">
        <v>14895</v>
      </c>
      <c r="S15" s="0" t="n">
        <v>5088</v>
      </c>
      <c r="U15" s="0" t="n">
        <v>274</v>
      </c>
      <c r="V15" s="0" t="n">
        <v>1.34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18784</v>
      </c>
      <c r="C16" s="0" t="n">
        <v>8078</v>
      </c>
      <c r="I16" s="0" t="n">
        <v>-2701</v>
      </c>
      <c r="J16" s="0" t="n">
        <v>-14.3792589437819</v>
      </c>
      <c r="K16" s="0" t="n">
        <v>-2.51</v>
      </c>
      <c r="L16" s="0" t="n">
        <v>4802</v>
      </c>
      <c r="M16" s="0" t="n">
        <v>4715</v>
      </c>
      <c r="N16" s="0" t="n">
        <v>87</v>
      </c>
      <c r="O16" s="0" t="n">
        <v>29849</v>
      </c>
      <c r="P16" s="0" t="n">
        <v>62618</v>
      </c>
      <c r="Q16" s="0" t="n">
        <v>32769</v>
      </c>
      <c r="R16" s="0" t="n">
        <v>15369</v>
      </c>
      <c r="S16" s="0" t="n">
        <v>2991</v>
      </c>
      <c r="T16" s="0" t="n">
        <v>1078.03</v>
      </c>
      <c r="U16" s="0" t="n">
        <v>159</v>
      </c>
      <c r="V16" s="0" t="n">
        <v>1.69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45828</v>
      </c>
      <c r="C17" s="0" t="n">
        <v>18158</v>
      </c>
      <c r="I17" s="0" t="n">
        <v>8079</v>
      </c>
      <c r="J17" s="0" t="n">
        <v>17.6289604608536</v>
      </c>
      <c r="K17" s="0" t="n">
        <v>6.09</v>
      </c>
      <c r="L17" s="0" t="n">
        <v>16996</v>
      </c>
      <c r="M17" s="0" t="n">
        <v>5324</v>
      </c>
      <c r="N17" s="0" t="n">
        <v>11672</v>
      </c>
      <c r="O17" s="0" t="n">
        <v>45406</v>
      </c>
      <c r="P17" s="0" t="n">
        <v>90661</v>
      </c>
      <c r="Q17" s="0" t="n">
        <v>45255</v>
      </c>
      <c r="R17" s="0" t="n">
        <v>19934</v>
      </c>
      <c r="S17" s="0" t="n">
        <v>5028</v>
      </c>
      <c r="T17" s="0" t="n">
        <v>1328.151</v>
      </c>
      <c r="U17" s="0" t="n">
        <v>304</v>
      </c>
      <c r="V17" s="0" t="n">
        <v>1.75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78494</v>
      </c>
      <c r="C18" s="0" t="n">
        <v>33971</v>
      </c>
      <c r="I18" s="0" t="n">
        <v>18680</v>
      </c>
      <c r="J18" s="0" t="n">
        <v>23.7979972991566</v>
      </c>
      <c r="K18" s="0" t="n">
        <v>14.62</v>
      </c>
      <c r="L18" s="0" t="n">
        <v>28314</v>
      </c>
      <c r="M18" s="0" t="n">
        <v>10159</v>
      </c>
      <c r="N18" s="0" t="n">
        <v>18155</v>
      </c>
      <c r="O18" s="0" t="n">
        <v>48003</v>
      </c>
      <c r="P18" s="0" t="n">
        <v>93829</v>
      </c>
      <c r="Q18" s="0" t="n">
        <v>45826</v>
      </c>
      <c r="R18" s="0" t="n">
        <v>16643</v>
      </c>
      <c r="S18" s="0" t="n">
        <v>6458</v>
      </c>
      <c r="T18" s="0" t="n">
        <v>1278.163</v>
      </c>
      <c r="U18" s="0" t="n">
        <v>377</v>
      </c>
      <c r="V18" s="0" t="n">
        <v>1.89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56141</v>
      </c>
      <c r="C19" s="0" t="n">
        <v>21975</v>
      </c>
      <c r="I19" s="0" t="n">
        <v>10957</v>
      </c>
      <c r="J19" s="0" t="n">
        <v>19.5169305854901</v>
      </c>
      <c r="K19" s="0" t="n">
        <v>9.08</v>
      </c>
      <c r="L19" s="0" t="n">
        <v>19965</v>
      </c>
      <c r="M19" s="0" t="n">
        <v>11248</v>
      </c>
      <c r="N19" s="0" t="n">
        <v>8717</v>
      </c>
      <c r="O19" s="0" t="n">
        <v>49279</v>
      </c>
      <c r="P19" s="0" t="n">
        <v>95924</v>
      </c>
      <c r="Q19" s="0" t="n">
        <v>46645</v>
      </c>
      <c r="R19" s="0" t="n">
        <v>18937</v>
      </c>
      <c r="S19" s="0" t="n">
        <v>5635</v>
      </c>
      <c r="T19" s="0" t="n">
        <v>1205.675</v>
      </c>
      <c r="U19" s="0" t="n">
        <v>334</v>
      </c>
      <c r="V19" s="0" t="n">
        <v>2.11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54745</v>
      </c>
      <c r="C20" s="0" t="n">
        <v>20012</v>
      </c>
      <c r="I20" s="0" t="n">
        <v>9245</v>
      </c>
      <c r="J20" s="0" t="n">
        <v>16.8873869759795</v>
      </c>
      <c r="K20" s="0" t="n">
        <v>7.82</v>
      </c>
      <c r="L20" s="0" t="n">
        <v>20124</v>
      </c>
      <c r="M20" s="0" t="n">
        <v>12118</v>
      </c>
      <c r="N20" s="0" t="n">
        <v>8006</v>
      </c>
      <c r="O20" s="0" t="n">
        <v>64796</v>
      </c>
      <c r="P20" s="0" t="n">
        <v>122780</v>
      </c>
      <c r="Q20" s="0" t="n">
        <v>57984</v>
      </c>
      <c r="R20" s="0" t="n">
        <v>24324</v>
      </c>
      <c r="S20" s="0" t="n">
        <v>5607</v>
      </c>
      <c r="T20" s="0" t="n">
        <v>1180.871</v>
      </c>
      <c r="U20" s="0" t="n">
        <v>268</v>
      </c>
      <c r="V20" s="0" t="n">
        <v>2.52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58944</v>
      </c>
      <c r="C21" s="0" t="n">
        <v>22325</v>
      </c>
      <c r="I21" s="0" t="n">
        <v>7988</v>
      </c>
      <c r="J21" s="0" t="n">
        <v>13.5518458197611</v>
      </c>
      <c r="K21" s="0" t="n">
        <v>6.36</v>
      </c>
      <c r="L21" s="0" t="n">
        <v>19796</v>
      </c>
      <c r="M21" s="0" t="n">
        <v>12553</v>
      </c>
      <c r="N21" s="0" t="n">
        <v>7243</v>
      </c>
      <c r="O21" s="0" t="n">
        <v>64487</v>
      </c>
      <c r="P21" s="0" t="n">
        <v>121939</v>
      </c>
      <c r="Q21" s="0" t="n">
        <v>57452</v>
      </c>
      <c r="R21" s="0" t="n">
        <v>23444</v>
      </c>
      <c r="S21" s="0" t="n">
        <v>6497</v>
      </c>
      <c r="T21" s="0" t="n">
        <v>1253.446</v>
      </c>
      <c r="U21" s="0" t="n">
        <v>336</v>
      </c>
      <c r="V21" s="0" t="n">
        <v>3.18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127.3</v>
      </c>
    </row>
    <row r="3" customFormat="false" ht="15" hidden="false" customHeight="false" outlineLevel="0" collapsed="false">
      <c r="A3" s="0" t="s">
        <v>86</v>
      </c>
      <c r="B3" s="3" t="n">
        <v>1203</v>
      </c>
    </row>
    <row r="4" customFormat="false" ht="15" hidden="false" customHeight="false" outlineLevel="0" collapsed="false">
      <c r="A4" s="0" t="s">
        <v>87</v>
      </c>
      <c r="B4" s="3" t="n">
        <v>14440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58944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3</v>
      </c>
      <c r="D13" s="3" t="n">
        <v>-12</v>
      </c>
      <c r="E13" s="3" t="n">
        <v>0</v>
      </c>
      <c r="F13" s="3" t="n">
        <v>3</v>
      </c>
      <c r="G13" s="3" t="n">
        <v>3</v>
      </c>
      <c r="H13" s="3" t="n">
        <v>2</v>
      </c>
      <c r="I13" s="3" t="n">
        <v>1.5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107</v>
      </c>
      <c r="C14" s="3" t="n">
        <v>42</v>
      </c>
      <c r="D14" s="3" t="n">
        <v>38.5</v>
      </c>
      <c r="E14" s="3" t="n">
        <v>39</v>
      </c>
      <c r="F14" s="3" t="n">
        <v>39.5</v>
      </c>
      <c r="G14" s="3" t="n">
        <v>40</v>
      </c>
      <c r="H14" s="3" t="n">
        <v>40</v>
      </c>
      <c r="I14" s="3" t="n">
        <v>40</v>
      </c>
      <c r="J14" s="3" t="n">
        <v>40</v>
      </c>
      <c r="K14" s="3" t="n">
        <v>40</v>
      </c>
      <c r="L14" s="3" t="n">
        <v>40</v>
      </c>
    </row>
    <row r="15" customFormat="false" ht="15" hidden="false" customHeight="false" outlineLevel="0" collapsed="false">
      <c r="A15" s="0" t="s">
        <v>108</v>
      </c>
      <c r="C15" s="3" t="n">
        <v>0.6</v>
      </c>
      <c r="D15" s="3" t="n">
        <v>0.65</v>
      </c>
      <c r="E15" s="3" t="n">
        <v>0.65</v>
      </c>
      <c r="F15" s="3" t="n">
        <v>0.65</v>
      </c>
      <c r="G15" s="3" t="n">
        <v>0.65</v>
      </c>
      <c r="H15" s="3" t="n">
        <v>0.65</v>
      </c>
      <c r="I15" s="3" t="n">
        <v>0.65</v>
      </c>
      <c r="J15" s="3" t="n">
        <v>0.65</v>
      </c>
      <c r="K15" s="3" t="n">
        <v>0.65</v>
      </c>
      <c r="L15" s="3" t="n">
        <v>0.65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20</v>
      </c>
      <c r="D17" s="3" t="n">
        <v>21.5</v>
      </c>
      <c r="E17" s="3" t="n">
        <v>21</v>
      </c>
      <c r="F17" s="3" t="n">
        <v>20.5</v>
      </c>
      <c r="G17" s="3" t="n">
        <v>20</v>
      </c>
      <c r="H17" s="3" t="n">
        <v>20</v>
      </c>
      <c r="I17" s="3" t="n">
        <v>19.5</v>
      </c>
      <c r="J17" s="3" t="n">
        <v>19.5</v>
      </c>
      <c r="K17" s="3" t="n">
        <v>19.5</v>
      </c>
      <c r="L17" s="3" t="n">
        <v>19.5</v>
      </c>
    </row>
    <row r="18" customFormat="false" ht="15" hidden="false" customHeight="false" outlineLevel="0" collapsed="false">
      <c r="A18" s="0" t="s">
        <v>111</v>
      </c>
      <c r="C18" s="3" t="n">
        <v>20</v>
      </c>
      <c r="D18" s="3" t="n">
        <v>21</v>
      </c>
      <c r="E18" s="3" t="n">
        <v>20.5</v>
      </c>
      <c r="F18" s="3" t="n">
        <v>19.5</v>
      </c>
      <c r="G18" s="3" t="n">
        <v>19.5</v>
      </c>
      <c r="H18" s="3" t="n">
        <v>19.5</v>
      </c>
      <c r="I18" s="3" t="n">
        <v>19.5</v>
      </c>
      <c r="J18" s="3" t="n">
        <v>19.5</v>
      </c>
      <c r="K18" s="3" t="n">
        <v>19.5</v>
      </c>
      <c r="L18" s="3" t="n">
        <v>19.5</v>
      </c>
    </row>
    <row r="19" customFormat="false" ht="15" hidden="false" customHeight="false" outlineLevel="0" collapsed="false">
      <c r="A19" s="0" t="s">
        <v>112</v>
      </c>
      <c r="C19" s="3" t="n">
        <v>33</v>
      </c>
      <c r="D19" s="3" t="n">
        <v>33</v>
      </c>
      <c r="E19" s="3" t="n">
        <v>33</v>
      </c>
      <c r="F19" s="3" t="n">
        <v>33</v>
      </c>
      <c r="G19" s="3" t="n">
        <v>33</v>
      </c>
      <c r="H19" s="3" t="n">
        <v>33</v>
      </c>
      <c r="I19" s="3" t="n">
        <v>33</v>
      </c>
      <c r="J19" s="3" t="n">
        <v>33</v>
      </c>
      <c r="K19" s="3" t="n">
        <v>33</v>
      </c>
      <c r="L19" s="3" t="n">
        <v>33</v>
      </c>
    </row>
    <row r="20" customFormat="false" ht="15" hidden="false" customHeight="false" outlineLevel="0" collapsed="false">
      <c r="A20" s="0" t="s">
        <v>113</v>
      </c>
      <c r="B20" s="3" t="n">
        <v>9</v>
      </c>
    </row>
    <row r="21" customFormat="false" ht="15" hidden="false" customHeight="false" outlineLevel="0" collapsed="false">
      <c r="A21" s="0" t="s">
        <v>114</v>
      </c>
      <c r="B21" s="3" t="n">
        <v>0.5</v>
      </c>
    </row>
    <row r="22" customFormat="false" ht="15" hidden="false" customHeight="false" outlineLevel="0" collapsed="false">
      <c r="A22" s="0" t="s">
        <v>115</v>
      </c>
      <c r="B22" s="3" t="n">
        <v>12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6</v>
      </c>
      <c r="D27" s="3" t="n">
        <v>-2</v>
      </c>
      <c r="E27" s="3" t="n">
        <v>3</v>
      </c>
      <c r="F27" s="3" t="n">
        <v>4</v>
      </c>
      <c r="G27" s="3" t="n">
        <v>4</v>
      </c>
      <c r="H27" s="3" t="n">
        <v>3</v>
      </c>
      <c r="I27" s="3" t="n">
        <v>2.5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107</v>
      </c>
      <c r="C28" s="3" t="n">
        <v>43</v>
      </c>
      <c r="D28" s="3" t="n">
        <v>43.5</v>
      </c>
      <c r="E28" s="3" t="n">
        <v>44</v>
      </c>
      <c r="F28" s="3" t="n">
        <v>44.5</v>
      </c>
      <c r="G28" s="3" t="n">
        <v>45</v>
      </c>
      <c r="H28" s="3" t="n">
        <v>45</v>
      </c>
      <c r="I28" s="3" t="n">
        <v>45</v>
      </c>
      <c r="J28" s="3" t="n">
        <v>45</v>
      </c>
      <c r="K28" s="3" t="n">
        <v>45</v>
      </c>
      <c r="L28" s="3" t="n">
        <v>45</v>
      </c>
    </row>
    <row r="29" customFormat="false" ht="15" hidden="false" customHeight="false" outlineLevel="0" collapsed="false">
      <c r="A29" s="0" t="s">
        <v>108</v>
      </c>
      <c r="C29" s="3" t="n">
        <v>0.55</v>
      </c>
      <c r="D29" s="3" t="n">
        <v>0.55</v>
      </c>
      <c r="E29" s="3" t="n">
        <v>0.55</v>
      </c>
      <c r="F29" s="3" t="n">
        <v>0.55</v>
      </c>
      <c r="G29" s="3" t="n">
        <v>0.55</v>
      </c>
      <c r="H29" s="3" t="n">
        <v>0.55</v>
      </c>
      <c r="I29" s="3" t="n">
        <v>0.55</v>
      </c>
      <c r="J29" s="3" t="n">
        <v>0.55</v>
      </c>
      <c r="K29" s="3" t="n">
        <v>0.55</v>
      </c>
      <c r="L29" s="3" t="n">
        <v>0.55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19.5</v>
      </c>
      <c r="D31" s="3" t="n">
        <v>19.5</v>
      </c>
      <c r="E31" s="3" t="n">
        <v>19.5</v>
      </c>
      <c r="F31" s="3" t="n">
        <v>19</v>
      </c>
      <c r="G31" s="3" t="n">
        <v>19</v>
      </c>
      <c r="H31" s="3" t="n">
        <v>18.5</v>
      </c>
      <c r="I31" s="3" t="n">
        <v>18.5</v>
      </c>
      <c r="J31" s="3" t="n">
        <v>18</v>
      </c>
      <c r="K31" s="3" t="n">
        <v>18</v>
      </c>
      <c r="L31" s="3" t="n">
        <v>18</v>
      </c>
    </row>
    <row r="32" customFormat="false" ht="15" hidden="false" customHeight="false" outlineLevel="0" collapsed="false">
      <c r="A32" s="0" t="s">
        <v>111</v>
      </c>
      <c r="C32" s="3" t="n">
        <v>19.5</v>
      </c>
      <c r="D32" s="3" t="n">
        <v>20</v>
      </c>
      <c r="E32" s="3" t="n">
        <v>19.5</v>
      </c>
      <c r="F32" s="3" t="n">
        <v>18.5</v>
      </c>
      <c r="G32" s="3" t="n">
        <v>18</v>
      </c>
      <c r="H32" s="3" t="n">
        <v>18</v>
      </c>
      <c r="I32" s="3" t="n">
        <v>18</v>
      </c>
      <c r="J32" s="3" t="n">
        <v>18</v>
      </c>
      <c r="K32" s="3" t="n">
        <v>18</v>
      </c>
      <c r="L32" s="3" t="n">
        <v>18</v>
      </c>
    </row>
    <row r="33" customFormat="false" ht="15" hidden="false" customHeight="false" outlineLevel="0" collapsed="false">
      <c r="A33" s="0" t="s">
        <v>112</v>
      </c>
      <c r="C33" s="3" t="n">
        <v>34</v>
      </c>
      <c r="D33" s="3" t="n">
        <v>34</v>
      </c>
      <c r="E33" s="3" t="n">
        <v>34</v>
      </c>
      <c r="F33" s="3" t="n">
        <v>34</v>
      </c>
      <c r="G33" s="3" t="n">
        <v>34</v>
      </c>
      <c r="H33" s="3" t="n">
        <v>34</v>
      </c>
      <c r="I33" s="3" t="n">
        <v>34</v>
      </c>
      <c r="J33" s="3" t="n">
        <v>34</v>
      </c>
      <c r="K33" s="3" t="n">
        <v>34</v>
      </c>
      <c r="L33" s="3" t="n">
        <v>34</v>
      </c>
    </row>
    <row r="34" customFormat="false" ht="15" hidden="false" customHeight="false" outlineLevel="0" collapsed="false">
      <c r="A34" s="0" t="s">
        <v>113</v>
      </c>
      <c r="B34" s="3" t="n">
        <v>9</v>
      </c>
    </row>
    <row r="35" customFormat="false" ht="15" hidden="false" customHeight="false" outlineLevel="0" collapsed="false">
      <c r="A35" s="0" t="s">
        <v>114</v>
      </c>
      <c r="B35" s="3" t="n">
        <v>1.5</v>
      </c>
    </row>
    <row r="36" customFormat="false" ht="15" hidden="false" customHeight="false" outlineLevel="0" collapsed="false">
      <c r="A36" s="0" t="s">
        <v>115</v>
      </c>
      <c r="B36" s="3" t="n">
        <v>12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9</v>
      </c>
      <c r="D41" s="3" t="n">
        <v>2</v>
      </c>
      <c r="E41" s="3" t="n">
        <v>4</v>
      </c>
      <c r="F41" s="3" t="n">
        <v>6</v>
      </c>
      <c r="G41" s="3" t="n">
        <v>5</v>
      </c>
      <c r="H41" s="3" t="n">
        <v>4</v>
      </c>
      <c r="I41" s="3" t="n">
        <v>3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107</v>
      </c>
      <c r="C42" s="3" t="n">
        <v>44</v>
      </c>
      <c r="D42" s="3" t="n">
        <v>45</v>
      </c>
      <c r="E42" s="3" t="n">
        <v>46</v>
      </c>
      <c r="F42" s="3" t="n">
        <v>47</v>
      </c>
      <c r="G42" s="3" t="n">
        <v>47.5</v>
      </c>
      <c r="H42" s="3" t="n">
        <v>48</v>
      </c>
      <c r="I42" s="3" t="n">
        <v>48</v>
      </c>
      <c r="J42" s="3" t="n">
        <v>48</v>
      </c>
      <c r="K42" s="3" t="n">
        <v>48</v>
      </c>
      <c r="L42" s="3" t="n">
        <v>48</v>
      </c>
    </row>
    <row r="43" customFormat="false" ht="15" hidden="false" customHeight="false" outlineLevel="0" collapsed="false">
      <c r="A43" s="0" t="s">
        <v>108</v>
      </c>
      <c r="C43" s="3" t="n">
        <v>0.55</v>
      </c>
      <c r="D43" s="3" t="n">
        <v>0.55</v>
      </c>
      <c r="E43" s="3" t="n">
        <v>0.55</v>
      </c>
      <c r="F43" s="3" t="n">
        <v>0.55</v>
      </c>
      <c r="G43" s="3" t="n">
        <v>0.55</v>
      </c>
      <c r="H43" s="3" t="n">
        <v>0.55</v>
      </c>
      <c r="I43" s="3" t="n">
        <v>0.55</v>
      </c>
      <c r="J43" s="3" t="n">
        <v>0.55</v>
      </c>
      <c r="K43" s="3" t="n">
        <v>0.55</v>
      </c>
      <c r="L43" s="3" t="n">
        <v>0.55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19</v>
      </c>
      <c r="D45" s="3" t="n">
        <v>19</v>
      </c>
      <c r="E45" s="3" t="n">
        <v>18.5</v>
      </c>
      <c r="F45" s="3" t="n">
        <v>18</v>
      </c>
      <c r="G45" s="3" t="n">
        <v>18</v>
      </c>
      <c r="H45" s="3" t="n">
        <v>17.5</v>
      </c>
      <c r="I45" s="3" t="n">
        <v>17.5</v>
      </c>
      <c r="J45" s="3" t="n">
        <v>17.5</v>
      </c>
      <c r="K45" s="3" t="n">
        <v>17.5</v>
      </c>
      <c r="L45" s="3" t="n">
        <v>17.5</v>
      </c>
    </row>
    <row r="46" customFormat="false" ht="15" hidden="false" customHeight="false" outlineLevel="0" collapsed="false">
      <c r="A46" s="0" t="s">
        <v>111</v>
      </c>
      <c r="C46" s="3" t="n">
        <v>19</v>
      </c>
      <c r="D46" s="3" t="n">
        <v>19</v>
      </c>
      <c r="E46" s="3" t="n">
        <v>18.5</v>
      </c>
      <c r="F46" s="3" t="n">
        <v>17.5</v>
      </c>
      <c r="G46" s="3" t="n">
        <v>17.5</v>
      </c>
      <c r="H46" s="3" t="n">
        <v>17.5</v>
      </c>
      <c r="I46" s="3" t="n">
        <v>17.5</v>
      </c>
      <c r="J46" s="3" t="n">
        <v>17.5</v>
      </c>
      <c r="K46" s="3" t="n">
        <v>17.5</v>
      </c>
      <c r="L46" s="3" t="n">
        <v>17.5</v>
      </c>
    </row>
    <row r="47" customFormat="false" ht="15" hidden="false" customHeight="false" outlineLevel="0" collapsed="false">
      <c r="A47" s="0" t="s">
        <v>112</v>
      </c>
      <c r="C47" s="3" t="n">
        <v>35</v>
      </c>
      <c r="D47" s="3" t="n">
        <v>35</v>
      </c>
      <c r="E47" s="3" t="n">
        <v>35</v>
      </c>
      <c r="F47" s="3" t="n">
        <v>35</v>
      </c>
      <c r="G47" s="3" t="n">
        <v>35</v>
      </c>
      <c r="H47" s="3" t="n">
        <v>35</v>
      </c>
      <c r="I47" s="3" t="n">
        <v>35</v>
      </c>
      <c r="J47" s="3" t="n">
        <v>35</v>
      </c>
      <c r="K47" s="3" t="n">
        <v>35</v>
      </c>
      <c r="L47" s="3" t="n">
        <v>35</v>
      </c>
    </row>
    <row r="48" customFormat="false" ht="15" hidden="false" customHeight="false" outlineLevel="0" collapsed="false">
      <c r="A48" s="0" t="s">
        <v>113</v>
      </c>
      <c r="B48" s="3" t="n">
        <v>9</v>
      </c>
    </row>
    <row r="49" customFormat="false" ht="15" hidden="false" customHeight="false" outlineLevel="0" collapsed="false">
      <c r="A49" s="0" t="s">
        <v>114</v>
      </c>
      <c r="B49" s="3" t="n">
        <v>2</v>
      </c>
    </row>
    <row r="50" customFormat="false" ht="15" hidden="false" customHeight="false" outlineLevel="0" collapsed="false">
      <c r="A50" s="0" t="s">
        <v>115</v>
      </c>
      <c r="B50" s="3" t="n">
        <v>12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3</v>
      </c>
      <c r="D5" s="4" t="n">
        <f aca="false">Assumptions!D13</f>
        <v>-12</v>
      </c>
      <c r="E5" s="4" t="n">
        <f aca="false">Assumptions!E13</f>
        <v>0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2</v>
      </c>
      <c r="I5" s="4" t="n">
        <f aca="false">Assumptions!I13</f>
        <v>1.5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58944</v>
      </c>
      <c r="C6" s="0" t="n">
        <f aca="false">B6*(1+C5/100)</f>
        <v>60712.32</v>
      </c>
      <c r="D6" s="0" t="n">
        <f aca="false">C6*(1+D5/100)</f>
        <v>53426.8416</v>
      </c>
      <c r="E6" s="0" t="n">
        <f aca="false">D6*(1+E5/100)</f>
        <v>53426.8416</v>
      </c>
      <c r="F6" s="0" t="n">
        <f aca="false">E6*(1+F5/100)</f>
        <v>55029.646848</v>
      </c>
      <c r="G6" s="0" t="n">
        <f aca="false">F6*(1+G5/100)</f>
        <v>56680.53625344</v>
      </c>
      <c r="H6" s="0" t="n">
        <f aca="false">G6*(1+H5/100)</f>
        <v>57814.1469785088</v>
      </c>
      <c r="I6" s="0" t="n">
        <f aca="false">H6*(1+I5/100)</f>
        <v>58681.3591831864</v>
      </c>
      <c r="J6" s="0" t="n">
        <f aca="false">I6*(1+J5/100)</f>
        <v>59268.1727750183</v>
      </c>
      <c r="K6" s="0" t="n">
        <f aca="false">J6*(1+K5/100)</f>
        <v>59860.8545027685</v>
      </c>
      <c r="L6" s="0" t="n">
        <f aca="false">K6*(1+L5/100)</f>
        <v>60459.4630477962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42</v>
      </c>
      <c r="D7" s="4" t="n">
        <f aca="false">Assumptions!D14</f>
        <v>38.5</v>
      </c>
      <c r="E7" s="4" t="n">
        <f aca="false">Assumptions!E14</f>
        <v>39</v>
      </c>
      <c r="F7" s="4" t="n">
        <f aca="false">Assumptions!F14</f>
        <v>39.5</v>
      </c>
      <c r="G7" s="4" t="n">
        <f aca="false">Assumptions!G14</f>
        <v>40</v>
      </c>
      <c r="H7" s="4" t="n">
        <f aca="false">Assumptions!H14</f>
        <v>40</v>
      </c>
      <c r="I7" s="4" t="n">
        <f aca="false">Assumptions!I14</f>
        <v>40</v>
      </c>
      <c r="J7" s="4" t="n">
        <f aca="false">Assumptions!J14</f>
        <v>40</v>
      </c>
      <c r="K7" s="4" t="n">
        <f aca="false">Assumptions!K14</f>
        <v>40</v>
      </c>
      <c r="L7" s="4" t="n">
        <f aca="false">Assumptions!L14</f>
        <v>40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25499.1744</v>
      </c>
      <c r="D8" s="0" t="n">
        <f aca="false">D6*D7/100</f>
        <v>20569.334016</v>
      </c>
      <c r="E8" s="0" t="n">
        <f aca="false">E6*E7/100</f>
        <v>20836.468224</v>
      </c>
      <c r="F8" s="0" t="n">
        <f aca="false">F6*F7/100</f>
        <v>21736.71050496</v>
      </c>
      <c r="G8" s="0" t="n">
        <f aca="false">G6*G7/100</f>
        <v>22672.214501376</v>
      </c>
      <c r="H8" s="0" t="n">
        <f aca="false">H6*H7/100</f>
        <v>23125.6587914035</v>
      </c>
      <c r="I8" s="0" t="n">
        <f aca="false">I6*I7/100</f>
        <v>23472.5436732746</v>
      </c>
      <c r="J8" s="0" t="n">
        <f aca="false">J6*J7/100</f>
        <v>23707.2691100073</v>
      </c>
      <c r="K8" s="0" t="n">
        <f aca="false">K6*K7/100</f>
        <v>23944.3418011074</v>
      </c>
      <c r="L8" s="0" t="n">
        <f aca="false">L6*L7/100</f>
        <v>24183.7852191185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0.6</v>
      </c>
      <c r="D9" s="4" t="n">
        <f aca="false">Assumptions!D15</f>
        <v>0.65</v>
      </c>
      <c r="E9" s="4" t="n">
        <f aca="false">Assumptions!E15</f>
        <v>0.65</v>
      </c>
      <c r="F9" s="4" t="n">
        <f aca="false">Assumptions!F15</f>
        <v>0.65</v>
      </c>
      <c r="G9" s="4" t="n">
        <f aca="false">Assumptions!G15</f>
        <v>0.65</v>
      </c>
      <c r="H9" s="4" t="n">
        <f aca="false">Assumptions!H15</f>
        <v>0.65</v>
      </c>
      <c r="I9" s="4" t="n">
        <f aca="false">Assumptions!I15</f>
        <v>0.65</v>
      </c>
      <c r="J9" s="4" t="n">
        <f aca="false">Assumptions!J15</f>
        <v>0.65</v>
      </c>
      <c r="K9" s="4" t="n">
        <f aca="false">Assumptions!K15</f>
        <v>0.65</v>
      </c>
      <c r="L9" s="4" t="n">
        <f aca="false">Assumptions!L15</f>
        <v>0.65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-364.27392</v>
      </c>
      <c r="D10" s="0" t="n">
        <f aca="false">-D6*D9/100</f>
        <v>-347.2744704</v>
      </c>
      <c r="E10" s="0" t="n">
        <f aca="false">-E6*E9/100</f>
        <v>-347.2744704</v>
      </c>
      <c r="F10" s="0" t="n">
        <f aca="false">-F6*F9/100</f>
        <v>-357.692704512</v>
      </c>
      <c r="G10" s="0" t="n">
        <f aca="false">-G6*G9/100</f>
        <v>-368.42348564736</v>
      </c>
      <c r="H10" s="0" t="n">
        <f aca="false">-H6*H9/100</f>
        <v>-375.791955360307</v>
      </c>
      <c r="I10" s="0" t="n">
        <f aca="false">-I6*I9/100</f>
        <v>-381.428834690712</v>
      </c>
      <c r="J10" s="0" t="n">
        <f aca="false">-J6*J9/100</f>
        <v>-385.243123037619</v>
      </c>
      <c r="K10" s="0" t="n">
        <f aca="false">-K6*K9/100</f>
        <v>-389.095554267995</v>
      </c>
      <c r="L10" s="0" t="n">
        <f aca="false">-L6*L9/100</f>
        <v>-392.986509810675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25134.90048</v>
      </c>
      <c r="D11" s="0" t="n">
        <f aca="false">D8+D10+D24</f>
        <v>20222.0595456</v>
      </c>
      <c r="E11" s="0" t="n">
        <f aca="false">E8+E10+E24</f>
        <v>20489.1937536</v>
      </c>
      <c r="F11" s="0" t="n">
        <f aca="false">F8+F10+F24</f>
        <v>21379.017800448</v>
      </c>
      <c r="G11" s="0" t="n">
        <f aca="false">G8+G10+G24</f>
        <v>22303.7910157286</v>
      </c>
      <c r="H11" s="0" t="n">
        <f aca="false">H8+H10+H24</f>
        <v>22749.8668360432</v>
      </c>
      <c r="I11" s="0" t="n">
        <f aca="false">I8+I10+I24</f>
        <v>23091.1148385839</v>
      </c>
      <c r="J11" s="0" t="n">
        <f aca="false">J8+J10+J24</f>
        <v>23322.0259869697</v>
      </c>
      <c r="K11" s="0" t="n">
        <f aca="false">K8+K10+K24</f>
        <v>23555.2462468394</v>
      </c>
      <c r="L11" s="0" t="n">
        <f aca="false">L8+L10+L24</f>
        <v>23790.7987093078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-12142.464</v>
      </c>
      <c r="D12" s="4" t="n">
        <f aca="false">-D6*Assumptions!D17/100</f>
        <v>-11486.770944</v>
      </c>
      <c r="E12" s="4" t="n">
        <f aca="false">-E6*Assumptions!E17/100</f>
        <v>-11219.636736</v>
      </c>
      <c r="F12" s="4" t="n">
        <f aca="false">-F6*Assumptions!F17/100</f>
        <v>-11281.07760384</v>
      </c>
      <c r="G12" s="4" t="n">
        <f aca="false">-G6*Assumptions!G17/100</f>
        <v>-11336.107250688</v>
      </c>
      <c r="H12" s="4" t="n">
        <f aca="false">-H6*Assumptions!H17/100</f>
        <v>-11562.8293957018</v>
      </c>
      <c r="I12" s="4" t="n">
        <f aca="false">-I6*Assumptions!I17/100</f>
        <v>-11442.8650407214</v>
      </c>
      <c r="J12" s="4" t="n">
        <f aca="false">-J6*Assumptions!J17/100</f>
        <v>-11557.2936911286</v>
      </c>
      <c r="K12" s="4" t="n">
        <f aca="false">-K6*Assumptions!K17/100</f>
        <v>-11672.8666280399</v>
      </c>
      <c r="L12" s="4" t="n">
        <f aca="false">-L6*Assumptions!L17/100</f>
        <v>-11789.5952943203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12992.43648</v>
      </c>
      <c r="D13" s="0" t="n">
        <f aca="false">D11+D12</f>
        <v>8735.2886016</v>
      </c>
      <c r="E13" s="0" t="n">
        <f aca="false">E11+E12</f>
        <v>9269.5570176</v>
      </c>
      <c r="F13" s="0" t="n">
        <f aca="false">F11+F12</f>
        <v>10097.940196608</v>
      </c>
      <c r="G13" s="0" t="n">
        <f aca="false">G11+G12</f>
        <v>10967.6837650406</v>
      </c>
      <c r="H13" s="0" t="n">
        <f aca="false">H11+H12</f>
        <v>11187.0374403415</v>
      </c>
      <c r="I13" s="0" t="n">
        <f aca="false">I11+I12</f>
        <v>11648.2497978625</v>
      </c>
      <c r="J13" s="0" t="n">
        <f aca="false">J11+J12</f>
        <v>11764.7322958411</v>
      </c>
      <c r="K13" s="0" t="n">
        <f aca="false">K11+K12</f>
        <v>11882.3796187995</v>
      </c>
      <c r="L13" s="0" t="n">
        <f aca="false">L11+L12</f>
        <v>12001.2034149875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33</v>
      </c>
      <c r="D14" s="4" t="n">
        <f aca="false">Assumptions!D19</f>
        <v>33</v>
      </c>
      <c r="E14" s="4" t="n">
        <f aca="false">Assumptions!E19</f>
        <v>33</v>
      </c>
      <c r="F14" s="4" t="n">
        <f aca="false">Assumptions!F19</f>
        <v>33</v>
      </c>
      <c r="G14" s="4" t="n">
        <f aca="false">Assumptions!G19</f>
        <v>33</v>
      </c>
      <c r="H14" s="4" t="n">
        <f aca="false">Assumptions!H19</f>
        <v>33</v>
      </c>
      <c r="I14" s="4" t="n">
        <f aca="false">Assumptions!I19</f>
        <v>33</v>
      </c>
      <c r="J14" s="4" t="n">
        <f aca="false">Assumptions!J19</f>
        <v>33</v>
      </c>
      <c r="K14" s="4" t="n">
        <f aca="false">Assumptions!K19</f>
        <v>33</v>
      </c>
      <c r="L14" s="4" t="n">
        <f aca="false">Assumptions!L19</f>
        <v>33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8704.9324416</v>
      </c>
      <c r="D15" s="0" t="n">
        <f aca="false">D13-MAX(0,D13)*D14/100</f>
        <v>5852.643363072</v>
      </c>
      <c r="E15" s="0" t="n">
        <f aca="false">E13-MAX(0,E13)*E14/100</f>
        <v>6210.603201792</v>
      </c>
      <c r="F15" s="0" t="n">
        <f aca="false">F13-MAX(0,F13)*F14/100</f>
        <v>6765.61993172736</v>
      </c>
      <c r="G15" s="0" t="n">
        <f aca="false">G13-MAX(0,G13)*G14/100</f>
        <v>7348.34812257723</v>
      </c>
      <c r="H15" s="0" t="n">
        <f aca="false">H13-MAX(0,H13)*H14/100</f>
        <v>7495.31508502878</v>
      </c>
      <c r="I15" s="0" t="n">
        <f aca="false">I13-MAX(0,I13)*I14/100</f>
        <v>7804.32736456788</v>
      </c>
      <c r="J15" s="0" t="n">
        <f aca="false">J13-MAX(0,J13)*J14/100</f>
        <v>7882.37063821356</v>
      </c>
      <c r="K15" s="0" t="n">
        <f aca="false">K13-MAX(0,K13)*K14/100</f>
        <v>7961.19434459569</v>
      </c>
      <c r="L15" s="0" t="n">
        <f aca="false">L13-MAX(0,L13)*L14/100</f>
        <v>8040.80628804165</v>
      </c>
    </row>
    <row r="16" customFormat="false" ht="15" hidden="false" customHeight="false" outlineLevel="0" collapsed="false">
      <c r="A16" s="0" t="s">
        <v>128</v>
      </c>
      <c r="C16" s="0" t="n">
        <f aca="false">-C12</f>
        <v>12142.464</v>
      </c>
      <c r="D16" s="0" t="n">
        <f aca="false">-D12</f>
        <v>11486.770944</v>
      </c>
      <c r="E16" s="0" t="n">
        <f aca="false">-E12</f>
        <v>11219.636736</v>
      </c>
      <c r="F16" s="0" t="n">
        <f aca="false">-F12</f>
        <v>11281.07760384</v>
      </c>
      <c r="G16" s="0" t="n">
        <f aca="false">-G12</f>
        <v>11336.107250688</v>
      </c>
      <c r="H16" s="0" t="n">
        <f aca="false">-H12</f>
        <v>11562.8293957018</v>
      </c>
      <c r="I16" s="0" t="n">
        <f aca="false">-I12</f>
        <v>11442.8650407214</v>
      </c>
      <c r="J16" s="0" t="n">
        <f aca="false">-J12</f>
        <v>11557.2936911286</v>
      </c>
      <c r="K16" s="0" t="n">
        <f aca="false">-K12</f>
        <v>11672.8666280399</v>
      </c>
      <c r="L16" s="0" t="n">
        <f aca="false">-L12</f>
        <v>11789.5952943203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-12142.464</v>
      </c>
      <c r="D17" s="4" t="n">
        <f aca="false">-D6*Assumptions!D18/100</f>
        <v>-11219.636736</v>
      </c>
      <c r="E17" s="4" t="n">
        <f aca="false">-E6*Assumptions!E18/100</f>
        <v>-10952.502528</v>
      </c>
      <c r="F17" s="4" t="n">
        <f aca="false">-F6*Assumptions!F18/100</f>
        <v>-10730.78113536</v>
      </c>
      <c r="G17" s="4" t="n">
        <f aca="false">-G6*Assumptions!G18/100</f>
        <v>-11052.7045694208</v>
      </c>
      <c r="H17" s="4" t="n">
        <f aca="false">-H6*Assumptions!H18/100</f>
        <v>-11273.7586608092</v>
      </c>
      <c r="I17" s="4" t="n">
        <f aca="false">-I6*Assumptions!I18/100</f>
        <v>-11442.8650407214</v>
      </c>
      <c r="J17" s="4" t="n">
        <f aca="false">-J6*Assumptions!J18/100</f>
        <v>-11557.2936911286</v>
      </c>
      <c r="K17" s="4" t="n">
        <f aca="false">-K6*Assumptions!K18/100</f>
        <v>-11672.8666280399</v>
      </c>
      <c r="L17" s="4" t="n">
        <f aca="false">-L6*Assumptions!L18/100</f>
        <v>-11789.5952943203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8704.9324416</v>
      </c>
      <c r="D19" s="0" t="n">
        <f aca="false">D15+D16+D17+D18</f>
        <v>6119.777571072</v>
      </c>
      <c r="E19" s="0" t="n">
        <f aca="false">E15+E16+E17+E18</f>
        <v>6477.737409792</v>
      </c>
      <c r="F19" s="0" t="n">
        <f aca="false">F15+F16+F17+F18</f>
        <v>7315.91640020736</v>
      </c>
      <c r="G19" s="0" t="n">
        <f aca="false">G15+G16+G17+G18</f>
        <v>7631.75080384443</v>
      </c>
      <c r="H19" s="0" t="n">
        <f aca="false">H15+H16+H17+H18</f>
        <v>7784.38581992132</v>
      </c>
      <c r="I19" s="0" t="n">
        <f aca="false">I15+I16+I17+I18</f>
        <v>7804.32736456788</v>
      </c>
      <c r="J19" s="0" t="n">
        <f aca="false">J15+J16+J17+J18</f>
        <v>7882.37063821355</v>
      </c>
      <c r="K19" s="0" t="n">
        <f aca="false">K15+K16+K17+K18</f>
        <v>7961.19434459569</v>
      </c>
      <c r="L19" s="0" t="n">
        <f aca="false">L15+L16+L17+L18</f>
        <v>8040.80628804165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7986.17655192661</v>
      </c>
      <c r="D21" s="0" t="n">
        <f aca="false">D19*D20</f>
        <v>5150.89434481273</v>
      </c>
      <c r="E21" s="0" t="n">
        <f aca="false">E19*E20</f>
        <v>5002.00181601493</v>
      </c>
      <c r="F21" s="0" t="n">
        <f aca="false">F19*F20</f>
        <v>5182.77961995223</v>
      </c>
      <c r="G21" s="0" t="n">
        <f aca="false">G19*G20</f>
        <v>4960.11437982612</v>
      </c>
      <c r="H21" s="0" t="n">
        <f aca="false">H19*H20</f>
        <v>4641.57492424096</v>
      </c>
      <c r="I21" s="0" t="n">
        <f aca="false">I19*I20</f>
        <v>4269.23432638643</v>
      </c>
      <c r="J21" s="0" t="n">
        <f aca="false">J19*J20</f>
        <v>3955.8960272021</v>
      </c>
      <c r="K21" s="0" t="n">
        <f aca="false">K19*K20</f>
        <v>3665.55503437993</v>
      </c>
      <c r="L21" s="0" t="n">
        <f aca="false">L19*L20</f>
        <v>3396.5234722236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48210.7504969656</v>
      </c>
    </row>
    <row r="31" customFormat="false" ht="15" hidden="false" customHeight="false" outlineLevel="0" collapsed="false">
      <c r="A31" s="0" t="s">
        <v>137</v>
      </c>
      <c r="B31" s="0" t="n">
        <f aca="false">L19</f>
        <v>8040.80628804165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95070.7096409631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96489.6754564998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95070.7096409631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40158.895171585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88369.6456685506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73929.6456685506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61.4544020519955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-0.51724743085628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2358.71813928038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1962.72655825634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65.0466254082189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55731.105651599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30.6699867133996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6</v>
      </c>
      <c r="D5" s="4" t="n">
        <f aca="false">Assumptions!D27</f>
        <v>-2</v>
      </c>
      <c r="E5" s="4" t="n">
        <f aca="false">Assumptions!E27</f>
        <v>3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58944</v>
      </c>
      <c r="C6" s="0" t="n">
        <f aca="false">B6*(1+C5/100)</f>
        <v>62480.64</v>
      </c>
      <c r="D6" s="0" t="n">
        <f aca="false">C6*(1+D5/100)</f>
        <v>61231.0272</v>
      </c>
      <c r="E6" s="0" t="n">
        <f aca="false">D6*(1+E5/100)</f>
        <v>63067.958016</v>
      </c>
      <c r="F6" s="0" t="n">
        <f aca="false">E6*(1+F5/100)</f>
        <v>65590.67633664</v>
      </c>
      <c r="G6" s="0" t="n">
        <f aca="false">F6*(1+G5/100)</f>
        <v>68214.3033901056</v>
      </c>
      <c r="H6" s="0" t="n">
        <f aca="false">G6*(1+H5/100)</f>
        <v>70260.7324918088</v>
      </c>
      <c r="I6" s="0" t="n">
        <f aca="false">H6*(1+I5/100)</f>
        <v>72017.250804104</v>
      </c>
      <c r="J6" s="0" t="n">
        <f aca="false">I6*(1+J5/100)</f>
        <v>73457.5958201861</v>
      </c>
      <c r="K6" s="0" t="n">
        <f aca="false">J6*(1+K5/100)</f>
        <v>74926.7477365898</v>
      </c>
      <c r="L6" s="0" t="n">
        <f aca="false">K6*(1+L5/100)</f>
        <v>76425.2826913216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43</v>
      </c>
      <c r="D7" s="4" t="n">
        <f aca="false">Assumptions!D28</f>
        <v>43.5</v>
      </c>
      <c r="E7" s="4" t="n">
        <f aca="false">Assumptions!E28</f>
        <v>44</v>
      </c>
      <c r="F7" s="4" t="n">
        <f aca="false">Assumptions!F28</f>
        <v>44.5</v>
      </c>
      <c r="G7" s="4" t="n">
        <f aca="false">Assumptions!G28</f>
        <v>45</v>
      </c>
      <c r="H7" s="4" t="n">
        <f aca="false">Assumptions!H28</f>
        <v>45</v>
      </c>
      <c r="I7" s="4" t="n">
        <f aca="false">Assumptions!I28</f>
        <v>45</v>
      </c>
      <c r="J7" s="4" t="n">
        <f aca="false">Assumptions!J28</f>
        <v>45</v>
      </c>
      <c r="K7" s="4" t="n">
        <f aca="false">Assumptions!K28</f>
        <v>45</v>
      </c>
      <c r="L7" s="4" t="n">
        <f aca="false">Assumptions!L28</f>
        <v>45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26866.6752</v>
      </c>
      <c r="D8" s="0" t="n">
        <f aca="false">D6*D7/100</f>
        <v>26635.496832</v>
      </c>
      <c r="E8" s="0" t="n">
        <f aca="false">E6*E7/100</f>
        <v>27749.90152704</v>
      </c>
      <c r="F8" s="0" t="n">
        <f aca="false">F6*F7/100</f>
        <v>29187.8509698048</v>
      </c>
      <c r="G8" s="0" t="n">
        <f aca="false">G6*G7/100</f>
        <v>30696.4365255475</v>
      </c>
      <c r="H8" s="0" t="n">
        <f aca="false">H6*H7/100</f>
        <v>31617.329621314</v>
      </c>
      <c r="I8" s="0" t="n">
        <f aca="false">I6*I7/100</f>
        <v>32407.7628618468</v>
      </c>
      <c r="J8" s="0" t="n">
        <f aca="false">J6*J7/100</f>
        <v>33055.9181190837</v>
      </c>
      <c r="K8" s="0" t="n">
        <f aca="false">K6*K7/100</f>
        <v>33717.0364814654</v>
      </c>
      <c r="L8" s="0" t="n">
        <f aca="false">L6*L7/100</f>
        <v>34391.3772110947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0.55</v>
      </c>
      <c r="D9" s="4" t="n">
        <f aca="false">Assumptions!D29</f>
        <v>0.55</v>
      </c>
      <c r="E9" s="4" t="n">
        <f aca="false">Assumptions!E29</f>
        <v>0.55</v>
      </c>
      <c r="F9" s="4" t="n">
        <f aca="false">Assumptions!F29</f>
        <v>0.55</v>
      </c>
      <c r="G9" s="4" t="n">
        <f aca="false">Assumptions!G29</f>
        <v>0.55</v>
      </c>
      <c r="H9" s="4" t="n">
        <f aca="false">Assumptions!H29</f>
        <v>0.55</v>
      </c>
      <c r="I9" s="4" t="n">
        <f aca="false">Assumptions!I29</f>
        <v>0.55</v>
      </c>
      <c r="J9" s="4" t="n">
        <f aca="false">Assumptions!J29</f>
        <v>0.55</v>
      </c>
      <c r="K9" s="4" t="n">
        <f aca="false">Assumptions!K29</f>
        <v>0.55</v>
      </c>
      <c r="L9" s="4" t="n">
        <f aca="false">Assumptions!L29</f>
        <v>0.55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-343.64352</v>
      </c>
      <c r="D10" s="0" t="n">
        <f aca="false">-D6*D9/100</f>
        <v>-336.7706496</v>
      </c>
      <c r="E10" s="0" t="n">
        <f aca="false">-E6*E9/100</f>
        <v>-346.873769088</v>
      </c>
      <c r="F10" s="0" t="n">
        <f aca="false">-F6*F9/100</f>
        <v>-360.74871985152</v>
      </c>
      <c r="G10" s="0" t="n">
        <f aca="false">-G6*G9/100</f>
        <v>-375.178668645581</v>
      </c>
      <c r="H10" s="0" t="n">
        <f aca="false">-H6*H9/100</f>
        <v>-386.434028704948</v>
      </c>
      <c r="I10" s="0" t="n">
        <f aca="false">-I6*I9/100</f>
        <v>-396.094879422572</v>
      </c>
      <c r="J10" s="0" t="n">
        <f aca="false">-J6*J9/100</f>
        <v>-404.016777011023</v>
      </c>
      <c r="K10" s="0" t="n">
        <f aca="false">-K6*K9/100</f>
        <v>-412.097112551244</v>
      </c>
      <c r="L10" s="0" t="n">
        <f aca="false">-L6*L9/100</f>
        <v>-420.339054802269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26523.03168</v>
      </c>
      <c r="D11" s="0" t="n">
        <f aca="false">D8+D10+D24</f>
        <v>26298.7261824</v>
      </c>
      <c r="E11" s="0" t="n">
        <f aca="false">E8+E10+E24</f>
        <v>27403.027757952</v>
      </c>
      <c r="F11" s="0" t="n">
        <f aca="false">F8+F10+F24</f>
        <v>28827.1022499533</v>
      </c>
      <c r="G11" s="0" t="n">
        <f aca="false">G8+G10+G24</f>
        <v>30321.2578569019</v>
      </c>
      <c r="H11" s="0" t="n">
        <f aca="false">H8+H10+H24</f>
        <v>31230.895592609</v>
      </c>
      <c r="I11" s="0" t="n">
        <f aca="false">I8+I10+I24</f>
        <v>32011.6679824242</v>
      </c>
      <c r="J11" s="0" t="n">
        <f aca="false">J8+J10+J24</f>
        <v>32651.9013420727</v>
      </c>
      <c r="K11" s="0" t="n">
        <f aca="false">K8+K10+K24</f>
        <v>33304.9393689142</v>
      </c>
      <c r="L11" s="0" t="n">
        <f aca="false">L8+L10+L24</f>
        <v>33971.0381562925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-12183.7248</v>
      </c>
      <c r="D12" s="4" t="n">
        <f aca="false">-D6*Assumptions!D31/100</f>
        <v>-11940.050304</v>
      </c>
      <c r="E12" s="4" t="n">
        <f aca="false">-E6*Assumptions!E31/100</f>
        <v>-12298.25181312</v>
      </c>
      <c r="F12" s="4" t="n">
        <f aca="false">-F6*Assumptions!F31/100</f>
        <v>-12462.2285039616</v>
      </c>
      <c r="G12" s="4" t="n">
        <f aca="false">-G6*Assumptions!G31/100</f>
        <v>-12960.7176441201</v>
      </c>
      <c r="H12" s="4" t="n">
        <f aca="false">-H6*Assumptions!H31/100</f>
        <v>-12998.2355109846</v>
      </c>
      <c r="I12" s="4" t="n">
        <f aca="false">-I6*Assumptions!I31/100</f>
        <v>-13323.1913987592</v>
      </c>
      <c r="J12" s="4" t="n">
        <f aca="false">-J6*Assumptions!J31/100</f>
        <v>-13222.3672476335</v>
      </c>
      <c r="K12" s="4" t="n">
        <f aca="false">-K6*Assumptions!K31/100</f>
        <v>-13486.8145925862</v>
      </c>
      <c r="L12" s="4" t="n">
        <f aca="false">-L6*Assumptions!L31/100</f>
        <v>-13756.5508844379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14339.30688</v>
      </c>
      <c r="D13" s="0" t="n">
        <f aca="false">D11+D12</f>
        <v>14358.6758784</v>
      </c>
      <c r="E13" s="0" t="n">
        <f aca="false">E11+E12</f>
        <v>15104.775944832</v>
      </c>
      <c r="F13" s="0" t="n">
        <f aca="false">F11+F12</f>
        <v>16364.8737459917</v>
      </c>
      <c r="G13" s="0" t="n">
        <f aca="false">G11+G12</f>
        <v>17360.5402127819</v>
      </c>
      <c r="H13" s="0" t="n">
        <f aca="false">H11+H12</f>
        <v>18232.6600816244</v>
      </c>
      <c r="I13" s="0" t="n">
        <f aca="false">I11+I12</f>
        <v>18688.476583665</v>
      </c>
      <c r="J13" s="0" t="n">
        <f aca="false">J11+J12</f>
        <v>19429.5340944392</v>
      </c>
      <c r="K13" s="0" t="n">
        <f aca="false">K11+K12</f>
        <v>19818.124776328</v>
      </c>
      <c r="L13" s="0" t="n">
        <f aca="false">L11+L12</f>
        <v>20214.4872718546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34</v>
      </c>
      <c r="D14" s="4" t="n">
        <f aca="false">Assumptions!D33</f>
        <v>34</v>
      </c>
      <c r="E14" s="4" t="n">
        <f aca="false">Assumptions!E33</f>
        <v>34</v>
      </c>
      <c r="F14" s="4" t="n">
        <f aca="false">Assumptions!F33</f>
        <v>34</v>
      </c>
      <c r="G14" s="4" t="n">
        <f aca="false">Assumptions!G33</f>
        <v>34</v>
      </c>
      <c r="H14" s="4" t="n">
        <f aca="false">Assumptions!H33</f>
        <v>34</v>
      </c>
      <c r="I14" s="4" t="n">
        <f aca="false">Assumptions!I33</f>
        <v>34</v>
      </c>
      <c r="J14" s="4" t="n">
        <f aca="false">Assumptions!J33</f>
        <v>34</v>
      </c>
      <c r="K14" s="4" t="n">
        <f aca="false">Assumptions!K33</f>
        <v>34</v>
      </c>
      <c r="L14" s="4" t="n">
        <f aca="false">Assumptions!L33</f>
        <v>34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9463.9425408</v>
      </c>
      <c r="D15" s="0" t="n">
        <f aca="false">D13-MAX(0,D13)*D14/100</f>
        <v>9476.726079744</v>
      </c>
      <c r="E15" s="0" t="n">
        <f aca="false">E13-MAX(0,E13)*E14/100</f>
        <v>9969.15212358912</v>
      </c>
      <c r="F15" s="0" t="n">
        <f aca="false">F13-MAX(0,F13)*F14/100</f>
        <v>10800.8166723545</v>
      </c>
      <c r="G15" s="0" t="n">
        <f aca="false">G13-MAX(0,G13)*G14/100</f>
        <v>11457.956540436</v>
      </c>
      <c r="H15" s="0" t="n">
        <f aca="false">H13-MAX(0,H13)*H14/100</f>
        <v>12033.5556538721</v>
      </c>
      <c r="I15" s="0" t="n">
        <f aca="false">I13-MAX(0,I13)*I14/100</f>
        <v>12334.3945452189</v>
      </c>
      <c r="J15" s="0" t="n">
        <f aca="false">J13-MAX(0,J13)*J14/100</f>
        <v>12823.4925023299</v>
      </c>
      <c r="K15" s="0" t="n">
        <f aca="false">K13-MAX(0,K13)*K14/100</f>
        <v>13079.9623523765</v>
      </c>
      <c r="L15" s="0" t="n">
        <f aca="false">L13-MAX(0,L13)*L14/100</f>
        <v>13341.561599424</v>
      </c>
    </row>
    <row r="16" customFormat="false" ht="15" hidden="false" customHeight="false" outlineLevel="0" collapsed="false">
      <c r="A16" s="0" t="s">
        <v>128</v>
      </c>
      <c r="C16" s="0" t="n">
        <f aca="false">-C12</f>
        <v>12183.7248</v>
      </c>
      <c r="D16" s="0" t="n">
        <f aca="false">-D12</f>
        <v>11940.050304</v>
      </c>
      <c r="E16" s="0" t="n">
        <f aca="false">-E12</f>
        <v>12298.25181312</v>
      </c>
      <c r="F16" s="0" t="n">
        <f aca="false">-F12</f>
        <v>12462.2285039616</v>
      </c>
      <c r="G16" s="0" t="n">
        <f aca="false">-G12</f>
        <v>12960.7176441201</v>
      </c>
      <c r="H16" s="0" t="n">
        <f aca="false">-H12</f>
        <v>12998.2355109846</v>
      </c>
      <c r="I16" s="0" t="n">
        <f aca="false">-I12</f>
        <v>13323.1913987592</v>
      </c>
      <c r="J16" s="0" t="n">
        <f aca="false">-J12</f>
        <v>13222.3672476335</v>
      </c>
      <c r="K16" s="0" t="n">
        <f aca="false">-K12</f>
        <v>13486.8145925862</v>
      </c>
      <c r="L16" s="0" t="n">
        <f aca="false">-L12</f>
        <v>13756.5508844379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-12183.7248</v>
      </c>
      <c r="D17" s="4" t="n">
        <f aca="false">-D6*Assumptions!D32/100</f>
        <v>-12246.20544</v>
      </c>
      <c r="E17" s="4" t="n">
        <f aca="false">-E6*Assumptions!E32/100</f>
        <v>-12298.25181312</v>
      </c>
      <c r="F17" s="4" t="n">
        <f aca="false">-F6*Assumptions!F32/100</f>
        <v>-12134.2751222784</v>
      </c>
      <c r="G17" s="4" t="n">
        <f aca="false">-G6*Assumptions!G32/100</f>
        <v>-12278.574610219</v>
      </c>
      <c r="H17" s="4" t="n">
        <f aca="false">-H6*Assumptions!H32/100</f>
        <v>-12646.9318485256</v>
      </c>
      <c r="I17" s="4" t="n">
        <f aca="false">-I6*Assumptions!I32/100</f>
        <v>-12963.1051447387</v>
      </c>
      <c r="J17" s="4" t="n">
        <f aca="false">-J6*Assumptions!J32/100</f>
        <v>-13222.3672476335</v>
      </c>
      <c r="K17" s="4" t="n">
        <f aca="false">-K6*Assumptions!K32/100</f>
        <v>-13486.8145925862</v>
      </c>
      <c r="L17" s="4" t="n">
        <f aca="false">-L6*Assumptions!L32/100</f>
        <v>-13756.5508844379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-0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9463.9425408</v>
      </c>
      <c r="D19" s="0" t="n">
        <f aca="false">D15+D16+D17+D18</f>
        <v>9170.570943744</v>
      </c>
      <c r="E19" s="0" t="n">
        <f aca="false">E15+E16+E17+E18</f>
        <v>9969.15212358912</v>
      </c>
      <c r="F19" s="0" t="n">
        <f aca="false">F15+F16+F17+F18</f>
        <v>11128.7700540377</v>
      </c>
      <c r="G19" s="0" t="n">
        <f aca="false">G15+G16+G17+G18</f>
        <v>12140.0995743371</v>
      </c>
      <c r="H19" s="0" t="n">
        <f aca="false">H15+H16+H17+H18</f>
        <v>12384.8593163311</v>
      </c>
      <c r="I19" s="0" t="n">
        <f aca="false">I15+I16+I17+I18</f>
        <v>12694.4807992394</v>
      </c>
      <c r="J19" s="0" t="n">
        <f aca="false">J15+J16+J17+J18</f>
        <v>12823.4925023299</v>
      </c>
      <c r="K19" s="0" t="n">
        <f aca="false">K15+K16+K17+K18</f>
        <v>13079.9623523765</v>
      </c>
      <c r="L19" s="0" t="n">
        <f aca="false">L15+L16+L17+L18</f>
        <v>13341.561599424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8682.51609247707</v>
      </c>
      <c r="D21" s="0" t="n">
        <f aca="false">D19*D20</f>
        <v>7718.68609018096</v>
      </c>
      <c r="E21" s="0" t="n">
        <f aca="false">E19*E20</f>
        <v>7698.0145800512</v>
      </c>
      <c r="F21" s="0" t="n">
        <f aca="false">F19*F20</f>
        <v>7883.9012744277</v>
      </c>
      <c r="G21" s="0" t="n">
        <f aca="false">G19*G20</f>
        <v>7890.23174614886</v>
      </c>
      <c r="H21" s="0" t="n">
        <f aca="false">H19*H20</f>
        <v>7384.68695832392</v>
      </c>
      <c r="I21" s="0" t="n">
        <f aca="false">I19*I20</f>
        <v>6944.31571768992</v>
      </c>
      <c r="J21" s="0" t="n">
        <f aca="false">J19*J20</f>
        <v>6435.67847455593</v>
      </c>
      <c r="K21" s="0" t="n">
        <f aca="false">K19*K20</f>
        <v>6022.37802206151</v>
      </c>
      <c r="L21" s="0" t="n">
        <f aca="false">L19*L20</f>
        <v>5635.61980046123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72296.0287563783</v>
      </c>
    </row>
    <row r="31" customFormat="false" ht="15" hidden="false" customHeight="false" outlineLevel="0" collapsed="false">
      <c r="A31" s="0" t="s">
        <v>137</v>
      </c>
      <c r="B31" s="0" t="n">
        <f aca="false">L19</f>
        <v>13341.561599424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180555.800312205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160098.739193088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160098.739193088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67627.4376055348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139923.466361913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125483.466361913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104.308783343236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-0.180606572323361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2383.13104002439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2402.92127597906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108.287214196107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100308.777951225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54.7022286598277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9</v>
      </c>
      <c r="D5" s="4" t="n">
        <f aca="false">Assumptions!D41</f>
        <v>2</v>
      </c>
      <c r="E5" s="4" t="n">
        <f aca="false">Assumptions!E41</f>
        <v>4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58944</v>
      </c>
      <c r="C6" s="0" t="n">
        <f aca="false">B6*(1+C5/100)</f>
        <v>64248.96</v>
      </c>
      <c r="D6" s="0" t="n">
        <f aca="false">C6*(1+D5/100)</f>
        <v>65533.9392</v>
      </c>
      <c r="E6" s="0" t="n">
        <f aca="false">D6*(1+E5/100)</f>
        <v>68155.296768</v>
      </c>
      <c r="F6" s="0" t="n">
        <f aca="false">E6*(1+F5/100)</f>
        <v>72244.61457408</v>
      </c>
      <c r="G6" s="0" t="n">
        <f aca="false">F6*(1+G5/100)</f>
        <v>75856.845302784</v>
      </c>
      <c r="H6" s="0" t="n">
        <f aca="false">G6*(1+H5/100)</f>
        <v>78891.1191148954</v>
      </c>
      <c r="I6" s="0" t="n">
        <f aca="false">H6*(1+I5/100)</f>
        <v>81257.8526883423</v>
      </c>
      <c r="J6" s="0" t="n">
        <f aca="false">I6*(1+J5/100)</f>
        <v>83289.2990055508</v>
      </c>
      <c r="K6" s="0" t="n">
        <f aca="false">J6*(1+K5/100)</f>
        <v>85371.5314806896</v>
      </c>
      <c r="L6" s="0" t="n">
        <f aca="false">K6*(1+L5/100)</f>
        <v>87505.8197677068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44</v>
      </c>
      <c r="D7" s="4" t="n">
        <f aca="false">Assumptions!D42</f>
        <v>45</v>
      </c>
      <c r="E7" s="4" t="n">
        <f aca="false">Assumptions!E42</f>
        <v>46</v>
      </c>
      <c r="F7" s="4" t="n">
        <f aca="false">Assumptions!F42</f>
        <v>47</v>
      </c>
      <c r="G7" s="4" t="n">
        <f aca="false">Assumptions!G42</f>
        <v>47.5</v>
      </c>
      <c r="H7" s="4" t="n">
        <f aca="false">Assumptions!H42</f>
        <v>48</v>
      </c>
      <c r="I7" s="4" t="n">
        <f aca="false">Assumptions!I42</f>
        <v>48</v>
      </c>
      <c r="J7" s="4" t="n">
        <f aca="false">Assumptions!J42</f>
        <v>48</v>
      </c>
      <c r="K7" s="4" t="n">
        <f aca="false">Assumptions!K42</f>
        <v>48</v>
      </c>
      <c r="L7" s="4" t="n">
        <f aca="false">Assumptions!L42</f>
        <v>48</v>
      </c>
    </row>
    <row r="8" customFormat="false" ht="15" hidden="false" customHeight="false" outlineLevel="0" collapsed="false">
      <c r="A8" s="0" t="s">
        <v>43</v>
      </c>
      <c r="C8" s="0" t="n">
        <f aca="false">C6*C7/100</f>
        <v>28269.5424</v>
      </c>
      <c r="D8" s="0" t="n">
        <f aca="false">D6*D7/100</f>
        <v>29490.27264</v>
      </c>
      <c r="E8" s="0" t="n">
        <f aca="false">E6*E7/100</f>
        <v>31351.43651328</v>
      </c>
      <c r="F8" s="0" t="n">
        <f aca="false">F6*F7/100</f>
        <v>33954.9688498176</v>
      </c>
      <c r="G8" s="0" t="n">
        <f aca="false">G6*G7/100</f>
        <v>36032.0015188224</v>
      </c>
      <c r="H8" s="0" t="n">
        <f aca="false">H6*H7/100</f>
        <v>37867.7371751498</v>
      </c>
      <c r="I8" s="0" t="n">
        <f aca="false">I6*I7/100</f>
        <v>39003.7692904043</v>
      </c>
      <c r="J8" s="0" t="n">
        <f aca="false">J6*J7/100</f>
        <v>39978.8635226644</v>
      </c>
      <c r="K8" s="0" t="n">
        <f aca="false">K6*K7/100</f>
        <v>40978.335110731</v>
      </c>
      <c r="L8" s="0" t="n">
        <f aca="false">L6*L7/100</f>
        <v>42002.7934884993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0.55</v>
      </c>
      <c r="D9" s="4" t="n">
        <f aca="false">Assumptions!D43</f>
        <v>0.55</v>
      </c>
      <c r="E9" s="4" t="n">
        <f aca="false">Assumptions!E43</f>
        <v>0.55</v>
      </c>
      <c r="F9" s="4" t="n">
        <f aca="false">Assumptions!F43</f>
        <v>0.55</v>
      </c>
      <c r="G9" s="4" t="n">
        <f aca="false">Assumptions!G43</f>
        <v>0.55</v>
      </c>
      <c r="H9" s="4" t="n">
        <f aca="false">Assumptions!H43</f>
        <v>0.55</v>
      </c>
      <c r="I9" s="4" t="n">
        <f aca="false">Assumptions!I43</f>
        <v>0.55</v>
      </c>
      <c r="J9" s="4" t="n">
        <f aca="false">Assumptions!J43</f>
        <v>0.55</v>
      </c>
      <c r="K9" s="4" t="n">
        <f aca="false">Assumptions!K43</f>
        <v>0.55</v>
      </c>
      <c r="L9" s="4" t="n">
        <f aca="false">Assumptions!L43</f>
        <v>0.55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-353.36928</v>
      </c>
      <c r="D10" s="0" t="n">
        <f aca="false">-D6*D9/100</f>
        <v>-360.4366656</v>
      </c>
      <c r="E10" s="0" t="n">
        <f aca="false">-E6*E9/100</f>
        <v>-374.854132224</v>
      </c>
      <c r="F10" s="0" t="n">
        <f aca="false">-F6*F9/100</f>
        <v>-397.34538015744</v>
      </c>
      <c r="G10" s="0" t="n">
        <f aca="false">-G6*G9/100</f>
        <v>-417.212649165312</v>
      </c>
      <c r="H10" s="0" t="n">
        <f aca="false">-H6*H9/100</f>
        <v>-433.901155131925</v>
      </c>
      <c r="I10" s="0" t="n">
        <f aca="false">-I6*I9/100</f>
        <v>-446.918189785882</v>
      </c>
      <c r="J10" s="0" t="n">
        <f aca="false">-J6*J9/100</f>
        <v>-458.091144530529</v>
      </c>
      <c r="K10" s="0" t="n">
        <f aca="false">-K6*K9/100</f>
        <v>-469.543423143793</v>
      </c>
      <c r="L10" s="0" t="n">
        <f aca="false">-L6*L9/100</f>
        <v>-481.282008722387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27916.17312</v>
      </c>
      <c r="D11" s="0" t="n">
        <f aca="false">D8+D10+D24</f>
        <v>29129.8359744</v>
      </c>
      <c r="E11" s="0" t="n">
        <f aca="false">E8+E10+E24</f>
        <v>30976.582381056</v>
      </c>
      <c r="F11" s="0" t="n">
        <f aca="false">F8+F10+F24</f>
        <v>33557.6234696602</v>
      </c>
      <c r="G11" s="0" t="n">
        <f aca="false">G8+G10+G24</f>
        <v>35614.7888696571</v>
      </c>
      <c r="H11" s="0" t="n">
        <f aca="false">H8+H10+H24</f>
        <v>37433.8360200179</v>
      </c>
      <c r="I11" s="0" t="n">
        <f aca="false">I8+I10+I24</f>
        <v>38556.8511006184</v>
      </c>
      <c r="J11" s="0" t="n">
        <f aca="false">J8+J10+J24</f>
        <v>39520.7723781339</v>
      </c>
      <c r="K11" s="0" t="n">
        <f aca="false">K8+K10+K24</f>
        <v>40508.7916875872</v>
      </c>
      <c r="L11" s="0" t="n">
        <f aca="false">L8+L10+L24</f>
        <v>41521.5114797769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-12207.3024</v>
      </c>
      <c r="D12" s="4" t="n">
        <f aca="false">-D6*Assumptions!D45/100</f>
        <v>-12451.448448</v>
      </c>
      <c r="E12" s="4" t="n">
        <f aca="false">-E6*Assumptions!E45/100</f>
        <v>-12608.72990208</v>
      </c>
      <c r="F12" s="4" t="n">
        <f aca="false">-F6*Assumptions!F45/100</f>
        <v>-13004.0306233344</v>
      </c>
      <c r="G12" s="4" t="n">
        <f aca="false">-G6*Assumptions!G45/100</f>
        <v>-13654.2321545011</v>
      </c>
      <c r="H12" s="4" t="n">
        <f aca="false">-H6*Assumptions!H45/100</f>
        <v>-13805.9458451067</v>
      </c>
      <c r="I12" s="4" t="n">
        <f aca="false">-I6*Assumptions!I45/100</f>
        <v>-14220.1242204599</v>
      </c>
      <c r="J12" s="4" t="n">
        <f aca="false">-J6*Assumptions!J45/100</f>
        <v>-14575.6273259714</v>
      </c>
      <c r="K12" s="4" t="n">
        <f aca="false">-K6*Assumptions!K45/100</f>
        <v>-14940.0180091207</v>
      </c>
      <c r="L12" s="4" t="n">
        <f aca="false">-L6*Assumptions!L45/100</f>
        <v>-15313.5184593487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15708.87072</v>
      </c>
      <c r="D13" s="0" t="n">
        <f aca="false">D11+D12</f>
        <v>16678.3875264</v>
      </c>
      <c r="E13" s="0" t="n">
        <f aca="false">E11+E12</f>
        <v>18367.852478976</v>
      </c>
      <c r="F13" s="0" t="n">
        <f aca="false">F11+F12</f>
        <v>20553.5928463258</v>
      </c>
      <c r="G13" s="0" t="n">
        <f aca="false">G11+G12</f>
        <v>21960.556715156</v>
      </c>
      <c r="H13" s="0" t="n">
        <f aca="false">H11+H12</f>
        <v>23627.8901749112</v>
      </c>
      <c r="I13" s="0" t="n">
        <f aca="false">I11+I12</f>
        <v>24336.7268801585</v>
      </c>
      <c r="J13" s="0" t="n">
        <f aca="false">J11+J12</f>
        <v>24945.1450521625</v>
      </c>
      <c r="K13" s="0" t="n">
        <f aca="false">K11+K12</f>
        <v>25568.7736784665</v>
      </c>
      <c r="L13" s="0" t="n">
        <f aca="false">L11+L12</f>
        <v>26207.9930204282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35</v>
      </c>
      <c r="D14" s="4" t="n">
        <f aca="false">Assumptions!D47</f>
        <v>35</v>
      </c>
      <c r="E14" s="4" t="n">
        <f aca="false">Assumptions!E47</f>
        <v>35</v>
      </c>
      <c r="F14" s="4" t="n">
        <f aca="false">Assumptions!F47</f>
        <v>35</v>
      </c>
      <c r="G14" s="4" t="n">
        <f aca="false">Assumptions!G47</f>
        <v>35</v>
      </c>
      <c r="H14" s="4" t="n">
        <f aca="false">Assumptions!H47</f>
        <v>35</v>
      </c>
      <c r="I14" s="4" t="n">
        <f aca="false">Assumptions!I47</f>
        <v>35</v>
      </c>
      <c r="J14" s="4" t="n">
        <f aca="false">Assumptions!J47</f>
        <v>35</v>
      </c>
      <c r="K14" s="4" t="n">
        <f aca="false">Assumptions!K47</f>
        <v>35</v>
      </c>
      <c r="L14" s="4" t="n">
        <f aca="false">Assumptions!L47</f>
        <v>35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10210.765968</v>
      </c>
      <c r="D15" s="0" t="n">
        <f aca="false">D13-MAX(0,D13)*D14/100</f>
        <v>10840.95189216</v>
      </c>
      <c r="E15" s="0" t="n">
        <f aca="false">E13-MAX(0,E13)*E14/100</f>
        <v>11939.1041113344</v>
      </c>
      <c r="F15" s="0" t="n">
        <f aca="false">F13-MAX(0,F13)*F14/100</f>
        <v>13359.8353501117</v>
      </c>
      <c r="G15" s="0" t="n">
        <f aca="false">G13-MAX(0,G13)*G14/100</f>
        <v>14274.3618648514</v>
      </c>
      <c r="H15" s="0" t="n">
        <f aca="false">H13-MAX(0,H13)*H14/100</f>
        <v>15358.1286136923</v>
      </c>
      <c r="I15" s="0" t="n">
        <f aca="false">I13-MAX(0,I13)*I14/100</f>
        <v>15818.872472103</v>
      </c>
      <c r="J15" s="0" t="n">
        <f aca="false">J13-MAX(0,J13)*J14/100</f>
        <v>16214.3442839056</v>
      </c>
      <c r="K15" s="0" t="n">
        <f aca="false">K13-MAX(0,K13)*K14/100</f>
        <v>16619.7028910032</v>
      </c>
      <c r="L15" s="0" t="n">
        <f aca="false">L13-MAX(0,L13)*L14/100</f>
        <v>17035.1954632783</v>
      </c>
    </row>
    <row r="16" customFormat="false" ht="15" hidden="false" customHeight="false" outlineLevel="0" collapsed="false">
      <c r="A16" s="0" t="s">
        <v>128</v>
      </c>
      <c r="C16" s="0" t="n">
        <f aca="false">-C12</f>
        <v>12207.3024</v>
      </c>
      <c r="D16" s="0" t="n">
        <f aca="false">-D12</f>
        <v>12451.448448</v>
      </c>
      <c r="E16" s="0" t="n">
        <f aca="false">-E12</f>
        <v>12608.72990208</v>
      </c>
      <c r="F16" s="0" t="n">
        <f aca="false">-F12</f>
        <v>13004.0306233344</v>
      </c>
      <c r="G16" s="0" t="n">
        <f aca="false">-G12</f>
        <v>13654.2321545011</v>
      </c>
      <c r="H16" s="0" t="n">
        <f aca="false">-H12</f>
        <v>13805.9458451067</v>
      </c>
      <c r="I16" s="0" t="n">
        <f aca="false">-I12</f>
        <v>14220.1242204599</v>
      </c>
      <c r="J16" s="0" t="n">
        <f aca="false">-J12</f>
        <v>14575.6273259714</v>
      </c>
      <c r="K16" s="0" t="n">
        <f aca="false">-K12</f>
        <v>14940.0180091207</v>
      </c>
      <c r="L16" s="0" t="n">
        <f aca="false">-L12</f>
        <v>15313.5184593487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-12207.3024</v>
      </c>
      <c r="D17" s="4" t="n">
        <f aca="false">-D6*Assumptions!D46/100</f>
        <v>-12451.448448</v>
      </c>
      <c r="E17" s="4" t="n">
        <f aca="false">-E6*Assumptions!E46/100</f>
        <v>-12608.72990208</v>
      </c>
      <c r="F17" s="4" t="n">
        <f aca="false">-F6*Assumptions!F46/100</f>
        <v>-12642.807550464</v>
      </c>
      <c r="G17" s="4" t="n">
        <f aca="false">-G6*Assumptions!G46/100</f>
        <v>-13274.9479279872</v>
      </c>
      <c r="H17" s="4" t="n">
        <f aca="false">-H6*Assumptions!H46/100</f>
        <v>-13805.9458451067</v>
      </c>
      <c r="I17" s="4" t="n">
        <f aca="false">-I6*Assumptions!I46/100</f>
        <v>-14220.1242204599</v>
      </c>
      <c r="J17" s="4" t="n">
        <f aca="false">-J6*Assumptions!J46/100</f>
        <v>-14575.6273259714</v>
      </c>
      <c r="K17" s="4" t="n">
        <f aca="false">-K6*Assumptions!K46/100</f>
        <v>-14940.0180091207</v>
      </c>
      <c r="L17" s="4" t="n">
        <f aca="false">-L6*Assumptions!L46/100</f>
        <v>-15313.5184593487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10210.765968</v>
      </c>
      <c r="D19" s="0" t="n">
        <f aca="false">D15+D16+D17+D18</f>
        <v>10840.95189216</v>
      </c>
      <c r="E19" s="0" t="n">
        <f aca="false">E15+E16+E17+E18</f>
        <v>11939.1041113344</v>
      </c>
      <c r="F19" s="0" t="n">
        <f aca="false">F15+F16+F17+F18</f>
        <v>13721.0584229821</v>
      </c>
      <c r="G19" s="0" t="n">
        <f aca="false">G15+G16+G17+G18</f>
        <v>14653.6460913653</v>
      </c>
      <c r="H19" s="0" t="n">
        <f aca="false">H15+H16+H17+H18</f>
        <v>15358.1286136923</v>
      </c>
      <c r="I19" s="0" t="n">
        <f aca="false">I15+I16+I17+I18</f>
        <v>15818.872472103</v>
      </c>
      <c r="J19" s="0" t="n">
        <f aca="false">J15+J16+J17+J18</f>
        <v>16214.3442839056</v>
      </c>
      <c r="K19" s="0" t="n">
        <f aca="false">K15+K16+K17+K18</f>
        <v>16619.7028910032</v>
      </c>
      <c r="L19" s="0" t="n">
        <f aca="false">L15+L16+L17+L18</f>
        <v>17035.1954632783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9367.6752</v>
      </c>
      <c r="D21" s="0" t="n">
        <f aca="false">D19*D20</f>
        <v>9124.61231559633</v>
      </c>
      <c r="E21" s="0" t="n">
        <f aca="false">E19*E20</f>
        <v>9219.17896150156</v>
      </c>
      <c r="F21" s="0" t="n">
        <f aca="false">F19*F20</f>
        <v>9720.34370933902</v>
      </c>
      <c r="G21" s="0" t="n">
        <f aca="false">G19*G20</f>
        <v>9523.86451848638</v>
      </c>
      <c r="H21" s="0" t="n">
        <f aca="false">H19*H20</f>
        <v>9157.55029435348</v>
      </c>
      <c r="I21" s="0" t="n">
        <f aca="false">I19*I20</f>
        <v>8653.46495704962</v>
      </c>
      <c r="J21" s="0" t="n">
        <f aca="false">J19*J20</f>
        <v>8137.43264309711</v>
      </c>
      <c r="K21" s="0" t="n">
        <f aca="false">K19*K20</f>
        <v>7652.17289832527</v>
      </c>
      <c r="L21" s="0" t="n">
        <f aca="false">L19*L20</f>
        <v>7195.85066126917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87752.1461590179</v>
      </c>
    </row>
    <row r="31" customFormat="false" ht="15" hidden="false" customHeight="false" outlineLevel="0" collapsed="false">
      <c r="A31" s="0" t="s">
        <v>137</v>
      </c>
      <c r="B31" s="0" t="n">
        <f aca="false">L19</f>
        <v>17035.1954632783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248227.133893484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204422.34555934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204422.34555934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86350.2079352301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174102.354094248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159662.354094248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132.720161341852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0.0425778581449496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2622.2602710348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2962.35280116825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137.362399972112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133660.764404184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71.0541518036853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61.4544020519955</v>
      </c>
      <c r="C4" s="0" t="n">
        <f aca="false">B4/Assumptions!$B$2-1</f>
        <v>-0.51724743085628</v>
      </c>
      <c r="D4" s="4" t="n">
        <f aca="false">Assumptions!$B$24</f>
        <v>0.25</v>
      </c>
      <c r="E4" s="4" t="n">
        <f aca="false">DCF_Bear!$B$43</f>
        <v>65.0466254082189</v>
      </c>
      <c r="F4" s="4" t="n">
        <f aca="false">DCF_Bear!$B$47</f>
        <v>30.6699867133996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104.308783343236</v>
      </c>
      <c r="C5" s="0" t="n">
        <f aca="false">B5/Assumptions!$B$2-1</f>
        <v>-0.180606572323361</v>
      </c>
      <c r="D5" s="4" t="n">
        <f aca="false">Assumptions!$B$38</f>
        <v>0.5</v>
      </c>
      <c r="E5" s="4" t="n">
        <f aca="false">DCF_Base!$B$43</f>
        <v>108.287214196107</v>
      </c>
      <c r="F5" s="4" t="n">
        <f aca="false">DCF_Base!$B$47</f>
        <v>54.7022286598277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132.720161341852</v>
      </c>
      <c r="C6" s="0" t="n">
        <f aca="false">B6/Assumptions!$B$2-1</f>
        <v>0.0425778581449496</v>
      </c>
      <c r="D6" s="4" t="n">
        <f aca="false">Assumptions!$B$52</f>
        <v>0.25</v>
      </c>
      <c r="E6" s="4" t="n">
        <f aca="false">DCF_Bull!$B$43</f>
        <v>137.362399972112</v>
      </c>
      <c r="F6" s="4" t="n">
        <f aca="false">DCF_Bull!$B$47</f>
        <v>71.0541518036853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100.69803252008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104.745863443136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-0.264175642901616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657.190677812073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52.7821489591851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104.308783343236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96.4027412714432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84.5120371295541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74.9048472634661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54.7022286598277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0.5</v>
      </c>
      <c r="C22" s="3" t="n">
        <v>1</v>
      </c>
      <c r="D22" s="3" t="n">
        <v>1.5</v>
      </c>
      <c r="E22" s="3" t="n">
        <v>2</v>
      </c>
      <c r="F22" s="3" t="n">
        <v>2.5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121.864222769447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121.864222769447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121.864222769447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121.864222769447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121.864222769447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112.685632535025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112.685632535025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112.685632535025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112.685632535025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112.685632535025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103.482082477685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104.308783343236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104.308783343236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104.308783343236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104.308783343236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90.5781649416943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93.3286593196313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96.4027412714432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96.6542570675006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96.6542570675006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80.1657208659916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82.2302210911838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84.5120371295541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87.0473882832988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89.6512624411989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2026-09-26T01:05:52Z</dcterms:created>
  <dc:creator>openpyxl</dc:creator>
  <dc:description/>
  <dc:language>en-NZ</dc:language>
  <cp:lastModifiedBy/>
  <dcterms:modified xsi:type="dcterms:W3CDTF">2026-09-26T01:05:52Z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