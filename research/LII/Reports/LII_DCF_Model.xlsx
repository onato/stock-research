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<sst xmlns="http://schemas.openxmlformats.org/spreadsheetml/2006/main" count="386" uniqueCount="173">
  <si>
    <t xml:space="preserve">Ticker</t>
  </si>
  <si>
    <t xml:space="preserve">LII</t>
  </si>
  <si>
    <t xml:space="preserve">Company</t>
  </si>
  <si>
    <t xml:space="preserve">Lennox International Inc.</t>
  </si>
  <si>
    <t xml:space="preserve">Valuation date</t>
  </si>
  <si>
    <t xml:space="preserve">2026-10-02</t>
  </si>
  <si>
    <t xml:space="preserve">Current price</t>
  </si>
  <si>
    <t xml:space="preserve">Price as of</t>
  </si>
  <si>
    <t xml:space="preserve">2026-10-01T20:00:02Z regular close (Yahoo chart API); 52-week range 350.22-587.27, price sits near the low</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</si>
  <si>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</si>
  <si>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</si>
  <si>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</si>
  <si>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</si>
  <si>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</si>
  <si>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</si>
  <si>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</si>
  <si>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</si>
  <si>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</si>
  <si>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</si>
  <si>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</si>
  <si>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</si>
  <si>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2026-10-02T00:20:41Z</t>
  </si>
  <si>
    <t xml:space="preserve">Drivers file</t>
  </si>
  <si>
    <t xml:space="preserve">LII_Drivers.json</t>
  </si>
  <si>
    <t xml:space="preserve">Convention</t>
  </si>
  <si>
    <t xml:space="preserve">Percents stored as percents; formulas divide by 100. Blue = input, green = link, black = formula.</t>
  </si>
  <si>
    <t xml:space="preserve">Methodology</t>
  </si>
  <si>
    <t xml:space="preserve">summary: Owner-FCF DCF on a strict basis: SBC plus equity-award withholding expensed, share count held flat, working capital charged on growth, the Q2-2026 tariff refund and the FY2025 inventory build treated as one-offs, operating leases left inside EBITDA, and terminal value capped at 15x owner FCF for a housing-linked cyclical. Risk is charged once, through 25/50/25 probability weights on distinct driver paths, at a single 9% USD WACC. The valuation is anchored to the 30 Jun 2026 balance sheet and the post-cut FY2026 guidance, not to the trailing peak.
key_risks_to_valuation: Residential recovery timing: every year the HCS rebound slips removes roughly one year of 6% growth and the associated margin leverage; this is the dominant swing between bear and base.; Margin mean reversion: FY2024-25 EBITDA margins (21-22% GAAP) are ~6pp above the FY2016-22 range; if post-COVID pricing power fades the bear path's 20% pre-SBC level is where the business lands.; Acquisition integration and quality of growth: ~5 of the 8 points of FY2026 growth are acquired (NSI/Duro Dyne/Supco, Heat Controller); organic growth is ~3% and the parts/supplies businesses carry integration and margin risk.; Balance sheet drift: commercial paper rose from $226M to $412M in six months to fund buybacks; net debt of $1.53B is ~1.3x FY2025 EBITDA, comfortable but no longer trivial if FCF undershoots the $750-850M guide.; Terminal assumptions: ~60-70% of value sits in the terminal; the 15x cap binds in base and bull, so the valuation is more sensitive to the terminal-year margin than to any single growth year.; Data vintage: the Metrics CSV ends at Q1-2026 and its total_debt column omits commercial paper; this DCF used the Q2-2026 10-Q directly, and the CSV should be refreshed before the next update.</t>
  </si>
  <si>
    <t xml:space="preserve">Data sources</t>
  </si>
  <si>
    <t xml:space="preserve">price: Yahoo Finance chart API regular close at inputs.price_as_of; 52-week range 350.22-587.27.
financials: SEC XBRL companyfacts (CIK 1069202) via LII_Metrics.csv through Q1-2026; Q2-2026 10-Q (accession 0001069202-26-000087, filed 2026-07-29) read directly from EDGAR R-files for the 30 Jun 2026 balance sheet, H1-2026 income statement and cash flow, and the 22 Jul 2026 cover share count.
qualitative: LII_Analysis.json (2026-10-02): segment mix, Q2-2026 results and guidance cut, tariff refund, acquisition contributions, residential recovery timing.</t>
  </si>
  <si>
    <t xml:space="preserve">Scenario narrative: bear</t>
  </si>
  <si>
    <t xml:space="preserve">Residential affordability does not improve: the recovery slips from H2-2026 to 2027 and then again, as it already has twice, and management's credibility on timing erodes. FY2026 misses the guide as H2 lacks the tariff refund and residential deleverage worsens; commercial growth slows as acquisition contributions and national-account wins lap. Competitors press price into weak volumes and the pricing power that lifted EBITDA margins from ~15% to 22% between FY2022 and FY2025 partly reverses to ~20%. Debt-funded buybacks (commercial paper up $186M in H1-26 to $412M) slow as net debt/EBITDA approaches 1.5x. The stock's de-rating to 15x earnings turns out to be the correct mid-cycle multiple.</t>
  </si>
  <si>
    <t xml:space="preserve">Scenario narrative: base</t>
  </si>
  <si>
    <t xml:space="preserve">Lennox's two axes are the timing of the US residential replacement recovery and whether post-COVID margins hold. Base: FY2026 delivers the reaffirmed +8% revenue guide (five points of it from the NSI/Duro Dyne/Supco and Heat Controller acquisitions) at an EBITDA margin a point below FY2025 after the EPS guide cut, the ~$30M Q2 tariff refund does not repeat, residential volumes stop falling in 2027 and recover gradually from a trough that is three years deep, Building Climate Solutions keeps taking emergency-replacement and national-account share at high-single-digit organic growth, and pre-SBC EBITDA margin recovers to 23.5% by FY2030 with no expansion beyond that. Working capital consumes cash as revenue grows; capex normalises to 2.5% after the A2L tooling cycle. Terminal value is capped at 15x owner FCF.</t>
  </si>
  <si>
    <t xml:space="preserve">Scenario narrative: bull</t>
  </si>
  <si>
    <t xml:space="preserve">The 2027 residential rebound is sharp rather than gradual: two years of deferred replacement demand on an aging R-410A installed base meets A2L price/mix, lifting FY2027-28 revenue growth to 8-9%. BCS compounds at low-double digits on share gains and the parts/supplies acquisitions prove margin-accretive, taking pre-SBC EBITDA to 25%. Lennox's 16-year dividend record and buybacks continue to fund a flat share count. At the current price, which is near the 52-week low and ~15x earnings against a ten-year history of 20-30x, this case is where the re-rating lives.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</si>
  <si>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</si>
  <si>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</si>
  <si>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</si>
  <si>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</si>
  <si>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</si>
  <si>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</si>
  <si>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</si>
  <si>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</si>
  <si>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</si>
  <si>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</si>
  <si>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</si>
  <si>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</si>
  <si>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</si>
  <si>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</si>
  <si>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</si>
  <si>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</si>
  <si>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</si>
  <si>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</si>
  <si>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</si>
  <si>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</si>
  <si>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</si>
  <si>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</si>
  <si>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</si>
  <si>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</si>
  <si>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</si>
  <si>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</si>
  <si>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</si>
  <si>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</si>
  <si>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</si>
  <si>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</si>
  <si>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</si>
  <si>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</si>
  <si>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</si>
  <si>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</si>
  <si>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</si>
  <si>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</si>
  <si>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</si>
  <si>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</si>
  <si>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</si>
  <si>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</si>
  <si>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</si>
  <si>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</si>
  <si>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</si>
  <si>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</si>
  <si>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</si>
  <si>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</si>
  <si>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</si>
  <si>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</si>
  <si>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</si>
  <si>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</si>
  <si>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</si>
  <si>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</si>
  <si>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</si>
  <si>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</si>
  <si>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</si>
  <si>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</si>
  <si>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</si>
  <si>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</si>
  <si>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</si>
  <si>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</si>
  <si>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</si>
  <si>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</si>
  <si>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</si>
  <si>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</si>
  <si>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</si>
  <si>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</si>
  <si>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</si>
  <si>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</si>
  <si>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</si>
  <si>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</si>
  <si>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</si>
  <si>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</si>
  <si>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</si>
  <si>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</si>
  <si>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</si>
  <si>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</si>
  <si>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</si>
  <si>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</si>
  <si>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</si>
  <si>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</si>
  <si>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</si>
  <si>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</si>
  <si>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</si>
  <si>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LII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</si>
  <si>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</si>
  <si>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</si>
  <si>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</si>
  <si>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</si>
  <si>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</si>
  <si>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</si>
  <si>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</si>
  <si>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</si>
  <si>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</si>
  <si>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</si>
  <si>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</si>
  <si>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</si>
  <si>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</si>
  <si>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</si>
  <si>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</si>
  <si>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</si>
  <si>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</si>
  <si>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</si>
  <si>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</si>
  <si>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</si>
  <si>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</si>
  <si>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</si>
  <si>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</si>
  <si>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</si>
  <si>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</si>
  <si>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</si>
  <si>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</si>
  <si>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</si>
  <si>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</si>
  <si>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</si>
  <si>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LII owner-FCF component DCF: base case (millions, USD)</t>
  </si>
  <si>
    <t xml:space="preserve">LII owner-FCF component DCF: bull case (millions, USD)</t>
  </si>
  <si>
    <t xml:space="preserve">LII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</si>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</sst>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360.46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808.5</v>
      </c>
      <c r="S2" s="0" t="n">
        <v>145.5</v>
      </c>
      <c r="AA2" s="0" t="s">
        <v>17</v>
      </c>
      <c r="AB2" s="0" t="s">
        <v>14</v>
      </c>
    </row>
    <row r="3" customFormat="false" ht="15" hidden="false" customHeight="false" outlineLevel="0" collapsed="false">
      <c r="A3" s="0" t="s">
        <v>64</v>
      </c>
      <c r="B3" s="0" t="n">
        <v>3441.1</v>
      </c>
      <c r="C3" s="0" t="n">
        <v>2506.6</v>
      </c>
      <c r="D3" s="0" t="n">
        <v>934.5</v>
      </c>
      <c r="E3" s="0" t="n">
        <v>27.1570137456046</v>
      </c>
      <c r="F3" s="0" t="n">
        <v>218.6</v>
      </c>
      <c r="G3" s="0" t="n">
        <v>6.35261980180756</v>
      </c>
      <c r="H3" s="0" t="n">
        <v>269.2</v>
      </c>
      <c r="I3" s="0" t="n">
        <v>122.8</v>
      </c>
      <c r="J3" s="0" t="n">
        <v>3.56862631135393</v>
      </c>
      <c r="K3" s="0" t="n">
        <v>2.17</v>
      </c>
      <c r="L3" s="0" t="n">
        <v>183.2</v>
      </c>
      <c r="M3" s="0" t="n">
        <v>62.1</v>
      </c>
      <c r="N3" s="0" t="n">
        <v>121.1</v>
      </c>
      <c r="O3" s="0" t="n">
        <v>458.6</v>
      </c>
      <c r="S3" s="0" t="n">
        <v>122.1</v>
      </c>
      <c r="T3" s="0" t="n">
        <v>58.3</v>
      </c>
      <c r="U3" s="0" t="n">
        <v>11.8</v>
      </c>
      <c r="V3" s="0" t="n">
        <v>0.56</v>
      </c>
      <c r="AA3" s="0" t="s">
        <v>17</v>
      </c>
      <c r="AB3" s="0" t="s">
        <v>14</v>
      </c>
    </row>
    <row r="4" customFormat="false" ht="15" hidden="false" customHeight="false" outlineLevel="0" collapsed="false">
      <c r="A4" s="0" t="s">
        <v>65</v>
      </c>
      <c r="B4" s="0" t="n">
        <v>2847.5</v>
      </c>
      <c r="C4" s="0" t="n">
        <v>2059.4</v>
      </c>
      <c r="D4" s="0" t="n">
        <v>788.1</v>
      </c>
      <c r="E4" s="0" t="n">
        <v>27.6769095697981</v>
      </c>
      <c r="F4" s="0" t="n">
        <v>109.2</v>
      </c>
      <c r="G4" s="0" t="n">
        <v>3.83494293239684</v>
      </c>
      <c r="H4" s="0" t="n">
        <v>162.1</v>
      </c>
      <c r="I4" s="0" t="n">
        <v>51.1</v>
      </c>
      <c r="J4" s="0" t="n">
        <v>1.7945566286216</v>
      </c>
      <c r="K4" s="0" t="n">
        <v>0.92</v>
      </c>
      <c r="L4" s="0" t="n">
        <v>225.5</v>
      </c>
      <c r="M4" s="0" t="n">
        <v>58.8</v>
      </c>
      <c r="N4" s="0" t="n">
        <v>166.7</v>
      </c>
      <c r="O4" s="0" t="n">
        <v>604.4</v>
      </c>
      <c r="P4" s="0" t="n">
        <v>1543.9</v>
      </c>
      <c r="Q4" s="0" t="n">
        <v>939.5</v>
      </c>
      <c r="R4" s="0" t="n">
        <v>229.3</v>
      </c>
      <c r="S4" s="0" t="n">
        <v>124.3</v>
      </c>
      <c r="T4" s="0" t="n">
        <v>56.6</v>
      </c>
      <c r="U4" s="0" t="n">
        <v>12.8</v>
      </c>
      <c r="V4" s="0" t="n">
        <v>0.56</v>
      </c>
      <c r="AA4" s="0" t="s">
        <v>17</v>
      </c>
      <c r="AB4" s="0" t="s">
        <v>14</v>
      </c>
    </row>
    <row r="5" customFormat="false" ht="15" hidden="false" customHeight="false" outlineLevel="0" collapsed="false">
      <c r="A5" s="0" t="s">
        <v>66</v>
      </c>
      <c r="B5" s="0" t="n">
        <v>2585.2</v>
      </c>
      <c r="C5" s="0" t="n">
        <v>1884</v>
      </c>
      <c r="D5" s="0" t="n">
        <v>701.2</v>
      </c>
      <c r="E5" s="0" t="n">
        <v>27.1236267987003</v>
      </c>
      <c r="F5" s="0" t="n">
        <v>204.5</v>
      </c>
      <c r="G5" s="0" t="n">
        <v>7.91041312084172</v>
      </c>
      <c r="H5" s="0" t="n">
        <v>253.4</v>
      </c>
      <c r="I5" s="0" t="n">
        <v>116.2</v>
      </c>
      <c r="J5" s="0" t="n">
        <v>4.4948166486152</v>
      </c>
      <c r="K5" s="0" t="n">
        <v>2.13</v>
      </c>
      <c r="L5" s="0" t="n">
        <v>185.8</v>
      </c>
      <c r="M5" s="0" t="n">
        <v>43.1</v>
      </c>
      <c r="N5" s="0" t="n">
        <v>142.7</v>
      </c>
      <c r="O5" s="0" t="n">
        <v>590.9</v>
      </c>
      <c r="P5" s="0" t="n">
        <v>1692</v>
      </c>
      <c r="Q5" s="0" t="n">
        <v>1102.3</v>
      </c>
      <c r="R5" s="0" t="n">
        <v>317.6</v>
      </c>
      <c r="S5" s="0" t="n">
        <v>160</v>
      </c>
      <c r="T5" s="0" t="n">
        <v>55.8</v>
      </c>
      <c r="U5" s="0" t="n">
        <v>15.4</v>
      </c>
      <c r="V5" s="0" t="n">
        <v>0.6</v>
      </c>
      <c r="AA5" s="0" t="s">
        <v>17</v>
      </c>
      <c r="AB5" s="0" t="s">
        <v>14</v>
      </c>
    </row>
    <row r="6" customFormat="false" ht="15" hidden="false" customHeight="false" outlineLevel="0" collapsed="false">
      <c r="A6" s="0" t="s">
        <v>67</v>
      </c>
      <c r="B6" s="0" t="n">
        <v>2840.9</v>
      </c>
      <c r="C6" s="0" t="n">
        <v>2171</v>
      </c>
      <c r="D6" s="0" t="n">
        <v>669.9</v>
      </c>
      <c r="E6" s="0" t="n">
        <v>23.5805554577775</v>
      </c>
      <c r="F6" s="0" t="n">
        <v>184.4</v>
      </c>
      <c r="G6" s="0" t="n">
        <v>6.49090077088247</v>
      </c>
      <c r="H6" s="0" t="n">
        <v>241</v>
      </c>
      <c r="I6" s="0" t="n">
        <v>88.3</v>
      </c>
      <c r="J6" s="0" t="n">
        <v>3.10816994614383</v>
      </c>
      <c r="K6" s="0" t="n">
        <v>1.68</v>
      </c>
      <c r="L6" s="0" t="n">
        <v>76.2</v>
      </c>
      <c r="M6" s="0" t="n">
        <v>41.4</v>
      </c>
      <c r="N6" s="0" t="n">
        <v>34.8</v>
      </c>
      <c r="O6" s="0" t="n">
        <v>469</v>
      </c>
      <c r="P6" s="0" t="n">
        <v>1705.7</v>
      </c>
      <c r="Q6" s="0" t="n">
        <v>1237.9</v>
      </c>
      <c r="R6" s="0" t="n">
        <v>460.4</v>
      </c>
      <c r="S6" s="0" t="n">
        <v>45</v>
      </c>
      <c r="T6" s="0" t="n">
        <v>53.4</v>
      </c>
      <c r="U6" s="0" t="n">
        <v>13.7</v>
      </c>
      <c r="V6" s="0" t="n">
        <v>0.72</v>
      </c>
      <c r="AA6" s="0" t="s">
        <v>17</v>
      </c>
      <c r="AB6" s="0" t="s">
        <v>14</v>
      </c>
    </row>
    <row r="7" customFormat="false" ht="15" hidden="false" customHeight="false" outlineLevel="0" collapsed="false">
      <c r="A7" s="0" t="s">
        <v>68</v>
      </c>
      <c r="B7" s="0" t="n">
        <v>2949.4</v>
      </c>
      <c r="C7" s="0" t="n">
        <v>2227.1</v>
      </c>
      <c r="D7" s="0" t="n">
        <v>722.3</v>
      </c>
      <c r="E7" s="0" t="n">
        <v>24.4897267240795</v>
      </c>
      <c r="F7" s="0" t="n">
        <v>219.1</v>
      </c>
      <c r="G7" s="0" t="n">
        <v>7.42862955177324</v>
      </c>
      <c r="H7" s="0" t="n">
        <v>274.5</v>
      </c>
      <c r="I7" s="0" t="n">
        <v>90</v>
      </c>
      <c r="J7" s="0" t="n">
        <v>3.0514680952058</v>
      </c>
      <c r="K7" s="0" t="n">
        <v>1.77</v>
      </c>
      <c r="L7" s="0" t="n">
        <v>221.4</v>
      </c>
      <c r="M7" s="0" t="n">
        <v>50.2</v>
      </c>
      <c r="N7" s="0" t="n">
        <v>171.2</v>
      </c>
      <c r="O7" s="0" t="n">
        <v>498.3</v>
      </c>
      <c r="P7" s="0" t="n">
        <v>1691.9</v>
      </c>
      <c r="Q7" s="0" t="n">
        <v>1193.6</v>
      </c>
      <c r="R7" s="0" t="n">
        <v>351.7</v>
      </c>
      <c r="S7" s="0" t="n">
        <v>51.8</v>
      </c>
      <c r="T7" s="0" t="n">
        <v>51.4</v>
      </c>
      <c r="U7" s="0" t="n">
        <v>15.2</v>
      </c>
      <c r="V7" s="0" t="n">
        <v>0.76</v>
      </c>
      <c r="AA7" s="0" t="s">
        <v>17</v>
      </c>
      <c r="AB7" s="0" t="s">
        <v>14</v>
      </c>
    </row>
    <row r="8" customFormat="false" ht="15" hidden="false" customHeight="false" outlineLevel="0" collapsed="false">
      <c r="A8" s="0" t="s">
        <v>69</v>
      </c>
      <c r="B8" s="0" t="n">
        <v>3199.1</v>
      </c>
      <c r="C8" s="0" t="n">
        <v>2337.9</v>
      </c>
      <c r="D8" s="0" t="n">
        <v>861.2</v>
      </c>
      <c r="E8" s="0" t="n">
        <v>26.9200712700447</v>
      </c>
      <c r="F8" s="0" t="n">
        <v>289</v>
      </c>
      <c r="G8" s="0" t="n">
        <v>9.03379075364946</v>
      </c>
      <c r="H8" s="0" t="n">
        <v>347.9</v>
      </c>
      <c r="I8" s="0" t="n">
        <v>171.8</v>
      </c>
      <c r="J8" s="0" t="n">
        <v>5.37026038573349</v>
      </c>
      <c r="K8" s="0" t="n">
        <v>3.45</v>
      </c>
      <c r="L8" s="0" t="n">
        <v>210.3</v>
      </c>
      <c r="M8" s="0" t="n">
        <v>78.3</v>
      </c>
      <c r="N8" s="0" t="n">
        <v>132</v>
      </c>
      <c r="O8" s="0" t="n">
        <v>485.7</v>
      </c>
      <c r="P8" s="0" t="n">
        <v>1626.7</v>
      </c>
      <c r="Q8" s="0" t="n">
        <v>1141</v>
      </c>
      <c r="R8" s="0" t="n">
        <v>234.5</v>
      </c>
      <c r="S8" s="0" t="n">
        <v>38</v>
      </c>
      <c r="T8" s="0" t="n">
        <v>50.6</v>
      </c>
      <c r="U8" s="0" t="n">
        <v>29.3</v>
      </c>
      <c r="V8" s="0" t="n">
        <v>0.92</v>
      </c>
      <c r="AA8" s="0" t="s">
        <v>17</v>
      </c>
      <c r="AB8" s="0" t="s">
        <v>14</v>
      </c>
    </row>
    <row r="9" customFormat="false" ht="15" hidden="false" customHeight="false" outlineLevel="0" collapsed="false">
      <c r="A9" s="0" t="s">
        <v>70</v>
      </c>
      <c r="B9" s="0" t="n">
        <v>3367.4</v>
      </c>
      <c r="C9" s="0" t="n">
        <v>2464.1</v>
      </c>
      <c r="D9" s="0" t="n">
        <v>903.3</v>
      </c>
      <c r="E9" s="0" t="n">
        <v>26.8248500326662</v>
      </c>
      <c r="F9" s="0" t="n">
        <v>334.7</v>
      </c>
      <c r="G9" s="0" t="n">
        <v>9.93941913642573</v>
      </c>
      <c r="H9" s="0" t="n">
        <v>395.5</v>
      </c>
      <c r="I9" s="0" t="n">
        <v>205.8</v>
      </c>
      <c r="J9" s="0" t="n">
        <v>6.11154006058086</v>
      </c>
      <c r="K9" s="0" t="n">
        <v>4.3</v>
      </c>
      <c r="L9" s="0" t="n">
        <v>184.8</v>
      </c>
      <c r="M9" s="0" t="n">
        <v>88.4</v>
      </c>
      <c r="N9" s="0" t="n">
        <v>96.4</v>
      </c>
      <c r="O9" s="0" t="n">
        <v>9</v>
      </c>
      <c r="P9" s="0" t="n">
        <v>1764.3</v>
      </c>
      <c r="Q9" s="0" t="n">
        <v>1755.3</v>
      </c>
      <c r="R9" s="0" t="n">
        <v>699</v>
      </c>
      <c r="S9" s="0" t="n">
        <v>37.5</v>
      </c>
      <c r="T9" s="0" t="n">
        <v>48.6</v>
      </c>
      <c r="U9" s="0" t="n">
        <v>23.3</v>
      </c>
      <c r="V9" s="0" t="n">
        <v>1.14</v>
      </c>
      <c r="AA9" s="0" t="s">
        <v>17</v>
      </c>
      <c r="AB9" s="0" t="s">
        <v>14</v>
      </c>
    </row>
    <row r="10" customFormat="false" ht="15" hidden="false" customHeight="false" outlineLevel="0" collapsed="false">
      <c r="A10" s="0" t="s">
        <v>71</v>
      </c>
      <c r="B10" s="0" t="n">
        <v>3467.4</v>
      </c>
      <c r="C10" s="0" t="n">
        <v>2520</v>
      </c>
      <c r="D10" s="0" t="n">
        <v>947.4</v>
      </c>
      <c r="E10" s="0" t="n">
        <v>27.3230662744419</v>
      </c>
      <c r="F10" s="0" t="n">
        <v>305.4</v>
      </c>
      <c r="G10" s="0" t="n">
        <v>8.80775220626406</v>
      </c>
      <c r="H10" s="0" t="n">
        <v>368.2</v>
      </c>
      <c r="I10" s="0" t="n">
        <v>186.6</v>
      </c>
      <c r="J10" s="0" t="n">
        <v>5.38155390205918</v>
      </c>
      <c r="K10" s="0" t="n">
        <v>4.16</v>
      </c>
      <c r="L10" s="0" t="n">
        <v>353.6</v>
      </c>
      <c r="M10" s="0" t="n">
        <v>69.9</v>
      </c>
      <c r="N10" s="0" t="n">
        <v>283.7</v>
      </c>
      <c r="O10" s="0" t="n">
        <v>101.6</v>
      </c>
      <c r="P10" s="0" t="n">
        <v>1677.4</v>
      </c>
      <c r="Q10" s="0" t="n">
        <v>1575.8</v>
      </c>
      <c r="R10" s="0" t="n">
        <v>537</v>
      </c>
      <c r="S10" s="0" t="n">
        <v>38.9</v>
      </c>
      <c r="T10" s="0" t="n">
        <v>45.6</v>
      </c>
      <c r="U10" s="0" t="n">
        <v>26.6</v>
      </c>
      <c r="V10" s="0" t="n">
        <v>1.38</v>
      </c>
      <c r="AA10" s="0" t="s">
        <v>17</v>
      </c>
      <c r="AB10" s="0" t="s">
        <v>14</v>
      </c>
    </row>
    <row r="11" customFormat="false" ht="15" hidden="false" customHeight="false" outlineLevel="0" collapsed="false">
      <c r="A11" s="0" t="s">
        <v>72</v>
      </c>
      <c r="B11" s="0" t="n">
        <v>3641.6</v>
      </c>
      <c r="C11" s="0" t="n">
        <v>2565.1</v>
      </c>
      <c r="D11" s="0" t="n">
        <v>1076.5</v>
      </c>
      <c r="E11" s="0" t="n">
        <v>29.5611818980668</v>
      </c>
      <c r="F11" s="0" t="n">
        <v>429.4</v>
      </c>
      <c r="G11" s="0" t="n">
        <v>11.7915202108963</v>
      </c>
      <c r="H11" s="0" t="n">
        <v>487.5</v>
      </c>
      <c r="I11" s="0" t="n">
        <v>277.8</v>
      </c>
      <c r="J11" s="0" t="n">
        <v>7.62851493848858</v>
      </c>
      <c r="K11" s="0" t="n">
        <v>6.39</v>
      </c>
      <c r="L11" s="0" t="n">
        <v>373.9</v>
      </c>
      <c r="M11" s="0" t="n">
        <v>84.3</v>
      </c>
      <c r="N11" s="0" t="n">
        <v>289.6</v>
      </c>
      <c r="O11" s="0" t="n">
        <v>38</v>
      </c>
      <c r="P11" s="0" t="n">
        <v>1760.3</v>
      </c>
      <c r="Q11" s="0" t="n">
        <v>1722.3</v>
      </c>
      <c r="R11" s="0" t="n">
        <v>815.8</v>
      </c>
      <c r="S11" s="0" t="n">
        <v>50.2</v>
      </c>
      <c r="T11" s="0" t="n">
        <v>44</v>
      </c>
      <c r="U11" s="0" t="n">
        <v>31.7</v>
      </c>
      <c r="V11" s="0" t="n">
        <v>1.65</v>
      </c>
      <c r="AA11" s="0" t="s">
        <v>17</v>
      </c>
      <c r="AB11" s="0" t="s">
        <v>14</v>
      </c>
    </row>
    <row r="12" customFormat="false" ht="15" hidden="false" customHeight="false" outlineLevel="0" collapsed="false">
      <c r="A12" s="0" t="s">
        <v>73</v>
      </c>
      <c r="B12" s="0" t="n">
        <v>3839.6</v>
      </c>
      <c r="C12" s="0" t="n">
        <v>2714.4</v>
      </c>
      <c r="D12" s="0" t="n">
        <v>1125.2</v>
      </c>
      <c r="E12" s="0" t="n">
        <v>29.3051359516616</v>
      </c>
      <c r="F12" s="0" t="n">
        <v>494.5</v>
      </c>
      <c r="G12" s="0" t="n">
        <v>12.8789457235129</v>
      </c>
      <c r="H12" s="0" t="n">
        <v>559.1</v>
      </c>
      <c r="I12" s="0" t="n">
        <v>305.7</v>
      </c>
      <c r="J12" s="0" t="n">
        <v>7.96176685071362</v>
      </c>
      <c r="K12" s="0" t="n">
        <v>7.25</v>
      </c>
      <c r="L12" s="0" t="n">
        <v>325.1</v>
      </c>
      <c r="M12" s="0" t="n">
        <v>98.3</v>
      </c>
      <c r="N12" s="0" t="n">
        <v>226.8</v>
      </c>
      <c r="O12" s="0" t="n">
        <v>50.1</v>
      </c>
      <c r="P12" s="0" t="n">
        <v>1891.5</v>
      </c>
      <c r="Q12" s="0" t="n">
        <v>1841.4</v>
      </c>
      <c r="R12" s="0" t="n">
        <v>1003.1</v>
      </c>
      <c r="S12" s="0" t="n">
        <v>68.2</v>
      </c>
      <c r="T12" s="0" t="n">
        <v>42.8</v>
      </c>
      <c r="U12" s="0" t="n">
        <v>24.9</v>
      </c>
      <c r="V12" s="0" t="n">
        <v>1.96</v>
      </c>
      <c r="AA12" s="0" t="s">
        <v>17</v>
      </c>
      <c r="AB12" s="0" t="s">
        <v>14</v>
      </c>
    </row>
    <row r="13" customFormat="false" ht="15" hidden="false" customHeight="false" outlineLevel="0" collapsed="false">
      <c r="A13" s="0" t="s">
        <v>74</v>
      </c>
      <c r="B13" s="0" t="n">
        <v>3883.9</v>
      </c>
      <c r="C13" s="0" t="n">
        <v>2772.7</v>
      </c>
      <c r="D13" s="0" t="n">
        <v>1111.2</v>
      </c>
      <c r="E13" s="0" t="n">
        <v>28.6104173639898</v>
      </c>
      <c r="F13" s="0" t="n">
        <v>509.9</v>
      </c>
      <c r="G13" s="0" t="n">
        <v>13.1285563480007</v>
      </c>
      <c r="H13" s="0" t="n">
        <v>575.9</v>
      </c>
      <c r="I13" s="0" t="n">
        <v>359</v>
      </c>
      <c r="J13" s="0" t="n">
        <v>9.24328638739411</v>
      </c>
      <c r="K13" s="0" t="n">
        <v>8.84</v>
      </c>
      <c r="L13" s="0" t="n">
        <v>495.5</v>
      </c>
      <c r="M13" s="0" t="n">
        <v>95.2</v>
      </c>
      <c r="N13" s="0" t="n">
        <v>400.3</v>
      </c>
      <c r="O13" s="0" t="n">
        <v>-149.6</v>
      </c>
      <c r="P13" s="0" t="n">
        <v>1817.2</v>
      </c>
      <c r="Q13" s="0" t="n">
        <v>1966.8</v>
      </c>
      <c r="R13" s="0" t="n">
        <v>1041.3</v>
      </c>
      <c r="S13" s="0" t="n">
        <v>46.3</v>
      </c>
      <c r="T13" s="0" t="n">
        <v>41.1</v>
      </c>
      <c r="U13" s="0" t="n">
        <v>26.3</v>
      </c>
      <c r="V13" s="0" t="n">
        <v>2.43</v>
      </c>
      <c r="AA13" s="0" t="s">
        <v>17</v>
      </c>
      <c r="AB13" s="0" t="s">
        <v>14</v>
      </c>
    </row>
    <row r="14" customFormat="false" ht="15" hidden="false" customHeight="false" outlineLevel="0" collapsed="false">
      <c r="A14" s="0" t="s">
        <v>75</v>
      </c>
      <c r="B14" s="0" t="n">
        <v>3807.2</v>
      </c>
      <c r="C14" s="0" t="n">
        <v>2727.4</v>
      </c>
      <c r="D14" s="0" t="n">
        <v>1079.8</v>
      </c>
      <c r="E14" s="0" t="n">
        <v>28.3620508510191</v>
      </c>
      <c r="F14" s="0" t="n">
        <v>656.9</v>
      </c>
      <c r="G14" s="0" t="n">
        <v>17.2541500315192</v>
      </c>
      <c r="H14" s="0" t="n">
        <v>728</v>
      </c>
      <c r="I14" s="0" t="n">
        <v>408.7</v>
      </c>
      <c r="J14" s="0" t="n">
        <v>10.734923303215</v>
      </c>
      <c r="K14" s="0" t="n">
        <v>10.49</v>
      </c>
      <c r="L14" s="0" t="n">
        <v>396.1</v>
      </c>
      <c r="M14" s="0" t="n">
        <v>105.6</v>
      </c>
      <c r="N14" s="0" t="n">
        <v>290.5</v>
      </c>
      <c r="O14" s="0" t="n">
        <v>-170.2</v>
      </c>
      <c r="P14" s="0" t="n">
        <v>2034.9</v>
      </c>
      <c r="Q14" s="0" t="n">
        <v>2205.1</v>
      </c>
      <c r="R14" s="0" t="n">
        <v>1171.2</v>
      </c>
      <c r="S14" s="0" t="n">
        <v>37.3</v>
      </c>
      <c r="T14" s="0" t="n">
        <v>39.4</v>
      </c>
      <c r="U14" s="0" t="n">
        <v>21.3</v>
      </c>
      <c r="V14" s="0" t="n">
        <v>2.95</v>
      </c>
      <c r="AA14" s="0" t="s">
        <v>17</v>
      </c>
      <c r="AB14" s="0" t="s">
        <v>14</v>
      </c>
    </row>
    <row r="15" customFormat="false" ht="15" hidden="false" customHeight="false" outlineLevel="0" collapsed="false">
      <c r="A15" s="0" t="s">
        <v>76</v>
      </c>
      <c r="B15" s="0" t="n">
        <v>3634.1</v>
      </c>
      <c r="C15" s="0" t="n">
        <v>2594</v>
      </c>
      <c r="D15" s="0" t="n">
        <v>1040.1</v>
      </c>
      <c r="E15" s="0" t="n">
        <v>28.6205663025233</v>
      </c>
      <c r="F15" s="0" t="n">
        <v>478.5</v>
      </c>
      <c r="G15" s="0" t="n">
        <v>13.166946424149</v>
      </c>
      <c r="H15" s="0" t="n">
        <v>551.1</v>
      </c>
      <c r="I15" s="0" t="n">
        <v>356.3</v>
      </c>
      <c r="J15" s="0" t="n">
        <v>9.80435320987315</v>
      </c>
      <c r="K15" s="0" t="n">
        <v>9.3</v>
      </c>
      <c r="L15" s="0" t="n">
        <v>612.4</v>
      </c>
      <c r="M15" s="0" t="n">
        <v>78.5</v>
      </c>
      <c r="N15" s="0" t="n">
        <v>533.9</v>
      </c>
      <c r="O15" s="0" t="n">
        <v>-17.1</v>
      </c>
      <c r="P15" s="0" t="n">
        <v>2032.5</v>
      </c>
      <c r="Q15" s="0" t="n">
        <v>2049.6</v>
      </c>
      <c r="R15" s="0" t="n">
        <v>980.6</v>
      </c>
      <c r="S15" s="0" t="n">
        <v>123.9</v>
      </c>
      <c r="T15" s="0" t="n">
        <v>38.6</v>
      </c>
      <c r="U15" s="0" t="n">
        <v>24.3</v>
      </c>
      <c r="V15" s="0" t="n">
        <v>3.08</v>
      </c>
      <c r="AA15" s="0" t="s">
        <v>17</v>
      </c>
      <c r="AB15" s="0" t="s">
        <v>14</v>
      </c>
    </row>
    <row r="16" customFormat="false" ht="15" hidden="false" customHeight="false" outlineLevel="0" collapsed="false">
      <c r="A16" s="0" t="s">
        <v>77</v>
      </c>
      <c r="B16" s="0" t="n">
        <v>4194.1</v>
      </c>
      <c r="C16" s="0" t="n">
        <v>3005.7</v>
      </c>
      <c r="D16" s="0" t="n">
        <v>1188.4</v>
      </c>
      <c r="E16" s="0" t="n">
        <v>28.335042082926</v>
      </c>
      <c r="F16" s="0" t="n">
        <v>590.3</v>
      </c>
      <c r="G16" s="0" t="n">
        <v>14.074533272931</v>
      </c>
      <c r="H16" s="0" t="n">
        <v>662.7</v>
      </c>
      <c r="I16" s="0" t="n">
        <v>464</v>
      </c>
      <c r="J16" s="0" t="n">
        <v>11.063160153549</v>
      </c>
      <c r="K16" s="0" t="n">
        <v>12.47</v>
      </c>
      <c r="L16" s="0" t="n">
        <v>515.5</v>
      </c>
      <c r="M16" s="0" t="n">
        <v>106.8</v>
      </c>
      <c r="N16" s="0" t="n">
        <v>408.7</v>
      </c>
      <c r="O16" s="0" t="n">
        <v>-269</v>
      </c>
      <c r="P16" s="0" t="n">
        <v>2171.9</v>
      </c>
      <c r="Q16" s="0" t="n">
        <v>2440.9</v>
      </c>
      <c r="R16" s="0" t="n">
        <v>1237.8</v>
      </c>
      <c r="S16" s="0" t="n">
        <v>31</v>
      </c>
      <c r="T16" s="0" t="n">
        <v>37.5</v>
      </c>
      <c r="U16" s="0" t="n">
        <v>24.3</v>
      </c>
      <c r="V16" s="0" t="n">
        <v>3.53</v>
      </c>
      <c r="AA16" s="0" t="s">
        <v>17</v>
      </c>
      <c r="AB16" s="0" t="s">
        <v>14</v>
      </c>
    </row>
    <row r="17" customFormat="false" ht="15" hidden="false" customHeight="false" outlineLevel="0" collapsed="false">
      <c r="A17" s="0" t="s">
        <v>78</v>
      </c>
      <c r="B17" s="0" t="n">
        <v>4718.4</v>
      </c>
      <c r="C17" s="0" t="n">
        <v>3433.7</v>
      </c>
      <c r="D17" s="0" t="n">
        <v>1284.7</v>
      </c>
      <c r="E17" s="0" t="n">
        <v>27.2274499830451</v>
      </c>
      <c r="F17" s="0" t="n">
        <v>656.2</v>
      </c>
      <c r="G17" s="0" t="n">
        <v>13.9072566971855</v>
      </c>
      <c r="H17" s="0" t="n">
        <v>734.1</v>
      </c>
      <c r="I17" s="0" t="n">
        <v>497.1</v>
      </c>
      <c r="J17" s="0" t="n">
        <v>10.5353509664293</v>
      </c>
      <c r="K17" s="0" t="n">
        <v>13.92</v>
      </c>
      <c r="L17" s="0" t="n">
        <v>302.3</v>
      </c>
      <c r="M17" s="0" t="n">
        <v>101.1</v>
      </c>
      <c r="N17" s="0" t="n">
        <v>201.2</v>
      </c>
      <c r="O17" s="0" t="n">
        <v>-203.1</v>
      </c>
      <c r="P17" s="0" t="n">
        <v>2567.6</v>
      </c>
      <c r="Q17" s="0" t="n">
        <v>2770.7</v>
      </c>
      <c r="R17" s="0" t="n">
        <v>1524.8</v>
      </c>
      <c r="S17" s="0" t="n">
        <v>52.6</v>
      </c>
      <c r="T17" s="0" t="n">
        <v>35.8</v>
      </c>
      <c r="U17" s="0" t="n">
        <v>21.8</v>
      </c>
      <c r="V17" s="0" t="n">
        <v>4.1</v>
      </c>
      <c r="AA17" s="0" t="s">
        <v>17</v>
      </c>
      <c r="AB17" s="0" t="s">
        <v>14</v>
      </c>
    </row>
    <row r="18" customFormat="false" ht="15" hidden="false" customHeight="false" outlineLevel="0" collapsed="false">
      <c r="A18" s="0" t="s">
        <v>79</v>
      </c>
      <c r="B18" s="0" t="n">
        <v>4981.9</v>
      </c>
      <c r="C18" s="0" t="n">
        <v>3432.7</v>
      </c>
      <c r="D18" s="0" t="n">
        <v>1549.2</v>
      </c>
      <c r="E18" s="0" t="n">
        <v>31.0965695818864</v>
      </c>
      <c r="F18" s="0" t="n">
        <v>791.5</v>
      </c>
      <c r="G18" s="0" t="n">
        <v>15.8875127963227</v>
      </c>
      <c r="H18" s="0" t="n">
        <v>877.5</v>
      </c>
      <c r="I18" s="0" t="n">
        <v>591.2</v>
      </c>
      <c r="J18" s="0" t="n">
        <v>11.8669583893695</v>
      </c>
      <c r="K18" s="0" t="n">
        <v>16.65</v>
      </c>
      <c r="L18" s="0" t="n">
        <v>736.2</v>
      </c>
      <c r="M18" s="0" t="n">
        <v>250.2</v>
      </c>
      <c r="N18" s="0" t="n">
        <v>486</v>
      </c>
      <c r="O18" s="0" t="n">
        <v>393</v>
      </c>
      <c r="P18" s="0" t="n">
        <v>2941</v>
      </c>
      <c r="Q18" s="0" t="n">
        <v>2548</v>
      </c>
      <c r="R18" s="0" t="n">
        <v>1155.2</v>
      </c>
      <c r="S18" s="0" t="n">
        <v>60.7</v>
      </c>
      <c r="T18" s="0" t="n">
        <v>35.7</v>
      </c>
      <c r="U18" s="0" t="n">
        <v>30.1</v>
      </c>
      <c r="V18" s="0" t="n">
        <v>4.36</v>
      </c>
      <c r="AA18" s="0" t="s">
        <v>17</v>
      </c>
      <c r="AB18" s="0" t="s">
        <v>14</v>
      </c>
    </row>
    <row r="19" customFormat="false" ht="15" hidden="false" customHeight="false" outlineLevel="0" collapsed="false">
      <c r="A19" s="0" t="s">
        <v>80</v>
      </c>
      <c r="B19" s="0" t="n">
        <v>5341.3</v>
      </c>
      <c r="C19" s="0" t="n">
        <v>3563.8</v>
      </c>
      <c r="D19" s="0" t="n">
        <v>1777.5</v>
      </c>
      <c r="E19" s="0" t="n">
        <v>33.2784153670455</v>
      </c>
      <c r="F19" s="0" t="n">
        <v>1040.4</v>
      </c>
      <c r="G19" s="0" t="n">
        <v>19.4784041338251</v>
      </c>
      <c r="H19" s="0" t="n">
        <v>1135.5</v>
      </c>
      <c r="I19" s="0" t="n">
        <v>811.1</v>
      </c>
      <c r="J19" s="0" t="n">
        <v>15.1854417463913</v>
      </c>
      <c r="K19" s="0" t="n">
        <v>22.78</v>
      </c>
      <c r="L19" s="0" t="n">
        <v>945.7</v>
      </c>
      <c r="M19" s="0" t="n">
        <v>163.6</v>
      </c>
      <c r="N19" s="0" t="n">
        <v>782.1</v>
      </c>
      <c r="O19" s="0" t="n">
        <v>962.1</v>
      </c>
      <c r="P19" s="0" t="n">
        <v>3620</v>
      </c>
      <c r="Q19" s="0" t="n">
        <v>2657.9</v>
      </c>
      <c r="R19" s="0" t="n">
        <v>1147.6</v>
      </c>
      <c r="S19" s="0" t="n">
        <v>415.1</v>
      </c>
      <c r="T19" s="0" t="n">
        <v>35.8</v>
      </c>
      <c r="U19" s="0" t="n">
        <v>28.5</v>
      </c>
      <c r="V19" s="0" t="n">
        <v>4.55</v>
      </c>
      <c r="AA19" s="0" t="s">
        <v>17</v>
      </c>
      <c r="AB19" s="0" t="s">
        <v>14</v>
      </c>
    </row>
    <row r="20" customFormat="false" ht="15" hidden="false" customHeight="false" outlineLevel="0" collapsed="false">
      <c r="A20" s="0" t="s">
        <v>81</v>
      </c>
      <c r="B20" s="0" t="n">
        <v>5195.3</v>
      </c>
      <c r="C20" s="0" t="n">
        <v>3460.5</v>
      </c>
      <c r="D20" s="0" t="n">
        <v>1734.8</v>
      </c>
      <c r="E20" s="0" t="n">
        <v>33.3917194387235</v>
      </c>
      <c r="F20" s="0" t="n">
        <v>1041.5</v>
      </c>
      <c r="G20" s="0" t="n">
        <v>20.0469655265336</v>
      </c>
      <c r="H20" s="0" t="n">
        <v>1154</v>
      </c>
      <c r="I20" s="0" t="n">
        <v>805.8</v>
      </c>
      <c r="J20" s="0" t="n">
        <v>15.5101726560545</v>
      </c>
      <c r="K20" s="0" t="n">
        <v>22.89</v>
      </c>
      <c r="L20" s="0" t="n">
        <v>757.6</v>
      </c>
      <c r="M20" s="0" t="n">
        <v>118.8</v>
      </c>
      <c r="N20" s="0" t="n">
        <v>638.8</v>
      </c>
      <c r="O20" s="0" t="n">
        <v>1163.1</v>
      </c>
      <c r="P20" s="0" t="n">
        <v>4081.8</v>
      </c>
      <c r="Q20" s="0" t="n">
        <v>2918.7</v>
      </c>
      <c r="R20" s="0" t="n">
        <v>1162.4</v>
      </c>
      <c r="S20" s="0" t="n">
        <v>34.2</v>
      </c>
      <c r="T20" s="0" t="n">
        <v>35.4</v>
      </c>
      <c r="U20" s="0" t="n">
        <v>29.1</v>
      </c>
      <c r="V20" s="0" t="n">
        <v>5.05</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360.46</v>
      </c>
    </row>
    <row r="3" customFormat="false" ht="15" hidden="false" customHeight="false" outlineLevel="0" collapsed="false">
      <c r="A3" s="0" t="s">
        <v>85</v>
      </c>
      <c r="B3" s="3" t="n">
        <v>34.7</v>
      </c>
    </row>
    <row r="4" customFormat="false" ht="15" hidden="false" customHeight="false" outlineLevel="0" collapsed="false">
      <c r="A4" s="0" t="s">
        <v>86</v>
      </c>
      <c r="B4" s="3" t="n">
        <v>1529.8</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5195.3</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7</v>
      </c>
      <c r="D13" s="3" t="n">
        <v>1</v>
      </c>
      <c r="E13" s="3" t="n">
        <v>2.5</v>
      </c>
      <c r="F13" s="3" t="n">
        <v>3</v>
      </c>
      <c r="G13" s="3" t="n">
        <v>3</v>
      </c>
      <c r="H13" s="3" t="n">
        <v>3</v>
      </c>
      <c r="I13" s="3" t="n">
        <v>2.5</v>
      </c>
      <c r="J13" s="3" t="n">
        <v>2.5</v>
      </c>
      <c r="K13" s="3" t="n">
        <v>2.5</v>
      </c>
      <c r="L13" s="3" t="n">
        <v>2.5</v>
      </c>
    </row>
    <row r="14" customFormat="false" ht="15" hidden="false" customHeight="false" outlineLevel="0" collapsed="false">
      <c r="A14" s="0" t="s">
        <v>106</v>
      </c>
      <c r="C14" s="3" t="n">
        <v>21.3</v>
      </c>
      <c r="D14" s="3" t="n">
        <v>20</v>
      </c>
      <c r="E14" s="3" t="n">
        <v>19.5</v>
      </c>
      <c r="F14" s="3" t="n">
        <v>19.5</v>
      </c>
      <c r="G14" s="3" t="n">
        <v>19.8</v>
      </c>
      <c r="H14" s="3" t="n">
        <v>20</v>
      </c>
      <c r="I14" s="3" t="n">
        <v>20</v>
      </c>
      <c r="J14" s="3" t="n">
        <v>20</v>
      </c>
      <c r="K14" s="3" t="n">
        <v>20</v>
      </c>
      <c r="L14" s="3" t="n">
        <v>20</v>
      </c>
    </row>
    <row r="15" customFormat="false" ht="15" hidden="false" customHeight="false" outlineLevel="0" collapsed="false">
      <c r="A15" s="0" t="s">
        <v>107</v>
      </c>
      <c r="C15" s="3" t="n">
        <v>0.9</v>
      </c>
      <c r="D15" s="3" t="n">
        <v>0.9</v>
      </c>
      <c r="E15" s="3" t="n">
        <v>0.9</v>
      </c>
      <c r="F15" s="3" t="n">
        <v>0.9</v>
      </c>
      <c r="G15" s="3" t="n">
        <v>0.9</v>
      </c>
      <c r="H15" s="3" t="n">
        <v>0.9</v>
      </c>
      <c r="I15" s="3" t="n">
        <v>0.9</v>
      </c>
      <c r="J15" s="3" t="n">
        <v>0.9</v>
      </c>
      <c r="K15" s="3" t="n">
        <v>0.9</v>
      </c>
      <c r="L15" s="3" t="n">
        <v>0.9</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2.3</v>
      </c>
      <c r="D17" s="3" t="n">
        <v>2.3</v>
      </c>
      <c r="E17" s="3" t="n">
        <v>2.3</v>
      </c>
      <c r="F17" s="3" t="n">
        <v>2.3</v>
      </c>
      <c r="G17" s="3" t="n">
        <v>2.3</v>
      </c>
      <c r="H17" s="3" t="n">
        <v>2.3</v>
      </c>
      <c r="I17" s="3" t="n">
        <v>2.3</v>
      </c>
      <c r="J17" s="3" t="n">
        <v>2.3</v>
      </c>
      <c r="K17" s="3" t="n">
        <v>2.3</v>
      </c>
      <c r="L17" s="3" t="n">
        <v>2.3</v>
      </c>
    </row>
    <row r="18" customFormat="false" ht="15" hidden="false" customHeight="false" outlineLevel="0" collapsed="false">
      <c r="A18" s="0" t="s">
        <v>110</v>
      </c>
      <c r="C18" s="3" t="n">
        <v>3</v>
      </c>
      <c r="D18" s="3" t="n">
        <v>2.8</v>
      </c>
      <c r="E18" s="3" t="n">
        <v>2.7</v>
      </c>
      <c r="F18" s="3" t="n">
        <v>2.6</v>
      </c>
      <c r="G18" s="3" t="n">
        <v>2.5</v>
      </c>
      <c r="H18" s="3" t="n">
        <v>2.5</v>
      </c>
      <c r="I18" s="3" t="n">
        <v>2.5</v>
      </c>
      <c r="J18" s="3" t="n">
        <v>2.5</v>
      </c>
      <c r="K18" s="3" t="n">
        <v>2.5</v>
      </c>
      <c r="L18" s="3" t="n">
        <v>2.5</v>
      </c>
    </row>
    <row r="19" customFormat="false" ht="15" hidden="false" customHeight="false" outlineLevel="0" collapsed="false">
      <c r="A19" s="0" t="s">
        <v>111</v>
      </c>
      <c r="C19" s="3" t="n">
        <v>21</v>
      </c>
      <c r="D19" s="3" t="n">
        <v>21</v>
      </c>
      <c r="E19" s="3" t="n">
        <v>21</v>
      </c>
      <c r="F19" s="3" t="n">
        <v>21</v>
      </c>
      <c r="G19" s="3" t="n">
        <v>21</v>
      </c>
      <c r="H19" s="3" t="n">
        <v>21</v>
      </c>
      <c r="I19" s="3" t="n">
        <v>21</v>
      </c>
      <c r="J19" s="3" t="n">
        <v>21</v>
      </c>
      <c r="K19" s="3" t="n">
        <v>21</v>
      </c>
      <c r="L19" s="3" t="n">
        <v>21</v>
      </c>
    </row>
    <row r="20" customFormat="false" ht="15" hidden="false" customHeight="false" outlineLevel="0" collapsed="false">
      <c r="A20" s="0" t="s">
        <v>112</v>
      </c>
      <c r="B20" s="3" t="n">
        <v>9</v>
      </c>
    </row>
    <row r="21" customFormat="false" ht="15" hidden="false" customHeight="false" outlineLevel="0" collapsed="false">
      <c r="A21" s="0" t="s">
        <v>113</v>
      </c>
      <c r="B21" s="3" t="n">
        <v>2</v>
      </c>
    </row>
    <row r="22" customFormat="false" ht="15" hidden="false" customHeight="false" outlineLevel="0" collapsed="false">
      <c r="A22" s="0" t="s">
        <v>114</v>
      </c>
      <c r="B22" s="3" t="n">
        <v>15</v>
      </c>
    </row>
    <row r="23" customFormat="false" ht="15" hidden="false" customHeight="false" outlineLevel="0" collapsed="false">
      <c r="A23" s="0" t="s">
        <v>115</v>
      </c>
      <c r="B23" s="3" t="n">
        <v>-10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8</v>
      </c>
      <c r="D27" s="3" t="n">
        <v>6</v>
      </c>
      <c r="E27" s="3" t="n">
        <v>6</v>
      </c>
      <c r="F27" s="3" t="n">
        <v>5</v>
      </c>
      <c r="G27" s="3" t="n">
        <v>4.5</v>
      </c>
      <c r="H27" s="3" t="n">
        <v>4</v>
      </c>
      <c r="I27" s="3" t="n">
        <v>3.5</v>
      </c>
      <c r="J27" s="3" t="n">
        <v>3</v>
      </c>
      <c r="K27" s="3" t="n">
        <v>3</v>
      </c>
      <c r="L27" s="3" t="n">
        <v>3</v>
      </c>
    </row>
    <row r="28" customFormat="false" ht="15" hidden="false" customHeight="false" outlineLevel="0" collapsed="false">
      <c r="A28" s="0" t="s">
        <v>106</v>
      </c>
      <c r="C28" s="3" t="n">
        <v>22</v>
      </c>
      <c r="D28" s="3" t="n">
        <v>22.3</v>
      </c>
      <c r="E28" s="3" t="n">
        <v>22.8</v>
      </c>
      <c r="F28" s="3" t="n">
        <v>23.2</v>
      </c>
      <c r="G28" s="3" t="n">
        <v>23.5</v>
      </c>
      <c r="H28" s="3" t="n">
        <v>23.5</v>
      </c>
      <c r="I28" s="3" t="n">
        <v>23.5</v>
      </c>
      <c r="J28" s="3" t="n">
        <v>23.5</v>
      </c>
      <c r="K28" s="3" t="n">
        <v>23.5</v>
      </c>
      <c r="L28" s="3" t="n">
        <v>23.5</v>
      </c>
    </row>
    <row r="29" customFormat="false" ht="15" hidden="false" customHeight="false" outlineLevel="0" collapsed="false">
      <c r="A29" s="0" t="s">
        <v>107</v>
      </c>
      <c r="C29" s="3" t="n">
        <v>0.9</v>
      </c>
      <c r="D29" s="3" t="n">
        <v>0.9</v>
      </c>
      <c r="E29" s="3" t="n">
        <v>0.9</v>
      </c>
      <c r="F29" s="3" t="n">
        <v>0.9</v>
      </c>
      <c r="G29" s="3" t="n">
        <v>0.9</v>
      </c>
      <c r="H29" s="3" t="n">
        <v>0.9</v>
      </c>
      <c r="I29" s="3" t="n">
        <v>0.9</v>
      </c>
      <c r="J29" s="3" t="n">
        <v>0.9</v>
      </c>
      <c r="K29" s="3" t="n">
        <v>0.9</v>
      </c>
      <c r="L29" s="3" t="n">
        <v>0.9</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2.3</v>
      </c>
      <c r="D31" s="3" t="n">
        <v>2.3</v>
      </c>
      <c r="E31" s="3" t="n">
        <v>2.3</v>
      </c>
      <c r="F31" s="3" t="n">
        <v>2.3</v>
      </c>
      <c r="G31" s="3" t="n">
        <v>2.3</v>
      </c>
      <c r="H31" s="3" t="n">
        <v>2.3</v>
      </c>
      <c r="I31" s="3" t="n">
        <v>2.3</v>
      </c>
      <c r="J31" s="3" t="n">
        <v>2.3</v>
      </c>
      <c r="K31" s="3" t="n">
        <v>2.3</v>
      </c>
      <c r="L31" s="3" t="n">
        <v>2.3</v>
      </c>
    </row>
    <row r="32" customFormat="false" ht="15" hidden="false" customHeight="false" outlineLevel="0" collapsed="false">
      <c r="A32" s="0" t="s">
        <v>110</v>
      </c>
      <c r="C32" s="3" t="n">
        <v>3</v>
      </c>
      <c r="D32" s="3" t="n">
        <v>2.8</v>
      </c>
      <c r="E32" s="3" t="n">
        <v>2.7</v>
      </c>
      <c r="F32" s="3" t="n">
        <v>2.6</v>
      </c>
      <c r="G32" s="3" t="n">
        <v>2.5</v>
      </c>
      <c r="H32" s="3" t="n">
        <v>2.5</v>
      </c>
      <c r="I32" s="3" t="n">
        <v>2.5</v>
      </c>
      <c r="J32" s="3" t="n">
        <v>2.5</v>
      </c>
      <c r="K32" s="3" t="n">
        <v>2.5</v>
      </c>
      <c r="L32" s="3" t="n">
        <v>2.5</v>
      </c>
    </row>
    <row r="33" customFormat="false" ht="15" hidden="false" customHeight="false" outlineLevel="0" collapsed="false">
      <c r="A33" s="0" t="s">
        <v>111</v>
      </c>
      <c r="C33" s="3" t="n">
        <v>21</v>
      </c>
      <c r="D33" s="3" t="n">
        <v>21</v>
      </c>
      <c r="E33" s="3" t="n">
        <v>21</v>
      </c>
      <c r="F33" s="3" t="n">
        <v>21</v>
      </c>
      <c r="G33" s="3" t="n">
        <v>21</v>
      </c>
      <c r="H33" s="3" t="n">
        <v>21</v>
      </c>
      <c r="I33" s="3" t="n">
        <v>21</v>
      </c>
      <c r="J33" s="3" t="n">
        <v>21</v>
      </c>
      <c r="K33" s="3" t="n">
        <v>21</v>
      </c>
      <c r="L33" s="3" t="n">
        <v>21</v>
      </c>
    </row>
    <row r="34" customFormat="false" ht="15" hidden="false" customHeight="false" outlineLevel="0" collapsed="false">
      <c r="A34" s="0" t="s">
        <v>112</v>
      </c>
      <c r="B34" s="3" t="n">
        <v>9</v>
      </c>
    </row>
    <row r="35" customFormat="false" ht="15" hidden="false" customHeight="false" outlineLevel="0" collapsed="false">
      <c r="A35" s="0" t="s">
        <v>113</v>
      </c>
      <c r="B35" s="3" t="n">
        <v>2.5</v>
      </c>
    </row>
    <row r="36" customFormat="false" ht="15" hidden="false" customHeight="false" outlineLevel="0" collapsed="false">
      <c r="A36" s="0" t="s">
        <v>114</v>
      </c>
      <c r="B36" s="3" t="n">
        <v>15</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8.5</v>
      </c>
      <c r="D41" s="3" t="n">
        <v>9</v>
      </c>
      <c r="E41" s="3" t="n">
        <v>8</v>
      </c>
      <c r="F41" s="3" t="n">
        <v>6.5</v>
      </c>
      <c r="G41" s="3" t="n">
        <v>5.5</v>
      </c>
      <c r="H41" s="3" t="n">
        <v>5</v>
      </c>
      <c r="I41" s="3" t="n">
        <v>4.5</v>
      </c>
      <c r="J41" s="3" t="n">
        <v>4</v>
      </c>
      <c r="K41" s="3" t="n">
        <v>3.5</v>
      </c>
      <c r="L41" s="3" t="n">
        <v>3.5</v>
      </c>
    </row>
    <row r="42" customFormat="false" ht="15" hidden="false" customHeight="false" outlineLevel="0" collapsed="false">
      <c r="A42" s="0" t="s">
        <v>106</v>
      </c>
      <c r="C42" s="3" t="n">
        <v>22.2</v>
      </c>
      <c r="D42" s="3" t="n">
        <v>23</v>
      </c>
      <c r="E42" s="3" t="n">
        <v>23.8</v>
      </c>
      <c r="F42" s="3" t="n">
        <v>24.5</v>
      </c>
      <c r="G42" s="3" t="n">
        <v>25</v>
      </c>
      <c r="H42" s="3" t="n">
        <v>25</v>
      </c>
      <c r="I42" s="3" t="n">
        <v>25</v>
      </c>
      <c r="J42" s="3" t="n">
        <v>25</v>
      </c>
      <c r="K42" s="3" t="n">
        <v>25</v>
      </c>
      <c r="L42" s="3" t="n">
        <v>25</v>
      </c>
    </row>
    <row r="43" customFormat="false" ht="15" hidden="false" customHeight="false" outlineLevel="0" collapsed="false">
      <c r="A43" s="0" t="s">
        <v>107</v>
      </c>
      <c r="C43" s="3" t="n">
        <v>0.9</v>
      </c>
      <c r="D43" s="3" t="n">
        <v>0.9</v>
      </c>
      <c r="E43" s="3" t="n">
        <v>0.9</v>
      </c>
      <c r="F43" s="3" t="n">
        <v>0.9</v>
      </c>
      <c r="G43" s="3" t="n">
        <v>0.9</v>
      </c>
      <c r="H43" s="3" t="n">
        <v>0.9</v>
      </c>
      <c r="I43" s="3" t="n">
        <v>0.9</v>
      </c>
      <c r="J43" s="3" t="n">
        <v>0.9</v>
      </c>
      <c r="K43" s="3" t="n">
        <v>0.9</v>
      </c>
      <c r="L43" s="3" t="n">
        <v>0.9</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2.3</v>
      </c>
      <c r="D45" s="3" t="n">
        <v>2.3</v>
      </c>
      <c r="E45" s="3" t="n">
        <v>2.3</v>
      </c>
      <c r="F45" s="3" t="n">
        <v>2.3</v>
      </c>
      <c r="G45" s="3" t="n">
        <v>2.3</v>
      </c>
      <c r="H45" s="3" t="n">
        <v>2.3</v>
      </c>
      <c r="I45" s="3" t="n">
        <v>2.3</v>
      </c>
      <c r="J45" s="3" t="n">
        <v>2.3</v>
      </c>
      <c r="K45" s="3" t="n">
        <v>2.3</v>
      </c>
      <c r="L45" s="3" t="n">
        <v>2.3</v>
      </c>
    </row>
    <row r="46" customFormat="false" ht="15" hidden="false" customHeight="false" outlineLevel="0" collapsed="false">
      <c r="A46" s="0" t="s">
        <v>110</v>
      </c>
      <c r="C46" s="3" t="n">
        <v>3</v>
      </c>
      <c r="D46" s="3" t="n">
        <v>2.8</v>
      </c>
      <c r="E46" s="3" t="n">
        <v>2.7</v>
      </c>
      <c r="F46" s="3" t="n">
        <v>2.6</v>
      </c>
      <c r="G46" s="3" t="n">
        <v>2.5</v>
      </c>
      <c r="H46" s="3" t="n">
        <v>2.5</v>
      </c>
      <c r="I46" s="3" t="n">
        <v>2.5</v>
      </c>
      <c r="J46" s="3" t="n">
        <v>2.5</v>
      </c>
      <c r="K46" s="3" t="n">
        <v>2.5</v>
      </c>
      <c r="L46" s="3" t="n">
        <v>2.5</v>
      </c>
    </row>
    <row r="47" customFormat="false" ht="15" hidden="false" customHeight="false" outlineLevel="0" collapsed="false">
      <c r="A47" s="0" t="s">
        <v>111</v>
      </c>
      <c r="C47" s="3" t="n">
        <v>21</v>
      </c>
      <c r="D47" s="3" t="n">
        <v>21</v>
      </c>
      <c r="E47" s="3" t="n">
        <v>21</v>
      </c>
      <c r="F47" s="3" t="n">
        <v>21</v>
      </c>
      <c r="G47" s="3" t="n">
        <v>21</v>
      </c>
      <c r="H47" s="3" t="n">
        <v>21</v>
      </c>
      <c r="I47" s="3" t="n">
        <v>21</v>
      </c>
      <c r="J47" s="3" t="n">
        <v>21</v>
      </c>
      <c r="K47" s="3" t="n">
        <v>21</v>
      </c>
      <c r="L47" s="3" t="n">
        <v>21</v>
      </c>
    </row>
    <row r="48" customFormat="false" ht="15" hidden="false" customHeight="false" outlineLevel="0" collapsed="false">
      <c r="A48" s="0" t="s">
        <v>112</v>
      </c>
      <c r="B48" s="3" t="n">
        <v>9</v>
      </c>
    </row>
    <row r="49" customFormat="false" ht="15" hidden="false" customHeight="false" outlineLevel="0" collapsed="false">
      <c r="A49" s="0" t="s">
        <v>113</v>
      </c>
      <c r="B49" s="3" t="n">
        <v>3</v>
      </c>
    </row>
    <row r="50" customFormat="false" ht="15" hidden="false" customHeight="false" outlineLevel="0" collapsed="false">
      <c r="A50" s="0" t="s">
        <v>114</v>
      </c>
      <c r="B50" s="3" t="n">
        <v>15</v>
      </c>
    </row>
    <row r="51" customFormat="false" ht="15" hidden="false" customHeight="false" outlineLevel="0" collapsed="false">
      <c r="A51" s="0" t="s">
        <v>115</v>
      </c>
      <c r="B51" s="3" t="n">
        <v>-10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7</v>
      </c>
      <c r="D5" s="4" t="n">
        <f aca="false">Assumptions!D13</f>
        <v>1</v>
      </c>
      <c r="E5" s="4" t="n">
        <f aca="false">Assumptions!E13</f>
        <v>2.5</v>
      </c>
      <c r="F5" s="4" t="n">
        <f aca="false">Assumptions!F13</f>
        <v>3</v>
      </c>
      <c r="G5" s="4" t="n">
        <f aca="false">Assumptions!G13</f>
        <v>3</v>
      </c>
      <c r="H5" s="4" t="n">
        <f aca="false">Assumptions!H13</f>
        <v>3</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5195.3</v>
      </c>
      <c r="C6" s="0" t="n">
        <f aca="false">B6*(1+C5/100)</f>
        <v>5558.971</v>
      </c>
      <c r="D6" s="0" t="n">
        <f aca="false">C6*(1+D5/100)</f>
        <v>5614.56071</v>
      </c>
      <c r="E6" s="0" t="n">
        <f aca="false">D6*(1+E5/100)</f>
        <v>5754.92472775</v>
      </c>
      <c r="F6" s="0" t="n">
        <f aca="false">E6*(1+F5/100)</f>
        <v>5927.5724695825</v>
      </c>
      <c r="G6" s="0" t="n">
        <f aca="false">F6*(1+G5/100)</f>
        <v>6105.39964366998</v>
      </c>
      <c r="H6" s="0" t="n">
        <f aca="false">G6*(1+H5/100)</f>
        <v>6288.56163298008</v>
      </c>
      <c r="I6" s="0" t="n">
        <f aca="false">H6*(1+I5/100)</f>
        <v>6445.77567380458</v>
      </c>
      <c r="J6" s="0" t="n">
        <f aca="false">I6*(1+J5/100)</f>
        <v>6606.92006564969</v>
      </c>
      <c r="K6" s="0" t="n">
        <f aca="false">J6*(1+K5/100)</f>
        <v>6772.09306729093</v>
      </c>
      <c r="L6" s="0" t="n">
        <f aca="false">K6*(1+L5/100)</f>
        <v>6941.39539397321</v>
      </c>
    </row>
    <row r="7" customFormat="false" ht="15" hidden="false" customHeight="false" outlineLevel="0" collapsed="false">
      <c r="A7" s="0" t="s">
        <v>106</v>
      </c>
      <c r="C7" s="4" t="n">
        <f aca="false">Assumptions!C14</f>
        <v>21.3</v>
      </c>
      <c r="D7" s="4" t="n">
        <f aca="false">Assumptions!D14</f>
        <v>20</v>
      </c>
      <c r="E7" s="4" t="n">
        <f aca="false">Assumptions!E14</f>
        <v>19.5</v>
      </c>
      <c r="F7" s="4" t="n">
        <f aca="false">Assumptions!F14</f>
        <v>19.5</v>
      </c>
      <c r="G7" s="4" t="n">
        <f aca="false">Assumptions!G14</f>
        <v>19.8</v>
      </c>
      <c r="H7" s="4" t="n">
        <f aca="false">Assumptions!H14</f>
        <v>20</v>
      </c>
      <c r="I7" s="4" t="n">
        <f aca="false">Assumptions!I14</f>
        <v>20</v>
      </c>
      <c r="J7" s="4" t="n">
        <f aca="false">Assumptions!J14</f>
        <v>20</v>
      </c>
      <c r="K7" s="4" t="n">
        <f aca="false">Assumptions!K14</f>
        <v>20</v>
      </c>
      <c r="L7" s="4" t="n">
        <f aca="false">Assumptions!L14</f>
        <v>20</v>
      </c>
    </row>
    <row r="8" customFormat="false" ht="15" hidden="false" customHeight="false" outlineLevel="0" collapsed="false">
      <c r="A8" s="0" t="s">
        <v>43</v>
      </c>
      <c r="C8" s="0" t="n">
        <f aca="false">C6*C7/100</f>
        <v>1184.060823</v>
      </c>
      <c r="D8" s="0" t="n">
        <f aca="false">D6*D7/100</f>
        <v>1122.912142</v>
      </c>
      <c r="E8" s="0" t="n">
        <f aca="false">E6*E7/100</f>
        <v>1122.21032191125</v>
      </c>
      <c r="F8" s="0" t="n">
        <f aca="false">F6*F7/100</f>
        <v>1155.87663156859</v>
      </c>
      <c r="G8" s="0" t="n">
        <f aca="false">G6*G7/100</f>
        <v>1208.86912944666</v>
      </c>
      <c r="H8" s="0" t="n">
        <f aca="false">H6*H7/100</f>
        <v>1257.71232659602</v>
      </c>
      <c r="I8" s="0" t="n">
        <f aca="false">I6*I7/100</f>
        <v>1289.15513476092</v>
      </c>
      <c r="J8" s="0" t="n">
        <f aca="false">J6*J7/100</f>
        <v>1321.38401312994</v>
      </c>
      <c r="K8" s="0" t="n">
        <f aca="false">K6*K7/100</f>
        <v>1354.41861345819</v>
      </c>
      <c r="L8" s="0" t="n">
        <f aca="false">L6*L7/100</f>
        <v>1388.27907879464</v>
      </c>
    </row>
    <row r="9" customFormat="false" ht="15" hidden="false" customHeight="false" outlineLevel="0" collapsed="false">
      <c r="A9" s="0" t="s">
        <v>107</v>
      </c>
      <c r="C9" s="4" t="n">
        <f aca="false">Assumptions!C15</f>
        <v>0.9</v>
      </c>
      <c r="D9" s="4" t="n">
        <f aca="false">Assumptions!D15</f>
        <v>0.9</v>
      </c>
      <c r="E9" s="4" t="n">
        <f aca="false">Assumptions!E15</f>
        <v>0.9</v>
      </c>
      <c r="F9" s="4" t="n">
        <f aca="false">Assumptions!F15</f>
        <v>0.9</v>
      </c>
      <c r="G9" s="4" t="n">
        <f aca="false">Assumptions!G15</f>
        <v>0.9</v>
      </c>
      <c r="H9" s="4" t="n">
        <f aca="false">Assumptions!H15</f>
        <v>0.9</v>
      </c>
      <c r="I9" s="4" t="n">
        <f aca="false">Assumptions!I15</f>
        <v>0.9</v>
      </c>
      <c r="J9" s="4" t="n">
        <f aca="false">Assumptions!J15</f>
        <v>0.9</v>
      </c>
      <c r="K9" s="4" t="n">
        <f aca="false">Assumptions!K15</f>
        <v>0.9</v>
      </c>
      <c r="L9" s="4" t="n">
        <f aca="false">Assumptions!L15</f>
        <v>0.9</v>
      </c>
    </row>
    <row r="10" customFormat="false" ht="15" hidden="false" customHeight="false" outlineLevel="0" collapsed="false">
      <c r="A10" s="0" t="s">
        <v>122</v>
      </c>
      <c r="C10" s="0" t="n">
        <f aca="false">-C6*C9/100</f>
        <v>-50.030739</v>
      </c>
      <c r="D10" s="0" t="n">
        <f aca="false">-D6*D9/100</f>
        <v>-50.53104639</v>
      </c>
      <c r="E10" s="0" t="n">
        <f aca="false">-E6*E9/100</f>
        <v>-51.79432254975</v>
      </c>
      <c r="F10" s="0" t="n">
        <f aca="false">-F6*F9/100</f>
        <v>-53.3481522262425</v>
      </c>
      <c r="G10" s="0" t="n">
        <f aca="false">-G6*G9/100</f>
        <v>-54.9485967930298</v>
      </c>
      <c r="H10" s="0" t="n">
        <f aca="false">-H6*H9/100</f>
        <v>-56.5970546968207</v>
      </c>
      <c r="I10" s="0" t="n">
        <f aca="false">-I6*I9/100</f>
        <v>-58.0119810642412</v>
      </c>
      <c r="J10" s="0" t="n">
        <f aca="false">-J6*J9/100</f>
        <v>-59.4622805908472</v>
      </c>
      <c r="K10" s="0" t="n">
        <f aca="false">-K6*K9/100</f>
        <v>-60.9488376056184</v>
      </c>
      <c r="L10" s="0" t="n">
        <f aca="false">-L6*L9/100</f>
        <v>-62.4725585457589</v>
      </c>
    </row>
    <row r="11" customFormat="false" ht="15" hidden="false" customHeight="false" outlineLevel="0" collapsed="false">
      <c r="A11" s="0" t="s">
        <v>123</v>
      </c>
      <c r="C11" s="0" t="n">
        <f aca="false">C8+C10+C24</f>
        <v>1134.030084</v>
      </c>
      <c r="D11" s="0" t="n">
        <f aca="false">D8+D10+D24</f>
        <v>1072.38109561</v>
      </c>
      <c r="E11" s="0" t="n">
        <f aca="false">E8+E10+E24</f>
        <v>1070.4159993615</v>
      </c>
      <c r="F11" s="0" t="n">
        <f aca="false">F8+F10+F24</f>
        <v>1102.52847934235</v>
      </c>
      <c r="G11" s="0" t="n">
        <f aca="false">G8+G10+G24</f>
        <v>1153.92053265363</v>
      </c>
      <c r="H11" s="0" t="n">
        <f aca="false">H8+H10+H24</f>
        <v>1201.11527189919</v>
      </c>
      <c r="I11" s="0" t="n">
        <f aca="false">I8+I10+I24</f>
        <v>1231.14315369667</v>
      </c>
      <c r="J11" s="0" t="n">
        <f aca="false">J8+J10+J24</f>
        <v>1261.92173253909</v>
      </c>
      <c r="K11" s="0" t="n">
        <f aca="false">K8+K10+K24</f>
        <v>1293.46977585257</v>
      </c>
      <c r="L11" s="0" t="n">
        <f aca="false">L8+L10+L24</f>
        <v>1325.80652024888</v>
      </c>
    </row>
    <row r="12" customFormat="false" ht="15" hidden="false" customHeight="false" outlineLevel="0" collapsed="false">
      <c r="A12" s="0" t="s">
        <v>124</v>
      </c>
      <c r="C12" s="4" t="n">
        <f aca="false">-C6*Assumptions!C17/100</f>
        <v>-127.856333</v>
      </c>
      <c r="D12" s="4" t="n">
        <f aca="false">-D6*Assumptions!D17/100</f>
        <v>-129.13489633</v>
      </c>
      <c r="E12" s="4" t="n">
        <f aca="false">-E6*Assumptions!E17/100</f>
        <v>-132.36326873825</v>
      </c>
      <c r="F12" s="4" t="n">
        <f aca="false">-F6*Assumptions!F17/100</f>
        <v>-136.334166800398</v>
      </c>
      <c r="G12" s="4" t="n">
        <f aca="false">-G6*Assumptions!G17/100</f>
        <v>-140.424191804409</v>
      </c>
      <c r="H12" s="4" t="n">
        <f aca="false">-H6*Assumptions!H17/100</f>
        <v>-144.636917558542</v>
      </c>
      <c r="I12" s="4" t="n">
        <f aca="false">-I6*Assumptions!I17/100</f>
        <v>-148.252840497505</v>
      </c>
      <c r="J12" s="4" t="n">
        <f aca="false">-J6*Assumptions!J17/100</f>
        <v>-151.959161509943</v>
      </c>
      <c r="K12" s="4" t="n">
        <f aca="false">-K6*Assumptions!K17/100</f>
        <v>-155.758140547691</v>
      </c>
      <c r="L12" s="4" t="n">
        <f aca="false">-L6*Assumptions!L17/100</f>
        <v>-159.652094061384</v>
      </c>
    </row>
    <row r="13" customFormat="false" ht="15" hidden="false" customHeight="false" outlineLevel="0" collapsed="false">
      <c r="A13" s="0" t="s">
        <v>125</v>
      </c>
      <c r="C13" s="0" t="n">
        <f aca="false">C11+C12</f>
        <v>1006.173751</v>
      </c>
      <c r="D13" s="0" t="n">
        <f aca="false">D11+D12</f>
        <v>943.24619928</v>
      </c>
      <c r="E13" s="0" t="n">
        <f aca="false">E11+E12</f>
        <v>938.05273062325</v>
      </c>
      <c r="F13" s="0" t="n">
        <f aca="false">F11+F12</f>
        <v>966.194312541948</v>
      </c>
      <c r="G13" s="0" t="n">
        <f aca="false">G11+G12</f>
        <v>1013.49634084922</v>
      </c>
      <c r="H13" s="0" t="n">
        <f aca="false">H11+H12</f>
        <v>1056.47835434065</v>
      </c>
      <c r="I13" s="0" t="n">
        <f aca="false">I11+I12</f>
        <v>1082.89031319917</v>
      </c>
      <c r="J13" s="0" t="n">
        <f aca="false">J11+J12</f>
        <v>1109.96257102915</v>
      </c>
      <c r="K13" s="0" t="n">
        <f aca="false">K11+K12</f>
        <v>1137.71163530488</v>
      </c>
      <c r="L13" s="0" t="n">
        <f aca="false">L11+L12</f>
        <v>1166.1544261875</v>
      </c>
    </row>
    <row r="14" customFormat="false" ht="15" hidden="false" customHeight="false" outlineLevel="0" collapsed="false">
      <c r="A14" s="0" t="s">
        <v>111</v>
      </c>
      <c r="C14" s="4" t="n">
        <f aca="false">Assumptions!C19</f>
        <v>21</v>
      </c>
      <c r="D14" s="4" t="n">
        <f aca="false">Assumptions!D19</f>
        <v>21</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126</v>
      </c>
      <c r="C15" s="0" t="n">
        <f aca="false">C13-MAX(0,C13)*C14/100</f>
        <v>794.87726329</v>
      </c>
      <c r="D15" s="0" t="n">
        <f aca="false">D13-MAX(0,D13)*D14/100</f>
        <v>745.1644974312</v>
      </c>
      <c r="E15" s="0" t="n">
        <f aca="false">E13-MAX(0,E13)*E14/100</f>
        <v>741.061657192367</v>
      </c>
      <c r="F15" s="0" t="n">
        <f aca="false">F13-MAX(0,F13)*F14/100</f>
        <v>763.293506908139</v>
      </c>
      <c r="G15" s="0" t="n">
        <f aca="false">G13-MAX(0,G13)*G14/100</f>
        <v>800.662109270881</v>
      </c>
      <c r="H15" s="0" t="n">
        <f aca="false">H13-MAX(0,H13)*H14/100</f>
        <v>834.617899929116</v>
      </c>
      <c r="I15" s="0" t="n">
        <f aca="false">I13-MAX(0,I13)*I14/100</f>
        <v>855.483347427343</v>
      </c>
      <c r="J15" s="0" t="n">
        <f aca="false">J13-MAX(0,J13)*J14/100</f>
        <v>876.870431113027</v>
      </c>
      <c r="K15" s="0" t="n">
        <f aca="false">K13-MAX(0,K13)*K14/100</f>
        <v>898.792191890853</v>
      </c>
      <c r="L15" s="0" t="n">
        <f aca="false">L13-MAX(0,L13)*L14/100</f>
        <v>921.261996688124</v>
      </c>
    </row>
    <row r="16" customFormat="false" ht="15" hidden="false" customHeight="false" outlineLevel="0" collapsed="false">
      <c r="A16" s="0" t="s">
        <v>127</v>
      </c>
      <c r="C16" s="0" t="n">
        <f aca="false">-C12</f>
        <v>127.856333</v>
      </c>
      <c r="D16" s="0" t="n">
        <f aca="false">-D12</f>
        <v>129.13489633</v>
      </c>
      <c r="E16" s="0" t="n">
        <f aca="false">-E12</f>
        <v>132.36326873825</v>
      </c>
      <c r="F16" s="0" t="n">
        <f aca="false">-F12</f>
        <v>136.334166800398</v>
      </c>
      <c r="G16" s="0" t="n">
        <f aca="false">-G12</f>
        <v>140.424191804409</v>
      </c>
      <c r="H16" s="0" t="n">
        <f aca="false">-H12</f>
        <v>144.636917558542</v>
      </c>
      <c r="I16" s="0" t="n">
        <f aca="false">-I12</f>
        <v>148.252840497505</v>
      </c>
      <c r="J16" s="0" t="n">
        <f aca="false">-J12</f>
        <v>151.959161509943</v>
      </c>
      <c r="K16" s="0" t="n">
        <f aca="false">-K12</f>
        <v>155.758140547691</v>
      </c>
      <c r="L16" s="0" t="n">
        <f aca="false">-L12</f>
        <v>159.652094061384</v>
      </c>
    </row>
    <row r="17" customFormat="false" ht="15" hidden="false" customHeight="false" outlineLevel="0" collapsed="false">
      <c r="A17" s="0" t="s">
        <v>128</v>
      </c>
      <c r="C17" s="4" t="n">
        <f aca="false">-C6*Assumptions!C18/100</f>
        <v>-166.76913</v>
      </c>
      <c r="D17" s="4" t="n">
        <f aca="false">-D6*Assumptions!D18/100</f>
        <v>-157.20769988</v>
      </c>
      <c r="E17" s="4" t="n">
        <f aca="false">-E6*Assumptions!E18/100</f>
        <v>-155.38296764925</v>
      </c>
      <c r="F17" s="4" t="n">
        <f aca="false">-F6*Assumptions!F18/100</f>
        <v>-154.116884209145</v>
      </c>
      <c r="G17" s="4" t="n">
        <f aca="false">-G6*Assumptions!G18/100</f>
        <v>-152.634991091749</v>
      </c>
      <c r="H17" s="4" t="n">
        <f aca="false">-H6*Assumptions!H18/100</f>
        <v>-157.214040824502</v>
      </c>
      <c r="I17" s="4" t="n">
        <f aca="false">-I6*Assumptions!I18/100</f>
        <v>-161.144391845114</v>
      </c>
      <c r="J17" s="4" t="n">
        <f aca="false">-J6*Assumptions!J18/100</f>
        <v>-165.173001641242</v>
      </c>
      <c r="K17" s="4" t="n">
        <f aca="false">-K6*Assumptions!K18/100</f>
        <v>-169.302326682273</v>
      </c>
      <c r="L17" s="4" t="n">
        <f aca="false">-L6*Assumptions!L18/100</f>
        <v>-173.53488484933</v>
      </c>
    </row>
    <row r="18" customFormat="false" ht="15" hidden="false" customHeight="false" outlineLevel="0" collapsed="false">
      <c r="A18" s="0" t="s">
        <v>129</v>
      </c>
      <c r="C18" s="4" t="n">
        <f aca="false">(C6-B6)*Assumptions!$B$23/100</f>
        <v>-36.3671</v>
      </c>
      <c r="D18" s="4" t="n">
        <f aca="false">(D6-C6)*Assumptions!$B$23/100</f>
        <v>-5.55897100000002</v>
      </c>
      <c r="E18" s="4" t="n">
        <f aca="false">(E6-D6)*Assumptions!$B$23/100</f>
        <v>-14.0364017749999</v>
      </c>
      <c r="F18" s="4" t="n">
        <f aca="false">(F6-E6)*Assumptions!$B$23/100</f>
        <v>-17.26477418325</v>
      </c>
      <c r="G18" s="4" t="n">
        <f aca="false">(G6-F6)*Assumptions!$B$23/100</f>
        <v>-17.7827174087475</v>
      </c>
      <c r="H18" s="4" t="n">
        <f aca="false">(H6-G6)*Assumptions!$B$23/100</f>
        <v>-18.31619893101</v>
      </c>
      <c r="I18" s="4" t="n">
        <f aca="false">(I6-H6)*Assumptions!$B$23/100</f>
        <v>-15.7214040824501</v>
      </c>
      <c r="J18" s="4" t="n">
        <f aca="false">(J6-I6)*Assumptions!$B$23/100</f>
        <v>-16.1144391845114</v>
      </c>
      <c r="K18" s="4" t="n">
        <f aca="false">(K6-J6)*Assumptions!$B$23/100</f>
        <v>-16.5173001641242</v>
      </c>
      <c r="L18" s="4" t="n">
        <f aca="false">(L6-K6)*Assumptions!$B$23/100</f>
        <v>-16.9302326682273</v>
      </c>
    </row>
    <row r="19" customFormat="false" ht="15" hidden="false" customHeight="false" outlineLevel="0" collapsed="false">
      <c r="A19" s="0" t="s">
        <v>130</v>
      </c>
      <c r="C19" s="0" t="n">
        <f aca="false">C15+C16+C17+C18</f>
        <v>719.59736629</v>
      </c>
      <c r="D19" s="0" t="n">
        <f aca="false">D15+D16+D17+D18</f>
        <v>711.5327228812</v>
      </c>
      <c r="E19" s="0" t="n">
        <f aca="false">E15+E16+E17+E18</f>
        <v>704.005556506368</v>
      </c>
      <c r="F19" s="0" t="n">
        <f aca="false">F15+F16+F17+F18</f>
        <v>728.246015316141</v>
      </c>
      <c r="G19" s="0" t="n">
        <f aca="false">G15+G16+G17+G18</f>
        <v>770.668592574793</v>
      </c>
      <c r="H19" s="0" t="n">
        <f aca="false">H15+H16+H17+H18</f>
        <v>803.724577732146</v>
      </c>
      <c r="I19" s="0" t="n">
        <f aca="false">I15+I16+I17+I18</f>
        <v>826.870391997284</v>
      </c>
      <c r="J19" s="0" t="n">
        <f aca="false">J15+J16+J17+J18</f>
        <v>847.542151797216</v>
      </c>
      <c r="K19" s="0" t="n">
        <f aca="false">K15+K16+K17+K18</f>
        <v>868.730705592147</v>
      </c>
      <c r="L19" s="0" t="n">
        <f aca="false">L15+L16+L17+L18</f>
        <v>890.44897323195</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660.181069990826</v>
      </c>
      <c r="D21" s="0" t="n">
        <f aca="false">D19*D20</f>
        <v>598.882857403585</v>
      </c>
      <c r="E21" s="0" t="n">
        <f aca="false">E19*E20</f>
        <v>543.621460605413</v>
      </c>
      <c r="F21" s="0" t="n">
        <f aca="false">F19*F20</f>
        <v>515.907837107725</v>
      </c>
      <c r="G21" s="0" t="n">
        <f aca="false">G19*G20</f>
        <v>500.88170674873</v>
      </c>
      <c r="H21" s="0" t="n">
        <f aca="false">H19*H20</f>
        <v>479.234705511473</v>
      </c>
      <c r="I21" s="0" t="n">
        <f aca="false">I19*I20</f>
        <v>452.326420469532</v>
      </c>
      <c r="J21" s="0" t="n">
        <f aca="false">J19*J20</f>
        <v>425.352826588321</v>
      </c>
      <c r="K21" s="0" t="n">
        <f aca="false">K19*K20</f>
        <v>399.987749773421</v>
      </c>
      <c r="L21" s="0" t="n">
        <f aca="false">L19*L20</f>
        <v>376.135269282346</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4952.51190348137</v>
      </c>
    </row>
    <row r="31" customFormat="false" ht="15" hidden="false" customHeight="false" outlineLevel="0" collapsed="false">
      <c r="A31" s="0" t="s">
        <v>136</v>
      </c>
      <c r="B31" s="0" t="n">
        <f aca="false">L19</f>
        <v>890.44897323195</v>
      </c>
    </row>
    <row r="32" customFormat="false" ht="15" hidden="false" customHeight="false" outlineLevel="0" collapsed="false">
      <c r="A32" s="0" t="s">
        <v>137</v>
      </c>
      <c r="B32" s="0" t="n">
        <f aca="false">IF(B27&gt;B28,B31*(1+B28/100)/((B27-B28)/100),B31*B29)</f>
        <v>12975.1136099513</v>
      </c>
    </row>
    <row r="33" customFormat="false" ht="15" hidden="false" customHeight="false" outlineLevel="0" collapsed="false">
      <c r="A33" s="0" t="s">
        <v>138</v>
      </c>
      <c r="B33" s="0" t="n">
        <f aca="false">B31*B29</f>
        <v>13356.7345984793</v>
      </c>
    </row>
    <row r="34" customFormat="false" ht="15" hidden="false" customHeight="false" outlineLevel="0" collapsed="false">
      <c r="A34" s="0" t="s">
        <v>139</v>
      </c>
      <c r="B34" s="0" t="n">
        <f aca="false">MAX(0,MIN(B32,B33))</f>
        <v>12975.1136099513</v>
      </c>
    </row>
    <row r="35" customFormat="false" ht="15" hidden="false" customHeight="false" outlineLevel="0" collapsed="false">
      <c r="A35" s="0" t="s">
        <v>140</v>
      </c>
      <c r="B35" s="0" t="n">
        <f aca="false">B34/(1+B27/100)^L4</f>
        <v>5480.82820954275</v>
      </c>
    </row>
    <row r="36" customFormat="false" ht="15" hidden="false" customHeight="false" outlineLevel="0" collapsed="false">
      <c r="A36" s="0" t="s">
        <v>141</v>
      </c>
      <c r="B36" s="0" t="n">
        <f aca="false">B30+B35</f>
        <v>10433.3401130241</v>
      </c>
    </row>
    <row r="37" customFormat="false" ht="15" hidden="false" customHeight="false" outlineLevel="0" collapsed="false">
      <c r="A37" s="0" t="s">
        <v>142</v>
      </c>
      <c r="B37" s="0" t="n">
        <f aca="false">B36+Assumptions!$B$5-Assumptions!$B$4</f>
        <v>8903.54011302412</v>
      </c>
    </row>
    <row r="38" customFormat="false" ht="15" hidden="false" customHeight="false" outlineLevel="0" collapsed="false">
      <c r="A38" s="0" t="s">
        <v>143</v>
      </c>
      <c r="B38" s="0" t="n">
        <f aca="false">B37/Assumptions!$B$3*Assumptions!$B$10</f>
        <v>256.586170404153</v>
      </c>
    </row>
    <row r="39" customFormat="false" ht="15" hidden="false" customHeight="false" outlineLevel="0" collapsed="false">
      <c r="A39" s="0" t="s">
        <v>144</v>
      </c>
      <c r="B39" s="4" t="n">
        <f aca="false">B38/Assumptions!$B$2-1</f>
        <v>-0.288170198068708</v>
      </c>
    </row>
    <row r="41" customFormat="false" ht="15" hidden="false" customHeight="false" outlineLevel="0" collapsed="false">
      <c r="A41" s="0" t="s">
        <v>145</v>
      </c>
      <c r="B41" s="0" t="n">
        <f aca="false">SUMPRODUCT(-C10:L10/(1+$B$27/100)^C4:L4)</f>
        <v>351.70669539392</v>
      </c>
    </row>
    <row r="42" customFormat="false" ht="15" hidden="false" customHeight="false" outlineLevel="0" collapsed="false">
      <c r="A42" s="0" t="s">
        <v>146</v>
      </c>
      <c r="B42" s="0" t="n">
        <f aca="false">IF(B27&gt;B28,-L10*(1+B28/100)/((B27-B28)/100),-L10*20)/(1+B27/100)^L4</f>
        <v>384.526650591931</v>
      </c>
    </row>
    <row r="43" customFormat="false" ht="15" hidden="false" customHeight="false" outlineLevel="0" collapsed="false">
      <c r="A43" s="0" t="s">
        <v>147</v>
      </c>
      <c r="B43" s="0" t="n">
        <f aca="false">(B37+B41+B42)/Assumptions!$B$3*Assumptions!$B$10</f>
        <v>277.803269712103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6986.59963612761</v>
      </c>
    </row>
    <row r="47" customFormat="false" ht="15" hidden="false" customHeight="false" outlineLevel="0" collapsed="false">
      <c r="A47" s="0" t="s">
        <v>149</v>
      </c>
      <c r="B47" s="0" t="n">
        <f aca="false">(SUMPRODUCT(C19:L19/(1+B45/100)^C4:L4)+B46/(1+B45/100)^L4+Assumptions!$B$5-Assumptions!$B$4)/Assumptions!$B$3*Assumptions!$B$10</f>
        <v>116.017532790245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8</v>
      </c>
      <c r="D5" s="4" t="n">
        <f aca="false">Assumptions!D27</f>
        <v>6</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5195.3</v>
      </c>
      <c r="C6" s="0" t="n">
        <f aca="false">B6*(1+C5/100)</f>
        <v>5610.924</v>
      </c>
      <c r="D6" s="0" t="n">
        <f aca="false">C6*(1+D5/100)</f>
        <v>5947.57944</v>
      </c>
      <c r="E6" s="0" t="n">
        <f aca="false">D6*(1+E5/100)</f>
        <v>6304.4342064</v>
      </c>
      <c r="F6" s="0" t="n">
        <f aca="false">E6*(1+F5/100)</f>
        <v>6619.65591672</v>
      </c>
      <c r="G6" s="0" t="n">
        <f aca="false">F6*(1+G5/100)</f>
        <v>6917.5404329724</v>
      </c>
      <c r="H6" s="0" t="n">
        <f aca="false">G6*(1+H5/100)</f>
        <v>7194.2420502913</v>
      </c>
      <c r="I6" s="0" t="n">
        <f aca="false">H6*(1+I5/100)</f>
        <v>7446.04052205149</v>
      </c>
      <c r="J6" s="0" t="n">
        <f aca="false">I6*(1+J5/100)</f>
        <v>7669.42173771304</v>
      </c>
      <c r="K6" s="0" t="n">
        <f aca="false">J6*(1+K5/100)</f>
        <v>7899.50438984443</v>
      </c>
      <c r="L6" s="0" t="n">
        <f aca="false">K6*(1+L5/100)</f>
        <v>8136.48952153976</v>
      </c>
    </row>
    <row r="7" customFormat="false" ht="15" hidden="false" customHeight="false" outlineLevel="0" collapsed="false">
      <c r="A7" s="0" t="s">
        <v>106</v>
      </c>
      <c r="C7" s="4" t="n">
        <f aca="false">Assumptions!C28</f>
        <v>22</v>
      </c>
      <c r="D7" s="4" t="n">
        <f aca="false">Assumptions!D28</f>
        <v>22.3</v>
      </c>
      <c r="E7" s="4" t="n">
        <f aca="false">Assumptions!E28</f>
        <v>22.8</v>
      </c>
      <c r="F7" s="4" t="n">
        <f aca="false">Assumptions!F28</f>
        <v>23.2</v>
      </c>
      <c r="G7" s="4" t="n">
        <f aca="false">Assumptions!G28</f>
        <v>23.5</v>
      </c>
      <c r="H7" s="4" t="n">
        <f aca="false">Assumptions!H28</f>
        <v>23.5</v>
      </c>
      <c r="I7" s="4" t="n">
        <f aca="false">Assumptions!I28</f>
        <v>23.5</v>
      </c>
      <c r="J7" s="4" t="n">
        <f aca="false">Assumptions!J28</f>
        <v>23.5</v>
      </c>
      <c r="K7" s="4" t="n">
        <f aca="false">Assumptions!K28</f>
        <v>23.5</v>
      </c>
      <c r="L7" s="4" t="n">
        <f aca="false">Assumptions!L28</f>
        <v>23.5</v>
      </c>
    </row>
    <row r="8" customFormat="false" ht="15" hidden="false" customHeight="false" outlineLevel="0" collapsed="false">
      <c r="A8" s="0" t="s">
        <v>43</v>
      </c>
      <c r="C8" s="0" t="n">
        <f aca="false">C6*C7/100</f>
        <v>1234.40328</v>
      </c>
      <c r="D8" s="0" t="n">
        <f aca="false">D6*D7/100</f>
        <v>1326.31021512</v>
      </c>
      <c r="E8" s="0" t="n">
        <f aca="false">E6*E7/100</f>
        <v>1437.4109990592</v>
      </c>
      <c r="F8" s="0" t="n">
        <f aca="false">F6*F7/100</f>
        <v>1535.76017267904</v>
      </c>
      <c r="G8" s="0" t="n">
        <f aca="false">G6*G7/100</f>
        <v>1625.62200174851</v>
      </c>
      <c r="H8" s="0" t="n">
        <f aca="false">H6*H7/100</f>
        <v>1690.64688181846</v>
      </c>
      <c r="I8" s="0" t="n">
        <f aca="false">I6*I7/100</f>
        <v>1749.8195226821</v>
      </c>
      <c r="J8" s="0" t="n">
        <f aca="false">J6*J7/100</f>
        <v>1802.31410836256</v>
      </c>
      <c r="K8" s="0" t="n">
        <f aca="false">K6*K7/100</f>
        <v>1856.38353161344</v>
      </c>
      <c r="L8" s="0" t="n">
        <f aca="false">L6*L7/100</f>
        <v>1912.07503756184</v>
      </c>
    </row>
    <row r="9" customFormat="false" ht="15" hidden="false" customHeight="false" outlineLevel="0" collapsed="false">
      <c r="A9" s="0" t="s">
        <v>107</v>
      </c>
      <c r="C9" s="4" t="n">
        <f aca="false">Assumptions!C29</f>
        <v>0.9</v>
      </c>
      <c r="D9" s="4" t="n">
        <f aca="false">Assumptions!D29</f>
        <v>0.9</v>
      </c>
      <c r="E9" s="4" t="n">
        <f aca="false">Assumptions!E29</f>
        <v>0.9</v>
      </c>
      <c r="F9" s="4" t="n">
        <f aca="false">Assumptions!F29</f>
        <v>0.9</v>
      </c>
      <c r="G9" s="4" t="n">
        <f aca="false">Assumptions!G29</f>
        <v>0.9</v>
      </c>
      <c r="H9" s="4" t="n">
        <f aca="false">Assumptions!H29</f>
        <v>0.9</v>
      </c>
      <c r="I9" s="4" t="n">
        <f aca="false">Assumptions!I29</f>
        <v>0.9</v>
      </c>
      <c r="J9" s="4" t="n">
        <f aca="false">Assumptions!J29</f>
        <v>0.9</v>
      </c>
      <c r="K9" s="4" t="n">
        <f aca="false">Assumptions!K29</f>
        <v>0.9</v>
      </c>
      <c r="L9" s="4" t="n">
        <f aca="false">Assumptions!L29</f>
        <v>0.9</v>
      </c>
    </row>
    <row r="10" customFormat="false" ht="15" hidden="false" customHeight="false" outlineLevel="0" collapsed="false">
      <c r="A10" s="0" t="s">
        <v>122</v>
      </c>
      <c r="C10" s="0" t="n">
        <f aca="false">-C6*C9/100</f>
        <v>-50.498316</v>
      </c>
      <c r="D10" s="0" t="n">
        <f aca="false">-D6*D9/100</f>
        <v>-53.52821496</v>
      </c>
      <c r="E10" s="0" t="n">
        <f aca="false">-E6*E9/100</f>
        <v>-56.7399078576</v>
      </c>
      <c r="F10" s="0" t="n">
        <f aca="false">-F6*F9/100</f>
        <v>-59.57690325048</v>
      </c>
      <c r="G10" s="0" t="n">
        <f aca="false">-G6*G9/100</f>
        <v>-62.2578638967516</v>
      </c>
      <c r="H10" s="0" t="n">
        <f aca="false">-H6*H9/100</f>
        <v>-64.7481784526217</v>
      </c>
      <c r="I10" s="0" t="n">
        <f aca="false">-I6*I9/100</f>
        <v>-67.0143646984634</v>
      </c>
      <c r="J10" s="0" t="n">
        <f aca="false">-J6*J9/100</f>
        <v>-69.0247956394174</v>
      </c>
      <c r="K10" s="0" t="n">
        <f aca="false">-K6*K9/100</f>
        <v>-71.0955395085999</v>
      </c>
      <c r="L10" s="0" t="n">
        <f aca="false">-L6*L9/100</f>
        <v>-73.2284056938579</v>
      </c>
    </row>
    <row r="11" customFormat="false" ht="15" hidden="false" customHeight="false" outlineLevel="0" collapsed="false">
      <c r="A11" s="0" t="s">
        <v>123</v>
      </c>
      <c r="C11" s="0" t="n">
        <f aca="false">C8+C10+C24</f>
        <v>1183.904964</v>
      </c>
      <c r="D11" s="0" t="n">
        <f aca="false">D8+D10+D24</f>
        <v>1272.78200016</v>
      </c>
      <c r="E11" s="0" t="n">
        <f aca="false">E8+E10+E24</f>
        <v>1380.6710912016</v>
      </c>
      <c r="F11" s="0" t="n">
        <f aca="false">F8+F10+F24</f>
        <v>1476.18326942856</v>
      </c>
      <c r="G11" s="0" t="n">
        <f aca="false">G8+G10+G24</f>
        <v>1563.36413785176</v>
      </c>
      <c r="H11" s="0" t="n">
        <f aca="false">H8+H10+H24</f>
        <v>1625.89870336583</v>
      </c>
      <c r="I11" s="0" t="n">
        <f aca="false">I8+I10+I24</f>
        <v>1682.80515798364</v>
      </c>
      <c r="J11" s="0" t="n">
        <f aca="false">J8+J10+J24</f>
        <v>1733.28931272315</v>
      </c>
      <c r="K11" s="0" t="n">
        <f aca="false">K8+K10+K24</f>
        <v>1785.28799210484</v>
      </c>
      <c r="L11" s="0" t="n">
        <f aca="false">L8+L10+L24</f>
        <v>1838.84663186799</v>
      </c>
    </row>
    <row r="12" customFormat="false" ht="15" hidden="false" customHeight="false" outlineLevel="0" collapsed="false">
      <c r="A12" s="0" t="s">
        <v>124</v>
      </c>
      <c r="C12" s="4" t="n">
        <f aca="false">-C6*Assumptions!C31/100</f>
        <v>-129.051252</v>
      </c>
      <c r="D12" s="4" t="n">
        <f aca="false">-D6*Assumptions!D31/100</f>
        <v>-136.79432712</v>
      </c>
      <c r="E12" s="4" t="n">
        <f aca="false">-E6*Assumptions!E31/100</f>
        <v>-145.0019867472</v>
      </c>
      <c r="F12" s="4" t="n">
        <f aca="false">-F6*Assumptions!F31/100</f>
        <v>-152.25208608456</v>
      </c>
      <c r="G12" s="4" t="n">
        <f aca="false">-G6*Assumptions!G31/100</f>
        <v>-159.103429958365</v>
      </c>
      <c r="H12" s="4" t="n">
        <f aca="false">-H6*Assumptions!H31/100</f>
        <v>-165.4675671567</v>
      </c>
      <c r="I12" s="4" t="n">
        <f aca="false">-I6*Assumptions!I31/100</f>
        <v>-171.258932007184</v>
      </c>
      <c r="J12" s="4" t="n">
        <f aca="false">-J6*Assumptions!J31/100</f>
        <v>-176.3966999674</v>
      </c>
      <c r="K12" s="4" t="n">
        <f aca="false">-K6*Assumptions!K31/100</f>
        <v>-181.688600966422</v>
      </c>
      <c r="L12" s="4" t="n">
        <f aca="false">-L6*Assumptions!L31/100</f>
        <v>-187.139258995414</v>
      </c>
    </row>
    <row r="13" customFormat="false" ht="15" hidden="false" customHeight="false" outlineLevel="0" collapsed="false">
      <c r="A13" s="0" t="s">
        <v>125</v>
      </c>
      <c r="C13" s="0" t="n">
        <f aca="false">C11+C12</f>
        <v>1054.853712</v>
      </c>
      <c r="D13" s="0" t="n">
        <f aca="false">D11+D12</f>
        <v>1135.98767304</v>
      </c>
      <c r="E13" s="0" t="n">
        <f aca="false">E11+E12</f>
        <v>1235.6691044544</v>
      </c>
      <c r="F13" s="0" t="n">
        <f aca="false">F11+F12</f>
        <v>1323.931183344</v>
      </c>
      <c r="G13" s="0" t="n">
        <f aca="false">G11+G12</f>
        <v>1404.2607078934</v>
      </c>
      <c r="H13" s="0" t="n">
        <f aca="false">H11+H12</f>
        <v>1460.43113620913</v>
      </c>
      <c r="I13" s="0" t="n">
        <f aca="false">I11+I12</f>
        <v>1511.54622597645</v>
      </c>
      <c r="J13" s="0" t="n">
        <f aca="false">J11+J12</f>
        <v>1556.89261275575</v>
      </c>
      <c r="K13" s="0" t="n">
        <f aca="false">K11+K12</f>
        <v>1603.59939113842</v>
      </c>
      <c r="L13" s="0" t="n">
        <f aca="false">L11+L12</f>
        <v>1651.70737287257</v>
      </c>
    </row>
    <row r="14" customFormat="false" ht="15" hidden="false" customHeight="false" outlineLevel="0" collapsed="false">
      <c r="A14" s="0" t="s">
        <v>111</v>
      </c>
      <c r="C14" s="4" t="n">
        <f aca="false">Assumptions!C33</f>
        <v>21</v>
      </c>
      <c r="D14" s="4" t="n">
        <f aca="false">Assumptions!D33</f>
        <v>21</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126</v>
      </c>
      <c r="C15" s="0" t="n">
        <f aca="false">C13-MAX(0,C13)*C14/100</f>
        <v>833.33443248</v>
      </c>
      <c r="D15" s="0" t="n">
        <f aca="false">D13-MAX(0,D13)*D14/100</f>
        <v>897.4302617016</v>
      </c>
      <c r="E15" s="0" t="n">
        <f aca="false">E13-MAX(0,E13)*E14/100</f>
        <v>976.178592518976</v>
      </c>
      <c r="F15" s="0" t="n">
        <f aca="false">F13-MAX(0,F13)*F14/100</f>
        <v>1045.90563484176</v>
      </c>
      <c r="G15" s="0" t="n">
        <f aca="false">G13-MAX(0,G13)*G14/100</f>
        <v>1109.36595923578</v>
      </c>
      <c r="H15" s="0" t="n">
        <f aca="false">H13-MAX(0,H13)*H14/100</f>
        <v>1153.74059760522</v>
      </c>
      <c r="I15" s="0" t="n">
        <f aca="false">I13-MAX(0,I13)*I14/100</f>
        <v>1194.1215185214</v>
      </c>
      <c r="J15" s="0" t="n">
        <f aca="false">J13-MAX(0,J13)*J14/100</f>
        <v>1229.94516407704</v>
      </c>
      <c r="K15" s="0" t="n">
        <f aca="false">K13-MAX(0,K13)*K14/100</f>
        <v>1266.84351899935</v>
      </c>
      <c r="L15" s="0" t="n">
        <f aca="false">L13-MAX(0,L13)*L14/100</f>
        <v>1304.84882456933</v>
      </c>
    </row>
    <row r="16" customFormat="false" ht="15" hidden="false" customHeight="false" outlineLevel="0" collapsed="false">
      <c r="A16" s="0" t="s">
        <v>127</v>
      </c>
      <c r="C16" s="0" t="n">
        <f aca="false">-C12</f>
        <v>129.051252</v>
      </c>
      <c r="D16" s="0" t="n">
        <f aca="false">-D12</f>
        <v>136.79432712</v>
      </c>
      <c r="E16" s="0" t="n">
        <f aca="false">-E12</f>
        <v>145.0019867472</v>
      </c>
      <c r="F16" s="0" t="n">
        <f aca="false">-F12</f>
        <v>152.25208608456</v>
      </c>
      <c r="G16" s="0" t="n">
        <f aca="false">-G12</f>
        <v>159.103429958365</v>
      </c>
      <c r="H16" s="0" t="n">
        <f aca="false">-H12</f>
        <v>165.4675671567</v>
      </c>
      <c r="I16" s="0" t="n">
        <f aca="false">-I12</f>
        <v>171.258932007184</v>
      </c>
      <c r="J16" s="0" t="n">
        <f aca="false">-J12</f>
        <v>176.3966999674</v>
      </c>
      <c r="K16" s="0" t="n">
        <f aca="false">-K12</f>
        <v>181.688600966422</v>
      </c>
      <c r="L16" s="0" t="n">
        <f aca="false">-L12</f>
        <v>187.139258995414</v>
      </c>
    </row>
    <row r="17" customFormat="false" ht="15" hidden="false" customHeight="false" outlineLevel="0" collapsed="false">
      <c r="A17" s="0" t="s">
        <v>128</v>
      </c>
      <c r="C17" s="4" t="n">
        <f aca="false">-C6*Assumptions!C32/100</f>
        <v>-168.32772</v>
      </c>
      <c r="D17" s="4" t="n">
        <f aca="false">-D6*Assumptions!D32/100</f>
        <v>-166.53222432</v>
      </c>
      <c r="E17" s="4" t="n">
        <f aca="false">-E6*Assumptions!E32/100</f>
        <v>-170.2197235728</v>
      </c>
      <c r="F17" s="4" t="n">
        <f aca="false">-F6*Assumptions!F32/100</f>
        <v>-172.11105383472</v>
      </c>
      <c r="G17" s="4" t="n">
        <f aca="false">-G6*Assumptions!G32/100</f>
        <v>-172.93851082431</v>
      </c>
      <c r="H17" s="4" t="n">
        <f aca="false">-H6*Assumptions!H32/100</f>
        <v>-179.856051257282</v>
      </c>
      <c r="I17" s="4" t="n">
        <f aca="false">-I6*Assumptions!I32/100</f>
        <v>-186.151013051287</v>
      </c>
      <c r="J17" s="4" t="n">
        <f aca="false">-J6*Assumptions!J32/100</f>
        <v>-191.735543442826</v>
      </c>
      <c r="K17" s="4" t="n">
        <f aca="false">-K6*Assumptions!K32/100</f>
        <v>-197.487609746111</v>
      </c>
      <c r="L17" s="4" t="n">
        <f aca="false">-L6*Assumptions!L32/100</f>
        <v>-203.412238038494</v>
      </c>
    </row>
    <row r="18" customFormat="false" ht="15" hidden="false" customHeight="false" outlineLevel="0" collapsed="false">
      <c r="A18" s="0" t="s">
        <v>129</v>
      </c>
      <c r="C18" s="4" t="n">
        <f aca="false">(C6-B6)*Assumptions!$B$37/100</f>
        <v>-41.5624000000001</v>
      </c>
      <c r="D18" s="4" t="n">
        <f aca="false">(D6-C6)*Assumptions!$B$37/100</f>
        <v>-33.6655440000001</v>
      </c>
      <c r="E18" s="4" t="n">
        <f aca="false">(E6-D6)*Assumptions!$B$37/100</f>
        <v>-35.6854766400001</v>
      </c>
      <c r="F18" s="4" t="n">
        <f aca="false">(F6-E6)*Assumptions!$B$37/100</f>
        <v>-31.522171032</v>
      </c>
      <c r="G18" s="4" t="n">
        <f aca="false">(G6-F6)*Assumptions!$B$37/100</f>
        <v>-29.7884516252399</v>
      </c>
      <c r="H18" s="4" t="n">
        <f aca="false">(H6-G6)*Assumptions!$B$37/100</f>
        <v>-27.6701617318897</v>
      </c>
      <c r="I18" s="4" t="n">
        <f aca="false">(I6-H6)*Assumptions!$B$37/100</f>
        <v>-25.1798471760195</v>
      </c>
      <c r="J18" s="4" t="n">
        <f aca="false">(J6-I6)*Assumptions!$B$37/100</f>
        <v>-22.3381215661545</v>
      </c>
      <c r="K18" s="4" t="n">
        <f aca="false">(K6-J6)*Assumptions!$B$37/100</f>
        <v>-23.0082652131391</v>
      </c>
      <c r="L18" s="4" t="n">
        <f aca="false">(L6-K6)*Assumptions!$B$37/100</f>
        <v>-23.6985131695333</v>
      </c>
    </row>
    <row r="19" customFormat="false" ht="15" hidden="false" customHeight="false" outlineLevel="0" collapsed="false">
      <c r="A19" s="0" t="s">
        <v>130</v>
      </c>
      <c r="C19" s="0" t="n">
        <f aca="false">C15+C16+C17+C18</f>
        <v>752.49556448</v>
      </c>
      <c r="D19" s="0" t="n">
        <f aca="false">D15+D16+D17+D18</f>
        <v>834.0268205016</v>
      </c>
      <c r="E19" s="0" t="n">
        <f aca="false">E15+E16+E17+E18</f>
        <v>915.275379053376</v>
      </c>
      <c r="F19" s="0" t="n">
        <f aca="false">F15+F16+F17+F18</f>
        <v>994.5244960596</v>
      </c>
      <c r="G19" s="0" t="n">
        <f aca="false">G15+G16+G17+G18</f>
        <v>1065.7424267446</v>
      </c>
      <c r="H19" s="0" t="n">
        <f aca="false">H15+H16+H17+H18</f>
        <v>1111.68195177274</v>
      </c>
      <c r="I19" s="0" t="n">
        <f aca="false">I15+I16+I17+I18</f>
        <v>1154.04959030128</v>
      </c>
      <c r="J19" s="0" t="n">
        <f aca="false">J15+J16+J17+J18</f>
        <v>1192.26819903546</v>
      </c>
      <c r="K19" s="0" t="n">
        <f aca="false">K15+K16+K17+K18</f>
        <v>1228.03624500652</v>
      </c>
      <c r="L19" s="0" t="n">
        <f aca="false">L15+L16+L17+L18</f>
        <v>1264.87733235672</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690.362903192661</v>
      </c>
      <c r="D21" s="0" t="n">
        <f aca="false">D19*D20</f>
        <v>701.983688663917</v>
      </c>
      <c r="E21" s="0" t="n">
        <f aca="false">E19*E20</f>
        <v>706.760527411646</v>
      </c>
      <c r="F21" s="0" t="n">
        <f aca="false">F19*F20</f>
        <v>704.54622603053</v>
      </c>
      <c r="G21" s="0" t="n">
        <f aca="false">G19*G20</f>
        <v>692.65945285108</v>
      </c>
      <c r="H21" s="0" t="n">
        <f aca="false">H19*H20</f>
        <v>662.859625723403</v>
      </c>
      <c r="I21" s="0" t="n">
        <f aca="false">I19*I20</f>
        <v>631.304646142198</v>
      </c>
      <c r="J21" s="0" t="n">
        <f aca="false">J19*J20</f>
        <v>598.359205422077</v>
      </c>
      <c r="K21" s="0" t="n">
        <f aca="false">K19*K20</f>
        <v>565.42200145389</v>
      </c>
      <c r="L21" s="0" t="n">
        <f aca="false">L19*L20</f>
        <v>534.297854584868</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15</v>
      </c>
    </row>
    <row r="30" customFormat="false" ht="15" hidden="false" customHeight="false" outlineLevel="0" collapsed="false">
      <c r="A30" s="0" t="s">
        <v>135</v>
      </c>
      <c r="B30" s="0" t="n">
        <f aca="false">SUM(C21:L21)</f>
        <v>6488.55613147627</v>
      </c>
    </row>
    <row r="31" customFormat="false" ht="15" hidden="false" customHeight="false" outlineLevel="0" collapsed="false">
      <c r="A31" s="0" t="s">
        <v>136</v>
      </c>
      <c r="B31" s="0" t="n">
        <f aca="false">L19</f>
        <v>1264.87733235672</v>
      </c>
    </row>
    <row r="32" customFormat="false" ht="15" hidden="false" customHeight="false" outlineLevel="0" collapsed="false">
      <c r="A32" s="0" t="s">
        <v>137</v>
      </c>
      <c r="B32" s="0" t="n">
        <f aca="false">IF(B27&gt;B28,B31*(1+B28/100)/((B27-B28)/100),B31*B29)</f>
        <v>19946.1425487021</v>
      </c>
    </row>
    <row r="33" customFormat="false" ht="15" hidden="false" customHeight="false" outlineLevel="0" collapsed="false">
      <c r="A33" s="0" t="s">
        <v>138</v>
      </c>
      <c r="B33" s="0" t="n">
        <f aca="false">B31*B29</f>
        <v>18973.1599853508</v>
      </c>
    </row>
    <row r="34" customFormat="false" ht="15" hidden="false" customHeight="false" outlineLevel="0" collapsed="false">
      <c r="A34" s="0" t="s">
        <v>139</v>
      </c>
      <c r="B34" s="0" t="n">
        <f aca="false">MAX(0,MIN(B32,B33))</f>
        <v>18973.1599853508</v>
      </c>
    </row>
    <row r="35" customFormat="false" ht="15" hidden="false" customHeight="false" outlineLevel="0" collapsed="false">
      <c r="A35" s="0" t="s">
        <v>140</v>
      </c>
      <c r="B35" s="0" t="n">
        <f aca="false">B34/(1+B27/100)^L4</f>
        <v>8014.46781877302</v>
      </c>
    </row>
    <row r="36" customFormat="false" ht="15" hidden="false" customHeight="false" outlineLevel="0" collapsed="false">
      <c r="A36" s="0" t="s">
        <v>141</v>
      </c>
      <c r="B36" s="0" t="n">
        <f aca="false">B30+B35</f>
        <v>14503.0239502493</v>
      </c>
    </row>
    <row r="37" customFormat="false" ht="15" hidden="false" customHeight="false" outlineLevel="0" collapsed="false">
      <c r="A37" s="0" t="s">
        <v>142</v>
      </c>
      <c r="B37" s="0" t="n">
        <f aca="false">B36+Assumptions!$B$5-Assumptions!$B$4</f>
        <v>12973.2239502493</v>
      </c>
    </row>
    <row r="38" customFormat="false" ht="15" hidden="false" customHeight="false" outlineLevel="0" collapsed="false">
      <c r="A38" s="0" t="s">
        <v>143</v>
      </c>
      <c r="B38" s="0" t="n">
        <f aca="false">B37/Assumptions!$B$3*Assumptions!$B$10</f>
        <v>373.868125367415</v>
      </c>
    </row>
    <row r="39" customFormat="false" ht="15" hidden="false" customHeight="false" outlineLevel="0" collapsed="false">
      <c r="A39" s="0" t="s">
        <v>144</v>
      </c>
      <c r="B39" s="4" t="n">
        <f aca="false">B38/Assumptions!$B$2-1</f>
        <v>0.0371972628513972</v>
      </c>
    </row>
    <row r="41" customFormat="false" ht="15" hidden="false" customHeight="false" outlineLevel="0" collapsed="false">
      <c r="A41" s="0" t="s">
        <v>145</v>
      </c>
      <c r="B41" s="0" t="n">
        <f aca="false">SUMPRODUCT(-C10:L10/(1+$B$27/100)^C4:L4)</f>
        <v>391.439521832115</v>
      </c>
    </row>
    <row r="42" customFormat="false" ht="15" hidden="false" customHeight="false" outlineLevel="0" collapsed="false">
      <c r="A42" s="0" t="s">
        <v>146</v>
      </c>
      <c r="B42" s="0" t="n">
        <f aca="false">IF(B27&gt;B28,-L10*(1+B28/100)/((B27-B28)/100),-L10*20)/(1+B27/100)^L4</f>
        <v>487.781256696124</v>
      </c>
    </row>
    <row r="43" customFormat="false" ht="15" hidden="false" customHeight="false" outlineLevel="0" collapsed="false">
      <c r="A43" s="0" t="s">
        <v>147</v>
      </c>
      <c r="B43" s="0" t="n">
        <f aca="false">(B37+B41+B42)/Assumptions!$B$3*Assumptions!$B$10</f>
        <v>399.20589996477</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10371.9941253251</v>
      </c>
    </row>
    <row r="47" customFormat="false" ht="15" hidden="false" customHeight="false" outlineLevel="0" collapsed="false">
      <c r="A47" s="0" t="s">
        <v>149</v>
      </c>
      <c r="B47" s="0" t="n">
        <f aca="false">(SUMPRODUCT(C19:L19/(1+B45/100)^C4:L4)+B46/(1+B45/100)^L4+Assumptions!$B$5-Assumptions!$B$4)/Assumptions!$B$3*Assumptions!$B$10</f>
        <v>172.485244775919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8.5</v>
      </c>
      <c r="D5" s="4" t="n">
        <f aca="false">Assumptions!D41</f>
        <v>9</v>
      </c>
      <c r="E5" s="4" t="n">
        <f aca="false">Assumptions!E41</f>
        <v>8</v>
      </c>
      <c r="F5" s="4" t="n">
        <f aca="false">Assumptions!F41</f>
        <v>6.5</v>
      </c>
      <c r="G5" s="4" t="n">
        <f aca="false">Assumptions!G41</f>
        <v>5.5</v>
      </c>
      <c r="H5" s="4" t="n">
        <f aca="false">Assumptions!H41</f>
        <v>5</v>
      </c>
      <c r="I5" s="4" t="n">
        <f aca="false">Assumptions!I41</f>
        <v>4.5</v>
      </c>
      <c r="J5" s="4" t="n">
        <f aca="false">Assumptions!J41</f>
        <v>4</v>
      </c>
      <c r="K5" s="4" t="n">
        <f aca="false">Assumptions!K41</f>
        <v>3.5</v>
      </c>
      <c r="L5" s="4" t="n">
        <f aca="false">Assumptions!L41</f>
        <v>3.5</v>
      </c>
    </row>
    <row r="6" customFormat="false" ht="15" hidden="false" customHeight="false" outlineLevel="0" collapsed="false">
      <c r="A6" s="0" t="s">
        <v>37</v>
      </c>
      <c r="B6" s="3" t="n">
        <v>5195.3</v>
      </c>
      <c r="C6" s="0" t="n">
        <f aca="false">B6*(1+C5/100)</f>
        <v>5636.9005</v>
      </c>
      <c r="D6" s="0" t="n">
        <f aca="false">C6*(1+D5/100)</f>
        <v>6144.221545</v>
      </c>
      <c r="E6" s="0" t="n">
        <f aca="false">D6*(1+E5/100)</f>
        <v>6635.7592686</v>
      </c>
      <c r="F6" s="0" t="n">
        <f aca="false">E6*(1+F5/100)</f>
        <v>7067.083621059</v>
      </c>
      <c r="G6" s="0" t="n">
        <f aca="false">F6*(1+G5/100)</f>
        <v>7455.77322021725</v>
      </c>
      <c r="H6" s="0" t="n">
        <f aca="false">G6*(1+H5/100)</f>
        <v>7828.56188122811</v>
      </c>
      <c r="I6" s="0" t="n">
        <f aca="false">H6*(1+I5/100)</f>
        <v>8180.84716588337</v>
      </c>
      <c r="J6" s="0" t="n">
        <f aca="false">I6*(1+J5/100)</f>
        <v>8508.08105251871</v>
      </c>
      <c r="K6" s="0" t="n">
        <f aca="false">J6*(1+K5/100)</f>
        <v>8805.86388935686</v>
      </c>
      <c r="L6" s="0" t="n">
        <f aca="false">K6*(1+L5/100)</f>
        <v>9114.06912548435</v>
      </c>
    </row>
    <row r="7" customFormat="false" ht="15" hidden="false" customHeight="false" outlineLevel="0" collapsed="false">
      <c r="A7" s="0" t="s">
        <v>106</v>
      </c>
      <c r="C7" s="4" t="n">
        <f aca="false">Assumptions!C42</f>
        <v>22.2</v>
      </c>
      <c r="D7" s="4" t="n">
        <f aca="false">Assumptions!D42</f>
        <v>23</v>
      </c>
      <c r="E7" s="4" t="n">
        <f aca="false">Assumptions!E42</f>
        <v>23.8</v>
      </c>
      <c r="F7" s="4" t="n">
        <f aca="false">Assumptions!F42</f>
        <v>24.5</v>
      </c>
      <c r="G7" s="4" t="n">
        <f aca="false">Assumptions!G42</f>
        <v>25</v>
      </c>
      <c r="H7" s="4" t="n">
        <f aca="false">Assumptions!H42</f>
        <v>25</v>
      </c>
      <c r="I7" s="4" t="n">
        <f aca="false">Assumptions!I42</f>
        <v>25</v>
      </c>
      <c r="J7" s="4" t="n">
        <f aca="false">Assumptions!J42</f>
        <v>25</v>
      </c>
      <c r="K7" s="4" t="n">
        <f aca="false">Assumptions!K42</f>
        <v>25</v>
      </c>
      <c r="L7" s="4" t="n">
        <f aca="false">Assumptions!L42</f>
        <v>25</v>
      </c>
    </row>
    <row r="8" customFormat="false" ht="15" hidden="false" customHeight="false" outlineLevel="0" collapsed="false">
      <c r="A8" s="0" t="s">
        <v>43</v>
      </c>
      <c r="C8" s="0" t="n">
        <f aca="false">C6*C7/100</f>
        <v>1251.391911</v>
      </c>
      <c r="D8" s="0" t="n">
        <f aca="false">D6*D7/100</f>
        <v>1413.17095535</v>
      </c>
      <c r="E8" s="0" t="n">
        <f aca="false">E6*E7/100</f>
        <v>1579.3107059268</v>
      </c>
      <c r="F8" s="0" t="n">
        <f aca="false">F6*F7/100</f>
        <v>1731.43548715946</v>
      </c>
      <c r="G8" s="0" t="n">
        <f aca="false">G6*G7/100</f>
        <v>1863.94330505431</v>
      </c>
      <c r="H8" s="0" t="n">
        <f aca="false">H6*H7/100</f>
        <v>1957.14047030703</v>
      </c>
      <c r="I8" s="0" t="n">
        <f aca="false">I6*I7/100</f>
        <v>2045.21179147084</v>
      </c>
      <c r="J8" s="0" t="n">
        <f aca="false">J6*J7/100</f>
        <v>2127.02026312968</v>
      </c>
      <c r="K8" s="0" t="n">
        <f aca="false">K6*K7/100</f>
        <v>2201.46597233922</v>
      </c>
      <c r="L8" s="0" t="n">
        <f aca="false">L6*L7/100</f>
        <v>2278.51728137109</v>
      </c>
    </row>
    <row r="9" customFormat="false" ht="15" hidden="false" customHeight="false" outlineLevel="0" collapsed="false">
      <c r="A9" s="0" t="s">
        <v>107</v>
      </c>
      <c r="C9" s="4" t="n">
        <f aca="false">Assumptions!C43</f>
        <v>0.9</v>
      </c>
      <c r="D9" s="4" t="n">
        <f aca="false">Assumptions!D43</f>
        <v>0.9</v>
      </c>
      <c r="E9" s="4" t="n">
        <f aca="false">Assumptions!E43</f>
        <v>0.9</v>
      </c>
      <c r="F9" s="4" t="n">
        <f aca="false">Assumptions!F43</f>
        <v>0.9</v>
      </c>
      <c r="G9" s="4" t="n">
        <f aca="false">Assumptions!G43</f>
        <v>0.9</v>
      </c>
      <c r="H9" s="4" t="n">
        <f aca="false">Assumptions!H43</f>
        <v>0.9</v>
      </c>
      <c r="I9" s="4" t="n">
        <f aca="false">Assumptions!I43</f>
        <v>0.9</v>
      </c>
      <c r="J9" s="4" t="n">
        <f aca="false">Assumptions!J43</f>
        <v>0.9</v>
      </c>
      <c r="K9" s="4" t="n">
        <f aca="false">Assumptions!K43</f>
        <v>0.9</v>
      </c>
      <c r="L9" s="4" t="n">
        <f aca="false">Assumptions!L43</f>
        <v>0.9</v>
      </c>
    </row>
    <row r="10" customFormat="false" ht="15" hidden="false" customHeight="false" outlineLevel="0" collapsed="false">
      <c r="A10" s="0" t="s">
        <v>122</v>
      </c>
      <c r="C10" s="0" t="n">
        <f aca="false">-C6*C9/100</f>
        <v>-50.7321045</v>
      </c>
      <c r="D10" s="0" t="n">
        <f aca="false">-D6*D9/100</f>
        <v>-55.297993905</v>
      </c>
      <c r="E10" s="0" t="n">
        <f aca="false">-E6*E9/100</f>
        <v>-59.7218334174</v>
      </c>
      <c r="F10" s="0" t="n">
        <f aca="false">-F6*F9/100</f>
        <v>-63.603752589531</v>
      </c>
      <c r="G10" s="0" t="n">
        <f aca="false">-G6*G9/100</f>
        <v>-67.1019589819552</v>
      </c>
      <c r="H10" s="0" t="n">
        <f aca="false">-H6*H9/100</f>
        <v>-70.457056931053</v>
      </c>
      <c r="I10" s="0" t="n">
        <f aca="false">-I6*I9/100</f>
        <v>-73.6276244929504</v>
      </c>
      <c r="J10" s="0" t="n">
        <f aca="false">-J6*J9/100</f>
        <v>-76.5727294726684</v>
      </c>
      <c r="K10" s="0" t="n">
        <f aca="false">-K6*K9/100</f>
        <v>-79.2527750042117</v>
      </c>
      <c r="L10" s="0" t="n">
        <f aca="false">-L6*L9/100</f>
        <v>-82.0266221293592</v>
      </c>
    </row>
    <row r="11" customFormat="false" ht="15" hidden="false" customHeight="false" outlineLevel="0" collapsed="false">
      <c r="A11" s="0" t="s">
        <v>123</v>
      </c>
      <c r="C11" s="0" t="n">
        <f aca="false">C8+C10+C24</f>
        <v>1200.6598065</v>
      </c>
      <c r="D11" s="0" t="n">
        <f aca="false">D8+D10+D24</f>
        <v>1357.872961445</v>
      </c>
      <c r="E11" s="0" t="n">
        <f aca="false">E8+E10+E24</f>
        <v>1519.5888725094</v>
      </c>
      <c r="F11" s="0" t="n">
        <f aca="false">F8+F10+F24</f>
        <v>1667.83173456992</v>
      </c>
      <c r="G11" s="0" t="n">
        <f aca="false">G8+G10+G24</f>
        <v>1796.84134607236</v>
      </c>
      <c r="H11" s="0" t="n">
        <f aca="false">H8+H10+H24</f>
        <v>1886.68341337597</v>
      </c>
      <c r="I11" s="0" t="n">
        <f aca="false">I8+I10+I24</f>
        <v>1971.58416697789</v>
      </c>
      <c r="J11" s="0" t="n">
        <f aca="false">J8+J10+J24</f>
        <v>2050.44753365701</v>
      </c>
      <c r="K11" s="0" t="n">
        <f aca="false">K8+K10+K24</f>
        <v>2122.213197335</v>
      </c>
      <c r="L11" s="0" t="n">
        <f aca="false">L8+L10+L24</f>
        <v>2196.49065924173</v>
      </c>
    </row>
    <row r="12" customFormat="false" ht="15" hidden="false" customHeight="false" outlineLevel="0" collapsed="false">
      <c r="A12" s="0" t="s">
        <v>124</v>
      </c>
      <c r="C12" s="4" t="n">
        <f aca="false">-C6*Assumptions!C45/100</f>
        <v>-129.6487115</v>
      </c>
      <c r="D12" s="4" t="n">
        <f aca="false">-D6*Assumptions!D45/100</f>
        <v>-141.317095535</v>
      </c>
      <c r="E12" s="4" t="n">
        <f aca="false">-E6*Assumptions!E45/100</f>
        <v>-152.6224631778</v>
      </c>
      <c r="F12" s="4" t="n">
        <f aca="false">-F6*Assumptions!F45/100</f>
        <v>-162.542923284357</v>
      </c>
      <c r="G12" s="4" t="n">
        <f aca="false">-G6*Assumptions!G45/100</f>
        <v>-171.482784064997</v>
      </c>
      <c r="H12" s="4" t="n">
        <f aca="false">-H6*Assumptions!H45/100</f>
        <v>-180.056923268246</v>
      </c>
      <c r="I12" s="4" t="n">
        <f aca="false">-I6*Assumptions!I45/100</f>
        <v>-188.159484815318</v>
      </c>
      <c r="J12" s="4" t="n">
        <f aca="false">-J6*Assumptions!J45/100</f>
        <v>-195.68586420793</v>
      </c>
      <c r="K12" s="4" t="n">
        <f aca="false">-K6*Assumptions!K45/100</f>
        <v>-202.534869455208</v>
      </c>
      <c r="L12" s="4" t="n">
        <f aca="false">-L6*Assumptions!L45/100</f>
        <v>-209.62358988614</v>
      </c>
    </row>
    <row r="13" customFormat="false" ht="15" hidden="false" customHeight="false" outlineLevel="0" collapsed="false">
      <c r="A13" s="0" t="s">
        <v>125</v>
      </c>
      <c r="C13" s="0" t="n">
        <f aca="false">C11+C12</f>
        <v>1071.011095</v>
      </c>
      <c r="D13" s="0" t="n">
        <f aca="false">D11+D12</f>
        <v>1216.55586591</v>
      </c>
      <c r="E13" s="0" t="n">
        <f aca="false">E11+E12</f>
        <v>1366.9664093316</v>
      </c>
      <c r="F13" s="0" t="n">
        <f aca="false">F11+F12</f>
        <v>1505.28881128557</v>
      </c>
      <c r="G13" s="0" t="n">
        <f aca="false">G11+G12</f>
        <v>1625.35856200736</v>
      </c>
      <c r="H13" s="0" t="n">
        <f aca="false">H11+H12</f>
        <v>1706.62649010773</v>
      </c>
      <c r="I13" s="0" t="n">
        <f aca="false">I11+I12</f>
        <v>1783.42468216257</v>
      </c>
      <c r="J13" s="0" t="n">
        <f aca="false">J11+J12</f>
        <v>1854.76166944908</v>
      </c>
      <c r="K13" s="0" t="n">
        <f aca="false">K11+K12</f>
        <v>1919.6783278798</v>
      </c>
      <c r="L13" s="0" t="n">
        <f aca="false">L11+L12</f>
        <v>1986.86706935559</v>
      </c>
    </row>
    <row r="14" customFormat="false" ht="15" hidden="false" customHeight="false" outlineLevel="0" collapsed="false">
      <c r="A14" s="0" t="s">
        <v>111</v>
      </c>
      <c r="C14" s="4" t="n">
        <f aca="false">Assumptions!C47</f>
        <v>21</v>
      </c>
      <c r="D14" s="4" t="n">
        <f aca="false">Assumptions!D47</f>
        <v>21</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126</v>
      </c>
      <c r="C15" s="0" t="n">
        <f aca="false">C13-MAX(0,C13)*C14/100</f>
        <v>846.09876505</v>
      </c>
      <c r="D15" s="0" t="n">
        <f aca="false">D13-MAX(0,D13)*D14/100</f>
        <v>961.0791340689</v>
      </c>
      <c r="E15" s="0" t="n">
        <f aca="false">E13-MAX(0,E13)*E14/100</f>
        <v>1079.90346337196</v>
      </c>
      <c r="F15" s="0" t="n">
        <f aca="false">F13-MAX(0,F13)*F14/100</f>
        <v>1189.1781609156</v>
      </c>
      <c r="G15" s="0" t="n">
        <f aca="false">G13-MAX(0,G13)*G14/100</f>
        <v>1284.03326398581</v>
      </c>
      <c r="H15" s="0" t="n">
        <f aca="false">H13-MAX(0,H13)*H14/100</f>
        <v>1348.2349271851</v>
      </c>
      <c r="I15" s="0" t="n">
        <f aca="false">I13-MAX(0,I13)*I14/100</f>
        <v>1408.90549890843</v>
      </c>
      <c r="J15" s="0" t="n">
        <f aca="false">J13-MAX(0,J13)*J14/100</f>
        <v>1465.26171886477</v>
      </c>
      <c r="K15" s="0" t="n">
        <f aca="false">K13-MAX(0,K13)*K14/100</f>
        <v>1516.54587902504</v>
      </c>
      <c r="L15" s="0" t="n">
        <f aca="false">L13-MAX(0,L13)*L14/100</f>
        <v>1569.62498479091</v>
      </c>
    </row>
    <row r="16" customFormat="false" ht="15" hidden="false" customHeight="false" outlineLevel="0" collapsed="false">
      <c r="A16" s="0" t="s">
        <v>127</v>
      </c>
      <c r="C16" s="0" t="n">
        <f aca="false">-C12</f>
        <v>129.6487115</v>
      </c>
      <c r="D16" s="0" t="n">
        <f aca="false">-D12</f>
        <v>141.317095535</v>
      </c>
      <c r="E16" s="0" t="n">
        <f aca="false">-E12</f>
        <v>152.6224631778</v>
      </c>
      <c r="F16" s="0" t="n">
        <f aca="false">-F12</f>
        <v>162.542923284357</v>
      </c>
      <c r="G16" s="0" t="n">
        <f aca="false">-G12</f>
        <v>171.482784064997</v>
      </c>
      <c r="H16" s="0" t="n">
        <f aca="false">-H12</f>
        <v>180.056923268246</v>
      </c>
      <c r="I16" s="0" t="n">
        <f aca="false">-I12</f>
        <v>188.159484815318</v>
      </c>
      <c r="J16" s="0" t="n">
        <f aca="false">-J12</f>
        <v>195.68586420793</v>
      </c>
      <c r="K16" s="0" t="n">
        <f aca="false">-K12</f>
        <v>202.534869455208</v>
      </c>
      <c r="L16" s="0" t="n">
        <f aca="false">-L12</f>
        <v>209.62358988614</v>
      </c>
    </row>
    <row r="17" customFormat="false" ht="15" hidden="false" customHeight="false" outlineLevel="0" collapsed="false">
      <c r="A17" s="0" t="s">
        <v>128</v>
      </c>
      <c r="C17" s="4" t="n">
        <f aca="false">-C6*Assumptions!C46/100</f>
        <v>-169.107015</v>
      </c>
      <c r="D17" s="4" t="n">
        <f aca="false">-D6*Assumptions!D46/100</f>
        <v>-172.03820326</v>
      </c>
      <c r="E17" s="4" t="n">
        <f aca="false">-E6*Assumptions!E46/100</f>
        <v>-179.1655002522</v>
      </c>
      <c r="F17" s="4" t="n">
        <f aca="false">-F6*Assumptions!F46/100</f>
        <v>-183.744174147534</v>
      </c>
      <c r="G17" s="4" t="n">
        <f aca="false">-G6*Assumptions!G46/100</f>
        <v>-186.394330505431</v>
      </c>
      <c r="H17" s="4" t="n">
        <f aca="false">-H6*Assumptions!H46/100</f>
        <v>-195.714047030703</v>
      </c>
      <c r="I17" s="4" t="n">
        <f aca="false">-I6*Assumptions!I46/100</f>
        <v>-204.521179147084</v>
      </c>
      <c r="J17" s="4" t="n">
        <f aca="false">-J6*Assumptions!J46/100</f>
        <v>-212.702026312968</v>
      </c>
      <c r="K17" s="4" t="n">
        <f aca="false">-K6*Assumptions!K46/100</f>
        <v>-220.146597233921</v>
      </c>
      <c r="L17" s="4" t="n">
        <f aca="false">-L6*Assumptions!L46/100</f>
        <v>-227.851728137109</v>
      </c>
    </row>
    <row r="18" customFormat="false" ht="15" hidden="false" customHeight="false" outlineLevel="0" collapsed="false">
      <c r="A18" s="0" t="s">
        <v>129</v>
      </c>
      <c r="C18" s="4" t="n">
        <f aca="false">(C6-B6)*Assumptions!$B$51/100</f>
        <v>-44.16005</v>
      </c>
      <c r="D18" s="4" t="n">
        <f aca="false">(D6-C6)*Assumptions!$B$51/100</f>
        <v>-50.7321045000001</v>
      </c>
      <c r="E18" s="4" t="n">
        <f aca="false">(E6-D6)*Assumptions!$B$51/100</f>
        <v>-49.15377236</v>
      </c>
      <c r="F18" s="4" t="n">
        <f aca="false">(F6-E6)*Assumptions!$B$51/100</f>
        <v>-43.1324352459</v>
      </c>
      <c r="G18" s="4" t="n">
        <f aca="false">(G6-F6)*Assumptions!$B$51/100</f>
        <v>-38.8689599158244</v>
      </c>
      <c r="H18" s="4" t="n">
        <f aca="false">(H6-G6)*Assumptions!$B$51/100</f>
        <v>-37.2788661010863</v>
      </c>
      <c r="I18" s="4" t="n">
        <f aca="false">(I6-H6)*Assumptions!$B$51/100</f>
        <v>-35.2285284655264</v>
      </c>
      <c r="J18" s="4" t="n">
        <f aca="false">(J6-I6)*Assumptions!$B$51/100</f>
        <v>-32.7233886635335</v>
      </c>
      <c r="K18" s="4" t="n">
        <f aca="false">(K6-J6)*Assumptions!$B$51/100</f>
        <v>-29.7782836838154</v>
      </c>
      <c r="L18" s="4" t="n">
        <f aca="false">(L6-K6)*Assumptions!$B$51/100</f>
        <v>-30.8205236127489</v>
      </c>
    </row>
    <row r="19" customFormat="false" ht="15" hidden="false" customHeight="false" outlineLevel="0" collapsed="false">
      <c r="A19" s="0" t="s">
        <v>130</v>
      </c>
      <c r="C19" s="0" t="n">
        <f aca="false">C15+C16+C17+C18</f>
        <v>762.48041155</v>
      </c>
      <c r="D19" s="0" t="n">
        <f aca="false">D15+D16+D17+D18</f>
        <v>879.6259218439</v>
      </c>
      <c r="E19" s="0" t="n">
        <f aca="false">E15+E16+E17+E18</f>
        <v>1004.20665393756</v>
      </c>
      <c r="F19" s="0" t="n">
        <f aca="false">F15+F16+F17+F18</f>
        <v>1124.84447480652</v>
      </c>
      <c r="G19" s="0" t="n">
        <f aca="false">G15+G16+G17+G18</f>
        <v>1230.25275762956</v>
      </c>
      <c r="H19" s="0" t="n">
        <f aca="false">H15+H16+H17+H18</f>
        <v>1295.29893732156</v>
      </c>
      <c r="I19" s="0" t="n">
        <f aca="false">I15+I16+I17+I18</f>
        <v>1357.31527611114</v>
      </c>
      <c r="J19" s="0" t="n">
        <f aca="false">J15+J16+J17+J18</f>
        <v>1415.5221680962</v>
      </c>
      <c r="K19" s="0" t="n">
        <f aca="false">K15+K16+K17+K18</f>
        <v>1469.15586756251</v>
      </c>
      <c r="L19" s="0" t="n">
        <f aca="false">L15+L16+L17+L18</f>
        <v>1520.5763229272</v>
      </c>
    </row>
    <row r="20" customFormat="false" ht="15" hidden="false" customHeight="false" outlineLevel="0" collapsed="false">
      <c r="A20" s="0" t="s">
        <v>131</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132</v>
      </c>
      <c r="C21" s="0" t="n">
        <f aca="false">C19*C20</f>
        <v>699.523313348624</v>
      </c>
      <c r="D21" s="0" t="n">
        <f aca="false">D19*D20</f>
        <v>740.363539974665</v>
      </c>
      <c r="E21" s="0" t="n">
        <f aca="false">E19*E20</f>
        <v>775.431788737985</v>
      </c>
      <c r="F21" s="0" t="n">
        <f aca="false">F19*F20</f>
        <v>796.868184480329</v>
      </c>
      <c r="G21" s="0" t="n">
        <f aca="false">G19*G20</f>
        <v>799.579880263539</v>
      </c>
      <c r="H21" s="0" t="n">
        <f aca="false">H19*H20</f>
        <v>772.344434866217</v>
      </c>
      <c r="I21" s="0" t="n">
        <f aca="false">I19*I20</f>
        <v>742.497937081757</v>
      </c>
      <c r="J21" s="0" t="n">
        <f aca="false">J19*J20</f>
        <v>710.402844296771</v>
      </c>
      <c r="K21" s="0" t="n">
        <f aca="false">K19*K20</f>
        <v>676.440173865151</v>
      </c>
      <c r="L21" s="0" t="n">
        <f aca="false">L19*L20</f>
        <v>642.307871514157</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15</v>
      </c>
    </row>
    <row r="30" customFormat="false" ht="15" hidden="false" customHeight="false" outlineLevel="0" collapsed="false">
      <c r="A30" s="0" t="s">
        <v>135</v>
      </c>
      <c r="B30" s="0" t="n">
        <f aca="false">SUM(C21:L21)</f>
        <v>7355.75996842919</v>
      </c>
    </row>
    <row r="31" customFormat="false" ht="15" hidden="false" customHeight="false" outlineLevel="0" collapsed="false">
      <c r="A31" s="0" t="s">
        <v>136</v>
      </c>
      <c r="B31" s="0" t="n">
        <f aca="false">L19</f>
        <v>1520.5763229272</v>
      </c>
    </row>
    <row r="32" customFormat="false" ht="15" hidden="false" customHeight="false" outlineLevel="0" collapsed="false">
      <c r="A32" s="0" t="s">
        <v>137</v>
      </c>
      <c r="B32" s="0" t="n">
        <f aca="false">IF(B27&gt;B28,B31*(1+B28/100)/((B27-B28)/100),B31*B29)</f>
        <v>26103.2268769169</v>
      </c>
    </row>
    <row r="33" customFormat="false" ht="15" hidden="false" customHeight="false" outlineLevel="0" collapsed="false">
      <c r="A33" s="0" t="s">
        <v>138</v>
      </c>
      <c r="B33" s="0" t="n">
        <f aca="false">B31*B29</f>
        <v>22808.644843908</v>
      </c>
    </row>
    <row r="34" customFormat="false" ht="15" hidden="false" customHeight="false" outlineLevel="0" collapsed="false">
      <c r="A34" s="0" t="s">
        <v>139</v>
      </c>
      <c r="B34" s="0" t="n">
        <f aca="false">MAX(0,MIN(B32,B33))</f>
        <v>22808.644843908</v>
      </c>
    </row>
    <row r="35" customFormat="false" ht="15" hidden="false" customHeight="false" outlineLevel="0" collapsed="false">
      <c r="A35" s="0" t="s">
        <v>140</v>
      </c>
      <c r="B35" s="0" t="n">
        <f aca="false">B34/(1+B27/100)^L4</f>
        <v>9634.61807271235</v>
      </c>
    </row>
    <row r="36" customFormat="false" ht="15" hidden="false" customHeight="false" outlineLevel="0" collapsed="false">
      <c r="A36" s="0" t="s">
        <v>141</v>
      </c>
      <c r="B36" s="0" t="n">
        <f aca="false">B30+B35</f>
        <v>16990.3780411415</v>
      </c>
    </row>
    <row r="37" customFormat="false" ht="15" hidden="false" customHeight="false" outlineLevel="0" collapsed="false">
      <c r="A37" s="0" t="s">
        <v>142</v>
      </c>
      <c r="B37" s="0" t="n">
        <f aca="false">B36+Assumptions!$B$5-Assumptions!$B$4</f>
        <v>15460.5780411415</v>
      </c>
    </row>
    <row r="38" customFormat="false" ht="15" hidden="false" customHeight="false" outlineLevel="0" collapsed="false">
      <c r="A38" s="0" t="s">
        <v>143</v>
      </c>
      <c r="B38" s="0" t="n">
        <f aca="false">B37/Assumptions!$B$3*Assumptions!$B$10</f>
        <v>445.549799456529</v>
      </c>
    </row>
    <row r="39" customFormat="false" ht="15" hidden="false" customHeight="false" outlineLevel="0" collapsed="false">
      <c r="A39" s="0" t="s">
        <v>144</v>
      </c>
      <c r="B39" s="4" t="n">
        <f aca="false">B38/Assumptions!$B$2-1</f>
        <v>0.236058923199603</v>
      </c>
    </row>
    <row r="41" customFormat="false" ht="15" hidden="false" customHeight="false" outlineLevel="0" collapsed="false">
      <c r="A41" s="0" t="s">
        <v>145</v>
      </c>
      <c r="B41" s="0" t="n">
        <f aca="false">SUMPRODUCT(-C10:L10/(1+$B$27/100)^C4:L4)</f>
        <v>419.729269197644</v>
      </c>
    </row>
    <row r="42" customFormat="false" ht="15" hidden="false" customHeight="false" outlineLevel="0" collapsed="false">
      <c r="A42" s="0" t="s">
        <v>146</v>
      </c>
      <c r="B42" s="0" t="n">
        <f aca="false">IF(B27&gt;B28,-L10*(1+B28/100)/((B27-B28)/100),-L10*20)/(1+B27/100)^L4</f>
        <v>594.806659830135</v>
      </c>
    </row>
    <row r="43" customFormat="false" ht="15" hidden="false" customHeight="false" outlineLevel="0" collapsed="false">
      <c r="A43" s="0" t="s">
        <v>147</v>
      </c>
      <c r="B43" s="0" t="n">
        <f aca="false">(B37+B41+B42)/Assumptions!$B$3*Assumptions!$B$10</f>
        <v>474.78714611439</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13051.6134384584</v>
      </c>
    </row>
    <row r="47" customFormat="false" ht="15" hidden="false" customHeight="false" outlineLevel="0" collapsed="false">
      <c r="A47" s="0" t="s">
        <v>149</v>
      </c>
      <c r="B47" s="0" t="n">
        <f aca="false">(SUMPRODUCT(C19:L19/(1+B45/100)^C4:L4)+B46/(1+B45/100)^L4+Assumptions!$B$5-Assumptions!$B$4)/Assumptions!$B$3*Assumptions!$B$10</f>
        <v>209.396605892072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256.586170404153</v>
      </c>
      <c r="C4" s="0" t="n">
        <f aca="false">B4/Assumptions!$B$2-1</f>
        <v>-0.288170198068708</v>
      </c>
      <c r="D4" s="4" t="n">
        <f aca="false">Assumptions!$B$24</f>
        <v>0.25</v>
      </c>
      <c r="E4" s="4" t="n">
        <f aca="false">DCF_Bear!$B$43</f>
        <v>277.803269712103</v>
      </c>
      <c r="F4" s="4" t="n">
        <f aca="false">DCF_Bear!$B$47</f>
        <v>116.017532790245</v>
      </c>
    </row>
    <row r="5" customFormat="false" ht="15" hidden="false" customHeight="false" outlineLevel="0" collapsed="false">
      <c r="A5" s="0" t="s">
        <v>158</v>
      </c>
      <c r="B5" s="4" t="n">
        <f aca="false">DCF_Base!$B$38</f>
        <v>373.868125367415</v>
      </c>
      <c r="C5" s="0" t="n">
        <f aca="false">B5/Assumptions!$B$2-1</f>
        <v>0.0371972628513972</v>
      </c>
      <c r="D5" s="4" t="n">
        <f aca="false">Assumptions!$B$38</f>
        <v>0.5</v>
      </c>
      <c r="E5" s="4" t="n">
        <f aca="false">DCF_Base!$B$43</f>
        <v>399.20589996477</v>
      </c>
      <c r="F5" s="4" t="n">
        <f aca="false">DCF_Base!$B$47</f>
        <v>172.485244775919</v>
      </c>
    </row>
    <row r="6" customFormat="false" ht="15" hidden="false" customHeight="false" outlineLevel="0" collapsed="false">
      <c r="A6" s="0" t="s">
        <v>159</v>
      </c>
      <c r="B6" s="4" t="n">
        <f aca="false">DCF_Bull!$B$38</f>
        <v>445.549799456529</v>
      </c>
      <c r="C6" s="0" t="n">
        <f aca="false">B6/Assumptions!$B$2-1</f>
        <v>0.236058923199603</v>
      </c>
      <c r="D6" s="4" t="n">
        <f aca="false">Assumptions!$B$52</f>
        <v>0.25</v>
      </c>
      <c r="E6" s="4" t="n">
        <f aca="false">DCF_Bull!$B$43</f>
        <v>474.78714611439</v>
      </c>
      <c r="F6" s="4" t="n">
        <f aca="false">DCF_Bull!$B$47</f>
        <v>209.396605892072</v>
      </c>
    </row>
    <row r="8" customFormat="false" ht="15" hidden="false" customHeight="false" outlineLevel="0" collapsed="false">
      <c r="A8" s="0" t="s">
        <v>160</v>
      </c>
      <c r="B8" s="0" t="n">
        <f aca="false">SUMPRODUCT(B4:B6,D4:D6)</f>
        <v>362.468055148878</v>
      </c>
    </row>
    <row r="9" customFormat="false" ht="15" hidden="false" customHeight="false" outlineLevel="0" collapsed="false">
      <c r="A9" s="0" t="s">
        <v>161</v>
      </c>
      <c r="B9" s="0" t="n">
        <f aca="false">SUMPRODUCT(E4:E6,D4:D6)</f>
        <v>387.750553939008</v>
      </c>
    </row>
    <row r="10" customFormat="false" ht="15" hidden="false" customHeight="false" outlineLevel="0" collapsed="false">
      <c r="A10" s="0" t="s">
        <v>162</v>
      </c>
      <c r="B10" s="0" t="n">
        <f aca="false">1-Assumptions!$B$2/B8</f>
        <v>0.00553995068076574</v>
      </c>
    </row>
    <row r="11" customFormat="false" ht="15" hidden="false" customHeight="false" outlineLevel="0" collapsed="false">
      <c r="A11" s="0" t="s">
        <v>163</v>
      </c>
      <c r="B11" s="0" t="n">
        <f aca="false">IF(ABS(B9-B8)&gt;0.01*ABS(B8),(Assumptions!$B$2-B8)/(B9-B8)*100,"n/a")</f>
        <v>-7.9424710569422</v>
      </c>
    </row>
    <row r="12" customFormat="false" ht="15" hidden="false" customHeight="false" outlineLevel="0" collapsed="false">
      <c r="A12" s="0" t="s">
        <v>164</v>
      </c>
      <c r="B12" s="0" t="n">
        <f aca="false">SUMPRODUCT(F4:F6,D4:D6)</f>
        <v>167.596157058539</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373.868125367415</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326.264987604562</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280.888233334298</v>
      </c>
      <c r="C17" s="3" t="n">
        <v>11</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245.134385391183</v>
      </c>
      <c r="C18" s="3" t="n">
        <v>12</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172.485244775919</v>
      </c>
      <c r="C19" s="3" t="n">
        <v>15</v>
      </c>
    </row>
    <row r="21" customFormat="false" ht="15" hidden="false" customHeight="false" outlineLevel="0" collapsed="false">
      <c r="A21" s="2" t="s">
        <v>172</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440.258533286662</v>
      </c>
      <c r="C23" s="0" t="n">
        <f aca="false">(SUMPRODUCT(DCF_Base!$C$19:$L$19/(1+$A$23/100)^DCF_Base!$C$4:$L$4)+MAX(0,MIN(IF($A$23&gt;$C$22,DCF_Base!$L$19*(1+$C$22/100)/(($A$23-$C$22)/100),DCF_Base!$L$19*DCF_Base!$B$29),DCF_Base!$L$19*DCF_Base!$B$29))/(1+$A$23/100)^DCF_Base!$L$4+Assumptions!$B$5-Assumptions!$B$4)/Assumptions!$B$3*Assumptions!$B$10</f>
        <v>440.258533286662</v>
      </c>
      <c r="D23" s="0" t="n">
        <f aca="false">(SUMPRODUCT(DCF_Base!$C$19:$L$19/(1+$A$23/100)^DCF_Base!$C$4:$L$4)+MAX(0,MIN(IF($A$23&gt;$D$22,DCF_Base!$L$19*(1+$D$22/100)/(($A$23-$D$22)/100),DCF_Base!$L$19*DCF_Base!$B$29),DCF_Base!$L$19*DCF_Base!$B$29))/(1+$A$23/100)^DCF_Base!$L$4+Assumptions!$B$5-Assumptions!$B$4)/Assumptions!$B$3*Assumptions!$B$10</f>
        <v>440.258533286662</v>
      </c>
      <c r="E23" s="0" t="n">
        <f aca="false">(SUMPRODUCT(DCF_Base!$C$19:$L$19/(1+$A$23/100)^DCF_Base!$C$4:$L$4)+MAX(0,MIN(IF($A$23&gt;$E$22,DCF_Base!$L$19*(1+$E$22/100)/(($A$23-$E$22)/100),DCF_Base!$L$19*DCF_Base!$B$29),DCF_Base!$L$19*DCF_Base!$B$29))/(1+$A$23/100)^DCF_Base!$L$4+Assumptions!$B$5-Assumptions!$B$4)/Assumptions!$B$3*Assumptions!$B$10</f>
        <v>440.258533286662</v>
      </c>
      <c r="F23" s="0" t="n">
        <f aca="false">(SUMPRODUCT(DCF_Base!$C$19:$L$19/(1+$A$23/100)^DCF_Base!$C$4:$L$4)+MAX(0,MIN(IF($A$23&gt;$F$22,DCF_Base!$L$19*(1+$F$22/100)/(($A$23-$F$22)/100),DCF_Base!$L$19*DCF_Base!$B$29),DCF_Base!$L$19*DCF_Base!$B$29))/(1+$A$23/100)^DCF_Base!$L$4+Assumptions!$B$5-Assumptions!$B$4)/Assumptions!$B$3*Assumptions!$B$10</f>
        <v>440.258533286662</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405.516623416687</v>
      </c>
      <c r="C24" s="0" t="n">
        <f aca="false">(SUMPRODUCT(DCF_Base!$C$19:$L$19/(1+$A$24/100)^DCF_Base!$C$4:$L$4)+MAX(0,MIN(IF($A$24&gt;$C$22,DCF_Base!$L$19*(1+$C$22/100)/(($A$24-$C$22)/100),DCF_Base!$L$19*DCF_Base!$B$29),DCF_Base!$L$19*DCF_Base!$B$29))/(1+$A$24/100)^DCF_Base!$L$4+Assumptions!$B$5-Assumptions!$B$4)/Assumptions!$B$3*Assumptions!$B$10</f>
        <v>405.516623416687</v>
      </c>
      <c r="D24" s="0" t="n">
        <f aca="false">(SUMPRODUCT(DCF_Base!$C$19:$L$19/(1+$A$24/100)^DCF_Base!$C$4:$L$4)+MAX(0,MIN(IF($A$24&gt;$D$22,DCF_Base!$L$19*(1+$D$22/100)/(($A$24-$D$22)/100),DCF_Base!$L$19*DCF_Base!$B$29),DCF_Base!$L$19*DCF_Base!$B$29))/(1+$A$24/100)^DCF_Base!$L$4+Assumptions!$B$5-Assumptions!$B$4)/Assumptions!$B$3*Assumptions!$B$10</f>
        <v>405.516623416687</v>
      </c>
      <c r="E24" s="0" t="n">
        <f aca="false">(SUMPRODUCT(DCF_Base!$C$19:$L$19/(1+$A$24/100)^DCF_Base!$C$4:$L$4)+MAX(0,MIN(IF($A$24&gt;$E$22,DCF_Base!$L$19*(1+$E$22/100)/(($A$24-$E$22)/100),DCF_Base!$L$19*DCF_Base!$B$29),DCF_Base!$L$19*DCF_Base!$B$29))/(1+$A$24/100)^DCF_Base!$L$4+Assumptions!$B$5-Assumptions!$B$4)/Assumptions!$B$3*Assumptions!$B$10</f>
        <v>405.516623416687</v>
      </c>
      <c r="F24" s="0" t="n">
        <f aca="false">(SUMPRODUCT(DCF_Base!$C$19:$L$19/(1+$A$24/100)^DCF_Base!$C$4:$L$4)+MAX(0,MIN(IF($A$24&gt;$F$22,DCF_Base!$L$19*(1+$F$22/100)/(($A$24-$F$22)/100),DCF_Base!$L$19*DCF_Base!$B$29),DCF_Base!$L$19*DCF_Base!$B$29))/(1+$A$24/100)^DCF_Base!$L$4+Assumptions!$B$5-Assumptions!$B$4)/Assumptions!$B$3*Assumptions!$B$10</f>
        <v>405.516623416687</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351.284930745192</v>
      </c>
      <c r="C25" s="0" t="n">
        <f aca="false">(SUMPRODUCT(DCF_Base!$C$19:$L$19/(1+$A$25/100)^DCF_Base!$C$4:$L$4)+MAX(0,MIN(IF($A$25&gt;$C$22,DCF_Base!$L$19*(1+$C$22/100)/(($A$25-$C$22)/100),DCF_Base!$L$19*DCF_Base!$B$29),DCF_Base!$L$19*DCF_Base!$B$29))/(1+$A$25/100)^DCF_Base!$L$4+Assumptions!$B$5-Assumptions!$B$4)/Assumptions!$B$3*Assumptions!$B$10</f>
        <v>367.269139925856</v>
      </c>
      <c r="D25" s="0" t="n">
        <f aca="false">(SUMPRODUCT(DCF_Base!$C$19:$L$19/(1+$A$25/100)^DCF_Base!$C$4:$L$4)+MAX(0,MIN(IF($A$25&gt;$D$22,DCF_Base!$L$19*(1+$D$22/100)/(($A$25-$D$22)/100),DCF_Base!$L$19*DCF_Base!$B$29),DCF_Base!$L$19*DCF_Base!$B$29))/(1+$A$25/100)^DCF_Base!$L$4+Assumptions!$B$5-Assumptions!$B$4)/Assumptions!$B$3*Assumptions!$B$10</f>
        <v>373.868125367415</v>
      </c>
      <c r="E25" s="0" t="n">
        <f aca="false">(SUMPRODUCT(DCF_Base!$C$19:$L$19/(1+$A$25/100)^DCF_Base!$C$4:$L$4)+MAX(0,MIN(IF($A$25&gt;$E$22,DCF_Base!$L$19*(1+$E$22/100)/(($A$25-$E$22)/100),DCF_Base!$L$19*DCF_Base!$B$29),DCF_Base!$L$19*DCF_Base!$B$29))/(1+$A$25/100)^DCF_Base!$L$4+Assumptions!$B$5-Assumptions!$B$4)/Assumptions!$B$3*Assumptions!$B$10</f>
        <v>373.868125367415</v>
      </c>
      <c r="F25" s="0" t="n">
        <f aca="false">(SUMPRODUCT(DCF_Base!$C$19:$L$19/(1+$A$25/100)^DCF_Base!$C$4:$L$4)+MAX(0,MIN(IF($A$25&gt;$F$22,DCF_Base!$L$19*(1+$F$22/100)/(($A$25-$F$22)/100),DCF_Base!$L$19*DCF_Base!$B$29),DCF_Base!$L$19*DCF_Base!$B$29))/(1+$A$25/100)^DCF_Base!$L$4+Assumptions!$B$5-Assumptions!$B$4)/Assumptions!$B$3*Assumptions!$B$10</f>
        <v>373.868125367415</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302.015387596161</v>
      </c>
      <c r="C26" s="0" t="n">
        <f aca="false">(SUMPRODUCT(DCF_Base!$C$19:$L$19/(1+$A$26/100)^DCF_Base!$C$4:$L$4)+MAX(0,MIN(IF($A$26&gt;$C$22,DCF_Base!$L$19*(1+$C$22/100)/(($A$26-$C$22)/100),DCF_Base!$L$19*DCF_Base!$B$29),DCF_Base!$L$19*DCF_Base!$B$29))/(1+$A$26/100)^DCF_Base!$L$4+Assumptions!$B$5-Assumptions!$B$4)/Assumptions!$B$3*Assumptions!$B$10</f>
        <v>313.382387600099</v>
      </c>
      <c r="D26" s="0" t="n">
        <f aca="false">(SUMPRODUCT(DCF_Base!$C$19:$L$19/(1+$A$26/100)^DCF_Base!$C$4:$L$4)+MAX(0,MIN(IF($A$26&gt;$D$22,DCF_Base!$L$19*(1+$D$22/100)/(($A$26-$D$22)/100),DCF_Base!$L$19*DCF_Base!$B$29),DCF_Base!$L$19*DCF_Base!$B$29))/(1+$A$26/100)^DCF_Base!$L$4+Assumptions!$B$5-Assumptions!$B$4)/Assumptions!$B$3*Assumptions!$B$10</f>
        <v>326.264987604562</v>
      </c>
      <c r="E26" s="0" t="n">
        <f aca="false">(SUMPRODUCT(DCF_Base!$C$19:$L$19/(1+$A$26/100)^DCF_Base!$C$4:$L$4)+MAX(0,MIN(IF($A$26&gt;$E$22,DCF_Base!$L$19*(1+$E$22/100)/(($A$26-$E$22)/100),DCF_Base!$L$19*DCF_Base!$B$29),DCF_Base!$L$19*DCF_Base!$B$29))/(1+$A$26/100)^DCF_Base!$L$4+Assumptions!$B$5-Assumptions!$B$4)/Assumptions!$B$3*Assumptions!$B$10</f>
        <v>340.987959038233</v>
      </c>
      <c r="F26" s="0" t="n">
        <f aca="false">(SUMPRODUCT(DCF_Base!$C$19:$L$19/(1+$A$26/100)^DCF_Base!$C$4:$L$4)+MAX(0,MIN(IF($A$26&gt;$F$22,DCF_Base!$L$19*(1+$F$22/100)/(($A$26-$F$22)/100),DCF_Base!$L$19*DCF_Base!$B$29),DCF_Base!$L$19*DCF_Base!$B$29))/(1+$A$26/100)^DCF_Base!$L$4+Assumptions!$B$5-Assumptions!$B$4)/Assumptions!$B$3*Assumptions!$B$10</f>
        <v>345.00331488378</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263.241285785623</v>
      </c>
      <c r="C27" s="0" t="n">
        <f aca="false">(SUMPRODUCT(DCF_Base!$C$19:$L$19/(1+$A$27/100)^DCF_Base!$C$4:$L$4)+MAX(0,MIN(IF($A$27&gt;$C$22,DCF_Base!$L$19*(1+$C$22/100)/(($A$27-$C$22)/100),DCF_Base!$L$19*DCF_Base!$B$29),DCF_Base!$L$19*DCF_Base!$B$29))/(1+$A$27/100)^DCF_Base!$L$4+Assumptions!$B$5-Assumptions!$B$4)/Assumptions!$B$3*Assumptions!$B$10</f>
        <v>271.574566572498</v>
      </c>
      <c r="D27" s="0" t="n">
        <f aca="false">(SUMPRODUCT(DCF_Base!$C$19:$L$19/(1+$A$27/100)^DCF_Base!$C$4:$L$4)+MAX(0,MIN(IF($A$27&gt;$D$22,DCF_Base!$L$19*(1+$D$22/100)/(($A$27-$D$22)/100),DCF_Base!$L$19*DCF_Base!$B$29),DCF_Base!$L$19*DCF_Base!$B$29))/(1+$A$27/100)^DCF_Base!$L$4+Assumptions!$B$5-Assumptions!$B$4)/Assumptions!$B$3*Assumptions!$B$10</f>
        <v>280.888233334298</v>
      </c>
      <c r="E27" s="0" t="n">
        <f aca="false">(SUMPRODUCT(DCF_Base!$C$19:$L$19/(1+$A$27/100)^DCF_Base!$C$4:$L$4)+MAX(0,MIN(IF($A$27&gt;$E$22,DCF_Base!$L$19*(1+$E$22/100)/(($A$27-$E$22)/100),DCF_Base!$L$19*DCF_Base!$B$29),DCF_Base!$L$19*DCF_Base!$B$29))/(1+$A$27/100)^DCF_Base!$L$4+Assumptions!$B$5-Assumptions!$B$4)/Assumptions!$B$3*Assumptions!$B$10</f>
        <v>291.366108441324</v>
      </c>
      <c r="F27" s="0" t="n">
        <f aca="false">(SUMPRODUCT(DCF_Base!$C$19:$L$19/(1+$A$27/100)^DCF_Base!$C$4:$L$4)+MAX(0,MIN(IF($A$27&gt;$F$22,DCF_Base!$L$19*(1+$F$22/100)/(($A$27-$F$22)/100),DCF_Base!$L$19*DCF_Base!$B$29),DCF_Base!$L$19*DCF_Base!$B$29))/(1+$A$27/100)^DCF_Base!$L$4+Assumptions!$B$5-Assumptions!$B$4)/Assumptions!$B$3*Assumptions!$B$10</f>
        <v>303.241033562619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2026-10-02T00:20:41Z</dcterms:created>
  <dc:creator>openpyxl</dc:creator>
  <dc:description/>
  <dc:language>en-NZ</dc:language>
  <cp:lastModifiedBy/>
  <dcterms:modified xsi:type="dcterms:W3CDTF">2026-10-02T00:20:41Z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