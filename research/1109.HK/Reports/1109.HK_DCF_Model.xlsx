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<sst xmlns="http://schemas.openxmlformats.org/spreadsheetml/2006/main" count="354" uniqueCount="164">
  <si>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</si>
  <si>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1109.HK</t>
  </si>
  <si>
    <t xml:space="preserve">Company</t>
  </si>
  <si>
    <t xml:space="preserve">China Resources Land Limited</t>
  </si>
  <si>
    <t xml:space="preserve">Valuation date</t>
  </si>
  <si>
    <t xml:space="preserve">2026-10-12</t>
  </si>
  <si>
    <t xml:space="preserve">Current price</t>
  </si>
  <si>
    <t xml:space="preserve">Price as of</t>
  </si>
  <si>
    <t xml:space="preserve">2026-10-09T08:08:06Z regular close (HKEX; Friday close, 2026-10-12 is a Monday before the Hong Kong open at fetch time)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</si>
  <si>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</si>
  <si>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</si>
  <si>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</si>
  <si>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</si>
  <si>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</si>
  <si>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</si>
  <si>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</si>
  <si>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</si>
  <si>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</si>
  <si>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</si>
  <si>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</si>
  <si>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</si>
  <si>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</si>
  <si>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2026-10-11T17:04:44Z</t>
  </si>
  <si>
    <t xml:space="preserve">Drivers file</t>
  </si>
  <si>
    <t xml:space="preserve">1109.HK_Drivers.json</t>
  </si>
  <si>
    <t xml:space="preserve">Convention</t>
  </si>
  <si>
    <t xml:space="preserve">Percents stored as percents; formulas divide by 100. Blue = input, green = link, black = formula.</t>
  </si>
  <si>
    <t xml:space="preserve">Methodology</t>
  </si>
  <si>
    <t xml:space="preserve">summary: A consolidated owner-FCF DCF on attributable cash earnings, with the three segments projected separately and blended. The investment-property portfolio (RMB300bn at fair value) is valued through its rental flows, not added at appraisal value, and the development business is valued on the cash margin it will actually book, not on 'core' profit that adds back impairments. Combined tax-plus-NCI leakage, leases as debt, a CNY-built 7% WACC, and a terminal cap set for a mixed landlord/developer. The result is deliberately below both attributable book (CNY41/share) and a cap-rate NAV, because the equity sits behind RMB174bn of net debt and the development business earns less than its cost of capital at current margins; what the market pays above the DCF value is a bet on cheap SOE debt being a permanent subsidy and on the malls being worth appraisal value to a buyer.
key_risks_to_valuation: Development cash margin: each 1pp on ~RMB160bn of development revenue is ~RMB1.6bn of EBIT (~RMB0.8bn attributable), ~CNY1.5/share of value at the terminal multiple; Mall rental growth and the 127-mall target: the rental segment is 60% of terminal EBIT; a 2pp lower rental CAGR removes roughly a tenth of the base value; Tax-plus-NCI leakage: modelled falling from 52% to 45.5%; if LAT on development and project-partner NCI do not fall with the mix shift, attributable NOPAT is ~5% lower every year; Net debt pairing: attributable flows against 100% of consolidated debt is conservative by the NCI share of project-company debt; the excluded RMB24.6bn of net NCI/related-party receivables (~HK$4/share) is the offset held out; Terminal multiple: 18x vs Gordon 20.4x; a landlord-style 22x adds ~CNY4/share, a developer-style 14x removes ~CNY5/share; Currency: value is built in CNY and converted at HKDCNY 0.8513; a 5% CNY depreciation against the HKD peg lowers every HKD figure by 5%; Fair-value gains (RMB5.9bn FY2025, 5.4bn H1 FY2026) are excluded from EBITDA; the CSV's EBITDA series includes them, so screens that read it will show a higher margin than the model uses</t>
  </si>
  <si>
    <t xml:space="preserve">Data sources</t>
  </si>
  <si>
    <t xml:space="preserve">price: Yahoo Finance chart API at inputs.price_as_of (HKEX regular close); 52-week range 26.70-39.88; all-time high HK$39.88 on 2026-05-11
financials: 1109.HK_Metrics.csv (FY2018-FY2025 annual, H1 FY2023-H1 FY2026 interim; CNY millions; FY2024 restated per the FY2025 annual report after a common-control combination); FY2025 annual report segment note 4 (lines 10240-10271), income statement (7290-7307), selected financial information (583-609), unbooked sales (1302-1308); H1 FY2026 interim report balance sheet (2677-2790), segment note 4 (3169-3285), core net profit table (560-581)
fx: Yahoo HKDCNY=X, CNY=X, HKD=X on 2026-10-12; parity against the company's RMB0.200 = HK$0.231 interim dividend conversion of 28 Aug 2026
qualitative: 1109.HK_Analysis.json (2026-10-12): segment mix, three-growth-curve strategy, ratings, CICC FY2026 estimate, mall pipeline, sector stress</t>
  </si>
  <si>
    <t xml:space="preserve">Scenario narrative: bear</t>
  </si>
  <si>
    <t xml:space="preserve">No bottom: national new-home sales fall 7-8%/yr through 2027 and CR Land's consolidated deliveries halve to ~RMB105bn with cash margins of 5-7% after further impairments on 2021-23 land; Vanke/New World-style contagion keeps buyer confidence and land values falling. Consumer softness slows mall reversions to low single digits and the pipeline is cut; 1209.HK stalls. Leakage stays at 48% because project-company losses give no group tax relief. The CRH-linked loan covenants and 40% gearing are not a solvency event in this case (funding cost stays ~3%) but the equity carries RMB174bn of debt against a shrinking FCF of ~RMB13-15bn, and the exit multiple is a developer's 14x, not a landlord's.</t>
  </si>
  <si>
    <t xml:space="preserve">Scenario narrative: base</t>
  </si>
  <si>
    <t xml:space="preserve">The residential market keeps shrinking into 2027 but CR Land's booked development revenue settles near RMB160bn (from 238bn) at an 8-10% cash EBIT margin, as 2021-23 land clears at 10% gross margins and the core-city land bought since 2024 delivers at better prices. The malls do the work: rental revenue compounds ~10%/yr to 2030 as the network grows from 98 to ~127 and retail sales keep outrunning national consumption, lifting mall rental from 51% to 60% of group EBIT and the consolidated EBITDA margin from 16.7% to 22.6% purely by mix. Asset-light grows mid-single digits. Attributable owner FCF runs ~RMB17-22bn/yr against RMB174bn of net debt that is refinanced at ~2.7% on the strength of the CRH parent and the A-/BBB+/Baa1 ratings. The axes that decide the value are the development cash margin, the pace of mall openings and rent reversions, and whether the tax-plus-NCI leakage falls as development shrinks.</t>
  </si>
  <si>
    <t xml:space="preserve">Scenario narrative: bull</t>
  </si>
  <si>
    <t xml:space="preserve">The market bottoms in 2027 and CR Land takes share from retreating private developers, holding contracted sales at 240-260bn and consolidated deliveries at 180-195bn with cash margins recovering to 13% on 'good house' pricing and cheaper land. The mall pipeline is delivered early with positive reversions (rental +15%/yr to 2028), the REIT/Pre-REIT flywheel recycles mature malls at NAV, and 1209.HK compounds third-party contracts. Group EBITDA margin reaches 25%, attributable FCF ~RMB30bn by FY2030, and a terminal mix with more than half of EBIT from rental earns a 20x FCF exit. This needs sales stabilisation, margin recovery and mall growth to all land together.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</si>
  <si>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</si>
  <si>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</si>
  <si>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</si>
  <si>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</si>
  <si>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</si>
  <si>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</si>
  <si>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</si>
  <si>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</si>
  <si>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</si>
  <si>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</si>
  <si>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</si>
  <si>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</si>
  <si>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</si>
  <si>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</si>
  <si>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</si>
  <si>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</si>
  <si>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</si>
  <si>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</si>
  <si>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</si>
  <si>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</si>
  <si>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</si>
  <si>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</si>
  <si>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</si>
  <si>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</si>
  <si>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</si>
  <si>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</si>
  <si>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</si>
  <si>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</si>
  <si>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</si>
  <si>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</si>
  <si>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</si>
  <si>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</si>
  <si>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</si>
  <si>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</si>
  <si>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</si>
  <si>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</si>
  <si>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</si>
  <si>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</si>
  <si>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</si>
  <si>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</si>
  <si>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</si>
  <si>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</si>
  <si>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</si>
  <si>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</si>
  <si>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</si>
  <si>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</si>
  <si>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</si>
  <si>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</si>
  <si>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</si>
  <si>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</si>
  <si>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</si>
  <si>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</si>
  <si>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</si>
  <si>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</si>
  <si>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</si>
  <si>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</si>
  <si>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</si>
  <si>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</si>
  <si>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</si>
  <si>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</si>
  <si>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</si>
  <si>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</si>
  <si>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</si>
  <si>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</si>
  <si>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</si>
  <si>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</si>
  <si>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</si>
  <si>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</si>
  <si>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</si>
  <si>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</si>
  <si>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</si>
  <si>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</si>
  <si>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1109.HK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</si>
  <si>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</si>
  <si>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</si>
  <si>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</si>
  <si>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</si>
  <si>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</si>
  <si>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</si>
  <si>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</si>
  <si>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</si>
  <si>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</si>
  <si>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</si>
  <si>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</si>
  <si>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</si>
  <si>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</si>
  <si>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</si>
  <si>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</si>
  <si>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</si>
  <si>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</si>
  <si>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</si>
  <si>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</si>
  <si>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</si>
  <si>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</si>
  <si>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</si>
  <si>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</si>
  <si>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</si>
  <si>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</si>
  <si>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</si>
  <si>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</si>
  <si>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</si>
  <si>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</si>
  <si>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</si>
  <si>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1109.HK owner-FCF component DCF: base case (millions, CNY)</t>
  </si>
  <si>
    <t xml:space="preserve">1109.HK owner-FCF component DCF: bull case (millions, CNY)</t>
  </si>
  <si>
    <t xml:space="preserve">1109.HK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</si>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</sst>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30.44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121188.926</v>
      </c>
      <c r="C2" s="0" t="n">
        <v>-68607.237</v>
      </c>
      <c r="D2" s="0" t="n">
        <v>52581.689</v>
      </c>
      <c r="E2" s="0" t="n">
        <v>43.4</v>
      </c>
      <c r="F2" s="0" t="n">
        <v>53468.98</v>
      </c>
      <c r="G2" s="0" t="n">
        <v>44.1</v>
      </c>
      <c r="H2" s="0" t="n">
        <v>54090.733</v>
      </c>
      <c r="I2" s="0" t="n">
        <v>24237.875</v>
      </c>
      <c r="J2" s="0" t="n">
        <v>20</v>
      </c>
      <c r="K2" s="0" t="n">
        <v>3.5</v>
      </c>
      <c r="L2" s="0" t="n">
        <v>27234.933</v>
      </c>
      <c r="M2" s="0" t="n">
        <v>14199.464</v>
      </c>
      <c r="N2" s="0" t="n">
        <v>13035.469</v>
      </c>
      <c r="O2" s="0" t="n">
        <v>138375.807</v>
      </c>
      <c r="P2" s="0" t="n">
        <v>655743.327</v>
      </c>
      <c r="Q2" s="0" t="n">
        <v>475038.586</v>
      </c>
      <c r="R2" s="0" t="n">
        <v>132211.715</v>
      </c>
      <c r="S2" s="0" t="n">
        <v>70969.426</v>
      </c>
      <c r="T2" s="0" t="n">
        <v>6930.94</v>
      </c>
      <c r="U2" s="0" t="n">
        <v>0</v>
      </c>
      <c r="AA2" s="0" t="s">
        <v>18</v>
      </c>
      <c r="AB2" s="0" t="s">
        <v>14</v>
      </c>
    </row>
    <row r="3" customFormat="false" ht="15" hidden="false" customHeight="false" outlineLevel="0" collapsed="false">
      <c r="A3" s="0" t="s">
        <v>65</v>
      </c>
      <c r="B3" s="0" t="n">
        <v>147735.949</v>
      </c>
      <c r="C3" s="0" t="n">
        <v>-91735.973</v>
      </c>
      <c r="D3" s="0" t="n">
        <v>55999.976</v>
      </c>
      <c r="E3" s="0" t="n">
        <v>37.9</v>
      </c>
      <c r="F3" s="0" t="n">
        <v>62320.865</v>
      </c>
      <c r="G3" s="0" t="n">
        <v>42.2</v>
      </c>
      <c r="H3" s="0" t="n">
        <v>63095.981</v>
      </c>
      <c r="I3" s="0" t="n">
        <v>28672.276</v>
      </c>
      <c r="J3" s="0" t="n">
        <v>19.4</v>
      </c>
      <c r="K3" s="0" t="n">
        <v>4.12</v>
      </c>
      <c r="L3" s="0" t="n">
        <v>32705.886</v>
      </c>
      <c r="M3" s="0" t="n">
        <v>16060.098</v>
      </c>
      <c r="N3" s="0" t="n">
        <v>16645.788</v>
      </c>
      <c r="O3" s="0" t="n">
        <v>173574.132</v>
      </c>
      <c r="P3" s="0" t="n">
        <v>762107.846</v>
      </c>
      <c r="Q3" s="0" t="n">
        <v>528635.276</v>
      </c>
      <c r="R3" s="0" t="n">
        <v>134544.597</v>
      </c>
      <c r="S3" s="0" t="n">
        <v>63699.409</v>
      </c>
      <c r="T3" s="0" t="n">
        <v>6964.27</v>
      </c>
      <c r="U3" s="0" t="n">
        <v>0</v>
      </c>
      <c r="AA3" s="0" t="s">
        <v>18</v>
      </c>
      <c r="AB3" s="0" t="s">
        <v>14</v>
      </c>
    </row>
    <row r="4" customFormat="false" ht="15" hidden="false" customHeight="false" outlineLevel="0" collapsed="false">
      <c r="A4" s="0" t="s">
        <v>66</v>
      </c>
      <c r="B4" s="0" t="n">
        <v>179587.269</v>
      </c>
      <c r="C4" s="0" t="n">
        <v>-124172.054</v>
      </c>
      <c r="D4" s="0" t="n">
        <v>55415.215</v>
      </c>
      <c r="E4" s="0" t="n">
        <v>30.9</v>
      </c>
      <c r="F4" s="0" t="n">
        <v>61456.122</v>
      </c>
      <c r="G4" s="0" t="n">
        <v>34.2</v>
      </c>
      <c r="H4" s="0" t="n">
        <v>62382.578</v>
      </c>
      <c r="I4" s="0" t="n">
        <v>29809.959</v>
      </c>
      <c r="J4" s="0" t="n">
        <v>16.6</v>
      </c>
      <c r="K4" s="0" t="n">
        <v>4.18</v>
      </c>
      <c r="L4" s="0" t="n">
        <v>22327.73</v>
      </c>
      <c r="M4" s="0" t="n">
        <v>16962.325</v>
      </c>
      <c r="N4" s="0" t="n">
        <v>5365.405</v>
      </c>
      <c r="O4" s="0" t="n">
        <v>203458.128</v>
      </c>
      <c r="P4" s="0" t="n">
        <v>869041.4</v>
      </c>
      <c r="Q4" s="0" t="n">
        <v>612799.222</v>
      </c>
      <c r="R4" s="0" t="n">
        <v>164984.975</v>
      </c>
      <c r="S4" s="0" t="n">
        <v>87534.176</v>
      </c>
      <c r="T4" s="0" t="n">
        <v>7130.94</v>
      </c>
      <c r="U4" s="0" t="n">
        <v>0</v>
      </c>
      <c r="AA4" s="0" t="s">
        <v>18</v>
      </c>
      <c r="AB4" s="0" t="s">
        <v>14</v>
      </c>
    </row>
    <row r="5" customFormat="false" ht="15" hidden="false" customHeight="false" outlineLevel="0" collapsed="false">
      <c r="A5" s="0" t="s">
        <v>67</v>
      </c>
      <c r="B5" s="0" t="n">
        <v>212108.358</v>
      </c>
      <c r="C5" s="0" t="n">
        <v>-154908.702</v>
      </c>
      <c r="D5" s="0" t="n">
        <v>57199.656</v>
      </c>
      <c r="E5" s="0" t="n">
        <v>27</v>
      </c>
      <c r="F5" s="0" t="n">
        <v>61762.985</v>
      </c>
      <c r="G5" s="0" t="n">
        <v>29.1</v>
      </c>
      <c r="H5" s="0" t="n">
        <v>63068.749</v>
      </c>
      <c r="I5" s="0" t="n">
        <v>32401.239</v>
      </c>
      <c r="J5" s="0" t="n">
        <v>15.3</v>
      </c>
      <c r="K5" s="0" t="n">
        <v>4.54</v>
      </c>
      <c r="L5" s="0" t="n">
        <v>7028.263</v>
      </c>
      <c r="M5" s="0" t="n">
        <v>29632.258</v>
      </c>
      <c r="N5" s="0" t="n">
        <v>-22603.995</v>
      </c>
      <c r="O5" s="0" t="n">
        <v>226529.27</v>
      </c>
      <c r="P5" s="0" t="n">
        <v>949804.264</v>
      </c>
      <c r="Q5" s="0" t="n">
        <v>657728.29</v>
      </c>
      <c r="R5" s="0" t="n">
        <v>179974.851</v>
      </c>
      <c r="S5" s="0" t="n">
        <v>106772.788</v>
      </c>
      <c r="T5" s="0" t="n">
        <v>7130.94</v>
      </c>
      <c r="U5" s="0" t="n">
        <v>0</v>
      </c>
      <c r="AA5" s="0" t="s">
        <v>18</v>
      </c>
      <c r="AB5" s="0" t="s">
        <v>14</v>
      </c>
    </row>
    <row r="6" customFormat="false" ht="15" hidden="false" customHeight="false" outlineLevel="0" collapsed="false">
      <c r="A6" s="0" t="s">
        <v>68</v>
      </c>
      <c r="B6" s="0" t="n">
        <v>207061.119</v>
      </c>
      <c r="C6" s="0" t="n">
        <v>-152770.509</v>
      </c>
      <c r="D6" s="0" t="n">
        <v>54290.61</v>
      </c>
      <c r="E6" s="0" t="n">
        <v>26.2</v>
      </c>
      <c r="F6" s="0" t="n">
        <v>57208.873</v>
      </c>
      <c r="G6" s="0" t="n">
        <v>27.6</v>
      </c>
      <c r="H6" s="0" t="n">
        <v>58542.096</v>
      </c>
      <c r="I6" s="0" t="n">
        <v>28091.865</v>
      </c>
      <c r="J6" s="0" t="n">
        <v>13.6</v>
      </c>
      <c r="K6" s="0" t="n">
        <v>3.94</v>
      </c>
      <c r="L6" s="0" t="n">
        <v>1229.79</v>
      </c>
      <c r="M6" s="0" t="n">
        <v>23850.603</v>
      </c>
      <c r="N6" s="0" t="n">
        <v>-22620.813</v>
      </c>
      <c r="O6" s="0" t="n">
        <v>244047.069</v>
      </c>
      <c r="P6" s="0" t="n">
        <v>1081331.901</v>
      </c>
      <c r="Q6" s="0" t="n">
        <v>739624.851</v>
      </c>
      <c r="R6" s="0" t="n">
        <v>217103.387</v>
      </c>
      <c r="S6" s="0" t="n">
        <v>95544.576</v>
      </c>
      <c r="T6" s="0" t="n">
        <v>7130.94</v>
      </c>
      <c r="U6" s="0" t="n">
        <v>0</v>
      </c>
      <c r="AA6" s="0" t="s">
        <v>18</v>
      </c>
      <c r="AB6" s="0" t="s">
        <v>14</v>
      </c>
    </row>
    <row r="7" customFormat="false" ht="15" hidden="false" customHeight="false" outlineLevel="0" collapsed="false">
      <c r="A7" s="0" t="s">
        <v>69</v>
      </c>
      <c r="B7" s="0" t="n">
        <v>251137.103</v>
      </c>
      <c r="C7" s="0" t="n">
        <v>-187975.189</v>
      </c>
      <c r="D7" s="0" t="n">
        <v>63161.914</v>
      </c>
      <c r="E7" s="0" t="n">
        <v>25.2</v>
      </c>
      <c r="F7" s="0" t="n">
        <v>68181.812</v>
      </c>
      <c r="G7" s="0" t="n">
        <v>27.1</v>
      </c>
      <c r="H7" s="0" t="n">
        <v>69494.393</v>
      </c>
      <c r="I7" s="0" t="n">
        <v>31365.372</v>
      </c>
      <c r="J7" s="0" t="n">
        <v>12.5</v>
      </c>
      <c r="K7" s="0" t="n">
        <v>4.4</v>
      </c>
      <c r="L7" s="0" t="n">
        <v>47352.123</v>
      </c>
      <c r="M7" s="0" t="n">
        <v>24030.138</v>
      </c>
      <c r="N7" s="0" t="n">
        <v>23321.985</v>
      </c>
      <c r="O7" s="0" t="n">
        <v>264867.183</v>
      </c>
      <c r="P7" s="0" t="n">
        <v>1191177.109</v>
      </c>
      <c r="Q7" s="0" t="n">
        <v>807028.055</v>
      </c>
      <c r="R7" s="0" t="n">
        <v>232279.337</v>
      </c>
      <c r="S7" s="0" t="n">
        <v>112675.092</v>
      </c>
      <c r="T7" s="0" t="n">
        <v>7130.94</v>
      </c>
      <c r="U7" s="0" t="n">
        <v>0</v>
      </c>
      <c r="AA7" s="0" t="s">
        <v>18</v>
      </c>
      <c r="AB7" s="0" t="s">
        <v>14</v>
      </c>
    </row>
    <row r="8" customFormat="false" ht="15" hidden="false" customHeight="false" outlineLevel="0" collapsed="false">
      <c r="A8" s="0" t="s">
        <v>70</v>
      </c>
      <c r="B8" s="0" t="n">
        <v>278905.492</v>
      </c>
      <c r="C8" s="0" t="n">
        <v>-218549.467</v>
      </c>
      <c r="D8" s="0" t="n">
        <v>60356.025</v>
      </c>
      <c r="E8" s="0" t="n">
        <v>21.6</v>
      </c>
      <c r="F8" s="0" t="n">
        <v>61392.539</v>
      </c>
      <c r="G8" s="0" t="n">
        <v>22</v>
      </c>
      <c r="H8" s="0" t="n">
        <v>62928.271</v>
      </c>
      <c r="I8" s="0" t="n">
        <v>25532.747</v>
      </c>
      <c r="J8" s="0" t="n">
        <v>9.2</v>
      </c>
      <c r="K8" s="0" t="n">
        <v>3.58</v>
      </c>
      <c r="L8" s="0" t="n">
        <v>46540.185</v>
      </c>
      <c r="M8" s="0" t="n">
        <v>15940.245</v>
      </c>
      <c r="N8" s="0" t="n">
        <v>30599.94</v>
      </c>
      <c r="O8" s="0" t="n">
        <v>272720.057</v>
      </c>
      <c r="P8" s="0" t="n">
        <v>1129501.287</v>
      </c>
      <c r="Q8" s="0" t="n">
        <v>732548.981</v>
      </c>
      <c r="R8" s="0" t="n">
        <v>260118.593</v>
      </c>
      <c r="S8" s="0" t="n">
        <v>131380.988</v>
      </c>
      <c r="T8" s="0" t="n">
        <v>7130.94</v>
      </c>
      <c r="U8" s="0" t="n">
        <v>0</v>
      </c>
      <c r="AA8" s="0" t="s">
        <v>18</v>
      </c>
      <c r="AB8" s="0" t="s">
        <v>14</v>
      </c>
    </row>
    <row r="9" customFormat="false" ht="15" hidden="false" customHeight="false" outlineLevel="0" collapsed="false">
      <c r="A9" s="0" t="s">
        <v>71</v>
      </c>
      <c r="B9" s="0" t="n">
        <v>281437.885</v>
      </c>
      <c r="C9" s="0" t="n">
        <v>-221693.502</v>
      </c>
      <c r="D9" s="0" t="n">
        <v>59744.383</v>
      </c>
      <c r="E9" s="0" t="n">
        <v>21.2</v>
      </c>
      <c r="F9" s="0" t="n">
        <v>56435.889</v>
      </c>
      <c r="G9" s="0" t="n">
        <v>20.1</v>
      </c>
      <c r="H9" s="0" t="n">
        <v>57967.273</v>
      </c>
      <c r="I9" s="0" t="n">
        <v>25417.534</v>
      </c>
      <c r="J9" s="0" t="n">
        <v>9</v>
      </c>
      <c r="K9" s="0" t="n">
        <v>3.56</v>
      </c>
      <c r="L9" s="0" t="n">
        <v>38793.151</v>
      </c>
      <c r="M9" s="0" t="n">
        <v>6787.676</v>
      </c>
      <c r="N9" s="0" t="n">
        <v>32005.475</v>
      </c>
      <c r="O9" s="0" t="n">
        <v>289483.727</v>
      </c>
      <c r="P9" s="0" t="n">
        <v>1078700.55</v>
      </c>
      <c r="Q9" s="0" t="n">
        <v>659384.869</v>
      </c>
      <c r="R9" s="0" t="n">
        <v>281469.484</v>
      </c>
      <c r="S9" s="0" t="n">
        <v>115449.212</v>
      </c>
      <c r="T9" s="0" t="n">
        <v>7130.94</v>
      </c>
      <c r="U9" s="0" t="n">
        <v>0</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30.44</v>
      </c>
    </row>
    <row r="3" customFormat="false" ht="15" hidden="false" customHeight="false" outlineLevel="0" collapsed="false">
      <c r="A3" s="0" t="s">
        <v>75</v>
      </c>
      <c r="B3" s="3" t="n">
        <v>7130.94</v>
      </c>
    </row>
    <row r="4" customFormat="false" ht="15" hidden="false" customHeight="false" outlineLevel="0" collapsed="false">
      <c r="A4" s="0" t="s">
        <v>76</v>
      </c>
      <c r="B4" s="3" t="n">
        <v>174419</v>
      </c>
    </row>
    <row r="5" customFormat="false" ht="15" hidden="false" customHeight="false" outlineLevel="0" collapsed="false">
      <c r="A5" s="0" t="s">
        <v>77</v>
      </c>
      <c r="B5" s="3" t="n">
        <v>11066.2</v>
      </c>
    </row>
    <row r="6" customFormat="false" ht="15" hidden="false" customHeight="false" outlineLevel="0" collapsed="false">
      <c r="A6" s="0" t="s">
        <v>78</v>
      </c>
      <c r="B6" s="3" t="n">
        <v>15</v>
      </c>
    </row>
    <row r="7" customFormat="false" ht="15" hidden="false" customHeight="false" outlineLevel="0" collapsed="false">
      <c r="A7" s="0" t="s">
        <v>79</v>
      </c>
      <c r="B7" s="3" t="n">
        <v>281437.9</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1.1747</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-22.9</v>
      </c>
      <c r="D13" s="3" t="n">
        <v>-10.27</v>
      </c>
      <c r="E13" s="3" t="n">
        <v>-7.57</v>
      </c>
      <c r="F13" s="3" t="n">
        <v>-4.42</v>
      </c>
      <c r="G13" s="3" t="n">
        <v>-2.45</v>
      </c>
      <c r="H13" s="3" t="n">
        <v>-1.14</v>
      </c>
      <c r="I13" s="3" t="n">
        <v>-0.35</v>
      </c>
      <c r="J13" s="3" t="n">
        <v>0.28</v>
      </c>
      <c r="K13" s="3" t="n">
        <v>0.85</v>
      </c>
      <c r="L13" s="3" t="n">
        <v>0.86</v>
      </c>
    </row>
    <row r="14" customFormat="false" ht="15" hidden="false" customHeight="false" outlineLevel="0" collapsed="false">
      <c r="A14" s="0" t="s">
        <v>96</v>
      </c>
      <c r="C14" s="3" t="n">
        <v>14.75</v>
      </c>
      <c r="D14" s="3" t="n">
        <v>15.51</v>
      </c>
      <c r="E14" s="3" t="n">
        <v>16.81</v>
      </c>
      <c r="F14" s="3" t="n">
        <v>18.11</v>
      </c>
      <c r="G14" s="3" t="n">
        <v>19.1</v>
      </c>
      <c r="H14" s="3" t="n">
        <v>19.93</v>
      </c>
      <c r="I14" s="3" t="n">
        <v>20.67</v>
      </c>
      <c r="J14" s="3" t="n">
        <v>21.01</v>
      </c>
      <c r="K14" s="3" t="n">
        <v>21.22</v>
      </c>
      <c r="L14" s="3" t="n">
        <v>21.43</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0.7</v>
      </c>
      <c r="D17" s="3" t="n">
        <v>0.7</v>
      </c>
      <c r="E17" s="3" t="n">
        <v>0.7</v>
      </c>
      <c r="F17" s="3" t="n">
        <v>0.7</v>
      </c>
      <c r="G17" s="3" t="n">
        <v>0.7</v>
      </c>
      <c r="H17" s="3" t="n">
        <v>0.7</v>
      </c>
      <c r="I17" s="3" t="n">
        <v>0.7</v>
      </c>
      <c r="J17" s="3" t="n">
        <v>0.7</v>
      </c>
      <c r="K17" s="3" t="n">
        <v>0.7</v>
      </c>
      <c r="L17" s="3" t="n">
        <v>0.7</v>
      </c>
    </row>
    <row r="18" customFormat="false" ht="15" hidden="false" customHeight="false" outlineLevel="0" collapsed="false">
      <c r="A18" s="0" t="s">
        <v>100</v>
      </c>
      <c r="C18" s="3" t="n">
        <v>3</v>
      </c>
      <c r="D18" s="3" t="n">
        <v>3</v>
      </c>
      <c r="E18" s="3" t="n">
        <v>3</v>
      </c>
      <c r="F18" s="3" t="n">
        <v>3</v>
      </c>
      <c r="G18" s="3" t="n">
        <v>3</v>
      </c>
      <c r="H18" s="3" t="n">
        <v>3</v>
      </c>
      <c r="I18" s="3" t="n">
        <v>3</v>
      </c>
      <c r="J18" s="3" t="n">
        <v>3</v>
      </c>
      <c r="K18" s="3" t="n">
        <v>3</v>
      </c>
      <c r="L18" s="3" t="n">
        <v>3</v>
      </c>
    </row>
    <row r="19" customFormat="false" ht="15" hidden="false" customHeight="false" outlineLevel="0" collapsed="false">
      <c r="A19" s="0" t="s">
        <v>101</v>
      </c>
      <c r="C19" s="3" t="n">
        <v>50</v>
      </c>
      <c r="D19" s="3" t="n">
        <v>49</v>
      </c>
      <c r="E19" s="3" t="n">
        <v>48</v>
      </c>
      <c r="F19" s="3" t="n">
        <v>48</v>
      </c>
      <c r="G19" s="3" t="n">
        <v>48</v>
      </c>
      <c r="H19" s="3" t="n">
        <v>48</v>
      </c>
      <c r="I19" s="3" t="n">
        <v>48</v>
      </c>
      <c r="J19" s="3" t="n">
        <v>48</v>
      </c>
      <c r="K19" s="3" t="n">
        <v>48</v>
      </c>
      <c r="L19" s="3" t="n">
        <v>48</v>
      </c>
    </row>
    <row r="20" customFormat="false" ht="15" hidden="false" customHeight="false" outlineLevel="0" collapsed="false">
      <c r="A20" s="0" t="s">
        <v>102</v>
      </c>
      <c r="B20" s="3" t="n">
        <v>7</v>
      </c>
    </row>
    <row r="21" customFormat="false" ht="15" hidden="false" customHeight="false" outlineLevel="0" collapsed="false">
      <c r="A21" s="0" t="s">
        <v>103</v>
      </c>
      <c r="B21" s="3" t="n">
        <v>2</v>
      </c>
    </row>
    <row r="22" customFormat="false" ht="15" hidden="false" customHeight="false" outlineLevel="0" collapsed="false">
      <c r="A22" s="0" t="s">
        <v>104</v>
      </c>
      <c r="B22" s="3" t="n">
        <v>14</v>
      </c>
    </row>
    <row r="23" customFormat="false" ht="15" hidden="false" customHeight="false" outlineLevel="0" collapsed="false">
      <c r="A23" s="0" t="s">
        <v>105</v>
      </c>
      <c r="B23" s="3" t="n">
        <v>-5</v>
      </c>
    </row>
    <row r="24" customFormat="false" ht="15" hidden="false" customHeight="false" outlineLevel="0" collapsed="false">
      <c r="A24" s="0" t="s">
        <v>106</v>
      </c>
      <c r="B24" s="3" t="n">
        <v>0.3</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-20.82</v>
      </c>
      <c r="D27" s="3" t="n">
        <v>-3.86</v>
      </c>
      <c r="E27" s="3" t="n">
        <v>0.21</v>
      </c>
      <c r="F27" s="3" t="n">
        <v>3.03</v>
      </c>
      <c r="G27" s="3" t="n">
        <v>3.4</v>
      </c>
      <c r="H27" s="3" t="n">
        <v>3.07</v>
      </c>
      <c r="I27" s="3" t="n">
        <v>2.82</v>
      </c>
      <c r="J27" s="3" t="n">
        <v>2.7</v>
      </c>
      <c r="K27" s="3" t="n">
        <v>2.59</v>
      </c>
      <c r="L27" s="3" t="n">
        <v>2.49</v>
      </c>
    </row>
    <row r="28" customFormat="false" ht="15" hidden="false" customHeight="false" outlineLevel="0" collapsed="false">
      <c r="A28" s="0" t="s">
        <v>96</v>
      </c>
      <c r="C28" s="3" t="n">
        <v>16.66</v>
      </c>
      <c r="D28" s="3" t="n">
        <v>18.3</v>
      </c>
      <c r="E28" s="3" t="n">
        <v>19.67</v>
      </c>
      <c r="F28" s="3" t="n">
        <v>20.66</v>
      </c>
      <c r="G28" s="3" t="n">
        <v>21.64</v>
      </c>
      <c r="H28" s="3" t="n">
        <v>21.92</v>
      </c>
      <c r="I28" s="3" t="n">
        <v>22.15</v>
      </c>
      <c r="J28" s="3" t="n">
        <v>22.33</v>
      </c>
      <c r="K28" s="3" t="n">
        <v>22.48</v>
      </c>
      <c r="L28" s="3" t="n">
        <v>22.59</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0.7</v>
      </c>
      <c r="D31" s="3" t="n">
        <v>0.7</v>
      </c>
      <c r="E31" s="3" t="n">
        <v>0.7</v>
      </c>
      <c r="F31" s="3" t="n">
        <v>0.7</v>
      </c>
      <c r="G31" s="3" t="n">
        <v>0.7</v>
      </c>
      <c r="H31" s="3" t="n">
        <v>0.7</v>
      </c>
      <c r="I31" s="3" t="n">
        <v>0.7</v>
      </c>
      <c r="J31" s="3" t="n">
        <v>0.7</v>
      </c>
      <c r="K31" s="3" t="n">
        <v>0.7</v>
      </c>
      <c r="L31" s="3" t="n">
        <v>0.7</v>
      </c>
    </row>
    <row r="32" customFormat="false" ht="15" hidden="false" customHeight="false" outlineLevel="0" collapsed="false">
      <c r="A32" s="0" t="s">
        <v>100</v>
      </c>
      <c r="C32" s="3" t="n">
        <v>4</v>
      </c>
      <c r="D32" s="3" t="n">
        <v>4</v>
      </c>
      <c r="E32" s="3" t="n">
        <v>4</v>
      </c>
      <c r="F32" s="3" t="n">
        <v>4</v>
      </c>
      <c r="G32" s="3" t="n">
        <v>4</v>
      </c>
      <c r="H32" s="3" t="n">
        <v>4</v>
      </c>
      <c r="I32" s="3" t="n">
        <v>4</v>
      </c>
      <c r="J32" s="3" t="n">
        <v>4</v>
      </c>
      <c r="K32" s="3" t="n">
        <v>4</v>
      </c>
      <c r="L32" s="3" t="n">
        <v>4</v>
      </c>
    </row>
    <row r="33" customFormat="false" ht="15" hidden="false" customHeight="false" outlineLevel="0" collapsed="false">
      <c r="A33" s="0" t="s">
        <v>101</v>
      </c>
      <c r="C33" s="3" t="n">
        <v>48</v>
      </c>
      <c r="D33" s="3" t="n">
        <v>47.5</v>
      </c>
      <c r="E33" s="3" t="n">
        <v>47</v>
      </c>
      <c r="F33" s="3" t="n">
        <v>46.5</v>
      </c>
      <c r="G33" s="3" t="n">
        <v>46</v>
      </c>
      <c r="H33" s="3" t="n">
        <v>46</v>
      </c>
      <c r="I33" s="3" t="n">
        <v>45.5</v>
      </c>
      <c r="J33" s="3" t="n">
        <v>45.5</v>
      </c>
      <c r="K33" s="3" t="n">
        <v>45.5</v>
      </c>
      <c r="L33" s="3" t="n">
        <v>45.5</v>
      </c>
    </row>
    <row r="34" customFormat="false" ht="15" hidden="false" customHeight="false" outlineLevel="0" collapsed="false">
      <c r="A34" s="0" t="s">
        <v>102</v>
      </c>
      <c r="B34" s="3" t="n">
        <v>7</v>
      </c>
    </row>
    <row r="35" customFormat="false" ht="15" hidden="false" customHeight="false" outlineLevel="0" collapsed="false">
      <c r="A35" s="0" t="s">
        <v>103</v>
      </c>
      <c r="B35" s="3" t="n">
        <v>2</v>
      </c>
    </row>
    <row r="36" customFormat="false" ht="15" hidden="false" customHeight="false" outlineLevel="0" collapsed="false">
      <c r="A36" s="0" t="s">
        <v>104</v>
      </c>
      <c r="B36" s="3" t="n">
        <v>18</v>
      </c>
    </row>
    <row r="37" customFormat="false" ht="15" hidden="false" customHeight="false" outlineLevel="0" collapsed="false">
      <c r="A37" s="0" t="s">
        <v>105</v>
      </c>
      <c r="B37" s="3" t="n">
        <v>-10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-18.73</v>
      </c>
      <c r="D41" s="3" t="n">
        <v>0.45</v>
      </c>
      <c r="E41" s="3" t="n">
        <v>4.85</v>
      </c>
      <c r="F41" s="3" t="n">
        <v>5.91</v>
      </c>
      <c r="G41" s="3" t="n">
        <v>5.11</v>
      </c>
      <c r="H41" s="3" t="n">
        <v>4.2</v>
      </c>
      <c r="I41" s="3" t="n">
        <v>3.93</v>
      </c>
      <c r="J41" s="3" t="n">
        <v>3.77</v>
      </c>
      <c r="K41" s="3" t="n">
        <v>3.49</v>
      </c>
      <c r="L41" s="3" t="n">
        <v>3.3</v>
      </c>
    </row>
    <row r="42" customFormat="false" ht="15" hidden="false" customHeight="false" outlineLevel="0" collapsed="false">
      <c r="A42" s="0" t="s">
        <v>96</v>
      </c>
      <c r="C42" s="3" t="n">
        <v>17.69</v>
      </c>
      <c r="D42" s="3" t="n">
        <v>19.67</v>
      </c>
      <c r="E42" s="3" t="n">
        <v>21.21</v>
      </c>
      <c r="F42" s="3" t="n">
        <v>22.59</v>
      </c>
      <c r="G42" s="3" t="n">
        <v>23.91</v>
      </c>
      <c r="H42" s="3" t="n">
        <v>24.24</v>
      </c>
      <c r="I42" s="3" t="n">
        <v>24.52</v>
      </c>
      <c r="J42" s="3" t="n">
        <v>24.73</v>
      </c>
      <c r="K42" s="3" t="n">
        <v>24.87</v>
      </c>
      <c r="L42" s="3" t="n">
        <v>24.93</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0.7</v>
      </c>
      <c r="D45" s="3" t="n">
        <v>0.7</v>
      </c>
      <c r="E45" s="3" t="n">
        <v>0.7</v>
      </c>
      <c r="F45" s="3" t="n">
        <v>0.7</v>
      </c>
      <c r="G45" s="3" t="n">
        <v>0.7</v>
      </c>
      <c r="H45" s="3" t="n">
        <v>0.7</v>
      </c>
      <c r="I45" s="3" t="n">
        <v>0.7</v>
      </c>
      <c r="J45" s="3" t="n">
        <v>0.7</v>
      </c>
      <c r="K45" s="3" t="n">
        <v>0.7</v>
      </c>
      <c r="L45" s="3" t="n">
        <v>0.7</v>
      </c>
    </row>
    <row r="46" customFormat="false" ht="15" hidden="false" customHeight="false" outlineLevel="0" collapsed="false">
      <c r="A46" s="0" t="s">
        <v>100</v>
      </c>
      <c r="C46" s="3" t="n">
        <v>4.5</v>
      </c>
      <c r="D46" s="3" t="n">
        <v>4.5</v>
      </c>
      <c r="E46" s="3" t="n">
        <v>4.5</v>
      </c>
      <c r="F46" s="3" t="n">
        <v>4.5</v>
      </c>
      <c r="G46" s="3" t="n">
        <v>4.5</v>
      </c>
      <c r="H46" s="3" t="n">
        <v>4.5</v>
      </c>
      <c r="I46" s="3" t="n">
        <v>4.5</v>
      </c>
      <c r="J46" s="3" t="n">
        <v>4.5</v>
      </c>
      <c r="K46" s="3" t="n">
        <v>4.5</v>
      </c>
      <c r="L46" s="3" t="n">
        <v>4.5</v>
      </c>
    </row>
    <row r="47" customFormat="false" ht="15" hidden="false" customHeight="false" outlineLevel="0" collapsed="false">
      <c r="A47" s="0" t="s">
        <v>101</v>
      </c>
      <c r="C47" s="3" t="n">
        <v>48</v>
      </c>
      <c r="D47" s="3" t="n">
        <v>47</v>
      </c>
      <c r="E47" s="3" t="n">
        <v>46.5</v>
      </c>
      <c r="F47" s="3" t="n">
        <v>46</v>
      </c>
      <c r="G47" s="3" t="n">
        <v>45.5</v>
      </c>
      <c r="H47" s="3" t="n">
        <v>45</v>
      </c>
      <c r="I47" s="3" t="n">
        <v>45</v>
      </c>
      <c r="J47" s="3" t="n">
        <v>45</v>
      </c>
      <c r="K47" s="3" t="n">
        <v>45</v>
      </c>
      <c r="L47" s="3" t="n">
        <v>45</v>
      </c>
    </row>
    <row r="48" customFormat="false" ht="15" hidden="false" customHeight="false" outlineLevel="0" collapsed="false">
      <c r="A48" s="0" t="s">
        <v>102</v>
      </c>
      <c r="B48" s="3" t="n">
        <v>7</v>
      </c>
    </row>
    <row r="49" customFormat="false" ht="15" hidden="false" customHeight="false" outlineLevel="0" collapsed="false">
      <c r="A49" s="0" t="s">
        <v>103</v>
      </c>
      <c r="B49" s="3" t="n">
        <v>2</v>
      </c>
    </row>
    <row r="50" customFormat="false" ht="15" hidden="false" customHeight="false" outlineLevel="0" collapsed="false">
      <c r="A50" s="0" t="s">
        <v>104</v>
      </c>
      <c r="B50" s="3" t="n">
        <v>20</v>
      </c>
    </row>
    <row r="51" customFormat="false" ht="15" hidden="false" customHeight="false" outlineLevel="0" collapsed="false">
      <c r="A51" s="0" t="s">
        <v>105</v>
      </c>
      <c r="B51" s="3" t="n">
        <v>-10</v>
      </c>
    </row>
    <row r="52" customFormat="false" ht="15" hidden="false" customHeight="false" outlineLevel="0" collapsed="false">
      <c r="A52" s="0" t="s">
        <v>106</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-22.9</v>
      </c>
      <c r="D5" s="4" t="n">
        <f aca="false">Assumptions!D13</f>
        <v>-10.27</v>
      </c>
      <c r="E5" s="4" t="n">
        <f aca="false">Assumptions!E13</f>
        <v>-7.57</v>
      </c>
      <c r="F5" s="4" t="n">
        <f aca="false">Assumptions!F13</f>
        <v>-4.42</v>
      </c>
      <c r="G5" s="4" t="n">
        <f aca="false">Assumptions!G13</f>
        <v>-2.45</v>
      </c>
      <c r="H5" s="4" t="n">
        <f aca="false">Assumptions!H13</f>
        <v>-1.14</v>
      </c>
      <c r="I5" s="4" t="n">
        <f aca="false">Assumptions!I13</f>
        <v>-0.35</v>
      </c>
      <c r="J5" s="4" t="n">
        <f aca="false">Assumptions!J13</f>
        <v>0.28</v>
      </c>
      <c r="K5" s="4" t="n">
        <f aca="false">Assumptions!K13</f>
        <v>0.85</v>
      </c>
      <c r="L5" s="4" t="n">
        <f aca="false">Assumptions!L13</f>
        <v>0.86</v>
      </c>
    </row>
    <row r="6" customFormat="false" ht="15" hidden="false" customHeight="false" outlineLevel="0" collapsed="false">
      <c r="A6" s="0" t="s">
        <v>38</v>
      </c>
      <c r="B6" s="3" t="n">
        <v>281437.9</v>
      </c>
      <c r="C6" s="0" t="n">
        <f aca="false">B6*(1+C5/100)</f>
        <v>216988.6209</v>
      </c>
      <c r="D6" s="0" t="n">
        <f aca="false">C6*(1+D5/100)</f>
        <v>194703.88953357</v>
      </c>
      <c r="E6" s="0" t="n">
        <f aca="false">D6*(1+E5/100)</f>
        <v>179964.805095879</v>
      </c>
      <c r="F6" s="0" t="n">
        <f aca="false">E6*(1+F5/100)</f>
        <v>172010.360710641</v>
      </c>
      <c r="G6" s="0" t="n">
        <f aca="false">F6*(1+G5/100)</f>
        <v>167796.10687323</v>
      </c>
      <c r="H6" s="0" t="n">
        <f aca="false">G6*(1+H5/100)</f>
        <v>165883.231254875</v>
      </c>
      <c r="I6" s="0" t="n">
        <f aca="false">H6*(1+I5/100)</f>
        <v>165302.639945483</v>
      </c>
      <c r="J6" s="0" t="n">
        <f aca="false">I6*(1+J5/100)</f>
        <v>165765.487337331</v>
      </c>
      <c r="K6" s="0" t="n">
        <f aca="false">J6*(1+K5/100)</f>
        <v>167174.493979698</v>
      </c>
      <c r="L6" s="0" t="n">
        <f aca="false">K6*(1+L5/100)</f>
        <v>168612.194627923</v>
      </c>
    </row>
    <row r="7" customFormat="false" ht="15" hidden="false" customHeight="false" outlineLevel="0" collapsed="false">
      <c r="A7" s="0" t="s">
        <v>96</v>
      </c>
      <c r="C7" s="4" t="n">
        <f aca="false">Assumptions!C14</f>
        <v>14.75</v>
      </c>
      <c r="D7" s="4" t="n">
        <f aca="false">Assumptions!D14</f>
        <v>15.51</v>
      </c>
      <c r="E7" s="4" t="n">
        <f aca="false">Assumptions!E14</f>
        <v>16.81</v>
      </c>
      <c r="F7" s="4" t="n">
        <f aca="false">Assumptions!F14</f>
        <v>18.11</v>
      </c>
      <c r="G7" s="4" t="n">
        <f aca="false">Assumptions!G14</f>
        <v>19.1</v>
      </c>
      <c r="H7" s="4" t="n">
        <f aca="false">Assumptions!H14</f>
        <v>19.93</v>
      </c>
      <c r="I7" s="4" t="n">
        <f aca="false">Assumptions!I14</f>
        <v>20.67</v>
      </c>
      <c r="J7" s="4" t="n">
        <f aca="false">Assumptions!J14</f>
        <v>21.01</v>
      </c>
      <c r="K7" s="4" t="n">
        <f aca="false">Assumptions!K14</f>
        <v>21.22</v>
      </c>
      <c r="L7" s="4" t="n">
        <f aca="false">Assumptions!L14</f>
        <v>21.43</v>
      </c>
    </row>
    <row r="8" customFormat="false" ht="15" hidden="false" customHeight="false" outlineLevel="0" collapsed="false">
      <c r="A8" s="0" t="s">
        <v>44</v>
      </c>
      <c r="C8" s="0" t="n">
        <f aca="false">C6*C7/100</f>
        <v>32005.82158275</v>
      </c>
      <c r="D8" s="0" t="n">
        <f aca="false">D6*D7/100</f>
        <v>30198.5732666567</v>
      </c>
      <c r="E8" s="0" t="n">
        <f aca="false">E6*E7/100</f>
        <v>30252.0837366172</v>
      </c>
      <c r="F8" s="0" t="n">
        <f aca="false">F6*F7/100</f>
        <v>31151.0763246971</v>
      </c>
      <c r="G8" s="0" t="n">
        <f aca="false">G6*G7/100</f>
        <v>32049.056412787</v>
      </c>
      <c r="H8" s="0" t="n">
        <f aca="false">H6*H7/100</f>
        <v>33060.5279890967</v>
      </c>
      <c r="I8" s="0" t="n">
        <f aca="false">I6*I7/100</f>
        <v>34168.0556767314</v>
      </c>
      <c r="J8" s="0" t="n">
        <f aca="false">J6*J7/100</f>
        <v>34827.3288895732</v>
      </c>
      <c r="K8" s="0" t="n">
        <f aca="false">K6*K7/100</f>
        <v>35474.4276224919</v>
      </c>
      <c r="L8" s="0" t="n">
        <f aca="false">L6*L7/100</f>
        <v>36133.593308764</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32005.82158275</v>
      </c>
      <c r="D11" s="0" t="n">
        <f aca="false">D8+D10+D24</f>
        <v>30198.5732666567</v>
      </c>
      <c r="E11" s="0" t="n">
        <f aca="false">E8+E10+E24</f>
        <v>30252.0837366172</v>
      </c>
      <c r="F11" s="0" t="n">
        <f aca="false">F8+F10+F24</f>
        <v>31151.0763246971</v>
      </c>
      <c r="G11" s="0" t="n">
        <f aca="false">G8+G10+G24</f>
        <v>32049.056412787</v>
      </c>
      <c r="H11" s="0" t="n">
        <f aca="false">H8+H10+H24</f>
        <v>33060.5279890967</v>
      </c>
      <c r="I11" s="0" t="n">
        <f aca="false">I8+I10+I24</f>
        <v>34168.0556767314</v>
      </c>
      <c r="J11" s="0" t="n">
        <f aca="false">J8+J10+J24</f>
        <v>34827.3288895732</v>
      </c>
      <c r="K11" s="0" t="n">
        <f aca="false">K8+K10+K24</f>
        <v>35474.4276224919</v>
      </c>
      <c r="L11" s="0" t="n">
        <f aca="false">L8+L10+L24</f>
        <v>36133.593308764</v>
      </c>
    </row>
    <row r="12" customFormat="false" ht="15" hidden="false" customHeight="false" outlineLevel="0" collapsed="false">
      <c r="A12" s="0" t="s">
        <v>114</v>
      </c>
      <c r="C12" s="4" t="n">
        <f aca="false">-C6*Assumptions!C17/100</f>
        <v>-1518.9203463</v>
      </c>
      <c r="D12" s="4" t="n">
        <f aca="false">-D6*Assumptions!D17/100</f>
        <v>-1362.92722673499</v>
      </c>
      <c r="E12" s="4" t="n">
        <f aca="false">-E6*Assumptions!E17/100</f>
        <v>-1259.75363567115</v>
      </c>
      <c r="F12" s="4" t="n">
        <f aca="false">-F6*Assumptions!F17/100</f>
        <v>-1204.07252497449</v>
      </c>
      <c r="G12" s="4" t="n">
        <f aca="false">-G6*Assumptions!G17/100</f>
        <v>-1174.57274811261</v>
      </c>
      <c r="H12" s="4" t="n">
        <f aca="false">-H6*Assumptions!H17/100</f>
        <v>-1161.18261878413</v>
      </c>
      <c r="I12" s="4" t="n">
        <f aca="false">-I6*Assumptions!I17/100</f>
        <v>-1157.11847961838</v>
      </c>
      <c r="J12" s="4" t="n">
        <f aca="false">-J6*Assumptions!J17/100</f>
        <v>-1160.35841136131</v>
      </c>
      <c r="K12" s="4" t="n">
        <f aca="false">-K6*Assumptions!K17/100</f>
        <v>-1170.22145785789</v>
      </c>
      <c r="L12" s="4" t="n">
        <f aca="false">-L6*Assumptions!L17/100</f>
        <v>-1180.28536239546</v>
      </c>
    </row>
    <row r="13" customFormat="false" ht="15" hidden="false" customHeight="false" outlineLevel="0" collapsed="false">
      <c r="A13" s="0" t="s">
        <v>115</v>
      </c>
      <c r="C13" s="0" t="n">
        <f aca="false">C11+C12</f>
        <v>30486.90123645</v>
      </c>
      <c r="D13" s="0" t="n">
        <f aca="false">D11+D12</f>
        <v>28835.6460399217</v>
      </c>
      <c r="E13" s="0" t="n">
        <f aca="false">E11+E12</f>
        <v>28992.3301009461</v>
      </c>
      <c r="F13" s="0" t="n">
        <f aca="false">F11+F12</f>
        <v>29947.0037997226</v>
      </c>
      <c r="G13" s="0" t="n">
        <f aca="false">G11+G12</f>
        <v>30874.4836646744</v>
      </c>
      <c r="H13" s="0" t="n">
        <f aca="false">H11+H12</f>
        <v>31899.3453703125</v>
      </c>
      <c r="I13" s="0" t="n">
        <f aca="false">I11+I12</f>
        <v>33010.937197113</v>
      </c>
      <c r="J13" s="0" t="n">
        <f aca="false">J11+J12</f>
        <v>33666.9704782119</v>
      </c>
      <c r="K13" s="0" t="n">
        <f aca="false">K11+K12</f>
        <v>34304.206164634</v>
      </c>
      <c r="L13" s="0" t="n">
        <f aca="false">L11+L12</f>
        <v>34953.3079463685</v>
      </c>
    </row>
    <row r="14" customFormat="false" ht="15" hidden="false" customHeight="false" outlineLevel="0" collapsed="false">
      <c r="A14" s="0" t="s">
        <v>101</v>
      </c>
      <c r="C14" s="4" t="n">
        <f aca="false">Assumptions!C19</f>
        <v>50</v>
      </c>
      <c r="D14" s="4" t="n">
        <f aca="false">Assumptions!D19</f>
        <v>49</v>
      </c>
      <c r="E14" s="4" t="n">
        <f aca="false">Assumptions!E19</f>
        <v>48</v>
      </c>
      <c r="F14" s="4" t="n">
        <f aca="false">Assumptions!F19</f>
        <v>48</v>
      </c>
      <c r="G14" s="4" t="n">
        <f aca="false">Assumptions!G19</f>
        <v>48</v>
      </c>
      <c r="H14" s="4" t="n">
        <f aca="false">Assumptions!H19</f>
        <v>48</v>
      </c>
      <c r="I14" s="4" t="n">
        <f aca="false">Assumptions!I19</f>
        <v>48</v>
      </c>
      <c r="J14" s="4" t="n">
        <f aca="false">Assumptions!J19</f>
        <v>48</v>
      </c>
      <c r="K14" s="4" t="n">
        <f aca="false">Assumptions!K19</f>
        <v>48</v>
      </c>
      <c r="L14" s="4" t="n">
        <f aca="false">Assumptions!L19</f>
        <v>48</v>
      </c>
    </row>
    <row r="15" customFormat="false" ht="15" hidden="false" customHeight="false" outlineLevel="0" collapsed="false">
      <c r="A15" s="0" t="s">
        <v>116</v>
      </c>
      <c r="C15" s="0" t="n">
        <f aca="false">C13-MAX(0,C13)*C14/100</f>
        <v>15243.450618225</v>
      </c>
      <c r="D15" s="0" t="n">
        <f aca="false">D13-MAX(0,D13)*D14/100</f>
        <v>14706.1794803601</v>
      </c>
      <c r="E15" s="0" t="n">
        <f aca="false">E13-MAX(0,E13)*E14/100</f>
        <v>15076.011652492</v>
      </c>
      <c r="F15" s="0" t="n">
        <f aca="false">F13-MAX(0,F13)*F14/100</f>
        <v>15572.4419758557</v>
      </c>
      <c r="G15" s="0" t="n">
        <f aca="false">G13-MAX(0,G13)*G14/100</f>
        <v>16054.7315056307</v>
      </c>
      <c r="H15" s="0" t="n">
        <f aca="false">H13-MAX(0,H13)*H14/100</f>
        <v>16587.6595925625</v>
      </c>
      <c r="I15" s="0" t="n">
        <f aca="false">I13-MAX(0,I13)*I14/100</f>
        <v>17165.6873424988</v>
      </c>
      <c r="J15" s="0" t="n">
        <f aca="false">J13-MAX(0,J13)*J14/100</f>
        <v>17506.8246486702</v>
      </c>
      <c r="K15" s="0" t="n">
        <f aca="false">K13-MAX(0,K13)*K14/100</f>
        <v>17838.1872056097</v>
      </c>
      <c r="L15" s="0" t="n">
        <f aca="false">L13-MAX(0,L13)*L14/100</f>
        <v>18175.7201321116</v>
      </c>
    </row>
    <row r="16" customFormat="false" ht="15" hidden="false" customHeight="false" outlineLevel="0" collapsed="false">
      <c r="A16" s="0" t="s">
        <v>117</v>
      </c>
      <c r="C16" s="0" t="n">
        <f aca="false">-C12</f>
        <v>1518.9203463</v>
      </c>
      <c r="D16" s="0" t="n">
        <f aca="false">-D12</f>
        <v>1362.92722673499</v>
      </c>
      <c r="E16" s="0" t="n">
        <f aca="false">-E12</f>
        <v>1259.75363567115</v>
      </c>
      <c r="F16" s="0" t="n">
        <f aca="false">-F12</f>
        <v>1204.07252497449</v>
      </c>
      <c r="G16" s="0" t="n">
        <f aca="false">-G12</f>
        <v>1174.57274811261</v>
      </c>
      <c r="H16" s="0" t="n">
        <f aca="false">-H12</f>
        <v>1161.18261878413</v>
      </c>
      <c r="I16" s="0" t="n">
        <f aca="false">-I12</f>
        <v>1157.11847961838</v>
      </c>
      <c r="J16" s="0" t="n">
        <f aca="false">-J12</f>
        <v>1160.35841136131</v>
      </c>
      <c r="K16" s="0" t="n">
        <f aca="false">-K12</f>
        <v>1170.22145785789</v>
      </c>
      <c r="L16" s="0" t="n">
        <f aca="false">-L12</f>
        <v>1180.28536239546</v>
      </c>
    </row>
    <row r="17" customFormat="false" ht="15" hidden="false" customHeight="false" outlineLevel="0" collapsed="false">
      <c r="A17" s="0" t="s">
        <v>118</v>
      </c>
      <c r="C17" s="4" t="n">
        <f aca="false">-C6*Assumptions!C18/100</f>
        <v>-6509.658627</v>
      </c>
      <c r="D17" s="4" t="n">
        <f aca="false">-D6*Assumptions!D18/100</f>
        <v>-5841.1166860071</v>
      </c>
      <c r="E17" s="4" t="n">
        <f aca="false">-E6*Assumptions!E18/100</f>
        <v>-5398.94415287636</v>
      </c>
      <c r="F17" s="4" t="n">
        <f aca="false">-F6*Assumptions!F18/100</f>
        <v>-5160.31082131923</v>
      </c>
      <c r="G17" s="4" t="n">
        <f aca="false">-G6*Assumptions!G18/100</f>
        <v>-5033.88320619691</v>
      </c>
      <c r="H17" s="4" t="n">
        <f aca="false">-H6*Assumptions!H18/100</f>
        <v>-4976.49693764626</v>
      </c>
      <c r="I17" s="4" t="n">
        <f aca="false">-I6*Assumptions!I18/100</f>
        <v>-4959.0791983645</v>
      </c>
      <c r="J17" s="4" t="n">
        <f aca="false">-J6*Assumptions!J18/100</f>
        <v>-4972.96462011992</v>
      </c>
      <c r="K17" s="4" t="n">
        <f aca="false">-K6*Assumptions!K18/100</f>
        <v>-5015.23481939094</v>
      </c>
      <c r="L17" s="4" t="n">
        <f aca="false">-L6*Assumptions!L18/100</f>
        <v>-5058.3658388377</v>
      </c>
    </row>
    <row r="18" customFormat="false" ht="15" hidden="false" customHeight="false" outlineLevel="0" collapsed="false">
      <c r="A18" s="0" t="s">
        <v>119</v>
      </c>
      <c r="C18" s="4" t="n">
        <f aca="false">(C6-B6)*Assumptions!$B$23/100</f>
        <v>3222.463955</v>
      </c>
      <c r="D18" s="4" t="n">
        <f aca="false">(D6-C6)*Assumptions!$B$23/100</f>
        <v>1114.2365683215</v>
      </c>
      <c r="E18" s="4" t="n">
        <f aca="false">(E6-D6)*Assumptions!$B$23/100</f>
        <v>736.954221884563</v>
      </c>
      <c r="F18" s="4" t="n">
        <f aca="false">(F6-E6)*Assumptions!$B$23/100</f>
        <v>397.722219261892</v>
      </c>
      <c r="G18" s="4" t="n">
        <f aca="false">(G6-F6)*Assumptions!$B$23/100</f>
        <v>210.712691870535</v>
      </c>
      <c r="H18" s="4" t="n">
        <f aca="false">(H6-G6)*Assumptions!$B$23/100</f>
        <v>95.6437809177412</v>
      </c>
      <c r="I18" s="4" t="n">
        <f aca="false">(I6-H6)*Assumptions!$B$23/100</f>
        <v>29.0295654696034</v>
      </c>
      <c r="J18" s="4" t="n">
        <f aca="false">(J6-I6)*Assumptions!$B$23/100</f>
        <v>-23.1423695923673</v>
      </c>
      <c r="K18" s="4" t="n">
        <f aca="false">(K6-J6)*Assumptions!$B$23/100</f>
        <v>-70.4503321183656</v>
      </c>
      <c r="L18" s="4" t="n">
        <f aca="false">(L6-K6)*Assumptions!$B$23/100</f>
        <v>-71.8850324112689</v>
      </c>
    </row>
    <row r="19" customFormat="false" ht="15" hidden="false" customHeight="false" outlineLevel="0" collapsed="false">
      <c r="A19" s="0" t="s">
        <v>120</v>
      </c>
      <c r="C19" s="0" t="n">
        <f aca="false">C15+C16+C17+C18</f>
        <v>13475.176292525</v>
      </c>
      <c r="D19" s="0" t="n">
        <f aca="false">D15+D16+D17+D18</f>
        <v>11342.2265894095</v>
      </c>
      <c r="E19" s="0" t="n">
        <f aca="false">E15+E16+E17+E18</f>
        <v>11673.7753571713</v>
      </c>
      <c r="F19" s="0" t="n">
        <f aca="false">F15+F16+F17+F18</f>
        <v>12013.9258987729</v>
      </c>
      <c r="G19" s="0" t="n">
        <f aca="false">G15+G16+G17+G18</f>
        <v>12406.1337394169</v>
      </c>
      <c r="H19" s="0" t="n">
        <f aca="false">H15+H16+H17+H18</f>
        <v>12867.9890546181</v>
      </c>
      <c r="I19" s="0" t="n">
        <f aca="false">I15+I16+I17+I18</f>
        <v>13392.7561892223</v>
      </c>
      <c r="J19" s="0" t="n">
        <f aca="false">J15+J16+J17+J18</f>
        <v>13671.0760703192</v>
      </c>
      <c r="K19" s="0" t="n">
        <f aca="false">K15+K16+K17+K18</f>
        <v>13922.7235119583</v>
      </c>
      <c r="L19" s="0" t="n">
        <f aca="false">L15+L16+L17+L18</f>
        <v>14225.7546232581</v>
      </c>
    </row>
    <row r="20" customFormat="false" ht="15" hidden="false" customHeight="false" outlineLevel="0" collapsed="false">
      <c r="A20" s="0" t="s">
        <v>121</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122</v>
      </c>
      <c r="C21" s="0" t="n">
        <f aca="false">C19*C20</f>
        <v>12593.6227032944</v>
      </c>
      <c r="D21" s="0" t="n">
        <f aca="false">D19*D20</f>
        <v>9906.73996804041</v>
      </c>
      <c r="E21" s="0" t="n">
        <f aca="false">E19*E20</f>
        <v>9529.27803935969</v>
      </c>
      <c r="F21" s="0" t="n">
        <f aca="false">F19*F20</f>
        <v>9165.3665460676</v>
      </c>
      <c r="G21" s="0" t="n">
        <f aca="false">G19*G20</f>
        <v>8845.40189703029</v>
      </c>
      <c r="H21" s="0" t="n">
        <f aca="false">H19*H20</f>
        <v>8574.48444270078</v>
      </c>
      <c r="I21" s="0" t="n">
        <f aca="false">I19*I20</f>
        <v>8340.33545996142</v>
      </c>
      <c r="J21" s="0" t="n">
        <f aca="false">J19*J20</f>
        <v>7956.69074212699</v>
      </c>
      <c r="K21" s="0" t="n">
        <f aca="false">K19*K20</f>
        <v>7573.03910682377</v>
      </c>
      <c r="L21" s="0" t="n">
        <f aca="false">L19*L20</f>
        <v>7231.65229281545</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7</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14</v>
      </c>
    </row>
    <row r="30" customFormat="false" ht="15" hidden="false" customHeight="false" outlineLevel="0" collapsed="false">
      <c r="A30" s="0" t="s">
        <v>125</v>
      </c>
      <c r="B30" s="0" t="n">
        <f aca="false">SUM(C21:L21)</f>
        <v>89716.6111982208</v>
      </c>
    </row>
    <row r="31" customFormat="false" ht="15" hidden="false" customHeight="false" outlineLevel="0" collapsed="false">
      <c r="A31" s="0" t="s">
        <v>126</v>
      </c>
      <c r="B31" s="0" t="n">
        <f aca="false">L19</f>
        <v>14225.7546232581</v>
      </c>
    </row>
    <row r="32" customFormat="false" ht="15" hidden="false" customHeight="false" outlineLevel="0" collapsed="false">
      <c r="A32" s="0" t="s">
        <v>127</v>
      </c>
      <c r="B32" s="0" t="n">
        <f aca="false">IF(B27&gt;B28,B31*(1+B28/100)/((B27-B28)/100),B31*B29)</f>
        <v>290205.394314466</v>
      </c>
    </row>
    <row r="33" customFormat="false" ht="15" hidden="false" customHeight="false" outlineLevel="0" collapsed="false">
      <c r="A33" s="0" t="s">
        <v>128</v>
      </c>
      <c r="B33" s="0" t="n">
        <f aca="false">B31*B29</f>
        <v>199160.564725614</v>
      </c>
    </row>
    <row r="34" customFormat="false" ht="15" hidden="false" customHeight="false" outlineLevel="0" collapsed="false">
      <c r="A34" s="0" t="s">
        <v>129</v>
      </c>
      <c r="B34" s="0" t="n">
        <f aca="false">MAX(0,MIN(B32,B33))</f>
        <v>199160.564725614</v>
      </c>
    </row>
    <row r="35" customFormat="false" ht="15" hidden="false" customHeight="false" outlineLevel="0" collapsed="false">
      <c r="A35" s="0" t="s">
        <v>130</v>
      </c>
      <c r="B35" s="0" t="n">
        <f aca="false">B34/(1+B27/100)^L4</f>
        <v>101243.132099416</v>
      </c>
    </row>
    <row r="36" customFormat="false" ht="15" hidden="false" customHeight="false" outlineLevel="0" collapsed="false">
      <c r="A36" s="0" t="s">
        <v>131</v>
      </c>
      <c r="B36" s="0" t="n">
        <f aca="false">B30+B35</f>
        <v>190959.743297637</v>
      </c>
    </row>
    <row r="37" customFormat="false" ht="15" hidden="false" customHeight="false" outlineLevel="0" collapsed="false">
      <c r="A37" s="0" t="s">
        <v>132</v>
      </c>
      <c r="B37" s="0" t="n">
        <f aca="false">B36+Assumptions!$B$5-Assumptions!$B$4</f>
        <v>27606.9432976371</v>
      </c>
    </row>
    <row r="38" customFormat="false" ht="15" hidden="false" customHeight="false" outlineLevel="0" collapsed="false">
      <c r="A38" s="0" t="s">
        <v>133</v>
      </c>
      <c r="B38" s="0" t="n">
        <f aca="false">B37/Assumptions!$B$3*Assumptions!$B$10</f>
        <v>4.54777018061214</v>
      </c>
    </row>
    <row r="39" customFormat="false" ht="15" hidden="false" customHeight="false" outlineLevel="0" collapsed="false">
      <c r="A39" s="0" t="s">
        <v>134</v>
      </c>
      <c r="B39" s="4" t="n">
        <f aca="false">B38/Assumptions!$B$2-1</f>
        <v>-0.850598877115239</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4.54777018061214</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111617.459351718</v>
      </c>
    </row>
    <row r="47" customFormat="false" ht="15" hidden="false" customHeight="false" outlineLevel="0" collapsed="false">
      <c r="A47" s="0" t="s">
        <v>139</v>
      </c>
      <c r="B47" s="0" t="n">
        <f aca="false">(SUMPRODUCT(C19:L19/(1+B45/100)^C4:L4)+B46/(1+B45/100)^L4+Assumptions!$B$5-Assumptions!$B$4)/Assumptions!$B$3*Assumptions!$B$10</f>
        <v>-11.8961523857065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-20.82</v>
      </c>
      <c r="D5" s="4" t="n">
        <f aca="false">Assumptions!D27</f>
        <v>-3.86</v>
      </c>
      <c r="E5" s="4" t="n">
        <f aca="false">Assumptions!E27</f>
        <v>0.21</v>
      </c>
      <c r="F5" s="4" t="n">
        <f aca="false">Assumptions!F27</f>
        <v>3.03</v>
      </c>
      <c r="G5" s="4" t="n">
        <f aca="false">Assumptions!G27</f>
        <v>3.4</v>
      </c>
      <c r="H5" s="4" t="n">
        <f aca="false">Assumptions!H27</f>
        <v>3.07</v>
      </c>
      <c r="I5" s="4" t="n">
        <f aca="false">Assumptions!I27</f>
        <v>2.82</v>
      </c>
      <c r="J5" s="4" t="n">
        <f aca="false">Assumptions!J27</f>
        <v>2.7</v>
      </c>
      <c r="K5" s="4" t="n">
        <f aca="false">Assumptions!K27</f>
        <v>2.59</v>
      </c>
      <c r="L5" s="4" t="n">
        <f aca="false">Assumptions!L27</f>
        <v>2.49</v>
      </c>
    </row>
    <row r="6" customFormat="false" ht="15" hidden="false" customHeight="false" outlineLevel="0" collapsed="false">
      <c r="A6" s="0" t="s">
        <v>38</v>
      </c>
      <c r="B6" s="3" t="n">
        <v>281437.9</v>
      </c>
      <c r="C6" s="0" t="n">
        <f aca="false">B6*(1+C5/100)</f>
        <v>222842.52922</v>
      </c>
      <c r="D6" s="0" t="n">
        <f aca="false">C6*(1+D5/100)</f>
        <v>214240.807592108</v>
      </c>
      <c r="E6" s="0" t="n">
        <f aca="false">D6*(1+E5/100)</f>
        <v>214690.713288051</v>
      </c>
      <c r="F6" s="0" t="n">
        <f aca="false">E6*(1+F5/100)</f>
        <v>221195.841900679</v>
      </c>
      <c r="G6" s="0" t="n">
        <f aca="false">F6*(1+G5/100)</f>
        <v>228716.500525303</v>
      </c>
      <c r="H6" s="0" t="n">
        <f aca="false">G6*(1+H5/100)</f>
        <v>235738.097091429</v>
      </c>
      <c r="I6" s="0" t="n">
        <f aca="false">H6*(1+I5/100)</f>
        <v>242385.911429408</v>
      </c>
      <c r="J6" s="0" t="n">
        <f aca="false">I6*(1+J5/100)</f>
        <v>248930.331038002</v>
      </c>
      <c r="K6" s="0" t="n">
        <f aca="false">J6*(1+K5/100)</f>
        <v>255377.626611886</v>
      </c>
      <c r="L6" s="0" t="n">
        <f aca="false">K6*(1+L5/100)</f>
        <v>261736.529514522</v>
      </c>
    </row>
    <row r="7" customFormat="false" ht="15" hidden="false" customHeight="false" outlineLevel="0" collapsed="false">
      <c r="A7" s="0" t="s">
        <v>96</v>
      </c>
      <c r="C7" s="4" t="n">
        <f aca="false">Assumptions!C28</f>
        <v>16.66</v>
      </c>
      <c r="D7" s="4" t="n">
        <f aca="false">Assumptions!D28</f>
        <v>18.3</v>
      </c>
      <c r="E7" s="4" t="n">
        <f aca="false">Assumptions!E28</f>
        <v>19.67</v>
      </c>
      <c r="F7" s="4" t="n">
        <f aca="false">Assumptions!F28</f>
        <v>20.66</v>
      </c>
      <c r="G7" s="4" t="n">
        <f aca="false">Assumptions!G28</f>
        <v>21.64</v>
      </c>
      <c r="H7" s="4" t="n">
        <f aca="false">Assumptions!H28</f>
        <v>21.92</v>
      </c>
      <c r="I7" s="4" t="n">
        <f aca="false">Assumptions!I28</f>
        <v>22.15</v>
      </c>
      <c r="J7" s="4" t="n">
        <f aca="false">Assumptions!J28</f>
        <v>22.33</v>
      </c>
      <c r="K7" s="4" t="n">
        <f aca="false">Assumptions!K28</f>
        <v>22.48</v>
      </c>
      <c r="L7" s="4" t="n">
        <f aca="false">Assumptions!L28</f>
        <v>22.59</v>
      </c>
    </row>
    <row r="8" customFormat="false" ht="15" hidden="false" customHeight="false" outlineLevel="0" collapsed="false">
      <c r="A8" s="0" t="s">
        <v>44</v>
      </c>
      <c r="C8" s="0" t="n">
        <f aca="false">C6*C7/100</f>
        <v>37125.565368052</v>
      </c>
      <c r="D8" s="0" t="n">
        <f aca="false">D6*D7/100</f>
        <v>39206.0677893558</v>
      </c>
      <c r="E8" s="0" t="n">
        <f aca="false">E6*E7/100</f>
        <v>42229.6633037597</v>
      </c>
      <c r="F8" s="0" t="n">
        <f aca="false">F6*F7/100</f>
        <v>45699.0609366804</v>
      </c>
      <c r="G8" s="0" t="n">
        <f aca="false">G6*G7/100</f>
        <v>49494.2507136755</v>
      </c>
      <c r="H8" s="0" t="n">
        <f aca="false">H6*H7/100</f>
        <v>51673.7908824413</v>
      </c>
      <c r="I8" s="0" t="n">
        <f aca="false">I6*I7/100</f>
        <v>53688.4793816138</v>
      </c>
      <c r="J8" s="0" t="n">
        <f aca="false">J6*J7/100</f>
        <v>55586.1429207858</v>
      </c>
      <c r="K8" s="0" t="n">
        <f aca="false">K6*K7/100</f>
        <v>57408.8904623519</v>
      </c>
      <c r="L8" s="0" t="n">
        <f aca="false">L6*L7/100</f>
        <v>59126.2820173305</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37125.565368052</v>
      </c>
      <c r="D11" s="0" t="n">
        <f aca="false">D8+D10+D24</f>
        <v>39206.0677893558</v>
      </c>
      <c r="E11" s="0" t="n">
        <f aca="false">E8+E10+E24</f>
        <v>42229.6633037597</v>
      </c>
      <c r="F11" s="0" t="n">
        <f aca="false">F8+F10+F24</f>
        <v>45699.0609366804</v>
      </c>
      <c r="G11" s="0" t="n">
        <f aca="false">G8+G10+G24</f>
        <v>49494.2507136755</v>
      </c>
      <c r="H11" s="0" t="n">
        <f aca="false">H8+H10+H24</f>
        <v>51673.7908824413</v>
      </c>
      <c r="I11" s="0" t="n">
        <f aca="false">I8+I10+I24</f>
        <v>53688.4793816138</v>
      </c>
      <c r="J11" s="0" t="n">
        <f aca="false">J8+J10+J24</f>
        <v>55586.1429207858</v>
      </c>
      <c r="K11" s="0" t="n">
        <f aca="false">K8+K10+K24</f>
        <v>57408.8904623519</v>
      </c>
      <c r="L11" s="0" t="n">
        <f aca="false">L8+L10+L24</f>
        <v>59126.2820173305</v>
      </c>
    </row>
    <row r="12" customFormat="false" ht="15" hidden="false" customHeight="false" outlineLevel="0" collapsed="false">
      <c r="A12" s="0" t="s">
        <v>114</v>
      </c>
      <c r="C12" s="4" t="n">
        <f aca="false">-C6*Assumptions!C31/100</f>
        <v>-1559.89770454</v>
      </c>
      <c r="D12" s="4" t="n">
        <f aca="false">-D6*Assumptions!D31/100</f>
        <v>-1499.68565314476</v>
      </c>
      <c r="E12" s="4" t="n">
        <f aca="false">-E6*Assumptions!E31/100</f>
        <v>-1502.83499301636</v>
      </c>
      <c r="F12" s="4" t="n">
        <f aca="false">-F6*Assumptions!F31/100</f>
        <v>-1548.37089330476</v>
      </c>
      <c r="G12" s="4" t="n">
        <f aca="false">-G6*Assumptions!G31/100</f>
        <v>-1601.01550367712</v>
      </c>
      <c r="H12" s="4" t="n">
        <f aca="false">-H6*Assumptions!H31/100</f>
        <v>-1650.16667964001</v>
      </c>
      <c r="I12" s="4" t="n">
        <f aca="false">-I6*Assumptions!I31/100</f>
        <v>-1696.70138000585</v>
      </c>
      <c r="J12" s="4" t="n">
        <f aca="false">-J6*Assumptions!J31/100</f>
        <v>-1742.51231726601</v>
      </c>
      <c r="K12" s="4" t="n">
        <f aca="false">-K6*Assumptions!K31/100</f>
        <v>-1787.6433862832</v>
      </c>
      <c r="L12" s="4" t="n">
        <f aca="false">-L6*Assumptions!L31/100</f>
        <v>-1832.15570660165</v>
      </c>
    </row>
    <row r="13" customFormat="false" ht="15" hidden="false" customHeight="false" outlineLevel="0" collapsed="false">
      <c r="A13" s="0" t="s">
        <v>115</v>
      </c>
      <c r="C13" s="0" t="n">
        <f aca="false">C11+C12</f>
        <v>35565.667663512</v>
      </c>
      <c r="D13" s="0" t="n">
        <f aca="false">D11+D12</f>
        <v>37706.382136211</v>
      </c>
      <c r="E13" s="0" t="n">
        <f aca="false">E11+E12</f>
        <v>40726.8283107434</v>
      </c>
      <c r="F13" s="0" t="n">
        <f aca="false">F11+F12</f>
        <v>44150.6900433756</v>
      </c>
      <c r="G13" s="0" t="n">
        <f aca="false">G11+G12</f>
        <v>47893.2352099984</v>
      </c>
      <c r="H13" s="0" t="n">
        <f aca="false">H11+H12</f>
        <v>50023.6242028013</v>
      </c>
      <c r="I13" s="0" t="n">
        <f aca="false">I11+I12</f>
        <v>51991.7780016079</v>
      </c>
      <c r="J13" s="0" t="n">
        <f aca="false">J11+J12</f>
        <v>53843.6306035197</v>
      </c>
      <c r="K13" s="0" t="n">
        <f aca="false">K11+K12</f>
        <v>55621.2470760687</v>
      </c>
      <c r="L13" s="0" t="n">
        <f aca="false">L11+L12</f>
        <v>57294.1263107288</v>
      </c>
    </row>
    <row r="14" customFormat="false" ht="15" hidden="false" customHeight="false" outlineLevel="0" collapsed="false">
      <c r="A14" s="0" t="s">
        <v>101</v>
      </c>
      <c r="C14" s="4" t="n">
        <f aca="false">Assumptions!C33</f>
        <v>48</v>
      </c>
      <c r="D14" s="4" t="n">
        <f aca="false">Assumptions!D33</f>
        <v>47.5</v>
      </c>
      <c r="E14" s="4" t="n">
        <f aca="false">Assumptions!E33</f>
        <v>47</v>
      </c>
      <c r="F14" s="4" t="n">
        <f aca="false">Assumptions!F33</f>
        <v>46.5</v>
      </c>
      <c r="G14" s="4" t="n">
        <f aca="false">Assumptions!G33</f>
        <v>46</v>
      </c>
      <c r="H14" s="4" t="n">
        <f aca="false">Assumptions!H33</f>
        <v>46</v>
      </c>
      <c r="I14" s="4" t="n">
        <f aca="false">Assumptions!I33</f>
        <v>45.5</v>
      </c>
      <c r="J14" s="4" t="n">
        <f aca="false">Assumptions!J33</f>
        <v>45.5</v>
      </c>
      <c r="K14" s="4" t="n">
        <f aca="false">Assumptions!K33</f>
        <v>45.5</v>
      </c>
      <c r="L14" s="4" t="n">
        <f aca="false">Assumptions!L33</f>
        <v>45.5</v>
      </c>
    </row>
    <row r="15" customFormat="false" ht="15" hidden="false" customHeight="false" outlineLevel="0" collapsed="false">
      <c r="A15" s="0" t="s">
        <v>116</v>
      </c>
      <c r="C15" s="0" t="n">
        <f aca="false">C13-MAX(0,C13)*C14/100</f>
        <v>18494.1471850262</v>
      </c>
      <c r="D15" s="0" t="n">
        <f aca="false">D13-MAX(0,D13)*D14/100</f>
        <v>19795.8506215108</v>
      </c>
      <c r="E15" s="0" t="n">
        <f aca="false">E13-MAX(0,E13)*E14/100</f>
        <v>21585.219004694</v>
      </c>
      <c r="F15" s="0" t="n">
        <f aca="false">F13-MAX(0,F13)*F14/100</f>
        <v>23620.619173206</v>
      </c>
      <c r="G15" s="0" t="n">
        <f aca="false">G13-MAX(0,G13)*G14/100</f>
        <v>25862.3470133991</v>
      </c>
      <c r="H15" s="0" t="n">
        <f aca="false">H13-MAX(0,H13)*H14/100</f>
        <v>27012.7570695127</v>
      </c>
      <c r="I15" s="0" t="n">
        <f aca="false">I13-MAX(0,I13)*I14/100</f>
        <v>28335.5190108763</v>
      </c>
      <c r="J15" s="0" t="n">
        <f aca="false">J13-MAX(0,J13)*J14/100</f>
        <v>29344.7786789183</v>
      </c>
      <c r="K15" s="0" t="n">
        <f aca="false">K13-MAX(0,K13)*K14/100</f>
        <v>30313.5796564575</v>
      </c>
      <c r="L15" s="0" t="n">
        <f aca="false">L13-MAX(0,L13)*L14/100</f>
        <v>31225.2988393472</v>
      </c>
    </row>
    <row r="16" customFormat="false" ht="15" hidden="false" customHeight="false" outlineLevel="0" collapsed="false">
      <c r="A16" s="0" t="s">
        <v>117</v>
      </c>
      <c r="C16" s="0" t="n">
        <f aca="false">-C12</f>
        <v>1559.89770454</v>
      </c>
      <c r="D16" s="0" t="n">
        <f aca="false">-D12</f>
        <v>1499.68565314476</v>
      </c>
      <c r="E16" s="0" t="n">
        <f aca="false">-E12</f>
        <v>1502.83499301636</v>
      </c>
      <c r="F16" s="0" t="n">
        <f aca="false">-F12</f>
        <v>1548.37089330476</v>
      </c>
      <c r="G16" s="0" t="n">
        <f aca="false">-G12</f>
        <v>1601.01550367712</v>
      </c>
      <c r="H16" s="0" t="n">
        <f aca="false">-H12</f>
        <v>1650.16667964001</v>
      </c>
      <c r="I16" s="0" t="n">
        <f aca="false">-I12</f>
        <v>1696.70138000585</v>
      </c>
      <c r="J16" s="0" t="n">
        <f aca="false">-J12</f>
        <v>1742.51231726601</v>
      </c>
      <c r="K16" s="0" t="n">
        <f aca="false">-K12</f>
        <v>1787.6433862832</v>
      </c>
      <c r="L16" s="0" t="n">
        <f aca="false">-L12</f>
        <v>1832.15570660165</v>
      </c>
    </row>
    <row r="17" customFormat="false" ht="15" hidden="false" customHeight="false" outlineLevel="0" collapsed="false">
      <c r="A17" s="0" t="s">
        <v>118</v>
      </c>
      <c r="C17" s="4" t="n">
        <f aca="false">-C6*Assumptions!C32/100</f>
        <v>-8913.7011688</v>
      </c>
      <c r="D17" s="4" t="n">
        <f aca="false">-D6*Assumptions!D32/100</f>
        <v>-8569.63230368432</v>
      </c>
      <c r="E17" s="4" t="n">
        <f aca="false">-E6*Assumptions!E32/100</f>
        <v>-8587.62853152206</v>
      </c>
      <c r="F17" s="4" t="n">
        <f aca="false">-F6*Assumptions!F32/100</f>
        <v>-8847.83367602718</v>
      </c>
      <c r="G17" s="4" t="n">
        <f aca="false">-G6*Assumptions!G32/100</f>
        <v>-9148.6600210121</v>
      </c>
      <c r="H17" s="4" t="n">
        <f aca="false">-H6*Assumptions!H32/100</f>
        <v>-9429.52388365717</v>
      </c>
      <c r="I17" s="4" t="n">
        <f aca="false">-I6*Assumptions!I32/100</f>
        <v>-9695.4364571763</v>
      </c>
      <c r="J17" s="4" t="n">
        <f aca="false">-J6*Assumptions!J32/100</f>
        <v>-9957.21324152006</v>
      </c>
      <c r="K17" s="4" t="n">
        <f aca="false">-K6*Assumptions!K32/100</f>
        <v>-10215.1050644754</v>
      </c>
      <c r="L17" s="4" t="n">
        <f aca="false">-L6*Assumptions!L32/100</f>
        <v>-10469.4611805809</v>
      </c>
    </row>
    <row r="18" customFormat="false" ht="15" hidden="false" customHeight="false" outlineLevel="0" collapsed="false">
      <c r="A18" s="0" t="s">
        <v>119</v>
      </c>
      <c r="C18" s="4" t="n">
        <f aca="false">(C6-B6)*Assumptions!$B$37/100</f>
        <v>5859.537078</v>
      </c>
      <c r="D18" s="4" t="n">
        <f aca="false">(D6-C6)*Assumptions!$B$37/100</f>
        <v>860.1721627892</v>
      </c>
      <c r="E18" s="4" t="n">
        <f aca="false">(E6-D6)*Assumptions!$B$37/100</f>
        <v>-44.9905695943424</v>
      </c>
      <c r="F18" s="4" t="n">
        <f aca="false">(F6-E6)*Assumptions!$B$37/100</f>
        <v>-650.512861262794</v>
      </c>
      <c r="G18" s="4" t="n">
        <f aca="false">(G6-F6)*Assumptions!$B$37/100</f>
        <v>-752.065862462312</v>
      </c>
      <c r="H18" s="4" t="n">
        <f aca="false">(H6-G6)*Assumptions!$B$37/100</f>
        <v>-702.159656612677</v>
      </c>
      <c r="I18" s="4" t="n">
        <f aca="false">(I6-H6)*Assumptions!$B$37/100</f>
        <v>-664.781433797831</v>
      </c>
      <c r="J18" s="4" t="n">
        <f aca="false">(J6-I6)*Assumptions!$B$37/100</f>
        <v>-654.441960859398</v>
      </c>
      <c r="K18" s="4" t="n">
        <f aca="false">(K6-J6)*Assumptions!$B$37/100</f>
        <v>-644.729557388424</v>
      </c>
      <c r="L18" s="4" t="n">
        <f aca="false">(L6-K6)*Assumptions!$B$37/100</f>
        <v>-635.890290263595</v>
      </c>
    </row>
    <row r="19" customFormat="false" ht="15" hidden="false" customHeight="false" outlineLevel="0" collapsed="false">
      <c r="A19" s="0" t="s">
        <v>120</v>
      </c>
      <c r="C19" s="0" t="n">
        <f aca="false">C15+C16+C17+C18</f>
        <v>16999.8807987662</v>
      </c>
      <c r="D19" s="0" t="n">
        <f aca="false">D15+D16+D17+D18</f>
        <v>13586.0761337604</v>
      </c>
      <c r="E19" s="0" t="n">
        <f aca="false">E15+E16+E17+E18</f>
        <v>14455.4348965939</v>
      </c>
      <c r="F19" s="0" t="n">
        <f aca="false">F15+F16+F17+F18</f>
        <v>15670.6435292207</v>
      </c>
      <c r="G19" s="0" t="n">
        <f aca="false">G15+G16+G17+G18</f>
        <v>17562.6366336018</v>
      </c>
      <c r="H19" s="0" t="n">
        <f aca="false">H15+H16+H17+H18</f>
        <v>18531.2402088829</v>
      </c>
      <c r="I19" s="0" t="n">
        <f aca="false">I15+I16+I17+I18</f>
        <v>19672.002499908</v>
      </c>
      <c r="J19" s="0" t="n">
        <f aca="false">J15+J16+J17+J18</f>
        <v>20475.6357938048</v>
      </c>
      <c r="K19" s="0" t="n">
        <f aca="false">K15+K16+K17+K18</f>
        <v>21241.3884208768</v>
      </c>
      <c r="L19" s="0" t="n">
        <f aca="false">L15+L16+L17+L18</f>
        <v>21952.1030751044</v>
      </c>
    </row>
    <row r="20" customFormat="false" ht="15" hidden="false" customHeight="false" outlineLevel="0" collapsed="false">
      <c r="A20" s="0" t="s">
        <v>121</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122</v>
      </c>
      <c r="C21" s="0" t="n">
        <f aca="false">C19*C20</f>
        <v>15887.7390642675</v>
      </c>
      <c r="D21" s="0" t="n">
        <f aca="false">D19*D20</f>
        <v>11866.6050604947</v>
      </c>
      <c r="E21" s="0" t="n">
        <f aca="false">E19*E20</f>
        <v>11799.9408156236</v>
      </c>
      <c r="F21" s="0" t="n">
        <f aca="false">F19*F20</f>
        <v>11955.058918146</v>
      </c>
      <c r="G21" s="0" t="n">
        <f aca="false">G19*G20</f>
        <v>12521.9171950517</v>
      </c>
      <c r="H21" s="0" t="n">
        <f aca="false">H19*H20</f>
        <v>12348.147810865</v>
      </c>
      <c r="I21" s="0" t="n">
        <f aca="false">I19*I20</f>
        <v>12250.7344791708</v>
      </c>
      <c r="J21" s="0" t="n">
        <f aca="false">J19*J20</f>
        <v>11917.0064537522</v>
      </c>
      <c r="K21" s="0" t="n">
        <f aca="false">K19*K20</f>
        <v>11553.9079014511</v>
      </c>
      <c r="L21" s="0" t="n">
        <f aca="false">L19*L20</f>
        <v>11159.3360590977</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7</v>
      </c>
    </row>
    <row r="28" customFormat="false" ht="15" hidden="false" customHeight="false" outlineLevel="0" collapsed="false">
      <c r="A28" s="0" t="s">
        <v>103</v>
      </c>
      <c r="B28" s="4" t="n">
        <f aca="false">Assumptions!$B$35</f>
        <v>2</v>
      </c>
    </row>
    <row r="29" customFormat="false" ht="15" hidden="false" customHeight="false" outlineLevel="0" collapsed="false">
      <c r="A29" s="0" t="s">
        <v>104</v>
      </c>
      <c r="B29" s="4" t="n">
        <f aca="false">Assumptions!$B$36</f>
        <v>18</v>
      </c>
    </row>
    <row r="30" customFormat="false" ht="15" hidden="false" customHeight="false" outlineLevel="0" collapsed="false">
      <c r="A30" s="0" t="s">
        <v>125</v>
      </c>
      <c r="B30" s="0" t="n">
        <f aca="false">SUM(C21:L21)</f>
        <v>123260.39375792</v>
      </c>
    </row>
    <row r="31" customFormat="false" ht="15" hidden="false" customHeight="false" outlineLevel="0" collapsed="false">
      <c r="A31" s="0" t="s">
        <v>126</v>
      </c>
      <c r="B31" s="0" t="n">
        <f aca="false">L19</f>
        <v>21952.1030751044</v>
      </c>
    </row>
    <row r="32" customFormat="false" ht="15" hidden="false" customHeight="false" outlineLevel="0" collapsed="false">
      <c r="A32" s="0" t="s">
        <v>127</v>
      </c>
      <c r="B32" s="0" t="n">
        <f aca="false">IF(B27&gt;B28,B31*(1+B28/100)/((B27-B28)/100),B31*B29)</f>
        <v>447822.90273213</v>
      </c>
    </row>
    <row r="33" customFormat="false" ht="15" hidden="false" customHeight="false" outlineLevel="0" collapsed="false">
      <c r="A33" s="0" t="s">
        <v>128</v>
      </c>
      <c r="B33" s="0" t="n">
        <f aca="false">B31*B29</f>
        <v>395137.855351879</v>
      </c>
    </row>
    <row r="34" customFormat="false" ht="15" hidden="false" customHeight="false" outlineLevel="0" collapsed="false">
      <c r="A34" s="0" t="s">
        <v>129</v>
      </c>
      <c r="B34" s="0" t="n">
        <f aca="false">MAX(0,MIN(B32,B33))</f>
        <v>395137.855351879</v>
      </c>
    </row>
    <row r="35" customFormat="false" ht="15" hidden="false" customHeight="false" outlineLevel="0" collapsed="false">
      <c r="A35" s="0" t="s">
        <v>130</v>
      </c>
      <c r="B35" s="0" t="n">
        <f aca="false">B34/(1+B27/100)^L4</f>
        <v>200868.049063758</v>
      </c>
    </row>
    <row r="36" customFormat="false" ht="15" hidden="false" customHeight="false" outlineLevel="0" collapsed="false">
      <c r="A36" s="0" t="s">
        <v>131</v>
      </c>
      <c r="B36" s="0" t="n">
        <f aca="false">B30+B35</f>
        <v>324128.442821678</v>
      </c>
    </row>
    <row r="37" customFormat="false" ht="15" hidden="false" customHeight="false" outlineLevel="0" collapsed="false">
      <c r="A37" s="0" t="s">
        <v>132</v>
      </c>
      <c r="B37" s="0" t="n">
        <f aca="false">B36+Assumptions!$B$5-Assumptions!$B$4</f>
        <v>160775.642821678</v>
      </c>
    </row>
    <row r="38" customFormat="false" ht="15" hidden="false" customHeight="false" outlineLevel="0" collapsed="false">
      <c r="A38" s="0" t="s">
        <v>133</v>
      </c>
      <c r="B38" s="0" t="n">
        <f aca="false">B37/Assumptions!$B$3*Assumptions!$B$10</f>
        <v>26.4850282883639</v>
      </c>
    </row>
    <row r="39" customFormat="false" ht="15" hidden="false" customHeight="false" outlineLevel="0" collapsed="false">
      <c r="A39" s="0" t="s">
        <v>134</v>
      </c>
      <c r="B39" s="4" t="n">
        <f aca="false">B38/Assumptions!$B$2-1</f>
        <v>-0.129926797359925</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26.4850282883639</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172239.577973896</v>
      </c>
    </row>
    <row r="47" customFormat="false" ht="15" hidden="false" customHeight="false" outlineLevel="0" collapsed="false">
      <c r="A47" s="0" t="s">
        <v>139</v>
      </c>
      <c r="B47" s="0" t="n">
        <f aca="false">(SUMPRODUCT(C19:L19/(1+B45/100)^C4:L4)+B46/(1+B45/100)^L4+Assumptions!$B$5-Assumptions!$B$4)/Assumptions!$B$3*Assumptions!$B$10</f>
        <v>-5.75926540118463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-18.73</v>
      </c>
      <c r="D5" s="4" t="n">
        <f aca="false">Assumptions!D41</f>
        <v>0.45</v>
      </c>
      <c r="E5" s="4" t="n">
        <f aca="false">Assumptions!E41</f>
        <v>4.85</v>
      </c>
      <c r="F5" s="4" t="n">
        <f aca="false">Assumptions!F41</f>
        <v>5.91</v>
      </c>
      <c r="G5" s="4" t="n">
        <f aca="false">Assumptions!G41</f>
        <v>5.11</v>
      </c>
      <c r="H5" s="4" t="n">
        <f aca="false">Assumptions!H41</f>
        <v>4.2</v>
      </c>
      <c r="I5" s="4" t="n">
        <f aca="false">Assumptions!I41</f>
        <v>3.93</v>
      </c>
      <c r="J5" s="4" t="n">
        <f aca="false">Assumptions!J41</f>
        <v>3.77</v>
      </c>
      <c r="K5" s="4" t="n">
        <f aca="false">Assumptions!K41</f>
        <v>3.49</v>
      </c>
      <c r="L5" s="4" t="n">
        <f aca="false">Assumptions!L41</f>
        <v>3.3</v>
      </c>
    </row>
    <row r="6" customFormat="false" ht="15" hidden="false" customHeight="false" outlineLevel="0" collapsed="false">
      <c r="A6" s="0" t="s">
        <v>38</v>
      </c>
      <c r="B6" s="3" t="n">
        <v>281437.9</v>
      </c>
      <c r="C6" s="0" t="n">
        <f aca="false">B6*(1+C5/100)</f>
        <v>228724.58133</v>
      </c>
      <c r="D6" s="0" t="n">
        <f aca="false">C6*(1+D5/100)</f>
        <v>229753.841945985</v>
      </c>
      <c r="E6" s="0" t="n">
        <f aca="false">D6*(1+E5/100)</f>
        <v>240896.903280365</v>
      </c>
      <c r="F6" s="0" t="n">
        <f aca="false">E6*(1+F5/100)</f>
        <v>255133.910264235</v>
      </c>
      <c r="G6" s="0" t="n">
        <f aca="false">F6*(1+G5/100)</f>
        <v>268171.253078737</v>
      </c>
      <c r="H6" s="0" t="n">
        <f aca="false">G6*(1+H5/100)</f>
        <v>279434.445708044</v>
      </c>
      <c r="I6" s="0" t="n">
        <f aca="false">H6*(1+I5/100)</f>
        <v>290416.21942437</v>
      </c>
      <c r="J6" s="0" t="n">
        <f aca="false">I6*(1+J5/100)</f>
        <v>301364.910896669</v>
      </c>
      <c r="K6" s="0" t="n">
        <f aca="false">J6*(1+K5/100)</f>
        <v>311882.546286963</v>
      </c>
      <c r="L6" s="0" t="n">
        <f aca="false">K6*(1+L5/100)</f>
        <v>322174.670314433</v>
      </c>
    </row>
    <row r="7" customFormat="false" ht="15" hidden="false" customHeight="false" outlineLevel="0" collapsed="false">
      <c r="A7" s="0" t="s">
        <v>96</v>
      </c>
      <c r="C7" s="4" t="n">
        <f aca="false">Assumptions!C42</f>
        <v>17.69</v>
      </c>
      <c r="D7" s="4" t="n">
        <f aca="false">Assumptions!D42</f>
        <v>19.67</v>
      </c>
      <c r="E7" s="4" t="n">
        <f aca="false">Assumptions!E42</f>
        <v>21.21</v>
      </c>
      <c r="F7" s="4" t="n">
        <f aca="false">Assumptions!F42</f>
        <v>22.59</v>
      </c>
      <c r="G7" s="4" t="n">
        <f aca="false">Assumptions!G42</f>
        <v>23.91</v>
      </c>
      <c r="H7" s="4" t="n">
        <f aca="false">Assumptions!H42</f>
        <v>24.24</v>
      </c>
      <c r="I7" s="4" t="n">
        <f aca="false">Assumptions!I42</f>
        <v>24.52</v>
      </c>
      <c r="J7" s="4" t="n">
        <f aca="false">Assumptions!J42</f>
        <v>24.73</v>
      </c>
      <c r="K7" s="4" t="n">
        <f aca="false">Assumptions!K42</f>
        <v>24.87</v>
      </c>
      <c r="L7" s="4" t="n">
        <f aca="false">Assumptions!L42</f>
        <v>24.93</v>
      </c>
    </row>
    <row r="8" customFormat="false" ht="15" hidden="false" customHeight="false" outlineLevel="0" collapsed="false">
      <c r="A8" s="0" t="s">
        <v>44</v>
      </c>
      <c r="C8" s="0" t="n">
        <f aca="false">C6*C7/100</f>
        <v>40461.378437277</v>
      </c>
      <c r="D8" s="0" t="n">
        <f aca="false">D6*D7/100</f>
        <v>45192.5807107753</v>
      </c>
      <c r="E8" s="0" t="n">
        <f aca="false">E6*E7/100</f>
        <v>51094.2331857655</v>
      </c>
      <c r="F8" s="0" t="n">
        <f aca="false">F6*F7/100</f>
        <v>57634.7503286907</v>
      </c>
      <c r="G8" s="0" t="n">
        <f aca="false">G6*G7/100</f>
        <v>64119.7466111261</v>
      </c>
      <c r="H8" s="0" t="n">
        <f aca="false">H6*H7/100</f>
        <v>67734.9096396299</v>
      </c>
      <c r="I8" s="0" t="n">
        <f aca="false">I6*I7/100</f>
        <v>71210.0570028556</v>
      </c>
      <c r="J8" s="0" t="n">
        <f aca="false">J6*J7/100</f>
        <v>74527.5424647463</v>
      </c>
      <c r="K8" s="0" t="n">
        <f aca="false">K6*K7/100</f>
        <v>77565.1892615677</v>
      </c>
      <c r="L8" s="0" t="n">
        <f aca="false">L6*L7/100</f>
        <v>80318.145309388</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40461.378437277</v>
      </c>
      <c r="D11" s="0" t="n">
        <f aca="false">D8+D10+D24</f>
        <v>45192.5807107753</v>
      </c>
      <c r="E11" s="0" t="n">
        <f aca="false">E8+E10+E24</f>
        <v>51094.2331857655</v>
      </c>
      <c r="F11" s="0" t="n">
        <f aca="false">F8+F10+F24</f>
        <v>57634.7503286907</v>
      </c>
      <c r="G11" s="0" t="n">
        <f aca="false">G8+G10+G24</f>
        <v>64119.7466111261</v>
      </c>
      <c r="H11" s="0" t="n">
        <f aca="false">H8+H10+H24</f>
        <v>67734.9096396299</v>
      </c>
      <c r="I11" s="0" t="n">
        <f aca="false">I8+I10+I24</f>
        <v>71210.0570028556</v>
      </c>
      <c r="J11" s="0" t="n">
        <f aca="false">J8+J10+J24</f>
        <v>74527.5424647463</v>
      </c>
      <c r="K11" s="0" t="n">
        <f aca="false">K8+K10+K24</f>
        <v>77565.1892615677</v>
      </c>
      <c r="L11" s="0" t="n">
        <f aca="false">L8+L10+L24</f>
        <v>80318.145309388</v>
      </c>
    </row>
    <row r="12" customFormat="false" ht="15" hidden="false" customHeight="false" outlineLevel="0" collapsed="false">
      <c r="A12" s="0" t="s">
        <v>114</v>
      </c>
      <c r="C12" s="4" t="n">
        <f aca="false">-C6*Assumptions!C45/100</f>
        <v>-1601.07206931</v>
      </c>
      <c r="D12" s="4" t="n">
        <f aca="false">-D6*Assumptions!D45/100</f>
        <v>-1608.2768936219</v>
      </c>
      <c r="E12" s="4" t="n">
        <f aca="false">-E6*Assumptions!E45/100</f>
        <v>-1686.27832296256</v>
      </c>
      <c r="F12" s="4" t="n">
        <f aca="false">-F6*Assumptions!F45/100</f>
        <v>-1785.93737184964</v>
      </c>
      <c r="G12" s="4" t="n">
        <f aca="false">-G6*Assumptions!G45/100</f>
        <v>-1877.19877155116</v>
      </c>
      <c r="H12" s="4" t="n">
        <f aca="false">-H6*Assumptions!H45/100</f>
        <v>-1956.04111995631</v>
      </c>
      <c r="I12" s="4" t="n">
        <f aca="false">-I6*Assumptions!I45/100</f>
        <v>-2032.91353597059</v>
      </c>
      <c r="J12" s="4" t="n">
        <f aca="false">-J6*Assumptions!J45/100</f>
        <v>-2109.55437627668</v>
      </c>
      <c r="K12" s="4" t="n">
        <f aca="false">-K6*Assumptions!K45/100</f>
        <v>-2183.17782400874</v>
      </c>
      <c r="L12" s="4" t="n">
        <f aca="false">-L6*Assumptions!L45/100</f>
        <v>-2255.22269220103</v>
      </c>
    </row>
    <row r="13" customFormat="false" ht="15" hidden="false" customHeight="false" outlineLevel="0" collapsed="false">
      <c r="A13" s="0" t="s">
        <v>115</v>
      </c>
      <c r="C13" s="0" t="n">
        <f aca="false">C11+C12</f>
        <v>38860.306367967</v>
      </c>
      <c r="D13" s="0" t="n">
        <f aca="false">D11+D12</f>
        <v>43584.3038171534</v>
      </c>
      <c r="E13" s="0" t="n">
        <f aca="false">E11+E12</f>
        <v>49407.9548628029</v>
      </c>
      <c r="F13" s="0" t="n">
        <f aca="false">F11+F12</f>
        <v>55848.812956841</v>
      </c>
      <c r="G13" s="0" t="n">
        <f aca="false">G11+G12</f>
        <v>62242.5478395749</v>
      </c>
      <c r="H13" s="0" t="n">
        <f aca="false">H11+H12</f>
        <v>65778.8685196736</v>
      </c>
      <c r="I13" s="0" t="n">
        <f aca="false">I11+I12</f>
        <v>69177.143466885</v>
      </c>
      <c r="J13" s="0" t="n">
        <f aca="false">J11+J12</f>
        <v>72417.9880884696</v>
      </c>
      <c r="K13" s="0" t="n">
        <f aca="false">K11+K12</f>
        <v>75382.0114375589</v>
      </c>
      <c r="L13" s="0" t="n">
        <f aca="false">L11+L12</f>
        <v>78062.922617187</v>
      </c>
    </row>
    <row r="14" customFormat="false" ht="15" hidden="false" customHeight="false" outlineLevel="0" collapsed="false">
      <c r="A14" s="0" t="s">
        <v>101</v>
      </c>
      <c r="C14" s="4" t="n">
        <f aca="false">Assumptions!C47</f>
        <v>48</v>
      </c>
      <c r="D14" s="4" t="n">
        <f aca="false">Assumptions!D47</f>
        <v>47</v>
      </c>
      <c r="E14" s="4" t="n">
        <f aca="false">Assumptions!E47</f>
        <v>46.5</v>
      </c>
      <c r="F14" s="4" t="n">
        <f aca="false">Assumptions!F47</f>
        <v>46</v>
      </c>
      <c r="G14" s="4" t="n">
        <f aca="false">Assumptions!G47</f>
        <v>45.5</v>
      </c>
      <c r="H14" s="4" t="n">
        <f aca="false">Assumptions!H47</f>
        <v>45</v>
      </c>
      <c r="I14" s="4" t="n">
        <f aca="false">Assumptions!I47</f>
        <v>45</v>
      </c>
      <c r="J14" s="4" t="n">
        <f aca="false">Assumptions!J47</f>
        <v>45</v>
      </c>
      <c r="K14" s="4" t="n">
        <f aca="false">Assumptions!K47</f>
        <v>45</v>
      </c>
      <c r="L14" s="4" t="n">
        <f aca="false">Assumptions!L47</f>
        <v>45</v>
      </c>
    </row>
    <row r="15" customFormat="false" ht="15" hidden="false" customHeight="false" outlineLevel="0" collapsed="false">
      <c r="A15" s="0" t="s">
        <v>116</v>
      </c>
      <c r="C15" s="0" t="n">
        <f aca="false">C13-MAX(0,C13)*C14/100</f>
        <v>20207.3593113428</v>
      </c>
      <c r="D15" s="0" t="n">
        <f aca="false">D13-MAX(0,D13)*D14/100</f>
        <v>23099.6810230913</v>
      </c>
      <c r="E15" s="0" t="n">
        <f aca="false">E13-MAX(0,E13)*E14/100</f>
        <v>26433.2558515996</v>
      </c>
      <c r="F15" s="0" t="n">
        <f aca="false">F13-MAX(0,F13)*F14/100</f>
        <v>30158.3589966941</v>
      </c>
      <c r="G15" s="0" t="n">
        <f aca="false">G13-MAX(0,G13)*G14/100</f>
        <v>33922.1885725683</v>
      </c>
      <c r="H15" s="0" t="n">
        <f aca="false">H13-MAX(0,H13)*H14/100</f>
        <v>36178.3776858205</v>
      </c>
      <c r="I15" s="0" t="n">
        <f aca="false">I13-MAX(0,I13)*I14/100</f>
        <v>38047.4289067868</v>
      </c>
      <c r="J15" s="0" t="n">
        <f aca="false">J13-MAX(0,J13)*J14/100</f>
        <v>39829.8934486583</v>
      </c>
      <c r="K15" s="0" t="n">
        <f aca="false">K13-MAX(0,K13)*K14/100</f>
        <v>41460.1062906574</v>
      </c>
      <c r="L15" s="0" t="n">
        <f aca="false">L13-MAX(0,L13)*L14/100</f>
        <v>42934.6074394529</v>
      </c>
    </row>
    <row r="16" customFormat="false" ht="15" hidden="false" customHeight="false" outlineLevel="0" collapsed="false">
      <c r="A16" s="0" t="s">
        <v>117</v>
      </c>
      <c r="C16" s="0" t="n">
        <f aca="false">-C12</f>
        <v>1601.07206931</v>
      </c>
      <c r="D16" s="0" t="n">
        <f aca="false">-D12</f>
        <v>1608.2768936219</v>
      </c>
      <c r="E16" s="0" t="n">
        <f aca="false">-E12</f>
        <v>1686.27832296256</v>
      </c>
      <c r="F16" s="0" t="n">
        <f aca="false">-F12</f>
        <v>1785.93737184964</v>
      </c>
      <c r="G16" s="0" t="n">
        <f aca="false">-G12</f>
        <v>1877.19877155116</v>
      </c>
      <c r="H16" s="0" t="n">
        <f aca="false">-H12</f>
        <v>1956.04111995631</v>
      </c>
      <c r="I16" s="0" t="n">
        <f aca="false">-I12</f>
        <v>2032.91353597059</v>
      </c>
      <c r="J16" s="0" t="n">
        <f aca="false">-J12</f>
        <v>2109.55437627668</v>
      </c>
      <c r="K16" s="0" t="n">
        <f aca="false">-K12</f>
        <v>2183.17782400874</v>
      </c>
      <c r="L16" s="0" t="n">
        <f aca="false">-L12</f>
        <v>2255.22269220103</v>
      </c>
    </row>
    <row r="17" customFormat="false" ht="15" hidden="false" customHeight="false" outlineLevel="0" collapsed="false">
      <c r="A17" s="0" t="s">
        <v>118</v>
      </c>
      <c r="C17" s="4" t="n">
        <f aca="false">-C6*Assumptions!C46/100</f>
        <v>-10292.60615985</v>
      </c>
      <c r="D17" s="4" t="n">
        <f aca="false">-D6*Assumptions!D46/100</f>
        <v>-10338.9228875693</v>
      </c>
      <c r="E17" s="4" t="n">
        <f aca="false">-E6*Assumptions!E46/100</f>
        <v>-10840.3606476164</v>
      </c>
      <c r="F17" s="4" t="n">
        <f aca="false">-F6*Assumptions!F46/100</f>
        <v>-11481.0259618906</v>
      </c>
      <c r="G17" s="4" t="n">
        <f aca="false">-G6*Assumptions!G46/100</f>
        <v>-12067.7063885432</v>
      </c>
      <c r="H17" s="4" t="n">
        <f aca="false">-H6*Assumptions!H46/100</f>
        <v>-12574.550056862</v>
      </c>
      <c r="I17" s="4" t="n">
        <f aca="false">-I6*Assumptions!I46/100</f>
        <v>-13068.7298740967</v>
      </c>
      <c r="J17" s="4" t="n">
        <f aca="false">-J6*Assumptions!J46/100</f>
        <v>-13561.4209903501</v>
      </c>
      <c r="K17" s="4" t="n">
        <f aca="false">-K6*Assumptions!K46/100</f>
        <v>-14034.7145829133</v>
      </c>
      <c r="L17" s="4" t="n">
        <f aca="false">-L6*Assumptions!L46/100</f>
        <v>-14497.8601641495</v>
      </c>
    </row>
    <row r="18" customFormat="false" ht="15" hidden="false" customHeight="false" outlineLevel="0" collapsed="false">
      <c r="A18" s="0" t="s">
        <v>119</v>
      </c>
      <c r="C18" s="4" t="n">
        <f aca="false">(C6-B6)*Assumptions!$B$51/100</f>
        <v>5271.331867</v>
      </c>
      <c r="D18" s="4" t="n">
        <f aca="false">(D6-C6)*Assumptions!$B$51/100</f>
        <v>-102.9260615985</v>
      </c>
      <c r="E18" s="4" t="n">
        <f aca="false">(E6-D6)*Assumptions!$B$51/100</f>
        <v>-1114.30613343803</v>
      </c>
      <c r="F18" s="4" t="n">
        <f aca="false">(F6-E6)*Assumptions!$B$51/100</f>
        <v>-1423.70069838696</v>
      </c>
      <c r="G18" s="4" t="n">
        <f aca="false">(G6-F6)*Assumptions!$B$51/100</f>
        <v>-1303.73428145024</v>
      </c>
      <c r="H18" s="4" t="n">
        <f aca="false">(H6-G6)*Assumptions!$B$51/100</f>
        <v>-1126.3192629307</v>
      </c>
      <c r="I18" s="4" t="n">
        <f aca="false">(I6-H6)*Assumptions!$B$51/100</f>
        <v>-1098.17737163261</v>
      </c>
      <c r="J18" s="4" t="n">
        <f aca="false">(J6-I6)*Assumptions!$B$51/100</f>
        <v>-1094.86914722988</v>
      </c>
      <c r="K18" s="4" t="n">
        <f aca="false">(K6-J6)*Assumptions!$B$51/100</f>
        <v>-1051.76353902937</v>
      </c>
      <c r="L18" s="4" t="n">
        <f aca="false">(L6-K6)*Assumptions!$B$51/100</f>
        <v>-1029.21240274697</v>
      </c>
    </row>
    <row r="19" customFormat="false" ht="15" hidden="false" customHeight="false" outlineLevel="0" collapsed="false">
      <c r="A19" s="0" t="s">
        <v>120</v>
      </c>
      <c r="C19" s="0" t="n">
        <f aca="false">C15+C16+C17+C18</f>
        <v>16787.1570878028</v>
      </c>
      <c r="D19" s="0" t="n">
        <f aca="false">D15+D16+D17+D18</f>
        <v>14266.1089675454</v>
      </c>
      <c r="E19" s="0" t="n">
        <f aca="false">E15+E16+E17+E18</f>
        <v>16164.8673935077</v>
      </c>
      <c r="F19" s="0" t="n">
        <f aca="false">F15+F16+F17+F18</f>
        <v>19039.5697082663</v>
      </c>
      <c r="G19" s="0" t="n">
        <f aca="false">G15+G16+G17+G18</f>
        <v>22427.9466741261</v>
      </c>
      <c r="H19" s="0" t="n">
        <f aca="false">H15+H16+H17+H18</f>
        <v>24433.5494859841</v>
      </c>
      <c r="I19" s="0" t="n">
        <f aca="false">I15+I16+I17+I18</f>
        <v>25913.4351970281</v>
      </c>
      <c r="J19" s="0" t="n">
        <f aca="false">J15+J16+J17+J18</f>
        <v>27283.157687355</v>
      </c>
      <c r="K19" s="0" t="n">
        <f aca="false">K15+K16+K17+K18</f>
        <v>28556.8059927234</v>
      </c>
      <c r="L19" s="0" t="n">
        <f aca="false">L15+L16+L17+L18</f>
        <v>29662.7575647574</v>
      </c>
    </row>
    <row r="20" customFormat="false" ht="15" hidden="false" customHeight="false" outlineLevel="0" collapsed="false">
      <c r="A20" s="0" t="s">
        <v>121</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122</v>
      </c>
      <c r="C21" s="0" t="n">
        <f aca="false">C19*C20</f>
        <v>15688.9318577597</v>
      </c>
      <c r="D21" s="0" t="n">
        <f aca="false">D19*D20</f>
        <v>12460.5720740199</v>
      </c>
      <c r="E21" s="0" t="n">
        <f aca="false">E19*E20</f>
        <v>13195.3469335425</v>
      </c>
      <c r="F21" s="0" t="n">
        <f aca="false">F19*F20</f>
        <v>14525.1965698814</v>
      </c>
      <c r="G21" s="0" t="n">
        <f aca="false">G19*G20</f>
        <v>15990.8160128486</v>
      </c>
      <c r="H21" s="0" t="n">
        <f aca="false">H19*H20</f>
        <v>16281.1057002214</v>
      </c>
      <c r="I21" s="0" t="n">
        <f aca="false">I19*I20</f>
        <v>16137.5850802923</v>
      </c>
      <c r="J21" s="0" t="n">
        <f aca="false">J19*J20</f>
        <v>15879.0461753242</v>
      </c>
      <c r="K21" s="0" t="n">
        <f aca="false">K19*K20</f>
        <v>15533.0103598715</v>
      </c>
      <c r="L21" s="0" t="n">
        <f aca="false">L19*L20</f>
        <v>15079.0418108082</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7</v>
      </c>
    </row>
    <row r="28" customFormat="false" ht="15" hidden="false" customHeight="false" outlineLevel="0" collapsed="false">
      <c r="A28" s="0" t="s">
        <v>103</v>
      </c>
      <c r="B28" s="4" t="n">
        <f aca="false">Assumptions!$B$49</f>
        <v>2</v>
      </c>
    </row>
    <row r="29" customFormat="false" ht="15" hidden="false" customHeight="false" outlineLevel="0" collapsed="false">
      <c r="A29" s="0" t="s">
        <v>104</v>
      </c>
      <c r="B29" s="4" t="n">
        <f aca="false">Assumptions!$B$50</f>
        <v>20</v>
      </c>
    </row>
    <row r="30" customFormat="false" ht="15" hidden="false" customHeight="false" outlineLevel="0" collapsed="false">
      <c r="A30" s="0" t="s">
        <v>125</v>
      </c>
      <c r="B30" s="0" t="n">
        <f aca="false">SUM(C21:L21)</f>
        <v>150770.65257457</v>
      </c>
    </row>
    <row r="31" customFormat="false" ht="15" hidden="false" customHeight="false" outlineLevel="0" collapsed="false">
      <c r="A31" s="0" t="s">
        <v>126</v>
      </c>
      <c r="B31" s="0" t="n">
        <f aca="false">L19</f>
        <v>29662.7575647574</v>
      </c>
    </row>
    <row r="32" customFormat="false" ht="15" hidden="false" customHeight="false" outlineLevel="0" collapsed="false">
      <c r="A32" s="0" t="s">
        <v>127</v>
      </c>
      <c r="B32" s="0" t="n">
        <f aca="false">IF(B27&gt;B28,B31*(1+B28/100)/((B27-B28)/100),B31*B29)</f>
        <v>605120.254321052</v>
      </c>
    </row>
    <row r="33" customFormat="false" ht="15" hidden="false" customHeight="false" outlineLevel="0" collapsed="false">
      <c r="A33" s="0" t="s">
        <v>128</v>
      </c>
      <c r="B33" s="0" t="n">
        <f aca="false">B31*B29</f>
        <v>593255.151295149</v>
      </c>
    </row>
    <row r="34" customFormat="false" ht="15" hidden="false" customHeight="false" outlineLevel="0" collapsed="false">
      <c r="A34" s="0" t="s">
        <v>129</v>
      </c>
      <c r="B34" s="0" t="n">
        <f aca="false">MAX(0,MIN(B32,B33))</f>
        <v>593255.151295149</v>
      </c>
    </row>
    <row r="35" customFormat="false" ht="15" hidden="false" customHeight="false" outlineLevel="0" collapsed="false">
      <c r="A35" s="0" t="s">
        <v>130</v>
      </c>
      <c r="B35" s="0" t="n">
        <f aca="false">B34/(1+B27/100)^L4</f>
        <v>301580.836216164</v>
      </c>
    </row>
    <row r="36" customFormat="false" ht="15" hidden="false" customHeight="false" outlineLevel="0" collapsed="false">
      <c r="A36" s="0" t="s">
        <v>131</v>
      </c>
      <c r="B36" s="0" t="n">
        <f aca="false">B30+B35</f>
        <v>452351.488790733</v>
      </c>
    </row>
    <row r="37" customFormat="false" ht="15" hidden="false" customHeight="false" outlineLevel="0" collapsed="false">
      <c r="A37" s="0" t="s">
        <v>132</v>
      </c>
      <c r="B37" s="0" t="n">
        <f aca="false">B36+Assumptions!$B$5-Assumptions!$B$4</f>
        <v>288998.688790733</v>
      </c>
    </row>
    <row r="38" customFormat="false" ht="15" hidden="false" customHeight="false" outlineLevel="0" collapsed="false">
      <c r="A38" s="0" t="s">
        <v>133</v>
      </c>
      <c r="B38" s="0" t="n">
        <f aca="false">B37/Assumptions!$B$3*Assumptions!$B$10</f>
        <v>47.6075748390078</v>
      </c>
    </row>
    <row r="39" customFormat="false" ht="15" hidden="false" customHeight="false" outlineLevel="0" collapsed="false">
      <c r="A39" s="0" t="s">
        <v>134</v>
      </c>
      <c r="B39" s="4" t="n">
        <f aca="false">B38/Assumptions!$B$2-1</f>
        <v>0.563980776577129</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47.6075748390078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232738.559354251</v>
      </c>
    </row>
    <row r="47" customFormat="false" ht="15" hidden="false" customHeight="false" outlineLevel="0" collapsed="false">
      <c r="A47" s="0" t="s">
        <v>139</v>
      </c>
      <c r="B47" s="0" t="n">
        <f aca="false">(SUMPRODUCT(C19:L19/(1+B45/100)^C4:L4)+B46/(1+B45/100)^L4+Assumptions!$B$5-Assumptions!$B$4)/Assumptions!$B$3*Assumptions!$B$10</f>
        <v>-0.510596508868127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4.54777018061214</v>
      </c>
      <c r="C4" s="0" t="n">
        <f aca="false">B4/Assumptions!$B$2-1</f>
        <v>-0.850598877115239</v>
      </c>
      <c r="D4" s="4" t="n">
        <f aca="false">Assumptions!$B$24</f>
        <v>0.3</v>
      </c>
      <c r="E4" s="4" t="n">
        <f aca="false">DCF_Bear!$B$43</f>
        <v>4.54777018061214</v>
      </c>
      <c r="F4" s="4" t="n">
        <f aca="false">DCF_Bear!$B$47</f>
        <v>-11.8961523857065</v>
      </c>
    </row>
    <row r="5" customFormat="false" ht="15" hidden="false" customHeight="false" outlineLevel="0" collapsed="false">
      <c r="A5" s="0" t="s">
        <v>148</v>
      </c>
      <c r="B5" s="4" t="n">
        <f aca="false">DCF_Base!$B$38</f>
        <v>26.4850282883639</v>
      </c>
      <c r="C5" s="0" t="n">
        <f aca="false">B5/Assumptions!$B$2-1</f>
        <v>-0.129926797359925</v>
      </c>
      <c r="D5" s="4" t="n">
        <f aca="false">Assumptions!$B$38</f>
        <v>0.5</v>
      </c>
      <c r="E5" s="4" t="n">
        <f aca="false">DCF_Base!$B$43</f>
        <v>26.4850282883639</v>
      </c>
      <c r="F5" s="4" t="n">
        <f aca="false">DCF_Base!$B$47</f>
        <v>-5.75926540118463</v>
      </c>
    </row>
    <row r="6" customFormat="false" ht="15" hidden="false" customHeight="false" outlineLevel="0" collapsed="false">
      <c r="A6" s="0" t="s">
        <v>149</v>
      </c>
      <c r="B6" s="4" t="n">
        <f aca="false">DCF_Bull!$B$38</f>
        <v>47.6075748390078</v>
      </c>
      <c r="C6" s="0" t="n">
        <f aca="false">B6/Assumptions!$B$2-1</f>
        <v>0.563980776577129</v>
      </c>
      <c r="D6" s="4" t="n">
        <f aca="false">Assumptions!$B$52</f>
        <v>0.2</v>
      </c>
      <c r="E6" s="4" t="n">
        <f aca="false">DCF_Bull!$B$43</f>
        <v>47.6075748390078</v>
      </c>
      <c r="F6" s="4" t="n">
        <f aca="false">DCF_Bull!$B$47</f>
        <v>-0.510596508868127</v>
      </c>
    </row>
    <row r="8" customFormat="false" ht="15" hidden="false" customHeight="false" outlineLevel="0" collapsed="false">
      <c r="A8" s="0" t="s">
        <v>150</v>
      </c>
      <c r="B8" s="0" t="n">
        <f aca="false">SUMPRODUCT(B4:B6,D4:D6)</f>
        <v>24.1283601661672</v>
      </c>
    </row>
    <row r="9" customFormat="false" ht="15" hidden="false" customHeight="false" outlineLevel="0" collapsed="false">
      <c r="A9" s="0" t="s">
        <v>151</v>
      </c>
      <c r="B9" s="0" t="n">
        <f aca="false">SUMPRODUCT(E4:E6,D4:D6)</f>
        <v>24.1283601661672</v>
      </c>
    </row>
    <row r="10" customFormat="false" ht="15" hidden="false" customHeight="false" outlineLevel="0" collapsed="false">
      <c r="A10" s="0" t="s">
        <v>152</v>
      </c>
      <c r="B10" s="0" t="n">
        <f aca="false">1-Assumptions!$B$2/B8</f>
        <v>-0.261585942449709</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-6.55059771807789</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26.4850282883639</v>
      </c>
      <c r="C15" s="3" t="n">
        <v>7</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13.7740710946133</v>
      </c>
      <c r="C16" s="3" t="n">
        <v>9</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8.44870218148662</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4.32044193101944</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1.02928529130265</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-5.75926540118463</v>
      </c>
      <c r="C20" s="3" t="n">
        <v>15</v>
      </c>
    </row>
    <row r="22" customFormat="false" ht="15" hidden="false" customHeight="false" outlineLevel="0" collapsed="false">
      <c r="A22" s="2" t="s">
        <v>163</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35.5357934782146</v>
      </c>
      <c r="C24" s="0" t="n">
        <f aca="false">(SUMPRODUCT(DCF_Base!$C$19:$L$19/(1+$A$24/100)^DCF_Base!$C$4:$L$4)+MAX(0,MIN(IF($A$24&gt;$C$23,DCF_Base!$L$19*(1+$C$23/100)/(($A$24-$C$23)/100),DCF_Base!$L$19*DCF_Base!$B$29),DCF_Base!$L$19*DCF_Base!$B$29))/(1+$A$24/100)^DCF_Base!$L$4+Assumptions!$B$5-Assumptions!$B$4)/Assumptions!$B$3*Assumptions!$B$10</f>
        <v>35.5357934782146</v>
      </c>
      <c r="D24" s="0" t="n">
        <f aca="false">(SUMPRODUCT(DCF_Base!$C$19:$L$19/(1+$A$24/100)^DCF_Base!$C$4:$L$4)+MAX(0,MIN(IF($A$24&gt;$D$23,DCF_Base!$L$19*(1+$D$23/100)/(($A$24-$D$23)/100),DCF_Base!$L$19*DCF_Base!$B$29),DCF_Base!$L$19*DCF_Base!$B$29))/(1+$A$24/100)^DCF_Base!$L$4+Assumptions!$B$5-Assumptions!$B$4)/Assumptions!$B$3*Assumptions!$B$10</f>
        <v>35.5357934782146</v>
      </c>
      <c r="E24" s="0" t="n">
        <f aca="false">(SUMPRODUCT(DCF_Base!$C$19:$L$19/(1+$A$24/100)^DCF_Base!$C$4:$L$4)+MAX(0,MIN(IF($A$24&gt;$E$23,DCF_Base!$L$19*(1+$E$23/100)/(($A$24-$E$23)/100),DCF_Base!$L$19*DCF_Base!$B$29),DCF_Base!$L$19*DCF_Base!$B$29))/(1+$A$24/100)^DCF_Base!$L$4+Assumptions!$B$5-Assumptions!$B$4)/Assumptions!$B$3*Assumptions!$B$10</f>
        <v>35.5357934782146</v>
      </c>
      <c r="F24" s="0" t="n">
        <f aca="false">(SUMPRODUCT(DCF_Base!$C$19:$L$19/(1+$A$24/100)^DCF_Base!$C$4:$L$4)+MAX(0,MIN(IF($A$24&gt;$F$23,DCF_Base!$L$19*(1+$F$23/100)/(($A$24-$F$23)/100),DCF_Base!$L$19*DCF_Base!$B$29),DCF_Base!$L$19*DCF_Base!$B$29))/(1+$A$24/100)^DCF_Base!$L$4+Assumptions!$B$5-Assumptions!$B$4)/Assumptions!$B$3*Assumptions!$B$10</f>
        <v>35.5357934782146</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30.7913602087633</v>
      </c>
      <c r="C25" s="0" t="n">
        <f aca="false">(SUMPRODUCT(DCF_Base!$C$19:$L$19/(1+$A$25/100)^DCF_Base!$C$4:$L$4)+MAX(0,MIN(IF($A$25&gt;$C$23,DCF_Base!$L$19*(1+$C$23/100)/(($A$25-$C$23)/100),DCF_Base!$L$19*DCF_Base!$B$29),DCF_Base!$L$19*DCF_Base!$B$29))/(1+$A$25/100)^DCF_Base!$L$4+Assumptions!$B$5-Assumptions!$B$4)/Assumptions!$B$3*Assumptions!$B$10</f>
        <v>30.7913602087633</v>
      </c>
      <c r="D25" s="0" t="n">
        <f aca="false">(SUMPRODUCT(DCF_Base!$C$19:$L$19/(1+$A$25/100)^DCF_Base!$C$4:$L$4)+MAX(0,MIN(IF($A$25&gt;$D$23,DCF_Base!$L$19*(1+$D$23/100)/(($A$25-$D$23)/100),DCF_Base!$L$19*DCF_Base!$B$29),DCF_Base!$L$19*DCF_Base!$B$29))/(1+$A$25/100)^DCF_Base!$L$4+Assumptions!$B$5-Assumptions!$B$4)/Assumptions!$B$3*Assumptions!$B$10</f>
        <v>30.7913602087633</v>
      </c>
      <c r="E25" s="0" t="n">
        <f aca="false">(SUMPRODUCT(DCF_Base!$C$19:$L$19/(1+$A$25/100)^DCF_Base!$C$4:$L$4)+MAX(0,MIN(IF($A$25&gt;$E$23,DCF_Base!$L$19*(1+$E$23/100)/(($A$25-$E$23)/100),DCF_Base!$L$19*DCF_Base!$B$29),DCF_Base!$L$19*DCF_Base!$B$29))/(1+$A$25/100)^DCF_Base!$L$4+Assumptions!$B$5-Assumptions!$B$4)/Assumptions!$B$3*Assumptions!$B$10</f>
        <v>30.7913602087633</v>
      </c>
      <c r="F25" s="0" t="n">
        <f aca="false">(SUMPRODUCT(DCF_Base!$C$19:$L$19/(1+$A$25/100)^DCF_Base!$C$4:$L$4)+MAX(0,MIN(IF($A$25&gt;$F$23,DCF_Base!$L$19*(1+$F$23/100)/(($A$25-$F$23)/100),DCF_Base!$L$19*DCF_Base!$B$29),DCF_Base!$L$19*DCF_Base!$B$29))/(1+$A$25/100)^DCF_Base!$L$4+Assumptions!$B$5-Assumptions!$B$4)/Assumptions!$B$3*Assumptions!$B$10</f>
        <v>30.7913602087633</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24.3403343097217</v>
      </c>
      <c r="C26" s="0" t="n">
        <f aca="false">(SUMPRODUCT(DCF_Base!$C$19:$L$19/(1+$A$26/100)^DCF_Base!$C$4:$L$4)+MAX(0,MIN(IF($A$26&gt;$C$23,DCF_Base!$L$19*(1+$C$23/100)/(($A$26-$C$23)/100),DCF_Base!$L$19*DCF_Base!$B$29),DCF_Base!$L$19*DCF_Base!$B$29))/(1+$A$26/100)^DCF_Base!$L$4+Assumptions!$B$5-Assumptions!$B$4)/Assumptions!$B$3*Assumptions!$B$10</f>
        <v>26.4850282883639</v>
      </c>
      <c r="D26" s="0" t="n">
        <f aca="false">(SUMPRODUCT(DCF_Base!$C$19:$L$19/(1+$A$26/100)^DCF_Base!$C$4:$L$4)+MAX(0,MIN(IF($A$26&gt;$D$23,DCF_Base!$L$19*(1+$D$23/100)/(($A$26-$D$23)/100),DCF_Base!$L$19*DCF_Base!$B$29),DCF_Base!$L$19*DCF_Base!$B$29))/(1+$A$26/100)^DCF_Base!$L$4+Assumptions!$B$5-Assumptions!$B$4)/Assumptions!$B$3*Assumptions!$B$10</f>
        <v>26.4850282883639</v>
      </c>
      <c r="E26" s="0" t="n">
        <f aca="false">(SUMPRODUCT(DCF_Base!$C$19:$L$19/(1+$A$26/100)^DCF_Base!$C$4:$L$4)+MAX(0,MIN(IF($A$26&gt;$E$23,DCF_Base!$L$19*(1+$E$23/100)/(($A$26-$E$23)/100),DCF_Base!$L$19*DCF_Base!$B$29),DCF_Base!$L$19*DCF_Base!$B$29))/(1+$A$26/100)^DCF_Base!$L$4+Assumptions!$B$5-Assumptions!$B$4)/Assumptions!$B$3*Assumptions!$B$10</f>
        <v>26.4850282883639</v>
      </c>
      <c r="F26" s="0" t="n">
        <f aca="false">(SUMPRODUCT(DCF_Base!$C$19:$L$19/(1+$A$26/100)^DCF_Base!$C$4:$L$4)+MAX(0,MIN(IF($A$26&gt;$F$23,DCF_Base!$L$19*(1+$F$23/100)/(($A$26-$F$23)/100),DCF_Base!$L$19*DCF_Base!$B$29),DCF_Base!$L$19*DCF_Base!$B$29))/(1+$A$26/100)^DCF_Base!$L$4+Assumptions!$B$5-Assumptions!$B$4)/Assumptions!$B$3*Assumptions!$B$10</f>
        <v>26.4850282883639</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16.5895048263201</v>
      </c>
      <c r="C27" s="0" t="n">
        <f aca="false">(SUMPRODUCT(DCF_Base!$C$19:$L$19/(1+$A$27/100)^DCF_Base!$C$4:$L$4)+MAX(0,MIN(IF($A$27&gt;$C$23,DCF_Base!$L$19*(1+$C$23/100)/(($A$27-$C$23)/100),DCF_Base!$L$19*DCF_Base!$B$29),DCF_Base!$L$19*DCF_Base!$B$29))/(1+$A$27/100)^DCF_Base!$L$4+Assumptions!$B$5-Assumptions!$B$4)/Assumptions!$B$3*Assumptions!$B$10</f>
        <v>18.5774350106261</v>
      </c>
      <c r="D27" s="0" t="n">
        <f aca="false">(SUMPRODUCT(DCF_Base!$C$19:$L$19/(1+$A$27/100)^DCF_Base!$C$4:$L$4)+MAX(0,MIN(IF($A$27&gt;$D$23,DCF_Base!$L$19*(1+$D$23/100)/(($A$27-$D$23)/100),DCF_Base!$L$19*DCF_Base!$B$29),DCF_Base!$L$19*DCF_Base!$B$29))/(1+$A$27/100)^DCF_Base!$L$4+Assumptions!$B$5-Assumptions!$B$4)/Assumptions!$B$3*Assumptions!$B$10</f>
        <v>20.8966868923164</v>
      </c>
      <c r="E27" s="0" t="n">
        <f aca="false">(SUMPRODUCT(DCF_Base!$C$19:$L$19/(1+$A$27/100)^DCF_Base!$C$4:$L$4)+MAX(0,MIN(IF($A$27&gt;$E$23,DCF_Base!$L$19*(1+$E$23/100)/(($A$27-$E$23)/100),DCF_Base!$L$19*DCF_Base!$B$29),DCF_Base!$L$19*DCF_Base!$B$29))/(1+$A$27/100)^DCF_Base!$L$4+Assumptions!$B$5-Assumptions!$B$4)/Assumptions!$B$3*Assumptions!$B$10</f>
        <v>22.5717021402038</v>
      </c>
      <c r="F27" s="0" t="n">
        <f aca="false">(SUMPRODUCT(DCF_Base!$C$19:$L$19/(1+$A$27/100)^DCF_Base!$C$4:$L$4)+MAX(0,MIN(IF($A$27&gt;$F$23,DCF_Base!$L$19*(1+$F$23/100)/(($A$27-$F$23)/100),DCF_Base!$L$19*DCF_Base!$B$29),DCF_Base!$L$19*DCF_Base!$B$29))/(1+$A$27/100)^DCF_Base!$L$4+Assumptions!$B$5-Assumptions!$B$4)/Assumptions!$B$3*Assumptions!$B$10</f>
        <v>22.5717021402038</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10.8008321602219</v>
      </c>
      <c r="C28" s="0" t="n">
        <f aca="false">(SUMPRODUCT(DCF_Base!$C$19:$L$19/(1+$A$28/100)^DCF_Base!$C$4:$L$4)+MAX(0,MIN(IF($A$28&gt;$C$23,DCF_Base!$L$19*(1+$C$23/100)/(($A$28-$C$23)/100),DCF_Base!$L$19*DCF_Base!$B$29),DCF_Base!$L$19*DCF_Base!$B$29))/(1+$A$28/100)^DCF_Base!$L$4+Assumptions!$B$5-Assumptions!$B$4)/Assumptions!$B$3*Assumptions!$B$10</f>
        <v>12.1883436629379</v>
      </c>
      <c r="D28" s="0" t="n">
        <f aca="false">(SUMPRODUCT(DCF_Base!$C$19:$L$19/(1+$A$28/100)^DCF_Base!$C$4:$L$4)+MAX(0,MIN(IF($A$28&gt;$D$23,DCF_Base!$L$19*(1+$D$23/100)/(($A$28-$D$23)/100),DCF_Base!$L$19*DCF_Base!$B$29),DCF_Base!$L$19*DCF_Base!$B$29))/(1+$A$28/100)^DCF_Base!$L$4+Assumptions!$B$5-Assumptions!$B$4)/Assumptions!$B$3*Assumptions!$B$10</f>
        <v>13.7740710946133</v>
      </c>
      <c r="E28" s="0" t="n">
        <f aca="false">(SUMPRODUCT(DCF_Base!$C$19:$L$19/(1+$A$28/100)^DCF_Base!$C$4:$L$4)+MAX(0,MIN(IF($A$28&gt;$E$23,DCF_Base!$L$19*(1+$E$23/100)/(($A$28-$E$23)/100),DCF_Base!$L$19*DCF_Base!$B$29),DCF_Base!$L$19*DCF_Base!$B$29))/(1+$A$28/100)^DCF_Base!$L$4+Assumptions!$B$5-Assumptions!$B$4)/Assumptions!$B$3*Assumptions!$B$10</f>
        <v>15.6037565927003</v>
      </c>
      <c r="F28" s="0" t="n">
        <f aca="false">(SUMPRODUCT(DCF_Base!$C$19:$L$19/(1+$A$28/100)^DCF_Base!$C$4:$L$4)+MAX(0,MIN(IF($A$28&gt;$F$23,DCF_Base!$L$19*(1+$F$23/100)/(($A$28-$F$23)/100),DCF_Base!$L$19*DCF_Base!$B$29),DCF_Base!$L$19*DCF_Base!$B$29))/(1+$A$28/100)^DCF_Base!$L$4+Assumptions!$B$5-Assumptions!$B$4)/Assumptions!$B$3*Assumptions!$B$10</f>
        <v>17.7383896738018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2026-10-11T17:04:44Z</dcterms:created>
  <dc:creator>openpyxl</dc:creator>
  <dc:description/>
  <dc:language>en-NZ</dc:language>
  <cp:lastModifiedBy/>
  <dcterms:modified xsi:type="dcterms:W3CDTF">2026-10-11T17:04:44Z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