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<sst xmlns="http://schemas.openxmlformats.org/spreadsheetml/2006/main" count="354" uniqueCount="168">
  <si>
    <t xml:space="preserve">Ticker</t>
  </si>
  <si>
    <t xml:space="preserve">2618.HK</t>
  </si>
  <si>
    <t xml:space="preserve">Company</t>
  </si>
  <si>
    <t xml:space="preserve">JD Logistics, Inc.</t>
  </si>
  <si>
    <t xml:space="preserve">Valuation date</t>
  </si>
  <si>
    <t xml:space="preserve">2026-10-22</t>
  </si>
  <si>
    <t xml:space="preserve">Current price</t>
  </si>
  <si>
    <t xml:space="preserve">Price as of</t>
  </si>
  <si>
    <t xml:space="preserve">2026-10-22T03:13:53Z (intraday, HKEX morning session; not a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</si>
  <si>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</si>
  <si>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</si>
  <si>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</si>
  <si>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</si>
  <si>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</si>
  <si>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</si>
  <si>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</si>
  <si>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</si>
  <si>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</si>
  <si>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</si>
  <si>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</si>
  <si>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</si>
  <si>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</si>
  <si>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2026-10-22T03:33:13Z</t>
  </si>
  <si>
    <t xml:space="preserve">Drivers file</t>
  </si>
  <si>
    <t xml:space="preserve">2618.HK_Drivers.json</t>
  </si>
  <si>
    <t xml:space="preserve">Convention</t>
  </si>
  <si>
    <t xml:space="preserve">Percents stored as percents; formulas divide by 100. Blue = input, green = link, black = formula.</t>
  </si>
  <si>
    <t xml:space="preserve">Methodology</t>
  </si>
  <si>
    <t xml:space="preserve">summary: A thin-margin, capital-intensive logistics network with a captive anchor customer and RMB30bn of net cash. Value is a function of whether the FY2025-26 EBITDA margin compression is a trough or the new normal, and of what multiple a minority holder can expect for cash flows whose pricing is set by the controlling shareholder. The DCF charges leases as an operating cost (treatment B), strips finance income and adds the cash pile in the bridge, expenses SBC (immaterial here) and holds the count flat. Most of the modelled upside versus the market price is a re-rating the stock has not been granted since 2022 (ex-lease EV/EBITDA has sat at ~2-5x); the required-return table is the honest reading of what today's price implies.
key_risks_to_valuation: Related-party concentration: ~37% of revenue from JD Group under connected-transaction pricing; a renegotiation or JD GMV slowdown hits the largest revenue line directly; Margin trajectory: non-IFRS EBITDA margin 11.1% -&gt; 9.5% -&gt; 8.8%; the base case assumes recovery to 10.5%, which has not yet started; On-demand delivery: capital- and subsidy-intensive entry against Meituan/Alibaba; JD's new-business segment lost RMB46.6bn in 2025; Labour regulation: gig-worker social insurance on ~540k delivery personnel is the largest cost line; Cash pile quality: RMB18.3bn of 'cash resources' are wealth-management products at FVTPL; treated as cash-like at book; Owner-FCF margin is 1-3%, so small working-capital swings move the FCF base materially; Low historical multiple: the market has never paid more than ~5x ex-lease EV/EBITDA since 2022; the Gordon terminal implies a re-rating</t>
  </si>
  <si>
    <t xml:space="preserve">Data sources</t>
  </si>
  <si>
    <t xml:space="preserve">price: Yahoo Finance chart API at inputs.price_as_of (intraday HKEX print); 52-week range 9.505-16.76 HKD
financials: 2618.HK_Metrics.csv (FY2020-FY2025, H1 FY2026) from core_metrics; FY2025 annual report and H1 FY2026 interim report (Extracted/) for lease principal and interest, D&amp;A split, cash-resource composition, borrowings, Kuayue put option, NCI and diluted share count
qualitative: 2618.HK_Analysis.json (2026-10-22): business model, JD Group dependency, on-demand delivery, M&amp;A history, buyback, sell-side targets</t>
  </si>
  <si>
    <t xml:space="preserve">Scenario narrative: bear</t>
  </si>
  <si>
    <t xml:space="preserve">JD.com's e-commerce growth slows and intercompany pricing is renegotiated in the parent's favour; on-demand delivery stays loss-making against Meituan/Alibaba and gig-worker social-insurance rules lift labour cost (the largest cost line, ~RMB80bn); the Tongda network and SF cap external pricing so the EBITDA margin settles at 8.4-8.8% and never recovers FY2024 levels; lease and capex intensity stay at FY2025 levels; cash tax normalises faster. Growth fades to 2.5% by FY2033. The terminal cap is 12x in this scenario; owner-FCF margin stays ~1.5%.</t>
  </si>
  <si>
    <t xml:space="preserve">Scenario narrative: base</t>
  </si>
  <si>
    <t xml:space="preserve">JD Group volumes keep growing mid-single digits and external integrated-supply-chain revenue compounds 10-14% as brand customers (FMCG, appliances, autos, luxury) outsource warehousing; on-demand delivery scales to break-even by FY2028 and the FY2025/H1 FY2026 margin trough proves cyclical, with non-IFRS EBITDA margin re-expanding ~0.3pp a year to 10.5% -- still below FY2024's 11.1%. Lease and capex intensity drift down slightly as the Asia No.1 park network matures. Owner-FCF margin rises from ~1.5% to ~3.4% by FY2035, in line with the FY2024 high-water mark. Gordon at 11%/2.5% binds (12.1x) below the 15x cap.</t>
  </si>
  <si>
    <t xml:space="preserve">Scenario narrative: bull</t>
  </si>
  <si>
    <t xml:space="preserve">Automation (LangzuTech GTP, Metabrain) and the consolidated freight platform (Deppon + Kuayue at 100%) deliver the structural cost advantage management claims: EBITDA margin returns to 11% by FY2030 and 12% by FY2035; on-demand delivery becomes a profitable last-mile density engine rather than a subsidy sink; JoyExpress and overseas warehousing add a second growth leg so revenue growth stays double-digit through FY2029; the buyback is sustained. Requires several independent things to go right, hence the 20% weight.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</si>
  <si>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</si>
  <si>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</si>
  <si>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</si>
  <si>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</si>
  <si>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</si>
  <si>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</si>
  <si>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</si>
  <si>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</si>
  <si>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</si>
  <si>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</si>
  <si>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</si>
  <si>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</si>
  <si>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</si>
  <si>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</si>
  <si>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</si>
  <si>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</si>
  <si>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</si>
  <si>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</si>
  <si>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</si>
  <si>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</si>
  <si>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</si>
  <si>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</si>
  <si>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</si>
  <si>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</si>
  <si>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</si>
  <si>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</si>
  <si>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</si>
  <si>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AdjustedNetIncome</t>
  </si>
  <si>
    <t xml:space="preserve">Customers</t>
  </si>
  <si>
    <t xml:space="preserve">DividendsPaidToNCI</t>
  </si>
  <si>
    <t xml:space="preserve">EPSBasic</t>
  </si>
  <si>
    <t xml:space="preserve">FairValueChangePreferredShares</t>
  </si>
  <si>
    <t xml:space="preserve">LeasePrincipalPaid</t>
  </si>
  <si>
    <t xml:space="preserve">NetIncomeInclNCI</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</si>
  <si>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</si>
  <si>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</si>
  <si>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</si>
  <si>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</si>
  <si>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</si>
  <si>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</si>
  <si>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</si>
  <si>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</si>
  <si>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</si>
  <si>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</si>
  <si>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</si>
  <si>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</si>
  <si>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</si>
  <si>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</si>
  <si>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</si>
  <si>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</si>
  <si>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</si>
  <si>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</si>
  <si>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</si>
  <si>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</si>
  <si>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</si>
  <si>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</si>
  <si>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</si>
  <si>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</si>
  <si>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</si>
  <si>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</si>
  <si>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</si>
  <si>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</si>
  <si>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</si>
  <si>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</si>
  <si>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</si>
  <si>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</si>
  <si>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</si>
  <si>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</si>
  <si>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</si>
  <si>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</si>
  <si>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</si>
  <si>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</si>
  <si>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</si>
  <si>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</si>
  <si>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</si>
  <si>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</si>
  <si>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</si>
  <si>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2618.HK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</si>
  <si>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</si>
  <si>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</si>
  <si>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</si>
  <si>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</si>
  <si>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</si>
  <si>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</si>
  <si>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</si>
  <si>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</si>
  <si>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</si>
  <si>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</si>
  <si>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</si>
  <si>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</si>
  <si>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</si>
  <si>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</si>
  <si>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</si>
  <si>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</si>
  <si>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</si>
  <si>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</si>
  <si>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</si>
  <si>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</si>
  <si>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</si>
  <si>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</si>
  <si>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</si>
  <si>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</si>
  <si>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</si>
  <si>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</si>
  <si>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</si>
  <si>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</si>
  <si>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</si>
  <si>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</si>
  <si>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2618.HK owner-FCF component DCF: base case (millions, CNY)</t>
  </si>
  <si>
    <t xml:space="preserve">2618.HK owner-FCF component DCF: bull case (millions, CNY)</t>
  </si>
  <si>
    <t xml:space="preserve">2618.HK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</si>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</sst>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9.78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73374.716</v>
      </c>
      <c r="C2" s="0" t="n">
        <v>67081.077</v>
      </c>
      <c r="D2" s="0" t="n">
        <v>6293.639</v>
      </c>
      <c r="E2" s="0" t="n">
        <v>8.6</v>
      </c>
      <c r="F2" s="0" t="n">
        <v>-3858.917</v>
      </c>
      <c r="G2" s="0" t="n">
        <v>-5.3</v>
      </c>
      <c r="I2" s="0" t="n">
        <v>-4133.995</v>
      </c>
      <c r="J2" s="0" t="n">
        <v>-5.6</v>
      </c>
      <c r="K2" s="0" t="n">
        <v>-1.05</v>
      </c>
      <c r="L2" s="0" t="n">
        <v>10201.097</v>
      </c>
      <c r="M2" s="0" t="n">
        <v>3196.986</v>
      </c>
      <c r="N2" s="0" t="n">
        <v>7004.111</v>
      </c>
      <c r="O2" s="0" t="n">
        <v>-5141.672</v>
      </c>
      <c r="P2" s="0" t="n">
        <v>54723.102</v>
      </c>
      <c r="Q2" s="0" t="n">
        <v>57616.734</v>
      </c>
      <c r="R2" s="0" t="n">
        <v>0</v>
      </c>
      <c r="S2" s="0" t="n">
        <v>6346.869</v>
      </c>
      <c r="T2" s="0" t="n">
        <v>3927.54</v>
      </c>
      <c r="U2" s="0" t="n">
        <v>877.594</v>
      </c>
      <c r="AA2" s="0" t="s">
        <v>18</v>
      </c>
      <c r="AB2" s="0" t="s">
        <v>14</v>
      </c>
      <c r="AG2" s="0" t="n">
        <v>-4861.109</v>
      </c>
      <c r="AI2" s="0" t="n">
        <v>-4037.289</v>
      </c>
    </row>
    <row r="3" customFormat="false" ht="15" hidden="false" customHeight="false" outlineLevel="0" collapsed="false">
      <c r="A3" s="0" t="s">
        <v>72</v>
      </c>
      <c r="B3" s="0" t="n">
        <v>104693.402</v>
      </c>
      <c r="C3" s="0" t="n">
        <v>98909.326</v>
      </c>
      <c r="D3" s="0" t="n">
        <v>5784.076</v>
      </c>
      <c r="E3" s="0" t="n">
        <v>5.5</v>
      </c>
      <c r="F3" s="0" t="n">
        <v>-15115.133</v>
      </c>
      <c r="G3" s="0" t="n">
        <v>-14.4</v>
      </c>
      <c r="H3" s="0" t="n">
        <v>6759.556</v>
      </c>
      <c r="I3" s="0" t="n">
        <v>-15841.96</v>
      </c>
      <c r="J3" s="0" t="n">
        <v>-15.1</v>
      </c>
      <c r="K3" s="0" t="n">
        <v>-3.19</v>
      </c>
      <c r="L3" s="0" t="n">
        <v>6207.337</v>
      </c>
      <c r="M3" s="0" t="n">
        <v>4167.326</v>
      </c>
      <c r="N3" s="0" t="n">
        <v>2040.011</v>
      </c>
      <c r="O3" s="0" t="n">
        <v>37938.096</v>
      </c>
      <c r="P3" s="0" t="n">
        <v>76795.068</v>
      </c>
      <c r="Q3" s="0" t="n">
        <v>36405.935</v>
      </c>
      <c r="R3" s="0" t="n">
        <v>0</v>
      </c>
      <c r="S3" s="0" t="n">
        <v>17922.779</v>
      </c>
      <c r="T3" s="0" t="n">
        <v>4963.488</v>
      </c>
      <c r="U3" s="0" t="n">
        <v>1447.219</v>
      </c>
      <c r="AA3" s="0" t="s">
        <v>18</v>
      </c>
      <c r="AB3" s="0" t="s">
        <v>14</v>
      </c>
      <c r="AC3" s="0" t="n">
        <v>-1225.916</v>
      </c>
      <c r="AG3" s="0" t="n">
        <v>-12843.803</v>
      </c>
      <c r="AI3" s="0" t="n">
        <v>-15660.732</v>
      </c>
    </row>
    <row r="4" customFormat="false" ht="15" hidden="false" customHeight="false" outlineLevel="0" collapsed="false">
      <c r="A4" s="0" t="s">
        <v>73</v>
      </c>
      <c r="B4" s="0" t="n">
        <v>137402.008</v>
      </c>
      <c r="C4" s="0" t="n">
        <v>127302.371</v>
      </c>
      <c r="D4" s="0" t="n">
        <v>10099.637</v>
      </c>
      <c r="E4" s="0" t="n">
        <v>7.4</v>
      </c>
      <c r="F4" s="0" t="n">
        <v>-537.703</v>
      </c>
      <c r="G4" s="0" t="n">
        <v>-0.4</v>
      </c>
      <c r="H4" s="0" t="n">
        <v>10988.724</v>
      </c>
      <c r="I4" s="0" t="n">
        <v>-1396.834</v>
      </c>
      <c r="J4" s="0" t="n">
        <v>-1</v>
      </c>
      <c r="K4" s="0" t="n">
        <v>-0.23</v>
      </c>
      <c r="L4" s="0" t="n">
        <v>13314.224</v>
      </c>
      <c r="M4" s="0" t="n">
        <v>4846.383</v>
      </c>
      <c r="N4" s="0" t="n">
        <v>8467.841</v>
      </c>
      <c r="O4" s="0" t="n">
        <v>46580.7</v>
      </c>
      <c r="P4" s="0" t="n">
        <v>106697.271</v>
      </c>
      <c r="Q4" s="0" t="n">
        <v>53488.71</v>
      </c>
      <c r="R4" s="0" t="n">
        <v>6408.764</v>
      </c>
      <c r="S4" s="0" t="n">
        <v>21495.352</v>
      </c>
      <c r="T4" s="0" t="n">
        <v>6003.732</v>
      </c>
      <c r="U4" s="0" t="n">
        <v>1242.901</v>
      </c>
      <c r="AA4" s="0" t="s">
        <v>18</v>
      </c>
      <c r="AB4" s="0" t="s">
        <v>14</v>
      </c>
      <c r="AC4" s="0" t="n">
        <v>866.031</v>
      </c>
      <c r="AD4" s="0" t="n">
        <v>79928</v>
      </c>
      <c r="AI4" s="0" t="n">
        <v>-1090.294</v>
      </c>
    </row>
    <row r="5" customFormat="false" ht="15" hidden="false" customHeight="false" outlineLevel="0" collapsed="false">
      <c r="A5" s="0" t="s">
        <v>74</v>
      </c>
      <c r="B5" s="0" t="n">
        <v>166624.712</v>
      </c>
      <c r="C5" s="0" t="n">
        <v>153941.555</v>
      </c>
      <c r="D5" s="0" t="n">
        <v>12683.157</v>
      </c>
      <c r="E5" s="0" t="n">
        <v>7.6</v>
      </c>
      <c r="F5" s="0" t="n">
        <v>1251.494</v>
      </c>
      <c r="G5" s="0" t="n">
        <v>0.8</v>
      </c>
      <c r="H5" s="0" t="n">
        <v>14605.753</v>
      </c>
      <c r="I5" s="0" t="n">
        <v>616.193</v>
      </c>
      <c r="J5" s="0" t="n">
        <v>0.4</v>
      </c>
      <c r="K5" s="0" t="n">
        <v>0.1</v>
      </c>
      <c r="L5" s="0" t="n">
        <v>16352.016</v>
      </c>
      <c r="M5" s="0" t="n">
        <v>5331.709</v>
      </c>
      <c r="N5" s="0" t="n">
        <v>11020.307</v>
      </c>
      <c r="O5" s="0" t="n">
        <v>48157.915</v>
      </c>
      <c r="P5" s="0" t="n">
        <v>112901.717</v>
      </c>
      <c r="Q5" s="0" t="n">
        <v>57528.082</v>
      </c>
      <c r="R5" s="0" t="n">
        <v>9965.326</v>
      </c>
      <c r="S5" s="0" t="n">
        <v>17207.027</v>
      </c>
      <c r="T5" s="0" t="n">
        <v>6274.565</v>
      </c>
      <c r="U5" s="0" t="n">
        <v>786.639</v>
      </c>
      <c r="AA5" s="0" t="s">
        <v>18</v>
      </c>
      <c r="AB5" s="0" t="s">
        <v>14</v>
      </c>
      <c r="AC5" s="0" t="n">
        <v>2760.844</v>
      </c>
      <c r="AD5" s="0" t="n">
        <v>74714</v>
      </c>
      <c r="AF5" s="0" t="n">
        <v>0.1</v>
      </c>
      <c r="AI5" s="0" t="n">
        <v>1167.195</v>
      </c>
    </row>
    <row r="6" customFormat="false" ht="15" hidden="false" customHeight="false" outlineLevel="0" collapsed="false">
      <c r="A6" s="0" t="s">
        <v>75</v>
      </c>
      <c r="B6" s="0" t="n">
        <v>182837.584</v>
      </c>
      <c r="C6" s="0" t="n">
        <v>164139.171</v>
      </c>
      <c r="D6" s="0" t="n">
        <v>18698.413</v>
      </c>
      <c r="E6" s="0" t="n">
        <v>10.2</v>
      </c>
      <c r="F6" s="0" t="n">
        <v>7283.283</v>
      </c>
      <c r="G6" s="0" t="n">
        <v>4</v>
      </c>
      <c r="H6" s="0" t="n">
        <v>20343.145</v>
      </c>
      <c r="I6" s="0" t="n">
        <v>6197.567</v>
      </c>
      <c r="J6" s="0" t="n">
        <v>3.4</v>
      </c>
      <c r="K6" s="0" t="n">
        <v>0.98</v>
      </c>
      <c r="L6" s="0" t="n">
        <v>20790.727</v>
      </c>
      <c r="M6" s="0" t="n">
        <v>5180.519</v>
      </c>
      <c r="N6" s="0" t="n">
        <v>15610.208</v>
      </c>
      <c r="O6" s="0" t="n">
        <v>55319.966</v>
      </c>
      <c r="P6" s="0" t="n">
        <v>117867.788</v>
      </c>
      <c r="Q6" s="0" t="n">
        <v>54900.868</v>
      </c>
      <c r="R6" s="0" t="n">
        <v>7228.23</v>
      </c>
      <c r="S6" s="0" t="n">
        <v>25811.757</v>
      </c>
      <c r="T6" s="0" t="n">
        <v>6342.011</v>
      </c>
      <c r="U6" s="0" t="n">
        <v>468.499</v>
      </c>
      <c r="AA6" s="0" t="s">
        <v>18</v>
      </c>
      <c r="AB6" s="0" t="s">
        <v>14</v>
      </c>
      <c r="AC6" s="0" t="n">
        <v>7916.774</v>
      </c>
      <c r="AD6" s="0" t="n">
        <v>80703</v>
      </c>
      <c r="AE6" s="0" t="n">
        <v>386.475</v>
      </c>
      <c r="AF6" s="0" t="n">
        <v>1</v>
      </c>
      <c r="AH6" s="0" t="n">
        <v>7200.155</v>
      </c>
      <c r="AI6" s="0" t="n">
        <v>7087.553</v>
      </c>
    </row>
    <row r="7" customFormat="false" ht="15" hidden="false" customHeight="false" outlineLevel="0" collapsed="false">
      <c r="A7" s="0" t="s">
        <v>76</v>
      </c>
      <c r="B7" s="0" t="n">
        <v>217146.986</v>
      </c>
      <c r="C7" s="0" t="n">
        <v>197379.017</v>
      </c>
      <c r="D7" s="0" t="n">
        <v>19767.969</v>
      </c>
      <c r="E7" s="0" t="n">
        <v>9.1</v>
      </c>
      <c r="F7" s="0" t="n">
        <v>7122.585</v>
      </c>
      <c r="G7" s="0" t="n">
        <v>3.3</v>
      </c>
      <c r="H7" s="0" t="n">
        <v>20603.137</v>
      </c>
      <c r="I7" s="0" t="n">
        <v>6646.683</v>
      </c>
      <c r="J7" s="0" t="n">
        <v>3.1</v>
      </c>
      <c r="K7" s="0" t="n">
        <v>1.04</v>
      </c>
      <c r="L7" s="0" t="n">
        <v>18765.124</v>
      </c>
      <c r="M7" s="0" t="n">
        <v>6920.541</v>
      </c>
      <c r="N7" s="0" t="n">
        <v>11844.583</v>
      </c>
      <c r="O7" s="0" t="n">
        <v>54680.371</v>
      </c>
      <c r="P7" s="0" t="n">
        <v>124599.558</v>
      </c>
      <c r="Q7" s="0" t="n">
        <v>64814.829</v>
      </c>
      <c r="R7" s="0" t="n">
        <v>4407.975</v>
      </c>
      <c r="S7" s="0" t="n">
        <v>18117.91</v>
      </c>
      <c r="T7" s="0" t="n">
        <v>6404.028</v>
      </c>
      <c r="U7" s="0" t="n">
        <v>390.875</v>
      </c>
      <c r="AA7" s="0" t="s">
        <v>18</v>
      </c>
      <c r="AB7" s="0" t="s">
        <v>14</v>
      </c>
      <c r="AC7" s="0" t="n">
        <v>7710.685</v>
      </c>
      <c r="AD7" s="0" t="n">
        <v>91161</v>
      </c>
      <c r="AE7" s="0" t="n">
        <v>29.967</v>
      </c>
      <c r="AF7" s="0" t="n">
        <v>1.06</v>
      </c>
      <c r="AH7" s="0" t="n">
        <v>6873.804</v>
      </c>
      <c r="AI7" s="0" t="n">
        <v>6890.045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9.78</v>
      </c>
    </row>
    <row r="3" customFormat="false" ht="15" hidden="false" customHeight="false" outlineLevel="0" collapsed="false">
      <c r="A3" s="0" t="s">
        <v>80</v>
      </c>
      <c r="B3" s="3" t="n">
        <v>6423.6</v>
      </c>
    </row>
    <row r="4" customFormat="false" ht="15" hidden="false" customHeight="false" outlineLevel="0" collapsed="false">
      <c r="A4" s="0" t="s">
        <v>81</v>
      </c>
      <c r="B4" s="3" t="n">
        <v>-30306</v>
      </c>
    </row>
    <row r="5" customFormat="false" ht="15" hidden="false" customHeight="false" outlineLevel="0" collapsed="false">
      <c r="A5" s="0" t="s">
        <v>82</v>
      </c>
      <c r="B5" s="3" t="n">
        <v>-1106.7</v>
      </c>
    </row>
    <row r="6" customFormat="false" ht="15" hidden="false" customHeight="false" outlineLevel="0" collapsed="false">
      <c r="A6" s="0" t="s">
        <v>83</v>
      </c>
      <c r="B6" s="3" t="n">
        <v>15</v>
      </c>
    </row>
    <row r="7" customFormat="false" ht="15" hidden="false" customHeight="false" outlineLevel="0" collapsed="false">
      <c r="A7" s="0" t="s">
        <v>84</v>
      </c>
      <c r="B7" s="3" t="n">
        <v>217147</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1.175</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21</v>
      </c>
      <c r="D13" s="3" t="n">
        <v>8</v>
      </c>
      <c r="E13" s="3" t="n">
        <v>6</v>
      </c>
      <c r="F13" s="3" t="n">
        <v>5</v>
      </c>
      <c r="G13" s="3" t="n">
        <v>4</v>
      </c>
      <c r="H13" s="3" t="n">
        <v>3</v>
      </c>
      <c r="I13" s="3" t="n">
        <v>3</v>
      </c>
      <c r="J13" s="3" t="n">
        <v>2.5</v>
      </c>
      <c r="K13" s="3" t="n">
        <v>2.5</v>
      </c>
      <c r="L13" s="3" t="n">
        <v>2.5</v>
      </c>
    </row>
    <row r="14" customFormat="false" ht="15" hidden="false" customHeight="false" outlineLevel="0" collapsed="false">
      <c r="A14" s="0" t="s">
        <v>101</v>
      </c>
      <c r="C14" s="3" t="n">
        <v>8.6</v>
      </c>
      <c r="D14" s="3" t="n">
        <v>8.4</v>
      </c>
      <c r="E14" s="3" t="n">
        <v>8.4</v>
      </c>
      <c r="F14" s="3" t="n">
        <v>8.5</v>
      </c>
      <c r="G14" s="3" t="n">
        <v>8.6</v>
      </c>
      <c r="H14" s="3" t="n">
        <v>8.7</v>
      </c>
      <c r="I14" s="3" t="n">
        <v>8.8</v>
      </c>
      <c r="J14" s="3" t="n">
        <v>8.8</v>
      </c>
      <c r="K14" s="3" t="n">
        <v>8.8</v>
      </c>
      <c r="L14" s="3" t="n">
        <v>8.8</v>
      </c>
    </row>
    <row r="15" customFormat="false" ht="15" hidden="false" customHeight="false" outlineLevel="0" collapsed="false">
      <c r="A15" s="0" t="s">
        <v>102</v>
      </c>
      <c r="C15" s="3" t="n">
        <v>0.2</v>
      </c>
      <c r="D15" s="3" t="n">
        <v>0.2</v>
      </c>
      <c r="E15" s="3" t="n">
        <v>0.2</v>
      </c>
      <c r="F15" s="3" t="n">
        <v>0.2</v>
      </c>
      <c r="G15" s="3" t="n">
        <v>0.2</v>
      </c>
      <c r="H15" s="3" t="n">
        <v>0.2</v>
      </c>
      <c r="I15" s="3" t="n">
        <v>0.2</v>
      </c>
      <c r="J15" s="3" t="n">
        <v>0.2</v>
      </c>
      <c r="K15" s="3" t="n">
        <v>0.2</v>
      </c>
      <c r="L15" s="3" t="n">
        <v>0.2</v>
      </c>
    </row>
    <row r="16" customFormat="false" ht="15" hidden="false" customHeight="false" outlineLevel="0" collapsed="false">
      <c r="A16" s="0" t="s">
        <v>103</v>
      </c>
      <c r="C16" s="3" t="n">
        <v>3.4</v>
      </c>
      <c r="D16" s="3" t="n">
        <v>3.4</v>
      </c>
      <c r="E16" s="3" t="n">
        <v>3.4</v>
      </c>
      <c r="F16" s="3" t="n">
        <v>3.4</v>
      </c>
      <c r="G16" s="3" t="n">
        <v>3.4</v>
      </c>
      <c r="H16" s="3" t="n">
        <v>3.4</v>
      </c>
      <c r="I16" s="3" t="n">
        <v>3.4</v>
      </c>
      <c r="J16" s="3" t="n">
        <v>3.4</v>
      </c>
      <c r="K16" s="3" t="n">
        <v>3.4</v>
      </c>
      <c r="L16" s="3" t="n">
        <v>3.4</v>
      </c>
    </row>
    <row r="17" customFormat="false" ht="15" hidden="false" customHeight="false" outlineLevel="0" collapsed="false">
      <c r="A17" s="0" t="s">
        <v>104</v>
      </c>
      <c r="C17" s="3" t="n">
        <v>2.4</v>
      </c>
      <c r="D17" s="3" t="n">
        <v>2.4</v>
      </c>
      <c r="E17" s="3" t="n">
        <v>2.4</v>
      </c>
      <c r="F17" s="3" t="n">
        <v>2.4</v>
      </c>
      <c r="G17" s="3" t="n">
        <v>2.4</v>
      </c>
      <c r="H17" s="3" t="n">
        <v>2.4</v>
      </c>
      <c r="I17" s="3" t="n">
        <v>2.4</v>
      </c>
      <c r="J17" s="3" t="n">
        <v>2.4</v>
      </c>
      <c r="K17" s="3" t="n">
        <v>2.4</v>
      </c>
      <c r="L17" s="3" t="n">
        <v>2.4</v>
      </c>
    </row>
    <row r="18" customFormat="false" ht="15" hidden="false" customHeight="false" outlineLevel="0" collapsed="false">
      <c r="A18" s="0" t="s">
        <v>105</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106</v>
      </c>
      <c r="C19" s="3" t="n">
        <v>13</v>
      </c>
      <c r="D19" s="3" t="n">
        <v>15</v>
      </c>
      <c r="E19" s="3" t="n">
        <v>17</v>
      </c>
      <c r="F19" s="3" t="n">
        <v>19</v>
      </c>
      <c r="G19" s="3" t="n">
        <v>21</v>
      </c>
      <c r="H19" s="3" t="n">
        <v>22</v>
      </c>
      <c r="I19" s="3" t="n">
        <v>22</v>
      </c>
      <c r="J19" s="3" t="n">
        <v>22</v>
      </c>
      <c r="K19" s="3" t="n">
        <v>22</v>
      </c>
      <c r="L19" s="3" t="n">
        <v>22</v>
      </c>
    </row>
    <row r="20" customFormat="false" ht="15" hidden="false" customHeight="false" outlineLevel="0" collapsed="false">
      <c r="A20" s="0" t="s">
        <v>107</v>
      </c>
      <c r="B20" s="3" t="n">
        <v>11</v>
      </c>
    </row>
    <row r="21" customFormat="false" ht="15" hidden="false" customHeight="false" outlineLevel="0" collapsed="false">
      <c r="A21" s="0" t="s">
        <v>108</v>
      </c>
      <c r="B21" s="3" t="n">
        <v>2</v>
      </c>
    </row>
    <row r="22" customFormat="false" ht="15" hidden="false" customHeight="false" outlineLevel="0" collapsed="false">
      <c r="A22" s="0" t="s">
        <v>109</v>
      </c>
      <c r="B22" s="3" t="n">
        <v>12</v>
      </c>
    </row>
    <row r="23" customFormat="false" ht="15" hidden="false" customHeight="false" outlineLevel="0" collapsed="false">
      <c r="A23" s="0" t="s">
        <v>110</v>
      </c>
      <c r="B23" s="3" t="n">
        <v>-4</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23</v>
      </c>
      <c r="D27" s="3" t="n">
        <v>12</v>
      </c>
      <c r="E27" s="3" t="n">
        <v>10</v>
      </c>
      <c r="F27" s="3" t="n">
        <v>8</v>
      </c>
      <c r="G27" s="3" t="n">
        <v>7</v>
      </c>
      <c r="H27" s="3" t="n">
        <v>6</v>
      </c>
      <c r="I27" s="3" t="n">
        <v>5</v>
      </c>
      <c r="J27" s="3" t="n">
        <v>4</v>
      </c>
      <c r="K27" s="3" t="n">
        <v>3.5</v>
      </c>
      <c r="L27" s="3" t="n">
        <v>3</v>
      </c>
    </row>
    <row r="28" customFormat="false" ht="15" hidden="false" customHeight="false" outlineLevel="0" collapsed="false">
      <c r="A28" s="0" t="s">
        <v>101</v>
      </c>
      <c r="C28" s="3" t="n">
        <v>8.9</v>
      </c>
      <c r="D28" s="3" t="n">
        <v>9.2</v>
      </c>
      <c r="E28" s="3" t="n">
        <v>9.5</v>
      </c>
      <c r="F28" s="3" t="n">
        <v>9.8</v>
      </c>
      <c r="G28" s="3" t="n">
        <v>10</v>
      </c>
      <c r="H28" s="3" t="n">
        <v>10.2</v>
      </c>
      <c r="I28" s="3" t="n">
        <v>10.3</v>
      </c>
      <c r="J28" s="3" t="n">
        <v>10.4</v>
      </c>
      <c r="K28" s="3" t="n">
        <v>10.5</v>
      </c>
      <c r="L28" s="3" t="n">
        <v>10.5</v>
      </c>
    </row>
    <row r="29" customFormat="false" ht="15" hidden="false" customHeight="false" outlineLevel="0" collapsed="false">
      <c r="A29" s="0" t="s">
        <v>102</v>
      </c>
      <c r="C29" s="3" t="n">
        <v>0.2</v>
      </c>
      <c r="D29" s="3" t="n">
        <v>0.2</v>
      </c>
      <c r="E29" s="3" t="n">
        <v>0.2</v>
      </c>
      <c r="F29" s="3" t="n">
        <v>0.2</v>
      </c>
      <c r="G29" s="3" t="n">
        <v>0.2</v>
      </c>
      <c r="H29" s="3" t="n">
        <v>0.2</v>
      </c>
      <c r="I29" s="3" t="n">
        <v>0.2</v>
      </c>
      <c r="J29" s="3" t="n">
        <v>0.2</v>
      </c>
      <c r="K29" s="3" t="n">
        <v>0.2</v>
      </c>
      <c r="L29" s="3" t="n">
        <v>0.2</v>
      </c>
    </row>
    <row r="30" customFormat="false" ht="15" hidden="false" customHeight="false" outlineLevel="0" collapsed="false">
      <c r="A30" s="0" t="s">
        <v>103</v>
      </c>
      <c r="C30" s="3" t="n">
        <v>3.3</v>
      </c>
      <c r="D30" s="3" t="n">
        <v>3.3</v>
      </c>
      <c r="E30" s="3" t="n">
        <v>3.2</v>
      </c>
      <c r="F30" s="3" t="n">
        <v>3.2</v>
      </c>
      <c r="G30" s="3" t="n">
        <v>3.2</v>
      </c>
      <c r="H30" s="3" t="n">
        <v>3.2</v>
      </c>
      <c r="I30" s="3" t="n">
        <v>3.2</v>
      </c>
      <c r="J30" s="3" t="n">
        <v>3.2</v>
      </c>
      <c r="K30" s="3" t="n">
        <v>3.2</v>
      </c>
      <c r="L30" s="3" t="n">
        <v>3.2</v>
      </c>
    </row>
    <row r="31" customFormat="false" ht="15" hidden="false" customHeight="false" outlineLevel="0" collapsed="false">
      <c r="A31" s="0" t="s">
        <v>104</v>
      </c>
      <c r="C31" s="3" t="n">
        <v>2.4</v>
      </c>
      <c r="D31" s="3" t="n">
        <v>2.4</v>
      </c>
      <c r="E31" s="3" t="n">
        <v>2.4</v>
      </c>
      <c r="F31" s="3" t="n">
        <v>2.4</v>
      </c>
      <c r="G31" s="3" t="n">
        <v>2.4</v>
      </c>
      <c r="H31" s="3" t="n">
        <v>2.4</v>
      </c>
      <c r="I31" s="3" t="n">
        <v>2.4</v>
      </c>
      <c r="J31" s="3" t="n">
        <v>2.4</v>
      </c>
      <c r="K31" s="3" t="n">
        <v>2.4</v>
      </c>
      <c r="L31" s="3" t="n">
        <v>2.4</v>
      </c>
    </row>
    <row r="32" customFormat="false" ht="15" hidden="false" customHeight="false" outlineLevel="0" collapsed="false">
      <c r="A32" s="0" t="s">
        <v>105</v>
      </c>
      <c r="C32" s="3" t="n">
        <v>2.9</v>
      </c>
      <c r="D32" s="3" t="n">
        <v>2.9</v>
      </c>
      <c r="E32" s="3" t="n">
        <v>2.8</v>
      </c>
      <c r="F32" s="3" t="n">
        <v>2.8</v>
      </c>
      <c r="G32" s="3" t="n">
        <v>2.8</v>
      </c>
      <c r="H32" s="3" t="n">
        <v>2.7</v>
      </c>
      <c r="I32" s="3" t="n">
        <v>2.7</v>
      </c>
      <c r="J32" s="3" t="n">
        <v>2.7</v>
      </c>
      <c r="K32" s="3" t="n">
        <v>2.7</v>
      </c>
      <c r="L32" s="3" t="n">
        <v>2.7</v>
      </c>
    </row>
    <row r="33" customFormat="false" ht="15" hidden="false" customHeight="false" outlineLevel="0" collapsed="false">
      <c r="A33" s="0" t="s">
        <v>106</v>
      </c>
      <c r="C33" s="3" t="n">
        <v>13</v>
      </c>
      <c r="D33" s="3" t="n">
        <v>14</v>
      </c>
      <c r="E33" s="3" t="n">
        <v>15</v>
      </c>
      <c r="F33" s="3" t="n">
        <v>16</v>
      </c>
      <c r="G33" s="3" t="n">
        <v>17</v>
      </c>
      <c r="H33" s="3" t="n">
        <v>18</v>
      </c>
      <c r="I33" s="3" t="n">
        <v>19</v>
      </c>
      <c r="J33" s="3" t="n">
        <v>20</v>
      </c>
      <c r="K33" s="3" t="n">
        <v>20</v>
      </c>
      <c r="L33" s="3" t="n">
        <v>20</v>
      </c>
    </row>
    <row r="34" customFormat="false" ht="15" hidden="false" customHeight="false" outlineLevel="0" collapsed="false">
      <c r="A34" s="0" t="s">
        <v>107</v>
      </c>
      <c r="B34" s="3" t="n">
        <v>11</v>
      </c>
    </row>
    <row r="35" customFormat="false" ht="15" hidden="false" customHeight="false" outlineLevel="0" collapsed="false">
      <c r="A35" s="0" t="s">
        <v>108</v>
      </c>
      <c r="B35" s="3" t="n">
        <v>2.5</v>
      </c>
    </row>
    <row r="36" customFormat="false" ht="15" hidden="false" customHeight="false" outlineLevel="0" collapsed="false">
      <c r="A36" s="0" t="s">
        <v>109</v>
      </c>
      <c r="B36" s="3" t="n">
        <v>15</v>
      </c>
    </row>
    <row r="37" customFormat="false" ht="15" hidden="false" customHeight="false" outlineLevel="0" collapsed="false">
      <c r="A37" s="0" t="s">
        <v>110</v>
      </c>
      <c r="B37" s="3" t="n">
        <v>-3</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25</v>
      </c>
      <c r="D41" s="3" t="n">
        <v>15</v>
      </c>
      <c r="E41" s="3" t="n">
        <v>13</v>
      </c>
      <c r="F41" s="3" t="n">
        <v>11</v>
      </c>
      <c r="G41" s="3" t="n">
        <v>9</v>
      </c>
      <c r="H41" s="3" t="n">
        <v>8</v>
      </c>
      <c r="I41" s="3" t="n">
        <v>7</v>
      </c>
      <c r="J41" s="3" t="n">
        <v>6</v>
      </c>
      <c r="K41" s="3" t="n">
        <v>5</v>
      </c>
      <c r="L41" s="3" t="n">
        <v>4</v>
      </c>
    </row>
    <row r="42" customFormat="false" ht="15" hidden="false" customHeight="false" outlineLevel="0" collapsed="false">
      <c r="A42" s="0" t="s">
        <v>101</v>
      </c>
      <c r="C42" s="3" t="n">
        <v>9.1</v>
      </c>
      <c r="D42" s="3" t="n">
        <v>9.6</v>
      </c>
      <c r="E42" s="3" t="n">
        <v>10.1</v>
      </c>
      <c r="F42" s="3" t="n">
        <v>10.6</v>
      </c>
      <c r="G42" s="3" t="n">
        <v>11</v>
      </c>
      <c r="H42" s="3" t="n">
        <v>11.3</v>
      </c>
      <c r="I42" s="3" t="n">
        <v>11.5</v>
      </c>
      <c r="J42" s="3" t="n">
        <v>11.7</v>
      </c>
      <c r="K42" s="3" t="n">
        <v>11.8</v>
      </c>
      <c r="L42" s="3" t="n">
        <v>12</v>
      </c>
    </row>
    <row r="43" customFormat="false" ht="15" hidden="false" customHeight="false" outlineLevel="0" collapsed="false">
      <c r="A43" s="0" t="s">
        <v>102</v>
      </c>
      <c r="C43" s="3" t="n">
        <v>0.2</v>
      </c>
      <c r="D43" s="3" t="n">
        <v>0.2</v>
      </c>
      <c r="E43" s="3" t="n">
        <v>0.2</v>
      </c>
      <c r="F43" s="3" t="n">
        <v>0.2</v>
      </c>
      <c r="G43" s="3" t="n">
        <v>0.2</v>
      </c>
      <c r="H43" s="3" t="n">
        <v>0.2</v>
      </c>
      <c r="I43" s="3" t="n">
        <v>0.2</v>
      </c>
      <c r="J43" s="3" t="n">
        <v>0.2</v>
      </c>
      <c r="K43" s="3" t="n">
        <v>0.2</v>
      </c>
      <c r="L43" s="3" t="n">
        <v>0.2</v>
      </c>
    </row>
    <row r="44" customFormat="false" ht="15" hidden="false" customHeight="false" outlineLevel="0" collapsed="false">
      <c r="A44" s="0" t="s">
        <v>103</v>
      </c>
      <c r="C44" s="3" t="n">
        <v>3.3</v>
      </c>
      <c r="D44" s="3" t="n">
        <v>3.2</v>
      </c>
      <c r="E44" s="3" t="n">
        <v>3.2</v>
      </c>
      <c r="F44" s="3" t="n">
        <v>3.1</v>
      </c>
      <c r="G44" s="3" t="n">
        <v>3.1</v>
      </c>
      <c r="H44" s="3" t="n">
        <v>3</v>
      </c>
      <c r="I44" s="3" t="n">
        <v>3</v>
      </c>
      <c r="J44" s="3" t="n">
        <v>3</v>
      </c>
      <c r="K44" s="3" t="n">
        <v>3</v>
      </c>
      <c r="L44" s="3" t="n">
        <v>3</v>
      </c>
    </row>
    <row r="45" customFormat="false" ht="15" hidden="false" customHeight="false" outlineLevel="0" collapsed="false">
      <c r="A45" s="0" t="s">
        <v>104</v>
      </c>
      <c r="C45" s="3" t="n">
        <v>2.4</v>
      </c>
      <c r="D45" s="3" t="n">
        <v>2.4</v>
      </c>
      <c r="E45" s="3" t="n">
        <v>2.4</v>
      </c>
      <c r="F45" s="3" t="n">
        <v>2.4</v>
      </c>
      <c r="G45" s="3" t="n">
        <v>2.4</v>
      </c>
      <c r="H45" s="3" t="n">
        <v>2.4</v>
      </c>
      <c r="I45" s="3" t="n">
        <v>2.4</v>
      </c>
      <c r="J45" s="3" t="n">
        <v>2.4</v>
      </c>
      <c r="K45" s="3" t="n">
        <v>2.4</v>
      </c>
      <c r="L45" s="3" t="n">
        <v>2.4</v>
      </c>
    </row>
    <row r="46" customFormat="false" ht="15" hidden="false" customHeight="false" outlineLevel="0" collapsed="false">
      <c r="A46" s="0" t="s">
        <v>105</v>
      </c>
      <c r="C46" s="3" t="n">
        <v>2.9</v>
      </c>
      <c r="D46" s="3" t="n">
        <v>2.8</v>
      </c>
      <c r="E46" s="3" t="n">
        <v>2.8</v>
      </c>
      <c r="F46" s="3" t="n">
        <v>2.7</v>
      </c>
      <c r="G46" s="3" t="n">
        <v>2.7</v>
      </c>
      <c r="H46" s="3" t="n">
        <v>2.6</v>
      </c>
      <c r="I46" s="3" t="n">
        <v>2.6</v>
      </c>
      <c r="J46" s="3" t="n">
        <v>2.6</v>
      </c>
      <c r="K46" s="3" t="n">
        <v>2.6</v>
      </c>
      <c r="L46" s="3" t="n">
        <v>2.6</v>
      </c>
    </row>
    <row r="47" customFormat="false" ht="15" hidden="false" customHeight="false" outlineLevel="0" collapsed="false">
      <c r="A47" s="0" t="s">
        <v>106</v>
      </c>
      <c r="C47" s="3" t="n">
        <v>13</v>
      </c>
      <c r="D47" s="3" t="n">
        <v>14</v>
      </c>
      <c r="E47" s="3" t="n">
        <v>15</v>
      </c>
      <c r="F47" s="3" t="n">
        <v>16</v>
      </c>
      <c r="G47" s="3" t="n">
        <v>17</v>
      </c>
      <c r="H47" s="3" t="n">
        <v>18</v>
      </c>
      <c r="I47" s="3" t="n">
        <v>19</v>
      </c>
      <c r="J47" s="3" t="n">
        <v>20</v>
      </c>
      <c r="K47" s="3" t="n">
        <v>20</v>
      </c>
      <c r="L47" s="3" t="n">
        <v>20</v>
      </c>
    </row>
    <row r="48" customFormat="false" ht="15" hidden="false" customHeight="false" outlineLevel="0" collapsed="false">
      <c r="A48" s="0" t="s">
        <v>107</v>
      </c>
      <c r="B48" s="3" t="n">
        <v>11</v>
      </c>
    </row>
    <row r="49" customFormat="false" ht="15" hidden="false" customHeight="false" outlineLevel="0" collapsed="false">
      <c r="A49" s="0" t="s">
        <v>108</v>
      </c>
      <c r="B49" s="3" t="n">
        <v>3</v>
      </c>
    </row>
    <row r="50" customFormat="false" ht="15" hidden="false" customHeight="false" outlineLevel="0" collapsed="false">
      <c r="A50" s="0" t="s">
        <v>109</v>
      </c>
      <c r="B50" s="3" t="n">
        <v>15</v>
      </c>
    </row>
    <row r="51" customFormat="false" ht="15" hidden="false" customHeight="false" outlineLevel="0" collapsed="false">
      <c r="A51" s="0" t="s">
        <v>110</v>
      </c>
      <c r="B51" s="3" t="n">
        <v>-3</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21</v>
      </c>
      <c r="D5" s="4" t="n">
        <f aca="false">Assumptions!D13</f>
        <v>8</v>
      </c>
      <c r="E5" s="4" t="n">
        <f aca="false">Assumptions!E13</f>
        <v>6</v>
      </c>
      <c r="F5" s="4" t="n">
        <f aca="false">Assumptions!F13</f>
        <v>5</v>
      </c>
      <c r="G5" s="4" t="n">
        <f aca="false">Assumptions!G13</f>
        <v>4</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217147</v>
      </c>
      <c r="C6" s="0" t="n">
        <f aca="false">B6*(1+C5/100)</f>
        <v>262747.87</v>
      </c>
      <c r="D6" s="0" t="n">
        <f aca="false">C6*(1+D5/100)</f>
        <v>283767.6996</v>
      </c>
      <c r="E6" s="0" t="n">
        <f aca="false">D6*(1+E5/100)</f>
        <v>300793.761576</v>
      </c>
      <c r="F6" s="0" t="n">
        <f aca="false">E6*(1+F5/100)</f>
        <v>315833.4496548</v>
      </c>
      <c r="G6" s="0" t="n">
        <f aca="false">F6*(1+G5/100)</f>
        <v>328466.787640992</v>
      </c>
      <c r="H6" s="0" t="n">
        <f aca="false">G6*(1+H5/100)</f>
        <v>338320.791270222</v>
      </c>
      <c r="I6" s="0" t="n">
        <f aca="false">H6*(1+I5/100)</f>
        <v>348470.415008329</v>
      </c>
      <c r="J6" s="0" t="n">
        <f aca="false">I6*(1+J5/100)</f>
        <v>357182.175383537</v>
      </c>
      <c r="K6" s="0" t="n">
        <f aca="false">J6*(1+K5/100)</f>
        <v>366111.729768125</v>
      </c>
      <c r="L6" s="0" t="n">
        <f aca="false">K6*(1+L5/100)</f>
        <v>375264.523012328</v>
      </c>
    </row>
    <row r="7" customFormat="false" ht="15" hidden="false" customHeight="false" outlineLevel="0" collapsed="false">
      <c r="A7" s="0" t="s">
        <v>101</v>
      </c>
      <c r="C7" s="4" t="n">
        <f aca="false">Assumptions!C14</f>
        <v>8.6</v>
      </c>
      <c r="D7" s="4" t="n">
        <f aca="false">Assumptions!D14</f>
        <v>8.4</v>
      </c>
      <c r="E7" s="4" t="n">
        <f aca="false">Assumptions!E14</f>
        <v>8.4</v>
      </c>
      <c r="F7" s="4" t="n">
        <f aca="false">Assumptions!F14</f>
        <v>8.5</v>
      </c>
      <c r="G7" s="4" t="n">
        <f aca="false">Assumptions!G14</f>
        <v>8.6</v>
      </c>
      <c r="H7" s="4" t="n">
        <f aca="false">Assumptions!H14</f>
        <v>8.7</v>
      </c>
      <c r="I7" s="4" t="n">
        <f aca="false">Assumptions!I14</f>
        <v>8.8</v>
      </c>
      <c r="J7" s="4" t="n">
        <f aca="false">Assumptions!J14</f>
        <v>8.8</v>
      </c>
      <c r="K7" s="4" t="n">
        <f aca="false">Assumptions!K14</f>
        <v>8.8</v>
      </c>
      <c r="L7" s="4" t="n">
        <f aca="false">Assumptions!L14</f>
        <v>8.8</v>
      </c>
    </row>
    <row r="8" customFormat="false" ht="15" hidden="false" customHeight="false" outlineLevel="0" collapsed="false">
      <c r="A8" s="0" t="s">
        <v>44</v>
      </c>
      <c r="C8" s="0" t="n">
        <f aca="false">C6*C7/100</f>
        <v>22596.31682</v>
      </c>
      <c r="D8" s="0" t="n">
        <f aca="false">D6*D7/100</f>
        <v>23836.4867664</v>
      </c>
      <c r="E8" s="0" t="n">
        <f aca="false">E6*E7/100</f>
        <v>25266.675972384</v>
      </c>
      <c r="F8" s="0" t="n">
        <f aca="false">F6*F7/100</f>
        <v>26845.843220658</v>
      </c>
      <c r="G8" s="0" t="n">
        <f aca="false">G6*G7/100</f>
        <v>28248.1437371253</v>
      </c>
      <c r="H8" s="0" t="n">
        <f aca="false">H6*H7/100</f>
        <v>29433.9088405093</v>
      </c>
      <c r="I8" s="0" t="n">
        <f aca="false">I6*I7/100</f>
        <v>30665.3965207329</v>
      </c>
      <c r="J8" s="0" t="n">
        <f aca="false">J6*J7/100</f>
        <v>31432.0314337512</v>
      </c>
      <c r="K8" s="0" t="n">
        <f aca="false">K6*K7/100</f>
        <v>32217.832219595</v>
      </c>
      <c r="L8" s="0" t="n">
        <f aca="false">L6*L7/100</f>
        <v>33023.2780250849</v>
      </c>
    </row>
    <row r="9" customFormat="false" ht="15" hidden="false" customHeight="false" outlineLevel="0" collapsed="false">
      <c r="A9" s="0" t="s">
        <v>102</v>
      </c>
      <c r="C9" s="4" t="n">
        <f aca="false">Assumptions!C15</f>
        <v>0.2</v>
      </c>
      <c r="D9" s="4" t="n">
        <f aca="false">Assumptions!D15</f>
        <v>0.2</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117</v>
      </c>
      <c r="C10" s="0" t="n">
        <f aca="false">-C6*C9/100</f>
        <v>-525.49574</v>
      </c>
      <c r="D10" s="0" t="n">
        <f aca="false">-D6*D9/100</f>
        <v>-567.5353992</v>
      </c>
      <c r="E10" s="0" t="n">
        <f aca="false">-E6*E9/100</f>
        <v>-601.587523152</v>
      </c>
      <c r="F10" s="0" t="n">
        <f aca="false">-F6*F9/100</f>
        <v>-631.6668993096</v>
      </c>
      <c r="G10" s="0" t="n">
        <f aca="false">-G6*G9/100</f>
        <v>-656.933575281984</v>
      </c>
      <c r="H10" s="0" t="n">
        <f aca="false">-H6*H9/100</f>
        <v>-676.641582540444</v>
      </c>
      <c r="I10" s="0" t="n">
        <f aca="false">-I6*I9/100</f>
        <v>-696.940830016657</v>
      </c>
      <c r="J10" s="0" t="n">
        <f aca="false">-J6*J9/100</f>
        <v>-714.364350767074</v>
      </c>
      <c r="K10" s="0" t="n">
        <f aca="false">-K6*K9/100</f>
        <v>-732.22345953625</v>
      </c>
      <c r="L10" s="0" t="n">
        <f aca="false">-L6*L9/100</f>
        <v>-750.529046024656</v>
      </c>
    </row>
    <row r="11" customFormat="false" ht="15" hidden="false" customHeight="false" outlineLevel="0" collapsed="false">
      <c r="A11" s="0" t="s">
        <v>118</v>
      </c>
      <c r="C11" s="0" t="n">
        <f aca="false">C8+C10+C24</f>
        <v>13137.3935</v>
      </c>
      <c r="D11" s="0" t="n">
        <f aca="false">D8+D10+D24</f>
        <v>13620.8495808</v>
      </c>
      <c r="E11" s="0" t="n">
        <f aca="false">E8+E10+E24</f>
        <v>14438.100555648</v>
      </c>
      <c r="F11" s="0" t="n">
        <f aca="false">F8+F10+F24</f>
        <v>15475.8390330852</v>
      </c>
      <c r="G11" s="0" t="n">
        <f aca="false">G8+G10+G24</f>
        <v>16423.3393820496</v>
      </c>
      <c r="H11" s="0" t="n">
        <f aca="false">H8+H10+H24</f>
        <v>17254.3603547813</v>
      </c>
      <c r="I11" s="0" t="n">
        <f aca="false">I8+I10+I24</f>
        <v>18120.4615804331</v>
      </c>
      <c r="J11" s="0" t="n">
        <f aca="false">J8+J10+J24</f>
        <v>18573.4731199439</v>
      </c>
      <c r="K11" s="0" t="n">
        <f aca="false">K8+K10+K24</f>
        <v>19037.8099479425</v>
      </c>
      <c r="L11" s="0" t="n">
        <f aca="false">L8+L10+L24</f>
        <v>19513.7551966411</v>
      </c>
    </row>
    <row r="12" customFormat="false" ht="15" hidden="false" customHeight="false" outlineLevel="0" collapsed="false">
      <c r="A12" s="0" t="s">
        <v>119</v>
      </c>
      <c r="C12" s="4" t="n">
        <f aca="false">-C6*Assumptions!C17/100</f>
        <v>-6305.94888</v>
      </c>
      <c r="D12" s="4" t="n">
        <f aca="false">-D6*Assumptions!D17/100</f>
        <v>-6810.4247904</v>
      </c>
      <c r="E12" s="4" t="n">
        <f aca="false">-E6*Assumptions!E17/100</f>
        <v>-7219.050277824</v>
      </c>
      <c r="F12" s="4" t="n">
        <f aca="false">-F6*Assumptions!F17/100</f>
        <v>-7580.0027917152</v>
      </c>
      <c r="G12" s="4" t="n">
        <f aca="false">-G6*Assumptions!G17/100</f>
        <v>-7883.20290338381</v>
      </c>
      <c r="H12" s="4" t="n">
        <f aca="false">-H6*Assumptions!H17/100</f>
        <v>-8119.69899048532</v>
      </c>
      <c r="I12" s="4" t="n">
        <f aca="false">-I6*Assumptions!I17/100</f>
        <v>-8363.28996019989</v>
      </c>
      <c r="J12" s="4" t="n">
        <f aca="false">-J6*Assumptions!J17/100</f>
        <v>-8572.37220920488</v>
      </c>
      <c r="K12" s="4" t="n">
        <f aca="false">-K6*Assumptions!K17/100</f>
        <v>-8786.681514435</v>
      </c>
      <c r="L12" s="4" t="n">
        <f aca="false">-L6*Assumptions!L17/100</f>
        <v>-9006.34855229588</v>
      </c>
    </row>
    <row r="13" customFormat="false" ht="15" hidden="false" customHeight="false" outlineLevel="0" collapsed="false">
      <c r="A13" s="0" t="s">
        <v>120</v>
      </c>
      <c r="C13" s="0" t="n">
        <f aca="false">C11+C12</f>
        <v>6831.44462</v>
      </c>
      <c r="D13" s="0" t="n">
        <f aca="false">D11+D12</f>
        <v>6810.4247904</v>
      </c>
      <c r="E13" s="0" t="n">
        <f aca="false">E11+E12</f>
        <v>7219.050277824</v>
      </c>
      <c r="F13" s="0" t="n">
        <f aca="false">F11+F12</f>
        <v>7895.83624137</v>
      </c>
      <c r="G13" s="0" t="n">
        <f aca="false">G11+G12</f>
        <v>8540.13647866579</v>
      </c>
      <c r="H13" s="0" t="n">
        <f aca="false">H11+H12</f>
        <v>9134.66136429599</v>
      </c>
      <c r="I13" s="0" t="n">
        <f aca="false">I11+I12</f>
        <v>9757.1716202332</v>
      </c>
      <c r="J13" s="0" t="n">
        <f aca="false">J11+J12</f>
        <v>10001.100910739</v>
      </c>
      <c r="K13" s="0" t="n">
        <f aca="false">K11+K12</f>
        <v>10251.1284335075</v>
      </c>
      <c r="L13" s="0" t="n">
        <f aca="false">L11+L12</f>
        <v>10507.4066443452</v>
      </c>
    </row>
    <row r="14" customFormat="false" ht="15" hidden="false" customHeight="false" outlineLevel="0" collapsed="false">
      <c r="A14" s="0" t="s">
        <v>106</v>
      </c>
      <c r="C14" s="4" t="n">
        <f aca="false">Assumptions!C19</f>
        <v>13</v>
      </c>
      <c r="D14" s="4" t="n">
        <f aca="false">Assumptions!D19</f>
        <v>15</v>
      </c>
      <c r="E14" s="4" t="n">
        <f aca="false">Assumptions!E19</f>
        <v>17</v>
      </c>
      <c r="F14" s="4" t="n">
        <f aca="false">Assumptions!F19</f>
        <v>19</v>
      </c>
      <c r="G14" s="4" t="n">
        <f aca="false">Assumptions!G19</f>
        <v>21</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121</v>
      </c>
      <c r="C15" s="0" t="n">
        <f aca="false">C13-MAX(0,C13)*C14/100</f>
        <v>5943.3568194</v>
      </c>
      <c r="D15" s="0" t="n">
        <f aca="false">D13-MAX(0,D13)*D14/100</f>
        <v>5788.86107184</v>
      </c>
      <c r="E15" s="0" t="n">
        <f aca="false">E13-MAX(0,E13)*E14/100</f>
        <v>5991.81173059392</v>
      </c>
      <c r="F15" s="0" t="n">
        <f aca="false">F13-MAX(0,F13)*F14/100</f>
        <v>6395.6273555097</v>
      </c>
      <c r="G15" s="0" t="n">
        <f aca="false">G13-MAX(0,G13)*G14/100</f>
        <v>6746.70781814598</v>
      </c>
      <c r="H15" s="0" t="n">
        <f aca="false">H13-MAX(0,H13)*H14/100</f>
        <v>7125.03586415087</v>
      </c>
      <c r="I15" s="0" t="n">
        <f aca="false">I13-MAX(0,I13)*I14/100</f>
        <v>7610.5938637819</v>
      </c>
      <c r="J15" s="0" t="n">
        <f aca="false">J13-MAX(0,J13)*J14/100</f>
        <v>7800.85871037644</v>
      </c>
      <c r="K15" s="0" t="n">
        <f aca="false">K13-MAX(0,K13)*K14/100</f>
        <v>7995.88017813585</v>
      </c>
      <c r="L15" s="0" t="n">
        <f aca="false">L13-MAX(0,L13)*L14/100</f>
        <v>8195.77718258925</v>
      </c>
    </row>
    <row r="16" customFormat="false" ht="15" hidden="false" customHeight="false" outlineLevel="0" collapsed="false">
      <c r="A16" s="0" t="s">
        <v>122</v>
      </c>
      <c r="C16" s="0" t="n">
        <f aca="false">-C12</f>
        <v>6305.94888</v>
      </c>
      <c r="D16" s="0" t="n">
        <f aca="false">-D12</f>
        <v>6810.4247904</v>
      </c>
      <c r="E16" s="0" t="n">
        <f aca="false">-E12</f>
        <v>7219.050277824</v>
      </c>
      <c r="F16" s="0" t="n">
        <f aca="false">-F12</f>
        <v>7580.0027917152</v>
      </c>
      <c r="G16" s="0" t="n">
        <f aca="false">-G12</f>
        <v>7883.20290338381</v>
      </c>
      <c r="H16" s="0" t="n">
        <f aca="false">-H12</f>
        <v>8119.69899048532</v>
      </c>
      <c r="I16" s="0" t="n">
        <f aca="false">-I12</f>
        <v>8363.28996019989</v>
      </c>
      <c r="J16" s="0" t="n">
        <f aca="false">-J12</f>
        <v>8572.37220920488</v>
      </c>
      <c r="K16" s="0" t="n">
        <f aca="false">-K12</f>
        <v>8786.681514435</v>
      </c>
      <c r="L16" s="0" t="n">
        <f aca="false">-L12</f>
        <v>9006.34855229588</v>
      </c>
    </row>
    <row r="17" customFormat="false" ht="15" hidden="false" customHeight="false" outlineLevel="0" collapsed="false">
      <c r="A17" s="0" t="s">
        <v>123</v>
      </c>
      <c r="C17" s="4" t="n">
        <f aca="false">-C6*Assumptions!C18/100</f>
        <v>-7882.4361</v>
      </c>
      <c r="D17" s="4" t="n">
        <f aca="false">-D6*Assumptions!D18/100</f>
        <v>-8513.030988</v>
      </c>
      <c r="E17" s="4" t="n">
        <f aca="false">-E6*Assumptions!E18/100</f>
        <v>-9023.81284728</v>
      </c>
      <c r="F17" s="4" t="n">
        <f aca="false">-F6*Assumptions!F18/100</f>
        <v>-9475.003489644</v>
      </c>
      <c r="G17" s="4" t="n">
        <f aca="false">-G6*Assumptions!G18/100</f>
        <v>-9854.00362922976</v>
      </c>
      <c r="H17" s="4" t="n">
        <f aca="false">-H6*Assumptions!H18/100</f>
        <v>-10149.6237381067</v>
      </c>
      <c r="I17" s="4" t="n">
        <f aca="false">-I6*Assumptions!I18/100</f>
        <v>-10454.1124502499</v>
      </c>
      <c r="J17" s="4" t="n">
        <f aca="false">-J6*Assumptions!J18/100</f>
        <v>-10715.4652615061</v>
      </c>
      <c r="K17" s="4" t="n">
        <f aca="false">-K6*Assumptions!K18/100</f>
        <v>-10983.3518930438</v>
      </c>
      <c r="L17" s="4" t="n">
        <f aca="false">-L6*Assumptions!L18/100</f>
        <v>-11257.9356903698</v>
      </c>
    </row>
    <row r="18" customFormat="false" ht="15" hidden="false" customHeight="false" outlineLevel="0" collapsed="false">
      <c r="A18" s="0" t="s">
        <v>124</v>
      </c>
      <c r="C18" s="4" t="n">
        <f aca="false">(C6-B6)*Assumptions!$B$23/100</f>
        <v>-1824.0348</v>
      </c>
      <c r="D18" s="4" t="n">
        <f aca="false">(D6-C6)*Assumptions!$B$23/100</f>
        <v>-840.793184</v>
      </c>
      <c r="E18" s="4" t="n">
        <f aca="false">(E6-D6)*Assumptions!$B$23/100</f>
        <v>-681.042479040001</v>
      </c>
      <c r="F18" s="4" t="n">
        <f aca="false">(F6-E6)*Assumptions!$B$23/100</f>
        <v>-601.587523152002</v>
      </c>
      <c r="G18" s="4" t="n">
        <f aca="false">(G6-F6)*Assumptions!$B$23/100</f>
        <v>-505.333519447681</v>
      </c>
      <c r="H18" s="4" t="n">
        <f aca="false">(H6-G6)*Assumptions!$B$23/100</f>
        <v>-394.160145169192</v>
      </c>
      <c r="I18" s="4" t="n">
        <f aca="false">(I6-H6)*Assumptions!$B$23/100</f>
        <v>-405.984949524268</v>
      </c>
      <c r="J18" s="4" t="n">
        <f aca="false">(J6-I6)*Assumptions!$B$23/100</f>
        <v>-348.470415008327</v>
      </c>
      <c r="K18" s="4" t="n">
        <f aca="false">(K6-J6)*Assumptions!$B$23/100</f>
        <v>-357.182175383535</v>
      </c>
      <c r="L18" s="4" t="n">
        <f aca="false">(L6-K6)*Assumptions!$B$23/100</f>
        <v>-366.111729768124</v>
      </c>
    </row>
    <row r="19" customFormat="false" ht="15" hidden="false" customHeight="false" outlineLevel="0" collapsed="false">
      <c r="A19" s="0" t="s">
        <v>125</v>
      </c>
      <c r="C19" s="0" t="n">
        <f aca="false">C15+C16+C17+C18</f>
        <v>2542.8347994</v>
      </c>
      <c r="D19" s="0" t="n">
        <f aca="false">D15+D16+D17+D18</f>
        <v>3245.46169024</v>
      </c>
      <c r="E19" s="0" t="n">
        <f aca="false">E15+E16+E17+E18</f>
        <v>3506.00668209792</v>
      </c>
      <c r="F19" s="0" t="n">
        <f aca="false">F15+F16+F17+F18</f>
        <v>3899.0391344289</v>
      </c>
      <c r="G19" s="0" t="n">
        <f aca="false">G15+G16+G17+G18</f>
        <v>4270.57357285234</v>
      </c>
      <c r="H19" s="0" t="n">
        <f aca="false">H15+H16+H17+H18</f>
        <v>4700.95097136035</v>
      </c>
      <c r="I19" s="0" t="n">
        <f aca="false">I15+I16+I17+I18</f>
        <v>5113.78642420766</v>
      </c>
      <c r="J19" s="0" t="n">
        <f aca="false">J15+J16+J17+J18</f>
        <v>5309.2952430669</v>
      </c>
      <c r="K19" s="0" t="n">
        <f aca="false">K15+K16+K17+K18</f>
        <v>5442.02762414357</v>
      </c>
      <c r="L19" s="0" t="n">
        <f aca="false">L15+L16+L17+L18</f>
        <v>5578.07831474716</v>
      </c>
    </row>
    <row r="20" customFormat="false" ht="15" hidden="false" customHeight="false" outlineLevel="0" collapsed="false">
      <c r="A20" s="0" t="s">
        <v>126</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127</v>
      </c>
      <c r="C21" s="0" t="n">
        <f aca="false">C19*C20</f>
        <v>2290.84216162162</v>
      </c>
      <c r="D21" s="0" t="n">
        <f aca="false">D19*D20</f>
        <v>2634.08951403295</v>
      </c>
      <c r="E21" s="0" t="n">
        <f aca="false">E19*E20</f>
        <v>2563.56186873354</v>
      </c>
      <c r="F21" s="0" t="n">
        <f aca="false">F19*F20</f>
        <v>2568.41784725183</v>
      </c>
      <c r="G21" s="0" t="n">
        <f aca="false">G19*G20</f>
        <v>2534.37755838101</v>
      </c>
      <c r="H21" s="0" t="n">
        <f aca="false">H19*H20</f>
        <v>2513.32035774051</v>
      </c>
      <c r="I21" s="0" t="n">
        <f aca="false">I19*I20</f>
        <v>2463.09824271882</v>
      </c>
      <c r="J21" s="0" t="n">
        <f aca="false">J19*J20</f>
        <v>2303.84388263577</v>
      </c>
      <c r="K21" s="0" t="n">
        <f aca="false">K19*K20</f>
        <v>2127.42340513663</v>
      </c>
      <c r="L21" s="0" t="n">
        <f aca="false">L19*L20</f>
        <v>1964.51260384238</v>
      </c>
    </row>
    <row r="23" customFormat="false" ht="15" hidden="false" customHeight="false" outlineLevel="0" collapsed="false">
      <c r="A23" s="0" t="s">
        <v>103</v>
      </c>
      <c r="C23" s="4" t="n">
        <f aca="false">Assumptions!C16</f>
        <v>3.4</v>
      </c>
      <c r="D23" s="4" t="n">
        <f aca="false">Assumptions!D16</f>
        <v>3.4</v>
      </c>
      <c r="E23" s="4" t="n">
        <f aca="false">Assumptions!E16</f>
        <v>3.4</v>
      </c>
      <c r="F23" s="4" t="n">
        <f aca="false">Assumptions!F16</f>
        <v>3.4</v>
      </c>
      <c r="G23" s="4" t="n">
        <f aca="false">Assumptions!G16</f>
        <v>3.4</v>
      </c>
      <c r="H23" s="4" t="n">
        <f aca="false">Assumptions!H16</f>
        <v>3.4</v>
      </c>
      <c r="I23" s="4" t="n">
        <f aca="false">Assumptions!I16</f>
        <v>3.4</v>
      </c>
      <c r="J23" s="4" t="n">
        <f aca="false">Assumptions!J16</f>
        <v>3.4</v>
      </c>
      <c r="K23" s="4" t="n">
        <f aca="false">Assumptions!K16</f>
        <v>3.4</v>
      </c>
      <c r="L23" s="4" t="n">
        <f aca="false">Assumptions!L16</f>
        <v>3.4</v>
      </c>
    </row>
    <row r="24" customFormat="false" ht="15" hidden="false" customHeight="false" outlineLevel="0" collapsed="false">
      <c r="A24" s="0" t="s">
        <v>128</v>
      </c>
      <c r="C24" s="0" t="n">
        <f aca="false">-C6*C23/100</f>
        <v>-8933.42758</v>
      </c>
      <c r="D24" s="0" t="n">
        <f aca="false">-D6*D23/100</f>
        <v>-9648.1017864</v>
      </c>
      <c r="E24" s="0" t="n">
        <f aca="false">-E6*E23/100</f>
        <v>-10226.987893584</v>
      </c>
      <c r="F24" s="0" t="n">
        <f aca="false">-F6*F23/100</f>
        <v>-10738.3372882632</v>
      </c>
      <c r="G24" s="0" t="n">
        <f aca="false">-G6*G23/100</f>
        <v>-11167.8707797937</v>
      </c>
      <c r="H24" s="0" t="n">
        <f aca="false">-H6*H23/100</f>
        <v>-11502.9069031875</v>
      </c>
      <c r="I24" s="0" t="n">
        <f aca="false">-I6*I23/100</f>
        <v>-11847.9941102832</v>
      </c>
      <c r="J24" s="0" t="n">
        <f aca="false">-J6*J23/100</f>
        <v>-12144.1939630402</v>
      </c>
      <c r="K24" s="0" t="n">
        <f aca="false">-K6*K23/100</f>
        <v>-12447.7988121163</v>
      </c>
      <c r="L24" s="0" t="n">
        <f aca="false">-L6*L23/100</f>
        <v>-12758.9937824192</v>
      </c>
    </row>
    <row r="26" customFormat="false" ht="15" hidden="false" customHeight="false" outlineLevel="0" collapsed="false">
      <c r="A26" s="2" t="s">
        <v>129</v>
      </c>
    </row>
    <row r="27" customFormat="false" ht="15" hidden="false" customHeight="false" outlineLevel="0" collapsed="false">
      <c r="A27" s="0" t="s">
        <v>107</v>
      </c>
      <c r="B27" s="4" t="n">
        <f aca="false">Assumptions!$B$20</f>
        <v>11</v>
      </c>
    </row>
    <row r="28" customFormat="false" ht="15" hidden="false" customHeight="false" outlineLevel="0" collapsed="false">
      <c r="A28" s="0" t="s">
        <v>108</v>
      </c>
      <c r="B28" s="4" t="n">
        <f aca="false">Assumptions!$B$21</f>
        <v>2</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23963.4874420951</v>
      </c>
    </row>
    <row r="31" customFormat="false" ht="15" hidden="false" customHeight="false" outlineLevel="0" collapsed="false">
      <c r="A31" s="0" t="s">
        <v>131</v>
      </c>
      <c r="B31" s="0" t="n">
        <f aca="false">L19</f>
        <v>5578.07831474716</v>
      </c>
    </row>
    <row r="32" customFormat="false" ht="15" hidden="false" customHeight="false" outlineLevel="0" collapsed="false">
      <c r="A32" s="0" t="s">
        <v>132</v>
      </c>
      <c r="B32" s="0" t="n">
        <f aca="false">IF(B27&gt;B28,B31*(1+B28/100)/((B27-B28)/100),B31*B29)</f>
        <v>63218.2209004678</v>
      </c>
    </row>
    <row r="33" customFormat="false" ht="15" hidden="false" customHeight="false" outlineLevel="0" collapsed="false">
      <c r="A33" s="0" t="s">
        <v>133</v>
      </c>
      <c r="B33" s="0" t="n">
        <f aca="false">B31*B29</f>
        <v>66936.9397769659</v>
      </c>
    </row>
    <row r="34" customFormat="false" ht="15" hidden="false" customHeight="false" outlineLevel="0" collapsed="false">
      <c r="A34" s="0" t="s">
        <v>134</v>
      </c>
      <c r="B34" s="0" t="n">
        <f aca="false">MAX(0,MIN(B32,B33))</f>
        <v>63218.2209004678</v>
      </c>
    </row>
    <row r="35" customFormat="false" ht="15" hidden="false" customHeight="false" outlineLevel="0" collapsed="false">
      <c r="A35" s="0" t="s">
        <v>135</v>
      </c>
      <c r="B35" s="0" t="n">
        <f aca="false">B34/(1+B27/100)^L4</f>
        <v>22264.4761768804</v>
      </c>
    </row>
    <row r="36" customFormat="false" ht="15" hidden="false" customHeight="false" outlineLevel="0" collapsed="false">
      <c r="A36" s="0" t="s">
        <v>136</v>
      </c>
      <c r="B36" s="0" t="n">
        <f aca="false">B30+B35</f>
        <v>46227.9636189754</v>
      </c>
    </row>
    <row r="37" customFormat="false" ht="15" hidden="false" customHeight="false" outlineLevel="0" collapsed="false">
      <c r="A37" s="0" t="s">
        <v>137</v>
      </c>
      <c r="B37" s="0" t="n">
        <f aca="false">B36+Assumptions!$B$5-Assumptions!$B$4</f>
        <v>75427.2636189754</v>
      </c>
    </row>
    <row r="38" customFormat="false" ht="15" hidden="false" customHeight="false" outlineLevel="0" collapsed="false">
      <c r="A38" s="0" t="s">
        <v>138</v>
      </c>
      <c r="B38" s="0" t="n">
        <f aca="false">B37/Assumptions!$B$3*Assumptions!$B$10</f>
        <v>13.7970973834448</v>
      </c>
    </row>
    <row r="39" customFormat="false" ht="15" hidden="false" customHeight="false" outlineLevel="0" collapsed="false">
      <c r="A39" s="0" t="s">
        <v>139</v>
      </c>
      <c r="B39" s="4" t="n">
        <f aca="false">B38/Assumptions!$B$2-1</f>
        <v>0.410746153726464</v>
      </c>
    </row>
    <row r="41" customFormat="false" ht="15" hidden="false" customHeight="false" outlineLevel="0" collapsed="false">
      <c r="A41" s="0" t="s">
        <v>140</v>
      </c>
      <c r="B41" s="0" t="n">
        <f aca="false">SUMPRODUCT(-C10:L10/(1+$B$27/100)^C4:L4)</f>
        <v>3737.8745372205</v>
      </c>
    </row>
    <row r="42" customFormat="false" ht="15" hidden="false" customHeight="false" outlineLevel="0" collapsed="false">
      <c r="A42" s="0" t="s">
        <v>141</v>
      </c>
      <c r="B42" s="0" t="n">
        <f aca="false">IF(B27&gt;B28,-L10*(1+B28/100)/((B27-B28)/100),-L10*20)/(1+B27/100)^L4</f>
        <v>2995.67971663197</v>
      </c>
    </row>
    <row r="43" customFormat="false" ht="15" hidden="false" customHeight="false" outlineLevel="0" collapsed="false">
      <c r="A43" s="0" t="s">
        <v>142</v>
      </c>
      <c r="B43" s="0" t="n">
        <f aca="false">(B37+B41+B42)/Assumptions!$B$3*Assumptions!$B$10</f>
        <v>15.0287939785436</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43766.4606234008</v>
      </c>
    </row>
    <row r="47" customFormat="false" ht="15" hidden="false" customHeight="false" outlineLevel="0" collapsed="false">
      <c r="A47" s="0" t="s">
        <v>144</v>
      </c>
      <c r="B47" s="0" t="n">
        <f aca="false">(SUMPRODUCT(C19:L19/(1+B45/100)^C4:L4)+B46/(1+B45/100)^L4+Assumptions!$B$5-Assumptions!$B$4)/Assumptions!$B$3*Assumptions!$B$10</f>
        <v>10.9672666896151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23</v>
      </c>
      <c r="D5" s="4" t="n">
        <f aca="false">Assumptions!D27</f>
        <v>12</v>
      </c>
      <c r="E5" s="4" t="n">
        <f aca="false">Assumptions!E27</f>
        <v>10</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217147</v>
      </c>
      <c r="C6" s="0" t="n">
        <f aca="false">B6*(1+C5/100)</f>
        <v>267090.81</v>
      </c>
      <c r="D6" s="0" t="n">
        <f aca="false">C6*(1+D5/100)</f>
        <v>299141.7072</v>
      </c>
      <c r="E6" s="0" t="n">
        <f aca="false">D6*(1+E5/100)</f>
        <v>329055.87792</v>
      </c>
      <c r="F6" s="0" t="n">
        <f aca="false">E6*(1+F5/100)</f>
        <v>355380.3481536</v>
      </c>
      <c r="G6" s="0" t="n">
        <f aca="false">F6*(1+G5/100)</f>
        <v>380256.972524352</v>
      </c>
      <c r="H6" s="0" t="n">
        <f aca="false">G6*(1+H5/100)</f>
        <v>403072.390875813</v>
      </c>
      <c r="I6" s="0" t="n">
        <f aca="false">H6*(1+I5/100)</f>
        <v>423226.010419604</v>
      </c>
      <c r="J6" s="0" t="n">
        <f aca="false">I6*(1+J5/100)</f>
        <v>440155.050836388</v>
      </c>
      <c r="K6" s="0" t="n">
        <f aca="false">J6*(1+K5/100)</f>
        <v>455560.477615662</v>
      </c>
      <c r="L6" s="0" t="n">
        <f aca="false">K6*(1+L5/100)</f>
        <v>469227.291944132</v>
      </c>
    </row>
    <row r="7" customFormat="false" ht="15" hidden="false" customHeight="false" outlineLevel="0" collapsed="false">
      <c r="A7" s="0" t="s">
        <v>101</v>
      </c>
      <c r="C7" s="4" t="n">
        <f aca="false">Assumptions!C28</f>
        <v>8.9</v>
      </c>
      <c r="D7" s="4" t="n">
        <f aca="false">Assumptions!D28</f>
        <v>9.2</v>
      </c>
      <c r="E7" s="4" t="n">
        <f aca="false">Assumptions!E28</f>
        <v>9.5</v>
      </c>
      <c r="F7" s="4" t="n">
        <f aca="false">Assumptions!F28</f>
        <v>9.8</v>
      </c>
      <c r="G7" s="4" t="n">
        <f aca="false">Assumptions!G28</f>
        <v>10</v>
      </c>
      <c r="H7" s="4" t="n">
        <f aca="false">Assumptions!H28</f>
        <v>10.2</v>
      </c>
      <c r="I7" s="4" t="n">
        <f aca="false">Assumptions!I28</f>
        <v>10.3</v>
      </c>
      <c r="J7" s="4" t="n">
        <f aca="false">Assumptions!J28</f>
        <v>10.4</v>
      </c>
      <c r="K7" s="4" t="n">
        <f aca="false">Assumptions!K28</f>
        <v>10.5</v>
      </c>
      <c r="L7" s="4" t="n">
        <f aca="false">Assumptions!L28</f>
        <v>10.5</v>
      </c>
    </row>
    <row r="8" customFormat="false" ht="15" hidden="false" customHeight="false" outlineLevel="0" collapsed="false">
      <c r="A8" s="0" t="s">
        <v>44</v>
      </c>
      <c r="C8" s="0" t="n">
        <f aca="false">C6*C7/100</f>
        <v>23771.08209</v>
      </c>
      <c r="D8" s="0" t="n">
        <f aca="false">D6*D7/100</f>
        <v>27521.0370624</v>
      </c>
      <c r="E8" s="0" t="n">
        <f aca="false">E6*E7/100</f>
        <v>31260.3084024</v>
      </c>
      <c r="F8" s="0" t="n">
        <f aca="false">F6*F7/100</f>
        <v>34827.2741190528</v>
      </c>
      <c r="G8" s="0" t="n">
        <f aca="false">G6*G7/100</f>
        <v>38025.6972524352</v>
      </c>
      <c r="H8" s="0" t="n">
        <f aca="false">H6*H7/100</f>
        <v>41113.3838693329</v>
      </c>
      <c r="I8" s="0" t="n">
        <f aca="false">I6*I7/100</f>
        <v>43592.2790732192</v>
      </c>
      <c r="J8" s="0" t="n">
        <f aca="false">J6*J7/100</f>
        <v>45776.1252869844</v>
      </c>
      <c r="K8" s="0" t="n">
        <f aca="false">K6*K7/100</f>
        <v>47833.8501496445</v>
      </c>
      <c r="L8" s="0" t="n">
        <f aca="false">L6*L7/100</f>
        <v>49268.8656541338</v>
      </c>
    </row>
    <row r="9" customFormat="false" ht="15" hidden="false" customHeight="false" outlineLevel="0" collapsed="false">
      <c r="A9" s="0" t="s">
        <v>102</v>
      </c>
      <c r="C9" s="4" t="n">
        <f aca="false">Assumptions!C29</f>
        <v>0.2</v>
      </c>
      <c r="D9" s="4" t="n">
        <f aca="false">Assumptions!D29</f>
        <v>0.2</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117</v>
      </c>
      <c r="C10" s="0" t="n">
        <f aca="false">-C6*C9/100</f>
        <v>-534.18162</v>
      </c>
      <c r="D10" s="0" t="n">
        <f aca="false">-D6*D9/100</f>
        <v>-598.2834144</v>
      </c>
      <c r="E10" s="0" t="n">
        <f aca="false">-E6*E9/100</f>
        <v>-658.11175584</v>
      </c>
      <c r="F10" s="0" t="n">
        <f aca="false">-F6*F9/100</f>
        <v>-710.7606963072</v>
      </c>
      <c r="G10" s="0" t="n">
        <f aca="false">-G6*G9/100</f>
        <v>-760.513945048704</v>
      </c>
      <c r="H10" s="0" t="n">
        <f aca="false">-H6*H9/100</f>
        <v>-806.144781751626</v>
      </c>
      <c r="I10" s="0" t="n">
        <f aca="false">-I6*I9/100</f>
        <v>-846.452020839208</v>
      </c>
      <c r="J10" s="0" t="n">
        <f aca="false">-J6*J9/100</f>
        <v>-880.310101672776</v>
      </c>
      <c r="K10" s="0" t="n">
        <f aca="false">-K6*K9/100</f>
        <v>-911.120955231323</v>
      </c>
      <c r="L10" s="0" t="n">
        <f aca="false">-L6*L9/100</f>
        <v>-938.454583888263</v>
      </c>
    </row>
    <row r="11" customFormat="false" ht="15" hidden="false" customHeight="false" outlineLevel="0" collapsed="false">
      <c r="A11" s="0" t="s">
        <v>118</v>
      </c>
      <c r="C11" s="0" t="n">
        <f aca="false">C8+C10+C24</f>
        <v>14422.90374</v>
      </c>
      <c r="D11" s="0" t="n">
        <f aca="false">D8+D10+D24</f>
        <v>17051.0773104</v>
      </c>
      <c r="E11" s="0" t="n">
        <f aca="false">E8+E10+E24</f>
        <v>20072.40855312</v>
      </c>
      <c r="F11" s="0" t="n">
        <f aca="false">F8+F10+F24</f>
        <v>22744.3422818304</v>
      </c>
      <c r="G11" s="0" t="n">
        <f aca="false">G8+G10+G24</f>
        <v>25096.9601866072</v>
      </c>
      <c r="H11" s="0" t="n">
        <f aca="false">H8+H10+H24</f>
        <v>27408.9225795553</v>
      </c>
      <c r="I11" s="0" t="n">
        <f aca="false">I8+I10+I24</f>
        <v>29202.5947189527</v>
      </c>
      <c r="J11" s="0" t="n">
        <f aca="false">J8+J10+J24</f>
        <v>30810.8535585472</v>
      </c>
      <c r="K11" s="0" t="n">
        <f aca="false">K8+K10+K24</f>
        <v>32344.793910712</v>
      </c>
      <c r="L11" s="0" t="n">
        <f aca="false">L8+L10+L24</f>
        <v>33315.1377280333</v>
      </c>
    </row>
    <row r="12" customFormat="false" ht="15" hidden="false" customHeight="false" outlineLevel="0" collapsed="false">
      <c r="A12" s="0" t="s">
        <v>119</v>
      </c>
      <c r="C12" s="4" t="n">
        <f aca="false">-C6*Assumptions!C31/100</f>
        <v>-6410.17944</v>
      </c>
      <c r="D12" s="4" t="n">
        <f aca="false">-D6*Assumptions!D31/100</f>
        <v>-7179.4009728</v>
      </c>
      <c r="E12" s="4" t="n">
        <f aca="false">-E6*Assumptions!E31/100</f>
        <v>-7897.34107008</v>
      </c>
      <c r="F12" s="4" t="n">
        <f aca="false">-F6*Assumptions!F31/100</f>
        <v>-8529.1283556864</v>
      </c>
      <c r="G12" s="4" t="n">
        <f aca="false">-G6*Assumptions!G31/100</f>
        <v>-9126.16734058445</v>
      </c>
      <c r="H12" s="4" t="n">
        <f aca="false">-H6*Assumptions!H31/100</f>
        <v>-9673.73738101952</v>
      </c>
      <c r="I12" s="4" t="n">
        <f aca="false">-I6*Assumptions!I31/100</f>
        <v>-10157.4242500705</v>
      </c>
      <c r="J12" s="4" t="n">
        <f aca="false">-J6*Assumptions!J31/100</f>
        <v>-10563.7212200733</v>
      </c>
      <c r="K12" s="4" t="n">
        <f aca="false">-K6*Assumptions!K31/100</f>
        <v>-10933.4514627759</v>
      </c>
      <c r="L12" s="4" t="n">
        <f aca="false">-L6*Assumptions!L31/100</f>
        <v>-11261.4550066592</v>
      </c>
    </row>
    <row r="13" customFormat="false" ht="15" hidden="false" customHeight="false" outlineLevel="0" collapsed="false">
      <c r="A13" s="0" t="s">
        <v>120</v>
      </c>
      <c r="C13" s="0" t="n">
        <f aca="false">C11+C12</f>
        <v>8012.72430000001</v>
      </c>
      <c r="D13" s="0" t="n">
        <f aca="false">D11+D12</f>
        <v>9871.6763376</v>
      </c>
      <c r="E13" s="0" t="n">
        <f aca="false">E11+E12</f>
        <v>12175.06748304</v>
      </c>
      <c r="F13" s="0" t="n">
        <f aca="false">F11+F12</f>
        <v>14215.213926144</v>
      </c>
      <c r="G13" s="0" t="n">
        <f aca="false">G11+G12</f>
        <v>15970.7928460228</v>
      </c>
      <c r="H13" s="0" t="n">
        <f aca="false">H11+H12</f>
        <v>17735.1851985358</v>
      </c>
      <c r="I13" s="0" t="n">
        <f aca="false">I11+I12</f>
        <v>19045.1704688822</v>
      </c>
      <c r="J13" s="0" t="n">
        <f aca="false">J11+J12</f>
        <v>20247.1323384739</v>
      </c>
      <c r="K13" s="0" t="n">
        <f aca="false">K11+K12</f>
        <v>21411.3424479361</v>
      </c>
      <c r="L13" s="0" t="n">
        <f aca="false">L11+L12</f>
        <v>22053.6827213742</v>
      </c>
    </row>
    <row r="14" customFormat="false" ht="15" hidden="false" customHeight="false" outlineLevel="0" collapsed="false">
      <c r="A14" s="0" t="s">
        <v>106</v>
      </c>
      <c r="C14" s="4" t="n">
        <f aca="false">Assumptions!C33</f>
        <v>13</v>
      </c>
      <c r="D14" s="4" t="n">
        <f aca="false">Assumptions!D33</f>
        <v>14</v>
      </c>
      <c r="E14" s="4" t="n">
        <f aca="false">Assumptions!E33</f>
        <v>15</v>
      </c>
      <c r="F14" s="4" t="n">
        <f aca="false">Assumptions!F33</f>
        <v>16</v>
      </c>
      <c r="G14" s="4" t="n">
        <f aca="false">Assumptions!G33</f>
        <v>17</v>
      </c>
      <c r="H14" s="4" t="n">
        <f aca="false">Assumptions!H33</f>
        <v>18</v>
      </c>
      <c r="I14" s="4" t="n">
        <f aca="false">Assumptions!I33</f>
        <v>19</v>
      </c>
      <c r="J14" s="4" t="n">
        <f aca="false">Assumptions!J33</f>
        <v>20</v>
      </c>
      <c r="K14" s="4" t="n">
        <f aca="false">Assumptions!K33</f>
        <v>20</v>
      </c>
      <c r="L14" s="4" t="n">
        <f aca="false">Assumptions!L33</f>
        <v>20</v>
      </c>
    </row>
    <row r="15" customFormat="false" ht="15" hidden="false" customHeight="false" outlineLevel="0" collapsed="false">
      <c r="A15" s="0" t="s">
        <v>121</v>
      </c>
      <c r="C15" s="0" t="n">
        <f aca="false">C13-MAX(0,C13)*C14/100</f>
        <v>6971.07014100001</v>
      </c>
      <c r="D15" s="0" t="n">
        <f aca="false">D13-MAX(0,D13)*D14/100</f>
        <v>8489.641650336</v>
      </c>
      <c r="E15" s="0" t="n">
        <f aca="false">E13-MAX(0,E13)*E14/100</f>
        <v>10348.807360584</v>
      </c>
      <c r="F15" s="0" t="n">
        <f aca="false">F13-MAX(0,F13)*F14/100</f>
        <v>11940.779697961</v>
      </c>
      <c r="G15" s="0" t="n">
        <f aca="false">G13-MAX(0,G13)*G14/100</f>
        <v>13255.7580621989</v>
      </c>
      <c r="H15" s="0" t="n">
        <f aca="false">H13-MAX(0,H13)*H14/100</f>
        <v>14542.8518627993</v>
      </c>
      <c r="I15" s="0" t="n">
        <f aca="false">I13-MAX(0,I13)*I14/100</f>
        <v>15426.5880797946</v>
      </c>
      <c r="J15" s="0" t="n">
        <f aca="false">J13-MAX(0,J13)*J14/100</f>
        <v>16197.7058707791</v>
      </c>
      <c r="K15" s="0" t="n">
        <f aca="false">K13-MAX(0,K13)*K14/100</f>
        <v>17129.0739583489</v>
      </c>
      <c r="L15" s="0" t="n">
        <f aca="false">L13-MAX(0,L13)*L14/100</f>
        <v>17642.9461770993</v>
      </c>
    </row>
    <row r="16" customFormat="false" ht="15" hidden="false" customHeight="false" outlineLevel="0" collapsed="false">
      <c r="A16" s="0" t="s">
        <v>122</v>
      </c>
      <c r="C16" s="0" t="n">
        <f aca="false">-C12</f>
        <v>6410.17944</v>
      </c>
      <c r="D16" s="0" t="n">
        <f aca="false">-D12</f>
        <v>7179.4009728</v>
      </c>
      <c r="E16" s="0" t="n">
        <f aca="false">-E12</f>
        <v>7897.34107008</v>
      </c>
      <c r="F16" s="0" t="n">
        <f aca="false">-F12</f>
        <v>8529.1283556864</v>
      </c>
      <c r="G16" s="0" t="n">
        <f aca="false">-G12</f>
        <v>9126.16734058445</v>
      </c>
      <c r="H16" s="0" t="n">
        <f aca="false">-H12</f>
        <v>9673.73738101952</v>
      </c>
      <c r="I16" s="0" t="n">
        <f aca="false">-I12</f>
        <v>10157.4242500705</v>
      </c>
      <c r="J16" s="0" t="n">
        <f aca="false">-J12</f>
        <v>10563.7212200733</v>
      </c>
      <c r="K16" s="0" t="n">
        <f aca="false">-K12</f>
        <v>10933.4514627759</v>
      </c>
      <c r="L16" s="0" t="n">
        <f aca="false">-L12</f>
        <v>11261.4550066592</v>
      </c>
    </row>
    <row r="17" customFormat="false" ht="15" hidden="false" customHeight="false" outlineLevel="0" collapsed="false">
      <c r="A17" s="0" t="s">
        <v>123</v>
      </c>
      <c r="C17" s="4" t="n">
        <f aca="false">-C6*Assumptions!C32/100</f>
        <v>-7745.63349</v>
      </c>
      <c r="D17" s="4" t="n">
        <f aca="false">-D6*Assumptions!D32/100</f>
        <v>-8675.1095088</v>
      </c>
      <c r="E17" s="4" t="n">
        <f aca="false">-E6*Assumptions!E32/100</f>
        <v>-9213.56458176</v>
      </c>
      <c r="F17" s="4" t="n">
        <f aca="false">-F6*Assumptions!F32/100</f>
        <v>-9950.6497483008</v>
      </c>
      <c r="G17" s="4" t="n">
        <f aca="false">-G6*Assumptions!G32/100</f>
        <v>-10647.1952306819</v>
      </c>
      <c r="H17" s="4" t="n">
        <f aca="false">-H6*Assumptions!H32/100</f>
        <v>-10882.954553647</v>
      </c>
      <c r="I17" s="4" t="n">
        <f aca="false">-I6*Assumptions!I32/100</f>
        <v>-11427.1022813293</v>
      </c>
      <c r="J17" s="4" t="n">
        <f aca="false">-J6*Assumptions!J32/100</f>
        <v>-11884.1863725825</v>
      </c>
      <c r="K17" s="4" t="n">
        <f aca="false">-K6*Assumptions!K32/100</f>
        <v>-12300.1328956229</v>
      </c>
      <c r="L17" s="4" t="n">
        <f aca="false">-L6*Assumptions!L32/100</f>
        <v>-12669.1368824916</v>
      </c>
    </row>
    <row r="18" customFormat="false" ht="15" hidden="false" customHeight="false" outlineLevel="0" collapsed="false">
      <c r="A18" s="0" t="s">
        <v>124</v>
      </c>
      <c r="C18" s="4" t="n">
        <f aca="false">(C6-B6)*Assumptions!$B$37/100</f>
        <v>-1498.3143</v>
      </c>
      <c r="D18" s="4" t="n">
        <f aca="false">(D6-C6)*Assumptions!$B$37/100</f>
        <v>-961.526916</v>
      </c>
      <c r="E18" s="4" t="n">
        <f aca="false">(E6-D6)*Assumptions!$B$37/100</f>
        <v>-897.425121600002</v>
      </c>
      <c r="F18" s="4" t="n">
        <f aca="false">(F6-E6)*Assumptions!$B$37/100</f>
        <v>-789.734107008</v>
      </c>
      <c r="G18" s="4" t="n">
        <f aca="false">(G6-F6)*Assumptions!$B$37/100</f>
        <v>-746.298731122561</v>
      </c>
      <c r="H18" s="4" t="n">
        <f aca="false">(H6-G6)*Assumptions!$B$37/100</f>
        <v>-684.462550543834</v>
      </c>
      <c r="I18" s="4" t="n">
        <f aca="false">(I6-H6)*Assumptions!$B$37/100</f>
        <v>-604.608586313721</v>
      </c>
      <c r="J18" s="4" t="n">
        <f aca="false">(J6-I6)*Assumptions!$B$37/100</f>
        <v>-507.871212503525</v>
      </c>
      <c r="K18" s="4" t="n">
        <f aca="false">(K6-J6)*Assumptions!$B$37/100</f>
        <v>-462.162803378206</v>
      </c>
      <c r="L18" s="4" t="n">
        <f aca="false">(L6-K6)*Assumptions!$B$37/100</f>
        <v>-410.004429854096</v>
      </c>
    </row>
    <row r="19" customFormat="false" ht="15" hidden="false" customHeight="false" outlineLevel="0" collapsed="false">
      <c r="A19" s="0" t="s">
        <v>125</v>
      </c>
      <c r="C19" s="0" t="n">
        <f aca="false">C15+C16+C17+C18</f>
        <v>4137.301791</v>
      </c>
      <c r="D19" s="0" t="n">
        <f aca="false">D15+D16+D17+D18</f>
        <v>6032.406198336</v>
      </c>
      <c r="E19" s="0" t="n">
        <f aca="false">E15+E16+E17+E18</f>
        <v>8135.158727304</v>
      </c>
      <c r="F19" s="0" t="n">
        <f aca="false">F15+F16+F17+F18</f>
        <v>9729.52419833856</v>
      </c>
      <c r="G19" s="0" t="n">
        <f aca="false">G15+G16+G17+G18</f>
        <v>10988.431440979</v>
      </c>
      <c r="H19" s="0" t="n">
        <f aca="false">H15+H16+H17+H18</f>
        <v>12649.1721396281</v>
      </c>
      <c r="I19" s="0" t="n">
        <f aca="false">I15+I16+I17+I18</f>
        <v>13552.301462222</v>
      </c>
      <c r="J19" s="0" t="n">
        <f aca="false">J15+J16+J17+J18</f>
        <v>14369.3695057664</v>
      </c>
      <c r="K19" s="0" t="n">
        <f aca="false">K15+K16+K17+K18</f>
        <v>15300.2297221237</v>
      </c>
      <c r="L19" s="0" t="n">
        <f aca="false">L15+L16+L17+L18</f>
        <v>15825.2598714129</v>
      </c>
    </row>
    <row r="20" customFormat="false" ht="15" hidden="false" customHeight="false" outlineLevel="0" collapsed="false">
      <c r="A20" s="0" t="s">
        <v>126</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127</v>
      </c>
      <c r="C21" s="0" t="n">
        <f aca="false">C19*C20</f>
        <v>3727.29891081081</v>
      </c>
      <c r="D21" s="0" t="n">
        <f aca="false">D19*D20</f>
        <v>4896.03619700998</v>
      </c>
      <c r="E21" s="0" t="n">
        <f aca="false">E19*E20</f>
        <v>5948.3579469199</v>
      </c>
      <c r="F21" s="0" t="n">
        <f aca="false">F19*F20</f>
        <v>6409.13895313891</v>
      </c>
      <c r="G21" s="0" t="n">
        <f aca="false">G19*G20</f>
        <v>6521.09923192938</v>
      </c>
      <c r="H21" s="0" t="n">
        <f aca="false">H19*H20</f>
        <v>6762.7639685618</v>
      </c>
      <c r="I21" s="0" t="n">
        <f aca="false">I19*I20</f>
        <v>6527.57998620697</v>
      </c>
      <c r="J21" s="0" t="n">
        <f aca="false">J19*J20</f>
        <v>6235.25016364883</v>
      </c>
      <c r="K21" s="0" t="n">
        <f aca="false">K19*K20</f>
        <v>5981.23880709547</v>
      </c>
      <c r="L21" s="0" t="n">
        <f aca="false">L19*L20</f>
        <v>5573.41089928402</v>
      </c>
    </row>
    <row r="23" customFormat="false" ht="15" hidden="false" customHeight="false" outlineLevel="0" collapsed="false">
      <c r="A23" s="0" t="s">
        <v>103</v>
      </c>
      <c r="C23" s="4" t="n">
        <f aca="false">Assumptions!C30</f>
        <v>3.3</v>
      </c>
      <c r="D23" s="4" t="n">
        <f aca="false">Assumptions!D30</f>
        <v>3.3</v>
      </c>
      <c r="E23" s="4" t="n">
        <f aca="false">Assumptions!E30</f>
        <v>3.2</v>
      </c>
      <c r="F23" s="4" t="n">
        <f aca="false">Assumptions!F30</f>
        <v>3.2</v>
      </c>
      <c r="G23" s="4" t="n">
        <f aca="false">Assumptions!G30</f>
        <v>3.2</v>
      </c>
      <c r="H23" s="4" t="n">
        <f aca="false">Assumptions!H30</f>
        <v>3.2</v>
      </c>
      <c r="I23" s="4" t="n">
        <f aca="false">Assumptions!I30</f>
        <v>3.2</v>
      </c>
      <c r="J23" s="4" t="n">
        <f aca="false">Assumptions!J30</f>
        <v>3.2</v>
      </c>
      <c r="K23" s="4" t="n">
        <f aca="false">Assumptions!K30</f>
        <v>3.2</v>
      </c>
      <c r="L23" s="4" t="n">
        <f aca="false">Assumptions!L30</f>
        <v>3.2</v>
      </c>
    </row>
    <row r="24" customFormat="false" ht="15" hidden="false" customHeight="false" outlineLevel="0" collapsed="false">
      <c r="A24" s="0" t="s">
        <v>128</v>
      </c>
      <c r="C24" s="0" t="n">
        <f aca="false">-C6*C23/100</f>
        <v>-8813.99673</v>
      </c>
      <c r="D24" s="0" t="n">
        <f aca="false">-D6*D23/100</f>
        <v>-9871.6763376</v>
      </c>
      <c r="E24" s="0" t="n">
        <f aca="false">-E6*E23/100</f>
        <v>-10529.78809344</v>
      </c>
      <c r="F24" s="0" t="n">
        <f aca="false">-F6*F23/100</f>
        <v>-11372.1711409152</v>
      </c>
      <c r="G24" s="0" t="n">
        <f aca="false">-G6*G23/100</f>
        <v>-12168.2231207793</v>
      </c>
      <c r="H24" s="0" t="n">
        <f aca="false">-H6*H23/100</f>
        <v>-12898.316508026</v>
      </c>
      <c r="I24" s="0" t="n">
        <f aca="false">-I6*I23/100</f>
        <v>-13543.2323334273</v>
      </c>
      <c r="J24" s="0" t="n">
        <f aca="false">-J6*J23/100</f>
        <v>-14084.9616267644</v>
      </c>
      <c r="K24" s="0" t="n">
        <f aca="false">-K6*K23/100</f>
        <v>-14577.9352837012</v>
      </c>
      <c r="L24" s="0" t="n">
        <f aca="false">-L6*L23/100</f>
        <v>-15015.2733422122</v>
      </c>
    </row>
    <row r="26" customFormat="false" ht="15" hidden="false" customHeight="false" outlineLevel="0" collapsed="false">
      <c r="A26" s="2" t="s">
        <v>129</v>
      </c>
    </row>
    <row r="27" customFormat="false" ht="15" hidden="false" customHeight="false" outlineLevel="0" collapsed="false">
      <c r="A27" s="0" t="s">
        <v>107</v>
      </c>
      <c r="B27" s="4" t="n">
        <f aca="false">Assumptions!$B$34</f>
        <v>11</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58582.1750646061</v>
      </c>
    </row>
    <row r="31" customFormat="false" ht="15" hidden="false" customHeight="false" outlineLevel="0" collapsed="false">
      <c r="A31" s="0" t="s">
        <v>131</v>
      </c>
      <c r="B31" s="0" t="n">
        <f aca="false">L19</f>
        <v>15825.2598714129</v>
      </c>
    </row>
    <row r="32" customFormat="false" ht="15" hidden="false" customHeight="false" outlineLevel="0" collapsed="false">
      <c r="A32" s="0" t="s">
        <v>132</v>
      </c>
      <c r="B32" s="0" t="n">
        <f aca="false">IF(B27&gt;B28,B31*(1+B28/100)/((B27-B28)/100),B31*B29)</f>
        <v>190834.016096449</v>
      </c>
    </row>
    <row r="33" customFormat="false" ht="15" hidden="false" customHeight="false" outlineLevel="0" collapsed="false">
      <c r="A33" s="0" t="s">
        <v>133</v>
      </c>
      <c r="B33" s="0" t="n">
        <f aca="false">B31*B29</f>
        <v>237378.898071193</v>
      </c>
    </row>
    <row r="34" customFormat="false" ht="15" hidden="false" customHeight="false" outlineLevel="0" collapsed="false">
      <c r="A34" s="0" t="s">
        <v>134</v>
      </c>
      <c r="B34" s="0" t="n">
        <f aca="false">MAX(0,MIN(B32,B33))</f>
        <v>190834.016096449</v>
      </c>
    </row>
    <row r="35" customFormat="false" ht="15" hidden="false" customHeight="false" outlineLevel="0" collapsed="false">
      <c r="A35" s="0" t="s">
        <v>135</v>
      </c>
      <c r="B35" s="0" t="n">
        <f aca="false">B34/(1+B27/100)^L4</f>
        <v>67208.7784913662</v>
      </c>
    </row>
    <row r="36" customFormat="false" ht="15" hidden="false" customHeight="false" outlineLevel="0" collapsed="false">
      <c r="A36" s="0" t="s">
        <v>136</v>
      </c>
      <c r="B36" s="0" t="n">
        <f aca="false">B30+B35</f>
        <v>125790.953555972</v>
      </c>
    </row>
    <row r="37" customFormat="false" ht="15" hidden="false" customHeight="false" outlineLevel="0" collapsed="false">
      <c r="A37" s="0" t="s">
        <v>137</v>
      </c>
      <c r="B37" s="0" t="n">
        <f aca="false">B36+Assumptions!$B$5-Assumptions!$B$4</f>
        <v>154990.253555972</v>
      </c>
    </row>
    <row r="38" customFormat="false" ht="15" hidden="false" customHeight="false" outlineLevel="0" collapsed="false">
      <c r="A38" s="0" t="s">
        <v>138</v>
      </c>
      <c r="B38" s="0" t="n">
        <f aca="false">B37/Assumptions!$B$3*Assumptions!$B$10</f>
        <v>28.3506986624739</v>
      </c>
    </row>
    <row r="39" customFormat="false" ht="15" hidden="false" customHeight="false" outlineLevel="0" collapsed="false">
      <c r="A39" s="0" t="s">
        <v>139</v>
      </c>
      <c r="B39" s="4" t="n">
        <f aca="false">B38/Assumptions!$B$2-1</f>
        <v>1.89884444401574</v>
      </c>
    </row>
    <row r="41" customFormat="false" ht="15" hidden="false" customHeight="false" outlineLevel="0" collapsed="false">
      <c r="A41" s="0" t="s">
        <v>140</v>
      </c>
      <c r="B41" s="0" t="n">
        <f aca="false">SUMPRODUCT(-C10:L10/(1+$B$27/100)^C4:L4)</f>
        <v>4274.9361067388</v>
      </c>
    </row>
    <row r="42" customFormat="false" ht="15" hidden="false" customHeight="false" outlineLevel="0" collapsed="false">
      <c r="A42" s="0" t="s">
        <v>141</v>
      </c>
      <c r="B42" s="0" t="n">
        <f aca="false">IF(B27&gt;B28,-L10*(1+B28/100)/((B27-B28)/100),-L10*20)/(1+B27/100)^L4</f>
        <v>3985.55137579061</v>
      </c>
    </row>
    <row r="43" customFormat="false" ht="15" hidden="false" customHeight="false" outlineLevel="0" collapsed="false">
      <c r="A43" s="0" t="s">
        <v>142</v>
      </c>
      <c r="B43" s="0" t="n">
        <f aca="false">(B37+B41+B42)/Assumptions!$B$3*Assumptions!$B$10</f>
        <v>29.8617007161466</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129767.130945585</v>
      </c>
    </row>
    <row r="47" customFormat="false" ht="15" hidden="false" customHeight="false" outlineLevel="0" collapsed="false">
      <c r="A47" s="0" t="s">
        <v>144</v>
      </c>
      <c r="B47" s="0" t="n">
        <f aca="false">(SUMPRODUCT(C19:L19/(1+B45/100)^C4:L4)+B46/(1+B45/100)^L4+Assumptions!$B$5-Assumptions!$B$4)/Assumptions!$B$3*Assumptions!$B$10</f>
        <v>19.9988638451443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25</v>
      </c>
      <c r="D5" s="4" t="n">
        <f aca="false">Assumptions!D41</f>
        <v>15</v>
      </c>
      <c r="E5" s="4" t="n">
        <f aca="false">Assumptions!E41</f>
        <v>13</v>
      </c>
      <c r="F5" s="4" t="n">
        <f aca="false">Assumptions!F41</f>
        <v>11</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217147</v>
      </c>
      <c r="C6" s="0" t="n">
        <f aca="false">B6*(1+C5/100)</f>
        <v>271433.75</v>
      </c>
      <c r="D6" s="0" t="n">
        <f aca="false">C6*(1+D5/100)</f>
        <v>312148.8125</v>
      </c>
      <c r="E6" s="0" t="n">
        <f aca="false">D6*(1+E5/100)</f>
        <v>352728.158125</v>
      </c>
      <c r="F6" s="0" t="n">
        <f aca="false">E6*(1+F5/100)</f>
        <v>391528.25551875</v>
      </c>
      <c r="G6" s="0" t="n">
        <f aca="false">F6*(1+G5/100)</f>
        <v>426765.798515438</v>
      </c>
      <c r="H6" s="0" t="n">
        <f aca="false">G6*(1+H5/100)</f>
        <v>460907.062396673</v>
      </c>
      <c r="I6" s="0" t="n">
        <f aca="false">H6*(1+I5/100)</f>
        <v>493170.55676444</v>
      </c>
      <c r="J6" s="0" t="n">
        <f aca="false">I6*(1+J5/100)</f>
        <v>522760.790170306</v>
      </c>
      <c r="K6" s="0" t="n">
        <f aca="false">J6*(1+K5/100)</f>
        <v>548898.829678821</v>
      </c>
      <c r="L6" s="0" t="n">
        <f aca="false">K6*(1+L5/100)</f>
        <v>570854.782865974</v>
      </c>
    </row>
    <row r="7" customFormat="false" ht="15" hidden="false" customHeight="false" outlineLevel="0" collapsed="false">
      <c r="A7" s="0" t="s">
        <v>101</v>
      </c>
      <c r="C7" s="4" t="n">
        <f aca="false">Assumptions!C42</f>
        <v>9.1</v>
      </c>
      <c r="D7" s="4" t="n">
        <f aca="false">Assumptions!D42</f>
        <v>9.6</v>
      </c>
      <c r="E7" s="4" t="n">
        <f aca="false">Assumptions!E42</f>
        <v>10.1</v>
      </c>
      <c r="F7" s="4" t="n">
        <f aca="false">Assumptions!F42</f>
        <v>10.6</v>
      </c>
      <c r="G7" s="4" t="n">
        <f aca="false">Assumptions!G42</f>
        <v>11</v>
      </c>
      <c r="H7" s="4" t="n">
        <f aca="false">Assumptions!H42</f>
        <v>11.3</v>
      </c>
      <c r="I7" s="4" t="n">
        <f aca="false">Assumptions!I42</f>
        <v>11.5</v>
      </c>
      <c r="J7" s="4" t="n">
        <f aca="false">Assumptions!J42</f>
        <v>11.7</v>
      </c>
      <c r="K7" s="4" t="n">
        <f aca="false">Assumptions!K42</f>
        <v>11.8</v>
      </c>
      <c r="L7" s="4" t="n">
        <f aca="false">Assumptions!L42</f>
        <v>12</v>
      </c>
    </row>
    <row r="8" customFormat="false" ht="15" hidden="false" customHeight="false" outlineLevel="0" collapsed="false">
      <c r="A8" s="0" t="s">
        <v>44</v>
      </c>
      <c r="C8" s="0" t="n">
        <f aca="false">C6*C7/100</f>
        <v>24700.47125</v>
      </c>
      <c r="D8" s="0" t="n">
        <f aca="false">D6*D7/100</f>
        <v>29966.286</v>
      </c>
      <c r="E8" s="0" t="n">
        <f aca="false">E6*E7/100</f>
        <v>35625.543970625</v>
      </c>
      <c r="F8" s="0" t="n">
        <f aca="false">F6*F7/100</f>
        <v>41501.9950849875</v>
      </c>
      <c r="G8" s="0" t="n">
        <f aca="false">G6*G7/100</f>
        <v>46944.2378366981</v>
      </c>
      <c r="H8" s="0" t="n">
        <f aca="false">H6*H7/100</f>
        <v>52082.498050824</v>
      </c>
      <c r="I8" s="0" t="n">
        <f aca="false">I6*I7/100</f>
        <v>56714.6140279106</v>
      </c>
      <c r="J8" s="0" t="n">
        <f aca="false">J6*J7/100</f>
        <v>61163.0124499258</v>
      </c>
      <c r="K8" s="0" t="n">
        <f aca="false">K6*K7/100</f>
        <v>64770.0619021009</v>
      </c>
      <c r="L8" s="0" t="n">
        <f aca="false">L6*L7/100</f>
        <v>68502.5739439169</v>
      </c>
    </row>
    <row r="9" customFormat="false" ht="15" hidden="false" customHeight="false" outlineLevel="0" collapsed="false">
      <c r="A9" s="0" t="s">
        <v>102</v>
      </c>
      <c r="C9" s="4" t="n">
        <f aca="false">Assumptions!C43</f>
        <v>0.2</v>
      </c>
      <c r="D9" s="4" t="n">
        <f aca="false">Assumptions!D43</f>
        <v>0.2</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117</v>
      </c>
      <c r="C10" s="0" t="n">
        <f aca="false">-C6*C9/100</f>
        <v>-542.8675</v>
      </c>
      <c r="D10" s="0" t="n">
        <f aca="false">-D6*D9/100</f>
        <v>-624.297625</v>
      </c>
      <c r="E10" s="0" t="n">
        <f aca="false">-E6*E9/100</f>
        <v>-705.45631625</v>
      </c>
      <c r="F10" s="0" t="n">
        <f aca="false">-F6*F9/100</f>
        <v>-783.0565110375</v>
      </c>
      <c r="G10" s="0" t="n">
        <f aca="false">-G6*G9/100</f>
        <v>-853.531597030875</v>
      </c>
      <c r="H10" s="0" t="n">
        <f aca="false">-H6*H9/100</f>
        <v>-921.814124793345</v>
      </c>
      <c r="I10" s="0" t="n">
        <f aca="false">-I6*I9/100</f>
        <v>-986.341113528879</v>
      </c>
      <c r="J10" s="0" t="n">
        <f aca="false">-J6*J9/100</f>
        <v>-1045.52158034061</v>
      </c>
      <c r="K10" s="0" t="n">
        <f aca="false">-K6*K9/100</f>
        <v>-1097.79765935764</v>
      </c>
      <c r="L10" s="0" t="n">
        <f aca="false">-L6*L9/100</f>
        <v>-1141.70956573195</v>
      </c>
    </row>
    <row r="11" customFormat="false" ht="15" hidden="false" customHeight="false" outlineLevel="0" collapsed="false">
      <c r="A11" s="0" t="s">
        <v>118</v>
      </c>
      <c r="C11" s="0" t="n">
        <f aca="false">C8+C10+C24</f>
        <v>15200.29</v>
      </c>
      <c r="D11" s="0" t="n">
        <f aca="false">D8+D10+D24</f>
        <v>19353.226375</v>
      </c>
      <c r="E11" s="0" t="n">
        <f aca="false">E8+E10+E24</f>
        <v>23632.786594375</v>
      </c>
      <c r="F11" s="0" t="n">
        <f aca="false">F8+F10+F24</f>
        <v>28581.5626528687</v>
      </c>
      <c r="G11" s="0" t="n">
        <f aca="false">G8+G10+G24</f>
        <v>32860.9664856887</v>
      </c>
      <c r="H11" s="0" t="n">
        <f aca="false">H8+H10+H24</f>
        <v>37333.4720541305</v>
      </c>
      <c r="I11" s="0" t="n">
        <f aca="false">I8+I10+I24</f>
        <v>40933.1562114485</v>
      </c>
      <c r="J11" s="0" t="n">
        <f aca="false">J8+J10+J24</f>
        <v>44434.667164476</v>
      </c>
      <c r="K11" s="0" t="n">
        <f aca="false">K8+K10+K24</f>
        <v>47205.2993523786</v>
      </c>
      <c r="L11" s="0" t="n">
        <f aca="false">L8+L10+L24</f>
        <v>50235.2208922057</v>
      </c>
    </row>
    <row r="12" customFormat="false" ht="15" hidden="false" customHeight="false" outlineLevel="0" collapsed="false">
      <c r="A12" s="0" t="s">
        <v>119</v>
      </c>
      <c r="C12" s="4" t="n">
        <f aca="false">-C6*Assumptions!C45/100</f>
        <v>-6514.41</v>
      </c>
      <c r="D12" s="4" t="n">
        <f aca="false">-D6*Assumptions!D45/100</f>
        <v>-7491.5715</v>
      </c>
      <c r="E12" s="4" t="n">
        <f aca="false">-E6*Assumptions!E45/100</f>
        <v>-8465.475795</v>
      </c>
      <c r="F12" s="4" t="n">
        <f aca="false">-F6*Assumptions!F45/100</f>
        <v>-9396.67813245</v>
      </c>
      <c r="G12" s="4" t="n">
        <f aca="false">-G6*Assumptions!G45/100</f>
        <v>-10242.3791643705</v>
      </c>
      <c r="H12" s="4" t="n">
        <f aca="false">-H6*Assumptions!H45/100</f>
        <v>-11061.7694975201</v>
      </c>
      <c r="I12" s="4" t="n">
        <f aca="false">-I6*Assumptions!I45/100</f>
        <v>-11836.0933623466</v>
      </c>
      <c r="J12" s="4" t="n">
        <f aca="false">-J6*Assumptions!J45/100</f>
        <v>-12546.2589640873</v>
      </c>
      <c r="K12" s="4" t="n">
        <f aca="false">-K6*Assumptions!K45/100</f>
        <v>-13173.5719122917</v>
      </c>
      <c r="L12" s="4" t="n">
        <f aca="false">-L6*Assumptions!L45/100</f>
        <v>-13700.5147887834</v>
      </c>
    </row>
    <row r="13" customFormat="false" ht="15" hidden="false" customHeight="false" outlineLevel="0" collapsed="false">
      <c r="A13" s="0" t="s">
        <v>120</v>
      </c>
      <c r="C13" s="0" t="n">
        <f aca="false">C11+C12</f>
        <v>8685.88</v>
      </c>
      <c r="D13" s="0" t="n">
        <f aca="false">D11+D12</f>
        <v>11861.654875</v>
      </c>
      <c r="E13" s="0" t="n">
        <f aca="false">E11+E12</f>
        <v>15167.310799375</v>
      </c>
      <c r="F13" s="0" t="n">
        <f aca="false">F11+F12</f>
        <v>19184.8845204187</v>
      </c>
      <c r="G13" s="0" t="n">
        <f aca="false">G11+G12</f>
        <v>22618.5873213182</v>
      </c>
      <c r="H13" s="0" t="n">
        <f aca="false">H11+H12</f>
        <v>26271.7025566103</v>
      </c>
      <c r="I13" s="0" t="n">
        <f aca="false">I11+I12</f>
        <v>29097.0628491019</v>
      </c>
      <c r="J13" s="0" t="n">
        <f aca="false">J11+J12</f>
        <v>31888.4082003887</v>
      </c>
      <c r="K13" s="0" t="n">
        <f aca="false">K11+K12</f>
        <v>34031.7274400869</v>
      </c>
      <c r="L13" s="0" t="n">
        <f aca="false">L11+L12</f>
        <v>36534.7061034224</v>
      </c>
    </row>
    <row r="14" customFormat="false" ht="15" hidden="false" customHeight="false" outlineLevel="0" collapsed="false">
      <c r="A14" s="0" t="s">
        <v>106</v>
      </c>
      <c r="C14" s="4" t="n">
        <f aca="false">Assumptions!C47</f>
        <v>13</v>
      </c>
      <c r="D14" s="4" t="n">
        <f aca="false">Assumptions!D47</f>
        <v>14</v>
      </c>
      <c r="E14" s="4" t="n">
        <f aca="false">Assumptions!E47</f>
        <v>15</v>
      </c>
      <c r="F14" s="4" t="n">
        <f aca="false">Assumptions!F47</f>
        <v>16</v>
      </c>
      <c r="G14" s="4" t="n">
        <f aca="false">Assumptions!G47</f>
        <v>17</v>
      </c>
      <c r="H14" s="4" t="n">
        <f aca="false">Assumptions!H47</f>
        <v>18</v>
      </c>
      <c r="I14" s="4" t="n">
        <f aca="false">Assumptions!I47</f>
        <v>19</v>
      </c>
      <c r="J14" s="4" t="n">
        <f aca="false">Assumptions!J47</f>
        <v>20</v>
      </c>
      <c r="K14" s="4" t="n">
        <f aca="false">Assumptions!K47</f>
        <v>20</v>
      </c>
      <c r="L14" s="4" t="n">
        <f aca="false">Assumptions!L47</f>
        <v>20</v>
      </c>
    </row>
    <row r="15" customFormat="false" ht="15" hidden="false" customHeight="false" outlineLevel="0" collapsed="false">
      <c r="A15" s="0" t="s">
        <v>121</v>
      </c>
      <c r="C15" s="0" t="n">
        <f aca="false">C13-MAX(0,C13)*C14/100</f>
        <v>7556.7156</v>
      </c>
      <c r="D15" s="0" t="n">
        <f aca="false">D13-MAX(0,D13)*D14/100</f>
        <v>10201.0231925</v>
      </c>
      <c r="E15" s="0" t="n">
        <f aca="false">E13-MAX(0,E13)*E14/100</f>
        <v>12892.2141794688</v>
      </c>
      <c r="F15" s="0" t="n">
        <f aca="false">F13-MAX(0,F13)*F14/100</f>
        <v>16115.3029971517</v>
      </c>
      <c r="G15" s="0" t="n">
        <f aca="false">G13-MAX(0,G13)*G14/100</f>
        <v>18773.4274766941</v>
      </c>
      <c r="H15" s="0" t="n">
        <f aca="false">H13-MAX(0,H13)*H14/100</f>
        <v>21542.7960964205</v>
      </c>
      <c r="I15" s="0" t="n">
        <f aca="false">I13-MAX(0,I13)*I14/100</f>
        <v>23568.6209077726</v>
      </c>
      <c r="J15" s="0" t="n">
        <f aca="false">J13-MAX(0,J13)*J14/100</f>
        <v>25510.7265603109</v>
      </c>
      <c r="K15" s="0" t="n">
        <f aca="false">K13-MAX(0,K13)*K14/100</f>
        <v>27225.3819520695</v>
      </c>
      <c r="L15" s="0" t="n">
        <f aca="false">L13-MAX(0,L13)*L14/100</f>
        <v>29227.7648827379</v>
      </c>
    </row>
    <row r="16" customFormat="false" ht="15" hidden="false" customHeight="false" outlineLevel="0" collapsed="false">
      <c r="A16" s="0" t="s">
        <v>122</v>
      </c>
      <c r="C16" s="0" t="n">
        <f aca="false">-C12</f>
        <v>6514.41</v>
      </c>
      <c r="D16" s="0" t="n">
        <f aca="false">-D12</f>
        <v>7491.5715</v>
      </c>
      <c r="E16" s="0" t="n">
        <f aca="false">-E12</f>
        <v>8465.475795</v>
      </c>
      <c r="F16" s="0" t="n">
        <f aca="false">-F12</f>
        <v>9396.67813245</v>
      </c>
      <c r="G16" s="0" t="n">
        <f aca="false">-G12</f>
        <v>10242.3791643705</v>
      </c>
      <c r="H16" s="0" t="n">
        <f aca="false">-H12</f>
        <v>11061.7694975201</v>
      </c>
      <c r="I16" s="0" t="n">
        <f aca="false">-I12</f>
        <v>11836.0933623466</v>
      </c>
      <c r="J16" s="0" t="n">
        <f aca="false">-J12</f>
        <v>12546.2589640873</v>
      </c>
      <c r="K16" s="0" t="n">
        <f aca="false">-K12</f>
        <v>13173.5719122917</v>
      </c>
      <c r="L16" s="0" t="n">
        <f aca="false">-L12</f>
        <v>13700.5147887834</v>
      </c>
    </row>
    <row r="17" customFormat="false" ht="15" hidden="false" customHeight="false" outlineLevel="0" collapsed="false">
      <c r="A17" s="0" t="s">
        <v>123</v>
      </c>
      <c r="C17" s="4" t="n">
        <f aca="false">-C6*Assumptions!C46/100</f>
        <v>-7871.57875</v>
      </c>
      <c r="D17" s="4" t="n">
        <f aca="false">-D6*Assumptions!D46/100</f>
        <v>-8740.16675</v>
      </c>
      <c r="E17" s="4" t="n">
        <f aca="false">-E6*Assumptions!E46/100</f>
        <v>-9876.3884275</v>
      </c>
      <c r="F17" s="4" t="n">
        <f aca="false">-F6*Assumptions!F46/100</f>
        <v>-10571.2628990063</v>
      </c>
      <c r="G17" s="4" t="n">
        <f aca="false">-G6*Assumptions!G46/100</f>
        <v>-11522.6765599168</v>
      </c>
      <c r="H17" s="4" t="n">
        <f aca="false">-H6*Assumptions!H46/100</f>
        <v>-11983.5836223135</v>
      </c>
      <c r="I17" s="4" t="n">
        <f aca="false">-I6*Assumptions!I46/100</f>
        <v>-12822.4344758754</v>
      </c>
      <c r="J17" s="4" t="n">
        <f aca="false">-J6*Assumptions!J46/100</f>
        <v>-13591.780544428</v>
      </c>
      <c r="K17" s="4" t="n">
        <f aca="false">-K6*Assumptions!K46/100</f>
        <v>-14271.3695716494</v>
      </c>
      <c r="L17" s="4" t="n">
        <f aca="false">-L6*Assumptions!L46/100</f>
        <v>-14842.2243545153</v>
      </c>
    </row>
    <row r="18" customFormat="false" ht="15" hidden="false" customHeight="false" outlineLevel="0" collapsed="false">
      <c r="A18" s="0" t="s">
        <v>124</v>
      </c>
      <c r="C18" s="4" t="n">
        <f aca="false">(C6-B6)*Assumptions!$B$51/100</f>
        <v>-1628.6025</v>
      </c>
      <c r="D18" s="4" t="n">
        <f aca="false">(D6-C6)*Assumptions!$B$51/100</f>
        <v>-1221.451875</v>
      </c>
      <c r="E18" s="4" t="n">
        <f aca="false">(E6-D6)*Assumptions!$B$51/100</f>
        <v>-1217.38036875</v>
      </c>
      <c r="F18" s="4" t="n">
        <f aca="false">(F6-E6)*Assumptions!$B$51/100</f>
        <v>-1164.0029218125</v>
      </c>
      <c r="G18" s="4" t="n">
        <f aca="false">(G6-F6)*Assumptions!$B$51/100</f>
        <v>-1057.12628990063</v>
      </c>
      <c r="H18" s="4" t="n">
        <f aca="false">(H6-G6)*Assumptions!$B$51/100</f>
        <v>-1024.23791643705</v>
      </c>
      <c r="I18" s="4" t="n">
        <f aca="false">(I6-H6)*Assumptions!$B$51/100</f>
        <v>-967.904831033014</v>
      </c>
      <c r="J18" s="4" t="n">
        <f aca="false">(J6-I6)*Assumptions!$B$51/100</f>
        <v>-887.707002175993</v>
      </c>
      <c r="K18" s="4" t="n">
        <f aca="false">(K6-J6)*Assumptions!$B$51/100</f>
        <v>-784.141185255458</v>
      </c>
      <c r="L18" s="4" t="n">
        <f aca="false">(L6-K6)*Assumptions!$B$51/100</f>
        <v>-658.678595614586</v>
      </c>
    </row>
    <row r="19" customFormat="false" ht="15" hidden="false" customHeight="false" outlineLevel="0" collapsed="false">
      <c r="A19" s="0" t="s">
        <v>125</v>
      </c>
      <c r="C19" s="0" t="n">
        <f aca="false">C15+C16+C17+C18</f>
        <v>4570.94435</v>
      </c>
      <c r="D19" s="0" t="n">
        <f aca="false">D15+D16+D17+D18</f>
        <v>7730.9760675</v>
      </c>
      <c r="E19" s="0" t="n">
        <f aca="false">E15+E16+E17+E18</f>
        <v>10263.9211782188</v>
      </c>
      <c r="F19" s="0" t="n">
        <f aca="false">F15+F16+F17+F18</f>
        <v>13776.715308783</v>
      </c>
      <c r="G19" s="0" t="n">
        <f aca="false">G15+G16+G17+G18</f>
        <v>16436.0037912472</v>
      </c>
      <c r="H19" s="0" t="n">
        <f aca="false">H15+H16+H17+H18</f>
        <v>19596.7440551901</v>
      </c>
      <c r="I19" s="0" t="n">
        <f aca="false">I15+I16+I17+I18</f>
        <v>21614.3749632107</v>
      </c>
      <c r="J19" s="0" t="n">
        <f aca="false">J15+J16+J17+J18</f>
        <v>23577.4979777943</v>
      </c>
      <c r="K19" s="0" t="n">
        <f aca="false">K15+K16+K17+K18</f>
        <v>25343.4431074565</v>
      </c>
      <c r="L19" s="0" t="n">
        <f aca="false">L15+L16+L17+L18</f>
        <v>27427.3767213914</v>
      </c>
    </row>
    <row r="20" customFormat="false" ht="15" hidden="false" customHeight="false" outlineLevel="0" collapsed="false">
      <c r="A20" s="0" t="s">
        <v>126</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127</v>
      </c>
      <c r="C21" s="0" t="n">
        <f aca="false">C19*C20</f>
        <v>4117.96788288288</v>
      </c>
      <c r="D21" s="0" t="n">
        <f aca="false">D19*D20</f>
        <v>6274.6336072559</v>
      </c>
      <c r="E21" s="0" t="n">
        <f aca="false">E19*E20</f>
        <v>7504.89070386585</v>
      </c>
      <c r="F21" s="0" t="n">
        <f aca="false">F19*F20</f>
        <v>9075.14909587296</v>
      </c>
      <c r="G21" s="0" t="n">
        <f aca="false">G19*G20</f>
        <v>9753.96827789113</v>
      </c>
      <c r="H21" s="0" t="n">
        <f aca="false">H19*H20</f>
        <v>10477.2196262849</v>
      </c>
      <c r="I21" s="0" t="n">
        <f aca="false">I19*I20</f>
        <v>10410.745497178</v>
      </c>
      <c r="J21" s="0" t="n">
        <f aca="false">J19*J20</f>
        <v>10230.901088978</v>
      </c>
      <c r="K21" s="0" t="n">
        <f aca="false">K19*K20</f>
        <v>9907.3797042764</v>
      </c>
      <c r="L21" s="0" t="n">
        <f aca="false">L19*L20</f>
        <v>9659.49637477416</v>
      </c>
    </row>
    <row r="23" customFormat="false" ht="15" hidden="false" customHeight="false" outlineLevel="0" collapsed="false">
      <c r="A23" s="0" t="s">
        <v>103</v>
      </c>
      <c r="C23" s="4" t="n">
        <f aca="false">Assumptions!C44</f>
        <v>3.3</v>
      </c>
      <c r="D23" s="4" t="n">
        <f aca="false">Assumptions!D44</f>
        <v>3.2</v>
      </c>
      <c r="E23" s="4" t="n">
        <f aca="false">Assumptions!E44</f>
        <v>3.2</v>
      </c>
      <c r="F23" s="4" t="n">
        <f aca="false">Assumptions!F44</f>
        <v>3.1</v>
      </c>
      <c r="G23" s="4" t="n">
        <f aca="false">Assumptions!G44</f>
        <v>3.1</v>
      </c>
      <c r="H23" s="4" t="n">
        <f aca="false">Assumptions!H44</f>
        <v>3</v>
      </c>
      <c r="I23" s="4" t="n">
        <f aca="false">Assumptions!I44</f>
        <v>3</v>
      </c>
      <c r="J23" s="4" t="n">
        <f aca="false">Assumptions!J44</f>
        <v>3</v>
      </c>
      <c r="K23" s="4" t="n">
        <f aca="false">Assumptions!K44</f>
        <v>3</v>
      </c>
      <c r="L23" s="4" t="n">
        <f aca="false">Assumptions!L44</f>
        <v>3</v>
      </c>
    </row>
    <row r="24" customFormat="false" ht="15" hidden="false" customHeight="false" outlineLevel="0" collapsed="false">
      <c r="A24" s="0" t="s">
        <v>128</v>
      </c>
      <c r="C24" s="0" t="n">
        <f aca="false">-C6*C23/100</f>
        <v>-8957.31375</v>
      </c>
      <c r="D24" s="0" t="n">
        <f aca="false">-D6*D23/100</f>
        <v>-9988.762</v>
      </c>
      <c r="E24" s="0" t="n">
        <f aca="false">-E6*E23/100</f>
        <v>-11287.30106</v>
      </c>
      <c r="F24" s="0" t="n">
        <f aca="false">-F6*F23/100</f>
        <v>-12137.3759210813</v>
      </c>
      <c r="G24" s="0" t="n">
        <f aca="false">-G6*G23/100</f>
        <v>-13229.7397539786</v>
      </c>
      <c r="H24" s="0" t="n">
        <f aca="false">-H6*H23/100</f>
        <v>-13827.2118719002</v>
      </c>
      <c r="I24" s="0" t="n">
        <f aca="false">-I6*I23/100</f>
        <v>-14795.1167029332</v>
      </c>
      <c r="J24" s="0" t="n">
        <f aca="false">-J6*J23/100</f>
        <v>-15682.8237051092</v>
      </c>
      <c r="K24" s="0" t="n">
        <f aca="false">-K6*K23/100</f>
        <v>-16466.9648903646</v>
      </c>
      <c r="L24" s="0" t="n">
        <f aca="false">-L6*L23/100</f>
        <v>-17125.6434859792</v>
      </c>
    </row>
    <row r="26" customFormat="false" ht="15" hidden="false" customHeight="false" outlineLevel="0" collapsed="false">
      <c r="A26" s="2" t="s">
        <v>129</v>
      </c>
    </row>
    <row r="27" customFormat="false" ht="15" hidden="false" customHeight="false" outlineLevel="0" collapsed="false">
      <c r="A27" s="0" t="s">
        <v>107</v>
      </c>
      <c r="B27" s="4" t="n">
        <f aca="false">Assumptions!$B$48</f>
        <v>11</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87412.3518592601</v>
      </c>
    </row>
    <row r="31" customFormat="false" ht="15" hidden="false" customHeight="false" outlineLevel="0" collapsed="false">
      <c r="A31" s="0" t="s">
        <v>131</v>
      </c>
      <c r="B31" s="0" t="n">
        <f aca="false">L19</f>
        <v>27427.3767213914</v>
      </c>
    </row>
    <row r="32" customFormat="false" ht="15" hidden="false" customHeight="false" outlineLevel="0" collapsed="false">
      <c r="A32" s="0" t="s">
        <v>132</v>
      </c>
      <c r="B32" s="0" t="n">
        <f aca="false">IF(B27&gt;B28,B31*(1+B28/100)/((B27-B28)/100),B31*B29)</f>
        <v>353127.475287914</v>
      </c>
    </row>
    <row r="33" customFormat="false" ht="15" hidden="false" customHeight="false" outlineLevel="0" collapsed="false">
      <c r="A33" s="0" t="s">
        <v>133</v>
      </c>
      <c r="B33" s="0" t="n">
        <f aca="false">B31*B29</f>
        <v>411410.65082087</v>
      </c>
    </row>
    <row r="34" customFormat="false" ht="15" hidden="false" customHeight="false" outlineLevel="0" collapsed="false">
      <c r="A34" s="0" t="s">
        <v>134</v>
      </c>
      <c r="B34" s="0" t="n">
        <f aca="false">MAX(0,MIN(B32,B33))</f>
        <v>353127.475287914</v>
      </c>
    </row>
    <row r="35" customFormat="false" ht="15" hidden="false" customHeight="false" outlineLevel="0" collapsed="false">
      <c r="A35" s="0" t="s">
        <v>135</v>
      </c>
      <c r="B35" s="0" t="n">
        <f aca="false">B34/(1+B27/100)^L4</f>
        <v>124366.015825217</v>
      </c>
    </row>
    <row r="36" customFormat="false" ht="15" hidden="false" customHeight="false" outlineLevel="0" collapsed="false">
      <c r="A36" s="0" t="s">
        <v>136</v>
      </c>
      <c r="B36" s="0" t="n">
        <f aca="false">B30+B35</f>
        <v>211778.367684477</v>
      </c>
    </row>
    <row r="37" customFormat="false" ht="15" hidden="false" customHeight="false" outlineLevel="0" collapsed="false">
      <c r="A37" s="0" t="s">
        <v>137</v>
      </c>
      <c r="B37" s="0" t="n">
        <f aca="false">B36+Assumptions!$B$5-Assumptions!$B$4</f>
        <v>240977.667684477</v>
      </c>
    </row>
    <row r="38" customFormat="false" ht="15" hidden="false" customHeight="false" outlineLevel="0" collapsed="false">
      <c r="A38" s="0" t="s">
        <v>138</v>
      </c>
      <c r="B38" s="0" t="n">
        <f aca="false">B37/Assumptions!$B$3*Assumptions!$B$10</f>
        <v>44.0794507019835</v>
      </c>
    </row>
    <row r="39" customFormat="false" ht="15" hidden="false" customHeight="false" outlineLevel="0" collapsed="false">
      <c r="A39" s="0" t="s">
        <v>139</v>
      </c>
      <c r="B39" s="4" t="n">
        <f aca="false">B38/Assumptions!$B$2-1</f>
        <v>3.50710129877132</v>
      </c>
    </row>
    <row r="41" customFormat="false" ht="15" hidden="false" customHeight="false" outlineLevel="0" collapsed="false">
      <c r="A41" s="0" t="s">
        <v>140</v>
      </c>
      <c r="B41" s="0" t="n">
        <f aca="false">SUMPRODUCT(-C10:L10/(1+$B$27/100)^C4:L4)</f>
        <v>4786.78756502959</v>
      </c>
    </row>
    <row r="42" customFormat="false" ht="15" hidden="false" customHeight="false" outlineLevel="0" collapsed="false">
      <c r="A42" s="0" t="s">
        <v>141</v>
      </c>
      <c r="B42" s="0" t="n">
        <f aca="false">IF(B27&gt;B28,-L10*(1+B28/100)/((B27-B28)/100),-L10*20)/(1+B27/100)^L4</f>
        <v>5176.93949960879</v>
      </c>
    </row>
    <row r="43" customFormat="false" ht="15" hidden="false" customHeight="false" outlineLevel="0" collapsed="false">
      <c r="A43" s="0" t="s">
        <v>142</v>
      </c>
      <c r="B43" s="0" t="n">
        <f aca="false">(B37+B41+B42)/Assumptions!$B$3*Assumptions!$B$10</f>
        <v>45.9020080375819</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235418.316858609</v>
      </c>
    </row>
    <row r="47" customFormat="false" ht="15" hidden="false" customHeight="false" outlineLevel="0" collapsed="false">
      <c r="A47" s="0" t="s">
        <v>144</v>
      </c>
      <c r="B47" s="0" t="n">
        <f aca="false">(SUMPRODUCT(C19:L19/(1+B45/100)^C4:L4)+B46/(1+B45/100)^L4+Assumptions!$B$5-Assumptions!$B$4)/Assumptions!$B$3*Assumptions!$B$10</f>
        <v>28.9557390674638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13.7970973834448</v>
      </c>
      <c r="C4" s="0" t="n">
        <f aca="false">B4/Assumptions!$B$2-1</f>
        <v>0.410746153726464</v>
      </c>
      <c r="D4" s="4" t="n">
        <f aca="false">Assumptions!$B$24</f>
        <v>0.3</v>
      </c>
      <c r="E4" s="4" t="n">
        <f aca="false">DCF_Bear!$B$43</f>
        <v>15.0287939785436</v>
      </c>
      <c r="F4" s="4" t="n">
        <f aca="false">DCF_Bear!$B$47</f>
        <v>10.9672666896151</v>
      </c>
    </row>
    <row r="5" customFormat="false" ht="15" hidden="false" customHeight="false" outlineLevel="0" collapsed="false">
      <c r="A5" s="0" t="s">
        <v>153</v>
      </c>
      <c r="B5" s="4" t="n">
        <f aca="false">DCF_Base!$B$38</f>
        <v>28.3506986624739</v>
      </c>
      <c r="C5" s="0" t="n">
        <f aca="false">B5/Assumptions!$B$2-1</f>
        <v>1.89884444401574</v>
      </c>
      <c r="D5" s="4" t="n">
        <f aca="false">Assumptions!$B$38</f>
        <v>0.5</v>
      </c>
      <c r="E5" s="4" t="n">
        <f aca="false">DCF_Base!$B$43</f>
        <v>29.8617007161466</v>
      </c>
      <c r="F5" s="4" t="n">
        <f aca="false">DCF_Base!$B$47</f>
        <v>19.9988638451443</v>
      </c>
    </row>
    <row r="6" customFormat="false" ht="15" hidden="false" customHeight="false" outlineLevel="0" collapsed="false">
      <c r="A6" s="0" t="s">
        <v>154</v>
      </c>
      <c r="B6" s="4" t="n">
        <f aca="false">DCF_Bull!$B$38</f>
        <v>44.0794507019835</v>
      </c>
      <c r="C6" s="0" t="n">
        <f aca="false">B6/Assumptions!$B$2-1</f>
        <v>3.50710129877132</v>
      </c>
      <c r="D6" s="4" t="n">
        <f aca="false">Assumptions!$B$52</f>
        <v>0.2</v>
      </c>
      <c r="E6" s="4" t="n">
        <f aca="false">DCF_Bull!$B$43</f>
        <v>45.9020080375819</v>
      </c>
      <c r="F6" s="4" t="n">
        <f aca="false">DCF_Bull!$B$47</f>
        <v>28.9557390674638</v>
      </c>
    </row>
    <row r="8" customFormat="false" ht="15" hidden="false" customHeight="false" outlineLevel="0" collapsed="false">
      <c r="A8" s="0" t="s">
        <v>155</v>
      </c>
      <c r="B8" s="0" t="n">
        <f aca="false">SUMPRODUCT(B4:B6,D4:D6)</f>
        <v>27.1303686866671</v>
      </c>
    </row>
    <row r="9" customFormat="false" ht="15" hidden="false" customHeight="false" outlineLevel="0" collapsed="false">
      <c r="A9" s="0" t="s">
        <v>156</v>
      </c>
      <c r="B9" s="0" t="n">
        <f aca="false">SUMPRODUCT(E4:E6,D4:D6)</f>
        <v>28.6198901591528</v>
      </c>
    </row>
    <row r="10" customFormat="false" ht="15" hidden="false" customHeight="false" outlineLevel="0" collapsed="false">
      <c r="A10" s="0" t="s">
        <v>157</v>
      </c>
      <c r="B10" s="0" t="n">
        <f aca="false">1-Assumptions!$B$2/B8</f>
        <v>0.639518352553525</v>
      </c>
    </row>
    <row r="11" customFormat="false" ht="15" hidden="false" customHeight="false" outlineLevel="0" collapsed="false">
      <c r="A11" s="0" t="s">
        <v>158</v>
      </c>
      <c r="B11" s="0" t="n">
        <f aca="false">IF(ABS(B9-B8)&gt;0.01*ABS(B8),(Assumptions!$B$2-B8)/(B9-B8)*100,"n/a")</f>
        <v>-1164.82836985982</v>
      </c>
    </row>
    <row r="12" customFormat="false" ht="15" hidden="false" customHeight="false" outlineLevel="0" collapsed="false">
      <c r="A12" s="0" t="s">
        <v>159</v>
      </c>
      <c r="B12" s="0" t="n">
        <f aca="false">SUMPRODUCT(F4:F6,D4:D6)</f>
        <v>19.0807597429494</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35.5881689635847</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31.8826822148086</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28.3506986624739</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25.5797930295397</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19.9988638451443</v>
      </c>
      <c r="C19" s="3" t="n">
        <v>15</v>
      </c>
    </row>
    <row r="21" customFormat="false" ht="15" hidden="false" customHeight="false" outlineLevel="0" collapsed="false">
      <c r="A21" s="2" t="s">
        <v>167</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33.7947710095474</v>
      </c>
      <c r="C23" s="0" t="n">
        <f aca="false">(SUMPRODUCT(DCF_Base!$C$19:$L$19/(1+$A$23/100)^DCF_Base!$C$4:$L$4)+MAX(0,MIN(IF($A$23&gt;$C$22,DCF_Base!$L$19*(1+$C$22/100)/(($A$23-$C$22)/100),DCF_Base!$L$19*DCF_Base!$B$29),DCF_Base!$L$19*DCF_Base!$B$29))/(1+$A$23/100)^DCF_Base!$L$4+Assumptions!$B$5-Assumptions!$B$4)/Assumptions!$B$3*Assumptions!$B$10</f>
        <v>35.0641241068855</v>
      </c>
      <c r="D23" s="0" t="n">
        <f aca="false">(SUMPRODUCT(DCF_Base!$C$19:$L$19/(1+$A$23/100)^DCF_Base!$C$4:$L$4)+MAX(0,MIN(IF($A$23&gt;$D$22,DCF_Base!$L$19*(1+$D$22/100)/(($A$23-$D$22)/100),DCF_Base!$L$19*DCF_Base!$B$29),DCF_Base!$L$19*DCF_Base!$B$29))/(1+$A$23/100)^DCF_Base!$L$4+Assumptions!$B$5-Assumptions!$B$4)/Assumptions!$B$3*Assumptions!$B$10</f>
        <v>35.5881689635847</v>
      </c>
      <c r="E23" s="0" t="n">
        <f aca="false">(SUMPRODUCT(DCF_Base!$C$19:$L$19/(1+$A$23/100)^DCF_Base!$C$4:$L$4)+MAX(0,MIN(IF($A$23&gt;$E$22,DCF_Base!$L$19*(1+$E$22/100)/(($A$23-$E$22)/100),DCF_Base!$L$19*DCF_Base!$B$29),DCF_Base!$L$19*DCF_Base!$B$29))/(1+$A$23/100)^DCF_Base!$L$4+Assumptions!$B$5-Assumptions!$B$4)/Assumptions!$B$3*Assumptions!$B$10</f>
        <v>35.5881689635847</v>
      </c>
      <c r="F23" s="0" t="n">
        <f aca="false">(SUMPRODUCT(DCF_Base!$C$19:$L$19/(1+$A$23/100)^DCF_Base!$C$4:$L$4)+MAX(0,MIN(IF($A$23&gt;$F$22,DCF_Base!$L$19*(1+$F$22/100)/(($A$23-$F$22)/100),DCF_Base!$L$19*DCF_Base!$B$29),DCF_Base!$L$19*DCF_Base!$B$29))/(1+$A$23/100)^DCF_Base!$L$4+Assumptions!$B$5-Assumptions!$B$4)/Assumptions!$B$3*Assumptions!$B$10</f>
        <v>35.5881689635847</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29.9569501043262</v>
      </c>
      <c r="C24" s="0" t="n">
        <f aca="false">(SUMPRODUCT(DCF_Base!$C$19:$L$19/(1+$A$24/100)^DCF_Base!$C$4:$L$4)+MAX(0,MIN(IF($A$24&gt;$C$22,DCF_Base!$L$19*(1+$C$22/100)/(($A$24-$C$22)/100),DCF_Base!$L$19*DCF_Base!$B$29),DCF_Base!$L$19*DCF_Base!$B$29))/(1+$A$24/100)^DCF_Base!$L$4+Assumptions!$B$5-Assumptions!$B$4)/Assumptions!$B$3*Assumptions!$B$10</f>
        <v>30.8596370311148</v>
      </c>
      <c r="D24" s="0" t="n">
        <f aca="false">(SUMPRODUCT(DCF_Base!$C$19:$L$19/(1+$A$24/100)^DCF_Base!$C$4:$L$4)+MAX(0,MIN(IF($A$24&gt;$D$22,DCF_Base!$L$19*(1+$D$22/100)/(($A$24-$D$22)/100),DCF_Base!$L$19*DCF_Base!$B$29),DCF_Base!$L$19*DCF_Base!$B$29))/(1+$A$24/100)^DCF_Base!$L$4+Assumptions!$B$5-Assumptions!$B$4)/Assumptions!$B$3*Assumptions!$B$10</f>
        <v>31.8826822148086</v>
      </c>
      <c r="E24" s="0" t="n">
        <f aca="false">(SUMPRODUCT(DCF_Base!$C$19:$L$19/(1+$A$24/100)^DCF_Base!$C$4:$L$4)+MAX(0,MIN(IF($A$24&gt;$E$22,DCF_Base!$L$19*(1+$E$22/100)/(($A$24-$E$22)/100),DCF_Base!$L$19*DCF_Base!$B$29),DCF_Base!$L$19*DCF_Base!$B$29))/(1+$A$24/100)^DCF_Base!$L$4+Assumptions!$B$5-Assumptions!$B$4)/Assumptions!$B$3*Assumptions!$B$10</f>
        <v>33.0518767104586</v>
      </c>
      <c r="F24" s="0" t="n">
        <f aca="false">(SUMPRODUCT(DCF_Base!$C$19:$L$19/(1+$A$24/100)^DCF_Base!$C$4:$L$4)+MAX(0,MIN(IF($A$24&gt;$F$22,DCF_Base!$L$19*(1+$F$22/100)/(($A$24-$F$22)/100),DCF_Base!$L$19*DCF_Base!$B$29),DCF_Base!$L$19*DCF_Base!$B$29))/(1+$A$24/100)^DCF_Base!$L$4+Assumptions!$B$5-Assumptions!$B$4)/Assumptions!$B$3*Assumptions!$B$10</f>
        <v>33.370747936545</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26.9493026173965</v>
      </c>
      <c r="C25" s="0" t="n">
        <f aca="false">(SUMPRODUCT(DCF_Base!$C$19:$L$19/(1+$A$25/100)^DCF_Base!$C$4:$L$4)+MAX(0,MIN(IF($A$25&gt;$C$22,DCF_Base!$L$19*(1+$C$22/100)/(($A$25-$C$22)/100),DCF_Base!$L$19*DCF_Base!$B$29),DCF_Base!$L$19*DCF_Base!$B$29))/(1+$A$25/100)^DCF_Base!$L$4+Assumptions!$B$5-Assumptions!$B$4)/Assumptions!$B$3*Assumptions!$B$10</f>
        <v>27.6110729720164</v>
      </c>
      <c r="D25" s="0" t="n">
        <f aca="false">(SUMPRODUCT(DCF_Base!$C$19:$L$19/(1+$A$25/100)^DCF_Base!$C$4:$L$4)+MAX(0,MIN(IF($A$25&gt;$D$22,DCF_Base!$L$19*(1+$D$22/100)/(($A$25-$D$22)/100),DCF_Base!$L$19*DCF_Base!$B$29),DCF_Base!$L$19*DCF_Base!$B$29))/(1+$A$25/100)^DCF_Base!$L$4+Assumptions!$B$5-Assumptions!$B$4)/Assumptions!$B$3*Assumptions!$B$10</f>
        <v>28.3506986624739</v>
      </c>
      <c r="E25" s="0" t="n">
        <f aca="false">(SUMPRODUCT(DCF_Base!$C$19:$L$19/(1+$A$25/100)^DCF_Base!$C$4:$L$4)+MAX(0,MIN(IF($A$25&gt;$E$22,DCF_Base!$L$19*(1+$E$22/100)/(($A$25-$E$22)/100),DCF_Base!$L$19*DCF_Base!$B$29),DCF_Base!$L$19*DCF_Base!$B$29))/(1+$A$25/100)^DCF_Base!$L$4+Assumptions!$B$5-Assumptions!$B$4)/Assumptions!$B$3*Assumptions!$B$10</f>
        <v>29.1827775642386</v>
      </c>
      <c r="F25" s="0" t="n">
        <f aca="false">(SUMPRODUCT(DCF_Base!$C$19:$L$19/(1+$A$25/100)^DCF_Base!$C$4:$L$4)+MAX(0,MIN(IF($A$25&gt;$F$22,DCF_Base!$L$19*(1+$F$22/100)/(($A$25-$F$22)/100),DCF_Base!$L$19*DCF_Base!$B$29),DCF_Base!$L$19*DCF_Base!$B$29))/(1+$A$25/100)^DCF_Base!$L$4+Assumptions!$B$5-Assumptions!$B$4)/Assumptions!$B$3*Assumptions!$B$10</f>
        <v>30.125800319572</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24.5333029415098</v>
      </c>
      <c r="C26" s="0" t="n">
        <f aca="false">(SUMPRODUCT(DCF_Base!$C$19:$L$19/(1+$A$26/100)^DCF_Base!$C$4:$L$4)+MAX(0,MIN(IF($A$26&gt;$C$22,DCF_Base!$L$19*(1+$C$22/100)/(($A$26-$C$22)/100),DCF_Base!$L$19*DCF_Base!$B$29),DCF_Base!$L$19*DCF_Base!$B$29))/(1+$A$26/100)^DCF_Base!$L$4+Assumptions!$B$5-Assumptions!$B$4)/Assumptions!$B$3*Assumptions!$B$10</f>
        <v>25.030385733324</v>
      </c>
      <c r="D26" s="0" t="n">
        <f aca="false">(SUMPRODUCT(DCF_Base!$C$19:$L$19/(1+$A$26/100)^DCF_Base!$C$4:$L$4)+MAX(0,MIN(IF($A$26&gt;$D$22,DCF_Base!$L$19*(1+$D$22/100)/(($A$26-$D$22)/100),DCF_Base!$L$19*DCF_Base!$B$29),DCF_Base!$L$19*DCF_Base!$B$29))/(1+$A$26/100)^DCF_Base!$L$4+Assumptions!$B$5-Assumptions!$B$4)/Assumptions!$B$3*Assumptions!$B$10</f>
        <v>25.5797930295397</v>
      </c>
      <c r="E26" s="0" t="n">
        <f aca="false">(SUMPRODUCT(DCF_Base!$C$19:$L$19/(1+$A$26/100)^DCF_Base!$C$4:$L$4)+MAX(0,MIN(IF($A$26&gt;$E$22,DCF_Base!$L$19*(1+$E$22/100)/(($A$26-$E$22)/100),DCF_Base!$L$19*DCF_Base!$B$29),DCF_Base!$L$19*DCF_Base!$B$29))/(1+$A$26/100)^DCF_Base!$L$4+Assumptions!$B$5-Assumptions!$B$4)/Assumptions!$B$3*Assumptions!$B$10</f>
        <v>26.1902455808905</v>
      </c>
      <c r="F26" s="0" t="n">
        <f aca="false">(SUMPRODUCT(DCF_Base!$C$19:$L$19/(1+$A$26/100)^DCF_Base!$C$4:$L$4)+MAX(0,MIN(IF($A$26&gt;$F$22,DCF_Base!$L$19*(1+$F$22/100)/(($A$26-$F$22)/100),DCF_Base!$L$19*DCF_Base!$B$29),DCF_Base!$L$19*DCF_Base!$B$29))/(1+$A$26/100)^DCF_Base!$L$4+Assumptions!$B$5-Assumptions!$B$4)/Assumptions!$B$3*Assumptions!$B$10</f>
        <v>26.8725160794589</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22.5534875077941</v>
      </c>
      <c r="C27" s="0" t="n">
        <f aca="false">(SUMPRODUCT(DCF_Base!$C$19:$L$19/(1+$A$27/100)^DCF_Base!$C$4:$L$4)+MAX(0,MIN(IF($A$27&gt;$C$22,DCF_Base!$L$19*(1+$C$22/100)/(($A$27-$C$22)/100),DCF_Base!$L$19*DCF_Base!$B$29),DCF_Base!$L$19*DCF_Base!$B$29))/(1+$A$27/100)^DCF_Base!$L$4+Assumptions!$B$5-Assumptions!$B$4)/Assumptions!$B$3*Assumptions!$B$10</f>
        <v>22.9343636021559</v>
      </c>
      <c r="D27" s="0" t="n">
        <f aca="false">(SUMPRODUCT(DCF_Base!$C$19:$L$19/(1+$A$27/100)^DCF_Base!$C$4:$L$4)+MAX(0,MIN(IF($A$27&gt;$D$22,DCF_Base!$L$19*(1+$D$22/100)/(($A$27-$D$22)/100),DCF_Base!$L$19*DCF_Base!$B$29),DCF_Base!$L$19*DCF_Base!$B$29))/(1+$A$27/100)^DCF_Base!$L$4+Assumptions!$B$5-Assumptions!$B$4)/Assumptions!$B$3*Assumptions!$B$10</f>
        <v>23.3515136102664</v>
      </c>
      <c r="E27" s="0" t="n">
        <f aca="false">(SUMPRODUCT(DCF_Base!$C$19:$L$19/(1+$A$27/100)^DCF_Base!$C$4:$L$4)+MAX(0,MIN(IF($A$27&gt;$E$22,DCF_Base!$L$19*(1+$E$22/100)/(($A$27-$E$22)/100),DCF_Base!$L$19*DCF_Base!$B$29),DCF_Base!$L$19*DCF_Base!$B$29))/(1+$A$27/100)^DCF_Base!$L$4+Assumptions!$B$5-Assumptions!$B$4)/Assumptions!$B$3*Assumptions!$B$10</f>
        <v>23.810378619188</v>
      </c>
      <c r="F27" s="0" t="n">
        <f aca="false">(SUMPRODUCT(DCF_Base!$C$19:$L$19/(1+$A$27/100)^DCF_Base!$C$4:$L$4)+MAX(0,MIN(IF($A$27&gt;$F$22,DCF_Base!$L$19*(1+$F$22/100)/(($A$27-$F$22)/100),DCF_Base!$L$19*DCF_Base!$B$29),DCF_Base!$L$19*DCF_Base!$B$29))/(1+$A$27/100)^DCF_Base!$L$4+Assumptions!$B$5-Assumptions!$B$4)/Assumptions!$B$3*Assumptions!$B$10</f>
        <v>24.317545207996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2026-10-22T03:33:13Z</dcterms:created>
  <dc:creator>openpyxl</dc:creator>
  <dc:description/>
  <dc:language>en-NZ</dc:language>
  <cp:lastModifiedBy/>
  <dcterms:modified xsi:type="dcterms:W3CDTF">2026-10-22T03:33:13Z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