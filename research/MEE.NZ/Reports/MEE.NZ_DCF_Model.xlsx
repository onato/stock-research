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Case Model" sheetId="1" r:id="rId1"/>
    <sheet name="Scenario Summary" sheetId="2" r:id="rId2"/>
    <sheet name="Sensitivity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<sst xmlns="http://schemas.openxmlformats.org/spreadsheetml/2006/main" count="129" uniqueCount="128">
  <si>
    <t>MEE.NZ (Me Today Limited) - Path-to-Breakeven Scenario Model</t>
  </si>
  <si>
    <t>NOT a standard FCF DCF - company has never had positive FCF/continuing profit. Gray cells are INPUTS.</t>
  </si>
  <si>
    <t>KEY INPUTS</t>
  </si>
  <si>
    <t>Current Stock Price</t>
  </si>
  <si>
    <t>Shares Outstanding (M, current)</t>
  </si>
  <si>
    <t>Cash (M)</t>
  </si>
  <si>
    <t>Total Debt (M)</t>
  </si>
  <si>
    <t>Net Debt (M)</t>
  </si>
  <si>
    <t>Warrant Series 1 (M units)</t>
  </si>
  <si>
    <t>Warrant Series 2 (M units)</t>
  </si>
  <si>
    <t>Warrant Strike Price</t>
  </si>
  <si>
    <t>Cost of Equity (Base)</t>
  </si>
  <si>
    <t>Exit EV/EBITDA Multiple (Base)</t>
  </si>
  <si>
    <t>WARRANT OUTCOME SWITCHES (Base Case)</t>
  </si>
  <si>
    <t>Series 1 exercises? (1=yes,0=no)</t>
  </si>
  <si>
    <t>Series 2 exercises? (1=yes,0=no)</t>
  </si>
  <si>
    <t>FY27 dilutive placement raise (M$)</t>
  </si>
  <si>
    <t>FY27 placement price</t>
  </si>
  <si>
    <t>These switches encode the BASE case narrative: Series 1 (Oct-2026) expires worthless because the price has not cleared the $0.06 strike this early; a discounted placement bridges FY2027; Series 2 (Oct-2027) then exercises as the story de-risks. Change the switches/placement inputs to explore other paths.</t>
  </si>
  <si>
    <t>REVENUE &amp; EBITDA BUILD</t>
  </si>
  <si>
    <t>FY2026</t>
  </si>
  <si>
    <t>FY2027</t>
  </si>
  <si>
    <t>FY2028</t>
  </si>
  <si>
    <t>FY2029</t>
  </si>
  <si>
    <t>FY2030</t>
  </si>
  <si>
    <t>Revenue (net, $M)</t>
  </si>
  <si>
    <t>EBITDA margin %</t>
  </si>
  <si>
    <t>EBITDA ($M)</t>
  </si>
  <si>
    <t>D&amp;A (% of revenue)</t>
  </si>
  <si>
    <t>D&amp;A ($M)</t>
  </si>
  <si>
    <t>EBIT ($M)</t>
  </si>
  <si>
    <t>Cash Tax Rate</t>
  </si>
  <si>
    <t>NOPAT ($M) [no tax benefit on losses]</t>
  </si>
  <si>
    <t>Capex (% of revenue)</t>
  </si>
  <si>
    <t>Capex ($M)</t>
  </si>
  <si>
    <t>WC capture % of revenue GROWTH</t>
  </si>
  <si>
    <t>Working Capital change ($M)</t>
  </si>
  <si>
    <t>Owner FCF ($M)</t>
  </si>
  <si>
    <t>CASH &amp; SHARE WALK</t>
  </si>
  <si>
    <t>Cash, opening ($M)</t>
  </si>
  <si>
    <t>+ Owner FCF</t>
  </si>
  <si>
    <t>+ Series 1 proceeds (FY2027 only)</t>
  </si>
  <si>
    <t>+ Series 2 proceeds (FY2028 only)</t>
  </si>
  <si>
    <t>+ Discounted placement (FY2027 only)</t>
  </si>
  <si>
    <t>Shares outstanding, closing (M)</t>
  </si>
  <si>
    <t>VALUATION</t>
  </si>
  <si>
    <t>Discount factor at CoE</t>
  </si>
  <si>
    <t>PV of Owner FCF</t>
  </si>
  <si>
    <t>Sum PV of FCF (Yrs 1-5)</t>
  </si>
  <si>
    <t>Year-5 EBITDA</t>
  </si>
  <si>
    <t>Terminal Value (Y5 EBITDA x exit multiple)</t>
  </si>
  <si>
    <t>PV of Terminal Value</t>
  </si>
  <si>
    <t>Enterprise Value</t>
  </si>
  <si>
    <t>Year-5 Net Debt (debt - Y5 cash)</t>
  </si>
  <si>
    <t>Equity Value</t>
  </si>
  <si>
    <t>Year-5 Shares (M)</t>
  </si>
  <si>
    <t>INTRINSIC VALUE / SHARE</t>
  </si>
  <si>
    <t>Upside/(Downside) to Current Price</t>
  </si>
  <si>
    <t>ENTRY PRICE (15% IRR Target)</t>
  </si>
  <si>
    <t>PV of Yrs1-5 FCF @15%</t>
  </si>
  <si>
    <t>PV of Terminal Value @15%</t>
  </si>
  <si>
    <t>Less: Year-5 Net Debt</t>
  </si>
  <si>
    <t>Entry Price</t>
  </si>
  <si>
    <t>Entry Discount from Current</t>
  </si>
  <si>
    <t>WARNING: This model is a scenario-weighted path-to-breakeven valuation, not a conventional DCF. Me Today has never generated positive free cash flow or continuing-operations profit. See the Scenario Summary and Model Info sheets before using any single number in isolation.</t>
  </si>
  <si>
    <t>Scenario Summary (values from JSON - not linked formulas)</t>
  </si>
  <si>
    <t>Metric</t>
  </si>
  <si>
    <t>Bull</t>
  </si>
  <si>
    <t>Base</t>
  </si>
  <si>
    <t>Bear</t>
  </si>
  <si>
    <t>Probability</t>
  </si>
  <si>
    <t>Cost of Equity</t>
  </si>
  <si>
    <t>Year-5 Revenue ($M)</t>
  </si>
  <si>
    <t>Year-5 EBITDA ($M)</t>
  </si>
  <si>
    <t>Intrinsic Value/Share</t>
  </si>
  <si>
    <t>Upside/(Downside)</t>
  </si>
  <si>
    <t>Probability-Weighted IV</t>
  </si>
  <si>
    <t>Current Price</t>
  </si>
  <si>
    <t>Weighted Upside/(Downside)</t>
  </si>
  <si>
    <t>Bear case raw equity value is NEGATIVE (modelled dilution/cash burn exceeds enterprise value). Per-share IV is floored at $0.00 -- a limited-liability equity claim cannot go below zero -- rather than shown as a negative price. This reflects a real, non-trivial probability of near-total loss.</t>
  </si>
  <si>
    <t>Sensitivity Analysis (Base Case)</t>
  </si>
  <si>
    <t>Intrinsic Value by Cost of Equity &amp; Exit EV/EBITDA Multiple</t>
  </si>
  <si>
    <t>CoE \ Exit Mult</t>
  </si>
  <si>
    <t>Gordon-growth terminal value is NOT used in this model (FCF is near zero through most of the projection window, making a growth perpetuity numerically unstable). Terminal value uses an exit EV/EBITDA multiple on Year-5 EBITDA instead.</t>
  </si>
  <si>
    <t>Historical Free Cash Flow (as reported) - ALL NEGATIVE</t>
  </si>
  <si>
    <t>No period in the historical record has positive FCF or continuing-operations profit. This is the core reason a standard discounted-FCF model is not used for MEE.NZ.</t>
  </si>
  <si>
    <t>Period</t>
  </si>
  <si>
    <t>FY2020</t>
  </si>
  <si>
    <t>FY2021</t>
  </si>
  <si>
    <t>FY2022</t>
  </si>
  <si>
    <t>FY2023</t>
  </si>
  <si>
    <t>FY2024</t>
  </si>
  <si>
    <t>FY2025</t>
  </si>
  <si>
    <t>H1-2026</t>
  </si>
  <si>
    <t>Revenue ($M)</t>
  </si>
  <si>
    <t>Reported FCF ($M)</t>
  </si>
  <si>
    <t>Net Income ($M) [H1-2026 incl. $4.143M one-off King Honey gain]</t>
  </si>
  <si>
    <t>H1-2026 Continuing-Ops Net Income (excl. one-off)</t>
  </si>
  <si>
    <t>H1-2025 Continuing-Ops Net Income</t>
  </si>
  <si>
    <t>H1-2026 Continuing-Ops EBITDA</t>
  </si>
  <si>
    <t>Memo: Accumulated losses ($M)</t>
  </si>
  <si>
    <t>Memo: SBC</t>
  </si>
  <si>
    <t>Not material / nil in recent periods per CSV</t>
  </si>
  <si>
    <t>Model Info / Provenance</t>
  </si>
  <si>
    <t>Ticker</t>
  </si>
  <si>
    <t>MEE.NZ (Me Today Limited)</t>
  </si>
  <si>
    <t>Built by</t>
  </si>
  <si>
    <t>Claude dcf-analyst agent, per .claude/agents/dcf-analyst.md, with explicit non-standard-DCF instructions from the invoking task</t>
  </si>
  <si>
    <t>Build date</t>
  </si>
  <si>
    <t>2026-08-13</t>
  </si>
  <si>
    <t>Share price date/source</t>
  </si>
  <si>
    <t>0.052 NZD, Yahoo Finance live quote, verified 2026-08-13</t>
  </si>
  <si>
    <t>Data vintage</t>
  </si>
  <si>
    <t>MEE.NZ_Metrics.csv and MEE.NZ_Analysis.json as of 13-Aug-2026; H1-2026 (six months to 31-Dec-2025) is the latest reported period; FY2026 (year to 30-Jun-2026) guidance last updated 29-Jul-2026 market update; audited FY2026 results due to NZX before 31-Aug-2026 (NOT YET RELEASED as of this model)</t>
  </si>
  <si>
    <t>Methodology</t>
  </si>
  <si>
    <t>NOT a discounted-FCF model. Scenario-weighted path-to-breakeven valuation: revenue/EBITDA margin build to breakeven per scenario, owner FCF from EBITDA-DA-tax-capex-WC, cash-balance walk determines dilution needs, warrants (95.522M units, $0.06 strike) modelled CONDITIONALLY per scenario (exercise with cash-in+shares-out, or expire worthless triggering a discounted placement), terminal value via exit EV/EBITDA multiple (NOT Gordon growth - unstable this close to breakeven), discounted at a scenario-specific cost of equity (18.5%-26%), divided by the Year-5 projected share count.</t>
  </si>
  <si>
    <t>Why not Gordon growth</t>
  </si>
  <si>
    <t>FCF and EBITDA are near zero through most of the 5-year window; a growth-perpetuity terminal value on a near-zero base is numerically unstable and small growth-rate changes swing it wildly. An exit EV/EBITDA multiple on Year-5 EBITDA is used instead (bear case, still EBITDA-negative at Year 5, uses 0.3x Year-5 revenue as a distressed floor).</t>
  </si>
  <si>
    <t>Why no historical CAGRs</t>
  </si>
  <si>
    <t>Two share consolidations (1-for-5 Apr-2020, 1-for-100 Jan-2024) plus a near-doubling of shares via the Nov-2025 rights issue break the SharesOutstanding series. EPS/equity-per-share CAGRs across these breaks would be meaningless and are not computed.</t>
  </si>
  <si>
    <t>Key near-term catalysts</t>
  </si>
  <si>
    <t>Audited FY2026 results (due before 31-Aug-2026); Series 1 warrant window 1-30 Oct-2026 (currently out-of-the-money vs $0.06 strike)</t>
  </si>
  <si>
    <t>What to refresh after FY2026 results</t>
  </si>
  <si>
    <t>Actual FY2026 revenue/EBITDA vs guidance; whether continuing-operations losses continue to narrow; updated cash balance and runway; re-assess whether the share price has moved relative to the $0.06 warrant strike ahead of the Oct-2026 window; update all three scenarios and re-run.</t>
  </si>
  <si>
    <t>Cell colour conventions</t>
  </si>
  <si>
    <t>Gray fill = input cell (change to explore scenarios). Green fill = key output. Red fill = warning/disclosure. White = formula/computed.</t>
  </si>
  <si>
    <t>Staleness warning</t>
  </si>
  <si>
    <t>All figures, especially FY2026 guidance and the warrant moneyness assessment, are time-sensitive and MUST be re-checked against the audited FY2026 result and the then-current share price before being relied upon.</t>
  </si>
</sst>
</file>

<file path=xl/styles.xml><?xml version="1.0" encoding="utf-8"?>
<styleSheet xmlns="http://schemas.openxmlformats.org/spreadsheetml/2006/main">
  <numFmts count="5">
    <numFmt numFmtId="164" formatCode="#,##0.000"/>
    <numFmt numFmtId="165" formatCode="0.0%"/>
    <numFmt numFmtId="166" formatCode="#,##0.0"/>
    <numFmt numFmtId="167" formatCode="&quot;$&quot;0.0000"/>
    <numFmt numFmtId="168" formatCode="0.0&quot;x&quot;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165" fontId="0" fillId="2" borderId="2" xfId="0" applyNumberFormat="1" applyFill="1" applyBorder="1"/>
    <xf numFmtId="0" fontId="4" fillId="3" borderId="2" xfId="0" applyFont="1" applyFill="1" applyBorder="1"/>
    <xf numFmtId="166" fontId="0" fillId="0" borderId="2" xfId="0" applyNumberFormat="1" applyBorder="1"/>
    <xf numFmtId="0" fontId="5" fillId="0" borderId="0" xfId="0" applyFont="1"/>
    <xf numFmtId="167" fontId="4" fillId="4" borderId="2" xfId="0" applyNumberFormat="1" applyFont="1" applyFill="1" applyBorder="1"/>
    <xf numFmtId="165" fontId="0" fillId="0" borderId="2" xfId="0" applyNumberFormat="1" applyBorder="1"/>
    <xf numFmtId="0" fontId="4" fillId="5" borderId="2" xfId="0" applyFont="1" applyFill="1" applyBorder="1" applyAlignment="1">
      <alignment wrapText="1"/>
    </xf>
    <xf numFmtId="167" fontId="0" fillId="0" borderId="2" xfId="0" applyNumberFormat="1" applyBorder="1"/>
    <xf numFmtId="168" fontId="4" fillId="3" borderId="0" xfId="0" applyNumberFormat="1" applyFont="1" applyFill="1"/>
    <xf numFmtId="165" fontId="4" fillId="3" borderId="0" xfId="0" applyNumberFormat="1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cols>
    <col min="1" max="1" width="30.7109375" customWidth="1"/>
    <col min="2" max="7" width="13.7109375" customWidth="1"/>
  </cols>
  <sheetData>
    <row r="1" spans="1:7">
      <c r="A1" s="1" t="s">
        <v>0</v>
      </c>
    </row>
    <row r="2" spans="1:7">
      <c r="A2" s="2" t="s">
        <v>1</v>
      </c>
      <c r="B2" s="2"/>
      <c r="C2" s="2"/>
      <c r="D2" s="2"/>
      <c r="E2" s="2"/>
      <c r="F2" s="2"/>
      <c r="G2" s="2"/>
    </row>
    <row r="4" spans="1:7">
      <c r="A4" s="3" t="s">
        <v>2</v>
      </c>
    </row>
    <row r="5" spans="1:7">
      <c r="A5" t="s">
        <v>3</v>
      </c>
      <c r="B5" s="4">
        <v>0.052</v>
      </c>
    </row>
    <row r="6" spans="1:7">
      <c r="A6" t="s">
        <v>4</v>
      </c>
      <c r="B6" s="4">
        <v>94.52200000000001</v>
      </c>
    </row>
    <row r="7" spans="1:7">
      <c r="A7" t="s">
        <v>5</v>
      </c>
      <c r="B7" s="4">
        <v>2.226</v>
      </c>
    </row>
    <row r="8" spans="1:7">
      <c r="A8" t="s">
        <v>6</v>
      </c>
      <c r="B8" s="4">
        <v>2.25</v>
      </c>
    </row>
    <row r="9" spans="1:7">
      <c r="A9" t="s">
        <v>7</v>
      </c>
      <c r="B9" s="5">
        <f>B8-B7</f>
        <v>0</v>
      </c>
    </row>
    <row r="10" spans="1:7">
      <c r="A10" t="s">
        <v>8</v>
      </c>
      <c r="B10" s="4">
        <v>47.261</v>
      </c>
    </row>
    <row r="11" spans="1:7">
      <c r="A11" t="s">
        <v>9</v>
      </c>
      <c r="B11" s="4">
        <v>47.261</v>
      </c>
    </row>
    <row r="12" spans="1:7">
      <c r="A12" t="s">
        <v>10</v>
      </c>
      <c r="B12" s="4">
        <v>0.06</v>
      </c>
    </row>
    <row r="13" spans="1:7">
      <c r="A13" t="s">
        <v>11</v>
      </c>
      <c r="B13" s="6">
        <v>0.21</v>
      </c>
    </row>
    <row r="14" spans="1:7">
      <c r="A14" t="s">
        <v>12</v>
      </c>
      <c r="B14" s="4">
        <v>9</v>
      </c>
    </row>
    <row r="16" spans="1:7">
      <c r="A16" s="3" t="s">
        <v>13</v>
      </c>
    </row>
    <row r="17" spans="1:7">
      <c r="A17" t="s">
        <v>14</v>
      </c>
      <c r="B17" s="4">
        <v>0</v>
      </c>
    </row>
    <row r="18" spans="1:7">
      <c r="A18" t="s">
        <v>15</v>
      </c>
      <c r="B18" s="4">
        <v>1</v>
      </c>
    </row>
    <row r="19" spans="1:7">
      <c r="A19" t="s">
        <v>16</v>
      </c>
      <c r="B19" s="4">
        <v>1.237</v>
      </c>
    </row>
    <row r="20" spans="1:7">
      <c r="A20" t="s">
        <v>17</v>
      </c>
      <c r="B20" s="4">
        <v>0.045</v>
      </c>
    </row>
    <row r="21" spans="1:7">
      <c r="A21" s="2" t="s">
        <v>18</v>
      </c>
      <c r="B21" s="2"/>
      <c r="C21" s="2"/>
      <c r="D21" s="2"/>
      <c r="E21" s="2"/>
      <c r="F21" s="2"/>
      <c r="G21" s="2"/>
    </row>
    <row r="23" spans="1:7">
      <c r="A23" s="3" t="s">
        <v>19</v>
      </c>
    </row>
    <row r="24" spans="1:7">
      <c r="A24" s="7"/>
      <c r="B24" s="7" t="s">
        <v>20</v>
      </c>
      <c r="C24" s="7" t="s">
        <v>21</v>
      </c>
      <c r="D24" s="7" t="s">
        <v>22</v>
      </c>
      <c r="E24" s="7" t="s">
        <v>23</v>
      </c>
      <c r="F24" s="7" t="s">
        <v>24</v>
      </c>
    </row>
    <row r="25" spans="1:7">
      <c r="A25" t="s">
        <v>25</v>
      </c>
      <c r="B25" s="4">
        <v>7.5</v>
      </c>
      <c r="C25" s="4">
        <v>9.15</v>
      </c>
      <c r="D25" s="4">
        <v>10.797</v>
      </c>
      <c r="E25" s="4">
        <v>12.417</v>
      </c>
      <c r="F25" s="4">
        <v>13.907</v>
      </c>
    </row>
    <row r="26" spans="1:7">
      <c r="A26" t="s">
        <v>26</v>
      </c>
      <c r="B26" s="6">
        <v>-0.207</v>
      </c>
      <c r="C26" s="6">
        <v>-0.09</v>
      </c>
      <c r="D26" s="6">
        <v>-0.02</v>
      </c>
      <c r="E26" s="6">
        <v>0.04</v>
      </c>
      <c r="F26" s="6">
        <v>0.08</v>
      </c>
    </row>
    <row r="27" spans="1:7">
      <c r="A27" t="s">
        <v>27</v>
      </c>
      <c r="B27" s="5">
        <f>B25*B26</f>
        <v>0</v>
      </c>
      <c r="C27" s="5">
        <f>C25*C26</f>
        <v>0</v>
      </c>
      <c r="D27" s="5">
        <f>D25*D26</f>
        <v>0</v>
      </c>
      <c r="E27" s="5">
        <f>E25*E26</f>
        <v>0</v>
      </c>
      <c r="F27" s="5">
        <f>F25*F26</f>
        <v>0</v>
      </c>
    </row>
    <row r="28" spans="1:7">
      <c r="A28" t="s">
        <v>28</v>
      </c>
      <c r="B28" s="6">
        <v>0.012</v>
      </c>
    </row>
    <row r="29" spans="1:7">
      <c r="A29" t="s">
        <v>29</v>
      </c>
      <c r="B29" s="5">
        <f>B25*$B$28</f>
        <v>0</v>
      </c>
      <c r="C29" s="5">
        <f>C25*$B$28</f>
        <v>0</v>
      </c>
      <c r="D29" s="5">
        <f>D25*$B$28</f>
        <v>0</v>
      </c>
      <c r="E29" s="5">
        <f>E25*$B$28</f>
        <v>0</v>
      </c>
      <c r="F29" s="5">
        <f>F25*$B$28</f>
        <v>0</v>
      </c>
    </row>
    <row r="30" spans="1:7">
      <c r="A30" t="s">
        <v>30</v>
      </c>
      <c r="B30" s="5">
        <f>B27-B29</f>
        <v>0</v>
      </c>
      <c r="C30" s="5">
        <f>C27-C29</f>
        <v>0</v>
      </c>
      <c r="D30" s="5">
        <f>D27-D29</f>
        <v>0</v>
      </c>
      <c r="E30" s="5">
        <f>E27-E29</f>
        <v>0</v>
      </c>
      <c r="F30" s="5">
        <f>F27-F29</f>
        <v>0</v>
      </c>
    </row>
    <row r="31" spans="1:7">
      <c r="A31" t="s">
        <v>31</v>
      </c>
      <c r="B31" s="6">
        <v>0.28</v>
      </c>
    </row>
    <row r="32" spans="1:7">
      <c r="A32" t="s">
        <v>32</v>
      </c>
      <c r="B32" s="5">
        <f>IF(B30&gt;0,B30*(1-$B$31),B30)</f>
        <v>0</v>
      </c>
      <c r="C32" s="5">
        <f>IF(C30&gt;0,C30*(1-$B$31),C30)</f>
        <v>0</v>
      </c>
      <c r="D32" s="5">
        <f>IF(D30&gt;0,D30*(1-$B$31),D30)</f>
        <v>0</v>
      </c>
      <c r="E32" s="5">
        <f>IF(E30&gt;0,E30*(1-$B$31),E30)</f>
        <v>0</v>
      </c>
      <c r="F32" s="5">
        <f>IF(F30&gt;0,F30*(1-$B$31),F30)</f>
        <v>0</v>
      </c>
    </row>
    <row r="33" spans="1:6">
      <c r="A33" t="s">
        <v>33</v>
      </c>
      <c r="B33" s="6">
        <v>0.015</v>
      </c>
    </row>
    <row r="34" spans="1:6">
      <c r="A34" t="s">
        <v>34</v>
      </c>
      <c r="B34" s="5">
        <f>B25*$B$33</f>
        <v>0</v>
      </c>
      <c r="C34" s="5">
        <f>C25*$B$33</f>
        <v>0</v>
      </c>
      <c r="D34" s="5">
        <f>D25*$B$33</f>
        <v>0</v>
      </c>
      <c r="E34" s="5">
        <f>E25*$B$33</f>
        <v>0</v>
      </c>
      <c r="F34" s="5">
        <f>F25*$B$33</f>
        <v>0</v>
      </c>
    </row>
    <row r="35" spans="1:6">
      <c r="A35" t="s">
        <v>35</v>
      </c>
      <c r="B35" s="6">
        <v>0.12</v>
      </c>
    </row>
    <row r="36" spans="1:6">
      <c r="A36" t="s">
        <v>36</v>
      </c>
      <c r="B36" s="5">
        <f>$B$35*(B25-6.318449873631002)</f>
        <v>0</v>
      </c>
      <c r="C36" s="5">
        <f>$B$35*(C25-B25)</f>
        <v>0</v>
      </c>
      <c r="D36" s="5">
        <f>$B$35*(D25-C25)</f>
        <v>0</v>
      </c>
      <c r="E36" s="5">
        <f>$B$35*(E25-D25)</f>
        <v>0</v>
      </c>
      <c r="F36" s="5">
        <f>$B$35*(F25-E25)</f>
        <v>0</v>
      </c>
    </row>
    <row r="37" spans="1:6">
      <c r="A37" t="s">
        <v>37</v>
      </c>
      <c r="B37" s="5">
        <f>B32+B29-B34-B36</f>
        <v>0</v>
      </c>
      <c r="C37" s="5">
        <f>C32+C29-C34-C36</f>
        <v>0</v>
      </c>
      <c r="D37" s="5">
        <f>D32+D29-D34-D36</f>
        <v>0</v>
      </c>
      <c r="E37" s="5">
        <f>E32+E29-E34-E36</f>
        <v>0</v>
      </c>
      <c r="F37" s="5">
        <f>F32+F29-F34-F36</f>
        <v>0</v>
      </c>
    </row>
    <row r="39" spans="1:6">
      <c r="A39" s="3" t="s">
        <v>38</v>
      </c>
    </row>
    <row r="40" spans="1:6">
      <c r="A40" t="s">
        <v>39</v>
      </c>
      <c r="B40" s="5">
        <f>B7</f>
        <v>0</v>
      </c>
      <c r="C40" s="5">
        <f>B45</f>
        <v>0</v>
      </c>
      <c r="D40" s="5">
        <f>C45</f>
        <v>0</v>
      </c>
      <c r="E40" s="5">
        <f>D45</f>
        <v>0</v>
      </c>
      <c r="F40" s="5">
        <f>E45</f>
        <v>0</v>
      </c>
    </row>
    <row r="41" spans="1:6">
      <c r="A41" t="s">
        <v>40</v>
      </c>
      <c r="B41" s="5">
        <f>B37</f>
        <v>0</v>
      </c>
      <c r="C41" s="5">
        <f>C37</f>
        <v>0</v>
      </c>
      <c r="D41" s="5">
        <f>D37</f>
        <v>0</v>
      </c>
      <c r="E41" s="5">
        <f>E37</f>
        <v>0</v>
      </c>
      <c r="F41" s="5">
        <f>F37</f>
        <v>0</v>
      </c>
    </row>
    <row r="42" spans="1:6">
      <c r="A42" t="s">
        <v>41</v>
      </c>
      <c r="C42" s="5">
        <f>$B$17*$B$10*$B$12</f>
        <v>0</v>
      </c>
    </row>
    <row r="43" spans="1:6">
      <c r="A43" t="s">
        <v>42</v>
      </c>
      <c r="D43" s="5">
        <f>$B$18*$B$11*$B$12</f>
        <v>0</v>
      </c>
    </row>
    <row r="44" spans="1:6">
      <c r="A44" t="s">
        <v>43</v>
      </c>
      <c r="C44" s="5">
        <f>IF($B$17=0,$B$19,0)</f>
        <v>0</v>
      </c>
    </row>
    <row r="45" spans="1:6">
      <c r="A45" t="inlineStr">
        <is>
          <t>= Cash, closing ($M)</t>
        </is>
      </c>
      <c r="B45" s="5">
        <f>B40+B41</f>
        <v>0</v>
      </c>
      <c r="C45" s="5">
        <f>C40+C41+C42+C44</f>
        <v>0</v>
      </c>
      <c r="D45" s="5">
        <f>D40+D41+D43</f>
        <v>0</v>
      </c>
      <c r="E45" s="5">
        <f>E40+E41</f>
        <v>0</v>
      </c>
      <c r="F45" s="5">
        <f>F40+F41</f>
        <v>0</v>
      </c>
    </row>
    <row r="46" spans="1:6">
      <c r="A46" t="s">
        <v>44</v>
      </c>
      <c r="B46" s="8">
        <f>B6</f>
        <v>0</v>
      </c>
      <c r="C46" s="8">
        <f>B46+IF($B$17=1,$B$10,0)+IF($B$17=0,$B$19/$B$20,0)</f>
        <v>0</v>
      </c>
      <c r="D46" s="8">
        <f>C46+IF($B$18=1,$B$11,0)</f>
        <v>0</v>
      </c>
      <c r="E46" s="8">
        <f>D46</f>
        <v>0</v>
      </c>
      <c r="F46" s="8">
        <f>E46</f>
        <v>0</v>
      </c>
    </row>
    <row r="48" spans="1:6">
      <c r="A48" s="3" t="s">
        <v>45</v>
      </c>
    </row>
    <row r="49" spans="1:6">
      <c r="A49" t="s">
        <v>46</v>
      </c>
      <c r="B49" s="5">
        <f>1/(1+$B$13)^1</f>
        <v>0</v>
      </c>
      <c r="C49" s="5">
        <f>1/(1+$B$13)^2</f>
        <v>0</v>
      </c>
      <c r="D49" s="5">
        <f>1/(1+$B$13)^3</f>
        <v>0</v>
      </c>
      <c r="E49" s="5">
        <f>1/(1+$B$13)^4</f>
        <v>0</v>
      </c>
      <c r="F49" s="5">
        <f>1/(1+$B$13)^5</f>
        <v>0</v>
      </c>
    </row>
    <row r="50" spans="1:6">
      <c r="A50" t="s">
        <v>47</v>
      </c>
      <c r="B50" s="5">
        <f>B37*B49</f>
        <v>0</v>
      </c>
      <c r="C50" s="5">
        <f>C37*C49</f>
        <v>0</v>
      </c>
      <c r="D50" s="5">
        <f>D37*D49</f>
        <v>0</v>
      </c>
      <c r="E50" s="5">
        <f>E37*E49</f>
        <v>0</v>
      </c>
      <c r="F50" s="5">
        <f>F37*F49</f>
        <v>0</v>
      </c>
    </row>
    <row r="51" spans="1:6">
      <c r="A51" t="s">
        <v>48</v>
      </c>
      <c r="B51" s="5">
        <f>SUM(B50:F50)</f>
        <v>0</v>
      </c>
    </row>
    <row r="52" spans="1:6">
      <c r="A52" t="s">
        <v>49</v>
      </c>
      <c r="B52" s="5">
        <f>F27</f>
        <v>0</v>
      </c>
    </row>
    <row r="53" spans="1:6">
      <c r="A53" t="s">
        <v>50</v>
      </c>
      <c r="B53" s="5">
        <f>B52*B14</f>
        <v>0</v>
      </c>
    </row>
    <row r="54" spans="1:6">
      <c r="A54" t="s">
        <v>51</v>
      </c>
      <c r="B54" s="5">
        <f>B53*F49</f>
        <v>0</v>
      </c>
    </row>
    <row r="55" spans="1:6">
      <c r="A55" t="s">
        <v>52</v>
      </c>
      <c r="B55" s="5">
        <f>B51+B54</f>
        <v>0</v>
      </c>
    </row>
    <row r="56" spans="1:6">
      <c r="A56" t="s">
        <v>53</v>
      </c>
      <c r="B56" s="5">
        <f>B8-F45</f>
        <v>0</v>
      </c>
    </row>
    <row r="57" spans="1:6">
      <c r="A57" t="s">
        <v>54</v>
      </c>
      <c r="B57" s="5">
        <f>B55-B56</f>
        <v>0</v>
      </c>
    </row>
    <row r="58" spans="1:6">
      <c r="A58" t="s">
        <v>55</v>
      </c>
      <c r="B58" s="8">
        <f>F46</f>
        <v>0</v>
      </c>
    </row>
    <row r="59" spans="1:6">
      <c r="A59" s="9" t="s">
        <v>56</v>
      </c>
      <c r="B59" s="10">
        <f>MAX(B57/B58,0)</f>
        <v>0</v>
      </c>
    </row>
    <row r="61" spans="1:6">
      <c r="A61" t="s">
        <v>57</v>
      </c>
      <c r="B61" s="11">
        <f>(B59-B5)/B5</f>
        <v>0</v>
      </c>
    </row>
    <row r="63" spans="1:6">
      <c r="A63" s="3" t="s">
        <v>58</v>
      </c>
    </row>
    <row r="64" spans="1:6">
      <c r="A64" t="s">
        <v>59</v>
      </c>
      <c r="B64" s="5">
        <f>NPV(0.15,B37:F37)</f>
        <v>0</v>
      </c>
    </row>
    <row r="65" spans="1:7">
      <c r="A65" t="s">
        <v>60</v>
      </c>
      <c r="B65" s="5">
        <f>B53/(1.15^5)</f>
        <v>0</v>
      </c>
    </row>
    <row r="66" spans="1:7">
      <c r="A66" t="s">
        <v>61</v>
      </c>
      <c r="B66" s="5">
        <f>B56</f>
        <v>0</v>
      </c>
    </row>
    <row r="67" spans="1:7">
      <c r="A67" t="s">
        <v>62</v>
      </c>
      <c r="B67" s="10">
        <f>(B64+B65-B66)/B58</f>
        <v>0</v>
      </c>
    </row>
    <row r="68" spans="1:7">
      <c r="A68" t="s">
        <v>63</v>
      </c>
      <c r="B68" s="11">
        <f>(B5-B67)/B5</f>
        <v>0</v>
      </c>
    </row>
    <row r="70" spans="1:7">
      <c r="A70" s="12" t="s">
        <v>64</v>
      </c>
      <c r="B70" s="12"/>
      <c r="C70" s="12"/>
      <c r="D70" s="12"/>
      <c r="E70" s="12"/>
      <c r="F70" s="12"/>
      <c r="G70" s="12"/>
    </row>
    <row r="71" spans="1:7">
      <c r="A71" s="12"/>
      <c r="B71" s="12"/>
      <c r="C71" s="12"/>
      <c r="D71" s="12"/>
      <c r="E71" s="12"/>
      <c r="F71" s="12"/>
      <c r="G71" s="12"/>
    </row>
    <row r="72" spans="1:7">
      <c r="A72" s="12"/>
      <c r="B72" s="12"/>
      <c r="C72" s="12"/>
      <c r="D72" s="12"/>
      <c r="E72" s="12"/>
      <c r="F72" s="12"/>
      <c r="G72" s="12"/>
    </row>
  </sheetData>
  <mergeCells count="3">
    <mergeCell ref="A2:G2"/>
    <mergeCell ref="A21:G21"/>
    <mergeCell ref="A70:G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1" width="28.7109375" customWidth="1"/>
    <col min="2" max="4" width="16.7109375" customWidth="1"/>
  </cols>
  <sheetData>
    <row r="1" spans="1:4">
      <c r="A1" s="1" t="s">
        <v>65</v>
      </c>
    </row>
    <row r="3" spans="1:4">
      <c r="A3" s="7" t="s">
        <v>66</v>
      </c>
      <c r="B3" s="7" t="s">
        <v>67</v>
      </c>
      <c r="C3" s="7" t="s">
        <v>68</v>
      </c>
      <c r="D3" s="7" t="s">
        <v>69</v>
      </c>
    </row>
    <row r="4" spans="1:4">
      <c r="A4" s="9" t="s">
        <v>70</v>
      </c>
      <c r="B4" s="11">
        <v>0.2</v>
      </c>
      <c r="C4" s="11">
        <v>0.45</v>
      </c>
      <c r="D4" s="11">
        <v>0.35</v>
      </c>
    </row>
    <row r="5" spans="1:4">
      <c r="A5" s="9" t="s">
        <v>71</v>
      </c>
      <c r="B5" s="11">
        <v>0.185</v>
      </c>
      <c r="C5" s="11">
        <v>0.21</v>
      </c>
      <c r="D5" s="11">
        <v>0.26</v>
      </c>
    </row>
    <row r="6" spans="1:4">
      <c r="A6" s="9" t="s">
        <v>72</v>
      </c>
      <c r="B6" s="5">
        <v>22.937</v>
      </c>
      <c r="C6" s="5">
        <v>13.907</v>
      </c>
      <c r="D6" s="5">
        <v>8.377000000000001</v>
      </c>
    </row>
    <row r="7" spans="1:4">
      <c r="A7" s="9" t="s">
        <v>73</v>
      </c>
      <c r="B7" s="5">
        <v>2.752</v>
      </c>
      <c r="C7" s="5">
        <v>1.113</v>
      </c>
      <c r="D7" s="5">
        <v>-0.251</v>
      </c>
    </row>
    <row r="8" spans="1:4">
      <c r="A8" s="9" t="s">
        <v>55</v>
      </c>
      <c r="B8" s="8">
        <v>189.044</v>
      </c>
      <c r="C8" s="8">
        <v>169.272</v>
      </c>
      <c r="D8" s="8">
        <v>217.162</v>
      </c>
    </row>
    <row r="9" spans="1:4">
      <c r="A9" s="9" t="s">
        <v>74</v>
      </c>
      <c r="B9" s="13">
        <v>0.0927</v>
      </c>
      <c r="C9" s="13">
        <v>0.0144</v>
      </c>
      <c r="D9" s="13">
        <v>0</v>
      </c>
    </row>
    <row r="10" spans="1:4">
      <c r="A10" s="9" t="s">
        <v>75</v>
      </c>
      <c r="B10" s="11">
        <v>0.7829999999999999</v>
      </c>
      <c r="C10" s="11">
        <v>-0.723</v>
      </c>
      <c r="D10" s="11">
        <v>-1</v>
      </c>
    </row>
    <row r="11" spans="1:4">
      <c r="A11" s="9" t="s">
        <v>76</v>
      </c>
      <c r="B11" s="10">
        <f>B8*0.2+C8*0.45+D8*0.35</f>
        <v>0</v>
      </c>
    </row>
    <row r="12" spans="1:4">
      <c r="A12" t="s">
        <v>77</v>
      </c>
      <c r="B12" s="5">
        <v>0.052</v>
      </c>
    </row>
    <row r="13" spans="1:4">
      <c r="A13" t="s">
        <v>78</v>
      </c>
      <c r="B13" s="11">
        <f>(B11-B12)/B12</f>
        <v>0</v>
      </c>
    </row>
    <row r="15" spans="1:4">
      <c r="A15" s="2" t="s">
        <v>79</v>
      </c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</sheetData>
  <mergeCells count="1">
    <mergeCell ref="A15: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1" width="18.7109375" customWidth="1"/>
    <col min="2" max="6" width="12.7109375" customWidth="1"/>
  </cols>
  <sheetData>
    <row r="1" spans="1:6">
      <c r="A1" s="1" t="s">
        <v>80</v>
      </c>
    </row>
    <row r="2" spans="1:6">
      <c r="A2" t="s">
        <v>81</v>
      </c>
    </row>
    <row r="4" spans="1:6">
      <c r="A4" s="7" t="s">
        <v>82</v>
      </c>
      <c r="B4" s="14">
        <v>7</v>
      </c>
      <c r="C4" s="14">
        <v>8</v>
      </c>
      <c r="D4" s="14">
        <v>9</v>
      </c>
      <c r="E4" s="14">
        <v>10</v>
      </c>
      <c r="F4" s="14">
        <v>11</v>
      </c>
    </row>
    <row r="5" spans="1:6">
      <c r="A5" s="15">
        <v>0.17</v>
      </c>
      <c r="B5" s="13">
        <f>(NPV(0.17,'Base Case Model'!$B$37:$F$37)+('Base Case Model'!$F$27*7.0)/(1+0.17)^5-'Base Case Model'!$B$56)/'Base Case Model'!$B$58</f>
        <v>0</v>
      </c>
      <c r="C5" s="13">
        <f>(NPV(0.17,'Base Case Model'!$B$37:$F$37)+('Base Case Model'!$F$27*8.0)/(1+0.17)^5-'Base Case Model'!$B$56)/'Base Case Model'!$B$58</f>
        <v>0</v>
      </c>
      <c r="D5" s="13">
        <f>(NPV(0.17,'Base Case Model'!$B$37:$F$37)+('Base Case Model'!$F$27*9.0)/(1+0.17)^5-'Base Case Model'!$B$56)/'Base Case Model'!$B$58</f>
        <v>0</v>
      </c>
      <c r="E5" s="13">
        <f>(NPV(0.17,'Base Case Model'!$B$37:$F$37)+('Base Case Model'!$F$27*10.0)/(1+0.17)^5-'Base Case Model'!$B$56)/'Base Case Model'!$B$58</f>
        <v>0</v>
      </c>
      <c r="F5" s="13">
        <f>(NPV(0.17,'Base Case Model'!$B$37:$F$37)+('Base Case Model'!$F$27*11.0)/(1+0.17)^5-'Base Case Model'!$B$56)/'Base Case Model'!$B$58</f>
        <v>0</v>
      </c>
    </row>
    <row r="6" spans="1:6">
      <c r="A6" s="15">
        <v>0.19</v>
      </c>
      <c r="B6" s="13">
        <f>(NPV(0.19,'Base Case Model'!$B$37:$F$37)+('Base Case Model'!$F$27*7.0)/(1+0.19)^5-'Base Case Model'!$B$56)/'Base Case Model'!$B$58</f>
        <v>0</v>
      </c>
      <c r="C6" s="13">
        <f>(NPV(0.19,'Base Case Model'!$B$37:$F$37)+('Base Case Model'!$F$27*8.0)/(1+0.19)^5-'Base Case Model'!$B$56)/'Base Case Model'!$B$58</f>
        <v>0</v>
      </c>
      <c r="D6" s="13">
        <f>(NPV(0.19,'Base Case Model'!$B$37:$F$37)+('Base Case Model'!$F$27*9.0)/(1+0.19)^5-'Base Case Model'!$B$56)/'Base Case Model'!$B$58</f>
        <v>0</v>
      </c>
      <c r="E6" s="13">
        <f>(NPV(0.19,'Base Case Model'!$B$37:$F$37)+('Base Case Model'!$F$27*10.0)/(1+0.19)^5-'Base Case Model'!$B$56)/'Base Case Model'!$B$58</f>
        <v>0</v>
      </c>
      <c r="F6" s="13">
        <f>(NPV(0.19,'Base Case Model'!$B$37:$F$37)+('Base Case Model'!$F$27*11.0)/(1+0.19)^5-'Base Case Model'!$B$56)/'Base Case Model'!$B$58</f>
        <v>0</v>
      </c>
    </row>
    <row r="7" spans="1:6">
      <c r="A7" s="15">
        <v>0.21</v>
      </c>
      <c r="B7" s="13">
        <f>(NPV(0.21,'Base Case Model'!$B$37:$F$37)+('Base Case Model'!$F$27*7.0)/(1+0.21)^5-'Base Case Model'!$B$56)/'Base Case Model'!$B$58</f>
        <v>0</v>
      </c>
      <c r="C7" s="13">
        <f>(NPV(0.21,'Base Case Model'!$B$37:$F$37)+('Base Case Model'!$F$27*8.0)/(1+0.21)^5-'Base Case Model'!$B$56)/'Base Case Model'!$B$58</f>
        <v>0</v>
      </c>
      <c r="D7" s="13">
        <f>(NPV(0.21,'Base Case Model'!$B$37:$F$37)+('Base Case Model'!$F$27*9.0)/(1+0.21)^5-'Base Case Model'!$B$56)/'Base Case Model'!$B$58</f>
        <v>0</v>
      </c>
      <c r="E7" s="13">
        <f>(NPV(0.21,'Base Case Model'!$B$37:$F$37)+('Base Case Model'!$F$27*10.0)/(1+0.21)^5-'Base Case Model'!$B$56)/'Base Case Model'!$B$58</f>
        <v>0</v>
      </c>
      <c r="F7" s="13">
        <f>(NPV(0.21,'Base Case Model'!$B$37:$F$37)+('Base Case Model'!$F$27*11.0)/(1+0.21)^5-'Base Case Model'!$B$56)/'Base Case Model'!$B$58</f>
        <v>0</v>
      </c>
    </row>
    <row r="8" spans="1:6">
      <c r="A8" s="15">
        <v>0.23</v>
      </c>
      <c r="B8" s="13">
        <f>(NPV(0.23,'Base Case Model'!$B$37:$F$37)+('Base Case Model'!$F$27*7.0)/(1+0.23)^5-'Base Case Model'!$B$56)/'Base Case Model'!$B$58</f>
        <v>0</v>
      </c>
      <c r="C8" s="13">
        <f>(NPV(0.23,'Base Case Model'!$B$37:$F$37)+('Base Case Model'!$F$27*8.0)/(1+0.23)^5-'Base Case Model'!$B$56)/'Base Case Model'!$B$58</f>
        <v>0</v>
      </c>
      <c r="D8" s="13">
        <f>(NPV(0.23,'Base Case Model'!$B$37:$F$37)+('Base Case Model'!$F$27*9.0)/(1+0.23)^5-'Base Case Model'!$B$56)/'Base Case Model'!$B$58</f>
        <v>0</v>
      </c>
      <c r="E8" s="13">
        <f>(NPV(0.23,'Base Case Model'!$B$37:$F$37)+('Base Case Model'!$F$27*10.0)/(1+0.23)^5-'Base Case Model'!$B$56)/'Base Case Model'!$B$58</f>
        <v>0</v>
      </c>
      <c r="F8" s="13">
        <f>(NPV(0.23,'Base Case Model'!$B$37:$F$37)+('Base Case Model'!$F$27*11.0)/(1+0.23)^5-'Base Case Model'!$B$56)/'Base Case Model'!$B$58</f>
        <v>0</v>
      </c>
    </row>
    <row r="9" spans="1:6">
      <c r="A9" s="15">
        <v>0.25</v>
      </c>
      <c r="B9" s="13">
        <f>(NPV(0.25,'Base Case Model'!$B$37:$F$37)+('Base Case Model'!$F$27*7.0)/(1+0.25)^5-'Base Case Model'!$B$56)/'Base Case Model'!$B$58</f>
        <v>0</v>
      </c>
      <c r="C9" s="13">
        <f>(NPV(0.25,'Base Case Model'!$B$37:$F$37)+('Base Case Model'!$F$27*8.0)/(1+0.25)^5-'Base Case Model'!$B$56)/'Base Case Model'!$B$58</f>
        <v>0</v>
      </c>
      <c r="D9" s="13">
        <f>(NPV(0.25,'Base Case Model'!$B$37:$F$37)+('Base Case Model'!$F$27*9.0)/(1+0.25)^5-'Base Case Model'!$B$56)/'Base Case Model'!$B$58</f>
        <v>0</v>
      </c>
      <c r="E9" s="13">
        <f>(NPV(0.25,'Base Case Model'!$B$37:$F$37)+('Base Case Model'!$F$27*10.0)/(1+0.25)^5-'Base Case Model'!$B$56)/'Base Case Model'!$B$58</f>
        <v>0</v>
      </c>
      <c r="F9" s="13">
        <f>(NPV(0.25,'Base Case Model'!$B$37:$F$37)+('Base Case Model'!$F$27*11.0)/(1+0.25)^5-'Base Case Model'!$B$56)/'Base Case Model'!$B$58</f>
        <v>0</v>
      </c>
    </row>
    <row r="11" spans="1:6">
      <c r="A11" s="2" t="s">
        <v>83</v>
      </c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</sheetData>
  <mergeCells count="1">
    <mergeCell ref="A11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cols>
    <col min="1" max="1" width="22.7109375" customWidth="1"/>
    <col min="2" max="9" width="12.7109375" customWidth="1"/>
  </cols>
  <sheetData>
    <row r="1" spans="1:9">
      <c r="A1" s="1" t="s">
        <v>84</v>
      </c>
    </row>
    <row r="2" spans="1:9">
      <c r="A2" s="2" t="s">
        <v>85</v>
      </c>
      <c r="B2" s="2"/>
      <c r="C2" s="2"/>
      <c r="D2" s="2"/>
      <c r="E2" s="2"/>
      <c r="F2" s="2"/>
      <c r="G2" s="2"/>
      <c r="H2" s="2"/>
      <c r="I2" s="2"/>
    </row>
    <row r="4" spans="1:9">
      <c r="A4" s="7" t="s">
        <v>86</v>
      </c>
      <c r="B4" s="7" t="s">
        <v>87</v>
      </c>
      <c r="C4" s="7" t="s">
        <v>88</v>
      </c>
      <c r="D4" s="7" t="s">
        <v>89</v>
      </c>
      <c r="E4" s="7" t="s">
        <v>90</v>
      </c>
      <c r="F4" s="7" t="s">
        <v>91</v>
      </c>
      <c r="G4" s="7" t="s">
        <v>92</v>
      </c>
      <c r="H4" s="7" t="s">
        <v>93</v>
      </c>
    </row>
    <row r="5" spans="1:9">
      <c r="A5" t="s">
        <v>94</v>
      </c>
      <c r="B5" s="5">
        <v>0.5659999999999999</v>
      </c>
      <c r="C5" s="5">
        <v>1.143</v>
      </c>
      <c r="D5" s="5">
        <v>8.273</v>
      </c>
      <c r="E5" s="5">
        <v>7.883</v>
      </c>
      <c r="F5" s="5">
        <v>5.032</v>
      </c>
      <c r="G5" s="5">
        <v>7.454</v>
      </c>
      <c r="H5" s="5">
        <v>2.554</v>
      </c>
    </row>
    <row r="6" spans="1:9">
      <c r="A6" t="s">
        <v>95</v>
      </c>
      <c r="B6" s="5">
        <v>-1.157</v>
      </c>
      <c r="C6" s="5">
        <v>-3.453</v>
      </c>
      <c r="D6" s="5">
        <v>-12.053</v>
      </c>
      <c r="E6" s="5">
        <v>-5.601</v>
      </c>
      <c r="F6" s="5">
        <v>-3.161</v>
      </c>
      <c r="G6" s="5">
        <v>-0.975</v>
      </c>
      <c r="H6" s="5">
        <v>-1.088</v>
      </c>
    </row>
    <row r="7" spans="1:9">
      <c r="A7" t="s">
        <v>96</v>
      </c>
      <c r="B7" s="5">
        <v>-4.982</v>
      </c>
      <c r="C7" s="5">
        <v>-2.86</v>
      </c>
      <c r="D7" s="5">
        <v>-19.544</v>
      </c>
      <c r="E7" s="5">
        <v>-12.974</v>
      </c>
      <c r="F7" s="5">
        <v>-11.276</v>
      </c>
      <c r="G7" s="5">
        <v>-6.016</v>
      </c>
      <c r="H7" s="5">
        <v>3.219</v>
      </c>
    </row>
    <row r="9" spans="1:9">
      <c r="A9" s="9" t="s">
        <v>97</v>
      </c>
      <c r="B9" s="5">
        <v>-0.902</v>
      </c>
    </row>
    <row r="10" spans="1:9">
      <c r="A10" s="9" t="s">
        <v>98</v>
      </c>
      <c r="B10" s="5">
        <v>-1.476</v>
      </c>
    </row>
    <row r="11" spans="1:9">
      <c r="A11" s="9" t="s">
        <v>99</v>
      </c>
      <c r="B11" s="5">
        <v>-0.827</v>
      </c>
    </row>
    <row r="13" spans="1:9">
      <c r="A13" s="9" t="s">
        <v>100</v>
      </c>
      <c r="B13" s="5">
        <v>54.5</v>
      </c>
    </row>
    <row r="14" spans="1:9">
      <c r="A14" s="9" t="s">
        <v>101</v>
      </c>
      <c r="B14" t="s">
        <v>102</v>
      </c>
    </row>
  </sheetData>
  <mergeCells count="1"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6.7109375" customWidth="1"/>
    <col min="2" max="2" width="90.7109375" customWidth="1"/>
  </cols>
  <sheetData>
    <row r="1" spans="1:2">
      <c r="A1" s="1" t="s">
        <v>103</v>
      </c>
    </row>
    <row r="3" spans="1:2">
      <c r="A3" s="9" t="s">
        <v>104</v>
      </c>
      <c r="B3" s="16" t="s">
        <v>105</v>
      </c>
    </row>
    <row r="4" spans="1:2">
      <c r="A4" s="9" t="s">
        <v>106</v>
      </c>
      <c r="B4" s="16" t="s">
        <v>107</v>
      </c>
    </row>
    <row r="5" spans="1:2">
      <c r="A5" s="9" t="s">
        <v>108</v>
      </c>
      <c r="B5" s="16" t="s">
        <v>109</v>
      </c>
    </row>
    <row r="6" spans="1:2">
      <c r="A6" s="9" t="s">
        <v>110</v>
      </c>
      <c r="B6" s="16" t="s">
        <v>111</v>
      </c>
    </row>
    <row r="7" spans="1:2">
      <c r="A7" s="9" t="s">
        <v>112</v>
      </c>
      <c r="B7" s="16" t="s">
        <v>113</v>
      </c>
    </row>
    <row r="8" spans="1:2">
      <c r="A8" s="9" t="s">
        <v>114</v>
      </c>
      <c r="B8" s="16" t="s">
        <v>115</v>
      </c>
    </row>
    <row r="9" spans="1:2">
      <c r="A9" s="9" t="s">
        <v>116</v>
      </c>
      <c r="B9" s="16" t="s">
        <v>117</v>
      </c>
    </row>
    <row r="10" spans="1:2">
      <c r="A10" s="9" t="s">
        <v>118</v>
      </c>
      <c r="B10" s="16" t="s">
        <v>119</v>
      </c>
    </row>
    <row r="11" spans="1:2">
      <c r="A11" s="9" t="s">
        <v>120</v>
      </c>
      <c r="B11" s="16" t="s">
        <v>121</v>
      </c>
    </row>
    <row r="12" spans="1:2">
      <c r="A12" s="9" t="s">
        <v>122</v>
      </c>
      <c r="B12" s="16" t="s">
        <v>123</v>
      </c>
    </row>
    <row r="13" spans="1:2">
      <c r="A13" s="9" t="s">
        <v>124</v>
      </c>
      <c r="B13" s="16" t="s">
        <v>125</v>
      </c>
    </row>
    <row r="14" spans="1:2">
      <c r="A14" s="9" t="s">
        <v>126</v>
      </c>
      <c r="B14" s="1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 Case Model</vt:lpstr>
      <vt:lpstr>Scenario Summary</vt:lpstr>
      <vt:lpstr>Sensitivity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2026-08-13T03:25:32Z</dcterms:created>
  <dcterms:modified xsi:type="dcterms:W3CDTF">2026-08-13T03:25:32Z</dcterms:modified>
</cp:coreProperties>
</file>