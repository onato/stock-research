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<sst xmlns="http://schemas.openxmlformats.org/spreadsheetml/2006/main" count="357" uniqueCount="165">
  <si>
    <t xml:space="preserve">Ticker</t>
  </si>
  <si>
    <t xml:space="preserve">BNZL.L</t>
  </si>
  <si>
    <t xml:space="preserve">Company</t>
  </si>
  <si>
    <t xml:space="preserve">Bunzl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</si>
  <si>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</si>
  <si>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</si>
  <si>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</si>
  <si>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</si>
  <si>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2026-10-09T15:35:03Z (LSE regular-session close; not an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</si>
  <si>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</si>
  <si>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</si>
  <si>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</si>
  <si>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</si>
  <si>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</si>
  <si>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</si>
  <si>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</si>
  <si>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</si>
  <si>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</si>
  <si>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</si>
  <si>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</si>
  <si>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</si>
  <si>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</si>
  <si>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2026-10-09T22:42:56Z</t>
  </si>
  <si>
    <t xml:space="preserve">Drivers file</t>
  </si>
  <si>
    <t xml:space="preserve">BNZL.L_Drivers.json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</si>
  <si>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</si>
  <si>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</si>
  <si>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</si>
  <si>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existing distribution business on owner FCF after the full IFRS-16 lease payment, and give credit for bolt-on M&amp;A only to the extent the cash it costs is charged in the same year. Bunzl's economics are a ~7.7% lease-adjusted EBIT margin on a low-growth, low-beta, cash-generative base; the compounding record (c.9% EPS CAGR since 2004) is mostly purchased growth at ~8x EBITA, which is value-accretive but not free. The terminal value is capped at 18x owner FCF so the valuation does not depend on perpetuity arithmetic at a 5pp WACC-minus-g spread.
key_risks_to_valuation: Acquisition economics: the model credits acquired revenue at ~0.85x EV/revenue earning the group margin; if bolt-ons genuinely sustain 13%+ year-2 ROIC the base case understates value, and if the pipeline dries up (2025-style) the growth path is too high.; North America (53% of revenue) margin: a second execution failure would push the group toward the bear path; the base assumes recovery only to the FY2023 level, not the FY2024 peak.; FX translation: ~75% of profit is earned in USD, EUR, CAD, AUD and BRL; a 5% move in GBP shifts GBP flows and the GBP-denominated value by a similar amount with no change in underlying trading.; Lease cost creep: lease payments have risen from 1.6% to 2.0% of revenue since FY2023; each 0.1pp is ~GBP12m/yr of owner FCF.; Terminal cap: the 18x cap binds in every scenario, so the value is essentially 'year-10 owner FCF x 18' discounted; the WACC x g grid moves value less than a change in the cap would.</t>
  </si>
  <si>
    <t xml:space="preserve">Data sources</t>
  </si>
  <si>
    <t xml:space="preserve">price: Yahoo Finance chart API at inputs.price_as_of; 52-week range 1981.0-2898.0 GBp
financials: BNZL.L_Metrics.csv (core_metrics, GBP millions, FY2017-FY2025 and H1 FY2026), kpis table (lease principal/interest, D&amp;A, cash taxes, buybacks, diluted shares), FY2025 annual report (cash flow statement lines 8216-8249), H1 2026 interim report (cash flow summary p.17, net debt table, note 7 share count)
qualitative: BNZL.L_Analysis.json (2026-10-10); FY2025 annual report outlook; H1 2026 results (1 Sep 2026) guidance and GBP500m buyback</t>
  </si>
  <si>
    <t xml:space="preserve">Scenario narrative: bear</t>
  </si>
  <si>
    <t xml:space="preserve">The 'major change programme execution' risk the board added in FY2025 recurs, or a foodservice/convenience-store downturn hits the 53% North American revenue base again: operating margin falls to ~7.0% in FY2027 and settles at 7.2%, organic growth is ~0.5%, and macro uncertainty keeps acquisition spend at the FY2025 trough for two more years. Lease cost creeps to 2.1% of revenue. With thin margins and no re-rating, the terminal cap is 15x and terminal growth 2%.</t>
  </si>
  <si>
    <t xml:space="preserve">Scenario narrative: base</t>
  </si>
  <si>
    <t xml:space="preserve">North America Distribution's operating-model repair holds (service levels 'largely restored', five consecutive quarters of positive underlying growth) and the group operating margin walks back from 7.6% to ~8.0% by FY2030, not to the FY2024 peak. Bolt-on spend returns to its FY2021-25 cash average of ~3% of revenue and buys ~3.5% acquired growth on top of ~1.5% organic, with the acquired businesses earning the group margin so M&amp;A is roughly value-neutral at a 7.5% GBP WACC. Leases stay at 2% of revenue and the GBP500m buyback is funded from owner FCF without changing per-share value.</t>
  </si>
  <si>
    <t xml:space="preserve">Scenario narrative: bull</t>
  </si>
  <si>
    <t xml:space="preserve">The turnaround compounds: North America keeps the H1 2026 8% underlying pace into FY2027, own-brand mix and EPR/PFAS compliance work lift the margin through the 8.3% FY2024 peak to ~8.6%, and the &gt;1,300-target pipeline converts at the five-year COMMITTED average of ~GBP450m/yr with 10-11% EBITA-margin bolt-ons mixing up group returns. Terminal cap 20x and 3% terminal growth reflect a compounder the market has historically paid 20x+ FCF for.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</si>
  <si>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</si>
  <si>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</si>
  <si>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</si>
  <si>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</si>
  <si>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</si>
  <si>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</si>
  <si>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</si>
  <si>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</si>
  <si>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</si>
  <si>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</si>
  <si>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</si>
  <si>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</si>
  <si>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</si>
  <si>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</si>
  <si>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</si>
  <si>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</si>
  <si>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</si>
  <si>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</si>
  <si>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</si>
  <si>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</si>
  <si>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</si>
  <si>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</si>
  <si>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</si>
  <si>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</si>
  <si>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</si>
  <si>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</si>
  <si>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</si>
  <si>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</si>
  <si>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</si>
  <si>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</si>
  <si>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</si>
  <si>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</si>
  <si>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</si>
  <si>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</si>
  <si>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</si>
  <si>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</si>
  <si>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</si>
  <si>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</si>
  <si>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</si>
  <si>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</si>
  <si>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</si>
  <si>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</si>
  <si>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</si>
  <si>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</si>
  <si>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</si>
  <si>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</si>
  <si>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</si>
  <si>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</si>
  <si>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</si>
  <si>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</si>
  <si>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</si>
  <si>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</si>
  <si>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</si>
  <si>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</si>
  <si>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</si>
  <si>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</si>
  <si>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</si>
  <si>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</si>
  <si>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</si>
  <si>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</si>
  <si>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</si>
  <si>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</si>
  <si>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</si>
  <si>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</si>
  <si>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</si>
  <si>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</si>
  <si>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</si>
  <si>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</si>
  <si>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</si>
  <si>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</si>
  <si>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</si>
  <si>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</si>
  <si>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</si>
  <si>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BNZL.L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</si>
  <si>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</si>
  <si>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</si>
  <si>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</si>
  <si>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</si>
  <si>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</si>
  <si>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</si>
  <si>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</si>
  <si>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</si>
  <si>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</si>
  <si>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</si>
  <si>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</si>
  <si>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</si>
  <si>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</si>
  <si>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</si>
  <si>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</si>
  <si>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</si>
  <si>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</si>
  <si>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</si>
  <si>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</si>
  <si>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</si>
  <si>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</si>
  <si>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</si>
  <si>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</si>
  <si>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</si>
  <si>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</si>
  <si>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</si>
  <si>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</si>
  <si>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</si>
  <si>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</si>
  <si>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</si>
  <si>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BNZL.L owner-FCF component DCF: base case (millions, GBP)</t>
  </si>
  <si>
    <t xml:space="preserve">BNZL.L owner-FCF component DCF: bull case (millions, GBP)</t>
  </si>
  <si>
    <t xml:space="preserve">BNZL.L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</si>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</sst>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2738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8580.9</v>
      </c>
      <c r="C2" s="0" t="n">
        <v>6490.6</v>
      </c>
      <c r="D2" s="0" t="n">
        <v>2090.3</v>
      </c>
      <c r="E2" s="0" t="n">
        <v>24.4</v>
      </c>
      <c r="F2" s="0" t="n">
        <v>456</v>
      </c>
      <c r="G2" s="0" t="n">
        <v>5.3</v>
      </c>
      <c r="H2" s="0" t="n">
        <v>583.9</v>
      </c>
      <c r="I2" s="0" t="n">
        <v>310.5</v>
      </c>
      <c r="J2" s="0" t="n">
        <v>3.6</v>
      </c>
      <c r="K2" s="0" t="n">
        <v>0.935</v>
      </c>
      <c r="L2" s="0" t="n">
        <v>475.6</v>
      </c>
      <c r="M2" s="0" t="n">
        <v>31.1</v>
      </c>
      <c r="N2" s="0" t="n">
        <v>444.5</v>
      </c>
      <c r="O2" s="0" t="n">
        <v>1448.6</v>
      </c>
      <c r="P2" s="0" t="n">
        <v>5189.6</v>
      </c>
      <c r="Q2" s="0" t="n">
        <v>3741</v>
      </c>
      <c r="R2" s="0" t="n">
        <v>1865.6</v>
      </c>
      <c r="S2" s="0" t="n">
        <v>333.6</v>
      </c>
      <c r="T2" s="0" t="n">
        <v>332.1</v>
      </c>
      <c r="U2" s="0" t="n">
        <v>11.8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9079.4</v>
      </c>
      <c r="C3" s="0" t="n">
        <v>6851.8</v>
      </c>
      <c r="D3" s="0" t="n">
        <v>2227.6</v>
      </c>
      <c r="E3" s="0" t="n">
        <v>24.5</v>
      </c>
      <c r="F3" s="0" t="n">
        <v>466.2</v>
      </c>
      <c r="G3" s="0" t="n">
        <v>5.1</v>
      </c>
      <c r="H3" s="0" t="n">
        <v>609.9</v>
      </c>
      <c r="I3" s="0" t="n">
        <v>326.5</v>
      </c>
      <c r="J3" s="0" t="n">
        <v>3.6</v>
      </c>
      <c r="K3" s="0" t="n">
        <v>0.978</v>
      </c>
      <c r="L3" s="0" t="n">
        <v>480</v>
      </c>
      <c r="M3" s="0" t="n">
        <v>31.1</v>
      </c>
      <c r="N3" s="0" t="n">
        <v>448.9</v>
      </c>
      <c r="O3" s="0" t="n">
        <v>1694.5</v>
      </c>
      <c r="P3" s="0" t="n">
        <v>5556.1</v>
      </c>
      <c r="Q3" s="0" t="n">
        <v>3861.6</v>
      </c>
      <c r="R3" s="0" t="n">
        <v>1864.7</v>
      </c>
      <c r="S3" s="0" t="n">
        <v>477.7</v>
      </c>
      <c r="T3" s="0" t="n">
        <v>333.8</v>
      </c>
      <c r="U3" s="0" t="n">
        <v>12.9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9326.7</v>
      </c>
      <c r="C4" s="0" t="n">
        <v>7033.2</v>
      </c>
      <c r="D4" s="0" t="n">
        <v>2293.5</v>
      </c>
      <c r="E4" s="0" t="n">
        <v>24.6</v>
      </c>
      <c r="F4" s="0" t="n">
        <v>528.4</v>
      </c>
      <c r="G4" s="0" t="n">
        <v>5.7</v>
      </c>
      <c r="H4" s="0" t="n">
        <v>795.7</v>
      </c>
      <c r="I4" s="0" t="n">
        <v>349.2</v>
      </c>
      <c r="J4" s="0" t="n">
        <v>3.7</v>
      </c>
      <c r="K4" s="0" t="n">
        <v>1.045</v>
      </c>
      <c r="L4" s="0" t="n">
        <v>669.3</v>
      </c>
      <c r="M4" s="0" t="n">
        <v>36.9</v>
      </c>
      <c r="N4" s="0" t="n">
        <v>632.4</v>
      </c>
      <c r="O4" s="0" t="n">
        <v>1744.3</v>
      </c>
      <c r="P4" s="0" t="n">
        <v>5920</v>
      </c>
      <c r="Q4" s="0" t="n">
        <v>4175.7</v>
      </c>
      <c r="R4" s="0" t="n">
        <v>1867.6</v>
      </c>
      <c r="S4" s="0" t="n">
        <v>610.5</v>
      </c>
      <c r="T4" s="0" t="n">
        <v>334.2</v>
      </c>
      <c r="U4" s="0" t="n">
        <v>13.5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10111.1</v>
      </c>
      <c r="C5" s="0" t="n">
        <v>7526.3</v>
      </c>
      <c r="D5" s="0" t="n">
        <v>2584.8</v>
      </c>
      <c r="E5" s="0" t="n">
        <v>25.6</v>
      </c>
      <c r="F5" s="0" t="n">
        <v>618.5</v>
      </c>
      <c r="G5" s="0" t="n">
        <v>6.1</v>
      </c>
      <c r="H5" s="0" t="n">
        <v>890.6</v>
      </c>
      <c r="I5" s="0" t="n">
        <v>430</v>
      </c>
      <c r="J5" s="0" t="n">
        <v>4.3</v>
      </c>
      <c r="K5" s="0" t="n">
        <v>1.283</v>
      </c>
      <c r="L5" s="0" t="n">
        <v>790.2</v>
      </c>
      <c r="M5" s="0" t="n">
        <v>33.1</v>
      </c>
      <c r="N5" s="0" t="n">
        <v>757.1</v>
      </c>
      <c r="O5" s="0" t="n">
        <v>1919.1</v>
      </c>
      <c r="P5" s="0" t="n">
        <v>6829.4</v>
      </c>
      <c r="Q5" s="0" t="n">
        <v>4910.3</v>
      </c>
      <c r="R5" s="0" t="n">
        <v>2209.7</v>
      </c>
      <c r="S5" s="0" t="n">
        <v>944.3</v>
      </c>
      <c r="T5" s="0" t="n">
        <v>335.2</v>
      </c>
      <c r="U5" s="0" t="n">
        <v>14.9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10285.1</v>
      </c>
      <c r="C6" s="0" t="n">
        <v>7762.5</v>
      </c>
      <c r="D6" s="0" t="n">
        <v>2522.6</v>
      </c>
      <c r="E6" s="0" t="n">
        <v>24.5</v>
      </c>
      <c r="F6" s="0" t="n">
        <v>623.3</v>
      </c>
      <c r="G6" s="0" t="n">
        <v>6.1</v>
      </c>
      <c r="H6" s="0" t="n">
        <v>901</v>
      </c>
      <c r="I6" s="0" t="n">
        <v>442.8</v>
      </c>
      <c r="J6" s="0" t="n">
        <v>4.3</v>
      </c>
      <c r="K6" s="0" t="n">
        <v>1.318</v>
      </c>
      <c r="L6" s="0" t="n">
        <v>733.1</v>
      </c>
      <c r="M6" s="0" t="n">
        <v>32.7</v>
      </c>
      <c r="N6" s="0" t="n">
        <v>700.4</v>
      </c>
      <c r="O6" s="0" t="n">
        <v>2203.9</v>
      </c>
      <c r="P6" s="0" t="n">
        <v>7114.1</v>
      </c>
      <c r="Q6" s="0" t="n">
        <v>4910.2</v>
      </c>
      <c r="R6" s="0" t="n">
        <v>2097.2</v>
      </c>
      <c r="S6" s="0" t="n">
        <v>776.9</v>
      </c>
      <c r="T6" s="0" t="n">
        <v>336</v>
      </c>
      <c r="U6" s="0" t="n">
        <v>12.7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12039.5</v>
      </c>
      <c r="C7" s="0" t="n">
        <v>9015</v>
      </c>
      <c r="D7" s="0" t="n">
        <v>3024.5</v>
      </c>
      <c r="E7" s="0" t="n">
        <v>25.1</v>
      </c>
      <c r="F7" s="0" t="n">
        <v>701.6</v>
      </c>
      <c r="G7" s="0" t="n">
        <v>5.8</v>
      </c>
      <c r="H7" s="0" t="n">
        <v>1019.5</v>
      </c>
      <c r="I7" s="0" t="n">
        <v>474.4</v>
      </c>
      <c r="J7" s="0" t="n">
        <v>3.9</v>
      </c>
      <c r="K7" s="0" t="n">
        <v>1.407</v>
      </c>
      <c r="L7" s="0" t="n">
        <v>951.6</v>
      </c>
      <c r="M7" s="0" t="n">
        <v>46.7</v>
      </c>
      <c r="N7" s="0" t="n">
        <v>904.9</v>
      </c>
      <c r="O7" s="0" t="n">
        <v>2720.9</v>
      </c>
      <c r="P7" s="0" t="n">
        <v>8666.8</v>
      </c>
      <c r="Q7" s="0" t="n">
        <v>5945.9</v>
      </c>
      <c r="R7" s="0" t="n">
        <v>2560.9</v>
      </c>
      <c r="S7" s="0" t="n">
        <v>1504</v>
      </c>
      <c r="T7" s="0" t="n">
        <v>337.2</v>
      </c>
      <c r="U7" s="0" t="n">
        <v>14.1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11797.1</v>
      </c>
      <c r="C8" s="0" t="n">
        <v>8609.2</v>
      </c>
      <c r="D8" s="0" t="n">
        <v>3187.9</v>
      </c>
      <c r="E8" s="0" t="n">
        <v>27</v>
      </c>
      <c r="F8" s="0" t="n">
        <v>789.1</v>
      </c>
      <c r="G8" s="0" t="n">
        <v>6.7</v>
      </c>
      <c r="H8" s="0" t="n">
        <v>1131.9</v>
      </c>
      <c r="I8" s="0" t="n">
        <v>526.2</v>
      </c>
      <c r="J8" s="0" t="n">
        <v>4.5</v>
      </c>
      <c r="K8" s="0" t="n">
        <v>1.56</v>
      </c>
      <c r="L8" s="0" t="n">
        <v>904</v>
      </c>
      <c r="M8" s="0" t="n">
        <v>58.3</v>
      </c>
      <c r="N8" s="0" t="n">
        <v>845.7</v>
      </c>
      <c r="O8" s="0" t="n">
        <v>2966.3</v>
      </c>
      <c r="P8" s="0" t="n">
        <v>8747.2</v>
      </c>
      <c r="Q8" s="0" t="n">
        <v>5780.9</v>
      </c>
      <c r="R8" s="0" t="n">
        <v>2421.3</v>
      </c>
      <c r="S8" s="0" t="n">
        <v>1426.1</v>
      </c>
      <c r="T8" s="0" t="n">
        <v>337.3</v>
      </c>
      <c r="U8" s="0" t="n">
        <v>15.4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11776.4</v>
      </c>
      <c r="C9" s="0" t="n">
        <v>8383.8</v>
      </c>
      <c r="D9" s="0" t="n">
        <v>3392.6</v>
      </c>
      <c r="E9" s="0" t="n">
        <v>28.8</v>
      </c>
      <c r="F9" s="0" t="n">
        <v>799.3</v>
      </c>
      <c r="G9" s="0" t="n">
        <v>6.8</v>
      </c>
      <c r="H9" s="0" t="n">
        <v>1183.4</v>
      </c>
      <c r="I9" s="0" t="n">
        <v>500.4</v>
      </c>
      <c r="J9" s="0" t="n">
        <v>4.2</v>
      </c>
      <c r="K9" s="0" t="n">
        <v>1.487</v>
      </c>
      <c r="L9" s="0" t="n">
        <v>910.9</v>
      </c>
      <c r="M9" s="0" t="n">
        <v>54.4</v>
      </c>
      <c r="N9" s="0" t="n">
        <v>856.5</v>
      </c>
      <c r="O9" s="0" t="n">
        <v>2787.4</v>
      </c>
      <c r="P9" s="0" t="n">
        <v>9529.2</v>
      </c>
      <c r="Q9" s="0" t="n">
        <v>6738.5</v>
      </c>
      <c r="R9" s="0" t="n">
        <v>2968.8</v>
      </c>
      <c r="S9" s="0" t="n">
        <v>1432.9</v>
      </c>
      <c r="T9" s="0" t="n">
        <v>336.5</v>
      </c>
      <c r="U9" s="0" t="n">
        <v>17.2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11845.4</v>
      </c>
      <c r="C10" s="0" t="n">
        <v>8427.7</v>
      </c>
      <c r="D10" s="0" t="n">
        <v>3417.7</v>
      </c>
      <c r="E10" s="0" t="n">
        <v>28.9</v>
      </c>
      <c r="F10" s="0" t="n">
        <v>735.3</v>
      </c>
      <c r="G10" s="0" t="n">
        <v>6.2</v>
      </c>
      <c r="H10" s="0" t="n">
        <v>1140</v>
      </c>
      <c r="I10" s="0" t="n">
        <v>459.2</v>
      </c>
      <c r="J10" s="0" t="n">
        <v>3.9</v>
      </c>
      <c r="K10" s="0" t="n">
        <v>1.409</v>
      </c>
      <c r="L10" s="0" t="n">
        <v>913</v>
      </c>
      <c r="M10" s="0" t="n">
        <v>71.5</v>
      </c>
      <c r="N10" s="0" t="n">
        <v>841.5</v>
      </c>
      <c r="O10" s="0" t="n">
        <v>2789</v>
      </c>
      <c r="P10" s="0" t="n">
        <v>8572.2</v>
      </c>
      <c r="Q10" s="0" t="n">
        <v>5779.4</v>
      </c>
      <c r="R10" s="0" t="n">
        <v>2152.9</v>
      </c>
      <c r="S10" s="0" t="n">
        <v>540.1</v>
      </c>
      <c r="T10" s="0" t="n">
        <v>325.9</v>
      </c>
      <c r="U10" s="0" t="n">
        <v>3.5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2738</v>
      </c>
    </row>
    <row r="3" customFormat="false" ht="15" hidden="false" customHeight="false" outlineLevel="0" collapsed="false">
      <c r="A3" s="0" t="s">
        <v>76</v>
      </c>
      <c r="B3" s="3" t="n">
        <v>322.3</v>
      </c>
    </row>
    <row r="4" customFormat="false" ht="15" hidden="false" customHeight="false" outlineLevel="0" collapsed="false">
      <c r="A4" s="0" t="s">
        <v>77</v>
      </c>
      <c r="B4" s="3" t="n">
        <v>1432.3</v>
      </c>
    </row>
    <row r="5" customFormat="false" ht="15" hidden="false" customHeight="false" outlineLevel="0" collapsed="false">
      <c r="A5" s="0" t="s">
        <v>78</v>
      </c>
      <c r="B5" s="3" t="n">
        <v>-250.5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11845.4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100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2</v>
      </c>
      <c r="D13" s="3" t="n">
        <v>1.5</v>
      </c>
      <c r="E13" s="3" t="n">
        <v>2.5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97</v>
      </c>
      <c r="C14" s="3" t="n">
        <v>9.65</v>
      </c>
      <c r="D14" s="3" t="n">
        <v>9.3</v>
      </c>
      <c r="E14" s="3" t="n">
        <v>9.4</v>
      </c>
      <c r="F14" s="3" t="n">
        <v>9.5</v>
      </c>
      <c r="G14" s="3" t="n">
        <v>9.5</v>
      </c>
      <c r="H14" s="3" t="n">
        <v>9.5</v>
      </c>
      <c r="I14" s="3" t="n">
        <v>9.5</v>
      </c>
      <c r="J14" s="3" t="n">
        <v>9.5</v>
      </c>
      <c r="K14" s="3" t="n">
        <v>9.5</v>
      </c>
      <c r="L14" s="3" t="n">
        <v>9.5</v>
      </c>
    </row>
    <row r="15" customFormat="false" ht="15" hidden="false" customHeight="false" outlineLevel="0" collapsed="false">
      <c r="A15" s="0" t="s">
        <v>98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99</v>
      </c>
      <c r="C16" s="3" t="n">
        <v>2.1</v>
      </c>
      <c r="D16" s="3" t="n">
        <v>2.1</v>
      </c>
      <c r="E16" s="3" t="n">
        <v>2.1</v>
      </c>
      <c r="F16" s="3" t="n">
        <v>2.1</v>
      </c>
      <c r="G16" s="3" t="n">
        <v>2.1</v>
      </c>
      <c r="H16" s="3" t="n">
        <v>2.1</v>
      </c>
      <c r="I16" s="3" t="n">
        <v>2.1</v>
      </c>
      <c r="J16" s="3" t="n">
        <v>2.1</v>
      </c>
      <c r="K16" s="3" t="n">
        <v>2.1</v>
      </c>
      <c r="L16" s="3" t="n">
        <v>2.1</v>
      </c>
    </row>
    <row r="17" customFormat="false" ht="15" hidden="false" customHeight="false" outlineLevel="0" collapsed="false">
      <c r="A17" s="0" t="s">
        <v>100</v>
      </c>
      <c r="C17" s="3" t="n">
        <v>0.5</v>
      </c>
      <c r="D17" s="3" t="n">
        <v>0.5</v>
      </c>
      <c r="E17" s="3" t="n">
        <v>0.5</v>
      </c>
      <c r="F17" s="3" t="n">
        <v>0.5</v>
      </c>
      <c r="G17" s="3" t="n">
        <v>0.5</v>
      </c>
      <c r="H17" s="3" t="n">
        <v>0.5</v>
      </c>
      <c r="I17" s="3" t="n">
        <v>0.5</v>
      </c>
      <c r="J17" s="3" t="n">
        <v>0.5</v>
      </c>
      <c r="K17" s="3" t="n">
        <v>0.5</v>
      </c>
      <c r="L17" s="3" t="n">
        <v>0.5</v>
      </c>
    </row>
    <row r="18" customFormat="false" ht="15" hidden="false" customHeight="false" outlineLevel="0" collapsed="false">
      <c r="A18" s="0" t="s">
        <v>101</v>
      </c>
      <c r="C18" s="3" t="n">
        <v>1.45</v>
      </c>
      <c r="D18" s="3" t="n">
        <v>1.45</v>
      </c>
      <c r="E18" s="3" t="n">
        <v>2.3</v>
      </c>
      <c r="F18" s="3" t="n">
        <v>2.7</v>
      </c>
      <c r="G18" s="3" t="n">
        <v>2.7</v>
      </c>
      <c r="H18" s="3" t="n">
        <v>2.7</v>
      </c>
      <c r="I18" s="3" t="n">
        <v>2.7</v>
      </c>
      <c r="J18" s="3" t="n">
        <v>2.3</v>
      </c>
      <c r="K18" s="3" t="n">
        <v>2.3</v>
      </c>
      <c r="L18" s="3" t="n">
        <v>2.3</v>
      </c>
    </row>
    <row r="19" customFormat="false" ht="15" hidden="false" customHeight="false" outlineLevel="0" collapsed="false">
      <c r="A19" s="0" t="s">
        <v>102</v>
      </c>
      <c r="C19" s="3" t="n">
        <v>25.5</v>
      </c>
      <c r="D19" s="3" t="n">
        <v>25.5</v>
      </c>
      <c r="E19" s="3" t="n">
        <v>25.5</v>
      </c>
      <c r="F19" s="3" t="n">
        <v>25.5</v>
      </c>
      <c r="G19" s="3" t="n">
        <v>25.5</v>
      </c>
      <c r="H19" s="3" t="n">
        <v>25.5</v>
      </c>
      <c r="I19" s="3" t="n">
        <v>25.5</v>
      </c>
      <c r="J19" s="3" t="n">
        <v>25.5</v>
      </c>
      <c r="K19" s="3" t="n">
        <v>25.5</v>
      </c>
      <c r="L19" s="3" t="n">
        <v>25.5</v>
      </c>
    </row>
    <row r="20" customFormat="false" ht="15" hidden="false" customHeight="false" outlineLevel="0" collapsed="false">
      <c r="A20" s="0" t="s">
        <v>103</v>
      </c>
      <c r="B20" s="3" t="n">
        <v>7.5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15</v>
      </c>
    </row>
    <row r="23" customFormat="false" ht="15" hidden="false" customHeight="false" outlineLevel="0" collapsed="false">
      <c r="A23" s="0" t="s">
        <v>106</v>
      </c>
      <c r="B23" s="3" t="n">
        <v>-4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3</v>
      </c>
      <c r="D27" s="3" t="n">
        <v>5</v>
      </c>
      <c r="E27" s="3" t="n">
        <v>5</v>
      </c>
      <c r="F27" s="3" t="n">
        <v>5</v>
      </c>
      <c r="G27" s="3" t="n">
        <v>4.5</v>
      </c>
      <c r="H27" s="3" t="n">
        <v>4.5</v>
      </c>
      <c r="I27" s="3" t="n">
        <v>4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97</v>
      </c>
      <c r="C28" s="3" t="n">
        <v>9.85</v>
      </c>
      <c r="D28" s="3" t="n">
        <v>9.95</v>
      </c>
      <c r="E28" s="3" t="n">
        <v>10.05</v>
      </c>
      <c r="F28" s="3" t="n">
        <v>10.15</v>
      </c>
      <c r="G28" s="3" t="n">
        <v>10.25</v>
      </c>
      <c r="H28" s="3" t="n">
        <v>10.3</v>
      </c>
      <c r="I28" s="3" t="n">
        <v>10.3</v>
      </c>
      <c r="J28" s="3" t="n">
        <v>10.3</v>
      </c>
      <c r="K28" s="3" t="n">
        <v>10.3</v>
      </c>
      <c r="L28" s="3" t="n">
        <v>10.3</v>
      </c>
    </row>
    <row r="29" customFormat="false" ht="15" hidden="false" customHeight="false" outlineLevel="0" collapsed="false">
      <c r="A29" s="0" t="s">
        <v>98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99</v>
      </c>
      <c r="C30" s="3" t="n">
        <v>2</v>
      </c>
      <c r="D30" s="3" t="n">
        <v>2</v>
      </c>
      <c r="E30" s="3" t="n">
        <v>2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3" t="n">
        <v>2</v>
      </c>
      <c r="L30" s="3" t="n">
        <v>2</v>
      </c>
    </row>
    <row r="31" customFormat="false" ht="15" hidden="false" customHeight="false" outlineLevel="0" collapsed="false">
      <c r="A31" s="0" t="s">
        <v>100</v>
      </c>
      <c r="C31" s="3" t="n">
        <v>0.5</v>
      </c>
      <c r="D31" s="3" t="n">
        <v>0.5</v>
      </c>
      <c r="E31" s="3" t="n">
        <v>0.5</v>
      </c>
      <c r="F31" s="3" t="n">
        <v>0.5</v>
      </c>
      <c r="G31" s="3" t="n">
        <v>0.5</v>
      </c>
      <c r="H31" s="3" t="n">
        <v>0.5</v>
      </c>
      <c r="I31" s="3" t="n">
        <v>0.5</v>
      </c>
      <c r="J31" s="3" t="n">
        <v>0.5</v>
      </c>
      <c r="K31" s="3" t="n">
        <v>0.5</v>
      </c>
      <c r="L31" s="3" t="n">
        <v>0.5</v>
      </c>
    </row>
    <row r="32" customFormat="false" ht="15" hidden="false" customHeight="false" outlineLevel="0" collapsed="false">
      <c r="A32" s="0" t="s">
        <v>101</v>
      </c>
      <c r="C32" s="3" t="n">
        <v>1.85</v>
      </c>
      <c r="D32" s="3" t="n">
        <v>3.55</v>
      </c>
      <c r="E32" s="3" t="n">
        <v>3.55</v>
      </c>
      <c r="F32" s="3" t="n">
        <v>3.55</v>
      </c>
      <c r="G32" s="3" t="n">
        <v>3.1</v>
      </c>
      <c r="H32" s="3" t="n">
        <v>3.1</v>
      </c>
      <c r="I32" s="3" t="n">
        <v>2.65</v>
      </c>
      <c r="J32" s="3" t="n">
        <v>2.65</v>
      </c>
      <c r="K32" s="3" t="n">
        <v>2.25</v>
      </c>
      <c r="L32" s="3" t="n">
        <v>1.85</v>
      </c>
    </row>
    <row r="33" customFormat="false" ht="15" hidden="false" customHeight="false" outlineLevel="0" collapsed="false">
      <c r="A33" s="0" t="s">
        <v>102</v>
      </c>
      <c r="C33" s="3" t="n">
        <v>24.5</v>
      </c>
      <c r="D33" s="3" t="n">
        <v>24.5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103</v>
      </c>
      <c r="B34" s="3" t="n">
        <v>7.5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18</v>
      </c>
    </row>
    <row r="37" customFormat="false" ht="15" hidden="false" customHeight="false" outlineLevel="0" collapsed="false">
      <c r="A37" s="0" t="s">
        <v>106</v>
      </c>
      <c r="B37" s="3" t="n">
        <v>-3.5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3.5</v>
      </c>
      <c r="D41" s="3" t="n">
        <v>6.5</v>
      </c>
      <c r="E41" s="3" t="n">
        <v>6.5</v>
      </c>
      <c r="F41" s="3" t="n">
        <v>6.5</v>
      </c>
      <c r="G41" s="3" t="n">
        <v>6</v>
      </c>
      <c r="H41" s="3" t="n">
        <v>6</v>
      </c>
      <c r="I41" s="3" t="n">
        <v>5.5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97</v>
      </c>
      <c r="C42" s="3" t="n">
        <v>9.95</v>
      </c>
      <c r="D42" s="3" t="n">
        <v>10.2</v>
      </c>
      <c r="E42" s="3" t="n">
        <v>10.45</v>
      </c>
      <c r="F42" s="3" t="n">
        <v>10.65</v>
      </c>
      <c r="G42" s="3" t="n">
        <v>10.8</v>
      </c>
      <c r="H42" s="3" t="n">
        <v>10.9</v>
      </c>
      <c r="I42" s="3" t="n">
        <v>10.9</v>
      </c>
      <c r="J42" s="3" t="n">
        <v>10.9</v>
      </c>
      <c r="K42" s="3" t="n">
        <v>10.9</v>
      </c>
      <c r="L42" s="3" t="n">
        <v>10.9</v>
      </c>
    </row>
    <row r="43" customFormat="false" ht="15" hidden="false" customHeight="false" outlineLevel="0" collapsed="false">
      <c r="A43" s="0" t="s">
        <v>98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99</v>
      </c>
      <c r="C44" s="3" t="n">
        <v>1.95</v>
      </c>
      <c r="D44" s="3" t="n">
        <v>1.95</v>
      </c>
      <c r="E44" s="3" t="n">
        <v>1.95</v>
      </c>
      <c r="F44" s="3" t="n">
        <v>1.95</v>
      </c>
      <c r="G44" s="3" t="n">
        <v>1.95</v>
      </c>
      <c r="H44" s="3" t="n">
        <v>1.95</v>
      </c>
      <c r="I44" s="3" t="n">
        <v>1.95</v>
      </c>
      <c r="J44" s="3" t="n">
        <v>1.95</v>
      </c>
      <c r="K44" s="3" t="n">
        <v>1.95</v>
      </c>
      <c r="L44" s="3" t="n">
        <v>1.95</v>
      </c>
    </row>
    <row r="45" customFormat="false" ht="15" hidden="false" customHeight="false" outlineLevel="0" collapsed="false">
      <c r="A45" s="0" t="s">
        <v>100</v>
      </c>
      <c r="C45" s="3" t="n">
        <v>0.5</v>
      </c>
      <c r="D45" s="3" t="n">
        <v>0.5</v>
      </c>
      <c r="E45" s="3" t="n">
        <v>0.5</v>
      </c>
      <c r="F45" s="3" t="n">
        <v>0.5</v>
      </c>
      <c r="G45" s="3" t="n">
        <v>0.5</v>
      </c>
      <c r="H45" s="3" t="n">
        <v>0.5</v>
      </c>
      <c r="I45" s="3" t="n">
        <v>0.5</v>
      </c>
      <c r="J45" s="3" t="n">
        <v>0.5</v>
      </c>
      <c r="K45" s="3" t="n">
        <v>0.5</v>
      </c>
      <c r="L45" s="3" t="n">
        <v>0.5</v>
      </c>
    </row>
    <row r="46" customFormat="false" ht="15" hidden="false" customHeight="false" outlineLevel="0" collapsed="false">
      <c r="A46" s="0" t="s">
        <v>101</v>
      </c>
      <c r="C46" s="3" t="n">
        <v>1.85</v>
      </c>
      <c r="D46" s="3" t="n">
        <v>3.95</v>
      </c>
      <c r="E46" s="3" t="n">
        <v>3.95</v>
      </c>
      <c r="F46" s="3" t="n">
        <v>3.95</v>
      </c>
      <c r="G46" s="3" t="n">
        <v>3.55</v>
      </c>
      <c r="H46" s="3" t="n">
        <v>3.55</v>
      </c>
      <c r="I46" s="3" t="n">
        <v>3.1</v>
      </c>
      <c r="J46" s="3" t="n">
        <v>2.65</v>
      </c>
      <c r="K46" s="3" t="n">
        <v>2.25</v>
      </c>
      <c r="L46" s="3" t="n">
        <v>1.85</v>
      </c>
    </row>
    <row r="47" customFormat="false" ht="15" hidden="false" customHeight="false" outlineLevel="0" collapsed="false">
      <c r="A47" s="0" t="s">
        <v>102</v>
      </c>
      <c r="C47" s="3" t="n">
        <v>24.5</v>
      </c>
      <c r="D47" s="3" t="n">
        <v>24.5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103</v>
      </c>
      <c r="B48" s="3" t="n">
        <v>7.5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20</v>
      </c>
    </row>
    <row r="51" customFormat="false" ht="15" hidden="false" customHeight="false" outlineLevel="0" collapsed="false">
      <c r="A51" s="0" t="s">
        <v>106</v>
      </c>
      <c r="B51" s="3" t="n">
        <v>-3.5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2</v>
      </c>
      <c r="D5" s="4" t="n">
        <f aca="false">Assumptions!D13</f>
        <v>1.5</v>
      </c>
      <c r="E5" s="4" t="n">
        <f aca="false">Assumptions!E13</f>
        <v>2.5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11845.4</v>
      </c>
      <c r="C6" s="0" t="n">
        <f aca="false">B6*(1+C5/100)</f>
        <v>12082.308</v>
      </c>
      <c r="D6" s="0" t="n">
        <f aca="false">C6*(1+D5/100)</f>
        <v>12263.54262</v>
      </c>
      <c r="E6" s="0" t="n">
        <f aca="false">D6*(1+E5/100)</f>
        <v>12570.1311855</v>
      </c>
      <c r="F6" s="0" t="n">
        <f aca="false">E6*(1+F5/100)</f>
        <v>12947.235121065</v>
      </c>
      <c r="G6" s="0" t="n">
        <f aca="false">F6*(1+G5/100)</f>
        <v>13335.6521746969</v>
      </c>
      <c r="H6" s="0" t="n">
        <f aca="false">G6*(1+H5/100)</f>
        <v>13735.7217399379</v>
      </c>
      <c r="I6" s="0" t="n">
        <f aca="false">H6*(1+I5/100)</f>
        <v>14147.793392136</v>
      </c>
      <c r="J6" s="0" t="n">
        <f aca="false">I6*(1+J5/100)</f>
        <v>14501.4882269394</v>
      </c>
      <c r="K6" s="0" t="n">
        <f aca="false">J6*(1+K5/100)</f>
        <v>14864.0254326129</v>
      </c>
      <c r="L6" s="0" t="n">
        <f aca="false">K6*(1+L5/100)</f>
        <v>15235.6260684282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9.65</v>
      </c>
      <c r="D7" s="4" t="n">
        <f aca="false">Assumptions!D14</f>
        <v>9.3</v>
      </c>
      <c r="E7" s="4" t="n">
        <f aca="false">Assumptions!E14</f>
        <v>9.4</v>
      </c>
      <c r="F7" s="4" t="n">
        <f aca="false">Assumptions!F14</f>
        <v>9.5</v>
      </c>
      <c r="G7" s="4" t="n">
        <f aca="false">Assumptions!G14</f>
        <v>9.5</v>
      </c>
      <c r="H7" s="4" t="n">
        <f aca="false">Assumptions!H14</f>
        <v>9.5</v>
      </c>
      <c r="I7" s="4" t="n">
        <f aca="false">Assumptions!I14</f>
        <v>9.5</v>
      </c>
      <c r="J7" s="4" t="n">
        <f aca="false">Assumptions!J14</f>
        <v>9.5</v>
      </c>
      <c r="K7" s="4" t="n">
        <f aca="false">Assumptions!K14</f>
        <v>9.5</v>
      </c>
      <c r="L7" s="4" t="n">
        <f aca="false">Assumptions!L14</f>
        <v>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1165.942722</v>
      </c>
      <c r="D8" s="0" t="n">
        <f aca="false">D6*D7/100</f>
        <v>1140.50946366</v>
      </c>
      <c r="E8" s="0" t="n">
        <f aca="false">E6*E7/100</f>
        <v>1181.592331437</v>
      </c>
      <c r="F8" s="0" t="n">
        <f aca="false">F6*F7/100</f>
        <v>1229.98733650117</v>
      </c>
      <c r="G8" s="0" t="n">
        <f aca="false">G6*G7/100</f>
        <v>1266.88695659621</v>
      </c>
      <c r="H8" s="0" t="n">
        <f aca="false">H6*H7/100</f>
        <v>1304.8935652941</v>
      </c>
      <c r="I8" s="0" t="n">
        <f aca="false">I6*I7/100</f>
        <v>1344.04037225292</v>
      </c>
      <c r="J8" s="0" t="n">
        <f aca="false">J6*J7/100</f>
        <v>1377.64138155924</v>
      </c>
      <c r="K8" s="0" t="n">
        <f aca="false">K6*K7/100</f>
        <v>1412.08241609822</v>
      </c>
      <c r="L8" s="0" t="n">
        <f aca="false">L6*L7/100</f>
        <v>1447.38447650068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-12.082308</v>
      </c>
      <c r="D10" s="0" t="n">
        <f aca="false">-D6*D9/100</f>
        <v>-12.26354262</v>
      </c>
      <c r="E10" s="0" t="n">
        <f aca="false">-E6*E9/100</f>
        <v>-12.5701311855</v>
      </c>
      <c r="F10" s="0" t="n">
        <f aca="false">-F6*F9/100</f>
        <v>-12.947235121065</v>
      </c>
      <c r="G10" s="0" t="n">
        <f aca="false">-G6*G9/100</f>
        <v>-13.335652174697</v>
      </c>
      <c r="H10" s="0" t="n">
        <f aca="false">-H6*H9/100</f>
        <v>-13.7357217399379</v>
      </c>
      <c r="I10" s="0" t="n">
        <f aca="false">-I6*I9/100</f>
        <v>-14.147793392136</v>
      </c>
      <c r="J10" s="0" t="n">
        <f aca="false">-J6*J9/100</f>
        <v>-14.5014882269394</v>
      </c>
      <c r="K10" s="0" t="n">
        <f aca="false">-K6*K9/100</f>
        <v>-14.8640254326129</v>
      </c>
      <c r="L10" s="0" t="n">
        <f aca="false">-L6*L9/100</f>
        <v>-15.2356260684282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900.131946</v>
      </c>
      <c r="D11" s="0" t="n">
        <f aca="false">D8+D10+D24</f>
        <v>870.71152602</v>
      </c>
      <c r="E11" s="0" t="n">
        <f aca="false">E8+E10+E24</f>
        <v>905.049445356</v>
      </c>
      <c r="F11" s="0" t="n">
        <f aca="false">F8+F10+F24</f>
        <v>945.148163837745</v>
      </c>
      <c r="G11" s="0" t="n">
        <f aca="false">G8+G10+G24</f>
        <v>973.502608752877</v>
      </c>
      <c r="H11" s="0" t="n">
        <f aca="false">H8+H10+H24</f>
        <v>1002.70768701546</v>
      </c>
      <c r="I11" s="0" t="n">
        <f aca="false">I8+I10+I24</f>
        <v>1032.78891762593</v>
      </c>
      <c r="J11" s="0" t="n">
        <f aca="false">J8+J10+J24</f>
        <v>1058.60864056658</v>
      </c>
      <c r="K11" s="0" t="n">
        <f aca="false">K8+K10+K24</f>
        <v>1085.07385658074</v>
      </c>
      <c r="L11" s="0" t="n">
        <f aca="false">L8+L10+L24</f>
        <v>1112.20070299526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-60.41154</v>
      </c>
      <c r="D12" s="4" t="n">
        <f aca="false">-D6*Assumptions!D17/100</f>
        <v>-61.3177131</v>
      </c>
      <c r="E12" s="4" t="n">
        <f aca="false">-E6*Assumptions!E17/100</f>
        <v>-62.8506559275</v>
      </c>
      <c r="F12" s="4" t="n">
        <f aca="false">-F6*Assumptions!F17/100</f>
        <v>-64.736175605325</v>
      </c>
      <c r="G12" s="4" t="n">
        <f aca="false">-G6*Assumptions!G17/100</f>
        <v>-66.6782608734848</v>
      </c>
      <c r="H12" s="4" t="n">
        <f aca="false">-H6*Assumptions!H17/100</f>
        <v>-68.6786086996893</v>
      </c>
      <c r="I12" s="4" t="n">
        <f aca="false">-I6*Assumptions!I17/100</f>
        <v>-70.73896696068</v>
      </c>
      <c r="J12" s="4" t="n">
        <f aca="false">-J6*Assumptions!J17/100</f>
        <v>-72.507441134697</v>
      </c>
      <c r="K12" s="4" t="n">
        <f aca="false">-K6*Assumptions!K17/100</f>
        <v>-74.3201271630644</v>
      </c>
      <c r="L12" s="4" t="n">
        <f aca="false">-L6*Assumptions!L17/100</f>
        <v>-76.178130342141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839.720406</v>
      </c>
      <c r="D13" s="0" t="n">
        <f aca="false">D11+D12</f>
        <v>809.39381292</v>
      </c>
      <c r="E13" s="0" t="n">
        <f aca="false">E11+E12</f>
        <v>842.1987894285</v>
      </c>
      <c r="F13" s="0" t="n">
        <f aca="false">F11+F12</f>
        <v>880.41198823242</v>
      </c>
      <c r="G13" s="0" t="n">
        <f aca="false">G11+G12</f>
        <v>906.824347879393</v>
      </c>
      <c r="H13" s="0" t="n">
        <f aca="false">H11+H12</f>
        <v>934.029078315775</v>
      </c>
      <c r="I13" s="0" t="n">
        <f aca="false">I11+I12</f>
        <v>962.049950665247</v>
      </c>
      <c r="J13" s="0" t="n">
        <f aca="false">J11+J12</f>
        <v>986.101199431878</v>
      </c>
      <c r="K13" s="0" t="n">
        <f aca="false">K11+K12</f>
        <v>1010.75372941768</v>
      </c>
      <c r="L13" s="0" t="n">
        <f aca="false">L11+L12</f>
        <v>1036.02257265312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25.5</v>
      </c>
      <c r="D14" s="4" t="n">
        <f aca="false">Assumptions!D19</f>
        <v>25.5</v>
      </c>
      <c r="E14" s="4" t="n">
        <f aca="false">Assumptions!E19</f>
        <v>25.5</v>
      </c>
      <c r="F14" s="4" t="n">
        <f aca="false">Assumptions!F19</f>
        <v>25.5</v>
      </c>
      <c r="G14" s="4" t="n">
        <f aca="false">Assumptions!G19</f>
        <v>25.5</v>
      </c>
      <c r="H14" s="4" t="n">
        <f aca="false">Assumptions!H19</f>
        <v>25.5</v>
      </c>
      <c r="I14" s="4" t="n">
        <f aca="false">Assumptions!I19</f>
        <v>25.5</v>
      </c>
      <c r="J14" s="4" t="n">
        <f aca="false">Assumptions!J19</f>
        <v>25.5</v>
      </c>
      <c r="K14" s="4" t="n">
        <f aca="false">Assumptions!K19</f>
        <v>25.5</v>
      </c>
      <c r="L14" s="4" t="n">
        <f aca="false">Assumptions!L19</f>
        <v>25.5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625.59170247</v>
      </c>
      <c r="D15" s="0" t="n">
        <f aca="false">D13-MAX(0,D13)*D14/100</f>
        <v>602.9983906254</v>
      </c>
      <c r="E15" s="0" t="n">
        <f aca="false">E13-MAX(0,E13)*E14/100</f>
        <v>627.438098124232</v>
      </c>
      <c r="F15" s="0" t="n">
        <f aca="false">F13-MAX(0,F13)*F14/100</f>
        <v>655.906931233153</v>
      </c>
      <c r="G15" s="0" t="n">
        <f aca="false">G13-MAX(0,G13)*G14/100</f>
        <v>675.584139170147</v>
      </c>
      <c r="H15" s="0" t="n">
        <f aca="false">H13-MAX(0,H13)*H14/100</f>
        <v>695.851663345252</v>
      </c>
      <c r="I15" s="0" t="n">
        <f aca="false">I13-MAX(0,I13)*I14/100</f>
        <v>716.727213245609</v>
      </c>
      <c r="J15" s="0" t="n">
        <f aca="false">J13-MAX(0,J13)*J14/100</f>
        <v>734.645393576749</v>
      </c>
      <c r="K15" s="0" t="n">
        <f aca="false">K13-MAX(0,K13)*K14/100</f>
        <v>753.011528416168</v>
      </c>
      <c r="L15" s="0" t="n">
        <f aca="false">L13-MAX(0,L13)*L14/100</f>
        <v>771.836816626572</v>
      </c>
    </row>
    <row r="16" customFormat="false" ht="15" hidden="false" customHeight="false" outlineLevel="0" collapsed="false">
      <c r="A16" s="0" t="s">
        <v>118</v>
      </c>
      <c r="C16" s="0" t="n">
        <f aca="false">-C12</f>
        <v>60.41154</v>
      </c>
      <c r="D16" s="0" t="n">
        <f aca="false">-D12</f>
        <v>61.3177131</v>
      </c>
      <c r="E16" s="0" t="n">
        <f aca="false">-E12</f>
        <v>62.8506559275</v>
      </c>
      <c r="F16" s="0" t="n">
        <f aca="false">-F12</f>
        <v>64.736175605325</v>
      </c>
      <c r="G16" s="0" t="n">
        <f aca="false">-G12</f>
        <v>66.6782608734848</v>
      </c>
      <c r="H16" s="0" t="n">
        <f aca="false">-H12</f>
        <v>68.6786086996893</v>
      </c>
      <c r="I16" s="0" t="n">
        <f aca="false">-I12</f>
        <v>70.73896696068</v>
      </c>
      <c r="J16" s="0" t="n">
        <f aca="false">-J12</f>
        <v>72.507441134697</v>
      </c>
      <c r="K16" s="0" t="n">
        <f aca="false">-K12</f>
        <v>74.3201271630644</v>
      </c>
      <c r="L16" s="0" t="n">
        <f aca="false">-L12</f>
        <v>76.178130342141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-175.193466</v>
      </c>
      <c r="D17" s="4" t="n">
        <f aca="false">-D6*Assumptions!D18/100</f>
        <v>-177.82136799</v>
      </c>
      <c r="E17" s="4" t="n">
        <f aca="false">-E6*Assumptions!E18/100</f>
        <v>-289.1130172665</v>
      </c>
      <c r="F17" s="4" t="n">
        <f aca="false">-F6*Assumptions!F18/100</f>
        <v>-349.575348268755</v>
      </c>
      <c r="G17" s="4" t="n">
        <f aca="false">-G6*Assumptions!G18/100</f>
        <v>-360.062608716818</v>
      </c>
      <c r="H17" s="4" t="n">
        <f aca="false">-H6*Assumptions!H18/100</f>
        <v>-370.864486978322</v>
      </c>
      <c r="I17" s="4" t="n">
        <f aca="false">-I6*Assumptions!I18/100</f>
        <v>-381.990421587672</v>
      </c>
      <c r="J17" s="4" t="n">
        <f aca="false">-J6*Assumptions!J18/100</f>
        <v>-333.534229219606</v>
      </c>
      <c r="K17" s="4" t="n">
        <f aca="false">-K6*Assumptions!K18/100</f>
        <v>-341.872584950096</v>
      </c>
      <c r="L17" s="4" t="n">
        <f aca="false">-L6*Assumptions!L18/100</f>
        <v>-350.419399573849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-9.47631999999998</v>
      </c>
      <c r="D18" s="4" t="n">
        <f aca="false">(D6-C6)*Assumptions!$B$23/100</f>
        <v>-7.24938479999997</v>
      </c>
      <c r="E18" s="4" t="n">
        <f aca="false">(E6-D6)*Assumptions!$B$23/100</f>
        <v>-12.2635426199999</v>
      </c>
      <c r="F18" s="4" t="n">
        <f aca="false">(F6-E6)*Assumptions!$B$23/100</f>
        <v>-15.0841574226</v>
      </c>
      <c r="G18" s="4" t="n">
        <f aca="false">(G6-F6)*Assumptions!$B$23/100</f>
        <v>-15.536682145278</v>
      </c>
      <c r="H18" s="4" t="n">
        <f aca="false">(H6-G6)*Assumptions!$B$23/100</f>
        <v>-16.0027826096363</v>
      </c>
      <c r="I18" s="4" t="n">
        <f aca="false">(I6-H6)*Assumptions!$B$23/100</f>
        <v>-16.4828660879254</v>
      </c>
      <c r="J18" s="4" t="n">
        <f aca="false">(J6-I6)*Assumptions!$B$23/100</f>
        <v>-14.1477933921359</v>
      </c>
      <c r="K18" s="4" t="n">
        <f aca="false">(K6-J6)*Assumptions!$B$23/100</f>
        <v>-14.5014882269393</v>
      </c>
      <c r="L18" s="4" t="n">
        <f aca="false">(L6-K6)*Assumptions!$B$23/100</f>
        <v>-14.8640254326128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501.33345647</v>
      </c>
      <c r="D19" s="0" t="n">
        <f aca="false">D15+D16+D17+D18</f>
        <v>479.2453509354</v>
      </c>
      <c r="E19" s="0" t="n">
        <f aca="false">E15+E16+E17+E18</f>
        <v>388.912194165233</v>
      </c>
      <c r="F19" s="0" t="n">
        <f aca="false">F15+F16+F17+F18</f>
        <v>355.983601147123</v>
      </c>
      <c r="G19" s="0" t="n">
        <f aca="false">G15+G16+G17+G18</f>
        <v>366.663109181537</v>
      </c>
      <c r="H19" s="0" t="n">
        <f aca="false">H15+H16+H17+H18</f>
        <v>377.663002456983</v>
      </c>
      <c r="I19" s="0" t="n">
        <f aca="false">I15+I16+I17+I18</f>
        <v>388.992892530692</v>
      </c>
      <c r="J19" s="0" t="n">
        <f aca="false">J15+J16+J17+J18</f>
        <v>459.470812099704</v>
      </c>
      <c r="K19" s="0" t="n">
        <f aca="false">K15+K16+K17+K18</f>
        <v>470.957582402197</v>
      </c>
      <c r="L19" s="0" t="n">
        <f aca="false">L15+L16+L17+L18</f>
        <v>482.731521962252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466.356703693023</v>
      </c>
      <c r="D21" s="0" t="n">
        <f aca="false">D19*D20</f>
        <v>414.706631420573</v>
      </c>
      <c r="E21" s="0" t="n">
        <f aca="false">E19*E20</f>
        <v>313.058981304475</v>
      </c>
      <c r="F21" s="0" t="n">
        <f aca="false">F19*F20</f>
        <v>266.560709130667</v>
      </c>
      <c r="G21" s="0" t="n">
        <f aca="false">G19*G20</f>
        <v>255.402353864732</v>
      </c>
      <c r="H21" s="0" t="n">
        <f aca="false">H19*H20</f>
        <v>244.711092540162</v>
      </c>
      <c r="I21" s="0" t="n">
        <f aca="false">I19*I20</f>
        <v>234.467372387318</v>
      </c>
      <c r="J21" s="0" t="n">
        <f aca="false">J19*J20</f>
        <v>257.626310523374</v>
      </c>
      <c r="K21" s="0" t="n">
        <f aca="false">K19*K20</f>
        <v>245.643691429264</v>
      </c>
      <c r="L21" s="0" t="n">
        <f aca="false">L19*L20</f>
        <v>234.21840345581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2.1</v>
      </c>
      <c r="D23" s="4" t="n">
        <f aca="false">Assumptions!D16</f>
        <v>2.1</v>
      </c>
      <c r="E23" s="4" t="n">
        <f aca="false">Assumptions!E16</f>
        <v>2.1</v>
      </c>
      <c r="F23" s="4" t="n">
        <f aca="false">Assumptions!F16</f>
        <v>2.1</v>
      </c>
      <c r="G23" s="4" t="n">
        <f aca="false">Assumptions!G16</f>
        <v>2.1</v>
      </c>
      <c r="H23" s="4" t="n">
        <f aca="false">Assumptions!H16</f>
        <v>2.1</v>
      </c>
      <c r="I23" s="4" t="n">
        <f aca="false">Assumptions!I16</f>
        <v>2.1</v>
      </c>
      <c r="J23" s="4" t="n">
        <f aca="false">Assumptions!J16</f>
        <v>2.1</v>
      </c>
      <c r="K23" s="4" t="n">
        <f aca="false">Assumptions!K16</f>
        <v>2.1</v>
      </c>
      <c r="L23" s="4" t="n">
        <f aca="false">Assumptions!L16</f>
        <v>2.1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-253.728468</v>
      </c>
      <c r="D24" s="0" t="n">
        <f aca="false">-D6*D23/100</f>
        <v>-257.53439502</v>
      </c>
      <c r="E24" s="0" t="n">
        <f aca="false">-E6*E23/100</f>
        <v>-263.9727548955</v>
      </c>
      <c r="F24" s="0" t="n">
        <f aca="false">-F6*F23/100</f>
        <v>-271.891937542365</v>
      </c>
      <c r="G24" s="0" t="n">
        <f aca="false">-G6*G23/100</f>
        <v>-280.048695668636</v>
      </c>
      <c r="H24" s="0" t="n">
        <f aca="false">-H6*H23/100</f>
        <v>-288.450156538695</v>
      </c>
      <c r="I24" s="0" t="n">
        <f aca="false">-I6*I23/100</f>
        <v>-297.103661234856</v>
      </c>
      <c r="J24" s="0" t="n">
        <f aca="false">-J6*J23/100</f>
        <v>-304.531252765727</v>
      </c>
      <c r="K24" s="0" t="n">
        <f aca="false">-K6*K23/100</f>
        <v>-312.14453408487</v>
      </c>
      <c r="L24" s="0" t="n">
        <f aca="false">-L6*L23/100</f>
        <v>-319.948147436992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2932.7522497494</v>
      </c>
    </row>
    <row r="31" customFormat="false" ht="15" hidden="false" customHeight="false" outlineLevel="0" collapsed="false">
      <c r="A31" s="0" t="s">
        <v>127</v>
      </c>
      <c r="B31" s="0" t="n">
        <f aca="false">L19</f>
        <v>482.731521962252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8952.47549820904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7240.97282943378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7240.97282943378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3513.27605183715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6446.02830158655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4763.22830158655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1477.88653477709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-0.460231360563519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91.6577707907735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137.092325954879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1548.86081238976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3787.58578770382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436.305667511207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3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11845.4</v>
      </c>
      <c r="C6" s="0" t="n">
        <f aca="false">B6*(1+C5/100)</f>
        <v>12200.762</v>
      </c>
      <c r="D6" s="0" t="n">
        <f aca="false">C6*(1+D5/100)</f>
        <v>12810.8001</v>
      </c>
      <c r="E6" s="0" t="n">
        <f aca="false">D6*(1+E5/100)</f>
        <v>13451.340105</v>
      </c>
      <c r="F6" s="0" t="n">
        <f aca="false">E6*(1+F5/100)</f>
        <v>14123.90711025</v>
      </c>
      <c r="G6" s="0" t="n">
        <f aca="false">F6*(1+G5/100)</f>
        <v>14759.4829302113</v>
      </c>
      <c r="H6" s="0" t="n">
        <f aca="false">G6*(1+H5/100)</f>
        <v>15423.6596620708</v>
      </c>
      <c r="I6" s="0" t="n">
        <f aca="false">H6*(1+I5/100)</f>
        <v>16040.6060485536</v>
      </c>
      <c r="J6" s="0" t="n">
        <f aca="false">I6*(1+J5/100)</f>
        <v>16682.2302904957</v>
      </c>
      <c r="K6" s="0" t="n">
        <f aca="false">J6*(1+K5/100)</f>
        <v>17266.1083506631</v>
      </c>
      <c r="L6" s="0" t="n">
        <f aca="false">K6*(1+L5/100)</f>
        <v>17784.091601183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9.85</v>
      </c>
      <c r="D7" s="4" t="n">
        <f aca="false">Assumptions!D28</f>
        <v>9.95</v>
      </c>
      <c r="E7" s="4" t="n">
        <f aca="false">Assumptions!E28</f>
        <v>10.05</v>
      </c>
      <c r="F7" s="4" t="n">
        <f aca="false">Assumptions!F28</f>
        <v>10.15</v>
      </c>
      <c r="G7" s="4" t="n">
        <f aca="false">Assumptions!G28</f>
        <v>10.25</v>
      </c>
      <c r="H7" s="4" t="n">
        <f aca="false">Assumptions!H28</f>
        <v>10.3</v>
      </c>
      <c r="I7" s="4" t="n">
        <f aca="false">Assumptions!I28</f>
        <v>10.3</v>
      </c>
      <c r="J7" s="4" t="n">
        <f aca="false">Assumptions!J28</f>
        <v>10.3</v>
      </c>
      <c r="K7" s="4" t="n">
        <f aca="false">Assumptions!K28</f>
        <v>10.3</v>
      </c>
      <c r="L7" s="4" t="n">
        <f aca="false">Assumptions!L28</f>
        <v>10.3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1201.775057</v>
      </c>
      <c r="D8" s="0" t="n">
        <f aca="false">D6*D7/100</f>
        <v>1274.67460995</v>
      </c>
      <c r="E8" s="0" t="n">
        <f aca="false">E6*E7/100</f>
        <v>1351.8596805525</v>
      </c>
      <c r="F8" s="0" t="n">
        <f aca="false">F6*F7/100</f>
        <v>1433.57657169038</v>
      </c>
      <c r="G8" s="0" t="n">
        <f aca="false">G6*G7/100</f>
        <v>1512.84700034665</v>
      </c>
      <c r="H8" s="0" t="n">
        <f aca="false">H6*H7/100</f>
        <v>1588.63694519329</v>
      </c>
      <c r="I8" s="0" t="n">
        <f aca="false">I6*I7/100</f>
        <v>1652.18242300102</v>
      </c>
      <c r="J8" s="0" t="n">
        <f aca="false">J6*J7/100</f>
        <v>1718.26971992106</v>
      </c>
      <c r="K8" s="0" t="n">
        <f aca="false">K6*K7/100</f>
        <v>1778.4091601183</v>
      </c>
      <c r="L8" s="0" t="n">
        <f aca="false">L6*L7/100</f>
        <v>1831.76143492185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-12.200762</v>
      </c>
      <c r="D10" s="0" t="n">
        <f aca="false">-D6*D9/100</f>
        <v>-12.8108001</v>
      </c>
      <c r="E10" s="0" t="n">
        <f aca="false">-E6*E9/100</f>
        <v>-13.451340105</v>
      </c>
      <c r="F10" s="0" t="n">
        <f aca="false">-F6*F9/100</f>
        <v>-14.12390711025</v>
      </c>
      <c r="G10" s="0" t="n">
        <f aca="false">-G6*G9/100</f>
        <v>-14.7594829302113</v>
      </c>
      <c r="H10" s="0" t="n">
        <f aca="false">-H6*H9/100</f>
        <v>-15.4236596620708</v>
      </c>
      <c r="I10" s="0" t="n">
        <f aca="false">-I6*I9/100</f>
        <v>-16.0406060485536</v>
      </c>
      <c r="J10" s="0" t="n">
        <f aca="false">-J6*J9/100</f>
        <v>-16.6822302904957</v>
      </c>
      <c r="K10" s="0" t="n">
        <f aca="false">-K6*K9/100</f>
        <v>-17.2661083506631</v>
      </c>
      <c r="L10" s="0" t="n">
        <f aca="false">-L6*L9/100</f>
        <v>-17.784091601183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945.559055</v>
      </c>
      <c r="D11" s="0" t="n">
        <f aca="false">D8+D10+D24</f>
        <v>1005.64780785</v>
      </c>
      <c r="E11" s="0" t="n">
        <f aca="false">E8+E10+E24</f>
        <v>1069.3815383475</v>
      </c>
      <c r="F11" s="0" t="n">
        <f aca="false">F8+F10+F24</f>
        <v>1136.97452237513</v>
      </c>
      <c r="G11" s="0" t="n">
        <f aca="false">G8+G10+G24</f>
        <v>1202.89785881222</v>
      </c>
      <c r="H11" s="0" t="n">
        <f aca="false">H8+H10+H24</f>
        <v>1264.7400922898</v>
      </c>
      <c r="I11" s="0" t="n">
        <f aca="false">I8+I10+I24</f>
        <v>1315.32969598139</v>
      </c>
      <c r="J11" s="0" t="n">
        <f aca="false">J8+J10+J24</f>
        <v>1367.94288382065</v>
      </c>
      <c r="K11" s="0" t="n">
        <f aca="false">K8+K10+K24</f>
        <v>1415.82088475437</v>
      </c>
      <c r="L11" s="0" t="n">
        <f aca="false">L8+L10+L24</f>
        <v>1458.295511297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-61.00381</v>
      </c>
      <c r="D12" s="4" t="n">
        <f aca="false">-D6*Assumptions!D31/100</f>
        <v>-64.0540005</v>
      </c>
      <c r="E12" s="4" t="n">
        <f aca="false">-E6*Assumptions!E31/100</f>
        <v>-67.256700525</v>
      </c>
      <c r="F12" s="4" t="n">
        <f aca="false">-F6*Assumptions!F31/100</f>
        <v>-70.61953555125</v>
      </c>
      <c r="G12" s="4" t="n">
        <f aca="false">-G6*Assumptions!G31/100</f>
        <v>-73.7974146510563</v>
      </c>
      <c r="H12" s="4" t="n">
        <f aca="false">-H6*Assumptions!H31/100</f>
        <v>-77.1182983103538</v>
      </c>
      <c r="I12" s="4" t="n">
        <f aca="false">-I6*Assumptions!I31/100</f>
        <v>-80.2030302427679</v>
      </c>
      <c r="J12" s="4" t="n">
        <f aca="false">-J6*Assumptions!J31/100</f>
        <v>-83.4111514524787</v>
      </c>
      <c r="K12" s="4" t="n">
        <f aca="false">-K6*Assumptions!K31/100</f>
        <v>-86.3305417533154</v>
      </c>
      <c r="L12" s="4" t="n">
        <f aca="false">-L6*Assumptions!L31/100</f>
        <v>-88.9204580059149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884.555245</v>
      </c>
      <c r="D13" s="0" t="n">
        <f aca="false">D11+D12</f>
        <v>941.59380735</v>
      </c>
      <c r="E13" s="0" t="n">
        <f aca="false">E11+E12</f>
        <v>1002.1248378225</v>
      </c>
      <c r="F13" s="0" t="n">
        <f aca="false">F11+F12</f>
        <v>1066.35498682388</v>
      </c>
      <c r="G13" s="0" t="n">
        <f aca="false">G11+G12</f>
        <v>1129.10044416116</v>
      </c>
      <c r="H13" s="0" t="n">
        <f aca="false">H11+H12</f>
        <v>1187.62179397945</v>
      </c>
      <c r="I13" s="0" t="n">
        <f aca="false">I11+I12</f>
        <v>1235.12666573863</v>
      </c>
      <c r="J13" s="0" t="n">
        <f aca="false">J11+J12</f>
        <v>1284.53173236817</v>
      </c>
      <c r="K13" s="0" t="n">
        <f aca="false">K11+K12</f>
        <v>1329.49034300106</v>
      </c>
      <c r="L13" s="0" t="n">
        <f aca="false">L11+L12</f>
        <v>1369.37505329109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24.5</v>
      </c>
      <c r="D14" s="4" t="n">
        <f aca="false">Assumptions!D33</f>
        <v>24.5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667.839209975</v>
      </c>
      <c r="D15" s="0" t="n">
        <f aca="false">D13-MAX(0,D13)*D14/100</f>
        <v>710.90332454925</v>
      </c>
      <c r="E15" s="0" t="n">
        <f aca="false">E13-MAX(0,E13)*E14/100</f>
        <v>751.593628366875</v>
      </c>
      <c r="F15" s="0" t="n">
        <f aca="false">F13-MAX(0,F13)*F14/100</f>
        <v>799.766240117906</v>
      </c>
      <c r="G15" s="0" t="n">
        <f aca="false">G13-MAX(0,G13)*G14/100</f>
        <v>846.825333120871</v>
      </c>
      <c r="H15" s="0" t="n">
        <f aca="false">H13-MAX(0,H13)*H14/100</f>
        <v>890.716345484586</v>
      </c>
      <c r="I15" s="0" t="n">
        <f aca="false">I13-MAX(0,I13)*I14/100</f>
        <v>926.34499930397</v>
      </c>
      <c r="J15" s="0" t="n">
        <f aca="false">J13-MAX(0,J13)*J14/100</f>
        <v>963.398799276129</v>
      </c>
      <c r="K15" s="0" t="n">
        <f aca="false">K13-MAX(0,K13)*K14/100</f>
        <v>997.117757250793</v>
      </c>
      <c r="L15" s="0" t="n">
        <f aca="false">L13-MAX(0,L13)*L14/100</f>
        <v>1027.03128996832</v>
      </c>
    </row>
    <row r="16" customFormat="false" ht="15" hidden="false" customHeight="false" outlineLevel="0" collapsed="false">
      <c r="A16" s="0" t="s">
        <v>118</v>
      </c>
      <c r="C16" s="0" t="n">
        <f aca="false">-C12</f>
        <v>61.00381</v>
      </c>
      <c r="D16" s="0" t="n">
        <f aca="false">-D12</f>
        <v>64.0540005</v>
      </c>
      <c r="E16" s="0" t="n">
        <f aca="false">-E12</f>
        <v>67.256700525</v>
      </c>
      <c r="F16" s="0" t="n">
        <f aca="false">-F12</f>
        <v>70.61953555125</v>
      </c>
      <c r="G16" s="0" t="n">
        <f aca="false">-G12</f>
        <v>73.7974146510563</v>
      </c>
      <c r="H16" s="0" t="n">
        <f aca="false">-H12</f>
        <v>77.1182983103538</v>
      </c>
      <c r="I16" s="0" t="n">
        <f aca="false">-I12</f>
        <v>80.2030302427679</v>
      </c>
      <c r="J16" s="0" t="n">
        <f aca="false">-J12</f>
        <v>83.4111514524787</v>
      </c>
      <c r="K16" s="0" t="n">
        <f aca="false">-K12</f>
        <v>86.3305417533154</v>
      </c>
      <c r="L16" s="0" t="n">
        <f aca="false">-L12</f>
        <v>88.9204580059149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-225.714097</v>
      </c>
      <c r="D17" s="4" t="n">
        <f aca="false">-D6*Assumptions!D32/100</f>
        <v>-454.78340355</v>
      </c>
      <c r="E17" s="4" t="n">
        <f aca="false">-E6*Assumptions!E32/100</f>
        <v>-477.5225737275</v>
      </c>
      <c r="F17" s="4" t="n">
        <f aca="false">-F6*Assumptions!F32/100</f>
        <v>-501.398702413875</v>
      </c>
      <c r="G17" s="4" t="n">
        <f aca="false">-G6*Assumptions!G32/100</f>
        <v>-457.543970836549</v>
      </c>
      <c r="H17" s="4" t="n">
        <f aca="false">-H6*Assumptions!H32/100</f>
        <v>-478.133449524193</v>
      </c>
      <c r="I17" s="4" t="n">
        <f aca="false">-I6*Assumptions!I32/100</f>
        <v>-425.07606028667</v>
      </c>
      <c r="J17" s="4" t="n">
        <f aca="false">-J6*Assumptions!J32/100</f>
        <v>-442.079102698137</v>
      </c>
      <c r="K17" s="4" t="n">
        <f aca="false">-K6*Assumptions!K32/100</f>
        <v>-388.487437889919</v>
      </c>
      <c r="L17" s="4" t="n">
        <f aca="false">-L6*Assumptions!L32/100</f>
        <v>-329.005694621885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-12.43767</v>
      </c>
      <c r="D18" s="4" t="n">
        <f aca="false">(D6-C6)*Assumptions!$B$37/100</f>
        <v>-21.3513335</v>
      </c>
      <c r="E18" s="4" t="n">
        <f aca="false">(E6-D6)*Assumptions!$B$37/100</f>
        <v>-22.418900175</v>
      </c>
      <c r="F18" s="4" t="n">
        <f aca="false">(F6-E6)*Assumptions!$B$37/100</f>
        <v>-23.53984518375</v>
      </c>
      <c r="G18" s="4" t="n">
        <f aca="false">(G6-F6)*Assumptions!$B$37/100</f>
        <v>-22.2451536986437</v>
      </c>
      <c r="H18" s="4" t="n">
        <f aca="false">(H6-G6)*Assumptions!$B$37/100</f>
        <v>-23.2461856150827</v>
      </c>
      <c r="I18" s="4" t="n">
        <f aca="false">(I6-H6)*Assumptions!$B$37/100</f>
        <v>-21.5931235268991</v>
      </c>
      <c r="J18" s="4" t="n">
        <f aca="false">(J6-I6)*Assumptions!$B$37/100</f>
        <v>-22.456848467975</v>
      </c>
      <c r="K18" s="4" t="n">
        <f aca="false">(K6-J6)*Assumptions!$B$37/100</f>
        <v>-20.4357321058572</v>
      </c>
      <c r="L18" s="4" t="n">
        <f aca="false">(L6-K6)*Assumptions!$B$37/100</f>
        <v>-18.1294137681963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490.691252975</v>
      </c>
      <c r="D19" s="0" t="n">
        <f aca="false">D15+D16+D17+D18</f>
        <v>298.82258799925</v>
      </c>
      <c r="E19" s="0" t="n">
        <f aca="false">E15+E16+E17+E18</f>
        <v>318.908854989375</v>
      </c>
      <c r="F19" s="0" t="n">
        <f aca="false">F15+F16+F17+F18</f>
        <v>345.447228071531</v>
      </c>
      <c r="G19" s="0" t="n">
        <f aca="false">G15+G16+G17+G18</f>
        <v>440.833623236734</v>
      </c>
      <c r="H19" s="0" t="n">
        <f aca="false">H15+H16+H17+H18</f>
        <v>466.455008655664</v>
      </c>
      <c r="I19" s="0" t="n">
        <f aca="false">I15+I16+I17+I18</f>
        <v>559.878845733168</v>
      </c>
      <c r="J19" s="0" t="n">
        <f aca="false">J15+J16+J17+J18</f>
        <v>582.273999562496</v>
      </c>
      <c r="K19" s="0" t="n">
        <f aca="false">K15+K16+K17+K18</f>
        <v>674.525129008332</v>
      </c>
      <c r="L19" s="0" t="n">
        <f aca="false">L15+L16+L17+L18</f>
        <v>768.816639584151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456.456979511628</v>
      </c>
      <c r="D21" s="0" t="n">
        <f aca="false">D19*D20</f>
        <v>258.580930664576</v>
      </c>
      <c r="E21" s="0" t="n">
        <f aca="false">E19*E20</f>
        <v>256.709053533903</v>
      </c>
      <c r="F21" s="0" t="n">
        <f aca="false">F19*F20</f>
        <v>258.671067389743</v>
      </c>
      <c r="G21" s="0" t="n">
        <f aca="false">G19*G20</f>
        <v>307.066465695726</v>
      </c>
      <c r="H21" s="0" t="n">
        <f aca="false">H19*H20</f>
        <v>302.244895704233</v>
      </c>
      <c r="I21" s="0" t="n">
        <f aca="false">I19*I20</f>
        <v>337.469718174717</v>
      </c>
      <c r="J21" s="0" t="n">
        <f aca="false">J19*J20</f>
        <v>326.482332001587</v>
      </c>
      <c r="K21" s="0" t="n">
        <f aca="false">K19*K20</f>
        <v>351.821159362725</v>
      </c>
      <c r="L21" s="0" t="n">
        <f aca="false">L19*L20</f>
        <v>373.025165503365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2</v>
      </c>
      <c r="D23" s="4" t="n">
        <f aca="false">Assumptions!D30</f>
        <v>2</v>
      </c>
      <c r="E23" s="4" t="n">
        <f aca="false">Assumptions!E30</f>
        <v>2</v>
      </c>
      <c r="F23" s="4" t="n">
        <f aca="false">Assumptions!F30</f>
        <v>2</v>
      </c>
      <c r="G23" s="4" t="n">
        <f aca="false">Assumptions!G30</f>
        <v>2</v>
      </c>
      <c r="H23" s="4" t="n">
        <f aca="false">Assumptions!H30</f>
        <v>2</v>
      </c>
      <c r="I23" s="4" t="n">
        <f aca="false">Assumptions!I30</f>
        <v>2</v>
      </c>
      <c r="J23" s="4" t="n">
        <f aca="false">Assumptions!J30</f>
        <v>2</v>
      </c>
      <c r="K23" s="4" t="n">
        <f aca="false">Assumptions!K30</f>
        <v>2</v>
      </c>
      <c r="L23" s="4" t="n">
        <f aca="false">Assumptions!L30</f>
        <v>2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-244.01524</v>
      </c>
      <c r="D24" s="0" t="n">
        <f aca="false">-D6*D23/100</f>
        <v>-256.216002</v>
      </c>
      <c r="E24" s="0" t="n">
        <f aca="false">-E6*E23/100</f>
        <v>-269.0268021</v>
      </c>
      <c r="F24" s="0" t="n">
        <f aca="false">-F6*F23/100</f>
        <v>-282.478142205</v>
      </c>
      <c r="G24" s="0" t="n">
        <f aca="false">-G6*G23/100</f>
        <v>-295.189658604225</v>
      </c>
      <c r="H24" s="0" t="n">
        <f aca="false">-H6*H23/100</f>
        <v>-308.473193241415</v>
      </c>
      <c r="I24" s="0" t="n">
        <f aca="false">-I6*I23/100</f>
        <v>-320.812120971072</v>
      </c>
      <c r="J24" s="0" t="n">
        <f aca="false">-J6*J23/100</f>
        <v>-333.644605809915</v>
      </c>
      <c r="K24" s="0" t="n">
        <f aca="false">-K6*K23/100</f>
        <v>-345.322167013262</v>
      </c>
      <c r="L24" s="0" t="n">
        <f aca="false">-L6*L23/100</f>
        <v>-355.681832023659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3228.5277675422</v>
      </c>
    </row>
    <row r="31" customFormat="false" ht="15" hidden="false" customHeight="false" outlineLevel="0" collapsed="false">
      <c r="A31" s="0" t="s">
        <v>127</v>
      </c>
      <c r="B31" s="0" t="n">
        <f aca="false">L19</f>
        <v>768.816639584151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15760.7411114751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13838.6995125147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13838.6995125147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6714.45297906057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9942.98074660277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8260.18074660278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2562.88574204244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-0.06395699706266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100.770487572629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176.889031937646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2649.03514306952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6304.29644459003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663.607163796576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3.5</v>
      </c>
      <c r="D5" s="4" t="n">
        <f aca="false">Assumptions!D41</f>
        <v>6.5</v>
      </c>
      <c r="E5" s="4" t="n">
        <f aca="false">Assumptions!E41</f>
        <v>6.5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11845.4</v>
      </c>
      <c r="C6" s="0" t="n">
        <f aca="false">B6*(1+C5/100)</f>
        <v>12259.989</v>
      </c>
      <c r="D6" s="0" t="n">
        <f aca="false">C6*(1+D5/100)</f>
        <v>13056.888285</v>
      </c>
      <c r="E6" s="0" t="n">
        <f aca="false">D6*(1+E5/100)</f>
        <v>13905.586023525</v>
      </c>
      <c r="F6" s="0" t="n">
        <f aca="false">E6*(1+F5/100)</f>
        <v>14809.4491150541</v>
      </c>
      <c r="G6" s="0" t="n">
        <f aca="false">F6*(1+G5/100)</f>
        <v>15698.0160619574</v>
      </c>
      <c r="H6" s="0" t="n">
        <f aca="false">G6*(1+H5/100)</f>
        <v>16639.8970256748</v>
      </c>
      <c r="I6" s="0" t="n">
        <f aca="false">H6*(1+I5/100)</f>
        <v>17555.0913620869</v>
      </c>
      <c r="J6" s="0" t="n">
        <f aca="false">I6*(1+J5/100)</f>
        <v>18432.8459301913</v>
      </c>
      <c r="K6" s="0" t="n">
        <f aca="false">J6*(1+K5/100)</f>
        <v>19262.3239970499</v>
      </c>
      <c r="L6" s="0" t="n">
        <f aca="false">K6*(1+L5/100)</f>
        <v>20032.8169569319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9.95</v>
      </c>
      <c r="D7" s="4" t="n">
        <f aca="false">Assumptions!D42</f>
        <v>10.2</v>
      </c>
      <c r="E7" s="4" t="n">
        <f aca="false">Assumptions!E42</f>
        <v>10.45</v>
      </c>
      <c r="F7" s="4" t="n">
        <f aca="false">Assumptions!F42</f>
        <v>10.65</v>
      </c>
      <c r="G7" s="4" t="n">
        <f aca="false">Assumptions!G42</f>
        <v>10.8</v>
      </c>
      <c r="H7" s="4" t="n">
        <f aca="false">Assumptions!H42</f>
        <v>10.9</v>
      </c>
      <c r="I7" s="4" t="n">
        <f aca="false">Assumptions!I42</f>
        <v>10.9</v>
      </c>
      <c r="J7" s="4" t="n">
        <f aca="false">Assumptions!J42</f>
        <v>10.9</v>
      </c>
      <c r="K7" s="4" t="n">
        <f aca="false">Assumptions!K42</f>
        <v>10.9</v>
      </c>
      <c r="L7" s="4" t="n">
        <f aca="false">Assumptions!L42</f>
        <v>10.9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1219.8689055</v>
      </c>
      <c r="D8" s="0" t="n">
        <f aca="false">D6*D7/100</f>
        <v>1331.80260507</v>
      </c>
      <c r="E8" s="0" t="n">
        <f aca="false">E6*E7/100</f>
        <v>1453.13373945836</v>
      </c>
      <c r="F8" s="0" t="n">
        <f aca="false">F6*F7/100</f>
        <v>1577.20633075326</v>
      </c>
      <c r="G8" s="0" t="n">
        <f aca="false">G6*G7/100</f>
        <v>1695.3857346914</v>
      </c>
      <c r="H8" s="0" t="n">
        <f aca="false">H6*H7/100</f>
        <v>1813.74877579855</v>
      </c>
      <c r="I8" s="0" t="n">
        <f aca="false">I6*I7/100</f>
        <v>1913.50495846747</v>
      </c>
      <c r="J8" s="0" t="n">
        <f aca="false">J6*J7/100</f>
        <v>2009.18020639085</v>
      </c>
      <c r="K8" s="0" t="n">
        <f aca="false">K6*K7/100</f>
        <v>2099.59331567844</v>
      </c>
      <c r="L8" s="0" t="n">
        <f aca="false">L6*L7/100</f>
        <v>2183.57704830557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-12.259989</v>
      </c>
      <c r="D10" s="0" t="n">
        <f aca="false">-D6*D9/100</f>
        <v>-13.056888285</v>
      </c>
      <c r="E10" s="0" t="n">
        <f aca="false">-E6*E9/100</f>
        <v>-13.905586023525</v>
      </c>
      <c r="F10" s="0" t="n">
        <f aca="false">-F6*F9/100</f>
        <v>-14.8094491150541</v>
      </c>
      <c r="G10" s="0" t="n">
        <f aca="false">-G6*G9/100</f>
        <v>-15.6980160619574</v>
      </c>
      <c r="H10" s="0" t="n">
        <f aca="false">-H6*H9/100</f>
        <v>-16.6398970256748</v>
      </c>
      <c r="I10" s="0" t="n">
        <f aca="false">-I6*I9/100</f>
        <v>-17.5550913620869</v>
      </c>
      <c r="J10" s="0" t="n">
        <f aca="false">-J6*J9/100</f>
        <v>-18.4328459301913</v>
      </c>
      <c r="K10" s="0" t="n">
        <f aca="false">-K6*K9/100</f>
        <v>-19.2623239970499</v>
      </c>
      <c r="L10" s="0" t="n">
        <f aca="false">-L6*L9/100</f>
        <v>-20.0328169569319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968.539131</v>
      </c>
      <c r="D11" s="0" t="n">
        <f aca="false">D8+D10+D24</f>
        <v>1064.1363952275</v>
      </c>
      <c r="E11" s="0" t="n">
        <f aca="false">E8+E10+E24</f>
        <v>1168.0692259761</v>
      </c>
      <c r="F11" s="0" t="n">
        <f aca="false">F8+F10+F24</f>
        <v>1273.61262389465</v>
      </c>
      <c r="G11" s="0" t="n">
        <f aca="false">G8+G10+G24</f>
        <v>1373.57640542127</v>
      </c>
      <c r="H11" s="0" t="n">
        <f aca="false">H8+H10+H24</f>
        <v>1472.63088677222</v>
      </c>
      <c r="I11" s="0" t="n">
        <f aca="false">I8+I10+I24</f>
        <v>1553.62558554469</v>
      </c>
      <c r="J11" s="0" t="n">
        <f aca="false">J8+J10+J24</f>
        <v>1631.30686482193</v>
      </c>
      <c r="K11" s="0" t="n">
        <f aca="false">K8+K10+K24</f>
        <v>1704.71567373891</v>
      </c>
      <c r="L11" s="0" t="n">
        <f aca="false">L8+L10+L24</f>
        <v>1772.90430068847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-61.299945</v>
      </c>
      <c r="D12" s="4" t="n">
        <f aca="false">-D6*Assumptions!D45/100</f>
        <v>-65.284441425</v>
      </c>
      <c r="E12" s="4" t="n">
        <f aca="false">-E6*Assumptions!E45/100</f>
        <v>-69.527930117625</v>
      </c>
      <c r="F12" s="4" t="n">
        <f aca="false">-F6*Assumptions!F45/100</f>
        <v>-74.0472455752706</v>
      </c>
      <c r="G12" s="4" t="n">
        <f aca="false">-G6*Assumptions!G45/100</f>
        <v>-78.4900803097869</v>
      </c>
      <c r="H12" s="4" t="n">
        <f aca="false">-H6*Assumptions!H45/100</f>
        <v>-83.1994851283741</v>
      </c>
      <c r="I12" s="4" t="n">
        <f aca="false">-I6*Assumptions!I45/100</f>
        <v>-87.7754568104346</v>
      </c>
      <c r="J12" s="4" t="n">
        <f aca="false">-J6*Assumptions!J45/100</f>
        <v>-92.1642296509564</v>
      </c>
      <c r="K12" s="4" t="n">
        <f aca="false">-K6*Assumptions!K45/100</f>
        <v>-96.3116199852494</v>
      </c>
      <c r="L12" s="4" t="n">
        <f aca="false">-L6*Assumptions!L45/100</f>
        <v>-100.164084784659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907.239186</v>
      </c>
      <c r="D13" s="0" t="n">
        <f aca="false">D11+D12</f>
        <v>998.8519538025</v>
      </c>
      <c r="E13" s="0" t="n">
        <f aca="false">E11+E12</f>
        <v>1098.54129585847</v>
      </c>
      <c r="F13" s="0" t="n">
        <f aca="false">F11+F12</f>
        <v>1199.56537831938</v>
      </c>
      <c r="G13" s="0" t="n">
        <f aca="false">G11+G12</f>
        <v>1295.08632511148</v>
      </c>
      <c r="H13" s="0" t="n">
        <f aca="false">H11+H12</f>
        <v>1389.43140164385</v>
      </c>
      <c r="I13" s="0" t="n">
        <f aca="false">I11+I12</f>
        <v>1465.85012873426</v>
      </c>
      <c r="J13" s="0" t="n">
        <f aca="false">J11+J12</f>
        <v>1539.14263517097</v>
      </c>
      <c r="K13" s="0" t="n">
        <f aca="false">K11+K12</f>
        <v>1608.40405375367</v>
      </c>
      <c r="L13" s="0" t="n">
        <f aca="false">L11+L12</f>
        <v>1672.74021590381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684.96558543</v>
      </c>
      <c r="D15" s="0" t="n">
        <f aca="false">D13-MAX(0,D13)*D14/100</f>
        <v>754.133225120888</v>
      </c>
      <c r="E15" s="0" t="n">
        <f aca="false">E13-MAX(0,E13)*E14/100</f>
        <v>823.905971893856</v>
      </c>
      <c r="F15" s="0" t="n">
        <f aca="false">F13-MAX(0,F13)*F14/100</f>
        <v>899.674033739538</v>
      </c>
      <c r="G15" s="0" t="n">
        <f aca="false">G13-MAX(0,G13)*G14/100</f>
        <v>971.314743833612</v>
      </c>
      <c r="H15" s="0" t="n">
        <f aca="false">H13-MAX(0,H13)*H14/100</f>
        <v>1042.07355123289</v>
      </c>
      <c r="I15" s="0" t="n">
        <f aca="false">I13-MAX(0,I13)*I14/100</f>
        <v>1099.38759655069</v>
      </c>
      <c r="J15" s="0" t="n">
        <f aca="false">J13-MAX(0,J13)*J14/100</f>
        <v>1154.35697637823</v>
      </c>
      <c r="K15" s="0" t="n">
        <f aca="false">K13-MAX(0,K13)*K14/100</f>
        <v>1206.30304031525</v>
      </c>
      <c r="L15" s="0" t="n">
        <f aca="false">L13-MAX(0,L13)*L14/100</f>
        <v>1254.55516192786</v>
      </c>
    </row>
    <row r="16" customFormat="false" ht="15" hidden="false" customHeight="false" outlineLevel="0" collapsed="false">
      <c r="A16" s="0" t="s">
        <v>118</v>
      </c>
      <c r="C16" s="0" t="n">
        <f aca="false">-C12</f>
        <v>61.299945</v>
      </c>
      <c r="D16" s="0" t="n">
        <f aca="false">-D12</f>
        <v>65.284441425</v>
      </c>
      <c r="E16" s="0" t="n">
        <f aca="false">-E12</f>
        <v>69.527930117625</v>
      </c>
      <c r="F16" s="0" t="n">
        <f aca="false">-F12</f>
        <v>74.0472455752706</v>
      </c>
      <c r="G16" s="0" t="n">
        <f aca="false">-G12</f>
        <v>78.4900803097869</v>
      </c>
      <c r="H16" s="0" t="n">
        <f aca="false">-H12</f>
        <v>83.1994851283741</v>
      </c>
      <c r="I16" s="0" t="n">
        <f aca="false">-I12</f>
        <v>87.7754568104346</v>
      </c>
      <c r="J16" s="0" t="n">
        <f aca="false">-J12</f>
        <v>92.1642296509564</v>
      </c>
      <c r="K16" s="0" t="n">
        <f aca="false">-K12</f>
        <v>96.3116199852494</v>
      </c>
      <c r="L16" s="0" t="n">
        <f aca="false">-L12</f>
        <v>100.164084784659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-226.8097965</v>
      </c>
      <c r="D17" s="4" t="n">
        <f aca="false">-D6*Assumptions!D46/100</f>
        <v>-515.7470872575</v>
      </c>
      <c r="E17" s="4" t="n">
        <f aca="false">-E6*Assumptions!E46/100</f>
        <v>-549.270647929238</v>
      </c>
      <c r="F17" s="4" t="n">
        <f aca="false">-F6*Assumptions!F46/100</f>
        <v>-584.973240044638</v>
      </c>
      <c r="G17" s="4" t="n">
        <f aca="false">-G6*Assumptions!G46/100</f>
        <v>-557.279570199487</v>
      </c>
      <c r="H17" s="4" t="n">
        <f aca="false">-H6*Assumptions!H46/100</f>
        <v>-590.716344411456</v>
      </c>
      <c r="I17" s="4" t="n">
        <f aca="false">-I6*Assumptions!I46/100</f>
        <v>-544.207832224695</v>
      </c>
      <c r="J17" s="4" t="n">
        <f aca="false">-J6*Assumptions!J46/100</f>
        <v>-488.470417150069</v>
      </c>
      <c r="K17" s="4" t="n">
        <f aca="false">-K6*Assumptions!K46/100</f>
        <v>-433.402289933622</v>
      </c>
      <c r="L17" s="4" t="n">
        <f aca="false">-L6*Assumptions!L46/100</f>
        <v>-370.60711370324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-14.510615</v>
      </c>
      <c r="D18" s="4" t="n">
        <f aca="false">(D6-C6)*Assumptions!$B$51/100</f>
        <v>-27.891474975</v>
      </c>
      <c r="E18" s="4" t="n">
        <f aca="false">(E6-D6)*Assumptions!$B$51/100</f>
        <v>-29.704420848375</v>
      </c>
      <c r="F18" s="4" t="n">
        <f aca="false">(F6-E6)*Assumptions!$B$51/100</f>
        <v>-31.6352082035193</v>
      </c>
      <c r="G18" s="4" t="n">
        <f aca="false">(G6-F6)*Assumptions!$B$51/100</f>
        <v>-31.0998431416137</v>
      </c>
      <c r="H18" s="4" t="n">
        <f aca="false">(H6-G6)*Assumptions!$B$51/100</f>
        <v>-32.9658337301105</v>
      </c>
      <c r="I18" s="4" t="n">
        <f aca="false">(I6-H6)*Assumptions!$B$51/100</f>
        <v>-32.031801774424</v>
      </c>
      <c r="J18" s="4" t="n">
        <f aca="false">(J6-I6)*Assumptions!$B$51/100</f>
        <v>-30.7214098836522</v>
      </c>
      <c r="K18" s="4" t="n">
        <f aca="false">(K6-J6)*Assumptions!$B$51/100</f>
        <v>-29.0317323400512</v>
      </c>
      <c r="L18" s="4" t="n">
        <f aca="false">(L6-K6)*Assumptions!$B$51/100</f>
        <v>-26.9672535958698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504.94511893</v>
      </c>
      <c r="D19" s="0" t="n">
        <f aca="false">D15+D16+D17+D18</f>
        <v>275.779104313387</v>
      </c>
      <c r="E19" s="0" t="n">
        <f aca="false">E15+E16+E17+E18</f>
        <v>314.458833233868</v>
      </c>
      <c r="F19" s="0" t="n">
        <f aca="false">F15+F16+F17+F18</f>
        <v>357.112831066651</v>
      </c>
      <c r="G19" s="0" t="n">
        <f aca="false">G15+G16+G17+G18</f>
        <v>461.425410802299</v>
      </c>
      <c r="H19" s="0" t="n">
        <f aca="false">H15+H16+H17+H18</f>
        <v>501.590858219693</v>
      </c>
      <c r="I19" s="0" t="n">
        <f aca="false">I15+I16+I17+I18</f>
        <v>610.92341936201</v>
      </c>
      <c r="J19" s="0" t="n">
        <f aca="false">J15+J16+J17+J18</f>
        <v>727.329378995464</v>
      </c>
      <c r="K19" s="0" t="n">
        <f aca="false">K15+K16+K17+K18</f>
        <v>840.180638026825</v>
      </c>
      <c r="L19" s="0" t="n">
        <f aca="false">L15+L16+L17+L18</f>
        <v>957.144879413408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469.716389702326</v>
      </c>
      <c r="D21" s="0" t="n">
        <f aca="false">D19*D20</f>
        <v>238.640652731974</v>
      </c>
      <c r="E21" s="0" t="n">
        <f aca="false">E19*E20</f>
        <v>253.12696148726</v>
      </c>
      <c r="F21" s="0" t="n">
        <f aca="false">F19*F20</f>
        <v>267.40627709265</v>
      </c>
      <c r="G21" s="0" t="n">
        <f aca="false">G19*G20</f>
        <v>321.40985308004</v>
      </c>
      <c r="H21" s="0" t="n">
        <f aca="false">H19*H20</f>
        <v>325.011574140307</v>
      </c>
      <c r="I21" s="0" t="n">
        <f aca="false">I19*I20</f>
        <v>368.237085093744</v>
      </c>
      <c r="J21" s="0" t="n">
        <f aca="false">J19*J20</f>
        <v>407.815207215377</v>
      </c>
      <c r="K21" s="0" t="n">
        <f aca="false">K19*K20</f>
        <v>438.224335065596</v>
      </c>
      <c r="L21" s="0" t="n">
        <f aca="false">L19*L20</f>
        <v>464.400883996223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1.95</v>
      </c>
      <c r="D23" s="4" t="n">
        <f aca="false">Assumptions!D44</f>
        <v>1.95</v>
      </c>
      <c r="E23" s="4" t="n">
        <f aca="false">Assumptions!E44</f>
        <v>1.95</v>
      </c>
      <c r="F23" s="4" t="n">
        <f aca="false">Assumptions!F44</f>
        <v>1.95</v>
      </c>
      <c r="G23" s="4" t="n">
        <f aca="false">Assumptions!G44</f>
        <v>1.95</v>
      </c>
      <c r="H23" s="4" t="n">
        <f aca="false">Assumptions!H44</f>
        <v>1.95</v>
      </c>
      <c r="I23" s="4" t="n">
        <f aca="false">Assumptions!I44</f>
        <v>1.95</v>
      </c>
      <c r="J23" s="4" t="n">
        <f aca="false">Assumptions!J44</f>
        <v>1.95</v>
      </c>
      <c r="K23" s="4" t="n">
        <f aca="false">Assumptions!K44</f>
        <v>1.95</v>
      </c>
      <c r="L23" s="4" t="n">
        <f aca="false">Assumptions!L44</f>
        <v>1.95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-239.0697855</v>
      </c>
      <c r="D24" s="0" t="n">
        <f aca="false">-D6*D23/100</f>
        <v>-254.6093215575</v>
      </c>
      <c r="E24" s="0" t="n">
        <f aca="false">-E6*E23/100</f>
        <v>-271.158927458738</v>
      </c>
      <c r="F24" s="0" t="n">
        <f aca="false">-F6*F23/100</f>
        <v>-288.784257743555</v>
      </c>
      <c r="G24" s="0" t="n">
        <f aca="false">-G6*G23/100</f>
        <v>-306.111313208169</v>
      </c>
      <c r="H24" s="0" t="n">
        <f aca="false">-H6*H23/100</f>
        <v>-324.477992000659</v>
      </c>
      <c r="I24" s="0" t="n">
        <f aca="false">-I6*I23/100</f>
        <v>-342.324281560695</v>
      </c>
      <c r="J24" s="0" t="n">
        <f aca="false">-J6*J23/100</f>
        <v>-359.44049563873</v>
      </c>
      <c r="K24" s="0" t="n">
        <f aca="false">-K6*K23/100</f>
        <v>-375.615317942473</v>
      </c>
      <c r="L24" s="0" t="n">
        <f aca="false">-L6*L23/100</f>
        <v>-390.639930660172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3553.9892196055</v>
      </c>
    </row>
    <row r="31" customFormat="false" ht="15" hidden="false" customHeight="false" outlineLevel="0" collapsed="false">
      <c r="A31" s="0" t="s">
        <v>127</v>
      </c>
      <c r="B31" s="0" t="n">
        <f aca="false">L19</f>
        <v>957.144879413408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21907.9827954625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19142.8975882682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19142.8975882682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9288.01767992446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12842.00689953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11159.20689953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3462.36639762022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0.264560408188538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107.386031744202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222.475448642362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3564.71249764707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8215.49354829842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867.395844549167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1477.88653477709</v>
      </c>
      <c r="C4" s="0" t="n">
        <f aca="false">B4/Assumptions!$B$2-1</f>
        <v>-0.460231360563519</v>
      </c>
      <c r="D4" s="4" t="n">
        <f aca="false">Assumptions!$B$24</f>
        <v>0.25</v>
      </c>
      <c r="E4" s="4" t="n">
        <f aca="false">DCF_Bear!$B$43</f>
        <v>1548.86081238976</v>
      </c>
      <c r="F4" s="4" t="n">
        <f aca="false">DCF_Bear!$B$47</f>
        <v>436.305667511207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2562.88574204244</v>
      </c>
      <c r="C5" s="0" t="n">
        <f aca="false">B5/Assumptions!$B$2-1</f>
        <v>-0.06395699706266</v>
      </c>
      <c r="D5" s="4" t="n">
        <f aca="false">Assumptions!$B$38</f>
        <v>0.5</v>
      </c>
      <c r="E5" s="4" t="n">
        <f aca="false">DCF_Base!$B$43</f>
        <v>2649.03514306952</v>
      </c>
      <c r="F5" s="4" t="n">
        <f aca="false">DCF_Base!$B$47</f>
        <v>663.607163796576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3462.36639762022</v>
      </c>
      <c r="C6" s="0" t="n">
        <f aca="false">B6/Assumptions!$B$2-1</f>
        <v>0.264560408188538</v>
      </c>
      <c r="D6" s="4" t="n">
        <f aca="false">Assumptions!$B$52</f>
        <v>0.25</v>
      </c>
      <c r="E6" s="4" t="n">
        <f aca="false">DCF_Bull!$B$43</f>
        <v>3564.71249764707</v>
      </c>
      <c r="F6" s="4" t="n">
        <f aca="false">DCF_Bull!$B$47</f>
        <v>867.395844549167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2516.50610412054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2602.91089904397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-0.0880164349757708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256.344449490052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657.728959913382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2562.88574204244</v>
      </c>
      <c r="C15" s="3" t="n">
        <v>7.5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1994.87877340681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1618.1191171814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1332.74398348701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1109.69543642087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663.607163796576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3105.61619723914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3105.61619723914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3105.61619723914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3105.61619723914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3105.61619723914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2820.9682075623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2820.9682075623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2820.9682075623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2820.9682075623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2820.9682075623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2437.50237376382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2562.88574204244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2562.88574204244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2562.88574204244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2562.88574204244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1959.3644953864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2085.15661431882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2231.91408640663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2328.62523160735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2328.62523160735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1604.39808067908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1692.23035937272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1792.61010645118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1908.4328915417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2043.5594741473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2026-10-09T22:42:56Z</dcterms:created>
  <dc:creator>openpyxl</dc:creator>
  <dc:description/>
  <dc:language>en-NZ</dc:language>
  <cp:lastModifiedBy/>
  <dcterms:modified xsi:type="dcterms:W3CDTF">2026-10-09T22:42:56Z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