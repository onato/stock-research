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<sst xmlns="http://schemas.openxmlformats.org/spreadsheetml/2006/main" count="358" uniqueCount="167">
  <si>
    <t xml:space="preserve">Ticker</t>
  </si>
  <si>
    <t xml:space="preserve">3908.HK</t>
  </si>
  <si>
    <t xml:space="preserve">Company</t>
  </si>
  <si>
    <t xml:space="preserve">China International Capital Corporation Limited (CICC)</t>
  </si>
  <si>
    <t xml:space="preserve">Valuation date</t>
  </si>
  <si>
    <t xml:space="preserve">2026-10-23</t>
  </si>
  <si>
    <t xml:space="preserve">Current price</t>
  </si>
  <si>
    <t xml:space="preserve">Price as of</t>
  </si>
  <si>
    <t xml:space="preserve">2026-10-22T08:08:34Z (HKEX regular close 16:08 HKT)</t>
  </si>
  <si>
    <t xml:space="preserve">Balance sheet date</t>
  </si>
  <si>
    <t xml:space="preserve">2026-06-30</t>
  </si>
  <si>
    <t xml:space="preserve">Model</t>
  </si>
  <si>
    <t xml:space="preserve">Securities broker FCFE at cost of equity (engine route), net debt zero, regulatory-capital retention charged as capex, perpetual-bond and NCI distributions charged in the tax line, pro forma for the Dongxing/Cinda merger by absorption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</si>
  <si>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</si>
  <si>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</si>
  <si>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</si>
  <si>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</si>
  <si>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</si>
  <si>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</si>
  <si>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</si>
  <si>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</si>
  <si>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</si>
  <si>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2026-10-22T15:16:09Z</t>
  </si>
  <si>
    <t xml:space="preserve">Drivers file</t>
  </si>
  <si>
    <t xml:space="preserve">3908.HK_Drivers.json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</si>
  <si>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</si>
  <si>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</si>
  <si>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</si>
  <si>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securities firm is valued on the cash it can distribute to ordinary shareholders after funding the regulatory capital its balance sheet needs, discounted at the cost of equity; reported operating cash flow and 'net debt' are trading-book noise and are not used. The valuation is pro forma for the approved Dongxing/Cinda merger, which is dilutive to the H share on tangible book (~-11%) and earnings per share (~-19%) because it is struck at A-share valuations ~2x the H share's. The H share's ~0.7x tangible book and ~5x peak EPS already discount a cyclical reset; what it does not discount is a long downturn plus integration drag, which is why the bear carries 30%.
key_risks_to_valuation: Target financials (Dongxing, Cinda) and the post-merger share count are estimates from outside this folder's filings; the FY2026 annual report and completion announcement will reset base_revenue, last_fcf and shares_outstanding; Cyclicality: FY2026E revenue and margin are at a record; every scenario assumes some reset, and the timing of the next downturn dominates the base/bear split; Integration of two separately licensed, listed brokerages at once (IT, risk control, branch network, personnel) could depress margins for longer than the bear's two years; Distributable FCFE is modelled at 55-70% of ordinary earnings but CICC has paid out only 9-15%; if retention stays at that level without proportionate balance-sheet growth, ROE keeps diluting and the terminal P/B falls; RMB29.8bn of parent perpetuals plus RMB8bn of subsidiary perpetuals rank ahead of ordinary equity; further issuance to fund growth would raise the fixed charge in the tax line; A/H premium of ~104%: the model values the share on CNY flows converted at spot; a narrowing or widening of the premium moves the H share independently of fundamentals; No SBC and no buyback: house and street values coincide, so the band is degenerate (band_position null)</t>
  </si>
  <si>
    <t xml:space="preserve">Data sources</t>
  </si>
  <si>
    <t xml:space="preserve">price: Yahoo Finance chart API at inputs.price_as_of; 52-week range 16.91-23.72 HKD. A-share reference 601995.SS same source, same day.
financials: research/3908.HK/Reports/3908.HK_Metrics.csv (core_metrics, CNY millions) FY2017-H1 FY2026; H1 2026 interim report (3908.HK_HalfYear_H1-2026.txt) for PBT, tax, NCI, perpetuals, share capital and merger terms; FY2025 annual report for dividend policy and FY2025 lines.
qualitative: research/3908.HK/Reports/3908.HK_Analysis.json (2026-10-23); its reading that the H1 2026 NCI rise reflects merger consolidation is corrected in inputs.nci_treatment (it is subsidiary perpetual bonds).
fx: CNYHKD=X Yahoo Finance, 2026-10-22</t>
  </si>
  <si>
    <t xml:space="preserve">Scenario narrative: bear</t>
  </si>
  <si>
    <t xml:space="preserve">FY2022-24-style downturn plus integration disruption: revenue -26% over two years, margin trough 21%, ROE ~5%, CoE 12%, terminal growth 2.5%.</t>
  </si>
  <si>
    <t xml:space="preserve">Scenario narrative: base</t>
  </si>
  <si>
    <t xml:space="preserve">Normal post-peak cycle for the merged CICC/Dongxing/Cinda: revenue -10% over FY2027-28, then 3-4% growth at a 29-30% pre-tax margin; 3-4% of equity retained a year for net capital; CoE 11%, terminal growth 3%, terminal ROE ~8% and P/B ~0.6x.</t>
  </si>
  <si>
    <t xml:space="preserve">Scenario narrative: bull</t>
  </si>
  <si>
    <t xml:space="preserve">Prolonged capital-markets upcycle and real merger synergies: 33% margin, 4-6% growth, ROE ~10%, CoE 10.5%, terminal growth 3.5%.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</si>
  <si>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</si>
  <si>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</si>
  <si>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</si>
  <si>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</si>
  <si>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</si>
  <si>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</si>
  <si>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</si>
  <si>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</si>
  <si>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</si>
  <si>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</si>
  <si>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</si>
  <si>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</si>
  <si>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</si>
  <si>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</si>
  <si>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</si>
  <si>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</si>
  <si>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</si>
  <si>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</si>
  <si>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</si>
  <si>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</si>
  <si>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</si>
  <si>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</si>
  <si>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</si>
  <si>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</si>
  <si>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</si>
  <si>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</si>
  <si>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</si>
  <si>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NonControllingInterests</t>
  </si>
  <si>
    <t xml:space="preserve">OtherEquityInstruments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</si>
  <si>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</si>
  <si>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</si>
  <si>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</si>
  <si>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</si>
  <si>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</si>
  <si>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</si>
  <si>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</si>
  <si>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</si>
  <si>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</si>
  <si>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</si>
  <si>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</si>
  <si>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</si>
  <si>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</si>
  <si>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</si>
  <si>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</si>
  <si>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</si>
  <si>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</si>
  <si>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</si>
  <si>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 pro forma (year ending 2026-12-31, unreported: CICC H1 2026 actual + H2 estimate + full-year estimate for Dongxing and Cinda)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</si>
  <si>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</si>
  <si>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</si>
  <si>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</si>
  <si>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</si>
  <si>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</si>
  <si>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</si>
  <si>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</si>
  <si>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</si>
  <si>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</si>
  <si>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</si>
  <si>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</si>
  <si>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</si>
  <si>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</si>
  <si>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</si>
  <si>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</si>
  <si>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</si>
  <si>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</si>
  <si>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</si>
  <si>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</si>
  <si>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</si>
  <si>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</si>
  <si>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</si>
  <si>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</si>
  <si>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</si>
  <si>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</si>
  <si>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</si>
  <si>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</si>
  <si>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</si>
  <si>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3908.HK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</si>
  <si>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</si>
  <si>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</si>
  <si>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</si>
  <si>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</si>
  <si>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</si>
  <si>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</si>
  <si>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</si>
  <si>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</si>
  <si>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</si>
  <si>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</si>
  <si>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</si>
  <si>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</si>
  <si>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</si>
  <si>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</si>
  <si>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</si>
  <si>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</si>
  <si>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</si>
  <si>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</si>
  <si>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</si>
  <si>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</si>
  <si>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</si>
  <si>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</si>
  <si>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</si>
  <si>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</si>
  <si>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</si>
  <si>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</si>
  <si>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</si>
  <si>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</si>
  <si>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</si>
  <si>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</si>
  <si>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3908.HK owner-FCF component DCF: base case (millions, CNY)</t>
  </si>
  <si>
    <t xml:space="preserve">3908.HK owner-FCF component DCF: bull case (millions, CNY)</t>
  </si>
  <si>
    <t xml:space="preserve">3908.HK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</si>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</sst>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17.93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15270.318</v>
      </c>
      <c r="F2" s="0" t="n">
        <v>3530.521</v>
      </c>
      <c r="G2" s="0" t="n">
        <v>23.1</v>
      </c>
      <c r="I2" s="0" t="n">
        <v>2766.349</v>
      </c>
      <c r="J2" s="0" t="n">
        <v>18.1</v>
      </c>
      <c r="K2" s="0" t="n">
        <v>0.76</v>
      </c>
      <c r="L2" s="0" t="n">
        <v>-30484.538</v>
      </c>
      <c r="O2" s="0" t="n">
        <v>36706.689</v>
      </c>
      <c r="P2" s="0" t="n">
        <v>237811.95</v>
      </c>
      <c r="Q2" s="0" t="n">
        <v>200919.512</v>
      </c>
      <c r="R2" s="0" t="n">
        <v>60561.322</v>
      </c>
      <c r="S2" s="0" t="n">
        <v>18130.923</v>
      </c>
      <c r="T2" s="0" t="n">
        <v>3985.131</v>
      </c>
      <c r="AA2" s="0" t="s">
        <v>18</v>
      </c>
      <c r="AB2" s="0" t="s">
        <v>14</v>
      </c>
      <c r="AC2" s="0" t="n">
        <v>185.749</v>
      </c>
      <c r="AD2" s="0" t="n">
        <v>1000</v>
      </c>
    </row>
    <row r="3" customFormat="false" ht="15" hidden="false" customHeight="false" outlineLevel="0" collapsed="false">
      <c r="A3" s="0" t="s">
        <v>67</v>
      </c>
      <c r="B3" s="0" t="n">
        <v>18278.376</v>
      </c>
      <c r="F3" s="0" t="n">
        <v>4268.784</v>
      </c>
      <c r="G3" s="0" t="n">
        <v>23.4</v>
      </c>
      <c r="I3" s="0" t="n">
        <v>3492.158</v>
      </c>
      <c r="J3" s="0" t="n">
        <v>19.1</v>
      </c>
      <c r="K3" s="0" t="n">
        <v>0.83</v>
      </c>
      <c r="L3" s="0" t="n">
        <v>-6590.351</v>
      </c>
      <c r="M3" s="0" t="n">
        <v>447.657</v>
      </c>
      <c r="N3" s="0" t="n">
        <v>-7038.008</v>
      </c>
      <c r="O3" s="0" t="n">
        <v>42183.524</v>
      </c>
      <c r="P3" s="0" t="n">
        <v>275420.54</v>
      </c>
      <c r="Q3" s="0" t="n">
        <v>233043.804</v>
      </c>
      <c r="R3" s="0" t="n">
        <v>76054.06</v>
      </c>
      <c r="S3" s="0" t="n">
        <v>22424.488</v>
      </c>
      <c r="T3" s="0" t="n">
        <v>4192.668</v>
      </c>
      <c r="AA3" s="0" t="s">
        <v>18</v>
      </c>
      <c r="AB3" s="0" t="s">
        <v>14</v>
      </c>
      <c r="AC3" s="0" t="n">
        <v>193.213</v>
      </c>
      <c r="AD3" s="0" t="n">
        <v>1000</v>
      </c>
    </row>
    <row r="4" customFormat="false" ht="15" hidden="false" customHeight="false" outlineLevel="0" collapsed="false">
      <c r="A4" s="0" t="s">
        <v>68</v>
      </c>
      <c r="B4" s="0" t="n">
        <v>22491.883</v>
      </c>
      <c r="F4" s="0" t="n">
        <v>5241.229</v>
      </c>
      <c r="G4" s="0" t="n">
        <v>23.3</v>
      </c>
      <c r="I4" s="0" t="n">
        <v>4238.719</v>
      </c>
      <c r="J4" s="0" t="n">
        <v>18.8</v>
      </c>
      <c r="K4" s="0" t="n">
        <v>0.99</v>
      </c>
      <c r="L4" s="0" t="n">
        <v>-27657.832</v>
      </c>
      <c r="M4" s="0" t="n">
        <v>490.421</v>
      </c>
      <c r="N4" s="0" t="n">
        <v>-28148.253</v>
      </c>
      <c r="O4" s="0" t="n">
        <v>48293.799</v>
      </c>
      <c r="P4" s="0" t="n">
        <v>344971.243</v>
      </c>
      <c r="Q4" s="0" t="n">
        <v>296439.708</v>
      </c>
      <c r="R4" s="0" t="n">
        <v>100631.69</v>
      </c>
      <c r="S4" s="0" t="n">
        <v>23958.929</v>
      </c>
      <c r="T4" s="0" t="n">
        <v>4368.668</v>
      </c>
      <c r="AA4" s="0" t="s">
        <v>18</v>
      </c>
      <c r="AB4" s="0" t="s">
        <v>14</v>
      </c>
      <c r="AC4" s="0" t="n">
        <v>237.736</v>
      </c>
      <c r="AD4" s="0" t="n">
        <v>1000</v>
      </c>
    </row>
    <row r="5" customFormat="false" ht="15" hidden="false" customHeight="false" outlineLevel="0" collapsed="false">
      <c r="A5" s="0" t="s">
        <v>69</v>
      </c>
      <c r="B5" s="0" t="n">
        <v>34418.211</v>
      </c>
      <c r="F5" s="0" t="n">
        <v>8745.474</v>
      </c>
      <c r="G5" s="0" t="n">
        <v>25.4</v>
      </c>
      <c r="I5" s="0" t="n">
        <v>7207.452</v>
      </c>
      <c r="J5" s="0" t="n">
        <v>20.9</v>
      </c>
      <c r="K5" s="0" t="n">
        <v>1.6</v>
      </c>
      <c r="L5" s="0" t="n">
        <v>-33738.69</v>
      </c>
      <c r="M5" s="0" t="n">
        <v>460.253</v>
      </c>
      <c r="N5" s="0" t="n">
        <v>-34198.943</v>
      </c>
      <c r="O5" s="0" t="n">
        <v>71634.939</v>
      </c>
      <c r="P5" s="0" t="n">
        <v>521620.5</v>
      </c>
      <c r="Q5" s="0" t="n">
        <v>449805.367</v>
      </c>
      <c r="R5" s="0" t="n">
        <v>154493.531</v>
      </c>
      <c r="S5" s="0" t="n">
        <v>47161.071</v>
      </c>
      <c r="T5" s="0" t="n">
        <v>4827.257</v>
      </c>
      <c r="AA5" s="0" t="s">
        <v>18</v>
      </c>
      <c r="AB5" s="0" t="s">
        <v>14</v>
      </c>
      <c r="AC5" s="0" t="n">
        <v>180.194</v>
      </c>
      <c r="AD5" s="0" t="n">
        <v>5000</v>
      </c>
    </row>
    <row r="6" customFormat="false" ht="15" hidden="false" customHeight="false" outlineLevel="0" collapsed="false">
      <c r="A6" s="0" t="s">
        <v>70</v>
      </c>
      <c r="B6" s="0" t="n">
        <v>41461.16</v>
      </c>
      <c r="F6" s="0" t="n">
        <v>12830.553</v>
      </c>
      <c r="G6" s="0" t="n">
        <v>30.9</v>
      </c>
      <c r="I6" s="0" t="n">
        <v>10777.713</v>
      </c>
      <c r="J6" s="0" t="n">
        <v>26</v>
      </c>
      <c r="K6" s="0" t="n">
        <v>2.16</v>
      </c>
      <c r="L6" s="0" t="n">
        <v>1867.401</v>
      </c>
      <c r="M6" s="0" t="n">
        <v>1058.414</v>
      </c>
      <c r="N6" s="0" t="n">
        <v>808.987</v>
      </c>
      <c r="O6" s="0" t="n">
        <v>84422.121</v>
      </c>
      <c r="P6" s="0" t="n">
        <v>649795.489</v>
      </c>
      <c r="Q6" s="0" t="n">
        <v>565064.653</v>
      </c>
      <c r="R6" s="0" t="n">
        <v>183498.407</v>
      </c>
      <c r="S6" s="0" t="n">
        <v>66143.095</v>
      </c>
      <c r="T6" s="0" t="n">
        <v>4827.257</v>
      </c>
      <c r="AA6" s="0" t="s">
        <v>18</v>
      </c>
      <c r="AB6" s="0" t="s">
        <v>14</v>
      </c>
      <c r="AC6" s="0" t="n">
        <v>308.715</v>
      </c>
      <c r="AD6" s="0" t="n">
        <v>8500</v>
      </c>
    </row>
    <row r="7" customFormat="false" ht="15" hidden="false" customHeight="false" outlineLevel="0" collapsed="false">
      <c r="A7" s="0" t="s">
        <v>71</v>
      </c>
      <c r="B7" s="0" t="n">
        <v>36824.538</v>
      </c>
      <c r="F7" s="0" t="n">
        <v>9059.446</v>
      </c>
      <c r="G7" s="0" t="n">
        <v>24.6</v>
      </c>
      <c r="I7" s="0" t="n">
        <v>7597.502</v>
      </c>
      <c r="J7" s="0" t="n">
        <v>20.6</v>
      </c>
      <c r="K7" s="0" t="n">
        <v>1.46</v>
      </c>
      <c r="L7" s="0" t="n">
        <v>57960.889</v>
      </c>
      <c r="M7" s="0" t="n">
        <v>1585.965</v>
      </c>
      <c r="N7" s="0" t="n">
        <v>56374.924</v>
      </c>
      <c r="O7" s="0" t="n">
        <v>99188.107</v>
      </c>
      <c r="P7" s="0" t="n">
        <v>648764.039</v>
      </c>
      <c r="Q7" s="0" t="n">
        <v>549289.344</v>
      </c>
      <c r="R7" s="0" t="n">
        <v>170535.958</v>
      </c>
      <c r="S7" s="0" t="n">
        <v>85789.258</v>
      </c>
      <c r="T7" s="0" t="n">
        <v>4827.257</v>
      </c>
      <c r="AA7" s="0" t="s">
        <v>18</v>
      </c>
      <c r="AB7" s="0" t="s">
        <v>14</v>
      </c>
      <c r="AC7" s="0" t="n">
        <v>286.589</v>
      </c>
      <c r="AD7" s="0" t="n">
        <v>16400</v>
      </c>
    </row>
    <row r="8" customFormat="false" ht="15" hidden="false" customHeight="false" outlineLevel="0" collapsed="false">
      <c r="A8" s="0" t="s">
        <v>72</v>
      </c>
      <c r="B8" s="0" t="n">
        <v>33791.512</v>
      </c>
      <c r="F8" s="0" t="n">
        <v>6788.416</v>
      </c>
      <c r="G8" s="0" t="n">
        <v>20.1</v>
      </c>
      <c r="I8" s="0" t="n">
        <v>6156.131</v>
      </c>
      <c r="J8" s="0" t="n">
        <v>18.2</v>
      </c>
      <c r="K8" s="0" t="n">
        <v>1.14</v>
      </c>
      <c r="L8" s="0" t="n">
        <v>-2422.26</v>
      </c>
      <c r="M8" s="0" t="n">
        <v>1459.777</v>
      </c>
      <c r="N8" s="0" t="n">
        <v>-3882.037</v>
      </c>
      <c r="O8" s="0" t="n">
        <v>104603.3</v>
      </c>
      <c r="P8" s="0" t="n">
        <v>624306.587</v>
      </c>
      <c r="Q8" s="0" t="n">
        <v>519409.189</v>
      </c>
      <c r="R8" s="0" t="n">
        <v>166024.432</v>
      </c>
      <c r="S8" s="0" t="n">
        <v>72135.761</v>
      </c>
      <c r="T8" s="0" t="n">
        <v>4827.257</v>
      </c>
      <c r="AA8" s="0" t="s">
        <v>18</v>
      </c>
      <c r="AB8" s="0" t="s">
        <v>14</v>
      </c>
      <c r="AC8" s="0" t="n">
        <v>294.098</v>
      </c>
      <c r="AD8" s="0" t="n">
        <v>16400</v>
      </c>
    </row>
    <row r="9" customFormat="false" ht="15" hidden="false" customHeight="false" outlineLevel="0" collapsed="false">
      <c r="A9" s="0" t="s">
        <v>73</v>
      </c>
      <c r="B9" s="0" t="n">
        <v>31404.518</v>
      </c>
      <c r="F9" s="0" t="n">
        <v>6817.022</v>
      </c>
      <c r="G9" s="0" t="n">
        <v>21.7</v>
      </c>
      <c r="I9" s="0" t="n">
        <v>5694.343</v>
      </c>
      <c r="J9" s="0" t="n">
        <v>18.1</v>
      </c>
      <c r="K9" s="0" t="n">
        <v>1.04</v>
      </c>
      <c r="L9" s="0" t="n">
        <v>24240.121</v>
      </c>
      <c r="M9" s="0" t="n">
        <v>942.087</v>
      </c>
      <c r="N9" s="0" t="n">
        <v>23298.034</v>
      </c>
      <c r="O9" s="0" t="n">
        <v>115347.608</v>
      </c>
      <c r="P9" s="0" t="n">
        <v>674715.821</v>
      </c>
      <c r="Q9" s="0" t="n">
        <v>559094.151</v>
      </c>
      <c r="R9" s="0" t="n">
        <v>160657.825</v>
      </c>
      <c r="S9" s="0" t="n">
        <v>64488.851</v>
      </c>
      <c r="T9" s="0" t="n">
        <v>4827.257</v>
      </c>
      <c r="AA9" s="0" t="s">
        <v>18</v>
      </c>
      <c r="AB9" s="0" t="s">
        <v>14</v>
      </c>
      <c r="AC9" s="0" t="n">
        <v>274.063</v>
      </c>
      <c r="AD9" s="0" t="n">
        <v>22900</v>
      </c>
    </row>
    <row r="10" customFormat="false" ht="15" hidden="false" customHeight="false" outlineLevel="0" collapsed="false">
      <c r="A10" s="0" t="s">
        <v>74</v>
      </c>
      <c r="B10" s="0" t="n">
        <v>40517.919</v>
      </c>
      <c r="F10" s="0" t="n">
        <v>11637.199</v>
      </c>
      <c r="G10" s="0" t="n">
        <v>28.7</v>
      </c>
      <c r="I10" s="0" t="n">
        <v>9790.532</v>
      </c>
      <c r="J10" s="0" t="n">
        <v>24.2</v>
      </c>
      <c r="K10" s="0" t="n">
        <v>1.88</v>
      </c>
      <c r="L10" s="0" t="n">
        <v>41646.557</v>
      </c>
      <c r="M10" s="0" t="n">
        <v>765.329</v>
      </c>
      <c r="N10" s="0" t="n">
        <v>40881.228</v>
      </c>
      <c r="O10" s="0" t="n">
        <v>122057.693</v>
      </c>
      <c r="P10" s="0" t="n">
        <v>782826.167</v>
      </c>
      <c r="Q10" s="0" t="n">
        <v>658437.696</v>
      </c>
      <c r="R10" s="0" t="n">
        <v>158003.897</v>
      </c>
      <c r="S10" s="0" t="n">
        <v>60922.073</v>
      </c>
      <c r="T10" s="0" t="n">
        <v>4827.257</v>
      </c>
      <c r="AA10" s="0" t="s">
        <v>18</v>
      </c>
      <c r="AB10" s="0" t="s">
        <v>14</v>
      </c>
      <c r="AC10" s="0" t="n">
        <v>2330.779</v>
      </c>
      <c r="AD10" s="0" t="n">
        <v>22100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17.93</v>
      </c>
    </row>
    <row r="3" customFormat="false" ht="15" hidden="false" customHeight="false" outlineLevel="0" collapsed="false">
      <c r="A3" s="0" t="s">
        <v>78</v>
      </c>
      <c r="B3" s="3" t="n">
        <v>7929.9</v>
      </c>
    </row>
    <row r="4" customFormat="false" ht="15" hidden="false" customHeight="false" outlineLevel="0" collapsed="false">
      <c r="A4" s="0" t="s">
        <v>79</v>
      </c>
      <c r="B4" s="3" t="n">
        <v>0</v>
      </c>
    </row>
    <row r="5" customFormat="false" ht="15" hidden="false" customHeight="false" outlineLevel="0" collapsed="false">
      <c r="A5" s="0" t="s">
        <v>80</v>
      </c>
      <c r="B5" s="3" t="n">
        <v>0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64000</v>
      </c>
    </row>
    <row r="8" customFormat="false" ht="15" hidden="false" customHeight="false" outlineLevel="0" collapsed="false">
      <c r="A8" s="0" t="s">
        <v>83</v>
      </c>
      <c r="B8" s="3" t="s">
        <v>84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1.1735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-20</v>
      </c>
      <c r="D13" s="3" t="n">
        <v>-8</v>
      </c>
      <c r="E13" s="3" t="n">
        <v>2</v>
      </c>
      <c r="F13" s="3" t="n">
        <v>2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100</v>
      </c>
      <c r="C14" s="3" t="n">
        <v>25</v>
      </c>
      <c r="D14" s="3" t="n">
        <v>21</v>
      </c>
      <c r="E14" s="3" t="n">
        <v>22</v>
      </c>
      <c r="F14" s="3" t="n">
        <v>23</v>
      </c>
      <c r="G14" s="3" t="n">
        <v>24</v>
      </c>
      <c r="H14" s="3" t="n">
        <v>24</v>
      </c>
      <c r="I14" s="3" t="n">
        <v>24</v>
      </c>
      <c r="J14" s="3" t="n">
        <v>24</v>
      </c>
      <c r="K14" s="3" t="n">
        <v>24</v>
      </c>
      <c r="L14" s="3" t="n">
        <v>24</v>
      </c>
    </row>
    <row r="15" customFormat="false" ht="15" hidden="false" customHeight="false" outlineLevel="0" collapsed="false">
      <c r="A15" s="0" t="s">
        <v>101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102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103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104</v>
      </c>
      <c r="C18" s="3" t="n">
        <v>6.4</v>
      </c>
      <c r="D18" s="3" t="n">
        <v>8.8</v>
      </c>
      <c r="E18" s="3" t="n">
        <v>10.6</v>
      </c>
      <c r="F18" s="3" t="n">
        <v>10.7</v>
      </c>
      <c r="G18" s="3" t="n">
        <v>10.7</v>
      </c>
      <c r="H18" s="3" t="n">
        <v>10.7</v>
      </c>
      <c r="I18" s="3" t="n">
        <v>10.7</v>
      </c>
      <c r="J18" s="3" t="n">
        <v>9</v>
      </c>
      <c r="K18" s="3" t="n">
        <v>9</v>
      </c>
      <c r="L18" s="3" t="n">
        <v>9</v>
      </c>
    </row>
    <row r="19" customFormat="false" ht="15" hidden="false" customHeight="false" outlineLevel="0" collapsed="false">
      <c r="A19" s="0" t="s">
        <v>105</v>
      </c>
      <c r="C19" s="3" t="n">
        <v>21</v>
      </c>
      <c r="D19" s="3" t="n">
        <v>21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106</v>
      </c>
      <c r="B20" s="3" t="n">
        <v>12</v>
      </c>
    </row>
    <row r="21" customFormat="false" ht="15" hidden="false" customHeight="false" outlineLevel="0" collapsed="false">
      <c r="A21" s="0" t="s">
        <v>107</v>
      </c>
      <c r="B21" s="3" t="n">
        <v>2.5</v>
      </c>
    </row>
    <row r="22" customFormat="false" ht="15" hidden="false" customHeight="false" outlineLevel="0" collapsed="false">
      <c r="A22" s="0" t="s">
        <v>108</v>
      </c>
      <c r="B22" s="3" t="n">
        <v>18</v>
      </c>
    </row>
    <row r="23" customFormat="false" ht="15" hidden="false" customHeight="false" outlineLevel="0" collapsed="false">
      <c r="A23" s="0" t="s">
        <v>109</v>
      </c>
      <c r="B23" s="3" t="n">
        <v>0</v>
      </c>
    </row>
    <row r="24" customFormat="false" ht="15" hidden="false" customHeight="false" outlineLevel="0" collapsed="false">
      <c r="A24" s="0" t="s">
        <v>110</v>
      </c>
      <c r="B24" s="3" t="n">
        <v>0.3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-8</v>
      </c>
      <c r="D27" s="3" t="n">
        <v>-3</v>
      </c>
      <c r="E27" s="3" t="n">
        <v>4</v>
      </c>
      <c r="F27" s="3" t="n">
        <v>4</v>
      </c>
      <c r="G27" s="3" t="n">
        <v>4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100</v>
      </c>
      <c r="C28" s="3" t="n">
        <v>33</v>
      </c>
      <c r="D28" s="3" t="n">
        <v>30</v>
      </c>
      <c r="E28" s="3" t="n">
        <v>29</v>
      </c>
      <c r="F28" s="3" t="n">
        <v>29</v>
      </c>
      <c r="G28" s="3" t="n">
        <v>29.5</v>
      </c>
      <c r="H28" s="3" t="n">
        <v>29.5</v>
      </c>
      <c r="I28" s="3" t="n">
        <v>30</v>
      </c>
      <c r="J28" s="3" t="n">
        <v>30</v>
      </c>
      <c r="K28" s="3" t="n">
        <v>30</v>
      </c>
      <c r="L28" s="3" t="n">
        <v>30</v>
      </c>
    </row>
    <row r="29" customFormat="false" ht="15" hidden="false" customHeight="false" outlineLevel="0" collapsed="false">
      <c r="A29" s="0" t="s">
        <v>101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102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103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104</v>
      </c>
      <c r="C32" s="3" t="n">
        <v>8.3</v>
      </c>
      <c r="D32" s="3" t="n">
        <v>11.8</v>
      </c>
      <c r="E32" s="3" t="n">
        <v>11.8</v>
      </c>
      <c r="F32" s="3" t="n">
        <v>11.8</v>
      </c>
      <c r="G32" s="3" t="n">
        <v>11.8</v>
      </c>
      <c r="H32" s="3" t="n">
        <v>10.3</v>
      </c>
      <c r="I32" s="3" t="n">
        <v>10.3</v>
      </c>
      <c r="J32" s="3" t="n">
        <v>8.9</v>
      </c>
      <c r="K32" s="3" t="n">
        <v>8.9</v>
      </c>
      <c r="L32" s="3" t="n">
        <v>8.9</v>
      </c>
    </row>
    <row r="33" customFormat="false" ht="15" hidden="false" customHeight="false" outlineLevel="0" collapsed="false">
      <c r="A33" s="0" t="s">
        <v>105</v>
      </c>
      <c r="C33" s="3" t="n">
        <v>20</v>
      </c>
      <c r="D33" s="3" t="n">
        <v>20</v>
      </c>
      <c r="E33" s="3" t="n">
        <v>20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106</v>
      </c>
      <c r="B34" s="3" t="n">
        <v>11</v>
      </c>
    </row>
    <row r="35" customFormat="false" ht="15" hidden="false" customHeight="false" outlineLevel="0" collapsed="false">
      <c r="A35" s="0" t="s">
        <v>107</v>
      </c>
      <c r="B35" s="3" t="n">
        <v>3</v>
      </c>
    </row>
    <row r="36" customFormat="false" ht="15" hidden="false" customHeight="false" outlineLevel="0" collapsed="false">
      <c r="A36" s="0" t="s">
        <v>108</v>
      </c>
      <c r="B36" s="3" t="n">
        <v>18</v>
      </c>
    </row>
    <row r="37" customFormat="false" ht="15" hidden="false" customHeight="false" outlineLevel="0" collapsed="false">
      <c r="A37" s="0" t="s">
        <v>109</v>
      </c>
      <c r="B37" s="3" t="n">
        <v>0</v>
      </c>
    </row>
    <row r="38" customFormat="false" ht="15" hidden="false" customHeight="false" outlineLevel="0" collapsed="false">
      <c r="A38" s="0" t="s">
        <v>110</v>
      </c>
      <c r="B38" s="3" t="n">
        <v>0.45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2</v>
      </c>
      <c r="D41" s="3" t="n">
        <v>3</v>
      </c>
      <c r="E41" s="3" t="n">
        <v>6</v>
      </c>
      <c r="F41" s="3" t="n">
        <v>6</v>
      </c>
      <c r="G41" s="3" t="n">
        <v>6</v>
      </c>
      <c r="H41" s="3" t="n">
        <v>5</v>
      </c>
      <c r="I41" s="3" t="n">
        <v>5</v>
      </c>
      <c r="J41" s="3" t="n">
        <v>4</v>
      </c>
      <c r="K41" s="3" t="n">
        <v>4</v>
      </c>
      <c r="L41" s="3" t="n">
        <v>4</v>
      </c>
    </row>
    <row r="42" customFormat="false" ht="15" hidden="false" customHeight="false" outlineLevel="0" collapsed="false">
      <c r="A42" s="0" t="s">
        <v>100</v>
      </c>
      <c r="C42" s="3" t="n">
        <v>36</v>
      </c>
      <c r="D42" s="3" t="n">
        <v>34</v>
      </c>
      <c r="E42" s="3" t="n">
        <v>33</v>
      </c>
      <c r="F42" s="3" t="n">
        <v>33</v>
      </c>
      <c r="G42" s="3" t="n">
        <v>33</v>
      </c>
      <c r="H42" s="3" t="n">
        <v>33</v>
      </c>
      <c r="I42" s="3" t="n">
        <v>33</v>
      </c>
      <c r="J42" s="3" t="n">
        <v>33</v>
      </c>
      <c r="K42" s="3" t="n">
        <v>33</v>
      </c>
      <c r="L42" s="3" t="n">
        <v>33</v>
      </c>
    </row>
    <row r="43" customFormat="false" ht="15" hidden="false" customHeight="false" outlineLevel="0" collapsed="false">
      <c r="A43" s="0" t="s">
        <v>101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102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103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104</v>
      </c>
      <c r="C46" s="3" t="n">
        <v>10</v>
      </c>
      <c r="D46" s="3" t="n">
        <v>12.6</v>
      </c>
      <c r="E46" s="3" t="n">
        <v>15</v>
      </c>
      <c r="F46" s="3" t="n">
        <v>15</v>
      </c>
      <c r="G46" s="3" t="n">
        <v>15</v>
      </c>
      <c r="H46" s="3" t="n">
        <v>12.6</v>
      </c>
      <c r="I46" s="3" t="n">
        <v>12.6</v>
      </c>
      <c r="J46" s="3" t="n">
        <v>10.2</v>
      </c>
      <c r="K46" s="3" t="n">
        <v>10.2</v>
      </c>
      <c r="L46" s="3" t="n">
        <v>10.2</v>
      </c>
    </row>
    <row r="47" customFormat="false" ht="15" hidden="false" customHeight="false" outlineLevel="0" collapsed="false">
      <c r="A47" s="0" t="s">
        <v>105</v>
      </c>
      <c r="C47" s="3" t="n">
        <v>20</v>
      </c>
      <c r="D47" s="3" t="n">
        <v>20</v>
      </c>
      <c r="E47" s="3" t="n">
        <v>20</v>
      </c>
      <c r="F47" s="3" t="n">
        <v>20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106</v>
      </c>
      <c r="B48" s="3" t="n">
        <v>10.5</v>
      </c>
    </row>
    <row r="49" customFormat="false" ht="15" hidden="false" customHeight="false" outlineLevel="0" collapsed="false">
      <c r="A49" s="0" t="s">
        <v>107</v>
      </c>
      <c r="B49" s="3" t="n">
        <v>3.5</v>
      </c>
    </row>
    <row r="50" customFormat="false" ht="15" hidden="false" customHeight="false" outlineLevel="0" collapsed="false">
      <c r="A50" s="0" t="s">
        <v>108</v>
      </c>
      <c r="B50" s="3" t="n">
        <v>18</v>
      </c>
    </row>
    <row r="51" customFormat="false" ht="15" hidden="false" customHeight="false" outlineLevel="0" collapsed="false">
      <c r="A51" s="0" t="s">
        <v>109</v>
      </c>
      <c r="B51" s="3" t="n">
        <v>0</v>
      </c>
    </row>
    <row r="52" customFormat="false" ht="15" hidden="false" customHeight="false" outlineLevel="0" collapsed="false">
      <c r="A52" s="0" t="s">
        <v>110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84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-20</v>
      </c>
      <c r="D5" s="4" t="n">
        <f aca="false">Assumptions!D13</f>
        <v>-8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64000</v>
      </c>
      <c r="C6" s="0" t="n">
        <f aca="false">B6*(1+C5/100)</f>
        <v>51200</v>
      </c>
      <c r="D6" s="0" t="n">
        <f aca="false">C6*(1+D5/100)</f>
        <v>47104</v>
      </c>
      <c r="E6" s="0" t="n">
        <f aca="false">D6*(1+E5/100)</f>
        <v>48046.08</v>
      </c>
      <c r="F6" s="0" t="n">
        <f aca="false">E6*(1+F5/100)</f>
        <v>49007.0016</v>
      </c>
      <c r="G6" s="0" t="n">
        <f aca="false">F6*(1+G5/100)</f>
        <v>50477.211648</v>
      </c>
      <c r="H6" s="0" t="n">
        <f aca="false">G6*(1+H5/100)</f>
        <v>51991.52799744</v>
      </c>
      <c r="I6" s="0" t="n">
        <f aca="false">H6*(1+I5/100)</f>
        <v>53551.2738373632</v>
      </c>
      <c r="J6" s="0" t="n">
        <f aca="false">I6*(1+J5/100)</f>
        <v>54890.0556832973</v>
      </c>
      <c r="K6" s="0" t="n">
        <f aca="false">J6*(1+K5/100)</f>
        <v>56262.3070753797</v>
      </c>
      <c r="L6" s="0" t="n">
        <f aca="false">K6*(1+L5/100)</f>
        <v>57668.8647522642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25</v>
      </c>
      <c r="D7" s="4" t="n">
        <f aca="false">Assumptions!D14</f>
        <v>21</v>
      </c>
      <c r="E7" s="4" t="n">
        <f aca="false">Assumptions!E14</f>
        <v>22</v>
      </c>
      <c r="F7" s="4" t="n">
        <f aca="false">Assumptions!F14</f>
        <v>23</v>
      </c>
      <c r="G7" s="4" t="n">
        <f aca="false">Assumptions!G14</f>
        <v>24</v>
      </c>
      <c r="H7" s="4" t="n">
        <f aca="false">Assumptions!H14</f>
        <v>24</v>
      </c>
      <c r="I7" s="4" t="n">
        <f aca="false">Assumptions!I14</f>
        <v>24</v>
      </c>
      <c r="J7" s="4" t="n">
        <f aca="false">Assumptions!J14</f>
        <v>24</v>
      </c>
      <c r="K7" s="4" t="n">
        <f aca="false">Assumptions!K14</f>
        <v>24</v>
      </c>
      <c r="L7" s="4" t="n">
        <f aca="false">Assumptions!L14</f>
        <v>24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12800</v>
      </c>
      <c r="D8" s="0" t="n">
        <f aca="false">D6*D7/100</f>
        <v>9891.84</v>
      </c>
      <c r="E8" s="0" t="n">
        <f aca="false">E6*E7/100</f>
        <v>10570.1376</v>
      </c>
      <c r="F8" s="0" t="n">
        <f aca="false">F6*F7/100</f>
        <v>11271.610368</v>
      </c>
      <c r="G8" s="0" t="n">
        <f aca="false">G6*G7/100</f>
        <v>12114.53079552</v>
      </c>
      <c r="H8" s="0" t="n">
        <f aca="false">H6*H7/100</f>
        <v>12477.9667193856</v>
      </c>
      <c r="I8" s="0" t="n">
        <f aca="false">I6*I7/100</f>
        <v>12852.3057209672</v>
      </c>
      <c r="J8" s="0" t="n">
        <f aca="false">J6*J7/100</f>
        <v>13173.6133639913</v>
      </c>
      <c r="K8" s="0" t="n">
        <f aca="false">K6*K7/100</f>
        <v>13502.9536980911</v>
      </c>
      <c r="L8" s="0" t="n">
        <f aca="false">L6*L7/100</f>
        <v>13840.5275405434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12800</v>
      </c>
      <c r="D11" s="0" t="n">
        <f aca="false">D8+D10+D24</f>
        <v>9891.84</v>
      </c>
      <c r="E11" s="0" t="n">
        <f aca="false">E8+E10+E24</f>
        <v>10570.1376</v>
      </c>
      <c r="F11" s="0" t="n">
        <f aca="false">F8+F10+F24</f>
        <v>11271.610368</v>
      </c>
      <c r="G11" s="0" t="n">
        <f aca="false">G8+G10+G24</f>
        <v>12114.53079552</v>
      </c>
      <c r="H11" s="0" t="n">
        <f aca="false">H8+H10+H24</f>
        <v>12477.9667193856</v>
      </c>
      <c r="I11" s="0" t="n">
        <f aca="false">I8+I10+I24</f>
        <v>12852.3057209672</v>
      </c>
      <c r="J11" s="0" t="n">
        <f aca="false">J8+J10+J24</f>
        <v>13173.6133639913</v>
      </c>
      <c r="K11" s="0" t="n">
        <f aca="false">K8+K10+K24</f>
        <v>13502.9536980911</v>
      </c>
      <c r="L11" s="0" t="n">
        <f aca="false">L8+L10+L24</f>
        <v>13840.5275405434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12800</v>
      </c>
      <c r="D13" s="0" t="n">
        <f aca="false">D11+D12</f>
        <v>9891.84</v>
      </c>
      <c r="E13" s="0" t="n">
        <f aca="false">E11+E12</f>
        <v>10570.1376</v>
      </c>
      <c r="F13" s="0" t="n">
        <f aca="false">F11+F12</f>
        <v>11271.610368</v>
      </c>
      <c r="G13" s="0" t="n">
        <f aca="false">G11+G12</f>
        <v>12114.53079552</v>
      </c>
      <c r="H13" s="0" t="n">
        <f aca="false">H11+H12</f>
        <v>12477.9667193856</v>
      </c>
      <c r="I13" s="0" t="n">
        <f aca="false">I11+I12</f>
        <v>12852.3057209672</v>
      </c>
      <c r="J13" s="0" t="n">
        <f aca="false">J11+J12</f>
        <v>13173.6133639913</v>
      </c>
      <c r="K13" s="0" t="n">
        <f aca="false">K11+K12</f>
        <v>13502.9536980911</v>
      </c>
      <c r="L13" s="0" t="n">
        <f aca="false">L11+L12</f>
        <v>13840.5275405434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21</v>
      </c>
      <c r="D14" s="4" t="n">
        <f aca="false">Assumptions!D19</f>
        <v>21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10112</v>
      </c>
      <c r="D15" s="0" t="n">
        <f aca="false">D13-MAX(0,D13)*D14/100</f>
        <v>7814.5536</v>
      </c>
      <c r="E15" s="0" t="n">
        <f aca="false">E13-MAX(0,E13)*E14/100</f>
        <v>8350.408704</v>
      </c>
      <c r="F15" s="0" t="n">
        <f aca="false">F13-MAX(0,F13)*F14/100</f>
        <v>8904.57219072</v>
      </c>
      <c r="G15" s="0" t="n">
        <f aca="false">G13-MAX(0,G13)*G14/100</f>
        <v>9570.4793284608</v>
      </c>
      <c r="H15" s="0" t="n">
        <f aca="false">H13-MAX(0,H13)*H14/100</f>
        <v>9857.59370831462</v>
      </c>
      <c r="I15" s="0" t="n">
        <f aca="false">I13-MAX(0,I13)*I14/100</f>
        <v>10153.3215195641</v>
      </c>
      <c r="J15" s="0" t="n">
        <f aca="false">J13-MAX(0,J13)*J14/100</f>
        <v>10407.1545575532</v>
      </c>
      <c r="K15" s="0" t="n">
        <f aca="false">K13-MAX(0,K13)*K14/100</f>
        <v>10667.333421492</v>
      </c>
      <c r="L15" s="0" t="n">
        <f aca="false">L13-MAX(0,L13)*L14/100</f>
        <v>10934.0167570293</v>
      </c>
    </row>
    <row r="16" customFormat="false" ht="15" hidden="false" customHeight="false" outlineLevel="0" collapsed="false">
      <c r="A16" s="0" t="s">
        <v>121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-3276.8</v>
      </c>
      <c r="D17" s="4" t="n">
        <f aca="false">-D6*Assumptions!D18/100</f>
        <v>-4145.152</v>
      </c>
      <c r="E17" s="4" t="n">
        <f aca="false">-E6*Assumptions!E18/100</f>
        <v>-5092.88448</v>
      </c>
      <c r="F17" s="4" t="n">
        <f aca="false">-F6*Assumptions!F18/100</f>
        <v>-5243.7491712</v>
      </c>
      <c r="G17" s="4" t="n">
        <f aca="false">-G6*Assumptions!G18/100</f>
        <v>-5401.061646336</v>
      </c>
      <c r="H17" s="4" t="n">
        <f aca="false">-H6*Assumptions!H18/100</f>
        <v>-5563.09349572608</v>
      </c>
      <c r="I17" s="4" t="n">
        <f aca="false">-I6*Assumptions!I18/100</f>
        <v>-5729.98630059786</v>
      </c>
      <c r="J17" s="4" t="n">
        <f aca="false">-J6*Assumptions!J18/100</f>
        <v>-4940.10501149676</v>
      </c>
      <c r="K17" s="4" t="n">
        <f aca="false">-K6*Assumptions!K18/100</f>
        <v>-5063.60763678417</v>
      </c>
      <c r="L17" s="4" t="n">
        <f aca="false">-L6*Assumptions!L18/100</f>
        <v>-5190.19782770378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6835.2</v>
      </c>
      <c r="D19" s="0" t="n">
        <f aca="false">D15+D16+D17+D18</f>
        <v>3669.4016</v>
      </c>
      <c r="E19" s="0" t="n">
        <f aca="false">E15+E16+E17+E18</f>
        <v>3257.524224</v>
      </c>
      <c r="F19" s="0" t="n">
        <f aca="false">F15+F16+F17+F18</f>
        <v>3660.82301952</v>
      </c>
      <c r="G19" s="0" t="n">
        <f aca="false">G15+G16+G17+G18</f>
        <v>4169.4176821248</v>
      </c>
      <c r="H19" s="0" t="n">
        <f aca="false">H15+H16+H17+H18</f>
        <v>4294.50021258854</v>
      </c>
      <c r="I19" s="0" t="n">
        <f aca="false">I15+I16+I17+I18</f>
        <v>4423.3352189662</v>
      </c>
      <c r="J19" s="0" t="n">
        <f aca="false">J15+J16+J17+J18</f>
        <v>5467.04954605641</v>
      </c>
      <c r="K19" s="0" t="n">
        <f aca="false">K15+K16+K17+K18</f>
        <v>5603.72578470782</v>
      </c>
      <c r="L19" s="0" t="n">
        <f aca="false">L15+L16+L17+L18</f>
        <v>5743.81892932552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6102.85714285714</v>
      </c>
      <c r="D21" s="0" t="n">
        <f aca="false">D19*D20</f>
        <v>2925.22448979592</v>
      </c>
      <c r="E21" s="0" t="n">
        <f aca="false">E19*E20</f>
        <v>2318.64139941691</v>
      </c>
      <c r="F21" s="0" t="n">
        <f aca="false">F19*F20</f>
        <v>2326.51921074552</v>
      </c>
      <c r="G21" s="0" t="n">
        <f aca="false">G19*G20</f>
        <v>2365.83956554561</v>
      </c>
      <c r="H21" s="0" t="n">
        <f aca="false">H19*H20</f>
        <v>2175.72745759998</v>
      </c>
      <c r="I21" s="0" t="n">
        <f aca="false">I19*I20</f>
        <v>2000.89221547141</v>
      </c>
      <c r="J21" s="0" t="n">
        <f aca="false">J19*J20</f>
        <v>2208.04961818441</v>
      </c>
      <c r="K21" s="0" t="n">
        <f aca="false">K19*K20</f>
        <v>2020.75969521341</v>
      </c>
      <c r="L21" s="0" t="n">
        <f aca="false">L19*L20</f>
        <v>1849.35597106584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12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26293.8667658961</v>
      </c>
    </row>
    <row r="31" customFormat="false" ht="15" hidden="false" customHeight="false" outlineLevel="0" collapsed="false">
      <c r="A31" s="0" t="s">
        <v>130</v>
      </c>
      <c r="B31" s="0" t="n">
        <f aca="false">L19</f>
        <v>5743.81892932552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61972.7831848279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103388.740727859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61972.7831848279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19953.5775825525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46247.4443484486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46247.4443484486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6.84389159294625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-0.618299409205452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6.84389159294625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47099.3152204692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5.17764271301482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84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-8</v>
      </c>
      <c r="D5" s="4" t="n">
        <f aca="false">Assumptions!D27</f>
        <v>-3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64000</v>
      </c>
      <c r="C6" s="0" t="n">
        <f aca="false">B6*(1+C5/100)</f>
        <v>58880</v>
      </c>
      <c r="D6" s="0" t="n">
        <f aca="false">C6*(1+D5/100)</f>
        <v>57113.6</v>
      </c>
      <c r="E6" s="0" t="n">
        <f aca="false">D6*(1+E5/100)</f>
        <v>59398.144</v>
      </c>
      <c r="F6" s="0" t="n">
        <f aca="false">E6*(1+F5/100)</f>
        <v>61774.06976</v>
      </c>
      <c r="G6" s="0" t="n">
        <f aca="false">F6*(1+G5/100)</f>
        <v>64245.0325504</v>
      </c>
      <c r="H6" s="0" t="n">
        <f aca="false">G6*(1+H5/100)</f>
        <v>66493.608689664</v>
      </c>
      <c r="I6" s="0" t="n">
        <f aca="false">H6*(1+I5/100)</f>
        <v>68820.8849938022</v>
      </c>
      <c r="J6" s="0" t="n">
        <f aca="false">I6*(1+J5/100)</f>
        <v>70885.5115436163</v>
      </c>
      <c r="K6" s="0" t="n">
        <f aca="false">J6*(1+K5/100)</f>
        <v>73012.0768899248</v>
      </c>
      <c r="L6" s="0" t="n">
        <f aca="false">K6*(1+L5/100)</f>
        <v>75202.4391966225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33</v>
      </c>
      <c r="D7" s="4" t="n">
        <f aca="false">Assumptions!D28</f>
        <v>30</v>
      </c>
      <c r="E7" s="4" t="n">
        <f aca="false">Assumptions!E28</f>
        <v>29</v>
      </c>
      <c r="F7" s="4" t="n">
        <f aca="false">Assumptions!F28</f>
        <v>29</v>
      </c>
      <c r="G7" s="4" t="n">
        <f aca="false">Assumptions!G28</f>
        <v>29.5</v>
      </c>
      <c r="H7" s="4" t="n">
        <f aca="false">Assumptions!H28</f>
        <v>29.5</v>
      </c>
      <c r="I7" s="4" t="n">
        <f aca="false">Assumptions!I28</f>
        <v>30</v>
      </c>
      <c r="J7" s="4" t="n">
        <f aca="false">Assumptions!J28</f>
        <v>30</v>
      </c>
      <c r="K7" s="4" t="n">
        <f aca="false">Assumptions!K28</f>
        <v>30</v>
      </c>
      <c r="L7" s="4" t="n">
        <f aca="false">Assumptions!L28</f>
        <v>30</v>
      </c>
    </row>
    <row r="8" customFormat="false" ht="15" hidden="false" customHeight="false" outlineLevel="0" collapsed="false">
      <c r="A8" s="0" t="s">
        <v>44</v>
      </c>
      <c r="C8" s="0" t="n">
        <f aca="false">C6*C7/100</f>
        <v>19430.4</v>
      </c>
      <c r="D8" s="0" t="n">
        <f aca="false">D6*D7/100</f>
        <v>17134.08</v>
      </c>
      <c r="E8" s="0" t="n">
        <f aca="false">E6*E7/100</f>
        <v>17225.46176</v>
      </c>
      <c r="F8" s="0" t="n">
        <f aca="false">F6*F7/100</f>
        <v>17914.4802304</v>
      </c>
      <c r="G8" s="0" t="n">
        <f aca="false">G6*G7/100</f>
        <v>18952.284602368</v>
      </c>
      <c r="H8" s="0" t="n">
        <f aca="false">H6*H7/100</f>
        <v>19615.6145634509</v>
      </c>
      <c r="I8" s="0" t="n">
        <f aca="false">I6*I7/100</f>
        <v>20646.2654981407</v>
      </c>
      <c r="J8" s="0" t="n">
        <f aca="false">J6*J7/100</f>
        <v>21265.6534630849</v>
      </c>
      <c r="K8" s="0" t="n">
        <f aca="false">K6*K7/100</f>
        <v>21903.6230669774</v>
      </c>
      <c r="L8" s="0" t="n">
        <f aca="false">L6*L7/100</f>
        <v>22560.7317589868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19430.4</v>
      </c>
      <c r="D11" s="0" t="n">
        <f aca="false">D8+D10+D24</f>
        <v>17134.08</v>
      </c>
      <c r="E11" s="0" t="n">
        <f aca="false">E8+E10+E24</f>
        <v>17225.46176</v>
      </c>
      <c r="F11" s="0" t="n">
        <f aca="false">F8+F10+F24</f>
        <v>17914.4802304</v>
      </c>
      <c r="G11" s="0" t="n">
        <f aca="false">G8+G10+G24</f>
        <v>18952.284602368</v>
      </c>
      <c r="H11" s="0" t="n">
        <f aca="false">H8+H10+H24</f>
        <v>19615.6145634509</v>
      </c>
      <c r="I11" s="0" t="n">
        <f aca="false">I8+I10+I24</f>
        <v>20646.2654981407</v>
      </c>
      <c r="J11" s="0" t="n">
        <f aca="false">J8+J10+J24</f>
        <v>21265.6534630849</v>
      </c>
      <c r="K11" s="0" t="n">
        <f aca="false">K8+K10+K24</f>
        <v>21903.6230669774</v>
      </c>
      <c r="L11" s="0" t="n">
        <f aca="false">L8+L10+L24</f>
        <v>22560.7317589868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19430.4</v>
      </c>
      <c r="D13" s="0" t="n">
        <f aca="false">D11+D12</f>
        <v>17134.08</v>
      </c>
      <c r="E13" s="0" t="n">
        <f aca="false">E11+E12</f>
        <v>17225.46176</v>
      </c>
      <c r="F13" s="0" t="n">
        <f aca="false">F11+F12</f>
        <v>17914.4802304</v>
      </c>
      <c r="G13" s="0" t="n">
        <f aca="false">G11+G12</f>
        <v>18952.284602368</v>
      </c>
      <c r="H13" s="0" t="n">
        <f aca="false">H11+H12</f>
        <v>19615.6145634509</v>
      </c>
      <c r="I13" s="0" t="n">
        <f aca="false">I11+I12</f>
        <v>20646.2654981407</v>
      </c>
      <c r="J13" s="0" t="n">
        <f aca="false">J11+J12</f>
        <v>21265.6534630849</v>
      </c>
      <c r="K13" s="0" t="n">
        <f aca="false">K11+K12</f>
        <v>21903.6230669774</v>
      </c>
      <c r="L13" s="0" t="n">
        <f aca="false">L11+L12</f>
        <v>22560.7317589868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20</v>
      </c>
      <c r="D14" s="4" t="n">
        <f aca="false">Assumptions!D33</f>
        <v>20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15544.32</v>
      </c>
      <c r="D15" s="0" t="n">
        <f aca="false">D13-MAX(0,D13)*D14/100</f>
        <v>13707.264</v>
      </c>
      <c r="E15" s="0" t="n">
        <f aca="false">E13-MAX(0,E13)*E14/100</f>
        <v>13780.369408</v>
      </c>
      <c r="F15" s="0" t="n">
        <f aca="false">F13-MAX(0,F13)*F14/100</f>
        <v>14331.58418432</v>
      </c>
      <c r="G15" s="0" t="n">
        <f aca="false">G13-MAX(0,G13)*G14/100</f>
        <v>15161.8276818944</v>
      </c>
      <c r="H15" s="0" t="n">
        <f aca="false">H13-MAX(0,H13)*H14/100</f>
        <v>15692.4916507607</v>
      </c>
      <c r="I15" s="0" t="n">
        <f aca="false">I13-MAX(0,I13)*I14/100</f>
        <v>16517.0123985125</v>
      </c>
      <c r="J15" s="0" t="n">
        <f aca="false">J13-MAX(0,J13)*J14/100</f>
        <v>17012.5227704679</v>
      </c>
      <c r="K15" s="0" t="n">
        <f aca="false">K13-MAX(0,K13)*K14/100</f>
        <v>17522.898453582</v>
      </c>
      <c r="L15" s="0" t="n">
        <f aca="false">L13-MAX(0,L13)*L14/100</f>
        <v>18048.5854071894</v>
      </c>
    </row>
    <row r="16" customFormat="false" ht="15" hidden="false" customHeight="false" outlineLevel="0" collapsed="false">
      <c r="A16" s="0" t="s">
        <v>121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-4887.04</v>
      </c>
      <c r="D17" s="4" t="n">
        <f aca="false">-D6*Assumptions!D32/100</f>
        <v>-6739.4048</v>
      </c>
      <c r="E17" s="4" t="n">
        <f aca="false">-E6*Assumptions!E32/100</f>
        <v>-7008.980992</v>
      </c>
      <c r="F17" s="4" t="n">
        <f aca="false">-F6*Assumptions!F32/100</f>
        <v>-7289.34023168</v>
      </c>
      <c r="G17" s="4" t="n">
        <f aca="false">-G6*Assumptions!G32/100</f>
        <v>-7580.9138409472</v>
      </c>
      <c r="H17" s="4" t="n">
        <f aca="false">-H6*Assumptions!H32/100</f>
        <v>-6848.84169503539</v>
      </c>
      <c r="I17" s="4" t="n">
        <f aca="false">-I6*Assumptions!I32/100</f>
        <v>-7088.55115436163</v>
      </c>
      <c r="J17" s="4" t="n">
        <f aca="false">-J6*Assumptions!J32/100</f>
        <v>-6308.81052738185</v>
      </c>
      <c r="K17" s="4" t="n">
        <f aca="false">-K6*Assumptions!K32/100</f>
        <v>-6498.07484320331</v>
      </c>
      <c r="L17" s="4" t="n">
        <f aca="false">-L6*Assumptions!L32/100</f>
        <v>-6693.01708849941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-0</v>
      </c>
      <c r="D18" s="4" t="n">
        <f aca="false">(D6-C6)*Assumptions!$B$37/100</f>
        <v>-0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10657.28</v>
      </c>
      <c r="D19" s="0" t="n">
        <f aca="false">D15+D16+D17+D18</f>
        <v>6967.8592</v>
      </c>
      <c r="E19" s="0" t="n">
        <f aca="false">E15+E16+E17+E18</f>
        <v>6771.388416</v>
      </c>
      <c r="F19" s="0" t="n">
        <f aca="false">F15+F16+F17+F18</f>
        <v>7042.24395264</v>
      </c>
      <c r="G19" s="0" t="n">
        <f aca="false">G15+G16+G17+G18</f>
        <v>7580.9138409472</v>
      </c>
      <c r="H19" s="0" t="n">
        <f aca="false">H15+H16+H17+H18</f>
        <v>8843.64995572531</v>
      </c>
      <c r="I19" s="0" t="n">
        <f aca="false">I15+I16+I17+I18</f>
        <v>9428.4612441509</v>
      </c>
      <c r="J19" s="0" t="n">
        <f aca="false">J15+J16+J17+J18</f>
        <v>10703.7122430861</v>
      </c>
      <c r="K19" s="0" t="n">
        <f aca="false">K15+K16+K17+K18</f>
        <v>11024.8236103786</v>
      </c>
      <c r="L19" s="0" t="n">
        <f aca="false">L15+L16+L17+L18</f>
        <v>11355.56831869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9601.15315315315</v>
      </c>
      <c r="D21" s="0" t="n">
        <f aca="false">D19*D20</f>
        <v>5655.27083840597</v>
      </c>
      <c r="E21" s="0" t="n">
        <f aca="false">E19*E20</f>
        <v>4951.18084922029</v>
      </c>
      <c r="F21" s="0" t="n">
        <f aca="false">F19*F20</f>
        <v>4638.94421908928</v>
      </c>
      <c r="G21" s="0" t="n">
        <f aca="false">G19*G20</f>
        <v>4498.90338680763</v>
      </c>
      <c r="H21" s="0" t="n">
        <f aca="false">H19*H20</f>
        <v>4728.17640640558</v>
      </c>
      <c r="I21" s="0" t="n">
        <f aca="false">I19*I20</f>
        <v>4541.29766000325</v>
      </c>
      <c r="J21" s="0" t="n">
        <f aca="false">J19*J20</f>
        <v>4644.62435102457</v>
      </c>
      <c r="K21" s="0" t="n">
        <f aca="false">K19*K20</f>
        <v>4309.87665004982</v>
      </c>
      <c r="L21" s="0" t="n">
        <f aca="false">L19*L20</f>
        <v>3999.25490950569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51568.6824236652</v>
      </c>
    </row>
    <row r="31" customFormat="false" ht="15" hidden="false" customHeight="false" outlineLevel="0" collapsed="false">
      <c r="A31" s="0" t="s">
        <v>130</v>
      </c>
      <c r="B31" s="0" t="n">
        <f aca="false">L19</f>
        <v>11355.56831869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146202.942103134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204400.22973642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146202.942103134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51490.4069598857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103059.089383551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103059.089383551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15.2511180962682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-0.149407802773665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15.2511180962682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97468.6280687559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10.0161965963772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84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2</v>
      </c>
      <c r="D5" s="4" t="n">
        <f aca="false">Assumptions!D41</f>
        <v>3</v>
      </c>
      <c r="E5" s="4" t="n">
        <f aca="false">Assumptions!E41</f>
        <v>6</v>
      </c>
      <c r="F5" s="4" t="n">
        <f aca="false">Assumptions!F41</f>
        <v>6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4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64000</v>
      </c>
      <c r="C6" s="0" t="n">
        <f aca="false">B6*(1+C5/100)</f>
        <v>65280</v>
      </c>
      <c r="D6" s="0" t="n">
        <f aca="false">C6*(1+D5/100)</f>
        <v>67238.4</v>
      </c>
      <c r="E6" s="0" t="n">
        <f aca="false">D6*(1+E5/100)</f>
        <v>71272.704</v>
      </c>
      <c r="F6" s="0" t="n">
        <f aca="false">E6*(1+F5/100)</f>
        <v>75549.06624</v>
      </c>
      <c r="G6" s="0" t="n">
        <f aca="false">F6*(1+G5/100)</f>
        <v>80082.0102144</v>
      </c>
      <c r="H6" s="0" t="n">
        <f aca="false">G6*(1+H5/100)</f>
        <v>84086.11072512</v>
      </c>
      <c r="I6" s="0" t="n">
        <f aca="false">H6*(1+I5/100)</f>
        <v>88290.416261376</v>
      </c>
      <c r="J6" s="0" t="n">
        <f aca="false">I6*(1+J5/100)</f>
        <v>91822.0329118311</v>
      </c>
      <c r="K6" s="0" t="n">
        <f aca="false">J6*(1+K5/100)</f>
        <v>95494.9142283043</v>
      </c>
      <c r="L6" s="0" t="n">
        <f aca="false">K6*(1+L5/100)</f>
        <v>99314.7107974365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36</v>
      </c>
      <c r="D7" s="4" t="n">
        <f aca="false">Assumptions!D42</f>
        <v>34</v>
      </c>
      <c r="E7" s="4" t="n">
        <f aca="false">Assumptions!E42</f>
        <v>33</v>
      </c>
      <c r="F7" s="4" t="n">
        <f aca="false">Assumptions!F42</f>
        <v>33</v>
      </c>
      <c r="G7" s="4" t="n">
        <f aca="false">Assumptions!G42</f>
        <v>33</v>
      </c>
      <c r="H7" s="4" t="n">
        <f aca="false">Assumptions!H42</f>
        <v>33</v>
      </c>
      <c r="I7" s="4" t="n">
        <f aca="false">Assumptions!I42</f>
        <v>33</v>
      </c>
      <c r="J7" s="4" t="n">
        <f aca="false">Assumptions!J42</f>
        <v>33</v>
      </c>
      <c r="K7" s="4" t="n">
        <f aca="false">Assumptions!K42</f>
        <v>33</v>
      </c>
      <c r="L7" s="4" t="n">
        <f aca="false">Assumptions!L42</f>
        <v>33</v>
      </c>
    </row>
    <row r="8" customFormat="false" ht="15" hidden="false" customHeight="false" outlineLevel="0" collapsed="false">
      <c r="A8" s="0" t="s">
        <v>44</v>
      </c>
      <c r="C8" s="0" t="n">
        <f aca="false">C6*C7/100</f>
        <v>23500.8</v>
      </c>
      <c r="D8" s="0" t="n">
        <f aca="false">D6*D7/100</f>
        <v>22861.056</v>
      </c>
      <c r="E8" s="0" t="n">
        <f aca="false">E6*E7/100</f>
        <v>23519.99232</v>
      </c>
      <c r="F8" s="0" t="n">
        <f aca="false">F6*F7/100</f>
        <v>24931.1918592</v>
      </c>
      <c r="G8" s="0" t="n">
        <f aca="false">G6*G7/100</f>
        <v>26427.063370752</v>
      </c>
      <c r="H8" s="0" t="n">
        <f aca="false">H6*H7/100</f>
        <v>27748.4165392896</v>
      </c>
      <c r="I8" s="0" t="n">
        <f aca="false">I6*I7/100</f>
        <v>29135.8373662541</v>
      </c>
      <c r="J8" s="0" t="n">
        <f aca="false">J6*J7/100</f>
        <v>30301.2708609043</v>
      </c>
      <c r="K8" s="0" t="n">
        <f aca="false">K6*K7/100</f>
        <v>31513.3216953404</v>
      </c>
      <c r="L8" s="0" t="n">
        <f aca="false">L6*L7/100</f>
        <v>32773.8545631541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23500.8</v>
      </c>
      <c r="D11" s="0" t="n">
        <f aca="false">D8+D10+D24</f>
        <v>22861.056</v>
      </c>
      <c r="E11" s="0" t="n">
        <f aca="false">E8+E10+E24</f>
        <v>23519.99232</v>
      </c>
      <c r="F11" s="0" t="n">
        <f aca="false">F8+F10+F24</f>
        <v>24931.1918592</v>
      </c>
      <c r="G11" s="0" t="n">
        <f aca="false">G8+G10+G24</f>
        <v>26427.063370752</v>
      </c>
      <c r="H11" s="0" t="n">
        <f aca="false">H8+H10+H24</f>
        <v>27748.4165392896</v>
      </c>
      <c r="I11" s="0" t="n">
        <f aca="false">I8+I10+I24</f>
        <v>29135.8373662541</v>
      </c>
      <c r="J11" s="0" t="n">
        <f aca="false">J8+J10+J24</f>
        <v>30301.2708609043</v>
      </c>
      <c r="K11" s="0" t="n">
        <f aca="false">K8+K10+K24</f>
        <v>31513.3216953404</v>
      </c>
      <c r="L11" s="0" t="n">
        <f aca="false">L8+L10+L24</f>
        <v>32773.8545631541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23500.8</v>
      </c>
      <c r="D13" s="0" t="n">
        <f aca="false">D11+D12</f>
        <v>22861.056</v>
      </c>
      <c r="E13" s="0" t="n">
        <f aca="false">E11+E12</f>
        <v>23519.99232</v>
      </c>
      <c r="F13" s="0" t="n">
        <f aca="false">F11+F12</f>
        <v>24931.1918592</v>
      </c>
      <c r="G13" s="0" t="n">
        <f aca="false">G11+G12</f>
        <v>26427.063370752</v>
      </c>
      <c r="H13" s="0" t="n">
        <f aca="false">H11+H12</f>
        <v>27748.4165392896</v>
      </c>
      <c r="I13" s="0" t="n">
        <f aca="false">I11+I12</f>
        <v>29135.8373662541</v>
      </c>
      <c r="J13" s="0" t="n">
        <f aca="false">J11+J12</f>
        <v>30301.2708609043</v>
      </c>
      <c r="K13" s="0" t="n">
        <f aca="false">K11+K12</f>
        <v>31513.3216953404</v>
      </c>
      <c r="L13" s="0" t="n">
        <f aca="false">L11+L12</f>
        <v>32773.8545631541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20</v>
      </c>
      <c r="D14" s="4" t="n">
        <f aca="false">Assumptions!D47</f>
        <v>20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18800.64</v>
      </c>
      <c r="D15" s="0" t="n">
        <f aca="false">D13-MAX(0,D13)*D14/100</f>
        <v>18288.8448</v>
      </c>
      <c r="E15" s="0" t="n">
        <f aca="false">E13-MAX(0,E13)*E14/100</f>
        <v>18815.993856</v>
      </c>
      <c r="F15" s="0" t="n">
        <f aca="false">F13-MAX(0,F13)*F14/100</f>
        <v>19944.95348736</v>
      </c>
      <c r="G15" s="0" t="n">
        <f aca="false">G13-MAX(0,G13)*G14/100</f>
        <v>21141.6506966016</v>
      </c>
      <c r="H15" s="0" t="n">
        <f aca="false">H13-MAX(0,H13)*H14/100</f>
        <v>22198.7332314317</v>
      </c>
      <c r="I15" s="0" t="n">
        <f aca="false">I13-MAX(0,I13)*I14/100</f>
        <v>23308.6698930033</v>
      </c>
      <c r="J15" s="0" t="n">
        <f aca="false">J13-MAX(0,J13)*J14/100</f>
        <v>24241.0166887234</v>
      </c>
      <c r="K15" s="0" t="n">
        <f aca="false">K13-MAX(0,K13)*K14/100</f>
        <v>25210.6573562723</v>
      </c>
      <c r="L15" s="0" t="n">
        <f aca="false">L13-MAX(0,L13)*L14/100</f>
        <v>26219.0836505232</v>
      </c>
    </row>
    <row r="16" customFormat="false" ht="15" hidden="false" customHeight="false" outlineLevel="0" collapsed="false">
      <c r="A16" s="0" t="s">
        <v>121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-6528</v>
      </c>
      <c r="D17" s="4" t="n">
        <f aca="false">-D6*Assumptions!D46/100</f>
        <v>-8472.0384</v>
      </c>
      <c r="E17" s="4" t="n">
        <f aca="false">-E6*Assumptions!E46/100</f>
        <v>-10690.9056</v>
      </c>
      <c r="F17" s="4" t="n">
        <f aca="false">-F6*Assumptions!F46/100</f>
        <v>-11332.359936</v>
      </c>
      <c r="G17" s="4" t="n">
        <f aca="false">-G6*Assumptions!G46/100</f>
        <v>-12012.30153216</v>
      </c>
      <c r="H17" s="4" t="n">
        <f aca="false">-H6*Assumptions!H46/100</f>
        <v>-10594.8499513651</v>
      </c>
      <c r="I17" s="4" t="n">
        <f aca="false">-I6*Assumptions!I46/100</f>
        <v>-11124.5924489334</v>
      </c>
      <c r="J17" s="4" t="n">
        <f aca="false">-J6*Assumptions!J46/100</f>
        <v>-9365.84735700677</v>
      </c>
      <c r="K17" s="4" t="n">
        <f aca="false">-K6*Assumptions!K46/100</f>
        <v>-9740.48125128704</v>
      </c>
      <c r="L17" s="4" t="n">
        <f aca="false">-L6*Assumptions!L46/100</f>
        <v>-10130.1005013385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12272.64</v>
      </c>
      <c r="D19" s="0" t="n">
        <f aca="false">D15+D16+D17+D18</f>
        <v>9816.8064</v>
      </c>
      <c r="E19" s="0" t="n">
        <f aca="false">E15+E16+E17+E18</f>
        <v>8125.088256</v>
      </c>
      <c r="F19" s="0" t="n">
        <f aca="false">F15+F16+F17+F18</f>
        <v>8612.59355136</v>
      </c>
      <c r="G19" s="0" t="n">
        <f aca="false">G15+G16+G17+G18</f>
        <v>9129.34916444161</v>
      </c>
      <c r="H19" s="0" t="n">
        <f aca="false">H15+H16+H17+H18</f>
        <v>11603.8832800666</v>
      </c>
      <c r="I19" s="0" t="n">
        <f aca="false">I15+I16+I17+I18</f>
        <v>12184.0774440699</v>
      </c>
      <c r="J19" s="0" t="n">
        <f aca="false">J15+J16+J17+J18</f>
        <v>14875.1693317166</v>
      </c>
      <c r="K19" s="0" t="n">
        <f aca="false">K15+K16+K17+K18</f>
        <v>15470.1761049853</v>
      </c>
      <c r="L19" s="0" t="n">
        <f aca="false">L15+L16+L17+L18</f>
        <v>16088.9831491847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11106.4615384615</v>
      </c>
      <c r="D21" s="0" t="n">
        <f aca="false">D19*D20</f>
        <v>8039.8078663418</v>
      </c>
      <c r="E21" s="0" t="n">
        <f aca="false">E19*E20</f>
        <v>6022.00695821449</v>
      </c>
      <c r="F21" s="0" t="n">
        <f aca="false">F19*F20</f>
        <v>5776.76685584376</v>
      </c>
      <c r="G21" s="0" t="n">
        <f aca="false">G19*G20</f>
        <v>5541.51390696325</v>
      </c>
      <c r="H21" s="0" t="n">
        <f aca="false">H19*H20</f>
        <v>6374.25867364432</v>
      </c>
      <c r="I21" s="0" t="n">
        <f aca="false">I19*I20</f>
        <v>6056.98787993352</v>
      </c>
      <c r="J21" s="0" t="n">
        <f aca="false">J19*J20</f>
        <v>6692.11960135877</v>
      </c>
      <c r="K21" s="0" t="n">
        <f aca="false">K19*K20</f>
        <v>6298.4655071612</v>
      </c>
      <c r="L21" s="0" t="n">
        <f aca="false">L19*L20</f>
        <v>5927.96753615172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67836.3563240744</v>
      </c>
    </row>
    <row r="31" customFormat="false" ht="15" hidden="false" customHeight="false" outlineLevel="0" collapsed="false">
      <c r="A31" s="0" t="s">
        <v>130</v>
      </c>
      <c r="B31" s="0" t="n">
        <f aca="false">L19</f>
        <v>16088.9831491847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237887.107991517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289601.696685325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237887.107991517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87649.2342845289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155485.590608603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155485.590608603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23.0094125498677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0.283291274393068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23.0094125498677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144800.848342662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13.5445912080714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6.84389159294625</v>
      </c>
      <c r="C4" s="0" t="n">
        <f aca="false">B4/Assumptions!$B$2-1</f>
        <v>-0.618299409205452</v>
      </c>
      <c r="D4" s="4" t="n">
        <f aca="false">Assumptions!$B$24</f>
        <v>0.3</v>
      </c>
      <c r="E4" s="4" t="n">
        <f aca="false">DCF_Bear!$B$43</f>
        <v>6.84389159294625</v>
      </c>
      <c r="F4" s="4" t="n">
        <f aca="false">DCF_Bear!$B$47</f>
        <v>5.17764271301482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15.2511180962682</v>
      </c>
      <c r="C5" s="0" t="n">
        <f aca="false">B5/Assumptions!$B$2-1</f>
        <v>-0.149407802773665</v>
      </c>
      <c r="D5" s="4" t="n">
        <f aca="false">Assumptions!$B$38</f>
        <v>0.45</v>
      </c>
      <c r="E5" s="4" t="n">
        <f aca="false">DCF_Base!$B$43</f>
        <v>15.2511180962682</v>
      </c>
      <c r="F5" s="4" t="n">
        <f aca="false">DCF_Base!$B$47</f>
        <v>10.0161965963772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23.0094125498677</v>
      </c>
      <c r="C6" s="0" t="n">
        <f aca="false">B6/Assumptions!$B$2-1</f>
        <v>0.283291274393068</v>
      </c>
      <c r="D6" s="4" t="n">
        <f aca="false">Assumptions!$B$52</f>
        <v>0.25</v>
      </c>
      <c r="E6" s="4" t="n">
        <f aca="false">DCF_Bull!$B$43</f>
        <v>23.0094125498677</v>
      </c>
      <c r="F6" s="4" t="n">
        <f aca="false">DCF_Bull!$B$47</f>
        <v>13.5445912080714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14.6685237586715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14.6685237586715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-0.222345226758109</v>
      </c>
    </row>
    <row r="11" customFormat="false" ht="15" hidden="false" customHeight="false" outlineLevel="0" collapsed="false">
      <c r="A11" s="0" t="s">
        <v>157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9.44672908429206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20.5410841241153</v>
      </c>
      <c r="C15" s="3" t="n">
        <v>9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17.5137744884367</v>
      </c>
      <c r="C16" s="3" t="n">
        <v>10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15.2511180962682</v>
      </c>
      <c r="C17" s="3" t="n">
        <v>11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13.4976947423561</v>
      </c>
      <c r="C18" s="3" t="n">
        <v>12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10.0161965963772</v>
      </c>
      <c r="C19" s="3" t="n">
        <v>15</v>
      </c>
    </row>
    <row r="21" customFormat="false" ht="15" hidden="false" customHeight="false" outlineLevel="0" collapsed="false">
      <c r="A21" s="2" t="s">
        <v>166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18.6988853631173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19.5491309451164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20.5410841241153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21.1326158363624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21.1326158363624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16.241144759304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16.8350386328993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17.5137744884367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18.296931244826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19.2106141272803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14.3387187777433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14.7680831629315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15.2511180962682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15.7985576873831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16.4242029343715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12.8243777973394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13.1433174028736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13.4976947423561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13.8937635335425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14.3393409236271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11.5917511166503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11.8339132793151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12.1002916582463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12.3947098665388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12.7218412090859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2026-10-22T15:16:09Z</dcterms:created>
  <dc:creator>openpyxl</dc:creator>
  <dc:description/>
  <dc:language>en-NZ</dc:language>
  <cp:lastModifiedBy/>
  <dcterms:modified xsi:type="dcterms:W3CDTF">2026-10-22T15:16:09Z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