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<sst xmlns="http://schemas.openxmlformats.org/spreadsheetml/2006/main" count="361" uniqueCount="169">
  <si>
    <t xml:space="preserve">Ticker</t>
  </si>
  <si>
    <t xml:space="preserve">HMSO.L</t>
  </si>
  <si>
    <t xml:space="preserve">Company</t>
  </si>
  <si>
    <t xml:space="preserve">Hammerson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</si>
  <si>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</si>
  <si>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</si>
  <si>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</si>
  <si>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</si>
  <si>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2026-10-09T15:35:19Z regular London close (Yahoo Finance chart API)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</si>
  <si>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</si>
  <si>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</si>
  <si>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</si>
  <si>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</si>
  <si>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</si>
  <si>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</si>
  <si>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</si>
  <si>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</si>
  <si>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</si>
  <si>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</si>
  <si>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</si>
  <si>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</si>
  <si>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</si>
  <si>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2026-10-10T00:50:17Z</t>
  </si>
  <si>
    <t xml:space="preserve">Drivers file</t>
  </si>
  <si>
    <t xml:space="preserve">HMSO.L_Drivers.json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</si>
  <si>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</si>
  <si>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</si>
  <si>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</si>
  <si>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Capitalise the equity income stream a shareholder actually receives (EPRA earnings less maintenance capex, already after interest), at a GBP cost of equity, and credit the non-income-producing strategic land separately at a haircut. Do not deduct debt again, do not treat revaluation gains as earnings, and do not use NTA as the value: NTA is an appraisal cross-check, and for a geared retail REIT the income-based value sits below it whenever the equity cap rate (CoE less growth) is wider than the property yield after overheads and leverage. The 15% hurdle entry price is far below intrinsic value, as it must be for an asset discounted at 9.5%.
key_risks_to_valuation: Cost of equity: each 100bps on the 9.5% CoE moves base value by roughly 12-15%; the sensitivity grid covers 7.5-11.5%.; Maintenance capex definition: deducting the full GBP70-85m FY26 capex (including repositioning and development) instead of the GBP30-40m asset-enhancement line would cut value by c.100p/share; crediting none of it would add c.60p. The split is a judgment anchored to management's own guidance categories.; Refinancing of the 2027 euro bonds and RCFs: the base assumes the margin plateau already absorbs the coupon step-up; a wider credit spread or a rating reversal would push the margin toward the bear path.; Further acquisitions funded by placings below NTA (355p vs 394p) are accretive to EPS but dilutive to NTA; the model does not assume any, in either direction.; Strategic land credited at 50% of GBP291m book (c.25p/share); realisation depends on planning and development execution outside the flows.; Price is in pence against GBP millions in the statements; fx_rate 100 is a unit conversion, not a currency exposure. Euro-denominated income and bonds create a modest GBP/EUR translation exposure that flows through NTA, not the model.</t>
  </si>
  <si>
    <t xml:space="preserve">Data sources</t>
  </si>
  <si>
    <t xml:space="preserve">price: Yahoo Finance chart API at inputs.price_as_of (regular London close, GBp); 52-week range 280.4-391.8.
financials: HMSO.L_Metrics.csv (annual FY2017-FY2025, interims through H1 FY2026, GBP millions) derived from core_metrics; FY25 AR (HMSO.L_Annual_FY2025.txt) EPRA earnings analysis lines 1536-1550, share count note 10A lines 9053-9065, cash flow and share-based payments line 9974; H1 FY26 results presentation (HMSO.L_HalfYear_H1-2026.txt) pp.12-19 for net debt, NTA, pro forma leverage and FY26 guidance.
qualitative: HMSO.L_Analysis.json (2026-10-10): business model, Manchester Arndale acquisition and placing terms (585,217,753 shares), medium-term guidance, bull/bear cases, risk register.</t>
  </si>
  <si>
    <t xml:space="preserve">Scenario narrative: bear</t>
  </si>
  <si>
    <t xml:space="preserve">A UK consumer downturn and 'higher for longer' rates arrive together: occupier failures and negative reversion flatten NRI from FY28, vacancy costs push the cost ratio back above 30%, and the 2027 bond and RCF maturities refinance at today's coupons with no offsetting deleveraging, so the post-interest margin compresses to 55%. Defensive and MEES capex rises to 17% of NRI. Leverage already sits above the company's own guiderails (8.1x annualised, LTV 39%), so there is no balance-sheet cushion and a further dilutive placing becomes likely; this is the re-leveraging-into-a-downturn pattern that forced the 2020 rights issue.</t>
  </si>
  <si>
    <t xml:space="preserve">Scenario narrative: base</t>
  </si>
  <si>
    <t xml:space="preserve">Hammerson delivers FY26 guidance (EPRA earnings c.GBP132m, NRI +28%) as the Bullring, Brent Cross and Oracle buy-outs annualise and Manchester Arndale contributes from H2. FY27 carries the full-year Arndale uplift; thereafter growth is like-for-like only, decelerating from the guided 4-5% to 2.5% as the reversionary gap closes. The EPRA cost ratio keeps falling but the 2027 refinancing of cheap 2017-vintage euro bonds absorbs much of that gain, so the post-interest margin plateaus around 61.5% of NRI. Maintenance capex of 13-15% of NRI is deducted; strategic land is credited at half of book. Capitalised at a 9.5% GBP cost of equity with 2.5% terminal growth. No further acquisitions or placings assumed.</t>
  </si>
  <si>
    <t xml:space="preserve">Scenario narrative: bull</t>
  </si>
  <si>
    <t xml:space="preserve">The polarisation thesis holds: flagship footfall and sales keep beating national benchmarks, leasing spreads stay double-digit, and LfL NRI runs at 5-6% for several years while Arndale re-letting and Cergy 3 add on top, landing at the top of the 6-8% EPS CAGR guidance. The cost ratio reaches the mid-20s, deleveraging toward the 6-8x guiderail trims finance costs, and the equity margin widens to 63%. Terminal growth 3%. This is the scenario in which the 17% discount to NTA closes.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</si>
  <si>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</si>
  <si>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</si>
  <si>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</si>
  <si>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</si>
  <si>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</si>
  <si>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</si>
  <si>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</si>
  <si>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</si>
  <si>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</si>
  <si>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</si>
  <si>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</si>
  <si>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</si>
  <si>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</si>
  <si>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</si>
  <si>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</si>
  <si>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</si>
  <si>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</si>
  <si>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</si>
  <si>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</si>
  <si>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</si>
  <si>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</si>
  <si>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</si>
  <si>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</si>
  <si>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</si>
  <si>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</si>
  <si>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</si>
  <si>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</si>
  <si>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Gearing</t>
  </si>
  <si>
    <t xml:space="preserve">NTAPerShare</t>
  </si>
  <si>
    <t xml:space="preserve">NetIncomeContinuing</t>
  </si>
  <si>
    <t xml:space="preserve">NetIncomeDiscontinued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</si>
  <si>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</si>
  <si>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</si>
  <si>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</si>
  <si>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</si>
  <si>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</si>
  <si>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</si>
  <si>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</si>
  <si>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</si>
  <si>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</si>
  <si>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</si>
  <si>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</si>
  <si>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</si>
  <si>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</si>
  <si>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</si>
  <si>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</si>
  <si>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</si>
  <si>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</si>
  <si>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</si>
  <si>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</si>
  <si>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</si>
  <si>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</si>
  <si>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</si>
  <si>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</si>
  <si>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</si>
  <si>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</si>
  <si>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</si>
  <si>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</si>
  <si>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</si>
  <si>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</si>
  <si>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</si>
  <si>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</si>
  <si>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</si>
  <si>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</si>
  <si>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</si>
  <si>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</si>
  <si>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</si>
  <si>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</si>
  <si>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</si>
  <si>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</si>
  <si>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</si>
  <si>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</si>
  <si>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</si>
  <si>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</si>
  <si>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</si>
  <si>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</si>
  <si>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</si>
  <si>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HMSO.L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</si>
  <si>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</si>
  <si>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</si>
  <si>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</si>
  <si>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</si>
  <si>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</si>
  <si>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</si>
  <si>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</si>
  <si>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</si>
  <si>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</si>
  <si>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</si>
  <si>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</si>
  <si>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</si>
  <si>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</si>
  <si>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</si>
  <si>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</si>
  <si>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</si>
  <si>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</si>
  <si>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</si>
  <si>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</si>
  <si>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</si>
  <si>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</si>
  <si>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</si>
  <si>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</si>
  <si>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</si>
  <si>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</si>
  <si>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</si>
  <si>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</si>
  <si>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</si>
  <si>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</si>
  <si>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</si>
  <si>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HMSO.L owner-FCF component DCF: base case (millions, GBP)</t>
  </si>
  <si>
    <t xml:space="preserve">HMSO.L owner-FCF component DCF: bull case (millions, GBP)</t>
  </si>
  <si>
    <t xml:space="preserve">HMSO.L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</si>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</sst>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326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I2" s="0" t="n">
        <v>388.4</v>
      </c>
      <c r="K2" s="0" t="n">
        <v>2.24</v>
      </c>
      <c r="L2" s="0" t="n">
        <v>139.3</v>
      </c>
      <c r="M2" s="0" t="n">
        <v>113.4</v>
      </c>
      <c r="N2" s="0" t="n">
        <v>25.9</v>
      </c>
      <c r="O2" s="0" t="n">
        <v>6023.5</v>
      </c>
      <c r="P2" s="0" t="n">
        <v>9875.7</v>
      </c>
      <c r="Q2" s="0" t="n">
        <v>3838.2</v>
      </c>
      <c r="S2" s="0" t="n">
        <v>205.9</v>
      </c>
      <c r="T2" s="0" t="n">
        <v>173.4</v>
      </c>
      <c r="U2" s="0" t="n">
        <v>4</v>
      </c>
      <c r="V2" s="0" t="n">
        <v>1.16</v>
      </c>
      <c r="AA2" s="0" t="s">
        <v>18</v>
      </c>
      <c r="AB2" s="0" t="s">
        <v>14</v>
      </c>
      <c r="AC2" s="0" t="n">
        <v>58</v>
      </c>
      <c r="AD2" s="0" t="n">
        <v>15.5</v>
      </c>
    </row>
    <row r="3" customFormat="false" ht="15" hidden="false" customHeight="false" outlineLevel="0" collapsed="false">
      <c r="A3" s="0" t="s">
        <v>69</v>
      </c>
      <c r="B3" s="0" t="n">
        <v>224.8</v>
      </c>
      <c r="F3" s="0" t="n">
        <v>-49</v>
      </c>
      <c r="G3" s="0" t="n">
        <v>-21.8</v>
      </c>
      <c r="I3" s="0" t="n">
        <v>-268.1</v>
      </c>
      <c r="J3" s="0" t="n">
        <v>-119.3</v>
      </c>
      <c r="K3" s="0" t="n">
        <v>-1.56</v>
      </c>
      <c r="L3" s="0" t="n">
        <v>114.5</v>
      </c>
      <c r="M3" s="0" t="n">
        <v>149.6</v>
      </c>
      <c r="N3" s="0" t="n">
        <v>-35.1</v>
      </c>
      <c r="O3" s="0" t="n">
        <v>5432.6</v>
      </c>
      <c r="P3" s="0" t="n">
        <v>8922</v>
      </c>
      <c r="Q3" s="0" t="n">
        <v>3489.1</v>
      </c>
      <c r="R3" s="0" t="n">
        <v>3013.9</v>
      </c>
      <c r="S3" s="0" t="n">
        <v>31.2</v>
      </c>
      <c r="T3" s="0" t="n">
        <v>171.9</v>
      </c>
      <c r="U3" s="0" t="n">
        <v>1.3</v>
      </c>
      <c r="V3" s="0" t="n">
        <v>1.18</v>
      </c>
      <c r="AA3" s="0" t="s">
        <v>18</v>
      </c>
      <c r="AB3" s="0" t="s">
        <v>14</v>
      </c>
      <c r="AC3" s="0" t="n">
        <v>63</v>
      </c>
      <c r="AD3" s="0" t="n">
        <v>14.8</v>
      </c>
    </row>
    <row r="4" customFormat="false" ht="15" hidden="false" customHeight="false" outlineLevel="0" collapsed="false">
      <c r="A4" s="0" t="s">
        <v>70</v>
      </c>
      <c r="B4" s="0" t="n">
        <v>190.3</v>
      </c>
      <c r="F4" s="0" t="n">
        <v>-499.2</v>
      </c>
      <c r="G4" s="0" t="n">
        <v>-262.3</v>
      </c>
      <c r="I4" s="0" t="n">
        <v>-781.2</v>
      </c>
      <c r="J4" s="0" t="n">
        <v>-410.5</v>
      </c>
      <c r="K4" s="0" t="n">
        <v>-4.66</v>
      </c>
      <c r="L4" s="0" t="n">
        <v>167.1</v>
      </c>
      <c r="M4" s="0" t="n">
        <v>79.9</v>
      </c>
      <c r="N4" s="0" t="n">
        <v>87.2</v>
      </c>
      <c r="O4" s="0" t="n">
        <v>4377</v>
      </c>
      <c r="P4" s="0" t="n">
        <v>7315.4</v>
      </c>
      <c r="Q4" s="0" t="n">
        <v>2938.2</v>
      </c>
      <c r="R4" s="0" t="n">
        <v>2504.9</v>
      </c>
      <c r="S4" s="0" t="n">
        <v>28.2</v>
      </c>
      <c r="T4" s="0" t="n">
        <v>167.6</v>
      </c>
      <c r="U4" s="0" t="n">
        <v>1.3</v>
      </c>
      <c r="V4" s="0" t="n">
        <v>0.51</v>
      </c>
      <c r="AA4" s="0" t="s">
        <v>18</v>
      </c>
      <c r="AB4" s="0" t="s">
        <v>14</v>
      </c>
      <c r="AC4" s="0" t="n">
        <v>71</v>
      </c>
      <c r="AD4" s="0" t="n">
        <v>11.6</v>
      </c>
    </row>
    <row r="5" customFormat="false" ht="15" hidden="false" customHeight="false" outlineLevel="0" collapsed="false">
      <c r="A5" s="0" t="s">
        <v>71</v>
      </c>
      <c r="B5" s="0" t="n">
        <v>145.8</v>
      </c>
      <c r="F5" s="0" t="n">
        <v>-1664.1</v>
      </c>
      <c r="G5" s="0" t="n">
        <v>-1141.4</v>
      </c>
      <c r="I5" s="0" t="n">
        <v>-1734.8</v>
      </c>
      <c r="J5" s="0" t="n">
        <v>-1189.8</v>
      </c>
      <c r="K5" s="0" t="n">
        <v>-6.24</v>
      </c>
      <c r="L5" s="0" t="n">
        <v>-82.4</v>
      </c>
      <c r="M5" s="0" t="n">
        <v>68.1</v>
      </c>
      <c r="N5" s="0" t="n">
        <v>-150.5</v>
      </c>
      <c r="O5" s="0" t="n">
        <v>3208.8</v>
      </c>
      <c r="P5" s="0" t="n">
        <v>5906.3</v>
      </c>
      <c r="Q5" s="0" t="n">
        <v>2697.4</v>
      </c>
      <c r="R5" s="0" t="n">
        <v>2258.7</v>
      </c>
      <c r="S5" s="0" t="n">
        <v>409.5</v>
      </c>
      <c r="T5" s="0" t="n">
        <v>278</v>
      </c>
      <c r="U5" s="0" t="n">
        <v>0.6</v>
      </c>
      <c r="V5" s="0" t="n">
        <v>0.04</v>
      </c>
      <c r="AA5" s="0" t="s">
        <v>18</v>
      </c>
      <c r="AB5" s="0" t="s">
        <v>14</v>
      </c>
      <c r="AC5" s="0" t="n">
        <v>70</v>
      </c>
      <c r="AD5" s="0" t="n">
        <v>8.2</v>
      </c>
    </row>
    <row r="6" customFormat="false" ht="15" hidden="false" customHeight="false" outlineLevel="0" collapsed="false">
      <c r="A6" s="0" t="s">
        <v>72</v>
      </c>
      <c r="B6" s="0" t="n">
        <v>134.8</v>
      </c>
      <c r="F6" s="0" t="n">
        <v>-310.1</v>
      </c>
      <c r="G6" s="0" t="n">
        <v>-230</v>
      </c>
      <c r="I6" s="0" t="n">
        <v>-429.1</v>
      </c>
      <c r="J6" s="0" t="n">
        <v>-318.3</v>
      </c>
      <c r="K6" s="0" t="n">
        <v>-0.873</v>
      </c>
      <c r="L6" s="0" t="n">
        <v>-70.3</v>
      </c>
      <c r="M6" s="0" t="n">
        <v>76.9</v>
      </c>
      <c r="N6" s="0" t="n">
        <v>-147.2</v>
      </c>
      <c r="O6" s="0" t="n">
        <v>2745.9</v>
      </c>
      <c r="P6" s="0" t="n">
        <v>4913.9</v>
      </c>
      <c r="Q6" s="0" t="n">
        <v>2167.9</v>
      </c>
      <c r="R6" s="0" t="n">
        <v>1834.8</v>
      </c>
      <c r="S6" s="0" t="n">
        <v>309.7</v>
      </c>
      <c r="T6" s="0" t="n">
        <v>491.5</v>
      </c>
      <c r="U6" s="0" t="n">
        <v>1.5</v>
      </c>
      <c r="V6" s="0" t="n">
        <v>0.04</v>
      </c>
      <c r="AA6" s="0" t="s">
        <v>18</v>
      </c>
      <c r="AB6" s="0" t="s">
        <v>14</v>
      </c>
      <c r="AC6" s="0" t="n">
        <v>66.4</v>
      </c>
      <c r="AD6" s="0" t="n">
        <v>6.42</v>
      </c>
    </row>
    <row r="7" customFormat="false" ht="15" hidden="false" customHeight="false" outlineLevel="0" collapsed="false">
      <c r="A7" s="0" t="s">
        <v>73</v>
      </c>
      <c r="B7" s="0" t="n">
        <v>131.4</v>
      </c>
      <c r="F7" s="0" t="n">
        <v>-101</v>
      </c>
      <c r="G7" s="0" t="n">
        <v>-76.9</v>
      </c>
      <c r="I7" s="0" t="n">
        <v>-164.2</v>
      </c>
      <c r="J7" s="0" t="n">
        <v>-125</v>
      </c>
      <c r="K7" s="0" t="n">
        <v>-0.332</v>
      </c>
      <c r="L7" s="0" t="n">
        <v>69.6</v>
      </c>
      <c r="M7" s="0" t="n">
        <v>36.4</v>
      </c>
      <c r="N7" s="0" t="n">
        <v>33.2</v>
      </c>
      <c r="O7" s="0" t="n">
        <v>2586.4</v>
      </c>
      <c r="P7" s="0" t="n">
        <v>4536.4</v>
      </c>
      <c r="Q7" s="0" t="n">
        <v>1950</v>
      </c>
      <c r="R7" s="0" t="n">
        <v>1646.4</v>
      </c>
      <c r="S7" s="0" t="n">
        <v>218.8</v>
      </c>
      <c r="T7" s="0" t="n">
        <v>494.9</v>
      </c>
      <c r="U7" s="0" t="n">
        <v>1.5</v>
      </c>
      <c r="V7" s="0" t="n">
        <v>0.02</v>
      </c>
      <c r="AA7" s="0" t="s">
        <v>18</v>
      </c>
      <c r="AB7" s="0" t="s">
        <v>14</v>
      </c>
      <c r="AC7" s="0" t="n">
        <v>67.8</v>
      </c>
      <c r="AD7" s="0" t="n">
        <v>5.26</v>
      </c>
    </row>
    <row r="8" customFormat="false" ht="15" hidden="false" customHeight="false" outlineLevel="0" collapsed="false">
      <c r="A8" s="0" t="s">
        <v>74</v>
      </c>
      <c r="B8" s="0" t="n">
        <v>134.3</v>
      </c>
      <c r="F8" s="0" t="n">
        <v>-14.6</v>
      </c>
      <c r="G8" s="0" t="n">
        <v>-10.9</v>
      </c>
      <c r="I8" s="0" t="n">
        <v>-51.4</v>
      </c>
      <c r="J8" s="0" t="n">
        <v>-38.3</v>
      </c>
      <c r="K8" s="0" t="n">
        <v>-0.103</v>
      </c>
      <c r="L8" s="0" t="n">
        <v>38.3</v>
      </c>
      <c r="M8" s="0" t="n">
        <v>18.7</v>
      </c>
      <c r="N8" s="0" t="n">
        <v>19.6</v>
      </c>
      <c r="O8" s="0" t="n">
        <v>2462.6</v>
      </c>
      <c r="P8" s="0" t="n">
        <v>4327.8</v>
      </c>
      <c r="Q8" s="0" t="n">
        <v>1865.2</v>
      </c>
      <c r="R8" s="0" t="n">
        <v>1624.5</v>
      </c>
      <c r="S8" s="0" t="n">
        <v>472.3</v>
      </c>
      <c r="T8" s="0" t="n">
        <v>498.2</v>
      </c>
      <c r="U8" s="0" t="n">
        <v>3.6</v>
      </c>
      <c r="V8" s="0" t="n">
        <v>0.15</v>
      </c>
      <c r="AA8" s="0" t="s">
        <v>18</v>
      </c>
      <c r="AB8" s="0" t="s">
        <v>14</v>
      </c>
      <c r="AC8" s="0" t="n">
        <v>54.6</v>
      </c>
      <c r="AD8" s="0" t="n">
        <v>5.08</v>
      </c>
    </row>
    <row r="9" customFormat="false" ht="15" hidden="false" customHeight="false" outlineLevel="0" collapsed="false">
      <c r="A9" s="0" t="s">
        <v>75</v>
      </c>
      <c r="B9" s="0" t="n">
        <v>121.1</v>
      </c>
      <c r="F9" s="0" t="n">
        <v>13.1</v>
      </c>
      <c r="G9" s="0" t="n">
        <v>10.8</v>
      </c>
      <c r="I9" s="0" t="n">
        <v>-526.3</v>
      </c>
      <c r="J9" s="0" t="n">
        <v>-434.6</v>
      </c>
      <c r="K9" s="0" t="n">
        <v>-1.06</v>
      </c>
      <c r="L9" s="0" t="n">
        <v>4.5</v>
      </c>
      <c r="M9" s="0" t="n">
        <v>13.7</v>
      </c>
      <c r="N9" s="0" t="n">
        <v>-9.2</v>
      </c>
      <c r="O9" s="0" t="n">
        <v>1821.1</v>
      </c>
      <c r="P9" s="0" t="n">
        <v>3476.4</v>
      </c>
      <c r="Q9" s="0" t="n">
        <v>1655.3</v>
      </c>
      <c r="R9" s="0" t="n">
        <v>1474.2</v>
      </c>
      <c r="S9" s="0" t="n">
        <v>737.9</v>
      </c>
      <c r="T9" s="0" t="n">
        <v>498.4</v>
      </c>
      <c r="U9" s="0" t="n">
        <v>4.3</v>
      </c>
      <c r="V9" s="0" t="n">
        <v>0.1563</v>
      </c>
      <c r="AA9" s="0" t="s">
        <v>18</v>
      </c>
      <c r="AB9" s="0" t="s">
        <v>14</v>
      </c>
      <c r="AC9" s="0" t="n">
        <v>44.9</v>
      </c>
      <c r="AD9" s="0" t="n">
        <v>3.7</v>
      </c>
      <c r="AE9" s="0" t="n">
        <v>-44.8</v>
      </c>
      <c r="AF9" s="0" t="n">
        <v>-481.5</v>
      </c>
    </row>
    <row r="10" customFormat="false" ht="15" hidden="false" customHeight="false" outlineLevel="0" collapsed="false">
      <c r="A10" s="0" t="s">
        <v>76</v>
      </c>
      <c r="B10" s="0" t="n">
        <v>211.4</v>
      </c>
      <c r="F10" s="0" t="n">
        <v>262.8</v>
      </c>
      <c r="G10" s="0" t="n">
        <v>124.3</v>
      </c>
      <c r="I10" s="0" t="n">
        <v>232.1</v>
      </c>
      <c r="J10" s="0" t="n">
        <v>109.8</v>
      </c>
      <c r="K10" s="0" t="n">
        <v>0.46</v>
      </c>
      <c r="L10" s="0" t="n">
        <v>96.9</v>
      </c>
      <c r="M10" s="0" t="n">
        <v>33.6</v>
      </c>
      <c r="N10" s="0" t="n">
        <v>63.3</v>
      </c>
      <c r="O10" s="0" t="n">
        <v>2094.8</v>
      </c>
      <c r="P10" s="0" t="n">
        <v>3931.2</v>
      </c>
      <c r="Q10" s="0" t="n">
        <v>1836.4</v>
      </c>
      <c r="R10" s="0" t="n">
        <v>1578.2</v>
      </c>
      <c r="S10" s="0" t="n">
        <v>328.5</v>
      </c>
      <c r="T10" s="0" t="n">
        <v>506.3</v>
      </c>
      <c r="U10" s="0" t="n">
        <v>4.5</v>
      </c>
      <c r="V10" s="0" t="n">
        <v>0.165</v>
      </c>
      <c r="AA10" s="0" t="s">
        <v>18</v>
      </c>
      <c r="AB10" s="0" t="s">
        <v>14</v>
      </c>
      <c r="AC10" s="0" t="n">
        <v>66.3</v>
      </c>
      <c r="AD10" s="0" t="n">
        <v>3.94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326</v>
      </c>
    </row>
    <row r="3" customFormat="false" ht="15" hidden="false" customHeight="false" outlineLevel="0" collapsed="false">
      <c r="A3" s="0" t="s">
        <v>80</v>
      </c>
      <c r="B3" s="3" t="n">
        <v>587.3</v>
      </c>
    </row>
    <row r="4" customFormat="false" ht="15" hidden="false" customHeight="false" outlineLevel="0" collapsed="false">
      <c r="A4" s="0" t="s">
        <v>81</v>
      </c>
      <c r="B4" s="3" t="n">
        <v>0</v>
      </c>
    </row>
    <row r="5" customFormat="false" ht="15" hidden="false" customHeight="false" outlineLevel="0" collapsed="false">
      <c r="A5" s="0" t="s">
        <v>82</v>
      </c>
      <c r="B5" s="3" t="n">
        <v>145.5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180.2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100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26</v>
      </c>
      <c r="D13" s="3" t="n">
        <v>5</v>
      </c>
      <c r="E13" s="3" t="n">
        <v>1</v>
      </c>
      <c r="F13" s="3" t="n">
        <v>0</v>
      </c>
      <c r="G13" s="3" t="n">
        <v>0</v>
      </c>
      <c r="H13" s="3" t="n">
        <v>1</v>
      </c>
      <c r="I13" s="3" t="n">
        <v>1.5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59.5</v>
      </c>
      <c r="D14" s="3" t="n">
        <v>59</v>
      </c>
      <c r="E14" s="3" t="n">
        <v>57.5</v>
      </c>
      <c r="F14" s="3" t="n">
        <v>56</v>
      </c>
      <c r="G14" s="3" t="n">
        <v>55</v>
      </c>
      <c r="H14" s="3" t="n">
        <v>55</v>
      </c>
      <c r="I14" s="3" t="n">
        <v>55</v>
      </c>
      <c r="J14" s="3" t="n">
        <v>55</v>
      </c>
      <c r="K14" s="3" t="n">
        <v>55</v>
      </c>
      <c r="L14" s="3" t="n">
        <v>55</v>
      </c>
    </row>
    <row r="15" customFormat="false" ht="15" hidden="false" customHeight="false" outlineLevel="0" collapsed="false">
      <c r="A15" s="0" t="s">
        <v>102</v>
      </c>
      <c r="C15" s="3" t="n">
        <v>2.1</v>
      </c>
      <c r="D15" s="3" t="n">
        <v>2</v>
      </c>
      <c r="E15" s="3" t="n">
        <v>2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105</v>
      </c>
      <c r="C18" s="3" t="n">
        <v>15</v>
      </c>
      <c r="D18" s="3" t="n">
        <v>16</v>
      </c>
      <c r="E18" s="3" t="n">
        <v>17</v>
      </c>
      <c r="F18" s="3" t="n">
        <v>17</v>
      </c>
      <c r="G18" s="3" t="n">
        <v>17</v>
      </c>
      <c r="H18" s="3" t="n">
        <v>17</v>
      </c>
      <c r="I18" s="3" t="n">
        <v>17</v>
      </c>
      <c r="J18" s="3" t="n">
        <v>17</v>
      </c>
      <c r="K18" s="3" t="n">
        <v>17</v>
      </c>
      <c r="L18" s="3" t="n">
        <v>17</v>
      </c>
    </row>
    <row r="19" customFormat="false" ht="15" hidden="false" customHeight="false" outlineLevel="0" collapsed="false">
      <c r="A19" s="0" t="s">
        <v>106</v>
      </c>
      <c r="C19" s="3" t="n">
        <v>1</v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1</v>
      </c>
      <c r="L19" s="3" t="n">
        <v>1</v>
      </c>
    </row>
    <row r="20" customFormat="false" ht="15" hidden="false" customHeight="false" outlineLevel="0" collapsed="false">
      <c r="A20" s="0" t="s">
        <v>107</v>
      </c>
      <c r="B20" s="3" t="n">
        <v>9.5</v>
      </c>
    </row>
    <row r="21" customFormat="false" ht="15" hidden="false" customHeight="false" outlineLevel="0" collapsed="false">
      <c r="A21" s="0" t="s">
        <v>108</v>
      </c>
      <c r="B21" s="3" t="n">
        <v>1.5</v>
      </c>
    </row>
    <row r="22" customFormat="false" ht="15" hidden="false" customHeight="false" outlineLevel="0" collapsed="false">
      <c r="A22" s="0" t="s">
        <v>109</v>
      </c>
      <c r="B22" s="3" t="n">
        <v>13</v>
      </c>
    </row>
    <row r="23" customFormat="false" ht="15" hidden="false" customHeight="false" outlineLevel="0" collapsed="false">
      <c r="A23" s="0" t="s">
        <v>110</v>
      </c>
      <c r="B23" s="3" t="n">
        <v>0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28</v>
      </c>
      <c r="D27" s="3" t="n">
        <v>8</v>
      </c>
      <c r="E27" s="3" t="n">
        <v>4.5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59.7</v>
      </c>
      <c r="D28" s="3" t="n">
        <v>60.5</v>
      </c>
      <c r="E28" s="3" t="n">
        <v>61</v>
      </c>
      <c r="F28" s="3" t="n">
        <v>61.5</v>
      </c>
      <c r="G28" s="3" t="n">
        <v>61.5</v>
      </c>
      <c r="H28" s="3" t="n">
        <v>61.5</v>
      </c>
      <c r="I28" s="3" t="n">
        <v>61.5</v>
      </c>
      <c r="J28" s="3" t="n">
        <v>61.5</v>
      </c>
      <c r="K28" s="3" t="n">
        <v>61.5</v>
      </c>
      <c r="L28" s="3" t="n">
        <v>61.5</v>
      </c>
    </row>
    <row r="29" customFormat="false" ht="15" hidden="false" customHeight="false" outlineLevel="0" collapsed="false">
      <c r="A29" s="0" t="s">
        <v>102</v>
      </c>
      <c r="C29" s="3" t="n">
        <v>2.1</v>
      </c>
      <c r="D29" s="3" t="n">
        <v>2</v>
      </c>
      <c r="E29" s="3" t="n">
        <v>2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3" t="n">
        <v>2</v>
      </c>
      <c r="L29" s="3" t="n">
        <v>2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105</v>
      </c>
      <c r="C32" s="3" t="n">
        <v>15</v>
      </c>
      <c r="D32" s="3" t="n">
        <v>14.5</v>
      </c>
      <c r="E32" s="3" t="n">
        <v>14</v>
      </c>
      <c r="F32" s="3" t="n">
        <v>13.5</v>
      </c>
      <c r="G32" s="3" t="n">
        <v>13</v>
      </c>
      <c r="H32" s="3" t="n">
        <v>13</v>
      </c>
      <c r="I32" s="3" t="n">
        <v>13</v>
      </c>
      <c r="J32" s="3" t="n">
        <v>13</v>
      </c>
      <c r="K32" s="3" t="n">
        <v>13</v>
      </c>
      <c r="L32" s="3" t="n">
        <v>13</v>
      </c>
    </row>
    <row r="33" customFormat="false" ht="15" hidden="false" customHeight="false" outlineLevel="0" collapsed="false">
      <c r="A33" s="0" t="s">
        <v>106</v>
      </c>
      <c r="C33" s="3" t="n">
        <v>1</v>
      </c>
      <c r="D33" s="3" t="n">
        <v>1</v>
      </c>
      <c r="E33" s="3" t="n">
        <v>1</v>
      </c>
      <c r="F33" s="3" t="n">
        <v>1</v>
      </c>
      <c r="G33" s="3" t="n">
        <v>1</v>
      </c>
      <c r="H33" s="3" t="n">
        <v>1</v>
      </c>
      <c r="I33" s="3" t="n">
        <v>1</v>
      </c>
      <c r="J33" s="3" t="n">
        <v>1</v>
      </c>
      <c r="K33" s="3" t="n">
        <v>1</v>
      </c>
      <c r="L33" s="3" t="n">
        <v>1</v>
      </c>
    </row>
    <row r="34" customFormat="false" ht="15" hidden="false" customHeight="false" outlineLevel="0" collapsed="false">
      <c r="A34" s="0" t="s">
        <v>107</v>
      </c>
      <c r="B34" s="3" t="n">
        <v>9.5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15</v>
      </c>
    </row>
    <row r="37" customFormat="false" ht="15" hidden="false" customHeight="false" outlineLevel="0" collapsed="false">
      <c r="A37" s="0" t="s">
        <v>110</v>
      </c>
      <c r="B37" s="3" t="n">
        <v>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28</v>
      </c>
      <c r="D41" s="3" t="n">
        <v>9.5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101</v>
      </c>
      <c r="C42" s="3" t="n">
        <v>59.7</v>
      </c>
      <c r="D42" s="3" t="n">
        <v>61</v>
      </c>
      <c r="E42" s="3" t="n">
        <v>62</v>
      </c>
      <c r="F42" s="3" t="n">
        <v>62.5</v>
      </c>
      <c r="G42" s="3" t="n">
        <v>63</v>
      </c>
      <c r="H42" s="3" t="n">
        <v>63</v>
      </c>
      <c r="I42" s="3" t="n">
        <v>63</v>
      </c>
      <c r="J42" s="3" t="n">
        <v>63</v>
      </c>
      <c r="K42" s="3" t="n">
        <v>63</v>
      </c>
      <c r="L42" s="3" t="n">
        <v>63</v>
      </c>
    </row>
    <row r="43" customFormat="false" ht="15" hidden="false" customHeight="false" outlineLevel="0" collapsed="false">
      <c r="A43" s="0" t="s">
        <v>102</v>
      </c>
      <c r="C43" s="3" t="n">
        <v>2.1</v>
      </c>
      <c r="D43" s="3" t="n">
        <v>2</v>
      </c>
      <c r="E43" s="3" t="n">
        <v>2</v>
      </c>
      <c r="F43" s="3" t="n">
        <v>2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105</v>
      </c>
      <c r="C46" s="3" t="n">
        <v>14</v>
      </c>
      <c r="D46" s="3" t="n">
        <v>13</v>
      </c>
      <c r="E46" s="3" t="n">
        <v>12.5</v>
      </c>
      <c r="F46" s="3" t="n">
        <v>12</v>
      </c>
      <c r="G46" s="3" t="n">
        <v>12</v>
      </c>
      <c r="H46" s="3" t="n">
        <v>12</v>
      </c>
      <c r="I46" s="3" t="n">
        <v>12</v>
      </c>
      <c r="J46" s="3" t="n">
        <v>12</v>
      </c>
      <c r="K46" s="3" t="n">
        <v>12</v>
      </c>
      <c r="L46" s="3" t="n">
        <v>12</v>
      </c>
    </row>
    <row r="47" customFormat="false" ht="15" hidden="false" customHeight="false" outlineLevel="0" collapsed="false">
      <c r="A47" s="0" t="s">
        <v>106</v>
      </c>
      <c r="C47" s="3" t="n">
        <v>1</v>
      </c>
      <c r="D47" s="3" t="n">
        <v>1</v>
      </c>
      <c r="E47" s="3" t="n">
        <v>1</v>
      </c>
      <c r="F47" s="3" t="n">
        <v>1</v>
      </c>
      <c r="G47" s="3" t="n">
        <v>1</v>
      </c>
      <c r="H47" s="3" t="n">
        <v>1</v>
      </c>
      <c r="I47" s="3" t="n">
        <v>1</v>
      </c>
      <c r="J47" s="3" t="n">
        <v>1</v>
      </c>
      <c r="K47" s="3" t="n">
        <v>1</v>
      </c>
      <c r="L47" s="3" t="n">
        <v>1</v>
      </c>
    </row>
    <row r="48" customFormat="false" ht="15" hidden="false" customHeight="false" outlineLevel="0" collapsed="false">
      <c r="A48" s="0" t="s">
        <v>107</v>
      </c>
      <c r="B48" s="3" t="n">
        <v>9.5</v>
      </c>
    </row>
    <row r="49" customFormat="false" ht="15" hidden="false" customHeight="false" outlineLevel="0" collapsed="false">
      <c r="A49" s="0" t="s">
        <v>108</v>
      </c>
      <c r="B49" s="3" t="n">
        <v>3</v>
      </c>
    </row>
    <row r="50" customFormat="false" ht="15" hidden="false" customHeight="false" outlineLevel="0" collapsed="false">
      <c r="A50" s="0" t="s">
        <v>109</v>
      </c>
      <c r="B50" s="3" t="n">
        <v>15</v>
      </c>
    </row>
    <row r="51" customFormat="false" ht="15" hidden="false" customHeight="false" outlineLevel="0" collapsed="false">
      <c r="A51" s="0" t="s">
        <v>110</v>
      </c>
      <c r="B51" s="3" t="n">
        <v>0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26</v>
      </c>
      <c r="D5" s="4" t="n">
        <f aca="false">Assumptions!D13</f>
        <v>5</v>
      </c>
      <c r="E5" s="4" t="n">
        <f aca="false">Assumptions!E13</f>
        <v>1</v>
      </c>
      <c r="F5" s="4" t="n">
        <f aca="false">Assumptions!F13</f>
        <v>0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180.2</v>
      </c>
      <c r="C6" s="0" t="n">
        <f aca="false">B6*(1+C5/100)</f>
        <v>227.052</v>
      </c>
      <c r="D6" s="0" t="n">
        <f aca="false">C6*(1+D5/100)</f>
        <v>238.4046</v>
      </c>
      <c r="E6" s="0" t="n">
        <f aca="false">D6*(1+E5/100)</f>
        <v>240.788646</v>
      </c>
      <c r="F6" s="0" t="n">
        <f aca="false">E6*(1+F5/100)</f>
        <v>240.788646</v>
      </c>
      <c r="G6" s="0" t="n">
        <f aca="false">F6*(1+G5/100)</f>
        <v>240.788646</v>
      </c>
      <c r="H6" s="0" t="n">
        <f aca="false">G6*(1+H5/100)</f>
        <v>243.19653246</v>
      </c>
      <c r="I6" s="0" t="n">
        <f aca="false">H6*(1+I5/100)</f>
        <v>246.8444804469</v>
      </c>
      <c r="J6" s="0" t="n">
        <f aca="false">I6*(1+J5/100)</f>
        <v>251.781370055838</v>
      </c>
      <c r="K6" s="0" t="n">
        <f aca="false">J6*(1+K5/100)</f>
        <v>256.816997456955</v>
      </c>
      <c r="L6" s="0" t="n">
        <f aca="false">K6*(1+L5/100)</f>
        <v>261.953337406094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59.5</v>
      </c>
      <c r="D7" s="4" t="n">
        <f aca="false">Assumptions!D14</f>
        <v>59</v>
      </c>
      <c r="E7" s="4" t="n">
        <f aca="false">Assumptions!E14</f>
        <v>57.5</v>
      </c>
      <c r="F7" s="4" t="n">
        <f aca="false">Assumptions!F14</f>
        <v>56</v>
      </c>
      <c r="G7" s="4" t="n">
        <f aca="false">Assumptions!G14</f>
        <v>55</v>
      </c>
      <c r="H7" s="4" t="n">
        <f aca="false">Assumptions!H14</f>
        <v>55</v>
      </c>
      <c r="I7" s="4" t="n">
        <f aca="false">Assumptions!I14</f>
        <v>55</v>
      </c>
      <c r="J7" s="4" t="n">
        <f aca="false">Assumptions!J14</f>
        <v>55</v>
      </c>
      <c r="K7" s="4" t="n">
        <f aca="false">Assumptions!K14</f>
        <v>55</v>
      </c>
      <c r="L7" s="4" t="n">
        <f aca="false">Assumptions!L14</f>
        <v>55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135.09594</v>
      </c>
      <c r="D8" s="0" t="n">
        <f aca="false">D6*D7/100</f>
        <v>140.658714</v>
      </c>
      <c r="E8" s="0" t="n">
        <f aca="false">E6*E7/100</f>
        <v>138.45347145</v>
      </c>
      <c r="F8" s="0" t="n">
        <f aca="false">F6*F7/100</f>
        <v>134.84164176</v>
      </c>
      <c r="G8" s="0" t="n">
        <f aca="false">G6*G7/100</f>
        <v>132.4337553</v>
      </c>
      <c r="H8" s="0" t="n">
        <f aca="false">H6*H7/100</f>
        <v>133.758092853</v>
      </c>
      <c r="I8" s="0" t="n">
        <f aca="false">I6*I7/100</f>
        <v>135.764464245795</v>
      </c>
      <c r="J8" s="0" t="n">
        <f aca="false">J6*J7/100</f>
        <v>138.479753530711</v>
      </c>
      <c r="K8" s="0" t="n">
        <f aca="false">K6*K7/100</f>
        <v>141.249348601325</v>
      </c>
      <c r="L8" s="0" t="n">
        <f aca="false">L6*L7/100</f>
        <v>144.074335573352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2.1</v>
      </c>
      <c r="D9" s="4" t="n">
        <f aca="false">Assumptions!D15</f>
        <v>2</v>
      </c>
      <c r="E9" s="4" t="n">
        <f aca="false">Assumptions!E15</f>
        <v>2</v>
      </c>
      <c r="F9" s="4" t="n">
        <f aca="false">Assumptions!F15</f>
        <v>2</v>
      </c>
      <c r="G9" s="4" t="n">
        <f aca="false">Assumptions!G15</f>
        <v>2</v>
      </c>
      <c r="H9" s="4" t="n">
        <f aca="false">Assumptions!H15</f>
        <v>2</v>
      </c>
      <c r="I9" s="4" t="n">
        <f aca="false">Assumptions!I15</f>
        <v>2</v>
      </c>
      <c r="J9" s="4" t="n">
        <f aca="false">Assumptions!J15</f>
        <v>2</v>
      </c>
      <c r="K9" s="4" t="n">
        <f aca="false">Assumptions!K15</f>
        <v>2</v>
      </c>
      <c r="L9" s="4" t="n">
        <f aca="false">Assumptions!L15</f>
        <v>2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-4.768092</v>
      </c>
      <c r="D10" s="0" t="n">
        <f aca="false">-D6*D9/100</f>
        <v>-4.768092</v>
      </c>
      <c r="E10" s="0" t="n">
        <f aca="false">-E6*E9/100</f>
        <v>-4.81577292</v>
      </c>
      <c r="F10" s="0" t="n">
        <f aca="false">-F6*F9/100</f>
        <v>-4.81577292</v>
      </c>
      <c r="G10" s="0" t="n">
        <f aca="false">-G6*G9/100</f>
        <v>-4.81577292</v>
      </c>
      <c r="H10" s="0" t="n">
        <f aca="false">-H6*H9/100</f>
        <v>-4.8639306492</v>
      </c>
      <c r="I10" s="0" t="n">
        <f aca="false">-I6*I9/100</f>
        <v>-4.936889608938</v>
      </c>
      <c r="J10" s="0" t="n">
        <f aca="false">-J6*J9/100</f>
        <v>-5.03562740111676</v>
      </c>
      <c r="K10" s="0" t="n">
        <f aca="false">-K6*K9/100</f>
        <v>-5.1363399491391</v>
      </c>
      <c r="L10" s="0" t="n">
        <f aca="false">-L6*L9/100</f>
        <v>-5.23906674812188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130.327848</v>
      </c>
      <c r="D11" s="0" t="n">
        <f aca="false">D8+D10+D24</f>
        <v>135.890622</v>
      </c>
      <c r="E11" s="0" t="n">
        <f aca="false">E8+E10+E24</f>
        <v>133.63769853</v>
      </c>
      <c r="F11" s="0" t="n">
        <f aca="false">F8+F10+F24</f>
        <v>130.02586884</v>
      </c>
      <c r="G11" s="0" t="n">
        <f aca="false">G8+G10+G24</f>
        <v>127.61798238</v>
      </c>
      <c r="H11" s="0" t="n">
        <f aca="false">H8+H10+H24</f>
        <v>128.8941622038</v>
      </c>
      <c r="I11" s="0" t="n">
        <f aca="false">I8+I10+I24</f>
        <v>130.827574636857</v>
      </c>
      <c r="J11" s="0" t="n">
        <f aca="false">J8+J10+J24</f>
        <v>133.444126129594</v>
      </c>
      <c r="K11" s="0" t="n">
        <f aca="false">K8+K10+K24</f>
        <v>136.113008652186</v>
      </c>
      <c r="L11" s="0" t="n">
        <f aca="false">L8+L10+L24</f>
        <v>138.83526882523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130.327848</v>
      </c>
      <c r="D13" s="0" t="n">
        <f aca="false">D11+D12</f>
        <v>135.890622</v>
      </c>
      <c r="E13" s="0" t="n">
        <f aca="false">E11+E12</f>
        <v>133.63769853</v>
      </c>
      <c r="F13" s="0" t="n">
        <f aca="false">F11+F12</f>
        <v>130.02586884</v>
      </c>
      <c r="G13" s="0" t="n">
        <f aca="false">G11+G12</f>
        <v>127.61798238</v>
      </c>
      <c r="H13" s="0" t="n">
        <f aca="false">H11+H12</f>
        <v>128.8941622038</v>
      </c>
      <c r="I13" s="0" t="n">
        <f aca="false">I11+I12</f>
        <v>130.827574636857</v>
      </c>
      <c r="J13" s="0" t="n">
        <f aca="false">J11+J12</f>
        <v>133.444126129594</v>
      </c>
      <c r="K13" s="0" t="n">
        <f aca="false">K11+K12</f>
        <v>136.113008652186</v>
      </c>
      <c r="L13" s="0" t="n">
        <f aca="false">L11+L12</f>
        <v>138.83526882523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1</v>
      </c>
      <c r="D14" s="4" t="n">
        <f aca="false">Assumptions!D19</f>
        <v>1</v>
      </c>
      <c r="E14" s="4" t="n">
        <f aca="false">Assumptions!E19</f>
        <v>1</v>
      </c>
      <c r="F14" s="4" t="n">
        <f aca="false">Assumptions!F19</f>
        <v>1</v>
      </c>
      <c r="G14" s="4" t="n">
        <f aca="false">Assumptions!G19</f>
        <v>1</v>
      </c>
      <c r="H14" s="4" t="n">
        <f aca="false">Assumptions!H19</f>
        <v>1</v>
      </c>
      <c r="I14" s="4" t="n">
        <f aca="false">Assumptions!I19</f>
        <v>1</v>
      </c>
      <c r="J14" s="4" t="n">
        <f aca="false">Assumptions!J19</f>
        <v>1</v>
      </c>
      <c r="K14" s="4" t="n">
        <f aca="false">Assumptions!K19</f>
        <v>1</v>
      </c>
      <c r="L14" s="4" t="n">
        <f aca="false">Assumptions!L19</f>
        <v>1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129.02456952</v>
      </c>
      <c r="D15" s="0" t="n">
        <f aca="false">D13-MAX(0,D13)*D14/100</f>
        <v>134.53171578</v>
      </c>
      <c r="E15" s="0" t="n">
        <f aca="false">E13-MAX(0,E13)*E14/100</f>
        <v>132.3013215447</v>
      </c>
      <c r="F15" s="0" t="n">
        <f aca="false">F13-MAX(0,F13)*F14/100</f>
        <v>128.7256101516</v>
      </c>
      <c r="G15" s="0" t="n">
        <f aca="false">G13-MAX(0,G13)*G14/100</f>
        <v>126.3418025562</v>
      </c>
      <c r="H15" s="0" t="n">
        <f aca="false">H13-MAX(0,H13)*H14/100</f>
        <v>127.605220581762</v>
      </c>
      <c r="I15" s="0" t="n">
        <f aca="false">I13-MAX(0,I13)*I14/100</f>
        <v>129.519298890488</v>
      </c>
      <c r="J15" s="0" t="n">
        <f aca="false">J13-MAX(0,J13)*J14/100</f>
        <v>132.109684868298</v>
      </c>
      <c r="K15" s="0" t="n">
        <f aca="false">K13-MAX(0,K13)*K14/100</f>
        <v>134.751878565664</v>
      </c>
      <c r="L15" s="0" t="n">
        <f aca="false">L13-MAX(0,L13)*L14/100</f>
        <v>137.446916136977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-34.0578</v>
      </c>
      <c r="D17" s="4" t="n">
        <f aca="false">-D6*Assumptions!D18/100</f>
        <v>-38.144736</v>
      </c>
      <c r="E17" s="4" t="n">
        <f aca="false">-E6*Assumptions!E18/100</f>
        <v>-40.93406982</v>
      </c>
      <c r="F17" s="4" t="n">
        <f aca="false">-F6*Assumptions!F18/100</f>
        <v>-40.93406982</v>
      </c>
      <c r="G17" s="4" t="n">
        <f aca="false">-G6*Assumptions!G18/100</f>
        <v>-40.93406982</v>
      </c>
      <c r="H17" s="4" t="n">
        <f aca="false">-H6*Assumptions!H18/100</f>
        <v>-41.3434105182</v>
      </c>
      <c r="I17" s="4" t="n">
        <f aca="false">-I6*Assumptions!I18/100</f>
        <v>-41.963561675973</v>
      </c>
      <c r="J17" s="4" t="n">
        <f aca="false">-J6*Assumptions!J18/100</f>
        <v>-42.8028329094925</v>
      </c>
      <c r="K17" s="4" t="n">
        <f aca="false">-K6*Assumptions!K18/100</f>
        <v>-43.6588895676823</v>
      </c>
      <c r="L17" s="4" t="n">
        <f aca="false">-L6*Assumptions!L18/100</f>
        <v>-44.532067359036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94.96676952</v>
      </c>
      <c r="D19" s="0" t="n">
        <f aca="false">D15+D16+D17+D18</f>
        <v>96.3869797800001</v>
      </c>
      <c r="E19" s="0" t="n">
        <f aca="false">E15+E16+E17+E18</f>
        <v>91.3672517247</v>
      </c>
      <c r="F19" s="0" t="n">
        <f aca="false">F15+F16+F17+F18</f>
        <v>87.7915403316</v>
      </c>
      <c r="G19" s="0" t="n">
        <f aca="false">G15+G16+G17+G18</f>
        <v>85.4077327362</v>
      </c>
      <c r="H19" s="0" t="n">
        <f aca="false">H15+H16+H17+H18</f>
        <v>86.261810063562</v>
      </c>
      <c r="I19" s="0" t="n">
        <f aca="false">I15+I16+I17+I18</f>
        <v>87.5557372145154</v>
      </c>
      <c r="J19" s="0" t="n">
        <f aca="false">J15+J16+J17+J18</f>
        <v>89.3068519588058</v>
      </c>
      <c r="K19" s="0" t="n">
        <f aca="false">K15+K16+K17+K18</f>
        <v>91.0929889979819</v>
      </c>
      <c r="L19" s="0" t="n">
        <f aca="false">L15+L16+L17+L18</f>
        <v>92.9148487779415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86.7276433972603</v>
      </c>
      <c r="D21" s="0" t="n">
        <f aca="false">D19*D20</f>
        <v>80.3877982360668</v>
      </c>
      <c r="E21" s="0" t="n">
        <f aca="false">E19*E20</f>
        <v>69.5902191647152</v>
      </c>
      <c r="F21" s="0" t="n">
        <f aca="false">F19*F20</f>
        <v>61.065538639993</v>
      </c>
      <c r="G21" s="0" t="n">
        <f aca="false">G19*G20</f>
        <v>54.2533546630335</v>
      </c>
      <c r="H21" s="0" t="n">
        <f aca="false">H19*H20</f>
        <v>50.0419070407889</v>
      </c>
      <c r="I21" s="0" t="n">
        <f aca="false">I19*I20</f>
        <v>46.3858773026491</v>
      </c>
      <c r="J21" s="0" t="n">
        <f aca="false">J19*J20</f>
        <v>43.208762418906</v>
      </c>
      <c r="K21" s="0" t="n">
        <f aca="false">K19*K20</f>
        <v>40.2492581436385</v>
      </c>
      <c r="L21" s="0" t="n">
        <f aca="false">L19*L20</f>
        <v>37.4924596406495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569.402818647701</v>
      </c>
    </row>
    <row r="31" customFormat="false" ht="15" hidden="false" customHeight="false" outlineLevel="0" collapsed="false">
      <c r="A31" s="0" t="s">
        <v>131</v>
      </c>
      <c r="B31" s="0" t="n">
        <f aca="false">L19</f>
        <v>92.9148487779415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1178.85714387013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1207.89303411324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1178.85714387013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475.685581690741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1045.08840033844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1190.58840033844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202.722356604536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-0.378152280354183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30.6648758024962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26.8218540564275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212.510664089454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698.582011182301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131.898364785733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28</v>
      </c>
      <c r="D5" s="4" t="n">
        <f aca="false">Assumptions!D27</f>
        <v>8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180.2</v>
      </c>
      <c r="C6" s="0" t="n">
        <f aca="false">B6*(1+C5/100)</f>
        <v>230.656</v>
      </c>
      <c r="D6" s="0" t="n">
        <f aca="false">C6*(1+D5/100)</f>
        <v>249.10848</v>
      </c>
      <c r="E6" s="0" t="n">
        <f aca="false">D6*(1+E5/100)</f>
        <v>260.3183616</v>
      </c>
      <c r="F6" s="0" t="n">
        <f aca="false">E6*(1+F5/100)</f>
        <v>270.731096064</v>
      </c>
      <c r="G6" s="0" t="n">
        <f aca="false">F6*(1+G5/100)</f>
        <v>280.20668442624</v>
      </c>
      <c r="H6" s="0" t="n">
        <f aca="false">G6*(1+H5/100)</f>
        <v>288.612884959027</v>
      </c>
      <c r="I6" s="0" t="n">
        <f aca="false">H6*(1+I5/100)</f>
        <v>297.271271507798</v>
      </c>
      <c r="J6" s="0" t="n">
        <f aca="false">I6*(1+J5/100)</f>
        <v>304.703053295493</v>
      </c>
      <c r="K6" s="0" t="n">
        <f aca="false">J6*(1+K5/100)</f>
        <v>312.32062962788</v>
      </c>
      <c r="L6" s="0" t="n">
        <f aca="false">K6*(1+L5/100)</f>
        <v>320.128645368577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59.7</v>
      </c>
      <c r="D7" s="4" t="n">
        <f aca="false">Assumptions!D28</f>
        <v>60.5</v>
      </c>
      <c r="E7" s="4" t="n">
        <f aca="false">Assumptions!E28</f>
        <v>61</v>
      </c>
      <c r="F7" s="4" t="n">
        <f aca="false">Assumptions!F28</f>
        <v>61.5</v>
      </c>
      <c r="G7" s="4" t="n">
        <f aca="false">Assumptions!G28</f>
        <v>61.5</v>
      </c>
      <c r="H7" s="4" t="n">
        <f aca="false">Assumptions!H28</f>
        <v>61.5</v>
      </c>
      <c r="I7" s="4" t="n">
        <f aca="false">Assumptions!I28</f>
        <v>61.5</v>
      </c>
      <c r="J7" s="4" t="n">
        <f aca="false">Assumptions!J28</f>
        <v>61.5</v>
      </c>
      <c r="K7" s="4" t="n">
        <f aca="false">Assumptions!K28</f>
        <v>61.5</v>
      </c>
      <c r="L7" s="4" t="n">
        <f aca="false">Assumptions!L28</f>
        <v>61.5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137.701632</v>
      </c>
      <c r="D8" s="0" t="n">
        <f aca="false">D6*D7/100</f>
        <v>150.7106304</v>
      </c>
      <c r="E8" s="0" t="n">
        <f aca="false">E6*E7/100</f>
        <v>158.794200576</v>
      </c>
      <c r="F8" s="0" t="n">
        <f aca="false">F6*F7/100</f>
        <v>166.49962407936</v>
      </c>
      <c r="G8" s="0" t="n">
        <f aca="false">G6*G7/100</f>
        <v>172.327110922138</v>
      </c>
      <c r="H8" s="0" t="n">
        <f aca="false">H6*H7/100</f>
        <v>177.496924249802</v>
      </c>
      <c r="I8" s="0" t="n">
        <f aca="false">I6*I7/100</f>
        <v>182.821831977296</v>
      </c>
      <c r="J8" s="0" t="n">
        <f aca="false">J6*J7/100</f>
        <v>187.392377776728</v>
      </c>
      <c r="K8" s="0" t="n">
        <f aca="false">K6*K7/100</f>
        <v>192.077187221146</v>
      </c>
      <c r="L8" s="0" t="n">
        <f aca="false">L6*L7/100</f>
        <v>196.879116901675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2.1</v>
      </c>
      <c r="D9" s="4" t="n">
        <f aca="false">Assumptions!D29</f>
        <v>2</v>
      </c>
      <c r="E9" s="4" t="n">
        <f aca="false">Assumptions!E29</f>
        <v>2</v>
      </c>
      <c r="F9" s="4" t="n">
        <f aca="false">Assumptions!F29</f>
        <v>2</v>
      </c>
      <c r="G9" s="4" t="n">
        <f aca="false">Assumptions!G29</f>
        <v>2</v>
      </c>
      <c r="H9" s="4" t="n">
        <f aca="false">Assumptions!H29</f>
        <v>2</v>
      </c>
      <c r="I9" s="4" t="n">
        <f aca="false">Assumptions!I29</f>
        <v>2</v>
      </c>
      <c r="J9" s="4" t="n">
        <f aca="false">Assumptions!J29</f>
        <v>2</v>
      </c>
      <c r="K9" s="4" t="n">
        <f aca="false">Assumptions!K29</f>
        <v>2</v>
      </c>
      <c r="L9" s="4" t="n">
        <f aca="false">Assumptions!L29</f>
        <v>2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-4.843776</v>
      </c>
      <c r="D10" s="0" t="n">
        <f aca="false">-D6*D9/100</f>
        <v>-4.9821696</v>
      </c>
      <c r="E10" s="0" t="n">
        <f aca="false">-E6*E9/100</f>
        <v>-5.206367232</v>
      </c>
      <c r="F10" s="0" t="n">
        <f aca="false">-F6*F9/100</f>
        <v>-5.41462192128</v>
      </c>
      <c r="G10" s="0" t="n">
        <f aca="false">-G6*G9/100</f>
        <v>-5.6041336885248</v>
      </c>
      <c r="H10" s="0" t="n">
        <f aca="false">-H6*H9/100</f>
        <v>-5.77225769918054</v>
      </c>
      <c r="I10" s="0" t="n">
        <f aca="false">-I6*I9/100</f>
        <v>-5.94542543015596</v>
      </c>
      <c r="J10" s="0" t="n">
        <f aca="false">-J6*J9/100</f>
        <v>-6.09406106590986</v>
      </c>
      <c r="K10" s="0" t="n">
        <f aca="false">-K6*K9/100</f>
        <v>-6.2464125925576</v>
      </c>
      <c r="L10" s="0" t="n">
        <f aca="false">-L6*L9/100</f>
        <v>-6.40257290737154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132.857856</v>
      </c>
      <c r="D11" s="0" t="n">
        <f aca="false">D8+D10+D24</f>
        <v>145.7284608</v>
      </c>
      <c r="E11" s="0" t="n">
        <f aca="false">E8+E10+E24</f>
        <v>153.587833344</v>
      </c>
      <c r="F11" s="0" t="n">
        <f aca="false">F8+F10+F24</f>
        <v>161.08500215808</v>
      </c>
      <c r="G11" s="0" t="n">
        <f aca="false">G8+G10+G24</f>
        <v>166.722977233613</v>
      </c>
      <c r="H11" s="0" t="n">
        <f aca="false">H8+H10+H24</f>
        <v>171.724666550621</v>
      </c>
      <c r="I11" s="0" t="n">
        <f aca="false">I8+I10+I24</f>
        <v>176.87640654714</v>
      </c>
      <c r="J11" s="0" t="n">
        <f aca="false">J8+J10+J24</f>
        <v>181.298316710818</v>
      </c>
      <c r="K11" s="0" t="n">
        <f aca="false">K8+K10+K24</f>
        <v>185.830774628589</v>
      </c>
      <c r="L11" s="0" t="n">
        <f aca="false">L8+L10+L24</f>
        <v>190.476543994303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132.857856</v>
      </c>
      <c r="D13" s="0" t="n">
        <f aca="false">D11+D12</f>
        <v>145.7284608</v>
      </c>
      <c r="E13" s="0" t="n">
        <f aca="false">E11+E12</f>
        <v>153.587833344</v>
      </c>
      <c r="F13" s="0" t="n">
        <f aca="false">F11+F12</f>
        <v>161.08500215808</v>
      </c>
      <c r="G13" s="0" t="n">
        <f aca="false">G11+G12</f>
        <v>166.722977233613</v>
      </c>
      <c r="H13" s="0" t="n">
        <f aca="false">H11+H12</f>
        <v>171.724666550621</v>
      </c>
      <c r="I13" s="0" t="n">
        <f aca="false">I11+I12</f>
        <v>176.87640654714</v>
      </c>
      <c r="J13" s="0" t="n">
        <f aca="false">J11+J12</f>
        <v>181.298316710818</v>
      </c>
      <c r="K13" s="0" t="n">
        <f aca="false">K11+K12</f>
        <v>185.830774628589</v>
      </c>
      <c r="L13" s="0" t="n">
        <f aca="false">L11+L12</f>
        <v>190.476543994303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1</v>
      </c>
      <c r="D14" s="4" t="n">
        <f aca="false">Assumptions!D33</f>
        <v>1</v>
      </c>
      <c r="E14" s="4" t="n">
        <f aca="false">Assumptions!E33</f>
        <v>1</v>
      </c>
      <c r="F14" s="4" t="n">
        <f aca="false">Assumptions!F33</f>
        <v>1</v>
      </c>
      <c r="G14" s="4" t="n">
        <f aca="false">Assumptions!G33</f>
        <v>1</v>
      </c>
      <c r="H14" s="4" t="n">
        <f aca="false">Assumptions!H33</f>
        <v>1</v>
      </c>
      <c r="I14" s="4" t="n">
        <f aca="false">Assumptions!I33</f>
        <v>1</v>
      </c>
      <c r="J14" s="4" t="n">
        <f aca="false">Assumptions!J33</f>
        <v>1</v>
      </c>
      <c r="K14" s="4" t="n">
        <f aca="false">Assumptions!K33</f>
        <v>1</v>
      </c>
      <c r="L14" s="4" t="n">
        <f aca="false">Assumptions!L33</f>
        <v>1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131.52927744</v>
      </c>
      <c r="D15" s="0" t="n">
        <f aca="false">D13-MAX(0,D13)*D14/100</f>
        <v>144.271176192</v>
      </c>
      <c r="E15" s="0" t="n">
        <f aca="false">E13-MAX(0,E13)*E14/100</f>
        <v>152.05195501056</v>
      </c>
      <c r="F15" s="0" t="n">
        <f aca="false">F13-MAX(0,F13)*F14/100</f>
        <v>159.474152136499</v>
      </c>
      <c r="G15" s="0" t="n">
        <f aca="false">G13-MAX(0,G13)*G14/100</f>
        <v>165.055747461277</v>
      </c>
      <c r="H15" s="0" t="n">
        <f aca="false">H13-MAX(0,H13)*H14/100</f>
        <v>170.007419885115</v>
      </c>
      <c r="I15" s="0" t="n">
        <f aca="false">I13-MAX(0,I13)*I14/100</f>
        <v>175.107642481668</v>
      </c>
      <c r="J15" s="0" t="n">
        <f aca="false">J13-MAX(0,J13)*J14/100</f>
        <v>179.48533354371</v>
      </c>
      <c r="K15" s="0" t="n">
        <f aca="false">K13-MAX(0,K13)*K14/100</f>
        <v>183.972466882303</v>
      </c>
      <c r="L15" s="0" t="n">
        <f aca="false">L13-MAX(0,L13)*L14/100</f>
        <v>188.57177855436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-34.5984</v>
      </c>
      <c r="D17" s="4" t="n">
        <f aca="false">-D6*Assumptions!D32/100</f>
        <v>-36.1207296</v>
      </c>
      <c r="E17" s="4" t="n">
        <f aca="false">-E6*Assumptions!E32/100</f>
        <v>-36.444570624</v>
      </c>
      <c r="F17" s="4" t="n">
        <f aca="false">-F6*Assumptions!F32/100</f>
        <v>-36.54869796864</v>
      </c>
      <c r="G17" s="4" t="n">
        <f aca="false">-G6*Assumptions!G32/100</f>
        <v>-36.4268689754112</v>
      </c>
      <c r="H17" s="4" t="n">
        <f aca="false">-H6*Assumptions!H32/100</f>
        <v>-37.5196750446735</v>
      </c>
      <c r="I17" s="4" t="n">
        <f aca="false">-I6*Assumptions!I32/100</f>
        <v>-38.6452652960137</v>
      </c>
      <c r="J17" s="4" t="n">
        <f aca="false">-J6*Assumptions!J32/100</f>
        <v>-39.6113969284141</v>
      </c>
      <c r="K17" s="4" t="n">
        <f aca="false">-K6*Assumptions!K32/100</f>
        <v>-40.6016818516244</v>
      </c>
      <c r="L17" s="4" t="n">
        <f aca="false">-L6*Assumptions!L32/100</f>
        <v>-41.616723897915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96.93087744</v>
      </c>
      <c r="D19" s="0" t="n">
        <f aca="false">D15+D16+D17+D18</f>
        <v>108.150446592</v>
      </c>
      <c r="E19" s="0" t="n">
        <f aca="false">E15+E16+E17+E18</f>
        <v>115.60738438656</v>
      </c>
      <c r="F19" s="0" t="n">
        <f aca="false">F15+F16+F17+F18</f>
        <v>122.925454167859</v>
      </c>
      <c r="G19" s="0" t="n">
        <f aca="false">G15+G16+G17+G18</f>
        <v>128.628878485865</v>
      </c>
      <c r="H19" s="0" t="n">
        <f aca="false">H15+H16+H17+H18</f>
        <v>132.487744840441</v>
      </c>
      <c r="I19" s="0" t="n">
        <f aca="false">I15+I16+I17+I18</f>
        <v>136.462377185655</v>
      </c>
      <c r="J19" s="0" t="n">
        <f aca="false">J15+J16+J17+J18</f>
        <v>139.873936615296</v>
      </c>
      <c r="K19" s="0" t="n">
        <f aca="false">K15+K16+K17+K18</f>
        <v>143.370785030678</v>
      </c>
      <c r="L19" s="0" t="n">
        <f aca="false">L15+L16+L17+L18</f>
        <v>146.955054656445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88.521349260274</v>
      </c>
      <c r="D21" s="0" t="n">
        <f aca="false">D19*D20</f>
        <v>90.1986585700882</v>
      </c>
      <c r="E21" s="0" t="n">
        <f aca="false">E19*E20</f>
        <v>88.0528095642093</v>
      </c>
      <c r="F21" s="0" t="n">
        <f aca="false">F19*F20</f>
        <v>85.503785933964</v>
      </c>
      <c r="G21" s="0" t="n">
        <f aca="false">G19*G20</f>
        <v>81.7086221684006</v>
      </c>
      <c r="H21" s="0" t="n">
        <f aca="false">H19*H20</f>
        <v>76.8583386606873</v>
      </c>
      <c r="I21" s="0" t="n">
        <f aca="false">I19*I20</f>
        <v>72.295971525578</v>
      </c>
      <c r="J21" s="0" t="n">
        <f aca="false">J19*J20</f>
        <v>67.674311245404</v>
      </c>
      <c r="K21" s="0" t="n">
        <f aca="false">K19*K20</f>
        <v>63.3480995676157</v>
      </c>
      <c r="L21" s="0" t="n">
        <f aca="false">L19*L20</f>
        <v>59.2984493669462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773.460395863167</v>
      </c>
    </row>
    <row r="31" customFormat="false" ht="15" hidden="false" customHeight="false" outlineLevel="0" collapsed="false">
      <c r="A31" s="0" t="s">
        <v>131</v>
      </c>
      <c r="B31" s="0" t="n">
        <f aca="false">L19</f>
        <v>146.955054656445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2151.84187175509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2204.32581984668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2151.84187175509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868.29872287314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1641.75911873631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1787.25911873631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304.317915671089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-0.0665094611316279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34.660681316787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37.8302460678854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316.660998828704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1205.03144818285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178.965223872337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28</v>
      </c>
      <c r="D5" s="4" t="n">
        <f aca="false">Assumptions!D41</f>
        <v>9.5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180.2</v>
      </c>
      <c r="C6" s="0" t="n">
        <f aca="false">B6*(1+C5/100)</f>
        <v>230.656</v>
      </c>
      <c r="D6" s="0" t="n">
        <f aca="false">C6*(1+D5/100)</f>
        <v>252.56832</v>
      </c>
      <c r="E6" s="0" t="n">
        <f aca="false">D6*(1+E5/100)</f>
        <v>267.7224192</v>
      </c>
      <c r="F6" s="0" t="n">
        <f aca="false">E6*(1+F5/100)</f>
        <v>282.447152256</v>
      </c>
      <c r="G6" s="0" t="n">
        <f aca="false">F6*(1+G5/100)</f>
        <v>296.5695098688</v>
      </c>
      <c r="H6" s="0" t="n">
        <f aca="false">G6*(1+H5/100)</f>
        <v>309.915137812896</v>
      </c>
      <c r="I6" s="0" t="n">
        <f aca="false">H6*(1+I5/100)</f>
        <v>322.311743325412</v>
      </c>
      <c r="J6" s="0" t="n">
        <f aca="false">I6*(1+J5/100)</f>
        <v>333.592654341801</v>
      </c>
      <c r="K6" s="0" t="n">
        <f aca="false">J6*(1+K5/100)</f>
        <v>343.600433972055</v>
      </c>
      <c r="L6" s="0" t="n">
        <f aca="false">K6*(1+L5/100)</f>
        <v>353.908446991217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59.7</v>
      </c>
      <c r="D7" s="4" t="n">
        <f aca="false">Assumptions!D42</f>
        <v>61</v>
      </c>
      <c r="E7" s="4" t="n">
        <f aca="false">Assumptions!E42</f>
        <v>62</v>
      </c>
      <c r="F7" s="4" t="n">
        <f aca="false">Assumptions!F42</f>
        <v>62.5</v>
      </c>
      <c r="G7" s="4" t="n">
        <f aca="false">Assumptions!G42</f>
        <v>63</v>
      </c>
      <c r="H7" s="4" t="n">
        <f aca="false">Assumptions!H42</f>
        <v>63</v>
      </c>
      <c r="I7" s="4" t="n">
        <f aca="false">Assumptions!I42</f>
        <v>63</v>
      </c>
      <c r="J7" s="4" t="n">
        <f aca="false">Assumptions!J42</f>
        <v>63</v>
      </c>
      <c r="K7" s="4" t="n">
        <f aca="false">Assumptions!K42</f>
        <v>63</v>
      </c>
      <c r="L7" s="4" t="n">
        <f aca="false">Assumptions!L42</f>
        <v>63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137.701632</v>
      </c>
      <c r="D8" s="0" t="n">
        <f aca="false">D6*D7/100</f>
        <v>154.0666752</v>
      </c>
      <c r="E8" s="0" t="n">
        <f aca="false">E6*E7/100</f>
        <v>165.987899904</v>
      </c>
      <c r="F8" s="0" t="n">
        <f aca="false">F6*F7/100</f>
        <v>176.52947016</v>
      </c>
      <c r="G8" s="0" t="n">
        <f aca="false">G6*G7/100</f>
        <v>186.838791217344</v>
      </c>
      <c r="H8" s="0" t="n">
        <f aca="false">H6*H7/100</f>
        <v>195.246536822124</v>
      </c>
      <c r="I8" s="0" t="n">
        <f aca="false">I6*I7/100</f>
        <v>203.056398295009</v>
      </c>
      <c r="J8" s="0" t="n">
        <f aca="false">J6*J7/100</f>
        <v>210.163372235335</v>
      </c>
      <c r="K8" s="0" t="n">
        <f aca="false">K6*K7/100</f>
        <v>216.468273402395</v>
      </c>
      <c r="L8" s="0" t="n">
        <f aca="false">L6*L7/100</f>
        <v>222.962321604467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2.1</v>
      </c>
      <c r="D9" s="4" t="n">
        <f aca="false">Assumptions!D43</f>
        <v>2</v>
      </c>
      <c r="E9" s="4" t="n">
        <f aca="false">Assumptions!E43</f>
        <v>2</v>
      </c>
      <c r="F9" s="4" t="n">
        <f aca="false">Assumptions!F43</f>
        <v>2</v>
      </c>
      <c r="G9" s="4" t="n">
        <f aca="false">Assumptions!G43</f>
        <v>2</v>
      </c>
      <c r="H9" s="4" t="n">
        <f aca="false">Assumptions!H43</f>
        <v>2</v>
      </c>
      <c r="I9" s="4" t="n">
        <f aca="false">Assumptions!I43</f>
        <v>2</v>
      </c>
      <c r="J9" s="4" t="n">
        <f aca="false">Assumptions!J43</f>
        <v>2</v>
      </c>
      <c r="K9" s="4" t="n">
        <f aca="false">Assumptions!K43</f>
        <v>2</v>
      </c>
      <c r="L9" s="4" t="n">
        <f aca="false">Assumptions!L43</f>
        <v>2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-4.843776</v>
      </c>
      <c r="D10" s="0" t="n">
        <f aca="false">-D6*D9/100</f>
        <v>-5.0513664</v>
      </c>
      <c r="E10" s="0" t="n">
        <f aca="false">-E6*E9/100</f>
        <v>-5.354448384</v>
      </c>
      <c r="F10" s="0" t="n">
        <f aca="false">-F6*F9/100</f>
        <v>-5.64894304512</v>
      </c>
      <c r="G10" s="0" t="n">
        <f aca="false">-G6*G9/100</f>
        <v>-5.931390197376</v>
      </c>
      <c r="H10" s="0" t="n">
        <f aca="false">-H6*H9/100</f>
        <v>-6.19830275625792</v>
      </c>
      <c r="I10" s="0" t="n">
        <f aca="false">-I6*I9/100</f>
        <v>-6.44623486650824</v>
      </c>
      <c r="J10" s="0" t="n">
        <f aca="false">-J6*J9/100</f>
        <v>-6.67185308683602</v>
      </c>
      <c r="K10" s="0" t="n">
        <f aca="false">-K6*K9/100</f>
        <v>-6.8720086794411</v>
      </c>
      <c r="L10" s="0" t="n">
        <f aca="false">-L6*L9/100</f>
        <v>-7.07816893982434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132.857856</v>
      </c>
      <c r="D11" s="0" t="n">
        <f aca="false">D8+D10+D24</f>
        <v>149.0153088</v>
      </c>
      <c r="E11" s="0" t="n">
        <f aca="false">E8+E10+E24</f>
        <v>160.63345152</v>
      </c>
      <c r="F11" s="0" t="n">
        <f aca="false">F8+F10+F24</f>
        <v>170.88052711488</v>
      </c>
      <c r="G11" s="0" t="n">
        <f aca="false">G8+G10+G24</f>
        <v>180.907401019968</v>
      </c>
      <c r="H11" s="0" t="n">
        <f aca="false">H8+H10+H24</f>
        <v>189.048234065867</v>
      </c>
      <c r="I11" s="0" t="n">
        <f aca="false">I8+I10+I24</f>
        <v>196.610163428501</v>
      </c>
      <c r="J11" s="0" t="n">
        <f aca="false">J8+J10+J24</f>
        <v>203.491519148499</v>
      </c>
      <c r="K11" s="0" t="n">
        <f aca="false">K8+K10+K24</f>
        <v>209.596264722954</v>
      </c>
      <c r="L11" s="0" t="n">
        <f aca="false">L8+L10+L24</f>
        <v>215.884152664642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132.857856</v>
      </c>
      <c r="D13" s="0" t="n">
        <f aca="false">D11+D12</f>
        <v>149.0153088</v>
      </c>
      <c r="E13" s="0" t="n">
        <f aca="false">E11+E12</f>
        <v>160.63345152</v>
      </c>
      <c r="F13" s="0" t="n">
        <f aca="false">F11+F12</f>
        <v>170.88052711488</v>
      </c>
      <c r="G13" s="0" t="n">
        <f aca="false">G11+G12</f>
        <v>180.907401019968</v>
      </c>
      <c r="H13" s="0" t="n">
        <f aca="false">H11+H12</f>
        <v>189.048234065867</v>
      </c>
      <c r="I13" s="0" t="n">
        <f aca="false">I11+I12</f>
        <v>196.610163428501</v>
      </c>
      <c r="J13" s="0" t="n">
        <f aca="false">J11+J12</f>
        <v>203.491519148499</v>
      </c>
      <c r="K13" s="0" t="n">
        <f aca="false">K11+K12</f>
        <v>209.596264722954</v>
      </c>
      <c r="L13" s="0" t="n">
        <f aca="false">L11+L12</f>
        <v>215.884152664642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1</v>
      </c>
      <c r="D14" s="4" t="n">
        <f aca="false">Assumptions!D47</f>
        <v>1</v>
      </c>
      <c r="E14" s="4" t="n">
        <f aca="false">Assumptions!E47</f>
        <v>1</v>
      </c>
      <c r="F14" s="4" t="n">
        <f aca="false">Assumptions!F47</f>
        <v>1</v>
      </c>
      <c r="G14" s="4" t="n">
        <f aca="false">Assumptions!G47</f>
        <v>1</v>
      </c>
      <c r="H14" s="4" t="n">
        <f aca="false">Assumptions!H47</f>
        <v>1</v>
      </c>
      <c r="I14" s="4" t="n">
        <f aca="false">Assumptions!I47</f>
        <v>1</v>
      </c>
      <c r="J14" s="4" t="n">
        <f aca="false">Assumptions!J47</f>
        <v>1</v>
      </c>
      <c r="K14" s="4" t="n">
        <f aca="false">Assumptions!K47</f>
        <v>1</v>
      </c>
      <c r="L14" s="4" t="n">
        <f aca="false">Assumptions!L47</f>
        <v>1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131.52927744</v>
      </c>
      <c r="D15" s="0" t="n">
        <f aca="false">D13-MAX(0,D13)*D14/100</f>
        <v>147.525155712</v>
      </c>
      <c r="E15" s="0" t="n">
        <f aca="false">E13-MAX(0,E13)*E14/100</f>
        <v>159.0271170048</v>
      </c>
      <c r="F15" s="0" t="n">
        <f aca="false">F13-MAX(0,F13)*F14/100</f>
        <v>169.171721843731</v>
      </c>
      <c r="G15" s="0" t="n">
        <f aca="false">G13-MAX(0,G13)*G14/100</f>
        <v>179.098327009768</v>
      </c>
      <c r="H15" s="0" t="n">
        <f aca="false">H13-MAX(0,H13)*H14/100</f>
        <v>187.157751725208</v>
      </c>
      <c r="I15" s="0" t="n">
        <f aca="false">I13-MAX(0,I13)*I14/100</f>
        <v>194.644061794216</v>
      </c>
      <c r="J15" s="0" t="n">
        <f aca="false">J13-MAX(0,J13)*J14/100</f>
        <v>201.456603957014</v>
      </c>
      <c r="K15" s="0" t="n">
        <f aca="false">K13-MAX(0,K13)*K14/100</f>
        <v>207.500302075724</v>
      </c>
      <c r="L15" s="0" t="n">
        <f aca="false">L13-MAX(0,L13)*L14/100</f>
        <v>213.725311137996</v>
      </c>
    </row>
    <row r="16" customFormat="false" ht="15" hidden="false" customHeight="false" outlineLevel="0" collapsed="false">
      <c r="A16" s="0" t="s">
        <v>122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-32.29184</v>
      </c>
      <c r="D17" s="4" t="n">
        <f aca="false">-D6*Assumptions!D46/100</f>
        <v>-32.8338816</v>
      </c>
      <c r="E17" s="4" t="n">
        <f aca="false">-E6*Assumptions!E46/100</f>
        <v>-33.4653024</v>
      </c>
      <c r="F17" s="4" t="n">
        <f aca="false">-F6*Assumptions!F46/100</f>
        <v>-33.89365827072</v>
      </c>
      <c r="G17" s="4" t="n">
        <f aca="false">-G6*Assumptions!G46/100</f>
        <v>-35.588341184256</v>
      </c>
      <c r="H17" s="4" t="n">
        <f aca="false">-H6*Assumptions!H46/100</f>
        <v>-37.1898165375475</v>
      </c>
      <c r="I17" s="4" t="n">
        <f aca="false">-I6*Assumptions!I46/100</f>
        <v>-38.6774091990494</v>
      </c>
      <c r="J17" s="4" t="n">
        <f aca="false">-J6*Assumptions!J46/100</f>
        <v>-40.0311185210161</v>
      </c>
      <c r="K17" s="4" t="n">
        <f aca="false">-K6*Assumptions!K46/100</f>
        <v>-41.2320520766466</v>
      </c>
      <c r="L17" s="4" t="n">
        <f aca="false">-L6*Assumptions!L46/100</f>
        <v>-42.469013638946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99.23743744</v>
      </c>
      <c r="D19" s="0" t="n">
        <f aca="false">D15+D16+D17+D18</f>
        <v>114.691274112</v>
      </c>
      <c r="E19" s="0" t="n">
        <f aca="false">E15+E16+E17+E18</f>
        <v>125.5618146048</v>
      </c>
      <c r="F19" s="0" t="n">
        <f aca="false">F15+F16+F17+F18</f>
        <v>135.278063573011</v>
      </c>
      <c r="G19" s="0" t="n">
        <f aca="false">G15+G16+G17+G18</f>
        <v>143.509985825512</v>
      </c>
      <c r="H19" s="0" t="n">
        <f aca="false">H15+H16+H17+H18</f>
        <v>149.96793518766</v>
      </c>
      <c r="I19" s="0" t="n">
        <f aca="false">I15+I16+I17+I18</f>
        <v>155.966652595167</v>
      </c>
      <c r="J19" s="0" t="n">
        <f aca="false">J15+J16+J17+J18</f>
        <v>161.425485435998</v>
      </c>
      <c r="K19" s="0" t="n">
        <f aca="false">K15+K16+K17+K18</f>
        <v>166.268249999078</v>
      </c>
      <c r="L19" s="0" t="n">
        <f aca="false">L15+L16+L17+L18</f>
        <v>171.25629749905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90.6277967488584</v>
      </c>
      <c r="D21" s="0" t="n">
        <f aca="false">D19*D20</f>
        <v>95.653780456621</v>
      </c>
      <c r="E21" s="0" t="n">
        <f aca="false">E19*E20</f>
        <v>95.6346396780718</v>
      </c>
      <c r="F21" s="0" t="n">
        <f aca="false">F19*F20</f>
        <v>94.095943493632</v>
      </c>
      <c r="G21" s="0" t="n">
        <f aca="false">G19*G20</f>
        <v>91.1615132405732</v>
      </c>
      <c r="H21" s="0" t="n">
        <f aca="false">H19*H20</f>
        <v>86.9988870652046</v>
      </c>
      <c r="I21" s="0" t="n">
        <f aca="false">I19*I20</f>
        <v>82.6290799523404</v>
      </c>
      <c r="J21" s="0" t="n">
        <f aca="false">J19*J20</f>
        <v>78.1014591330341</v>
      </c>
      <c r="K21" s="0" t="n">
        <f aca="false">K19*K20</f>
        <v>73.4652994584704</v>
      </c>
      <c r="L21" s="0" t="n">
        <f aca="false">L19*L20</f>
        <v>69.1043456093375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857.472744836143</v>
      </c>
    </row>
    <row r="31" customFormat="false" ht="15" hidden="false" customHeight="false" outlineLevel="0" collapsed="false">
      <c r="A31" s="0" t="s">
        <v>131</v>
      </c>
      <c r="B31" s="0" t="n">
        <f aca="false">L19</f>
        <v>171.25629749905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2713.75363729264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2568.84446248575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2568.84446248575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1036.56518414006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1894.03792897621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2039.53792897621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347.273612970578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0.0652564815048409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36.5431073780327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45.2588589362822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361.202093528098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1469.94988686684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200.741531103375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202.722356604536</v>
      </c>
      <c r="C4" s="0" t="n">
        <f aca="false">B4/Assumptions!$B$2-1</f>
        <v>-0.378152280354183</v>
      </c>
      <c r="D4" s="4" t="n">
        <f aca="false">Assumptions!$B$24</f>
        <v>0.25</v>
      </c>
      <c r="E4" s="4" t="n">
        <f aca="false">DCF_Bear!$B$43</f>
        <v>212.510664089454</v>
      </c>
      <c r="F4" s="4" t="n">
        <f aca="false">DCF_Bear!$B$47</f>
        <v>131.898364785733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304.317915671089</v>
      </c>
      <c r="C5" s="0" t="n">
        <f aca="false">B5/Assumptions!$B$2-1</f>
        <v>-0.0665094611316279</v>
      </c>
      <c r="D5" s="4" t="n">
        <f aca="false">Assumptions!$B$38</f>
        <v>0.5</v>
      </c>
      <c r="E5" s="4" t="n">
        <f aca="false">DCF_Base!$B$43</f>
        <v>316.660998828704</v>
      </c>
      <c r="F5" s="4" t="n">
        <f aca="false">DCF_Base!$B$47</f>
        <v>178.965223872337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347.273612970578</v>
      </c>
      <c r="C6" s="0" t="n">
        <f aca="false">B6/Assumptions!$B$2-1</f>
        <v>0.0652564815048409</v>
      </c>
      <c r="D6" s="4" t="n">
        <f aca="false">Assumptions!$B$52</f>
        <v>0.25</v>
      </c>
      <c r="E6" s="4" t="n">
        <f aca="false">DCF_Bull!$B$43</f>
        <v>361.202093528098</v>
      </c>
      <c r="F6" s="4" t="n">
        <f aca="false">DCF_Bull!$B$47</f>
        <v>200.741531103375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289.657950229323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301.75868881874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-0.125465397175892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300.329186537925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172.642585908446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318.14627769792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304.317915671089</v>
      </c>
      <c r="C16" s="3" t="n">
        <v>9.5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285.293797866698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253.977583604188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229.274456306297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178.965223872337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351.795154951834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351.795154951834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351.795154951834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351.795154951834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351.795154951834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323.314651673935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328.848116456882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328.848116456882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328.848116456882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328.848116456882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284.575084659679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293.788405798337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304.317915671089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307.923912202854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307.923912202854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254.50479956049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261.163241157436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268.653987954001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277.143500990109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286.845801602802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230.499438612595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235.443651022839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240.937220367555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247.077091988119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253.984447561254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2026-10-10T00:50:17Z</dcterms:created>
  <dc:creator>openpyxl</dc:creator>
  <dc:description/>
  <dc:language>en-NZ</dc:language>
  <cp:lastModifiedBy/>
  <dcterms:modified xsi:type="dcterms:W3CDTF">2026-10-10T00:50:17Z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