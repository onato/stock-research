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<sst xmlns="http://schemas.openxmlformats.org/spreadsheetml/2006/main" count="387" uniqueCount="174">
  <si>
    <t xml:space="preserve">Ticker</t>
  </si>
  <si>
    <t xml:space="preserve">BR</t>
  </si>
  <si>
    <t xml:space="preserve">Company</t>
  </si>
  <si>
    <t xml:space="preserve">Broadridge Financial Solutions, Inc.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</si>
  <si>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</si>
  <si>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</si>
  <si>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</si>
  <si>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</si>
  <si>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2026-09-25T20:00:02Z regular close (Yahoo Finance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</si>
  <si>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</si>
  <si>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</si>
  <si>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</si>
  <si>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</si>
  <si>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</si>
  <si>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</si>
  <si>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</si>
  <si>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</si>
  <si>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</si>
  <si>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</si>
  <si>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</si>
  <si>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</si>
  <si>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2026-09-25T23:39:15Z</t>
  </si>
  <si>
    <t xml:space="preserve">Drivers file</t>
  </si>
  <si>
    <t xml:space="preserve">BR_Drivers.json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</si>
  <si>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</si>
  <si>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</si>
  <si>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</si>
  <si>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Broadridge is a high-quality, recession-resistant infrastructure compounder: near-monopoly US proxy distribution/vote tabulation (&gt;80% of outstanding US shares) generates deeply entrenched, contractually recurring revenue with &gt;95% retention, supplemented by capital-markets and wealth-management technology outsourcing (GTO) and a volatile but historically self-funding event-driven revenue stream. The owner-FCF DCF values the durable cash-generative core rather than crediting the stock's premium market multiple, and discounts a decade-long build because the owner-FCF margin (10.9% -&gt; 14.9% over the last three years) is still climbing toward a mature level, not yet flat.
key_risks_to_valuation: Event-driven revenue (proxy contests, M&amp;A-driven special meetings, mutual fund communications spikes) is inherently unpredictable and management itself guides it down 14-28% for FY2027 off a record FY2026; Elevated leverage (~$3.25bn total debt, ~$2.85bn net debt) from an active bolt-on M&amp;A pace increases refinancing and integration risk; AI could eventually enable large capital-markets/wealth-management clients to insource GTO's outsourced technology and operations rather than continuing to pay Broadridge; Structural decline of physical mail and rising USPS postage costs pressure legacy Customer Communications economics during the digital transition; The stock trades at a premium multiple (~19x owner FCF) that leaves limited room for execution missteps or a capital-markets slowdown</t>
  </si>
  <si>
    <t xml:space="preserve">Data sources</t>
  </si>
  <si>
    <t xml:space="preserve">price: Yahoo Finance chart API at inputs.price_as_of; 52-week range 133.83-238.73
financials: SEC EDGAR: BR FY2026 10-K (filed 2026-08-04, accession 0001628280-26-052243) and FY2025 10-K (filed 2025-08-05, accession 0001628280-25-037656) consolidated statements of earnings, cash flows and balance sheet; SEC XBRL companyconcept API (diluted weighted-average shares, cover-page shares outstanding); research/BR/Reports/BR_Metrics.csv and BR.duckdb core_metrics/kpis tables for the multi-year history
qualitative: research/BR/Reports/BR_Analysis.json (business model, competitive position, growth drivers, risks, FY2027 guidance, bull/bear case)</t>
  </si>
  <si>
    <t xml:space="preserve">Scenario narrative: bear</t>
  </si>
  <si>
    <t xml:space="preserve">Event-driven revenue settles at the low end of guidance and stays there, AI-enabled insourcing pressures GTO's outsourcing thesis, postage/print cost inflation outruns the digital offset, and elevated leverage constrains further M&amp;A — the business becomes a slower, margin-flat utility.</t>
  </si>
  <si>
    <t xml:space="preserve">Scenario narrative: base</t>
  </si>
  <si>
    <t xml:space="preserve">Long-term 6-8% recurring-revenue / 8-12% adjusted-EPS algorithm holds, event-driven revenue normalizes from FY2026's record level but does not collapse, and gradual digital/AI-driven margin expansion continues the multi-year trend from a 23% toward a 25% mature EBITDA-before-SBC margin.</t>
  </si>
  <si>
    <t xml:space="preserve">Scenario narrative: bull</t>
  </si>
  <si>
    <t xml:space="preserve">Tokenization and agentic-AI initiatives become real incremental growth drivers rather than optionality, event-driven revenue lands at the high end of guidance, and disciplined bolt-on M&amp;A keeps expanding TAM without over-levering — supporting both faster growth and margin expansion.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</si>
  <si>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</si>
  <si>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</si>
  <si>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</si>
  <si>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</si>
  <si>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</si>
  <si>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</si>
  <si>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</si>
  <si>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</si>
  <si>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</si>
  <si>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</si>
  <si>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</si>
  <si>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</si>
  <si>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</si>
  <si>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</si>
  <si>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</si>
  <si>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</si>
  <si>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</si>
  <si>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</si>
  <si>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</si>
  <si>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</si>
  <si>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</si>
  <si>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</si>
  <si>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</si>
  <si>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</si>
  <si>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</si>
  <si>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</si>
  <si>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</si>
  <si>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</si>
  <si>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</si>
  <si>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</si>
  <si>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</si>
  <si>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</si>
  <si>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</si>
  <si>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</si>
  <si>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</si>
  <si>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</si>
  <si>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</si>
  <si>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</si>
  <si>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</si>
  <si>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</si>
  <si>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</si>
  <si>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</si>
  <si>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</si>
  <si>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</si>
  <si>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</si>
  <si>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</si>
  <si>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</si>
  <si>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</si>
  <si>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</si>
  <si>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</si>
  <si>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</si>
  <si>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</si>
  <si>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</si>
  <si>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</si>
  <si>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</si>
  <si>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</si>
  <si>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</si>
  <si>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</si>
  <si>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</si>
  <si>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</si>
  <si>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</si>
  <si>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</si>
  <si>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</si>
  <si>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</si>
  <si>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</si>
  <si>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</si>
  <si>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</si>
  <si>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</si>
  <si>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</si>
  <si>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</si>
  <si>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</si>
  <si>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</si>
  <si>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</si>
  <si>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</si>
  <si>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</si>
  <si>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</si>
  <si>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</si>
  <si>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</si>
  <si>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</si>
  <si>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</si>
  <si>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</si>
  <si>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</si>
  <si>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</si>
  <si>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BR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</si>
  <si>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</si>
  <si>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</si>
  <si>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</si>
  <si>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</si>
  <si>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</si>
  <si>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</si>
  <si>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</si>
  <si>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</si>
  <si>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</si>
  <si>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</si>
  <si>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</si>
  <si>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</si>
  <si>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</si>
  <si>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</si>
  <si>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</si>
  <si>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</si>
  <si>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</si>
  <si>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</si>
  <si>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</si>
  <si>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</si>
  <si>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</si>
  <si>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</si>
  <si>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</si>
  <si>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</si>
  <si>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</si>
  <si>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</si>
  <si>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</si>
  <si>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</si>
  <si>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</si>
  <si>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</si>
  <si>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BR owner-FCF component DCF: base case (millions, USD)</t>
  </si>
  <si>
    <t xml:space="preserve">BR owner-FCF component DCF: bull case (millions, USD)</t>
  </si>
  <si>
    <t xml:space="preserve">BR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</si>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</sst>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163.77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745.8</v>
      </c>
      <c r="S2" s="0" t="n">
        <v>54.7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2073</v>
      </c>
      <c r="C3" s="0" t="n">
        <v>1510.1</v>
      </c>
      <c r="F3" s="0" t="n">
        <v>346</v>
      </c>
      <c r="G3" s="0" t="n">
        <v>16.6907863000482</v>
      </c>
      <c r="H3" s="0" t="n">
        <v>378.8</v>
      </c>
      <c r="I3" s="0" t="n">
        <v>223.3</v>
      </c>
      <c r="J3" s="0" t="n">
        <v>10.7718282682103</v>
      </c>
      <c r="K3" s="0" t="n">
        <v>1.6</v>
      </c>
      <c r="M3" s="0" t="n">
        <v>26.8</v>
      </c>
      <c r="O3" s="0" t="n">
        <v>909</v>
      </c>
      <c r="P3" s="0" t="n">
        <v>2774.7</v>
      </c>
      <c r="S3" s="0" t="n">
        <v>173.4</v>
      </c>
      <c r="T3" s="0" t="n">
        <v>141.6</v>
      </c>
      <c r="U3" s="0" t="n">
        <v>28.6</v>
      </c>
      <c r="V3" s="0" t="n">
        <v>0.28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2209.2</v>
      </c>
      <c r="C4" s="0" t="n">
        <v>1616.4</v>
      </c>
      <c r="F4" s="0" t="n">
        <v>342.1</v>
      </c>
      <c r="G4" s="0" t="n">
        <v>15.4852435270686</v>
      </c>
      <c r="H4" s="0" t="n">
        <v>374.4</v>
      </c>
      <c r="I4" s="0" t="n">
        <v>190</v>
      </c>
      <c r="J4" s="0" t="n">
        <v>8.60039833423864</v>
      </c>
      <c r="K4" s="0" t="n">
        <v>1.4</v>
      </c>
      <c r="M4" s="0" t="n">
        <v>42.7</v>
      </c>
      <c r="O4" s="0" t="n">
        <v>807.1</v>
      </c>
      <c r="P4" s="0" t="n">
        <v>1794.4</v>
      </c>
      <c r="Q4" s="0" t="n">
        <v>987.3</v>
      </c>
      <c r="R4" s="0" t="n">
        <v>324.1</v>
      </c>
      <c r="S4" s="0" t="n">
        <v>412.6</v>
      </c>
      <c r="T4" s="0" t="n">
        <v>139.1</v>
      </c>
      <c r="U4" s="0" t="n">
        <v>27.3</v>
      </c>
      <c r="V4" s="0" t="n">
        <v>0.56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2166.9</v>
      </c>
      <c r="C5" s="0" t="n">
        <v>1617.1</v>
      </c>
      <c r="F5" s="0" t="n">
        <v>269.7</v>
      </c>
      <c r="G5" s="0" t="n">
        <v>12.4463519313305</v>
      </c>
      <c r="H5" s="0" t="n">
        <v>305.8</v>
      </c>
      <c r="I5" s="0" t="n">
        <v>169.6</v>
      </c>
      <c r="J5" s="0" t="n">
        <v>7.82684941621672</v>
      </c>
      <c r="K5" s="0" t="n">
        <v>1.36</v>
      </c>
      <c r="M5" s="0" t="n">
        <v>29.2</v>
      </c>
      <c r="O5" s="0" t="n">
        <v>797.3</v>
      </c>
      <c r="P5" s="0" t="n">
        <v>1904</v>
      </c>
      <c r="Q5" s="0" t="n">
        <v>1106.7</v>
      </c>
      <c r="R5" s="0" t="n">
        <v>124.3</v>
      </c>
      <c r="S5" s="0" t="n">
        <v>241.5</v>
      </c>
      <c r="T5" s="0" t="n">
        <v>128.3</v>
      </c>
      <c r="U5" s="0" t="n">
        <v>30</v>
      </c>
      <c r="V5" s="0" t="n">
        <v>0.6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2303.5</v>
      </c>
      <c r="C6" s="0" t="n">
        <v>1715.1</v>
      </c>
      <c r="F6" s="0" t="n">
        <v>200.9</v>
      </c>
      <c r="G6" s="0" t="n">
        <v>8.72151074451921</v>
      </c>
      <c r="I6" s="0" t="n">
        <v>123.6</v>
      </c>
      <c r="J6" s="0" t="n">
        <v>5.36574777512481</v>
      </c>
      <c r="K6" s="0" t="n">
        <v>1</v>
      </c>
      <c r="M6" s="0" t="n">
        <v>33.8</v>
      </c>
      <c r="O6" s="0" t="n">
        <v>850.5</v>
      </c>
      <c r="P6" s="0" t="n">
        <v>1987.6</v>
      </c>
      <c r="Q6" s="0" t="n">
        <v>1137.1</v>
      </c>
      <c r="R6" s="0" t="n">
        <v>524.4</v>
      </c>
      <c r="S6" s="0" t="n">
        <v>320.5</v>
      </c>
      <c r="T6" s="0" t="n">
        <v>127.5</v>
      </c>
      <c r="U6" s="0" t="n">
        <v>28.3</v>
      </c>
      <c r="V6" s="0" t="n">
        <v>0.64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2430.8</v>
      </c>
      <c r="C7" s="0" t="n">
        <v>1767.8</v>
      </c>
      <c r="F7" s="0" t="n">
        <v>323.2</v>
      </c>
      <c r="G7" s="0" t="n">
        <v>13.2960342274148</v>
      </c>
      <c r="I7" s="0" t="n">
        <v>212.1</v>
      </c>
      <c r="J7" s="0" t="n">
        <v>8.72552246174099</v>
      </c>
      <c r="K7" s="0" t="n">
        <v>1.74</v>
      </c>
      <c r="M7" s="0" t="n">
        <v>38.2</v>
      </c>
      <c r="O7" s="0" t="n">
        <v>816</v>
      </c>
      <c r="P7" s="0" t="n">
        <v>2018.2</v>
      </c>
      <c r="Q7" s="0" t="n">
        <v>1202.2</v>
      </c>
      <c r="R7" s="0" t="n">
        <v>524.5</v>
      </c>
      <c r="S7" s="0" t="n">
        <v>266</v>
      </c>
      <c r="T7" s="0" t="n">
        <v>125.4</v>
      </c>
      <c r="U7" s="0" t="n">
        <v>27.1</v>
      </c>
      <c r="V7" s="0" t="n">
        <v>0.72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2558</v>
      </c>
      <c r="C8" s="0" t="n">
        <v>1761.4</v>
      </c>
      <c r="F8" s="0" t="n">
        <v>395.5</v>
      </c>
      <c r="G8" s="0" t="n">
        <v>15.4612978889758</v>
      </c>
      <c r="I8" s="0" t="n">
        <v>263</v>
      </c>
      <c r="J8" s="0" t="n">
        <v>10.2814698983581</v>
      </c>
      <c r="K8" s="0" t="n">
        <v>2.2</v>
      </c>
      <c r="M8" s="0" t="n">
        <v>43.2</v>
      </c>
      <c r="O8" s="0" t="n">
        <v>961.7</v>
      </c>
      <c r="P8" s="0" t="n">
        <v>2192.1</v>
      </c>
      <c r="Q8" s="0" t="n">
        <v>1230.4</v>
      </c>
      <c r="R8" s="0" t="n">
        <v>524.1</v>
      </c>
      <c r="S8" s="0" t="n">
        <v>347.6</v>
      </c>
      <c r="T8" s="0" t="n">
        <v>124.1</v>
      </c>
      <c r="U8" s="0" t="n">
        <v>34.6</v>
      </c>
      <c r="V8" s="0" t="n">
        <v>0.84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2694.2</v>
      </c>
      <c r="C9" s="0" t="n">
        <v>1828.2</v>
      </c>
      <c r="F9" s="0" t="n">
        <v>438.9</v>
      </c>
      <c r="G9" s="0" t="n">
        <v>16.2905500705219</v>
      </c>
      <c r="I9" s="0" t="n">
        <v>287.1</v>
      </c>
      <c r="J9" s="0" t="n">
        <v>10.6562244822211</v>
      </c>
      <c r="K9" s="0" t="n">
        <v>2.39</v>
      </c>
      <c r="M9" s="0" t="n">
        <v>50.3</v>
      </c>
      <c r="O9" s="0" t="n">
        <v>927.8</v>
      </c>
      <c r="P9" s="0" t="n">
        <v>2364.8</v>
      </c>
      <c r="Q9" s="0" t="n">
        <v>1440.3</v>
      </c>
      <c r="R9" s="0" t="n">
        <v>689.4</v>
      </c>
      <c r="S9" s="0" t="n">
        <v>324.1</v>
      </c>
      <c r="T9" s="0" t="n">
        <v>124</v>
      </c>
      <c r="U9" s="0" t="n">
        <v>38.6</v>
      </c>
      <c r="V9" s="0" t="n">
        <v>1.08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2897</v>
      </c>
      <c r="C10" s="0" t="n">
        <v>1975.9</v>
      </c>
      <c r="D10" s="0" t="n">
        <v>921.2</v>
      </c>
      <c r="E10" s="0" t="n">
        <v>31.7984121505005</v>
      </c>
      <c r="F10" s="0" t="n">
        <v>500.3</v>
      </c>
      <c r="G10" s="0" t="n">
        <v>17.2695892302382</v>
      </c>
      <c r="I10" s="0" t="n">
        <v>307.5</v>
      </c>
      <c r="J10" s="0" t="n">
        <v>10.6144287193649</v>
      </c>
      <c r="K10" s="0" t="n">
        <v>2.6</v>
      </c>
      <c r="L10" s="0" t="n">
        <v>437.7</v>
      </c>
      <c r="M10" s="0" t="n">
        <v>57.7</v>
      </c>
      <c r="N10" s="0" t="n">
        <v>380</v>
      </c>
      <c r="O10" s="0" t="n">
        <v>1045.5</v>
      </c>
      <c r="P10" s="0" t="n">
        <v>2872.7</v>
      </c>
      <c r="Q10" s="0" t="n">
        <v>1827.3</v>
      </c>
      <c r="R10" s="0" t="n">
        <v>1140.3</v>
      </c>
      <c r="S10" s="0" t="n">
        <v>727.7</v>
      </c>
      <c r="T10" s="0" t="n">
        <v>121.6</v>
      </c>
      <c r="U10" s="0" t="n">
        <v>43.1</v>
      </c>
      <c r="V10" s="0" t="n">
        <v>1.2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4142.6</v>
      </c>
      <c r="C11" s="0" t="n">
        <v>3107.9</v>
      </c>
      <c r="D11" s="0" t="n">
        <v>1033</v>
      </c>
      <c r="E11" s="0" t="n">
        <v>24.9360305122387</v>
      </c>
      <c r="F11" s="0" t="n">
        <v>531.6</v>
      </c>
      <c r="G11" s="0" t="n">
        <v>12.8325206392121</v>
      </c>
      <c r="I11" s="0" t="n">
        <v>326.8</v>
      </c>
      <c r="J11" s="0" t="n">
        <v>7.88876550958335</v>
      </c>
      <c r="K11" s="0" t="n">
        <v>2.77</v>
      </c>
      <c r="L11" s="0" t="n">
        <v>515.9</v>
      </c>
      <c r="M11" s="0" t="n">
        <v>85.4</v>
      </c>
      <c r="N11" s="0" t="n">
        <v>430.5</v>
      </c>
      <c r="O11" s="0" t="n">
        <v>1003.8</v>
      </c>
      <c r="P11" s="0" t="n">
        <v>3149.8</v>
      </c>
      <c r="Q11" s="0" t="n">
        <v>2146</v>
      </c>
      <c r="R11" s="0" t="n">
        <v>1102.1</v>
      </c>
      <c r="S11" s="0" t="n">
        <v>271.1</v>
      </c>
      <c r="T11" s="0" t="n">
        <v>120.8</v>
      </c>
      <c r="U11" s="0" t="n">
        <v>46.1</v>
      </c>
      <c r="V11" s="0" t="n">
        <v>1.32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4329.9</v>
      </c>
      <c r="C12" s="0" t="n">
        <v>3167.4</v>
      </c>
      <c r="D12" s="0" t="n">
        <v>1162.5</v>
      </c>
      <c r="E12" s="0" t="n">
        <v>26.8481951084321</v>
      </c>
      <c r="F12" s="0" t="n">
        <v>598.1</v>
      </c>
      <c r="G12" s="0" t="n">
        <v>13.8132520381533</v>
      </c>
      <c r="I12" s="0" t="n">
        <v>427.9</v>
      </c>
      <c r="J12" s="0" t="n">
        <v>9.88244532206287</v>
      </c>
      <c r="K12" s="0" t="n">
        <v>3.66</v>
      </c>
      <c r="L12" s="0" t="n">
        <v>693.6</v>
      </c>
      <c r="M12" s="0" t="n">
        <v>76.7</v>
      </c>
      <c r="N12" s="0" t="n">
        <v>616.9</v>
      </c>
      <c r="O12" s="0" t="n">
        <v>1094.3</v>
      </c>
      <c r="P12" s="0" t="n">
        <v>3304.7</v>
      </c>
      <c r="Q12" s="0" t="n">
        <v>2210.4</v>
      </c>
      <c r="R12" s="0" t="n">
        <v>1053.4</v>
      </c>
      <c r="S12" s="0" t="n">
        <v>263.9</v>
      </c>
      <c r="T12" s="0" t="n">
        <v>120.4</v>
      </c>
      <c r="U12" s="0" t="n">
        <v>55.1</v>
      </c>
      <c r="V12" s="0" t="n">
        <v>1.46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4362.2</v>
      </c>
      <c r="C13" s="0" t="n">
        <v>3131.9</v>
      </c>
      <c r="D13" s="0" t="n">
        <v>1230.2</v>
      </c>
      <c r="E13" s="0" t="n">
        <v>28.2013662830682</v>
      </c>
      <c r="F13" s="0" t="n">
        <v>652.7</v>
      </c>
      <c r="G13" s="0" t="n">
        <v>14.9626335335381</v>
      </c>
      <c r="I13" s="0" t="n">
        <v>482.1</v>
      </c>
      <c r="J13" s="0" t="n">
        <v>11.0517628719454</v>
      </c>
      <c r="K13" s="0" t="n">
        <v>4.16</v>
      </c>
      <c r="L13" s="0" t="n">
        <v>617</v>
      </c>
      <c r="M13" s="0" t="n">
        <v>50.6</v>
      </c>
      <c r="N13" s="0" t="n">
        <v>566.4</v>
      </c>
      <c r="O13" s="0" t="n">
        <v>1127.5</v>
      </c>
      <c r="P13" s="0" t="n">
        <v>3880.7</v>
      </c>
      <c r="Q13" s="0" t="n">
        <v>2753.2</v>
      </c>
      <c r="R13" s="0" t="n">
        <v>1470.4</v>
      </c>
      <c r="S13" s="0" t="n">
        <v>273.2</v>
      </c>
      <c r="T13" s="0" t="n">
        <v>118.8</v>
      </c>
      <c r="U13" s="0" t="n">
        <v>58.4</v>
      </c>
      <c r="V13" s="0" t="n">
        <v>1.94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4529</v>
      </c>
      <c r="C14" s="0" t="n">
        <v>3265.1</v>
      </c>
      <c r="D14" s="0" t="n">
        <v>1263.9</v>
      </c>
      <c r="E14" s="0" t="n">
        <v>27.9068226981674</v>
      </c>
      <c r="F14" s="0" t="n">
        <v>624.9</v>
      </c>
      <c r="G14" s="0" t="n">
        <v>13.7977478472069</v>
      </c>
      <c r="I14" s="0" t="n">
        <v>462.5</v>
      </c>
      <c r="J14" s="0" t="n">
        <v>10.2119673217046</v>
      </c>
      <c r="K14" s="0" t="n">
        <v>4.03</v>
      </c>
      <c r="L14" s="0" t="n">
        <v>598.2</v>
      </c>
      <c r="M14" s="0" t="n">
        <v>62.7</v>
      </c>
      <c r="N14" s="0" t="n">
        <v>535.5</v>
      </c>
      <c r="O14" s="0" t="n">
        <v>1346.5</v>
      </c>
      <c r="P14" s="0" t="n">
        <v>4889.8</v>
      </c>
      <c r="Q14" s="0" t="n">
        <v>3543.2</v>
      </c>
      <c r="R14" s="0" t="n">
        <v>2187.4</v>
      </c>
      <c r="S14" s="0" t="n">
        <v>476.6</v>
      </c>
      <c r="T14" s="0" t="n">
        <v>117</v>
      </c>
      <c r="U14" s="0" t="n">
        <v>60.8</v>
      </c>
      <c r="V14" s="0" t="n">
        <v>2.16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4993.7</v>
      </c>
      <c r="C15" s="0" t="n">
        <v>3570.8</v>
      </c>
      <c r="D15" s="0" t="n">
        <v>1423</v>
      </c>
      <c r="E15" s="0" t="n">
        <v>28.4959048400985</v>
      </c>
      <c r="F15" s="0" t="n">
        <v>678.7</v>
      </c>
      <c r="G15" s="0" t="n">
        <v>13.5911248172698</v>
      </c>
      <c r="I15" s="0" t="n">
        <v>547.5</v>
      </c>
      <c r="J15" s="0" t="n">
        <v>10.9638144061518</v>
      </c>
      <c r="K15" s="0" t="n">
        <v>4.73</v>
      </c>
      <c r="L15" s="0" t="n">
        <v>640.1</v>
      </c>
      <c r="M15" s="0" t="n">
        <v>51.9</v>
      </c>
      <c r="N15" s="0" t="n">
        <v>588.2</v>
      </c>
      <c r="O15" s="0" t="n">
        <v>1809.1</v>
      </c>
      <c r="P15" s="0" t="n">
        <v>8119.8</v>
      </c>
      <c r="Q15" s="0" t="n">
        <v>6310.6</v>
      </c>
      <c r="R15" s="0" t="n">
        <v>3887.6</v>
      </c>
      <c r="S15" s="0" t="n">
        <v>274.5</v>
      </c>
      <c r="T15" s="0" t="n">
        <v>117.8</v>
      </c>
      <c r="U15" s="0" t="n">
        <v>58.6</v>
      </c>
      <c r="V15" s="0" t="n">
        <v>2.3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5709.1</v>
      </c>
      <c r="C16" s="0" t="n">
        <v>4116.9</v>
      </c>
      <c r="F16" s="0" t="n">
        <v>759.9</v>
      </c>
      <c r="G16" s="0" t="n">
        <v>13.3103291236797</v>
      </c>
      <c r="I16" s="0" t="n">
        <v>539.1</v>
      </c>
      <c r="J16" s="0" t="n">
        <v>9.4428193585679</v>
      </c>
      <c r="K16" s="0" t="n">
        <v>4.62</v>
      </c>
      <c r="L16" s="0" t="n">
        <v>443.5</v>
      </c>
      <c r="M16" s="0" t="n">
        <v>29</v>
      </c>
      <c r="N16" s="0" t="n">
        <v>414.5</v>
      </c>
      <c r="O16" s="0" t="n">
        <v>1919.1</v>
      </c>
      <c r="P16" s="0" t="n">
        <v>8168.8</v>
      </c>
      <c r="Q16" s="0" t="n">
        <v>6249.8</v>
      </c>
      <c r="R16" s="0" t="n">
        <v>3793</v>
      </c>
      <c r="S16" s="0" t="n">
        <v>224.7</v>
      </c>
      <c r="T16" s="0" t="n">
        <v>118.5</v>
      </c>
      <c r="U16" s="0" t="n">
        <v>68.4</v>
      </c>
      <c r="V16" s="0" t="n">
        <v>2.56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6060.9</v>
      </c>
      <c r="C17" s="0" t="n">
        <v>4275.5</v>
      </c>
      <c r="F17" s="0" t="n">
        <v>936.4</v>
      </c>
      <c r="G17" s="0" t="n">
        <v>15.4498506822419</v>
      </c>
      <c r="I17" s="0" t="n">
        <v>630.6</v>
      </c>
      <c r="J17" s="0" t="n">
        <v>10.4043953868237</v>
      </c>
      <c r="K17" s="0" t="n">
        <v>5.36</v>
      </c>
      <c r="L17" s="0" t="n">
        <v>823.3</v>
      </c>
      <c r="M17" s="0" t="n">
        <v>38.4</v>
      </c>
      <c r="N17" s="0" t="n">
        <v>784.9</v>
      </c>
      <c r="O17" s="0" t="n">
        <v>2240.6</v>
      </c>
      <c r="P17" s="0" t="n">
        <v>8233.2</v>
      </c>
      <c r="Q17" s="0" t="n">
        <v>5992.6</v>
      </c>
      <c r="R17" s="0" t="n">
        <v>4591.8</v>
      </c>
      <c r="S17" s="0" t="n">
        <v>252.3</v>
      </c>
      <c r="T17" s="0" t="n">
        <v>119</v>
      </c>
      <c r="U17" s="0" t="n">
        <v>73.1</v>
      </c>
      <c r="V17" s="0" t="n">
        <v>2.9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6506.8</v>
      </c>
      <c r="C18" s="0" t="n">
        <v>4572.9</v>
      </c>
      <c r="F18" s="0" t="n">
        <v>1017.1</v>
      </c>
      <c r="G18" s="0" t="n">
        <v>15.6313395217311</v>
      </c>
      <c r="I18" s="0" t="n">
        <v>698.1</v>
      </c>
      <c r="J18" s="0" t="n">
        <v>10.7287760496711</v>
      </c>
      <c r="K18" s="0" t="n">
        <v>5.93</v>
      </c>
      <c r="L18" s="0" t="n">
        <v>1056.2</v>
      </c>
      <c r="M18" s="0" t="n">
        <v>57.4</v>
      </c>
      <c r="N18" s="0" t="n">
        <v>998.8</v>
      </c>
      <c r="O18" s="0" t="n">
        <v>2168.2</v>
      </c>
      <c r="P18" s="0" t="n">
        <v>8242.4</v>
      </c>
      <c r="Q18" s="0" t="n">
        <v>6074.2</v>
      </c>
      <c r="R18" s="0" t="n">
        <v>3355.1</v>
      </c>
      <c r="S18" s="0" t="n">
        <v>304.4</v>
      </c>
      <c r="T18" s="0" t="n">
        <v>119.1</v>
      </c>
      <c r="U18" s="0" t="n">
        <v>70.6</v>
      </c>
      <c r="V18" s="0" t="n">
        <v>3.2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6889.1</v>
      </c>
      <c r="C19" s="0" t="n">
        <v>4752.3</v>
      </c>
      <c r="F19" s="0" t="n">
        <v>1188.6</v>
      </c>
      <c r="G19" s="0" t="n">
        <v>17.2533422362863</v>
      </c>
      <c r="I19" s="0" t="n">
        <v>839.5</v>
      </c>
      <c r="J19" s="0" t="n">
        <v>12.1859168831923</v>
      </c>
      <c r="K19" s="0" t="n">
        <v>7.17</v>
      </c>
      <c r="L19" s="0" t="n">
        <v>1171.3</v>
      </c>
      <c r="M19" s="0" t="n">
        <v>43.8</v>
      </c>
      <c r="N19" s="0" t="n">
        <v>1127.5</v>
      </c>
      <c r="O19" s="0" t="n">
        <v>2655.1</v>
      </c>
      <c r="P19" s="0" t="n">
        <v>8545</v>
      </c>
      <c r="Q19" s="0" t="n">
        <v>5889.9</v>
      </c>
      <c r="R19" s="0" t="n">
        <v>3751.6</v>
      </c>
      <c r="S19" s="0" t="n">
        <v>561.5</v>
      </c>
      <c r="T19" s="0" t="n">
        <v>118.3</v>
      </c>
      <c r="U19" s="0" t="n">
        <v>73.4</v>
      </c>
      <c r="V19" s="0" t="n">
        <v>3.52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7476.8</v>
      </c>
      <c r="C20" s="0" t="n">
        <v>5100.7</v>
      </c>
      <c r="F20" s="0" t="n">
        <v>1300.6</v>
      </c>
      <c r="G20" s="0" t="n">
        <v>17.3951423068693</v>
      </c>
      <c r="I20" s="0" t="n">
        <v>1124.3</v>
      </c>
      <c r="J20" s="0" t="n">
        <v>15.037181682003</v>
      </c>
      <c r="K20" s="0" t="n">
        <v>9.67</v>
      </c>
      <c r="L20" s="0" t="n">
        <v>1345.6</v>
      </c>
      <c r="M20" s="0" t="n">
        <v>67.2</v>
      </c>
      <c r="N20" s="0" t="n">
        <v>1278.4</v>
      </c>
      <c r="O20" s="0" t="n">
        <v>2840.5</v>
      </c>
      <c r="P20" s="0" t="n">
        <v>8945.3</v>
      </c>
      <c r="Q20" s="0" t="n">
        <v>6104.7</v>
      </c>
      <c r="R20" s="0" t="n">
        <v>3254.6</v>
      </c>
      <c r="S20" s="0" t="n">
        <v>402.9</v>
      </c>
      <c r="T20" s="0" t="n">
        <v>117.1</v>
      </c>
      <c r="U20" s="0" t="n">
        <v>93.9</v>
      </c>
      <c r="V20" s="0" t="n">
        <v>3.9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163.77</v>
      </c>
    </row>
    <row r="3" customFormat="false" ht="15" hidden="false" customHeight="false" outlineLevel="0" collapsed="false">
      <c r="A3" s="0" t="s">
        <v>85</v>
      </c>
      <c r="B3" s="3" t="n">
        <v>114</v>
      </c>
    </row>
    <row r="4" customFormat="false" ht="15" hidden="false" customHeight="false" outlineLevel="0" collapsed="false">
      <c r="A4" s="0" t="s">
        <v>86</v>
      </c>
      <c r="B4" s="3" t="n">
        <v>2851.7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7476.8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3</v>
      </c>
      <c r="D13" s="3" t="n">
        <v>3</v>
      </c>
      <c r="E13" s="3" t="n">
        <v>3.5</v>
      </c>
      <c r="F13" s="3" t="n">
        <v>3.5</v>
      </c>
      <c r="G13" s="3" t="n">
        <v>3</v>
      </c>
      <c r="H13" s="3" t="n">
        <v>3</v>
      </c>
      <c r="I13" s="3" t="n">
        <v>2.5</v>
      </c>
      <c r="J13" s="3" t="n">
        <v>2.5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106</v>
      </c>
      <c r="C14" s="3" t="n">
        <v>22.5</v>
      </c>
      <c r="D14" s="3" t="n">
        <v>22.5</v>
      </c>
      <c r="E14" s="3" t="n">
        <v>22.5</v>
      </c>
      <c r="F14" s="3" t="n">
        <v>22.5</v>
      </c>
      <c r="G14" s="3" t="n">
        <v>22.5</v>
      </c>
      <c r="H14" s="3" t="n">
        <v>22.5</v>
      </c>
      <c r="I14" s="3" t="n">
        <v>22.5</v>
      </c>
      <c r="J14" s="3" t="n">
        <v>22.5</v>
      </c>
      <c r="K14" s="3" t="n">
        <v>22.5</v>
      </c>
      <c r="L14" s="3" t="n">
        <v>22.5</v>
      </c>
    </row>
    <row r="15" customFormat="false" ht="15" hidden="false" customHeight="false" outlineLevel="0" collapsed="false">
      <c r="A15" s="0" t="s">
        <v>107</v>
      </c>
      <c r="C15" s="3" t="n">
        <v>1.3</v>
      </c>
      <c r="D15" s="3" t="n">
        <v>1.3</v>
      </c>
      <c r="E15" s="3" t="n">
        <v>1.3</v>
      </c>
      <c r="F15" s="3" t="n">
        <v>1.3</v>
      </c>
      <c r="G15" s="3" t="n">
        <v>1.3</v>
      </c>
      <c r="H15" s="3" t="n">
        <v>1.3</v>
      </c>
      <c r="I15" s="3" t="n">
        <v>1.3</v>
      </c>
      <c r="J15" s="3" t="n">
        <v>1.3</v>
      </c>
      <c r="K15" s="3" t="n">
        <v>1.3</v>
      </c>
      <c r="L15" s="3" t="n">
        <v>1.3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4.7</v>
      </c>
      <c r="D17" s="3" t="n">
        <v>4.7</v>
      </c>
      <c r="E17" s="3" t="n">
        <v>4.6</v>
      </c>
      <c r="F17" s="3" t="n">
        <v>4.6</v>
      </c>
      <c r="G17" s="3" t="n">
        <v>4.5</v>
      </c>
      <c r="H17" s="3" t="n">
        <v>4.5</v>
      </c>
      <c r="I17" s="3" t="n">
        <v>4.4</v>
      </c>
      <c r="J17" s="3" t="n">
        <v>4.4</v>
      </c>
      <c r="K17" s="3" t="n">
        <v>4.3</v>
      </c>
      <c r="L17" s="3" t="n">
        <v>4.3</v>
      </c>
    </row>
    <row r="18" customFormat="false" ht="15" hidden="false" customHeight="false" outlineLevel="0" collapsed="false">
      <c r="A18" s="0" t="s">
        <v>110</v>
      </c>
      <c r="C18" s="3" t="n">
        <v>1.6</v>
      </c>
      <c r="D18" s="3" t="n">
        <v>1.6</v>
      </c>
      <c r="E18" s="3" t="n">
        <v>1.6</v>
      </c>
      <c r="F18" s="3" t="n">
        <v>1.55</v>
      </c>
      <c r="G18" s="3" t="n">
        <v>1.55</v>
      </c>
      <c r="H18" s="3" t="n">
        <v>1.5</v>
      </c>
      <c r="I18" s="3" t="n">
        <v>1.5</v>
      </c>
      <c r="J18" s="3" t="n">
        <v>1.5</v>
      </c>
      <c r="K18" s="3" t="n">
        <v>1.5</v>
      </c>
      <c r="L18" s="3" t="n">
        <v>1.5</v>
      </c>
    </row>
    <row r="19" customFormat="false" ht="15" hidden="false" customHeight="false" outlineLevel="0" collapsed="false">
      <c r="A19" s="0" t="s">
        <v>111</v>
      </c>
      <c r="C19" s="3" t="n">
        <v>20</v>
      </c>
      <c r="D19" s="3" t="n">
        <v>21</v>
      </c>
      <c r="E19" s="3" t="n">
        <v>22</v>
      </c>
      <c r="F19" s="3" t="n">
        <v>23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112</v>
      </c>
      <c r="B20" s="3" t="n">
        <v>9.5</v>
      </c>
    </row>
    <row r="21" customFormat="false" ht="15" hidden="false" customHeight="false" outlineLevel="0" collapsed="false">
      <c r="A21" s="0" t="s">
        <v>113</v>
      </c>
      <c r="B21" s="3" t="n">
        <v>2</v>
      </c>
    </row>
    <row r="22" customFormat="false" ht="15" hidden="false" customHeight="false" outlineLevel="0" collapsed="false">
      <c r="A22" s="0" t="s">
        <v>114</v>
      </c>
      <c r="B22" s="3" t="n">
        <v>14</v>
      </c>
    </row>
    <row r="23" customFormat="false" ht="15" hidden="false" customHeight="false" outlineLevel="0" collapsed="false">
      <c r="A23" s="0" t="s">
        <v>115</v>
      </c>
      <c r="B23" s="3" t="n">
        <v>3</v>
      </c>
    </row>
    <row r="24" customFormat="false" ht="15" hidden="false" customHeight="false" outlineLevel="0" collapsed="false">
      <c r="A24" s="0" t="s">
        <v>116</v>
      </c>
      <c r="B24" s="3" t="n">
        <v>0.2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6</v>
      </c>
      <c r="D27" s="3" t="n">
        <v>6.5</v>
      </c>
      <c r="E27" s="3" t="n">
        <v>6.5</v>
      </c>
      <c r="F27" s="3" t="n">
        <v>6</v>
      </c>
      <c r="G27" s="3" t="n">
        <v>5.5</v>
      </c>
      <c r="H27" s="3" t="n">
        <v>5</v>
      </c>
      <c r="I27" s="3" t="n">
        <v>4.5</v>
      </c>
      <c r="J27" s="3" t="n">
        <v>4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106</v>
      </c>
      <c r="C28" s="3" t="n">
        <v>23.4</v>
      </c>
      <c r="D28" s="3" t="n">
        <v>23.7</v>
      </c>
      <c r="E28" s="3" t="n">
        <v>24</v>
      </c>
      <c r="F28" s="3" t="n">
        <v>24.3</v>
      </c>
      <c r="G28" s="3" t="n">
        <v>24.5</v>
      </c>
      <c r="H28" s="3" t="n">
        <v>24.7</v>
      </c>
      <c r="I28" s="3" t="n">
        <v>24.8</v>
      </c>
      <c r="J28" s="3" t="n">
        <v>24.9</v>
      </c>
      <c r="K28" s="3" t="n">
        <v>25</v>
      </c>
      <c r="L28" s="3" t="n">
        <v>25</v>
      </c>
    </row>
    <row r="29" customFormat="false" ht="15" hidden="false" customHeight="false" outlineLevel="0" collapsed="false">
      <c r="A29" s="0" t="s">
        <v>107</v>
      </c>
      <c r="C29" s="3" t="n">
        <v>1.25</v>
      </c>
      <c r="D29" s="3" t="n">
        <v>1.2</v>
      </c>
      <c r="E29" s="3" t="n">
        <v>1.2</v>
      </c>
      <c r="F29" s="3" t="n">
        <v>1.15</v>
      </c>
      <c r="G29" s="3" t="n">
        <v>1.15</v>
      </c>
      <c r="H29" s="3" t="n">
        <v>1.1</v>
      </c>
      <c r="I29" s="3" t="n">
        <v>1.1</v>
      </c>
      <c r="J29" s="3" t="n">
        <v>1.05</v>
      </c>
      <c r="K29" s="3" t="n">
        <v>1.05</v>
      </c>
      <c r="L29" s="3" t="n">
        <v>1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4.5</v>
      </c>
      <c r="D31" s="3" t="n">
        <v>4.4</v>
      </c>
      <c r="E31" s="3" t="n">
        <v>4.3</v>
      </c>
      <c r="F31" s="3" t="n">
        <v>4.2</v>
      </c>
      <c r="G31" s="3" t="n">
        <v>4.1</v>
      </c>
      <c r="H31" s="3" t="n">
        <v>4</v>
      </c>
      <c r="I31" s="3" t="n">
        <v>3.9</v>
      </c>
      <c r="J31" s="3" t="n">
        <v>3.8</v>
      </c>
      <c r="K31" s="3" t="n">
        <v>3.7</v>
      </c>
      <c r="L31" s="3" t="n">
        <v>3.6</v>
      </c>
    </row>
    <row r="32" customFormat="false" ht="15" hidden="false" customHeight="false" outlineLevel="0" collapsed="false">
      <c r="A32" s="0" t="s">
        <v>110</v>
      </c>
      <c r="C32" s="3" t="n">
        <v>1.5</v>
      </c>
      <c r="D32" s="3" t="n">
        <v>1.5</v>
      </c>
      <c r="E32" s="3" t="n">
        <v>1.5</v>
      </c>
      <c r="F32" s="3" t="n">
        <v>1.45</v>
      </c>
      <c r="G32" s="3" t="n">
        <v>1.45</v>
      </c>
      <c r="H32" s="3" t="n">
        <v>1.4</v>
      </c>
      <c r="I32" s="3" t="n">
        <v>1.4</v>
      </c>
      <c r="J32" s="3" t="n">
        <v>1.35</v>
      </c>
      <c r="K32" s="3" t="n">
        <v>1.35</v>
      </c>
      <c r="L32" s="3" t="n">
        <v>1.3</v>
      </c>
    </row>
    <row r="33" customFormat="false" ht="15" hidden="false" customHeight="false" outlineLevel="0" collapsed="false">
      <c r="A33" s="0" t="s">
        <v>111</v>
      </c>
      <c r="C33" s="3" t="n">
        <v>18</v>
      </c>
      <c r="D33" s="3" t="n">
        <v>19</v>
      </c>
      <c r="E33" s="3" t="n">
        <v>20</v>
      </c>
      <c r="F33" s="3" t="n">
        <v>21</v>
      </c>
      <c r="G33" s="3" t="n">
        <v>22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112</v>
      </c>
      <c r="B34" s="3" t="n">
        <v>8.5</v>
      </c>
    </row>
    <row r="35" customFormat="false" ht="15" hidden="false" customHeight="false" outlineLevel="0" collapsed="false">
      <c r="A35" s="0" t="s">
        <v>113</v>
      </c>
      <c r="B35" s="3" t="n">
        <v>2.5</v>
      </c>
    </row>
    <row r="36" customFormat="false" ht="15" hidden="false" customHeight="false" outlineLevel="0" collapsed="false">
      <c r="A36" s="0" t="s">
        <v>114</v>
      </c>
      <c r="B36" s="3" t="n">
        <v>18</v>
      </c>
    </row>
    <row r="37" customFormat="false" ht="15" hidden="false" customHeight="false" outlineLevel="0" collapsed="false">
      <c r="A37" s="0" t="s">
        <v>115</v>
      </c>
      <c r="B37" s="3" t="n">
        <v>5</v>
      </c>
    </row>
    <row r="38" customFormat="false" ht="15" hidden="false" customHeight="false" outlineLevel="0" collapsed="false">
      <c r="A38" s="0" t="s">
        <v>116</v>
      </c>
      <c r="B38" s="3" t="n">
        <v>0.55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8</v>
      </c>
      <c r="D41" s="3" t="n">
        <v>9</v>
      </c>
      <c r="E41" s="3" t="n">
        <v>9</v>
      </c>
      <c r="F41" s="3" t="n">
        <v>8.5</v>
      </c>
      <c r="G41" s="3" t="n">
        <v>8</v>
      </c>
      <c r="H41" s="3" t="n">
        <v>7</v>
      </c>
      <c r="I41" s="3" t="n">
        <v>6</v>
      </c>
      <c r="J41" s="3" t="n">
        <v>5</v>
      </c>
      <c r="K41" s="3" t="n">
        <v>4</v>
      </c>
      <c r="L41" s="3" t="n">
        <v>3</v>
      </c>
    </row>
    <row r="42" customFormat="false" ht="15" hidden="false" customHeight="false" outlineLevel="0" collapsed="false">
      <c r="A42" s="0" t="s">
        <v>106</v>
      </c>
      <c r="C42" s="3" t="n">
        <v>23.6</v>
      </c>
      <c r="D42" s="3" t="n">
        <v>24.2</v>
      </c>
      <c r="E42" s="3" t="n">
        <v>24.8</v>
      </c>
      <c r="F42" s="3" t="n">
        <v>25.3</v>
      </c>
      <c r="G42" s="3" t="n">
        <v>25.8</v>
      </c>
      <c r="H42" s="3" t="n">
        <v>26.2</v>
      </c>
      <c r="I42" s="3" t="n">
        <v>26.5</v>
      </c>
      <c r="J42" s="3" t="n">
        <v>26.7</v>
      </c>
      <c r="K42" s="3" t="n">
        <v>26.8</v>
      </c>
      <c r="L42" s="3" t="n">
        <v>27</v>
      </c>
    </row>
    <row r="43" customFormat="false" ht="15" hidden="false" customHeight="false" outlineLevel="0" collapsed="false">
      <c r="A43" s="0" t="s">
        <v>107</v>
      </c>
      <c r="C43" s="3" t="n">
        <v>1.2</v>
      </c>
      <c r="D43" s="3" t="n">
        <v>1.15</v>
      </c>
      <c r="E43" s="3" t="n">
        <v>1.1</v>
      </c>
      <c r="F43" s="3" t="n">
        <v>1.05</v>
      </c>
      <c r="G43" s="3" t="n">
        <v>1</v>
      </c>
      <c r="H43" s="3" t="n">
        <v>1</v>
      </c>
      <c r="I43" s="3" t="n">
        <v>0.95</v>
      </c>
      <c r="J43" s="3" t="n">
        <v>0.95</v>
      </c>
      <c r="K43" s="3" t="n">
        <v>0.9</v>
      </c>
      <c r="L43" s="3" t="n">
        <v>0.9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4.3</v>
      </c>
      <c r="D45" s="3" t="n">
        <v>4.1</v>
      </c>
      <c r="E45" s="3" t="n">
        <v>3.9</v>
      </c>
      <c r="F45" s="3" t="n">
        <v>3.7</v>
      </c>
      <c r="G45" s="3" t="n">
        <v>3.5</v>
      </c>
      <c r="H45" s="3" t="n">
        <v>3.4</v>
      </c>
      <c r="I45" s="3" t="n">
        <v>3.3</v>
      </c>
      <c r="J45" s="3" t="n">
        <v>3.2</v>
      </c>
      <c r="K45" s="3" t="n">
        <v>3.1</v>
      </c>
      <c r="L45" s="3" t="n">
        <v>3</v>
      </c>
    </row>
    <row r="46" customFormat="false" ht="15" hidden="false" customHeight="false" outlineLevel="0" collapsed="false">
      <c r="A46" s="0" t="s">
        <v>110</v>
      </c>
      <c r="C46" s="3" t="n">
        <v>1.5</v>
      </c>
      <c r="D46" s="3" t="n">
        <v>1.5</v>
      </c>
      <c r="E46" s="3" t="n">
        <v>1.5</v>
      </c>
      <c r="F46" s="3" t="n">
        <v>1.5</v>
      </c>
      <c r="G46" s="3" t="n">
        <v>1.45</v>
      </c>
      <c r="H46" s="3" t="n">
        <v>1.45</v>
      </c>
      <c r="I46" s="3" t="n">
        <v>1.4</v>
      </c>
      <c r="J46" s="3" t="n">
        <v>1.4</v>
      </c>
      <c r="K46" s="3" t="n">
        <v>1.35</v>
      </c>
      <c r="L46" s="3" t="n">
        <v>1.3</v>
      </c>
    </row>
    <row r="47" customFormat="false" ht="15" hidden="false" customHeight="false" outlineLevel="0" collapsed="false">
      <c r="A47" s="0" t="s">
        <v>111</v>
      </c>
      <c r="C47" s="3" t="n">
        <v>18</v>
      </c>
      <c r="D47" s="3" t="n">
        <v>19</v>
      </c>
      <c r="E47" s="3" t="n">
        <v>20</v>
      </c>
      <c r="F47" s="3" t="n">
        <v>21</v>
      </c>
      <c r="G47" s="3" t="n">
        <v>22</v>
      </c>
      <c r="H47" s="3" t="n">
        <v>22.5</v>
      </c>
      <c r="I47" s="3" t="n">
        <v>22.5</v>
      </c>
      <c r="J47" s="3" t="n">
        <v>22.5</v>
      </c>
      <c r="K47" s="3" t="n">
        <v>22.5</v>
      </c>
      <c r="L47" s="3" t="n">
        <v>22.5</v>
      </c>
    </row>
    <row r="48" customFormat="false" ht="15" hidden="false" customHeight="false" outlineLevel="0" collapsed="false">
      <c r="A48" s="0" t="s">
        <v>112</v>
      </c>
      <c r="B48" s="3" t="n">
        <v>8</v>
      </c>
    </row>
    <row r="49" customFormat="false" ht="15" hidden="false" customHeight="false" outlineLevel="0" collapsed="false">
      <c r="A49" s="0" t="s">
        <v>113</v>
      </c>
      <c r="B49" s="3" t="n">
        <v>3</v>
      </c>
    </row>
    <row r="50" customFormat="false" ht="15" hidden="false" customHeight="false" outlineLevel="0" collapsed="false">
      <c r="A50" s="0" t="s">
        <v>114</v>
      </c>
      <c r="B50" s="3" t="n">
        <v>20</v>
      </c>
    </row>
    <row r="51" customFormat="false" ht="15" hidden="false" customHeight="false" outlineLevel="0" collapsed="false">
      <c r="A51" s="0" t="s">
        <v>115</v>
      </c>
      <c r="B51" s="3" t="n">
        <v>6.5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3</v>
      </c>
      <c r="D5" s="4" t="n">
        <f aca="false">Assumptions!D13</f>
        <v>3</v>
      </c>
      <c r="E5" s="4" t="n">
        <f aca="false">Assumptions!E13</f>
        <v>3.5</v>
      </c>
      <c r="F5" s="4" t="n">
        <f aca="false">Assumptions!F13</f>
        <v>3.5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7476.8</v>
      </c>
      <c r="C6" s="0" t="n">
        <f aca="false">B6*(1+C5/100)</f>
        <v>7701.104</v>
      </c>
      <c r="D6" s="0" t="n">
        <f aca="false">C6*(1+D5/100)</f>
        <v>7932.13712</v>
      </c>
      <c r="E6" s="0" t="n">
        <f aca="false">D6*(1+E5/100)</f>
        <v>8209.7619192</v>
      </c>
      <c r="F6" s="0" t="n">
        <f aca="false">E6*(1+F5/100)</f>
        <v>8497.103586372</v>
      </c>
      <c r="G6" s="0" t="n">
        <f aca="false">F6*(1+G5/100)</f>
        <v>8752.01669396316</v>
      </c>
      <c r="H6" s="0" t="n">
        <f aca="false">G6*(1+H5/100)</f>
        <v>9014.57719478206</v>
      </c>
      <c r="I6" s="0" t="n">
        <f aca="false">H6*(1+I5/100)</f>
        <v>9239.94162465161</v>
      </c>
      <c r="J6" s="0" t="n">
        <f aca="false">I6*(1+J5/100)</f>
        <v>9470.9401652679</v>
      </c>
      <c r="K6" s="0" t="n">
        <f aca="false">J6*(1+K5/100)</f>
        <v>9660.35896857325</v>
      </c>
      <c r="L6" s="0" t="n">
        <f aca="false">K6*(1+L5/100)</f>
        <v>9853.56614794472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22.5</v>
      </c>
      <c r="D7" s="4" t="n">
        <f aca="false">Assumptions!D14</f>
        <v>22.5</v>
      </c>
      <c r="E7" s="4" t="n">
        <f aca="false">Assumptions!E14</f>
        <v>22.5</v>
      </c>
      <c r="F7" s="4" t="n">
        <f aca="false">Assumptions!F14</f>
        <v>22.5</v>
      </c>
      <c r="G7" s="4" t="n">
        <f aca="false">Assumptions!G14</f>
        <v>22.5</v>
      </c>
      <c r="H7" s="4" t="n">
        <f aca="false">Assumptions!H14</f>
        <v>22.5</v>
      </c>
      <c r="I7" s="4" t="n">
        <f aca="false">Assumptions!I14</f>
        <v>22.5</v>
      </c>
      <c r="J7" s="4" t="n">
        <f aca="false">Assumptions!J14</f>
        <v>22.5</v>
      </c>
      <c r="K7" s="4" t="n">
        <f aca="false">Assumptions!K14</f>
        <v>22.5</v>
      </c>
      <c r="L7" s="4" t="n">
        <f aca="false">Assumptions!L14</f>
        <v>22.5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1732.7484</v>
      </c>
      <c r="D8" s="0" t="n">
        <f aca="false">D6*D7/100</f>
        <v>1784.730852</v>
      </c>
      <c r="E8" s="0" t="n">
        <f aca="false">E6*E7/100</f>
        <v>1847.19643182</v>
      </c>
      <c r="F8" s="0" t="n">
        <f aca="false">F6*F7/100</f>
        <v>1911.8483069337</v>
      </c>
      <c r="G8" s="0" t="n">
        <f aca="false">G6*G7/100</f>
        <v>1969.20375614171</v>
      </c>
      <c r="H8" s="0" t="n">
        <f aca="false">H6*H7/100</f>
        <v>2028.27986882596</v>
      </c>
      <c r="I8" s="0" t="n">
        <f aca="false">I6*I7/100</f>
        <v>2078.98686554661</v>
      </c>
      <c r="J8" s="0" t="n">
        <f aca="false">J6*J7/100</f>
        <v>2130.96153718528</v>
      </c>
      <c r="K8" s="0" t="n">
        <f aca="false">K6*K7/100</f>
        <v>2173.58076792898</v>
      </c>
      <c r="L8" s="0" t="n">
        <f aca="false">L6*L7/100</f>
        <v>2217.05238328756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1.3</v>
      </c>
      <c r="D9" s="4" t="n">
        <f aca="false">Assumptions!D15</f>
        <v>1.3</v>
      </c>
      <c r="E9" s="4" t="n">
        <f aca="false">Assumptions!E15</f>
        <v>1.3</v>
      </c>
      <c r="F9" s="4" t="n">
        <f aca="false">Assumptions!F15</f>
        <v>1.3</v>
      </c>
      <c r="G9" s="4" t="n">
        <f aca="false">Assumptions!G15</f>
        <v>1.3</v>
      </c>
      <c r="H9" s="4" t="n">
        <f aca="false">Assumptions!H15</f>
        <v>1.3</v>
      </c>
      <c r="I9" s="4" t="n">
        <f aca="false">Assumptions!I15</f>
        <v>1.3</v>
      </c>
      <c r="J9" s="4" t="n">
        <f aca="false">Assumptions!J15</f>
        <v>1.3</v>
      </c>
      <c r="K9" s="4" t="n">
        <f aca="false">Assumptions!K15</f>
        <v>1.3</v>
      </c>
      <c r="L9" s="4" t="n">
        <f aca="false">Assumptions!L15</f>
        <v>1.3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-100.114352</v>
      </c>
      <c r="D10" s="0" t="n">
        <f aca="false">-D6*D9/100</f>
        <v>-103.11778256</v>
      </c>
      <c r="E10" s="0" t="n">
        <f aca="false">-E6*E9/100</f>
        <v>-106.7269049496</v>
      </c>
      <c r="F10" s="0" t="n">
        <f aca="false">-F6*F9/100</f>
        <v>-110.462346622836</v>
      </c>
      <c r="G10" s="0" t="n">
        <f aca="false">-G6*G9/100</f>
        <v>-113.776217021521</v>
      </c>
      <c r="H10" s="0" t="n">
        <f aca="false">-H6*H9/100</f>
        <v>-117.189503532167</v>
      </c>
      <c r="I10" s="0" t="n">
        <f aca="false">-I6*I9/100</f>
        <v>-120.119241120471</v>
      </c>
      <c r="J10" s="0" t="n">
        <f aca="false">-J6*J9/100</f>
        <v>-123.122222148483</v>
      </c>
      <c r="K10" s="0" t="n">
        <f aca="false">-K6*K9/100</f>
        <v>-125.584666591452</v>
      </c>
      <c r="L10" s="0" t="n">
        <f aca="false">-L6*L9/100</f>
        <v>-128.096359923281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1632.634048</v>
      </c>
      <c r="D11" s="0" t="n">
        <f aca="false">D8+D10+D24</f>
        <v>1681.61306944</v>
      </c>
      <c r="E11" s="0" t="n">
        <f aca="false">E8+E10+E24</f>
        <v>1740.4695268704</v>
      </c>
      <c r="F11" s="0" t="n">
        <f aca="false">F8+F10+F24</f>
        <v>1801.38596031086</v>
      </c>
      <c r="G11" s="0" t="n">
        <f aca="false">G8+G10+G24</f>
        <v>1855.42753912019</v>
      </c>
      <c r="H11" s="0" t="n">
        <f aca="false">H8+H10+H24</f>
        <v>1911.0903652938</v>
      </c>
      <c r="I11" s="0" t="n">
        <f aca="false">I8+I10+I24</f>
        <v>1958.86762442614</v>
      </c>
      <c r="J11" s="0" t="n">
        <f aca="false">J8+J10+J24</f>
        <v>2007.83931503679</v>
      </c>
      <c r="K11" s="0" t="n">
        <f aca="false">K8+K10+K24</f>
        <v>2047.99610133753</v>
      </c>
      <c r="L11" s="0" t="n">
        <f aca="false">L8+L10+L24</f>
        <v>2088.95602336428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-361.951888</v>
      </c>
      <c r="D12" s="4" t="n">
        <f aca="false">-D6*Assumptions!D17/100</f>
        <v>-372.81044464</v>
      </c>
      <c r="E12" s="4" t="n">
        <f aca="false">-E6*Assumptions!E17/100</f>
        <v>-377.6490482832</v>
      </c>
      <c r="F12" s="4" t="n">
        <f aca="false">-F6*Assumptions!F17/100</f>
        <v>-390.866764973112</v>
      </c>
      <c r="G12" s="4" t="n">
        <f aca="false">-G6*Assumptions!G17/100</f>
        <v>-393.840751228342</v>
      </c>
      <c r="H12" s="4" t="n">
        <f aca="false">-H6*Assumptions!H17/100</f>
        <v>-405.655973765193</v>
      </c>
      <c r="I12" s="4" t="n">
        <f aca="false">-I6*Assumptions!I17/100</f>
        <v>-406.557431484671</v>
      </c>
      <c r="J12" s="4" t="n">
        <f aca="false">-J6*Assumptions!J17/100</f>
        <v>-416.721367271787</v>
      </c>
      <c r="K12" s="4" t="n">
        <f aca="false">-K6*Assumptions!K17/100</f>
        <v>-415.39543564865</v>
      </c>
      <c r="L12" s="4" t="n">
        <f aca="false">-L6*Assumptions!L17/100</f>
        <v>-423.703344361623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1270.68216</v>
      </c>
      <c r="D13" s="0" t="n">
        <f aca="false">D11+D12</f>
        <v>1308.8026248</v>
      </c>
      <c r="E13" s="0" t="n">
        <f aca="false">E11+E12</f>
        <v>1362.8204785872</v>
      </c>
      <c r="F13" s="0" t="n">
        <f aca="false">F11+F12</f>
        <v>1410.51919533775</v>
      </c>
      <c r="G13" s="0" t="n">
        <f aca="false">G11+G12</f>
        <v>1461.58678789185</v>
      </c>
      <c r="H13" s="0" t="n">
        <f aca="false">H11+H12</f>
        <v>1505.4343915286</v>
      </c>
      <c r="I13" s="0" t="n">
        <f aca="false">I11+I12</f>
        <v>1552.31019294147</v>
      </c>
      <c r="J13" s="0" t="n">
        <f aca="false">J11+J12</f>
        <v>1591.11794776501</v>
      </c>
      <c r="K13" s="0" t="n">
        <f aca="false">K11+K12</f>
        <v>1632.60066568888</v>
      </c>
      <c r="L13" s="0" t="n">
        <f aca="false">L11+L12</f>
        <v>1665.25267900266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20</v>
      </c>
      <c r="D14" s="4" t="n">
        <f aca="false">Assumptions!D19</f>
        <v>21</v>
      </c>
      <c r="E14" s="4" t="n">
        <f aca="false">Assumptions!E19</f>
        <v>22</v>
      </c>
      <c r="F14" s="4" t="n">
        <f aca="false">Assumptions!F19</f>
        <v>23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1016.545728</v>
      </c>
      <c r="D15" s="0" t="n">
        <f aca="false">D13-MAX(0,D13)*D14/100</f>
        <v>1033.954073592</v>
      </c>
      <c r="E15" s="0" t="n">
        <f aca="false">E13-MAX(0,E13)*E14/100</f>
        <v>1062.99997329802</v>
      </c>
      <c r="F15" s="0" t="n">
        <f aca="false">F13-MAX(0,F13)*F14/100</f>
        <v>1086.09978041007</v>
      </c>
      <c r="G15" s="0" t="n">
        <f aca="false">G13-MAX(0,G13)*G14/100</f>
        <v>1110.8059587978</v>
      </c>
      <c r="H15" s="0" t="n">
        <f aca="false">H13-MAX(0,H13)*H14/100</f>
        <v>1144.13013756174</v>
      </c>
      <c r="I15" s="0" t="n">
        <f aca="false">I13-MAX(0,I13)*I14/100</f>
        <v>1179.75574663552</v>
      </c>
      <c r="J15" s="0" t="n">
        <f aca="false">J13-MAX(0,J13)*J14/100</f>
        <v>1209.2496403014</v>
      </c>
      <c r="K15" s="0" t="n">
        <f aca="false">K13-MAX(0,K13)*K14/100</f>
        <v>1240.77650592355</v>
      </c>
      <c r="L15" s="0" t="n">
        <f aca="false">L13-MAX(0,L13)*L14/100</f>
        <v>1265.59203604202</v>
      </c>
    </row>
    <row r="16" customFormat="false" ht="15" hidden="false" customHeight="false" outlineLevel="0" collapsed="false">
      <c r="A16" s="0" t="s">
        <v>127</v>
      </c>
      <c r="C16" s="0" t="n">
        <f aca="false">-C12</f>
        <v>361.951888</v>
      </c>
      <c r="D16" s="0" t="n">
        <f aca="false">-D12</f>
        <v>372.81044464</v>
      </c>
      <c r="E16" s="0" t="n">
        <f aca="false">-E12</f>
        <v>377.6490482832</v>
      </c>
      <c r="F16" s="0" t="n">
        <f aca="false">-F12</f>
        <v>390.866764973112</v>
      </c>
      <c r="G16" s="0" t="n">
        <f aca="false">-G12</f>
        <v>393.840751228342</v>
      </c>
      <c r="H16" s="0" t="n">
        <f aca="false">-H12</f>
        <v>405.655973765193</v>
      </c>
      <c r="I16" s="0" t="n">
        <f aca="false">-I12</f>
        <v>406.557431484671</v>
      </c>
      <c r="J16" s="0" t="n">
        <f aca="false">-J12</f>
        <v>416.721367271787</v>
      </c>
      <c r="K16" s="0" t="n">
        <f aca="false">-K12</f>
        <v>415.39543564865</v>
      </c>
      <c r="L16" s="0" t="n">
        <f aca="false">-L12</f>
        <v>423.703344361623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-123.217664</v>
      </c>
      <c r="D17" s="4" t="n">
        <f aca="false">-D6*Assumptions!D18/100</f>
        <v>-126.91419392</v>
      </c>
      <c r="E17" s="4" t="n">
        <f aca="false">-E6*Assumptions!E18/100</f>
        <v>-131.3561907072</v>
      </c>
      <c r="F17" s="4" t="n">
        <f aca="false">-F6*Assumptions!F18/100</f>
        <v>-131.705105588766</v>
      </c>
      <c r="G17" s="4" t="n">
        <f aca="false">-G6*Assumptions!G18/100</f>
        <v>-135.656258756429</v>
      </c>
      <c r="H17" s="4" t="n">
        <f aca="false">-H6*Assumptions!H18/100</f>
        <v>-135.218657921731</v>
      </c>
      <c r="I17" s="4" t="n">
        <f aca="false">-I6*Assumptions!I18/100</f>
        <v>-138.599124369774</v>
      </c>
      <c r="J17" s="4" t="n">
        <f aca="false">-J6*Assumptions!J18/100</f>
        <v>-142.064102479018</v>
      </c>
      <c r="K17" s="4" t="n">
        <f aca="false">-K6*Assumptions!K18/100</f>
        <v>-144.905384528599</v>
      </c>
      <c r="L17" s="4" t="n">
        <f aca="false">-L6*Assumptions!L18/100</f>
        <v>-147.803492219171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6.72912</v>
      </c>
      <c r="D18" s="4" t="n">
        <f aca="false">(D6-C6)*Assumptions!$B$23/100</f>
        <v>6.9309936</v>
      </c>
      <c r="E18" s="4" t="n">
        <f aca="false">(E6-D6)*Assumptions!$B$23/100</f>
        <v>8.328743976</v>
      </c>
      <c r="F18" s="4" t="n">
        <f aca="false">(F6-E6)*Assumptions!$B$23/100</f>
        <v>8.62025001515996</v>
      </c>
      <c r="G18" s="4" t="n">
        <f aca="false">(G6-F6)*Assumptions!$B$23/100</f>
        <v>7.64739322773483</v>
      </c>
      <c r="H18" s="4" t="n">
        <f aca="false">(H6-G6)*Assumptions!$B$23/100</f>
        <v>7.87681502456688</v>
      </c>
      <c r="I18" s="4" t="n">
        <f aca="false">(I6-H6)*Assumptions!$B$23/100</f>
        <v>6.76093289608652</v>
      </c>
      <c r="J18" s="4" t="n">
        <f aca="false">(J6-I6)*Assumptions!$B$23/100</f>
        <v>6.92995621848866</v>
      </c>
      <c r="K18" s="4" t="n">
        <f aca="false">(K6-J6)*Assumptions!$B$23/100</f>
        <v>5.68256409916074</v>
      </c>
      <c r="L18" s="4" t="n">
        <f aca="false">(L6-K6)*Assumptions!$B$23/100</f>
        <v>5.79621538114398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1262.009072</v>
      </c>
      <c r="D19" s="0" t="n">
        <f aca="false">D15+D16+D17+D18</f>
        <v>1286.781317912</v>
      </c>
      <c r="E19" s="0" t="n">
        <f aca="false">E15+E16+E17+E18</f>
        <v>1317.62157485002</v>
      </c>
      <c r="F19" s="0" t="n">
        <f aca="false">F15+F16+F17+F18</f>
        <v>1353.88168980957</v>
      </c>
      <c r="G19" s="0" t="n">
        <f aca="false">G15+G16+G17+G18</f>
        <v>1376.63784449745</v>
      </c>
      <c r="H19" s="0" t="n">
        <f aca="false">H15+H16+H17+H18</f>
        <v>1422.44426842977</v>
      </c>
      <c r="I19" s="0" t="n">
        <f aca="false">I15+I16+I17+I18</f>
        <v>1454.4749866465</v>
      </c>
      <c r="J19" s="0" t="n">
        <f aca="false">J15+J16+J17+J18</f>
        <v>1490.83686131266</v>
      </c>
      <c r="K19" s="0" t="n">
        <f aca="false">K15+K16+K17+K18</f>
        <v>1516.94912114276</v>
      </c>
      <c r="L19" s="0" t="n">
        <f aca="false">L15+L16+L17+L18</f>
        <v>1547.28810356562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1152.51970045662</v>
      </c>
      <c r="D21" s="0" t="n">
        <f aca="false">D19*D20</f>
        <v>1073.18973158358</v>
      </c>
      <c r="E21" s="0" t="n">
        <f aca="false">E19*E20</f>
        <v>1003.57154712558</v>
      </c>
      <c r="F21" s="0" t="n">
        <f aca="false">F19*F20</f>
        <v>941.725299849729</v>
      </c>
      <c r="G21" s="0" t="n">
        <f aca="false">G19*G20</f>
        <v>874.478443898771</v>
      </c>
      <c r="H21" s="0" t="n">
        <f aca="false">H19*H20</f>
        <v>825.183517468682</v>
      </c>
      <c r="I21" s="0" t="n">
        <f aca="false">I19*I20</f>
        <v>770.56170636836</v>
      </c>
      <c r="J21" s="0" t="n">
        <f aca="false">J19*J20</f>
        <v>721.302053906456</v>
      </c>
      <c r="K21" s="0" t="n">
        <f aca="false">K19*K20</f>
        <v>670.260987582625</v>
      </c>
      <c r="L21" s="0" t="n">
        <f aca="false">L19*L20</f>
        <v>624.352700761897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8657.1456890023</v>
      </c>
    </row>
    <row r="31" customFormat="false" ht="15" hidden="false" customHeight="false" outlineLevel="0" collapsed="false">
      <c r="A31" s="0" t="s">
        <v>136</v>
      </c>
      <c r="B31" s="0" t="n">
        <f aca="false">L19</f>
        <v>1547.28810356562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21043.1182084924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21662.0334499186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21043.1182084924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8491.1967303618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17148.3424193641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14296.6424193641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125.40914402951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-0.234236160288761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706.19616243592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702.966299582674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137.770218257743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12140.2605048994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61.4670290690975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6</v>
      </c>
      <c r="D5" s="4" t="n">
        <f aca="false">Assumptions!D27</f>
        <v>6.5</v>
      </c>
      <c r="E5" s="4" t="n">
        <f aca="false">Assumptions!E27</f>
        <v>6.5</v>
      </c>
      <c r="F5" s="4" t="n">
        <f aca="false">Assumptions!F27</f>
        <v>6</v>
      </c>
      <c r="G5" s="4" t="n">
        <f aca="false">Assumptions!G27</f>
        <v>5.5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7476.8</v>
      </c>
      <c r="C6" s="0" t="n">
        <f aca="false">B6*(1+C5/100)</f>
        <v>7925.408</v>
      </c>
      <c r="D6" s="0" t="n">
        <f aca="false">C6*(1+D5/100)</f>
        <v>8440.55952</v>
      </c>
      <c r="E6" s="0" t="n">
        <f aca="false">D6*(1+E5/100)</f>
        <v>8989.1958888</v>
      </c>
      <c r="F6" s="0" t="n">
        <f aca="false">E6*(1+F5/100)</f>
        <v>9528.547642128</v>
      </c>
      <c r="G6" s="0" t="n">
        <f aca="false">F6*(1+G5/100)</f>
        <v>10052.617762445</v>
      </c>
      <c r="H6" s="0" t="n">
        <f aca="false">G6*(1+H5/100)</f>
        <v>10555.2486505673</v>
      </c>
      <c r="I6" s="0" t="n">
        <f aca="false">H6*(1+I5/100)</f>
        <v>11030.2348398428</v>
      </c>
      <c r="J6" s="0" t="n">
        <f aca="false">I6*(1+J5/100)</f>
        <v>11471.4442334365</v>
      </c>
      <c r="K6" s="0" t="n">
        <f aca="false">J6*(1+K5/100)</f>
        <v>11815.5875604396</v>
      </c>
      <c r="L6" s="0" t="n">
        <f aca="false">K6*(1+L5/100)</f>
        <v>12110.9772494506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23.4</v>
      </c>
      <c r="D7" s="4" t="n">
        <f aca="false">Assumptions!D28</f>
        <v>23.7</v>
      </c>
      <c r="E7" s="4" t="n">
        <f aca="false">Assumptions!E28</f>
        <v>24</v>
      </c>
      <c r="F7" s="4" t="n">
        <f aca="false">Assumptions!F28</f>
        <v>24.3</v>
      </c>
      <c r="G7" s="4" t="n">
        <f aca="false">Assumptions!G28</f>
        <v>24.5</v>
      </c>
      <c r="H7" s="4" t="n">
        <f aca="false">Assumptions!H28</f>
        <v>24.7</v>
      </c>
      <c r="I7" s="4" t="n">
        <f aca="false">Assumptions!I28</f>
        <v>24.8</v>
      </c>
      <c r="J7" s="4" t="n">
        <f aca="false">Assumptions!J28</f>
        <v>24.9</v>
      </c>
      <c r="K7" s="4" t="n">
        <f aca="false">Assumptions!K28</f>
        <v>25</v>
      </c>
      <c r="L7" s="4" t="n">
        <f aca="false">Assumptions!L28</f>
        <v>25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1854.545472</v>
      </c>
      <c r="D8" s="0" t="n">
        <f aca="false">D6*D7/100</f>
        <v>2000.41260624</v>
      </c>
      <c r="E8" s="0" t="n">
        <f aca="false">E6*E7/100</f>
        <v>2157.407013312</v>
      </c>
      <c r="F8" s="0" t="n">
        <f aca="false">F6*F7/100</f>
        <v>2315.4370770371</v>
      </c>
      <c r="G8" s="0" t="n">
        <f aca="false">G6*G7/100</f>
        <v>2462.89135179904</v>
      </c>
      <c r="H8" s="0" t="n">
        <f aca="false">H6*H7/100</f>
        <v>2607.14641669012</v>
      </c>
      <c r="I8" s="0" t="n">
        <f aca="false">I6*I7/100</f>
        <v>2735.49824028102</v>
      </c>
      <c r="J8" s="0" t="n">
        <f aca="false">J6*J7/100</f>
        <v>2856.3896141257</v>
      </c>
      <c r="K8" s="0" t="n">
        <f aca="false">K6*K7/100</f>
        <v>2953.89689010991</v>
      </c>
      <c r="L8" s="0" t="n">
        <f aca="false">L6*L7/100</f>
        <v>3027.74431236266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1.25</v>
      </c>
      <c r="D9" s="4" t="n">
        <f aca="false">Assumptions!D29</f>
        <v>1.2</v>
      </c>
      <c r="E9" s="4" t="n">
        <f aca="false">Assumptions!E29</f>
        <v>1.2</v>
      </c>
      <c r="F9" s="4" t="n">
        <f aca="false">Assumptions!F29</f>
        <v>1.15</v>
      </c>
      <c r="G9" s="4" t="n">
        <f aca="false">Assumptions!G29</f>
        <v>1.15</v>
      </c>
      <c r="H9" s="4" t="n">
        <f aca="false">Assumptions!H29</f>
        <v>1.1</v>
      </c>
      <c r="I9" s="4" t="n">
        <f aca="false">Assumptions!I29</f>
        <v>1.1</v>
      </c>
      <c r="J9" s="4" t="n">
        <f aca="false">Assumptions!J29</f>
        <v>1.05</v>
      </c>
      <c r="K9" s="4" t="n">
        <f aca="false">Assumptions!K29</f>
        <v>1.05</v>
      </c>
      <c r="L9" s="4" t="n">
        <f aca="false">Assumptions!L29</f>
        <v>1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-99.0676</v>
      </c>
      <c r="D10" s="0" t="n">
        <f aca="false">-D6*D9/100</f>
        <v>-101.28671424</v>
      </c>
      <c r="E10" s="0" t="n">
        <f aca="false">-E6*E9/100</f>
        <v>-107.8703506656</v>
      </c>
      <c r="F10" s="0" t="n">
        <f aca="false">-F6*F9/100</f>
        <v>-109.578297884472</v>
      </c>
      <c r="G10" s="0" t="n">
        <f aca="false">-G6*G9/100</f>
        <v>-115.605104268118</v>
      </c>
      <c r="H10" s="0" t="n">
        <f aca="false">-H6*H9/100</f>
        <v>-116.10773515624</v>
      </c>
      <c r="I10" s="0" t="n">
        <f aca="false">-I6*I9/100</f>
        <v>-121.332583238271</v>
      </c>
      <c r="J10" s="0" t="n">
        <f aca="false">-J6*J9/100</f>
        <v>-120.450164451084</v>
      </c>
      <c r="K10" s="0" t="n">
        <f aca="false">-K6*K9/100</f>
        <v>-124.063669384616</v>
      </c>
      <c r="L10" s="0" t="n">
        <f aca="false">-L6*L9/100</f>
        <v>-121.109772494506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1755.477872</v>
      </c>
      <c r="D11" s="0" t="n">
        <f aca="false">D8+D10+D24</f>
        <v>1899.125892</v>
      </c>
      <c r="E11" s="0" t="n">
        <f aca="false">E8+E10+E24</f>
        <v>2049.5366626464</v>
      </c>
      <c r="F11" s="0" t="n">
        <f aca="false">F8+F10+F24</f>
        <v>2205.85877915263</v>
      </c>
      <c r="G11" s="0" t="n">
        <f aca="false">G8+G10+G24</f>
        <v>2347.28624753092</v>
      </c>
      <c r="H11" s="0" t="n">
        <f aca="false">H8+H10+H24</f>
        <v>2491.03868153388</v>
      </c>
      <c r="I11" s="0" t="n">
        <f aca="false">I8+I10+I24</f>
        <v>2614.16565704275</v>
      </c>
      <c r="J11" s="0" t="n">
        <f aca="false">J8+J10+J24</f>
        <v>2735.93944967461</v>
      </c>
      <c r="K11" s="0" t="n">
        <f aca="false">K8+K10+K24</f>
        <v>2829.83322072529</v>
      </c>
      <c r="L11" s="0" t="n">
        <f aca="false">L8+L10+L24</f>
        <v>2906.63453986815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-356.64336</v>
      </c>
      <c r="D12" s="4" t="n">
        <f aca="false">-D6*Assumptions!D31/100</f>
        <v>-371.38461888</v>
      </c>
      <c r="E12" s="4" t="n">
        <f aca="false">-E6*Assumptions!E31/100</f>
        <v>-386.5354232184</v>
      </c>
      <c r="F12" s="4" t="n">
        <f aca="false">-F6*Assumptions!F31/100</f>
        <v>-400.199000969376</v>
      </c>
      <c r="G12" s="4" t="n">
        <f aca="false">-G6*Assumptions!G31/100</f>
        <v>-412.157328260247</v>
      </c>
      <c r="H12" s="4" t="n">
        <f aca="false">-H6*Assumptions!H31/100</f>
        <v>-422.209946022692</v>
      </c>
      <c r="I12" s="4" t="n">
        <f aca="false">-I6*Assumptions!I31/100</f>
        <v>-430.17915875387</v>
      </c>
      <c r="J12" s="4" t="n">
        <f aca="false">-J6*Assumptions!J31/100</f>
        <v>-435.914880870588</v>
      </c>
      <c r="K12" s="4" t="n">
        <f aca="false">-K6*Assumptions!K31/100</f>
        <v>-437.176739736266</v>
      </c>
      <c r="L12" s="4" t="n">
        <f aca="false">-L6*Assumptions!L31/100</f>
        <v>-435.995180980222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1398.834512</v>
      </c>
      <c r="D13" s="0" t="n">
        <f aca="false">D11+D12</f>
        <v>1527.74127312</v>
      </c>
      <c r="E13" s="0" t="n">
        <f aca="false">E11+E12</f>
        <v>1663.001239428</v>
      </c>
      <c r="F13" s="0" t="n">
        <f aca="false">F11+F12</f>
        <v>1805.65977818326</v>
      </c>
      <c r="G13" s="0" t="n">
        <f aca="false">G11+G12</f>
        <v>1935.12891927067</v>
      </c>
      <c r="H13" s="0" t="n">
        <f aca="false">H11+H12</f>
        <v>2068.82873551119</v>
      </c>
      <c r="I13" s="0" t="n">
        <f aca="false">I11+I12</f>
        <v>2183.98649828888</v>
      </c>
      <c r="J13" s="0" t="n">
        <f aca="false">J11+J12</f>
        <v>2300.02456880403</v>
      </c>
      <c r="K13" s="0" t="n">
        <f aca="false">K11+K12</f>
        <v>2392.65648098902</v>
      </c>
      <c r="L13" s="0" t="n">
        <f aca="false">L11+L12</f>
        <v>2470.63935888793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18</v>
      </c>
      <c r="D14" s="4" t="n">
        <f aca="false">Assumptions!D33</f>
        <v>19</v>
      </c>
      <c r="E14" s="4" t="n">
        <f aca="false">Assumptions!E33</f>
        <v>20</v>
      </c>
      <c r="F14" s="4" t="n">
        <f aca="false">Assumptions!F33</f>
        <v>21</v>
      </c>
      <c r="G14" s="4" t="n">
        <f aca="false">Assumptions!G33</f>
        <v>22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1147.04429984</v>
      </c>
      <c r="D15" s="0" t="n">
        <f aca="false">D13-MAX(0,D13)*D14/100</f>
        <v>1237.4704312272</v>
      </c>
      <c r="E15" s="0" t="n">
        <f aca="false">E13-MAX(0,E13)*E14/100</f>
        <v>1330.4009915424</v>
      </c>
      <c r="F15" s="0" t="n">
        <f aca="false">F13-MAX(0,F13)*F14/100</f>
        <v>1426.47122476477</v>
      </c>
      <c r="G15" s="0" t="n">
        <f aca="false">G13-MAX(0,G13)*G14/100</f>
        <v>1509.40055703112</v>
      </c>
      <c r="H15" s="0" t="n">
        <f aca="false">H13-MAX(0,H13)*H14/100</f>
        <v>1592.99812634362</v>
      </c>
      <c r="I15" s="0" t="n">
        <f aca="false">I13-MAX(0,I13)*I14/100</f>
        <v>1681.66960368244</v>
      </c>
      <c r="J15" s="0" t="n">
        <f aca="false">J13-MAX(0,J13)*J14/100</f>
        <v>1771.0189179791</v>
      </c>
      <c r="K15" s="0" t="n">
        <f aca="false">K13-MAX(0,K13)*K14/100</f>
        <v>1842.34549036155</v>
      </c>
      <c r="L15" s="0" t="n">
        <f aca="false">L13-MAX(0,L13)*L14/100</f>
        <v>1902.3923063437</v>
      </c>
    </row>
    <row r="16" customFormat="false" ht="15" hidden="false" customHeight="false" outlineLevel="0" collapsed="false">
      <c r="A16" s="0" t="s">
        <v>127</v>
      </c>
      <c r="C16" s="0" t="n">
        <f aca="false">-C12</f>
        <v>356.64336</v>
      </c>
      <c r="D16" s="0" t="n">
        <f aca="false">-D12</f>
        <v>371.38461888</v>
      </c>
      <c r="E16" s="0" t="n">
        <f aca="false">-E12</f>
        <v>386.5354232184</v>
      </c>
      <c r="F16" s="0" t="n">
        <f aca="false">-F12</f>
        <v>400.199000969376</v>
      </c>
      <c r="G16" s="0" t="n">
        <f aca="false">-G12</f>
        <v>412.157328260247</v>
      </c>
      <c r="H16" s="0" t="n">
        <f aca="false">-H12</f>
        <v>422.209946022692</v>
      </c>
      <c r="I16" s="0" t="n">
        <f aca="false">-I12</f>
        <v>430.17915875387</v>
      </c>
      <c r="J16" s="0" t="n">
        <f aca="false">-J12</f>
        <v>435.914880870588</v>
      </c>
      <c r="K16" s="0" t="n">
        <f aca="false">-K12</f>
        <v>437.176739736266</v>
      </c>
      <c r="L16" s="0" t="n">
        <f aca="false">-L12</f>
        <v>435.995180980222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-118.88112</v>
      </c>
      <c r="D17" s="4" t="n">
        <f aca="false">-D6*Assumptions!D32/100</f>
        <v>-126.6083928</v>
      </c>
      <c r="E17" s="4" t="n">
        <f aca="false">-E6*Assumptions!E32/100</f>
        <v>-134.837938332</v>
      </c>
      <c r="F17" s="4" t="n">
        <f aca="false">-F6*Assumptions!F32/100</f>
        <v>-138.163940810856</v>
      </c>
      <c r="G17" s="4" t="n">
        <f aca="false">-G6*Assumptions!G32/100</f>
        <v>-145.762957555453</v>
      </c>
      <c r="H17" s="4" t="n">
        <f aca="false">-H6*Assumptions!H32/100</f>
        <v>-147.773481107942</v>
      </c>
      <c r="I17" s="4" t="n">
        <f aca="false">-I6*Assumptions!I32/100</f>
        <v>-154.423287757799</v>
      </c>
      <c r="J17" s="4" t="n">
        <f aca="false">-J6*Assumptions!J32/100</f>
        <v>-154.864497151393</v>
      </c>
      <c r="K17" s="4" t="n">
        <f aca="false">-K6*Assumptions!K32/100</f>
        <v>-159.510432065935</v>
      </c>
      <c r="L17" s="4" t="n">
        <f aca="false">-L6*Assumptions!L32/100</f>
        <v>-157.442704242858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22.4304</v>
      </c>
      <c r="D18" s="4" t="n">
        <f aca="false">(D6-C6)*Assumptions!$B$37/100</f>
        <v>25.757576</v>
      </c>
      <c r="E18" s="4" t="n">
        <f aca="false">(E6-D6)*Assumptions!$B$37/100</f>
        <v>27.43181844</v>
      </c>
      <c r="F18" s="4" t="n">
        <f aca="false">(F6-E6)*Assumptions!$B$37/100</f>
        <v>26.9675876664001</v>
      </c>
      <c r="G18" s="4" t="n">
        <f aca="false">(G6-F6)*Assumptions!$B$37/100</f>
        <v>26.203506015852</v>
      </c>
      <c r="H18" s="4" t="n">
        <f aca="false">(H6-G6)*Assumptions!$B$37/100</f>
        <v>25.1315444061126</v>
      </c>
      <c r="I18" s="4" t="n">
        <f aca="false">(I6-H6)*Assumptions!$B$37/100</f>
        <v>23.7493094637764</v>
      </c>
      <c r="J18" s="4" t="n">
        <f aca="false">(J6-I6)*Assumptions!$B$37/100</f>
        <v>22.0604696796857</v>
      </c>
      <c r="K18" s="4" t="n">
        <f aca="false">(K6-J6)*Assumptions!$B$37/100</f>
        <v>17.2071663501548</v>
      </c>
      <c r="L18" s="4" t="n">
        <f aca="false">(L6-K6)*Assumptions!$B$37/100</f>
        <v>14.7694844505495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1407.23693984</v>
      </c>
      <c r="D19" s="0" t="n">
        <f aca="false">D15+D16+D17+D18</f>
        <v>1508.0042333072</v>
      </c>
      <c r="E19" s="0" t="n">
        <f aca="false">E15+E16+E17+E18</f>
        <v>1609.5302948688</v>
      </c>
      <c r="F19" s="0" t="n">
        <f aca="false">F15+F16+F17+F18</f>
        <v>1715.47387258969</v>
      </c>
      <c r="G19" s="0" t="n">
        <f aca="false">G15+G16+G17+G18</f>
        <v>1801.99843375177</v>
      </c>
      <c r="H19" s="0" t="n">
        <f aca="false">H15+H16+H17+H18</f>
        <v>1892.56613566448</v>
      </c>
      <c r="I19" s="0" t="n">
        <f aca="false">I15+I16+I17+I18</f>
        <v>1981.17478414228</v>
      </c>
      <c r="J19" s="0" t="n">
        <f aca="false">J15+J16+J17+J18</f>
        <v>2074.12977137798</v>
      </c>
      <c r="K19" s="0" t="n">
        <f aca="false">K15+K16+K17+K18</f>
        <v>2137.21896438203</v>
      </c>
      <c r="L19" s="0" t="n">
        <f aca="false">L15+L16+L17+L18</f>
        <v>2195.71426753162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1296.99257128111</v>
      </c>
      <c r="D21" s="0" t="n">
        <f aca="false">D19*D20</f>
        <v>1280.98216849557</v>
      </c>
      <c r="E21" s="0" t="n">
        <f aca="false">E19*E20</f>
        <v>1260.11430252238</v>
      </c>
      <c r="F21" s="0" t="n">
        <f aca="false">F19*F20</f>
        <v>1237.84183179428</v>
      </c>
      <c r="G21" s="0" t="n">
        <f aca="false">G19*G20</f>
        <v>1198.41081113954</v>
      </c>
      <c r="H21" s="0" t="n">
        <f aca="false">H19*H20</f>
        <v>1160.03912146944</v>
      </c>
      <c r="I21" s="0" t="n">
        <f aca="false">I19*I20</f>
        <v>1119.21784104847</v>
      </c>
      <c r="J21" s="0" t="n">
        <f aca="false">J19*J20</f>
        <v>1079.93600255636</v>
      </c>
      <c r="K21" s="0" t="n">
        <f aca="false">K19*K20</f>
        <v>1025.60794270478</v>
      </c>
      <c r="L21" s="0" t="n">
        <f aca="false">L19*L20</f>
        <v>971.132396117654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11630.2749891296</v>
      </c>
    </row>
    <row r="31" customFormat="false" ht="15" hidden="false" customHeight="false" outlineLevel="0" collapsed="false">
      <c r="A31" s="0" t="s">
        <v>136</v>
      </c>
      <c r="B31" s="0" t="n">
        <f aca="false">L19</f>
        <v>2195.71426753162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37510.1187369985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39522.8568155691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37510.1187369985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16590.1784336766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28220.4534228062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25368.7534228062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222.532924761458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0.358813731217303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733.276256858111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915.070219042926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236.992104374625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18004.8569937593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90.2555213722527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8</v>
      </c>
      <c r="D5" s="4" t="n">
        <f aca="false">Assumptions!D41</f>
        <v>9</v>
      </c>
      <c r="E5" s="4" t="n">
        <f aca="false">Assumptions!E41</f>
        <v>9</v>
      </c>
      <c r="F5" s="4" t="n">
        <f aca="false">Assumptions!F41</f>
        <v>8.5</v>
      </c>
      <c r="G5" s="4" t="n">
        <f aca="false">Assumptions!G41</f>
        <v>8</v>
      </c>
      <c r="H5" s="4" t="n">
        <f aca="false">Assumptions!H41</f>
        <v>7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7476.8</v>
      </c>
      <c r="C6" s="0" t="n">
        <f aca="false">B6*(1+C5/100)</f>
        <v>8074.944</v>
      </c>
      <c r="D6" s="0" t="n">
        <f aca="false">C6*(1+D5/100)</f>
        <v>8801.68896</v>
      </c>
      <c r="E6" s="0" t="n">
        <f aca="false">D6*(1+E5/100)</f>
        <v>9593.8409664</v>
      </c>
      <c r="F6" s="0" t="n">
        <f aca="false">E6*(1+F5/100)</f>
        <v>10409.317448544</v>
      </c>
      <c r="G6" s="0" t="n">
        <f aca="false">F6*(1+G5/100)</f>
        <v>11242.0628444275</v>
      </c>
      <c r="H6" s="0" t="n">
        <f aca="false">G6*(1+H5/100)</f>
        <v>12029.0072435375</v>
      </c>
      <c r="I6" s="0" t="n">
        <f aca="false">H6*(1+I5/100)</f>
        <v>12750.7476781497</v>
      </c>
      <c r="J6" s="0" t="n">
        <f aca="false">I6*(1+J5/100)</f>
        <v>13388.2850620572</v>
      </c>
      <c r="K6" s="0" t="n">
        <f aca="false">J6*(1+K5/100)</f>
        <v>13923.8164645395</v>
      </c>
      <c r="L6" s="0" t="n">
        <f aca="false">K6*(1+L5/100)</f>
        <v>14341.5309584757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23.6</v>
      </c>
      <c r="D7" s="4" t="n">
        <f aca="false">Assumptions!D42</f>
        <v>24.2</v>
      </c>
      <c r="E7" s="4" t="n">
        <f aca="false">Assumptions!E42</f>
        <v>24.8</v>
      </c>
      <c r="F7" s="4" t="n">
        <f aca="false">Assumptions!F42</f>
        <v>25.3</v>
      </c>
      <c r="G7" s="4" t="n">
        <f aca="false">Assumptions!G42</f>
        <v>25.8</v>
      </c>
      <c r="H7" s="4" t="n">
        <f aca="false">Assumptions!H42</f>
        <v>26.2</v>
      </c>
      <c r="I7" s="4" t="n">
        <f aca="false">Assumptions!I42</f>
        <v>26.5</v>
      </c>
      <c r="J7" s="4" t="n">
        <f aca="false">Assumptions!J42</f>
        <v>26.7</v>
      </c>
      <c r="K7" s="4" t="n">
        <f aca="false">Assumptions!K42</f>
        <v>26.8</v>
      </c>
      <c r="L7" s="4" t="n">
        <f aca="false">Assumptions!L42</f>
        <v>27</v>
      </c>
    </row>
    <row r="8" customFormat="false" ht="15" hidden="false" customHeight="false" outlineLevel="0" collapsed="false">
      <c r="A8" s="0" t="s">
        <v>43</v>
      </c>
      <c r="C8" s="0" t="n">
        <f aca="false">C6*C7/100</f>
        <v>1905.686784</v>
      </c>
      <c r="D8" s="0" t="n">
        <f aca="false">D6*D7/100</f>
        <v>2130.00872832</v>
      </c>
      <c r="E8" s="0" t="n">
        <f aca="false">E6*E7/100</f>
        <v>2379.2725596672</v>
      </c>
      <c r="F8" s="0" t="n">
        <f aca="false">F6*F7/100</f>
        <v>2633.55731448163</v>
      </c>
      <c r="G8" s="0" t="n">
        <f aca="false">G6*G7/100</f>
        <v>2900.4522138623</v>
      </c>
      <c r="H8" s="0" t="n">
        <f aca="false">H6*H7/100</f>
        <v>3151.59989780681</v>
      </c>
      <c r="I8" s="0" t="n">
        <f aca="false">I6*I7/100</f>
        <v>3378.94813470967</v>
      </c>
      <c r="J8" s="0" t="n">
        <f aca="false">J6*J7/100</f>
        <v>3574.67211156927</v>
      </c>
      <c r="K8" s="0" t="n">
        <f aca="false">K6*K7/100</f>
        <v>3731.58281249658</v>
      </c>
      <c r="L8" s="0" t="n">
        <f aca="false">L6*L7/100</f>
        <v>3872.21335878843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1.2</v>
      </c>
      <c r="D9" s="4" t="n">
        <f aca="false">Assumptions!D43</f>
        <v>1.15</v>
      </c>
      <c r="E9" s="4" t="n">
        <f aca="false">Assumptions!E43</f>
        <v>1.1</v>
      </c>
      <c r="F9" s="4" t="n">
        <f aca="false">Assumptions!F43</f>
        <v>1.05</v>
      </c>
      <c r="G9" s="4" t="n">
        <f aca="false">Assumptions!G43</f>
        <v>1</v>
      </c>
      <c r="H9" s="4" t="n">
        <f aca="false">Assumptions!H43</f>
        <v>1</v>
      </c>
      <c r="I9" s="4" t="n">
        <f aca="false">Assumptions!I43</f>
        <v>0.95</v>
      </c>
      <c r="J9" s="4" t="n">
        <f aca="false">Assumptions!J43</f>
        <v>0.95</v>
      </c>
      <c r="K9" s="4" t="n">
        <f aca="false">Assumptions!K43</f>
        <v>0.9</v>
      </c>
      <c r="L9" s="4" t="n">
        <f aca="false">Assumptions!L43</f>
        <v>0.9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-96.899328</v>
      </c>
      <c r="D10" s="0" t="n">
        <f aca="false">-D6*D9/100</f>
        <v>-101.21942304</v>
      </c>
      <c r="E10" s="0" t="n">
        <f aca="false">-E6*E9/100</f>
        <v>-105.5322506304</v>
      </c>
      <c r="F10" s="0" t="n">
        <f aca="false">-F6*F9/100</f>
        <v>-109.297833209712</v>
      </c>
      <c r="G10" s="0" t="n">
        <f aca="false">-G6*G9/100</f>
        <v>-112.420628444275</v>
      </c>
      <c r="H10" s="0" t="n">
        <f aca="false">-H6*H9/100</f>
        <v>-120.290072435375</v>
      </c>
      <c r="I10" s="0" t="n">
        <f aca="false">-I6*I9/100</f>
        <v>-121.132102942422</v>
      </c>
      <c r="J10" s="0" t="n">
        <f aca="false">-J6*J9/100</f>
        <v>-127.188708089543</v>
      </c>
      <c r="K10" s="0" t="n">
        <f aca="false">-K6*K9/100</f>
        <v>-125.314348180855</v>
      </c>
      <c r="L10" s="0" t="n">
        <f aca="false">-L6*L9/100</f>
        <v>-129.073778626281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1808.787456</v>
      </c>
      <c r="D11" s="0" t="n">
        <f aca="false">D8+D10+D24</f>
        <v>2028.78930528</v>
      </c>
      <c r="E11" s="0" t="n">
        <f aca="false">E8+E10+E24</f>
        <v>2273.7403090368</v>
      </c>
      <c r="F11" s="0" t="n">
        <f aca="false">F8+F10+F24</f>
        <v>2524.25948127192</v>
      </c>
      <c r="G11" s="0" t="n">
        <f aca="false">G8+G10+G24</f>
        <v>2788.03158541803</v>
      </c>
      <c r="H11" s="0" t="n">
        <f aca="false">H8+H10+H24</f>
        <v>3031.30982537144</v>
      </c>
      <c r="I11" s="0" t="n">
        <f aca="false">I8+I10+I24</f>
        <v>3257.81603176725</v>
      </c>
      <c r="J11" s="0" t="n">
        <f aca="false">J8+J10+J24</f>
        <v>3447.48340347973</v>
      </c>
      <c r="K11" s="0" t="n">
        <f aca="false">K8+K10+K24</f>
        <v>3606.26846431572</v>
      </c>
      <c r="L11" s="0" t="n">
        <f aca="false">L8+L10+L24</f>
        <v>3743.13958016215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-347.222592</v>
      </c>
      <c r="D12" s="4" t="n">
        <f aca="false">-D6*Assumptions!D45/100</f>
        <v>-360.86924736</v>
      </c>
      <c r="E12" s="4" t="n">
        <f aca="false">-E6*Assumptions!E45/100</f>
        <v>-374.1597976896</v>
      </c>
      <c r="F12" s="4" t="n">
        <f aca="false">-F6*Assumptions!F45/100</f>
        <v>-385.144745596128</v>
      </c>
      <c r="G12" s="4" t="n">
        <f aca="false">-G6*Assumptions!G45/100</f>
        <v>-393.472199554963</v>
      </c>
      <c r="H12" s="4" t="n">
        <f aca="false">-H6*Assumptions!H45/100</f>
        <v>-408.986246280273</v>
      </c>
      <c r="I12" s="4" t="n">
        <f aca="false">-I6*Assumptions!I45/100</f>
        <v>-420.77467337894</v>
      </c>
      <c r="J12" s="4" t="n">
        <f aca="false">-J6*Assumptions!J45/100</f>
        <v>-428.42512198583</v>
      </c>
      <c r="K12" s="4" t="n">
        <f aca="false">-K6*Assumptions!K45/100</f>
        <v>-431.638310400724</v>
      </c>
      <c r="L12" s="4" t="n">
        <f aca="false">-L6*Assumptions!L45/100</f>
        <v>-430.24592875427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1461.564864</v>
      </c>
      <c r="D13" s="0" t="n">
        <f aca="false">D11+D12</f>
        <v>1667.92005792</v>
      </c>
      <c r="E13" s="0" t="n">
        <f aca="false">E11+E12</f>
        <v>1899.5805113472</v>
      </c>
      <c r="F13" s="0" t="n">
        <f aca="false">F11+F12</f>
        <v>2139.11473567579</v>
      </c>
      <c r="G13" s="0" t="n">
        <f aca="false">G11+G12</f>
        <v>2394.55938586306</v>
      </c>
      <c r="H13" s="0" t="n">
        <f aca="false">H11+H12</f>
        <v>2622.32357909116</v>
      </c>
      <c r="I13" s="0" t="n">
        <f aca="false">I11+I12</f>
        <v>2837.04135838831</v>
      </c>
      <c r="J13" s="0" t="n">
        <f aca="false">J11+J12</f>
        <v>3019.0582814939</v>
      </c>
      <c r="K13" s="0" t="n">
        <f aca="false">K11+K12</f>
        <v>3174.630153915</v>
      </c>
      <c r="L13" s="0" t="n">
        <f aca="false">L11+L12</f>
        <v>3312.89365140788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18</v>
      </c>
      <c r="D14" s="4" t="n">
        <f aca="false">Assumptions!D47</f>
        <v>19</v>
      </c>
      <c r="E14" s="4" t="n">
        <f aca="false">Assumptions!E47</f>
        <v>20</v>
      </c>
      <c r="F14" s="4" t="n">
        <f aca="false">Assumptions!F47</f>
        <v>21</v>
      </c>
      <c r="G14" s="4" t="n">
        <f aca="false">Assumptions!G47</f>
        <v>22</v>
      </c>
      <c r="H14" s="4" t="n">
        <f aca="false">Assumptions!H47</f>
        <v>22.5</v>
      </c>
      <c r="I14" s="4" t="n">
        <f aca="false">Assumptions!I47</f>
        <v>22.5</v>
      </c>
      <c r="J14" s="4" t="n">
        <f aca="false">Assumptions!J47</f>
        <v>22.5</v>
      </c>
      <c r="K14" s="4" t="n">
        <f aca="false">Assumptions!K47</f>
        <v>22.5</v>
      </c>
      <c r="L14" s="4" t="n">
        <f aca="false">Assumptions!L47</f>
        <v>22.5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1198.48318848</v>
      </c>
      <c r="D15" s="0" t="n">
        <f aca="false">D13-MAX(0,D13)*D14/100</f>
        <v>1351.0152469152</v>
      </c>
      <c r="E15" s="0" t="n">
        <f aca="false">E13-MAX(0,E13)*E14/100</f>
        <v>1519.66440907776</v>
      </c>
      <c r="F15" s="0" t="n">
        <f aca="false">F13-MAX(0,F13)*F14/100</f>
        <v>1689.90064118388</v>
      </c>
      <c r="G15" s="0" t="n">
        <f aca="false">G13-MAX(0,G13)*G14/100</f>
        <v>1867.75632097319</v>
      </c>
      <c r="H15" s="0" t="n">
        <f aca="false">H13-MAX(0,H13)*H14/100</f>
        <v>2032.30077379565</v>
      </c>
      <c r="I15" s="0" t="n">
        <f aca="false">I13-MAX(0,I13)*I14/100</f>
        <v>2198.70705275094</v>
      </c>
      <c r="J15" s="0" t="n">
        <f aca="false">J13-MAX(0,J13)*J14/100</f>
        <v>2339.77016815777</v>
      </c>
      <c r="K15" s="0" t="n">
        <f aca="false">K13-MAX(0,K13)*K14/100</f>
        <v>2460.33836928413</v>
      </c>
      <c r="L15" s="0" t="n">
        <f aca="false">L13-MAX(0,L13)*L14/100</f>
        <v>2567.4925798411</v>
      </c>
    </row>
    <row r="16" customFormat="false" ht="15" hidden="false" customHeight="false" outlineLevel="0" collapsed="false">
      <c r="A16" s="0" t="s">
        <v>127</v>
      </c>
      <c r="C16" s="0" t="n">
        <f aca="false">-C12</f>
        <v>347.222592</v>
      </c>
      <c r="D16" s="0" t="n">
        <f aca="false">-D12</f>
        <v>360.86924736</v>
      </c>
      <c r="E16" s="0" t="n">
        <f aca="false">-E12</f>
        <v>374.1597976896</v>
      </c>
      <c r="F16" s="0" t="n">
        <f aca="false">-F12</f>
        <v>385.144745596128</v>
      </c>
      <c r="G16" s="0" t="n">
        <f aca="false">-G12</f>
        <v>393.472199554963</v>
      </c>
      <c r="H16" s="0" t="n">
        <f aca="false">-H12</f>
        <v>408.986246280273</v>
      </c>
      <c r="I16" s="0" t="n">
        <f aca="false">-I12</f>
        <v>420.77467337894</v>
      </c>
      <c r="J16" s="0" t="n">
        <f aca="false">-J12</f>
        <v>428.42512198583</v>
      </c>
      <c r="K16" s="0" t="n">
        <f aca="false">-K12</f>
        <v>431.638310400724</v>
      </c>
      <c r="L16" s="0" t="n">
        <f aca="false">-L12</f>
        <v>430.24592875427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-121.12416</v>
      </c>
      <c r="D17" s="4" t="n">
        <f aca="false">-D6*Assumptions!D46/100</f>
        <v>-132.0253344</v>
      </c>
      <c r="E17" s="4" t="n">
        <f aca="false">-E6*Assumptions!E46/100</f>
        <v>-143.907614496</v>
      </c>
      <c r="F17" s="4" t="n">
        <f aca="false">-F6*Assumptions!F46/100</f>
        <v>-156.13976172816</v>
      </c>
      <c r="G17" s="4" t="n">
        <f aca="false">-G6*Assumptions!G46/100</f>
        <v>-163.009911244199</v>
      </c>
      <c r="H17" s="4" t="n">
        <f aca="false">-H6*Assumptions!H46/100</f>
        <v>-174.420605031293</v>
      </c>
      <c r="I17" s="4" t="n">
        <f aca="false">-I6*Assumptions!I46/100</f>
        <v>-178.510467494096</v>
      </c>
      <c r="J17" s="4" t="n">
        <f aca="false">-J6*Assumptions!J46/100</f>
        <v>-187.435990868801</v>
      </c>
      <c r="K17" s="4" t="n">
        <f aca="false">-K6*Assumptions!K46/100</f>
        <v>-187.971522271283</v>
      </c>
      <c r="L17" s="4" t="n">
        <f aca="false">-L6*Assumptions!L46/100</f>
        <v>-186.439902460184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38.87936</v>
      </c>
      <c r="D18" s="4" t="n">
        <f aca="false">(D6-C6)*Assumptions!$B$51/100</f>
        <v>47.2384224000001</v>
      </c>
      <c r="E18" s="4" t="n">
        <f aca="false">(E6-D6)*Assumptions!$B$51/100</f>
        <v>51.4898804160001</v>
      </c>
      <c r="F18" s="4" t="n">
        <f aca="false">(F6-E6)*Assumptions!$B$51/100</f>
        <v>53.00597133936</v>
      </c>
      <c r="G18" s="4" t="n">
        <f aca="false">(G6-F6)*Assumptions!$B$51/100</f>
        <v>54.1284507324289</v>
      </c>
      <c r="H18" s="4" t="n">
        <f aca="false">(H6-G6)*Assumptions!$B$51/100</f>
        <v>51.1513859421453</v>
      </c>
      <c r="I18" s="4" t="n">
        <f aca="false">(I6-H6)*Assumptions!$B$51/100</f>
        <v>46.9131282497961</v>
      </c>
      <c r="J18" s="4" t="n">
        <f aca="false">(J6-I6)*Assumptions!$B$51/100</f>
        <v>41.4399299539866</v>
      </c>
      <c r="K18" s="4" t="n">
        <f aca="false">(K6-J6)*Assumptions!$B$51/100</f>
        <v>34.8095411613487</v>
      </c>
      <c r="L18" s="4" t="n">
        <f aca="false">(L6-K6)*Assumptions!$B$51/100</f>
        <v>27.151442105852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1463.46098048</v>
      </c>
      <c r="D19" s="0" t="n">
        <f aca="false">D15+D16+D17+D18</f>
        <v>1627.0975822752</v>
      </c>
      <c r="E19" s="0" t="n">
        <f aca="false">E15+E16+E17+E18</f>
        <v>1801.40647268736</v>
      </c>
      <c r="F19" s="0" t="n">
        <f aca="false">F15+F16+F17+F18</f>
        <v>1971.9115963912</v>
      </c>
      <c r="G19" s="0" t="n">
        <f aca="false">G15+G16+G17+G18</f>
        <v>2152.34706001638</v>
      </c>
      <c r="H19" s="0" t="n">
        <f aca="false">H15+H16+H17+H18</f>
        <v>2318.01780098678</v>
      </c>
      <c r="I19" s="0" t="n">
        <f aca="false">I15+I16+I17+I18</f>
        <v>2487.88438688558</v>
      </c>
      <c r="J19" s="0" t="n">
        <f aca="false">J15+J16+J17+J18</f>
        <v>2622.19922922878</v>
      </c>
      <c r="K19" s="0" t="n">
        <f aca="false">K15+K16+K17+K18</f>
        <v>2738.81469857491</v>
      </c>
      <c r="L19" s="0" t="n">
        <f aca="false">L15+L16+L17+L18</f>
        <v>2838.45004824104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1355.05646340741</v>
      </c>
      <c r="D21" s="0" t="n">
        <f aca="false">D19*D20</f>
        <v>1394.9739217037</v>
      </c>
      <c r="E21" s="0" t="n">
        <f aca="false">E19*E20</f>
        <v>1430.01453720165</v>
      </c>
      <c r="F21" s="0" t="n">
        <f aca="false">F19*F20</f>
        <v>1449.41389042305</v>
      </c>
      <c r="G21" s="0" t="n">
        <f aca="false">G19*G20</f>
        <v>1464.85124323215</v>
      </c>
      <c r="H21" s="0" t="n">
        <f aca="false">H19*H20</f>
        <v>1460.74441275623</v>
      </c>
      <c r="I21" s="0" t="n">
        <f aca="false">I19*I20</f>
        <v>1451.65664427036</v>
      </c>
      <c r="J21" s="0" t="n">
        <f aca="false">J19*J20</f>
        <v>1416.69265251738</v>
      </c>
      <c r="K21" s="0" t="n">
        <f aca="false">K19*K20</f>
        <v>1370.08922412656</v>
      </c>
      <c r="L21" s="0" t="n">
        <f aca="false">L19*L20</f>
        <v>1314.75157859891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14108.2445682374</v>
      </c>
    </row>
    <row r="31" customFormat="false" ht="15" hidden="false" customHeight="false" outlineLevel="0" collapsed="false">
      <c r="A31" s="0" t="s">
        <v>136</v>
      </c>
      <c r="B31" s="0" t="n">
        <f aca="false">L19</f>
        <v>2838.45004824104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58472.0709937655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56769.0009648208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56769.0009648208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26295.0315719782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40403.2761402156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37551.5761402156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329.399790703645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1.01135611347405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754.797781849164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1231.59435508885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346.824283132926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24363.3629140689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116.931919170368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125.40914402951</v>
      </c>
      <c r="C4" s="0" t="n">
        <f aca="false">B4/Assumptions!$B$2-1</f>
        <v>-0.234236160288761</v>
      </c>
      <c r="D4" s="4" t="n">
        <f aca="false">Assumptions!$B$24</f>
        <v>0.2</v>
      </c>
      <c r="E4" s="4" t="n">
        <f aca="false">DCF_Bear!$B$43</f>
        <v>137.770218257743</v>
      </c>
      <c r="F4" s="4" t="n">
        <f aca="false">DCF_Bear!$B$47</f>
        <v>61.4670290690975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222.532924761458</v>
      </c>
      <c r="C5" s="0" t="n">
        <f aca="false">B5/Assumptions!$B$2-1</f>
        <v>0.358813731217303</v>
      </c>
      <c r="D5" s="4" t="n">
        <f aca="false">Assumptions!$B$38</f>
        <v>0.55</v>
      </c>
      <c r="E5" s="4" t="n">
        <f aca="false">DCF_Base!$B$43</f>
        <v>236.992104374625</v>
      </c>
      <c r="F5" s="4" t="n">
        <f aca="false">DCF_Base!$B$47</f>
        <v>90.2555213722527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329.399790703645</v>
      </c>
      <c r="C6" s="0" t="n">
        <f aca="false">B6/Assumptions!$B$2-1</f>
        <v>1.01135611347405</v>
      </c>
      <c r="D6" s="4" t="n">
        <f aca="false">Assumptions!$B$52</f>
        <v>0.25</v>
      </c>
      <c r="E6" s="4" t="n">
        <f aca="false">DCF_Bull!$B$43</f>
        <v>346.824283132926</v>
      </c>
      <c r="F6" s="4" t="n">
        <f aca="false">DCF_Bull!$B$47</f>
        <v>116.931919170368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229.824885100615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244.605771840824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0.287413980743194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-446.893926336129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91.1669223611505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222.532924761458</v>
      </c>
      <c r="C15" s="3" t="n">
        <v>8.5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202.881412935089</v>
      </c>
      <c r="C16" s="3" t="n">
        <v>9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171.479427733426</v>
      </c>
      <c r="C17" s="3" t="n">
        <v>10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147.511110360725</v>
      </c>
      <c r="C18" s="3" t="n">
        <v>11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128.626381709331</v>
      </c>
      <c r="C19" s="3" t="n">
        <v>12</v>
      </c>
    </row>
    <row r="20" customFormat="false" ht="15" hidden="false" customHeight="false" outlineLevel="0" collapsed="false">
      <c r="A20" s="0" t="s">
        <v>172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90.2555213722527</v>
      </c>
      <c r="C20" s="3" t="n">
        <v>15</v>
      </c>
    </row>
    <row r="22" customFormat="false" ht="15" hidden="false" customHeight="false" outlineLevel="0" collapsed="false">
      <c r="A22" s="2" t="s">
        <v>173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272.304248464941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272.304248464941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272.304248464941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272.304248464941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272.304248464941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240.204280137761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250.32819388161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250.32819388161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250.32819388161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250.32819388161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200.526269586277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210.683187359437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222.532924761458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230.341737888135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230.341737888135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170.854933119523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177.946833948382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186.051863467077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195.403820604034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206.314437263816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147.849230144421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152.974527175712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158.740486335914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165.27524005081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172.743530010691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2026-09-25T23:39:15Z</dcterms:created>
  <dc:creator>openpyxl</dc:creator>
  <dc:description/>
  <dc:language>en-NZ</dc:language>
  <cp:lastModifiedBy/>
  <dcterms:modified xsi:type="dcterms:W3CDTF">2026-09-25T23:39:15Z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