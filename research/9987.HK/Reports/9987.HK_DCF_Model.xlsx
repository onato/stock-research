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<sst xmlns="http://schemas.openxmlformats.org/spreadsheetml/2006/main" count="357" uniqueCount="167">
  <si>
    <t xml:space="preserve">Ticker</t>
  </si>
  <si>
    <t xml:space="preserve">9987.HK</t>
  </si>
  <si>
    <t xml:space="preserve">Company</t>
  </si>
  <si>
    <t xml:space="preserve">Yum China Holdings, Inc.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</si>
  <si>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</si>
  <si>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</si>
  <si>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</si>
  <si>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</si>
  <si>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2026-10-23T08:08:08Z HKEX regular close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</si>
  <si>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</si>
  <si>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</si>
  <si>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</si>
  <si>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</si>
  <si>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</si>
  <si>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</si>
  <si>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</si>
  <si>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</si>
  <si>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</si>
  <si>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</si>
  <si>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</si>
  <si>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</si>
  <si>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</si>
  <si>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2026-10-23T22:29:54Z</t>
  </si>
  <si>
    <t xml:space="preserve">Drivers file</t>
  </si>
  <si>
    <t xml:space="preserve">9987.HK_Drivers.json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</si>
  <si>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</si>
  <si>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</si>
  <si>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</si>
  <si>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valuation of China's largest restaurant operator on attributable, SBC-expensed, interest-stripped flows in USD at a USD-built 9.5% WACC, converted to HKD for the 9987.HK quote. The thesis is unit growth plus a modest margin lift from the Pizza Hut brand buyout and franchising, against a structurally soft China consumer.
key_risks_to_valuation: Average-ticket deflation and renewed price wars compress restaurant margins below the 16% band; Delivery mix (~54% of company sales) raises rider/commission costs faster than efficiency gains; RMB/USD translation: a 10% RMB depreciation cuts operating profit ~$75m per half-year (H1-2026 interim disclosure); Master-license dependency on Yum! Brands for KFC and Taco Bell; Taco Bell development dispute unresolved; PCAOB inspection / HFCAA and US-China geopolitical tension affect the multiple and capital repatriation; Bridge-loan refinancing terms for the $1.2bn Pizza Hut acquisition are not yet set</t>
  </si>
  <si>
    <t xml:space="preserve">Data sources</t>
  </si>
  <si>
    <t xml:space="preserve">price: Yahoo Finance chart API (9987.HK) at inputs.price_as_of; 52-week range 310.6-451.2 HKD. USD/HKD from Yahoo HKD=X; YUMC NYSE quote used for parity.
financials: Yum China FY2020-FY2025 annual reports and H1-2024/2025/2026 interim reports (HKEX), via 9987.HK_Metrics.csv and Extracted/ text; H1-2026 balance sheet and Note 15 (Pizza Hut acquisition and bridge loan).
qualitative: 9987.HK_Analysis.json (2026-10-24): FY2026 guidance, Pizza Hut brand buyout, capital return plan, bull/bear cases.</t>
  </si>
  <si>
    <t xml:space="preserve">Scenario narrative: bear</t>
  </si>
  <si>
    <t xml:space="preserve">China consumer deflation persists: average ticket keeps falling (KFC -3% in Q2-2026), value-price wars with McDonald's, domestic burger chains and Luckin/Cotti re-ignite, and aggressive unit growth cannibalises existing stores in lower-tier cities. Delivery's rising share erodes restaurant margin, the Pizza Hut fee saving is competed away, and RMB weakness depresses USD revenue. Growth slows to 3-4% after FY2026 and ex-SBC margin drifts to 14.2%; PCAOB/HFCAA and US-China tensions are tail risks on the multiple, captured here only through the flows and the weight.</t>
  </si>
  <si>
    <t xml:space="preserve">Scenario narrative: base</t>
  </si>
  <si>
    <t xml:space="preserve">Yum China executes the RGM 3.0 plan roughly to guidance: ~1,900 net openings a year with 40-50% franchised, KFC same-store sales low single digit as transaction growth (+5%) is offset by falling average ticket in a deflationary China consumer, and the Pizza Hut brand buyout lifts group EBITDA margin ~0.6pp by removing the license fee. Delivery mix keeps rising toward ~55% and rider costs absorb most efficiency gains, so margins improve only modestly to 16.5% ex-SBC. Capital intensity eases with small-format stores; ~100% of FCF is returned from 2027.</t>
  </si>
  <si>
    <t xml:space="preserve">Scenario narrative: bull</t>
  </si>
  <si>
    <t xml:space="preserve">The 30,000-store/4,500-city target is reached on schedule with new-unit returns holding in lower-tier cities, KCOFFEE (5,000+) and Lavazza (1,000) scale into a real third leg, the 2026 regulatory de-escalation of delivery subsidies holds so rider/commission costs stabilise, and Pizza Hut margins converge toward KFC's after the buyout. Franchise mix and smaller formats cut capex per store, pushing ex-SBC EBITDA margin to 17.5% and revenue growth to 8-10% for five years.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</si>
  <si>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</si>
  <si>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</si>
  <si>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</si>
  <si>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</si>
  <si>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</si>
  <si>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</si>
  <si>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</si>
  <si>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</si>
  <si>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</si>
  <si>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</si>
  <si>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</si>
  <si>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</si>
  <si>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</si>
  <si>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</si>
  <si>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</si>
  <si>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</si>
  <si>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</si>
  <si>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</si>
  <si>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</si>
  <si>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</si>
  <si>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</si>
  <si>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</si>
  <si>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</si>
  <si>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</si>
  <si>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</si>
  <si>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</si>
  <si>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</si>
  <si>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CashOnly</t>
  </si>
  <si>
    <t xml:space="preserve">LongTermBankDeposits</t>
  </si>
  <si>
    <t xml:space="preserve">ShortTermInvestments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</si>
  <si>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</si>
  <si>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</si>
  <si>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</si>
  <si>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</si>
  <si>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</si>
  <si>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</si>
  <si>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</si>
  <si>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</si>
  <si>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</si>
  <si>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</si>
  <si>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</si>
  <si>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</si>
  <si>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</si>
  <si>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</si>
  <si>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</si>
  <si>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</si>
  <si>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</si>
  <si>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</si>
  <si>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</si>
  <si>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</si>
  <si>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</si>
  <si>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</si>
  <si>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</si>
  <si>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</si>
  <si>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</si>
  <si>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</si>
  <si>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</si>
  <si>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</si>
  <si>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</si>
  <si>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</si>
  <si>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</si>
  <si>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</si>
  <si>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</si>
  <si>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</si>
  <si>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</si>
  <si>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</si>
  <si>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</si>
  <si>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</si>
  <si>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</si>
  <si>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</si>
  <si>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</si>
  <si>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</si>
  <si>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</si>
  <si>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</si>
  <si>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</si>
  <si>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9987.HK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</si>
  <si>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</si>
  <si>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</si>
  <si>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</si>
  <si>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</si>
  <si>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</si>
  <si>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</si>
  <si>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</si>
  <si>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</si>
  <si>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</si>
  <si>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</si>
  <si>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</si>
  <si>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</si>
  <si>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</si>
  <si>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</si>
  <si>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</si>
  <si>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</si>
  <si>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</si>
  <si>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</si>
  <si>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</si>
  <si>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</si>
  <si>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</si>
  <si>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</si>
  <si>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</si>
  <si>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</si>
  <si>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</si>
  <si>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</si>
  <si>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</si>
  <si>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</si>
  <si>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</si>
  <si>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</si>
  <si>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9987.HK owner-FCF component DCF: base case (millions, USD)</t>
  </si>
  <si>
    <t xml:space="preserve">9987.HK owner-FCF component DCF: bull case (millions, USD)</t>
  </si>
  <si>
    <t xml:space="preserve">9987.HK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</si>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</sst>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354.2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</row>
    <row r="2" customFormat="false" ht="15" hidden="false" customHeight="false" outlineLevel="0" collapsed="false">
      <c r="A2" s="0" t="s">
        <v>67</v>
      </c>
      <c r="B2" s="0" t="n">
        <v>8415</v>
      </c>
      <c r="F2" s="0" t="n">
        <v>941</v>
      </c>
      <c r="G2" s="0" t="n">
        <v>11.2</v>
      </c>
      <c r="H2" s="0" t="n">
        <v>1386</v>
      </c>
      <c r="I2" s="0" t="n">
        <v>708</v>
      </c>
      <c r="J2" s="0" t="n">
        <v>8.4</v>
      </c>
      <c r="K2" s="0" t="n">
        <v>1.79</v>
      </c>
      <c r="L2" s="0" t="n">
        <v>1333</v>
      </c>
      <c r="M2" s="0" t="n">
        <v>470</v>
      </c>
      <c r="N2" s="0" t="n">
        <v>863</v>
      </c>
      <c r="T2" s="0" t="n">
        <v>395</v>
      </c>
      <c r="U2" s="0" t="n">
        <v>24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68</v>
      </c>
      <c r="B3" s="0" t="n">
        <v>8776</v>
      </c>
      <c r="F3" s="0" t="n">
        <v>901</v>
      </c>
      <c r="G3" s="0" t="n">
        <v>10.3</v>
      </c>
      <c r="H3" s="0" t="n">
        <v>1329</v>
      </c>
      <c r="I3" s="0" t="n">
        <v>713</v>
      </c>
      <c r="J3" s="0" t="n">
        <v>8.1</v>
      </c>
      <c r="K3" s="0" t="n">
        <v>1.84</v>
      </c>
      <c r="L3" s="0" t="n">
        <v>1185</v>
      </c>
      <c r="M3" s="0" t="n">
        <v>435</v>
      </c>
      <c r="N3" s="0" t="n">
        <v>750</v>
      </c>
      <c r="O3" s="0" t="n">
        <v>3077</v>
      </c>
      <c r="P3" s="0" t="n">
        <v>6950</v>
      </c>
      <c r="Q3" s="0" t="n">
        <v>3775</v>
      </c>
      <c r="R3" s="0" t="n">
        <v>0</v>
      </c>
      <c r="S3" s="0" t="n">
        <v>1657</v>
      </c>
      <c r="T3" s="0" t="n">
        <v>388</v>
      </c>
      <c r="U3" s="0" t="n">
        <v>26</v>
      </c>
      <c r="AA3" s="0" t="s">
        <v>18</v>
      </c>
      <c r="AB3" s="0" t="s">
        <v>14</v>
      </c>
      <c r="AC3" s="0" t="n">
        <v>1046</v>
      </c>
      <c r="AE3" s="0" t="n">
        <v>611</v>
      </c>
    </row>
    <row r="4" customFormat="false" ht="15" hidden="false" customHeight="false" outlineLevel="0" collapsed="false">
      <c r="A4" s="0" t="s">
        <v>69</v>
      </c>
      <c r="B4" s="0" t="n">
        <v>8263</v>
      </c>
      <c r="F4" s="0" t="n">
        <v>961</v>
      </c>
      <c r="G4" s="0" t="n">
        <v>11.6</v>
      </c>
      <c r="H4" s="0" t="n">
        <v>1411</v>
      </c>
      <c r="I4" s="0" t="n">
        <v>784</v>
      </c>
      <c r="J4" s="0" t="n">
        <v>9.5</v>
      </c>
      <c r="K4" s="0" t="n">
        <v>1.95</v>
      </c>
      <c r="L4" s="0" t="n">
        <v>1114</v>
      </c>
      <c r="M4" s="0" t="n">
        <v>419</v>
      </c>
      <c r="N4" s="0" t="n">
        <v>695</v>
      </c>
      <c r="O4" s="0" t="n">
        <v>6206</v>
      </c>
      <c r="P4" s="0" t="n">
        <v>10875</v>
      </c>
      <c r="Q4" s="0" t="n">
        <v>4404</v>
      </c>
      <c r="R4" s="0" t="n">
        <v>0</v>
      </c>
      <c r="S4" s="0" t="n">
        <v>4263</v>
      </c>
      <c r="T4" s="0" t="n">
        <v>402</v>
      </c>
      <c r="U4" s="0" t="n">
        <v>36</v>
      </c>
      <c r="AA4" s="0" t="s">
        <v>18</v>
      </c>
      <c r="AB4" s="0" t="s">
        <v>14</v>
      </c>
      <c r="AC4" s="0" t="n">
        <v>1158</v>
      </c>
      <c r="AE4" s="0" t="n">
        <v>3105</v>
      </c>
    </row>
    <row r="5" customFormat="false" ht="15" hidden="false" customHeight="false" outlineLevel="0" collapsed="false">
      <c r="A5" s="0" t="s">
        <v>70</v>
      </c>
      <c r="B5" s="0" t="n">
        <v>9853</v>
      </c>
      <c r="F5" s="0" t="n">
        <v>1386</v>
      </c>
      <c r="G5" s="0" t="n">
        <v>14.1</v>
      </c>
      <c r="H5" s="0" t="n">
        <v>1902</v>
      </c>
      <c r="I5" s="0" t="n">
        <v>990</v>
      </c>
      <c r="J5" s="0" t="n">
        <v>10</v>
      </c>
      <c r="K5" s="0" t="n">
        <v>2.28</v>
      </c>
      <c r="L5" s="0" t="n">
        <v>1131</v>
      </c>
      <c r="M5" s="0" t="n">
        <v>689</v>
      </c>
      <c r="N5" s="0" t="n">
        <v>442</v>
      </c>
      <c r="O5" s="0" t="n">
        <v>7056</v>
      </c>
      <c r="P5" s="0" t="n">
        <v>13223</v>
      </c>
      <c r="Q5" s="0" t="n">
        <v>5301</v>
      </c>
      <c r="R5" s="0" t="n">
        <v>0</v>
      </c>
      <c r="S5" s="0" t="n">
        <v>3996</v>
      </c>
      <c r="T5" s="0" t="n">
        <v>434</v>
      </c>
      <c r="U5" s="0" t="n">
        <v>41</v>
      </c>
      <c r="AA5" s="0" t="s">
        <v>18</v>
      </c>
      <c r="AB5" s="0" t="s">
        <v>14</v>
      </c>
      <c r="AC5" s="0" t="n">
        <v>1136</v>
      </c>
      <c r="AD5" s="0" t="n">
        <v>90</v>
      </c>
      <c r="AE5" s="0" t="n">
        <v>2860</v>
      </c>
    </row>
    <row r="6" customFormat="false" ht="15" hidden="false" customHeight="false" outlineLevel="0" collapsed="false">
      <c r="A6" s="0" t="s">
        <v>71</v>
      </c>
      <c r="B6" s="0" t="n">
        <v>9569</v>
      </c>
      <c r="F6" s="0" t="n">
        <v>629</v>
      </c>
      <c r="G6" s="0" t="n">
        <v>6.6</v>
      </c>
      <c r="H6" s="0" t="n">
        <v>1231</v>
      </c>
      <c r="I6" s="0" t="n">
        <v>442</v>
      </c>
      <c r="J6" s="0" t="n">
        <v>4.6</v>
      </c>
      <c r="K6" s="0" t="n">
        <v>1.04</v>
      </c>
      <c r="L6" s="0" t="n">
        <v>1413</v>
      </c>
      <c r="M6" s="0" t="n">
        <v>679</v>
      </c>
      <c r="N6" s="0" t="n">
        <v>734</v>
      </c>
      <c r="O6" s="0" t="n">
        <v>6482</v>
      </c>
      <c r="P6" s="0" t="n">
        <v>11826</v>
      </c>
      <c r="Q6" s="0" t="n">
        <v>4666</v>
      </c>
      <c r="R6" s="0" t="n">
        <v>2</v>
      </c>
      <c r="S6" s="0" t="n">
        <v>3152</v>
      </c>
      <c r="T6" s="0" t="n">
        <v>425</v>
      </c>
      <c r="U6" s="0" t="n">
        <v>42</v>
      </c>
      <c r="AA6" s="0" t="s">
        <v>18</v>
      </c>
      <c r="AB6" s="0" t="s">
        <v>14</v>
      </c>
      <c r="AC6" s="0" t="n">
        <v>1130</v>
      </c>
      <c r="AD6" s="0" t="n">
        <v>680</v>
      </c>
      <c r="AE6" s="0" t="n">
        <v>2022</v>
      </c>
    </row>
    <row r="7" customFormat="false" ht="15" hidden="false" customHeight="false" outlineLevel="0" collapsed="false">
      <c r="A7" s="0" t="s">
        <v>72</v>
      </c>
      <c r="B7" s="0" t="n">
        <v>10978</v>
      </c>
      <c r="F7" s="0" t="n">
        <v>1106</v>
      </c>
      <c r="G7" s="0" t="n">
        <v>10.1</v>
      </c>
      <c r="H7" s="0" t="n">
        <v>1559</v>
      </c>
      <c r="I7" s="0" t="n">
        <v>827</v>
      </c>
      <c r="J7" s="0" t="n">
        <v>7.5</v>
      </c>
      <c r="K7" s="0" t="n">
        <v>1.97</v>
      </c>
      <c r="L7" s="0" t="n">
        <v>1473</v>
      </c>
      <c r="M7" s="0" t="n">
        <v>710</v>
      </c>
      <c r="N7" s="0" t="n">
        <v>763</v>
      </c>
      <c r="O7" s="0" t="n">
        <v>6405</v>
      </c>
      <c r="P7" s="0" t="n">
        <v>12031</v>
      </c>
      <c r="Q7" s="0" t="n">
        <v>4912</v>
      </c>
      <c r="R7" s="0" t="n">
        <v>168</v>
      </c>
      <c r="S7" s="0" t="n">
        <v>2600</v>
      </c>
      <c r="T7" s="0" t="n">
        <v>420</v>
      </c>
      <c r="U7" s="0" t="n">
        <v>64</v>
      </c>
      <c r="AA7" s="0" t="s">
        <v>18</v>
      </c>
      <c r="AB7" s="0" t="s">
        <v>14</v>
      </c>
      <c r="AC7" s="0" t="n">
        <v>1128</v>
      </c>
      <c r="AD7" s="0" t="n">
        <v>1265</v>
      </c>
      <c r="AE7" s="0" t="n">
        <v>1472</v>
      </c>
    </row>
    <row r="8" customFormat="false" ht="15" hidden="false" customHeight="false" outlineLevel="0" collapsed="false">
      <c r="A8" s="0" t="s">
        <v>73</v>
      </c>
      <c r="B8" s="0" t="n">
        <v>11303</v>
      </c>
      <c r="F8" s="0" t="n">
        <v>1162</v>
      </c>
      <c r="G8" s="0" t="n">
        <v>10.3</v>
      </c>
      <c r="H8" s="0" t="n">
        <v>1638</v>
      </c>
      <c r="I8" s="0" t="n">
        <v>911</v>
      </c>
      <c r="J8" s="0" t="n">
        <v>8.1</v>
      </c>
      <c r="K8" s="0" t="n">
        <v>2.33</v>
      </c>
      <c r="L8" s="0" t="n">
        <v>1419</v>
      </c>
      <c r="M8" s="0" t="n">
        <v>705</v>
      </c>
      <c r="N8" s="0" t="n">
        <v>714</v>
      </c>
      <c r="O8" s="0" t="n">
        <v>5728</v>
      </c>
      <c r="P8" s="0" t="n">
        <v>11121</v>
      </c>
      <c r="Q8" s="0" t="n">
        <v>4694</v>
      </c>
      <c r="R8" s="0" t="n">
        <v>127</v>
      </c>
      <c r="S8" s="0" t="n">
        <v>1844</v>
      </c>
      <c r="T8" s="0" t="n">
        <v>390</v>
      </c>
      <c r="U8" s="0" t="n">
        <v>41</v>
      </c>
      <c r="AA8" s="0" t="s">
        <v>18</v>
      </c>
      <c r="AB8" s="0" t="s">
        <v>14</v>
      </c>
      <c r="AC8" s="0" t="n">
        <v>723</v>
      </c>
      <c r="AD8" s="0" t="n">
        <v>1088</v>
      </c>
      <c r="AE8" s="0" t="n">
        <v>1121</v>
      </c>
    </row>
    <row r="9" customFormat="false" ht="15" hidden="false" customHeight="false" outlineLevel="0" collapsed="false">
      <c r="A9" s="0" t="s">
        <v>74</v>
      </c>
      <c r="B9" s="0" t="n">
        <v>11797</v>
      </c>
      <c r="F9" s="0" t="n">
        <v>1290</v>
      </c>
      <c r="G9" s="0" t="n">
        <v>10.9</v>
      </c>
      <c r="H9" s="0" t="n">
        <v>1738</v>
      </c>
      <c r="I9" s="0" t="n">
        <v>929</v>
      </c>
      <c r="J9" s="0" t="n">
        <v>7.9</v>
      </c>
      <c r="K9" s="0" t="n">
        <v>2.51</v>
      </c>
      <c r="L9" s="0" t="n">
        <v>1466</v>
      </c>
      <c r="M9" s="0" t="n">
        <v>626</v>
      </c>
      <c r="N9" s="0" t="n">
        <v>840</v>
      </c>
      <c r="O9" s="0" t="n">
        <v>5379</v>
      </c>
      <c r="P9" s="0" t="n">
        <v>10783</v>
      </c>
      <c r="Q9" s="0" t="n">
        <v>4684</v>
      </c>
      <c r="R9" s="0" t="n">
        <v>30</v>
      </c>
      <c r="S9" s="0" t="n">
        <v>1384</v>
      </c>
      <c r="T9" s="0" t="n">
        <v>371</v>
      </c>
      <c r="U9" s="0" t="n">
        <v>42</v>
      </c>
      <c r="AA9" s="0" t="s">
        <v>18</v>
      </c>
      <c r="AB9" s="0" t="s">
        <v>14</v>
      </c>
      <c r="AC9" s="0" t="n">
        <v>506</v>
      </c>
      <c r="AD9" s="0" t="n">
        <v>678</v>
      </c>
      <c r="AE9" s="0" t="n">
        <v>878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354.2</v>
      </c>
    </row>
    <row r="3" customFormat="false" ht="15" hidden="false" customHeight="false" outlineLevel="0" collapsed="false">
      <c r="A3" s="0" t="s">
        <v>78</v>
      </c>
      <c r="B3" s="3" t="n">
        <v>346</v>
      </c>
    </row>
    <row r="4" customFormat="false" ht="15" hidden="false" customHeight="false" outlineLevel="0" collapsed="false">
      <c r="A4" s="0" t="s">
        <v>79</v>
      </c>
      <c r="B4" s="3" t="n">
        <v>-787</v>
      </c>
    </row>
    <row r="5" customFormat="false" ht="15" hidden="false" customHeight="false" outlineLevel="0" collapsed="false">
      <c r="A5" s="0" t="s">
        <v>80</v>
      </c>
      <c r="B5" s="3" t="n">
        <v>0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11797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7.8413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8</v>
      </c>
      <c r="D13" s="3" t="n">
        <v>4</v>
      </c>
      <c r="E13" s="3" t="n">
        <v>3.5</v>
      </c>
      <c r="F13" s="3" t="n">
        <v>3.5</v>
      </c>
      <c r="G13" s="3" t="n">
        <v>3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99</v>
      </c>
      <c r="C14" s="3" t="n">
        <v>15.1</v>
      </c>
      <c r="D14" s="3" t="n">
        <v>15</v>
      </c>
      <c r="E14" s="3" t="n">
        <v>14.7</v>
      </c>
      <c r="F14" s="3" t="n">
        <v>14.5</v>
      </c>
      <c r="G14" s="3" t="n">
        <v>14.3</v>
      </c>
      <c r="H14" s="3" t="n">
        <v>14.2</v>
      </c>
      <c r="I14" s="3" t="n">
        <v>14.2</v>
      </c>
      <c r="J14" s="3" t="n">
        <v>14.2</v>
      </c>
      <c r="K14" s="3" t="n">
        <v>14.2</v>
      </c>
      <c r="L14" s="3" t="n">
        <v>14.2</v>
      </c>
    </row>
    <row r="15" customFormat="false" ht="15" hidden="false" customHeight="false" outlineLevel="0" collapsed="false">
      <c r="A15" s="0" t="s">
        <v>100</v>
      </c>
      <c r="C15" s="3" t="n">
        <v>0.36</v>
      </c>
      <c r="D15" s="3" t="n">
        <v>0.36</v>
      </c>
      <c r="E15" s="3" t="n">
        <v>0.36</v>
      </c>
      <c r="F15" s="3" t="n">
        <v>0.36</v>
      </c>
      <c r="G15" s="3" t="n">
        <v>0.36</v>
      </c>
      <c r="H15" s="3" t="n">
        <v>0.36</v>
      </c>
      <c r="I15" s="3" t="n">
        <v>0.36</v>
      </c>
      <c r="J15" s="3" t="n">
        <v>0.36</v>
      </c>
      <c r="K15" s="3" t="n">
        <v>0.36</v>
      </c>
      <c r="L15" s="3" t="n">
        <v>0.36</v>
      </c>
    </row>
    <row r="16" customFormat="false" ht="15" hidden="false" customHeight="false" outlineLevel="0" collapsed="false">
      <c r="A16" s="0" t="s">
        <v>101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102</v>
      </c>
      <c r="C17" s="3" t="n">
        <v>3.8</v>
      </c>
      <c r="D17" s="3" t="n">
        <v>3.9</v>
      </c>
      <c r="E17" s="3" t="n">
        <v>3.9</v>
      </c>
      <c r="F17" s="3" t="n">
        <v>3.9</v>
      </c>
      <c r="G17" s="3" t="n">
        <v>3.9</v>
      </c>
      <c r="H17" s="3" t="n">
        <v>3.9</v>
      </c>
      <c r="I17" s="3" t="n">
        <v>3.9</v>
      </c>
      <c r="J17" s="3" t="n">
        <v>3.9</v>
      </c>
      <c r="K17" s="3" t="n">
        <v>3.9</v>
      </c>
      <c r="L17" s="3" t="n">
        <v>3.9</v>
      </c>
    </row>
    <row r="18" customFormat="false" ht="15" hidden="false" customHeight="false" outlineLevel="0" collapsed="false">
      <c r="A18" s="0" t="s">
        <v>103</v>
      </c>
      <c r="C18" s="3" t="n">
        <v>5.1</v>
      </c>
      <c r="D18" s="3" t="n">
        <v>4.8</v>
      </c>
      <c r="E18" s="3" t="n">
        <v>4.6</v>
      </c>
      <c r="F18" s="3" t="n">
        <v>4.5</v>
      </c>
      <c r="G18" s="3" t="n">
        <v>4.4</v>
      </c>
      <c r="H18" s="3" t="n">
        <v>4.3</v>
      </c>
      <c r="I18" s="3" t="n">
        <v>4.2</v>
      </c>
      <c r="J18" s="3" t="n">
        <v>4.2</v>
      </c>
      <c r="K18" s="3" t="n">
        <v>4.2</v>
      </c>
      <c r="L18" s="3" t="n">
        <v>4.2</v>
      </c>
    </row>
    <row r="19" customFormat="false" ht="15" hidden="false" customHeight="false" outlineLevel="0" collapsed="false">
      <c r="A19" s="0" t="s">
        <v>104</v>
      </c>
      <c r="C19" s="3" t="n">
        <v>34</v>
      </c>
      <c r="D19" s="3" t="n">
        <v>34</v>
      </c>
      <c r="E19" s="3" t="n">
        <v>34</v>
      </c>
      <c r="F19" s="3" t="n">
        <v>34</v>
      </c>
      <c r="G19" s="3" t="n">
        <v>34</v>
      </c>
      <c r="H19" s="3" t="n">
        <v>34</v>
      </c>
      <c r="I19" s="3" t="n">
        <v>34</v>
      </c>
      <c r="J19" s="3" t="n">
        <v>34</v>
      </c>
      <c r="K19" s="3" t="n">
        <v>34</v>
      </c>
      <c r="L19" s="3" t="n">
        <v>34</v>
      </c>
    </row>
    <row r="20" customFormat="false" ht="15" hidden="false" customHeight="false" outlineLevel="0" collapsed="false">
      <c r="A20" s="0" t="s">
        <v>105</v>
      </c>
      <c r="B20" s="3" t="n">
        <v>9.5</v>
      </c>
    </row>
    <row r="21" customFormat="false" ht="15" hidden="false" customHeight="false" outlineLevel="0" collapsed="false">
      <c r="A21" s="0" t="s">
        <v>106</v>
      </c>
      <c r="B21" s="3" t="n">
        <v>2</v>
      </c>
    </row>
    <row r="22" customFormat="false" ht="15" hidden="false" customHeight="false" outlineLevel="0" collapsed="false">
      <c r="A22" s="0" t="s">
        <v>107</v>
      </c>
      <c r="B22" s="3" t="n">
        <v>16</v>
      </c>
    </row>
    <row r="23" customFormat="false" ht="15" hidden="false" customHeight="false" outlineLevel="0" collapsed="false">
      <c r="A23" s="0" t="s">
        <v>108</v>
      </c>
      <c r="B23" s="3" t="n">
        <v>5</v>
      </c>
    </row>
    <row r="24" customFormat="false" ht="15" hidden="false" customHeight="false" outlineLevel="0" collapsed="false">
      <c r="A24" s="0" t="s">
        <v>109</v>
      </c>
      <c r="B24" s="3" t="n">
        <v>0.25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9</v>
      </c>
      <c r="D27" s="3" t="n">
        <v>7</v>
      </c>
      <c r="E27" s="3" t="n">
        <v>7</v>
      </c>
      <c r="F27" s="3" t="n">
        <v>6.5</v>
      </c>
      <c r="G27" s="3" t="n">
        <v>6</v>
      </c>
      <c r="H27" s="3" t="n">
        <v>5.5</v>
      </c>
      <c r="I27" s="3" t="n">
        <v>5</v>
      </c>
      <c r="J27" s="3" t="n">
        <v>4.5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99</v>
      </c>
      <c r="C28" s="3" t="n">
        <v>15.4</v>
      </c>
      <c r="D28" s="3" t="n">
        <v>15.9</v>
      </c>
      <c r="E28" s="3" t="n">
        <v>16.1</v>
      </c>
      <c r="F28" s="3" t="n">
        <v>16.3</v>
      </c>
      <c r="G28" s="3" t="n">
        <v>16.5</v>
      </c>
      <c r="H28" s="3" t="n">
        <v>16.5</v>
      </c>
      <c r="I28" s="3" t="n">
        <v>16.5</v>
      </c>
      <c r="J28" s="3" t="n">
        <v>16.5</v>
      </c>
      <c r="K28" s="3" t="n">
        <v>16.5</v>
      </c>
      <c r="L28" s="3" t="n">
        <v>16.5</v>
      </c>
    </row>
    <row r="29" customFormat="false" ht="15" hidden="false" customHeight="false" outlineLevel="0" collapsed="false">
      <c r="A29" s="0" t="s">
        <v>100</v>
      </c>
      <c r="C29" s="3" t="n">
        <v>0.36</v>
      </c>
      <c r="D29" s="3" t="n">
        <v>0.36</v>
      </c>
      <c r="E29" s="3" t="n">
        <v>0.35</v>
      </c>
      <c r="F29" s="3" t="n">
        <v>0.35</v>
      </c>
      <c r="G29" s="3" t="n">
        <v>0.35</v>
      </c>
      <c r="H29" s="3" t="n">
        <v>0.35</v>
      </c>
      <c r="I29" s="3" t="n">
        <v>0.35</v>
      </c>
      <c r="J29" s="3" t="n">
        <v>0.35</v>
      </c>
      <c r="K29" s="3" t="n">
        <v>0.35</v>
      </c>
      <c r="L29" s="3" t="n">
        <v>0.35</v>
      </c>
    </row>
    <row r="30" customFormat="false" ht="15" hidden="false" customHeight="false" outlineLevel="0" collapsed="false">
      <c r="A30" s="0" t="s">
        <v>101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102</v>
      </c>
      <c r="C31" s="3" t="n">
        <v>3.8</v>
      </c>
      <c r="D31" s="3" t="n">
        <v>3.8</v>
      </c>
      <c r="E31" s="3" t="n">
        <v>3.7</v>
      </c>
      <c r="F31" s="3" t="n">
        <v>3.7</v>
      </c>
      <c r="G31" s="3" t="n">
        <v>3.7</v>
      </c>
      <c r="H31" s="3" t="n">
        <v>3.6</v>
      </c>
      <c r="I31" s="3" t="n">
        <v>3.6</v>
      </c>
      <c r="J31" s="3" t="n">
        <v>3.6</v>
      </c>
      <c r="K31" s="3" t="n">
        <v>3.6</v>
      </c>
      <c r="L31" s="3" t="n">
        <v>3.6</v>
      </c>
    </row>
    <row r="32" customFormat="false" ht="15" hidden="false" customHeight="false" outlineLevel="0" collapsed="false">
      <c r="A32" s="0" t="s">
        <v>103</v>
      </c>
      <c r="C32" s="3" t="n">
        <v>5.1</v>
      </c>
      <c r="D32" s="3" t="n">
        <v>5</v>
      </c>
      <c r="E32" s="3" t="n">
        <v>4.9</v>
      </c>
      <c r="F32" s="3" t="n">
        <v>4.8</v>
      </c>
      <c r="G32" s="3" t="n">
        <v>4.7</v>
      </c>
      <c r="H32" s="3" t="n">
        <v>4.6</v>
      </c>
      <c r="I32" s="3" t="n">
        <v>4.5</v>
      </c>
      <c r="J32" s="3" t="n">
        <v>4.4</v>
      </c>
      <c r="K32" s="3" t="n">
        <v>4.3</v>
      </c>
      <c r="L32" s="3" t="n">
        <v>4.2</v>
      </c>
    </row>
    <row r="33" customFormat="false" ht="15" hidden="false" customHeight="false" outlineLevel="0" collapsed="false">
      <c r="A33" s="0" t="s">
        <v>104</v>
      </c>
      <c r="C33" s="3" t="n">
        <v>33</v>
      </c>
      <c r="D33" s="3" t="n">
        <v>33</v>
      </c>
      <c r="E33" s="3" t="n">
        <v>33</v>
      </c>
      <c r="F33" s="3" t="n">
        <v>33</v>
      </c>
      <c r="G33" s="3" t="n">
        <v>33</v>
      </c>
      <c r="H33" s="3" t="n">
        <v>33</v>
      </c>
      <c r="I33" s="3" t="n">
        <v>33</v>
      </c>
      <c r="J33" s="3" t="n">
        <v>33</v>
      </c>
      <c r="K33" s="3" t="n">
        <v>33</v>
      </c>
      <c r="L33" s="3" t="n">
        <v>33</v>
      </c>
    </row>
    <row r="34" customFormat="false" ht="15" hidden="false" customHeight="false" outlineLevel="0" collapsed="false">
      <c r="A34" s="0" t="s">
        <v>105</v>
      </c>
      <c r="B34" s="3" t="n">
        <v>9.5</v>
      </c>
    </row>
    <row r="35" customFormat="false" ht="15" hidden="false" customHeight="false" outlineLevel="0" collapsed="false">
      <c r="A35" s="0" t="s">
        <v>106</v>
      </c>
      <c r="B35" s="3" t="n">
        <v>3</v>
      </c>
    </row>
    <row r="36" customFormat="false" ht="15" hidden="false" customHeight="false" outlineLevel="0" collapsed="false">
      <c r="A36" s="0" t="s">
        <v>107</v>
      </c>
      <c r="B36" s="3" t="n">
        <v>16</v>
      </c>
    </row>
    <row r="37" customFormat="false" ht="15" hidden="false" customHeight="false" outlineLevel="0" collapsed="false">
      <c r="A37" s="0" t="s">
        <v>108</v>
      </c>
      <c r="B37" s="3" t="n">
        <v>5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10</v>
      </c>
      <c r="D41" s="3" t="n">
        <v>9</v>
      </c>
      <c r="E41" s="3" t="n">
        <v>8.5</v>
      </c>
      <c r="F41" s="3" t="n">
        <v>8</v>
      </c>
      <c r="G41" s="3" t="n">
        <v>7.5</v>
      </c>
      <c r="H41" s="3" t="n">
        <v>7</v>
      </c>
      <c r="I41" s="3" t="n">
        <v>6</v>
      </c>
      <c r="J41" s="3" t="n">
        <v>5</v>
      </c>
      <c r="K41" s="3" t="n">
        <v>4.5</v>
      </c>
      <c r="L41" s="3" t="n">
        <v>4</v>
      </c>
    </row>
    <row r="42" customFormat="false" ht="15" hidden="false" customHeight="false" outlineLevel="0" collapsed="false">
      <c r="A42" s="0" t="s">
        <v>99</v>
      </c>
      <c r="C42" s="3" t="n">
        <v>15.5</v>
      </c>
      <c r="D42" s="3" t="n">
        <v>16.2</v>
      </c>
      <c r="E42" s="3" t="n">
        <v>16.6</v>
      </c>
      <c r="F42" s="3" t="n">
        <v>17</v>
      </c>
      <c r="G42" s="3" t="n">
        <v>17.3</v>
      </c>
      <c r="H42" s="3" t="n">
        <v>17.5</v>
      </c>
      <c r="I42" s="3" t="n">
        <v>17.5</v>
      </c>
      <c r="J42" s="3" t="n">
        <v>17.5</v>
      </c>
      <c r="K42" s="3" t="n">
        <v>17.5</v>
      </c>
      <c r="L42" s="3" t="n">
        <v>17.5</v>
      </c>
    </row>
    <row r="43" customFormat="false" ht="15" hidden="false" customHeight="false" outlineLevel="0" collapsed="false">
      <c r="A43" s="0" t="s">
        <v>100</v>
      </c>
      <c r="C43" s="3" t="n">
        <v>0.36</v>
      </c>
      <c r="D43" s="3" t="n">
        <v>0.36</v>
      </c>
      <c r="E43" s="3" t="n">
        <v>0.35</v>
      </c>
      <c r="F43" s="3" t="n">
        <v>0.35</v>
      </c>
      <c r="G43" s="3" t="n">
        <v>0.35</v>
      </c>
      <c r="H43" s="3" t="n">
        <v>0.35</v>
      </c>
      <c r="I43" s="3" t="n">
        <v>0.35</v>
      </c>
      <c r="J43" s="3" t="n">
        <v>0.35</v>
      </c>
      <c r="K43" s="3" t="n">
        <v>0.35</v>
      </c>
      <c r="L43" s="3" t="n">
        <v>0.35</v>
      </c>
    </row>
    <row r="44" customFormat="false" ht="15" hidden="false" customHeight="false" outlineLevel="0" collapsed="false">
      <c r="A44" s="0" t="s">
        <v>101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102</v>
      </c>
      <c r="C45" s="3" t="n">
        <v>3.8</v>
      </c>
      <c r="D45" s="3" t="n">
        <v>3.7</v>
      </c>
      <c r="E45" s="3" t="n">
        <v>3.6</v>
      </c>
      <c r="F45" s="3" t="n">
        <v>3.5</v>
      </c>
      <c r="G45" s="3" t="n">
        <v>3.5</v>
      </c>
      <c r="H45" s="3" t="n">
        <v>3.4</v>
      </c>
      <c r="I45" s="3" t="n">
        <v>3.4</v>
      </c>
      <c r="J45" s="3" t="n">
        <v>3.4</v>
      </c>
      <c r="K45" s="3" t="n">
        <v>3.4</v>
      </c>
      <c r="L45" s="3" t="n">
        <v>3.4</v>
      </c>
    </row>
    <row r="46" customFormat="false" ht="15" hidden="false" customHeight="false" outlineLevel="0" collapsed="false">
      <c r="A46" s="0" t="s">
        <v>103</v>
      </c>
      <c r="C46" s="3" t="n">
        <v>5.1</v>
      </c>
      <c r="D46" s="3" t="n">
        <v>4.9</v>
      </c>
      <c r="E46" s="3" t="n">
        <v>4.7</v>
      </c>
      <c r="F46" s="3" t="n">
        <v>4.5</v>
      </c>
      <c r="G46" s="3" t="n">
        <v>4.4</v>
      </c>
      <c r="H46" s="3" t="n">
        <v>4.3</v>
      </c>
      <c r="I46" s="3" t="n">
        <v>4.2</v>
      </c>
      <c r="J46" s="3" t="n">
        <v>4.1</v>
      </c>
      <c r="K46" s="3" t="n">
        <v>4</v>
      </c>
      <c r="L46" s="3" t="n">
        <v>4</v>
      </c>
    </row>
    <row r="47" customFormat="false" ht="15" hidden="false" customHeight="false" outlineLevel="0" collapsed="false">
      <c r="A47" s="0" t="s">
        <v>104</v>
      </c>
      <c r="C47" s="3" t="n">
        <v>33</v>
      </c>
      <c r="D47" s="3" t="n">
        <v>33</v>
      </c>
      <c r="E47" s="3" t="n">
        <v>33</v>
      </c>
      <c r="F47" s="3" t="n">
        <v>33</v>
      </c>
      <c r="G47" s="3" t="n">
        <v>33</v>
      </c>
      <c r="H47" s="3" t="n">
        <v>33</v>
      </c>
      <c r="I47" s="3" t="n">
        <v>33</v>
      </c>
      <c r="J47" s="3" t="n">
        <v>33</v>
      </c>
      <c r="K47" s="3" t="n">
        <v>33</v>
      </c>
      <c r="L47" s="3" t="n">
        <v>33</v>
      </c>
    </row>
    <row r="48" customFormat="false" ht="15" hidden="false" customHeight="false" outlineLevel="0" collapsed="false">
      <c r="A48" s="0" t="s">
        <v>105</v>
      </c>
      <c r="B48" s="3" t="n">
        <v>9.5</v>
      </c>
    </row>
    <row r="49" customFormat="false" ht="15" hidden="false" customHeight="false" outlineLevel="0" collapsed="false">
      <c r="A49" s="0" t="s">
        <v>106</v>
      </c>
      <c r="B49" s="3" t="n">
        <v>3.5</v>
      </c>
    </row>
    <row r="50" customFormat="false" ht="15" hidden="false" customHeight="false" outlineLevel="0" collapsed="false">
      <c r="A50" s="0" t="s">
        <v>107</v>
      </c>
      <c r="B50" s="3" t="n">
        <v>16</v>
      </c>
    </row>
    <row r="51" customFormat="false" ht="15" hidden="false" customHeight="false" outlineLevel="0" collapsed="false">
      <c r="A51" s="0" t="s">
        <v>108</v>
      </c>
      <c r="B51" s="3" t="n">
        <v>5</v>
      </c>
    </row>
    <row r="52" customFormat="false" ht="15" hidden="false" customHeight="false" outlineLevel="0" collapsed="false">
      <c r="A52" s="0" t="s">
        <v>109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8</v>
      </c>
      <c r="D5" s="4" t="n">
        <f aca="false">Assumptions!D13</f>
        <v>4</v>
      </c>
      <c r="E5" s="4" t="n">
        <f aca="false">Assumptions!E13</f>
        <v>3.5</v>
      </c>
      <c r="F5" s="4" t="n">
        <f aca="false">Assumptions!F13</f>
        <v>3.5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11797</v>
      </c>
      <c r="C6" s="0" t="n">
        <f aca="false">B6*(1+C5/100)</f>
        <v>12740.76</v>
      </c>
      <c r="D6" s="0" t="n">
        <f aca="false">C6*(1+D5/100)</f>
        <v>13250.3904</v>
      </c>
      <c r="E6" s="0" t="n">
        <f aca="false">D6*(1+E5/100)</f>
        <v>13714.154064</v>
      </c>
      <c r="F6" s="0" t="n">
        <f aca="false">E6*(1+F5/100)</f>
        <v>14194.14945624</v>
      </c>
      <c r="G6" s="0" t="n">
        <f aca="false">F6*(1+G5/100)</f>
        <v>14619.9739399272</v>
      </c>
      <c r="H6" s="0" t="n">
        <f aca="false">G6*(1+H5/100)</f>
        <v>15058.573158125</v>
      </c>
      <c r="I6" s="0" t="n">
        <f aca="false">H6*(1+I5/100)</f>
        <v>15510.3303528688</v>
      </c>
      <c r="J6" s="0" t="n">
        <f aca="false">I6*(1+J5/100)</f>
        <v>15898.0886116905</v>
      </c>
      <c r="K6" s="0" t="n">
        <f aca="false">J6*(1+K5/100)</f>
        <v>16295.5408269827</v>
      </c>
      <c r="L6" s="0" t="n">
        <f aca="false">K6*(1+L5/100)</f>
        <v>16702.9293476573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15.1</v>
      </c>
      <c r="D7" s="4" t="n">
        <f aca="false">Assumptions!D14</f>
        <v>15</v>
      </c>
      <c r="E7" s="4" t="n">
        <f aca="false">Assumptions!E14</f>
        <v>14.7</v>
      </c>
      <c r="F7" s="4" t="n">
        <f aca="false">Assumptions!F14</f>
        <v>14.5</v>
      </c>
      <c r="G7" s="4" t="n">
        <f aca="false">Assumptions!G14</f>
        <v>14.3</v>
      </c>
      <c r="H7" s="4" t="n">
        <f aca="false">Assumptions!H14</f>
        <v>14.2</v>
      </c>
      <c r="I7" s="4" t="n">
        <f aca="false">Assumptions!I14</f>
        <v>14.2</v>
      </c>
      <c r="J7" s="4" t="n">
        <f aca="false">Assumptions!J14</f>
        <v>14.2</v>
      </c>
      <c r="K7" s="4" t="n">
        <f aca="false">Assumptions!K14</f>
        <v>14.2</v>
      </c>
      <c r="L7" s="4" t="n">
        <f aca="false">Assumptions!L14</f>
        <v>14.2</v>
      </c>
    </row>
    <row r="8" customFormat="false" ht="15" hidden="false" customHeight="false" outlineLevel="0" collapsed="false">
      <c r="A8" s="0" t="s">
        <v>44</v>
      </c>
      <c r="C8" s="0" t="n">
        <f aca="false">C6*C7/100</f>
        <v>1923.85476</v>
      </c>
      <c r="D8" s="0" t="n">
        <f aca="false">D6*D7/100</f>
        <v>1987.55856</v>
      </c>
      <c r="E8" s="0" t="n">
        <f aca="false">E6*E7/100</f>
        <v>2015.980647408</v>
      </c>
      <c r="F8" s="0" t="n">
        <f aca="false">F6*F7/100</f>
        <v>2058.1516711548</v>
      </c>
      <c r="G8" s="0" t="n">
        <f aca="false">G6*G7/100</f>
        <v>2090.65627340959</v>
      </c>
      <c r="H8" s="0" t="n">
        <f aca="false">H6*H7/100</f>
        <v>2138.31738845375</v>
      </c>
      <c r="I8" s="0" t="n">
        <f aca="false">I6*I7/100</f>
        <v>2202.46691010736</v>
      </c>
      <c r="J8" s="0" t="n">
        <f aca="false">J6*J7/100</f>
        <v>2257.52858286005</v>
      </c>
      <c r="K8" s="0" t="n">
        <f aca="false">K6*K7/100</f>
        <v>2313.96679743155</v>
      </c>
      <c r="L8" s="0" t="n">
        <f aca="false">L6*L7/100</f>
        <v>2371.81596736734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0.36</v>
      </c>
      <c r="D9" s="4" t="n">
        <f aca="false">Assumptions!D15</f>
        <v>0.36</v>
      </c>
      <c r="E9" s="4" t="n">
        <f aca="false">Assumptions!E15</f>
        <v>0.36</v>
      </c>
      <c r="F9" s="4" t="n">
        <f aca="false">Assumptions!F15</f>
        <v>0.36</v>
      </c>
      <c r="G9" s="4" t="n">
        <f aca="false">Assumptions!G15</f>
        <v>0.36</v>
      </c>
      <c r="H9" s="4" t="n">
        <f aca="false">Assumptions!H15</f>
        <v>0.36</v>
      </c>
      <c r="I9" s="4" t="n">
        <f aca="false">Assumptions!I15</f>
        <v>0.36</v>
      </c>
      <c r="J9" s="4" t="n">
        <f aca="false">Assumptions!J15</f>
        <v>0.36</v>
      </c>
      <c r="K9" s="4" t="n">
        <f aca="false">Assumptions!K15</f>
        <v>0.36</v>
      </c>
      <c r="L9" s="4" t="n">
        <f aca="false">Assumptions!L15</f>
        <v>0.36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-45.866736</v>
      </c>
      <c r="D10" s="0" t="n">
        <f aca="false">-D6*D9/100</f>
        <v>-47.70140544</v>
      </c>
      <c r="E10" s="0" t="n">
        <f aca="false">-E6*E9/100</f>
        <v>-49.3709546304</v>
      </c>
      <c r="F10" s="0" t="n">
        <f aca="false">-F6*F9/100</f>
        <v>-51.098938042464</v>
      </c>
      <c r="G10" s="0" t="n">
        <f aca="false">-G6*G9/100</f>
        <v>-52.6319061837379</v>
      </c>
      <c r="H10" s="0" t="n">
        <f aca="false">-H6*H9/100</f>
        <v>-54.2108633692501</v>
      </c>
      <c r="I10" s="0" t="n">
        <f aca="false">-I6*I9/100</f>
        <v>-55.8371892703275</v>
      </c>
      <c r="J10" s="0" t="n">
        <f aca="false">-J6*J9/100</f>
        <v>-57.2331190020857</v>
      </c>
      <c r="K10" s="0" t="n">
        <f aca="false">-K6*K9/100</f>
        <v>-58.6639469771379</v>
      </c>
      <c r="L10" s="0" t="n">
        <f aca="false">-L6*L9/100</f>
        <v>-60.1305456515663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1877.988024</v>
      </c>
      <c r="D11" s="0" t="n">
        <f aca="false">D8+D10+D24</f>
        <v>1939.85715456</v>
      </c>
      <c r="E11" s="0" t="n">
        <f aca="false">E8+E10+E24</f>
        <v>1966.6096927776</v>
      </c>
      <c r="F11" s="0" t="n">
        <f aca="false">F8+F10+F24</f>
        <v>2007.05273311234</v>
      </c>
      <c r="G11" s="0" t="n">
        <f aca="false">G8+G10+G24</f>
        <v>2038.02436722585</v>
      </c>
      <c r="H11" s="0" t="n">
        <f aca="false">H8+H10+H24</f>
        <v>2084.1065250845</v>
      </c>
      <c r="I11" s="0" t="n">
        <f aca="false">I8+I10+I24</f>
        <v>2146.62972083704</v>
      </c>
      <c r="J11" s="0" t="n">
        <f aca="false">J8+J10+J24</f>
        <v>2200.29546385796</v>
      </c>
      <c r="K11" s="0" t="n">
        <f aca="false">K8+K10+K24</f>
        <v>2255.30285045441</v>
      </c>
      <c r="L11" s="0" t="n">
        <f aca="false">L8+L10+L24</f>
        <v>2311.68542171577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-484.14888</v>
      </c>
      <c r="D12" s="4" t="n">
        <f aca="false">-D6*Assumptions!D17/100</f>
        <v>-516.7652256</v>
      </c>
      <c r="E12" s="4" t="n">
        <f aca="false">-E6*Assumptions!E17/100</f>
        <v>-534.852008496</v>
      </c>
      <c r="F12" s="4" t="n">
        <f aca="false">-F6*Assumptions!F17/100</f>
        <v>-553.57182879336</v>
      </c>
      <c r="G12" s="4" t="n">
        <f aca="false">-G6*Assumptions!G17/100</f>
        <v>-570.178983657161</v>
      </c>
      <c r="H12" s="4" t="n">
        <f aca="false">-H6*Assumptions!H17/100</f>
        <v>-587.284353166876</v>
      </c>
      <c r="I12" s="4" t="n">
        <f aca="false">-I6*Assumptions!I17/100</f>
        <v>-604.902883761882</v>
      </c>
      <c r="J12" s="4" t="n">
        <f aca="false">-J6*Assumptions!J17/100</f>
        <v>-620.025455855929</v>
      </c>
      <c r="K12" s="4" t="n">
        <f aca="false">-K6*Assumptions!K17/100</f>
        <v>-635.526092252327</v>
      </c>
      <c r="L12" s="4" t="n">
        <f aca="false">-L6*Assumptions!L17/100</f>
        <v>-651.414244558635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1393.839144</v>
      </c>
      <c r="D13" s="0" t="n">
        <f aca="false">D11+D12</f>
        <v>1423.09192896</v>
      </c>
      <c r="E13" s="0" t="n">
        <f aca="false">E11+E12</f>
        <v>1431.7576842816</v>
      </c>
      <c r="F13" s="0" t="n">
        <f aca="false">F11+F12</f>
        <v>1453.48090431898</v>
      </c>
      <c r="G13" s="0" t="n">
        <f aca="false">G11+G12</f>
        <v>1467.84538356869</v>
      </c>
      <c r="H13" s="0" t="n">
        <f aca="false">H11+H12</f>
        <v>1496.82217191763</v>
      </c>
      <c r="I13" s="0" t="n">
        <f aca="false">I11+I12</f>
        <v>1541.72683707516</v>
      </c>
      <c r="J13" s="0" t="n">
        <f aca="false">J11+J12</f>
        <v>1580.27000800203</v>
      </c>
      <c r="K13" s="0" t="n">
        <f aca="false">K11+K12</f>
        <v>1619.77675820208</v>
      </c>
      <c r="L13" s="0" t="n">
        <f aca="false">L11+L12</f>
        <v>1660.27117715714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34</v>
      </c>
      <c r="D14" s="4" t="n">
        <f aca="false">Assumptions!D19</f>
        <v>34</v>
      </c>
      <c r="E14" s="4" t="n">
        <f aca="false">Assumptions!E19</f>
        <v>34</v>
      </c>
      <c r="F14" s="4" t="n">
        <f aca="false">Assumptions!F19</f>
        <v>34</v>
      </c>
      <c r="G14" s="4" t="n">
        <f aca="false">Assumptions!G19</f>
        <v>34</v>
      </c>
      <c r="H14" s="4" t="n">
        <f aca="false">Assumptions!H19</f>
        <v>34</v>
      </c>
      <c r="I14" s="4" t="n">
        <f aca="false">Assumptions!I19</f>
        <v>34</v>
      </c>
      <c r="J14" s="4" t="n">
        <f aca="false">Assumptions!J19</f>
        <v>34</v>
      </c>
      <c r="K14" s="4" t="n">
        <f aca="false">Assumptions!K19</f>
        <v>34</v>
      </c>
      <c r="L14" s="4" t="n">
        <f aca="false">Assumptions!L19</f>
        <v>34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919.93383504</v>
      </c>
      <c r="D15" s="0" t="n">
        <f aca="false">D13-MAX(0,D13)*D14/100</f>
        <v>939.2406731136</v>
      </c>
      <c r="E15" s="0" t="n">
        <f aca="false">E13-MAX(0,E13)*E14/100</f>
        <v>944.960071625856</v>
      </c>
      <c r="F15" s="0" t="n">
        <f aca="false">F13-MAX(0,F13)*F14/100</f>
        <v>959.297396850524</v>
      </c>
      <c r="G15" s="0" t="n">
        <f aca="false">G13-MAX(0,G13)*G14/100</f>
        <v>968.777953155336</v>
      </c>
      <c r="H15" s="0" t="n">
        <f aca="false">H13-MAX(0,H13)*H14/100</f>
        <v>987.902633465633</v>
      </c>
      <c r="I15" s="0" t="n">
        <f aca="false">I13-MAX(0,I13)*I14/100</f>
        <v>1017.5397124696</v>
      </c>
      <c r="J15" s="0" t="n">
        <f aca="false">J13-MAX(0,J13)*J14/100</f>
        <v>1042.97820528134</v>
      </c>
      <c r="K15" s="0" t="n">
        <f aca="false">K13-MAX(0,K13)*K14/100</f>
        <v>1069.05266041338</v>
      </c>
      <c r="L15" s="0" t="n">
        <f aca="false">L13-MAX(0,L13)*L14/100</f>
        <v>1095.77897692371</v>
      </c>
    </row>
    <row r="16" customFormat="false" ht="15" hidden="false" customHeight="false" outlineLevel="0" collapsed="false">
      <c r="A16" s="0" t="s">
        <v>120</v>
      </c>
      <c r="C16" s="0" t="n">
        <f aca="false">-C12</f>
        <v>484.14888</v>
      </c>
      <c r="D16" s="0" t="n">
        <f aca="false">-D12</f>
        <v>516.7652256</v>
      </c>
      <c r="E16" s="0" t="n">
        <f aca="false">-E12</f>
        <v>534.852008496</v>
      </c>
      <c r="F16" s="0" t="n">
        <f aca="false">-F12</f>
        <v>553.57182879336</v>
      </c>
      <c r="G16" s="0" t="n">
        <f aca="false">-G12</f>
        <v>570.178983657161</v>
      </c>
      <c r="H16" s="0" t="n">
        <f aca="false">-H12</f>
        <v>587.284353166876</v>
      </c>
      <c r="I16" s="0" t="n">
        <f aca="false">-I12</f>
        <v>604.902883761882</v>
      </c>
      <c r="J16" s="0" t="n">
        <f aca="false">-J12</f>
        <v>620.025455855929</v>
      </c>
      <c r="K16" s="0" t="n">
        <f aca="false">-K12</f>
        <v>635.526092252327</v>
      </c>
      <c r="L16" s="0" t="n">
        <f aca="false">-L12</f>
        <v>651.414244558635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-649.77876</v>
      </c>
      <c r="D17" s="4" t="n">
        <f aca="false">-D6*Assumptions!D18/100</f>
        <v>-636.0187392</v>
      </c>
      <c r="E17" s="4" t="n">
        <f aca="false">-E6*Assumptions!E18/100</f>
        <v>-630.851086944</v>
      </c>
      <c r="F17" s="4" t="n">
        <f aca="false">-F6*Assumptions!F18/100</f>
        <v>-638.7367255308</v>
      </c>
      <c r="G17" s="4" t="n">
        <f aca="false">-G6*Assumptions!G18/100</f>
        <v>-643.278853356797</v>
      </c>
      <c r="H17" s="4" t="n">
        <f aca="false">-H6*Assumptions!H18/100</f>
        <v>-647.518645799376</v>
      </c>
      <c r="I17" s="4" t="n">
        <f aca="false">-I6*Assumptions!I18/100</f>
        <v>-651.433874820488</v>
      </c>
      <c r="J17" s="4" t="n">
        <f aca="false">-J6*Assumptions!J18/100</f>
        <v>-667.719721691</v>
      </c>
      <c r="K17" s="4" t="n">
        <f aca="false">-K6*Assumptions!K18/100</f>
        <v>-684.412714733275</v>
      </c>
      <c r="L17" s="4" t="n">
        <f aca="false">-L6*Assumptions!L18/100</f>
        <v>-701.523032601607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47.188</v>
      </c>
      <c r="D18" s="4" t="n">
        <f aca="false">(D6-C6)*Assumptions!$B$23/100</f>
        <v>25.48152</v>
      </c>
      <c r="E18" s="4" t="n">
        <f aca="false">(E6-D6)*Assumptions!$B$23/100</f>
        <v>23.1881831999999</v>
      </c>
      <c r="F18" s="4" t="n">
        <f aca="false">(F6-E6)*Assumptions!$B$23/100</f>
        <v>23.9997696119999</v>
      </c>
      <c r="G18" s="4" t="n">
        <f aca="false">(G6-F6)*Assumptions!$B$23/100</f>
        <v>21.29122418436</v>
      </c>
      <c r="H18" s="4" t="n">
        <f aca="false">(H6-G6)*Assumptions!$B$23/100</f>
        <v>21.9299609098908</v>
      </c>
      <c r="I18" s="4" t="n">
        <f aca="false">(I6-H6)*Assumptions!$B$23/100</f>
        <v>22.5878597371875</v>
      </c>
      <c r="J18" s="4" t="n">
        <f aca="false">(J6-I6)*Assumptions!$B$23/100</f>
        <v>19.3879129410859</v>
      </c>
      <c r="K18" s="4" t="n">
        <f aca="false">(K6-J6)*Assumptions!$B$23/100</f>
        <v>19.872610764613</v>
      </c>
      <c r="L18" s="4" t="n">
        <f aca="false">(L6-K6)*Assumptions!$B$23/100</f>
        <v>20.3694260337284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801.49195504</v>
      </c>
      <c r="D19" s="0" t="n">
        <f aca="false">D15+D16+D17+D18</f>
        <v>845.4686795136</v>
      </c>
      <c r="E19" s="0" t="n">
        <f aca="false">E15+E16+E17+E18</f>
        <v>872.149176377856</v>
      </c>
      <c r="F19" s="0" t="n">
        <f aca="false">F15+F16+F17+F18</f>
        <v>898.132269725084</v>
      </c>
      <c r="G19" s="0" t="n">
        <f aca="false">G15+G16+G17+G18</f>
        <v>916.96930764006</v>
      </c>
      <c r="H19" s="0" t="n">
        <f aca="false">H15+H16+H17+H18</f>
        <v>949.598301743024</v>
      </c>
      <c r="I19" s="0" t="n">
        <f aca="false">I15+I16+I17+I18</f>
        <v>993.596581148183</v>
      </c>
      <c r="J19" s="0" t="n">
        <f aca="false">J15+J16+J17+J18</f>
        <v>1014.67185238736</v>
      </c>
      <c r="K19" s="0" t="n">
        <f aca="false">K15+K16+K17+K18</f>
        <v>1040.03864869704</v>
      </c>
      <c r="L19" s="0" t="n">
        <f aca="false">L15+L16+L17+L18</f>
        <v>1066.03961491447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731.956123324201</v>
      </c>
      <c r="D21" s="0" t="n">
        <f aca="false">D19*D20</f>
        <v>705.130151175831</v>
      </c>
      <c r="E21" s="0" t="n">
        <f aca="false">E19*E20</f>
        <v>664.275779152644</v>
      </c>
      <c r="F21" s="0" t="n">
        <f aca="false">F19*F20</f>
        <v>624.717718968882</v>
      </c>
      <c r="G21" s="0" t="n">
        <f aca="false">G19*G20</f>
        <v>582.48427242732</v>
      </c>
      <c r="H21" s="0" t="n">
        <f aca="false">H19*H20</f>
        <v>550.877728010814</v>
      </c>
      <c r="I21" s="0" t="n">
        <f aca="false">I19*I20</f>
        <v>526.394392506245</v>
      </c>
      <c r="J21" s="0" t="n">
        <f aca="false">J19*J20</f>
        <v>490.922186163047</v>
      </c>
      <c r="K21" s="0" t="n">
        <f aca="false">K19*K20</f>
        <v>459.539032709702</v>
      </c>
      <c r="L21" s="0" t="n">
        <f aca="false">L19*L20</f>
        <v>430.162108244242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16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5766.45949268293</v>
      </c>
    </row>
    <row r="31" customFormat="false" ht="15" hidden="false" customHeight="false" outlineLevel="0" collapsed="false">
      <c r="A31" s="0" t="s">
        <v>129</v>
      </c>
      <c r="B31" s="0" t="n">
        <f aca="false">L19</f>
        <v>1066.03961491447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14498.1387628367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17056.6338386315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14498.1387628367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5850.20467212169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11616.6641648046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12403.6641648046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281.100727790412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-0.206378521201548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327.156094410717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329.983983884355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295.993307258432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8364.31082471351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167.897893738591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9</v>
      </c>
      <c r="D5" s="4" t="n">
        <f aca="false">Assumptions!D27</f>
        <v>7</v>
      </c>
      <c r="E5" s="4" t="n">
        <f aca="false">Assumptions!E27</f>
        <v>7</v>
      </c>
      <c r="F5" s="4" t="n">
        <f aca="false">Assumptions!F27</f>
        <v>6.5</v>
      </c>
      <c r="G5" s="4" t="n">
        <f aca="false">Assumptions!G27</f>
        <v>6</v>
      </c>
      <c r="H5" s="4" t="n">
        <f aca="false">Assumptions!H27</f>
        <v>5.5</v>
      </c>
      <c r="I5" s="4" t="n">
        <f aca="false">Assumptions!I27</f>
        <v>5</v>
      </c>
      <c r="J5" s="4" t="n">
        <f aca="false">Assumptions!J27</f>
        <v>4.5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38</v>
      </c>
      <c r="B6" s="3" t="n">
        <v>11797</v>
      </c>
      <c r="C6" s="0" t="n">
        <f aca="false">B6*(1+C5/100)</f>
        <v>12858.73</v>
      </c>
      <c r="D6" s="0" t="n">
        <f aca="false">C6*(1+D5/100)</f>
        <v>13758.8411</v>
      </c>
      <c r="E6" s="0" t="n">
        <f aca="false">D6*(1+E5/100)</f>
        <v>14721.959977</v>
      </c>
      <c r="F6" s="0" t="n">
        <f aca="false">E6*(1+F5/100)</f>
        <v>15678.887375505</v>
      </c>
      <c r="G6" s="0" t="n">
        <f aca="false">F6*(1+G5/100)</f>
        <v>16619.6206180353</v>
      </c>
      <c r="H6" s="0" t="n">
        <f aca="false">G6*(1+H5/100)</f>
        <v>17533.6997520272</v>
      </c>
      <c r="I6" s="0" t="n">
        <f aca="false">H6*(1+I5/100)</f>
        <v>18410.3847396286</v>
      </c>
      <c r="J6" s="0" t="n">
        <f aca="false">I6*(1+J5/100)</f>
        <v>19238.8520529119</v>
      </c>
      <c r="K6" s="0" t="n">
        <f aca="false">J6*(1+K5/100)</f>
        <v>20008.4061350284</v>
      </c>
      <c r="L6" s="0" t="n">
        <f aca="false">K6*(1+L5/100)</f>
        <v>20708.7003497544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15.4</v>
      </c>
      <c r="D7" s="4" t="n">
        <f aca="false">Assumptions!D28</f>
        <v>15.9</v>
      </c>
      <c r="E7" s="4" t="n">
        <f aca="false">Assumptions!E28</f>
        <v>16.1</v>
      </c>
      <c r="F7" s="4" t="n">
        <f aca="false">Assumptions!F28</f>
        <v>16.3</v>
      </c>
      <c r="G7" s="4" t="n">
        <f aca="false">Assumptions!G28</f>
        <v>16.5</v>
      </c>
      <c r="H7" s="4" t="n">
        <f aca="false">Assumptions!H28</f>
        <v>16.5</v>
      </c>
      <c r="I7" s="4" t="n">
        <f aca="false">Assumptions!I28</f>
        <v>16.5</v>
      </c>
      <c r="J7" s="4" t="n">
        <f aca="false">Assumptions!J28</f>
        <v>16.5</v>
      </c>
      <c r="K7" s="4" t="n">
        <f aca="false">Assumptions!K28</f>
        <v>16.5</v>
      </c>
      <c r="L7" s="4" t="n">
        <f aca="false">Assumptions!L28</f>
        <v>16.5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1980.24442</v>
      </c>
      <c r="D8" s="0" t="n">
        <f aca="false">D6*D7/100</f>
        <v>2187.6557349</v>
      </c>
      <c r="E8" s="0" t="n">
        <f aca="false">E6*E7/100</f>
        <v>2370.235556297</v>
      </c>
      <c r="F8" s="0" t="n">
        <f aca="false">F6*F7/100</f>
        <v>2555.65864220732</v>
      </c>
      <c r="G8" s="0" t="n">
        <f aca="false">G6*G7/100</f>
        <v>2742.23740197582</v>
      </c>
      <c r="H8" s="0" t="n">
        <f aca="false">H6*H7/100</f>
        <v>2893.0604590845</v>
      </c>
      <c r="I8" s="0" t="n">
        <f aca="false">I6*I7/100</f>
        <v>3037.71348203872</v>
      </c>
      <c r="J8" s="0" t="n">
        <f aca="false">J6*J7/100</f>
        <v>3174.41058873046</v>
      </c>
      <c r="K8" s="0" t="n">
        <f aca="false">K6*K7/100</f>
        <v>3301.38701227968</v>
      </c>
      <c r="L8" s="0" t="n">
        <f aca="false">L6*L7/100</f>
        <v>3416.93555770947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0.36</v>
      </c>
      <c r="D9" s="4" t="n">
        <f aca="false">Assumptions!D29</f>
        <v>0.36</v>
      </c>
      <c r="E9" s="4" t="n">
        <f aca="false">Assumptions!E29</f>
        <v>0.35</v>
      </c>
      <c r="F9" s="4" t="n">
        <f aca="false">Assumptions!F29</f>
        <v>0.35</v>
      </c>
      <c r="G9" s="4" t="n">
        <f aca="false">Assumptions!G29</f>
        <v>0.35</v>
      </c>
      <c r="H9" s="4" t="n">
        <f aca="false">Assumptions!H29</f>
        <v>0.35</v>
      </c>
      <c r="I9" s="4" t="n">
        <f aca="false">Assumptions!I29</f>
        <v>0.35</v>
      </c>
      <c r="J9" s="4" t="n">
        <f aca="false">Assumptions!J29</f>
        <v>0.35</v>
      </c>
      <c r="K9" s="4" t="n">
        <f aca="false">Assumptions!K29</f>
        <v>0.35</v>
      </c>
      <c r="L9" s="4" t="n">
        <f aca="false">Assumptions!L29</f>
        <v>0.35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-46.291428</v>
      </c>
      <c r="D10" s="0" t="n">
        <f aca="false">-D6*D9/100</f>
        <v>-49.53182796</v>
      </c>
      <c r="E10" s="0" t="n">
        <f aca="false">-E6*E9/100</f>
        <v>-51.5268599195</v>
      </c>
      <c r="F10" s="0" t="n">
        <f aca="false">-F6*F9/100</f>
        <v>-54.8761058142675</v>
      </c>
      <c r="G10" s="0" t="n">
        <f aca="false">-G6*G9/100</f>
        <v>-58.1686721631235</v>
      </c>
      <c r="H10" s="0" t="n">
        <f aca="false">-H6*H9/100</f>
        <v>-61.3679491320954</v>
      </c>
      <c r="I10" s="0" t="n">
        <f aca="false">-I6*I9/100</f>
        <v>-64.4363465887001</v>
      </c>
      <c r="J10" s="0" t="n">
        <f aca="false">-J6*J9/100</f>
        <v>-67.3359821851916</v>
      </c>
      <c r="K10" s="0" t="n">
        <f aca="false">-K6*K9/100</f>
        <v>-70.0294214725993</v>
      </c>
      <c r="L10" s="0" t="n">
        <f aca="false">-L6*L9/100</f>
        <v>-72.4804512241403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1933.952992</v>
      </c>
      <c r="D11" s="0" t="n">
        <f aca="false">D8+D10+D24</f>
        <v>2138.12390694</v>
      </c>
      <c r="E11" s="0" t="n">
        <f aca="false">E8+E10+E24</f>
        <v>2318.7086963775</v>
      </c>
      <c r="F11" s="0" t="n">
        <f aca="false">F8+F10+F24</f>
        <v>2500.78253639305</v>
      </c>
      <c r="G11" s="0" t="n">
        <f aca="false">G8+G10+G24</f>
        <v>2684.0687298127</v>
      </c>
      <c r="H11" s="0" t="n">
        <f aca="false">H8+H10+H24</f>
        <v>2831.6925099524</v>
      </c>
      <c r="I11" s="0" t="n">
        <f aca="false">I8+I10+I24</f>
        <v>2973.27713545002</v>
      </c>
      <c r="J11" s="0" t="n">
        <f aca="false">J8+J10+J24</f>
        <v>3107.07460654527</v>
      </c>
      <c r="K11" s="0" t="n">
        <f aca="false">K8+K10+K24</f>
        <v>3231.35759080708</v>
      </c>
      <c r="L11" s="0" t="n">
        <f aca="false">L8+L10+L24</f>
        <v>3344.45510648533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-488.63174</v>
      </c>
      <c r="D12" s="4" t="n">
        <f aca="false">-D6*Assumptions!D31/100</f>
        <v>-522.8359618</v>
      </c>
      <c r="E12" s="4" t="n">
        <f aca="false">-E6*Assumptions!E31/100</f>
        <v>-544.712519149</v>
      </c>
      <c r="F12" s="4" t="n">
        <f aca="false">-F6*Assumptions!F31/100</f>
        <v>-580.118832893685</v>
      </c>
      <c r="G12" s="4" t="n">
        <f aca="false">-G6*Assumptions!G31/100</f>
        <v>-614.925962867306</v>
      </c>
      <c r="H12" s="4" t="n">
        <f aca="false">-H6*Assumptions!H31/100</f>
        <v>-631.213191072981</v>
      </c>
      <c r="I12" s="4" t="n">
        <f aca="false">-I6*Assumptions!I31/100</f>
        <v>-662.77385062663</v>
      </c>
      <c r="J12" s="4" t="n">
        <f aca="false">-J6*Assumptions!J31/100</f>
        <v>-692.598673904828</v>
      </c>
      <c r="K12" s="4" t="n">
        <f aca="false">-K6*Assumptions!K31/100</f>
        <v>-720.302620861021</v>
      </c>
      <c r="L12" s="4" t="n">
        <f aca="false">-L6*Assumptions!L31/100</f>
        <v>-745.513212591157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1445.321252</v>
      </c>
      <c r="D13" s="0" t="n">
        <f aca="false">D11+D12</f>
        <v>1615.28794514</v>
      </c>
      <c r="E13" s="0" t="n">
        <f aca="false">E11+E12</f>
        <v>1773.9961772285</v>
      </c>
      <c r="F13" s="0" t="n">
        <f aca="false">F11+F12</f>
        <v>1920.66370349936</v>
      </c>
      <c r="G13" s="0" t="n">
        <f aca="false">G11+G12</f>
        <v>2069.14276694539</v>
      </c>
      <c r="H13" s="0" t="n">
        <f aca="false">H11+H12</f>
        <v>2200.47931887942</v>
      </c>
      <c r="I13" s="0" t="n">
        <f aca="false">I11+I12</f>
        <v>2310.50328482339</v>
      </c>
      <c r="J13" s="0" t="n">
        <f aca="false">J11+J12</f>
        <v>2414.47593264044</v>
      </c>
      <c r="K13" s="0" t="n">
        <f aca="false">K11+K12</f>
        <v>2511.05496994606</v>
      </c>
      <c r="L13" s="0" t="n">
        <f aca="false">L11+L12</f>
        <v>2598.94189389417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33</v>
      </c>
      <c r="D14" s="4" t="n">
        <f aca="false">Assumptions!D33</f>
        <v>33</v>
      </c>
      <c r="E14" s="4" t="n">
        <f aca="false">Assumptions!E33</f>
        <v>33</v>
      </c>
      <c r="F14" s="4" t="n">
        <f aca="false">Assumptions!F33</f>
        <v>33</v>
      </c>
      <c r="G14" s="4" t="n">
        <f aca="false">Assumptions!G33</f>
        <v>33</v>
      </c>
      <c r="H14" s="4" t="n">
        <f aca="false">Assumptions!H33</f>
        <v>33</v>
      </c>
      <c r="I14" s="4" t="n">
        <f aca="false">Assumptions!I33</f>
        <v>33</v>
      </c>
      <c r="J14" s="4" t="n">
        <f aca="false">Assumptions!J33</f>
        <v>33</v>
      </c>
      <c r="K14" s="4" t="n">
        <f aca="false">Assumptions!K33</f>
        <v>33</v>
      </c>
      <c r="L14" s="4" t="n">
        <f aca="false">Assumptions!L33</f>
        <v>33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968.36523884</v>
      </c>
      <c r="D15" s="0" t="n">
        <f aca="false">D13-MAX(0,D13)*D14/100</f>
        <v>1082.2429232438</v>
      </c>
      <c r="E15" s="0" t="n">
        <f aca="false">E13-MAX(0,E13)*E14/100</f>
        <v>1188.5774387431</v>
      </c>
      <c r="F15" s="0" t="n">
        <f aca="false">F13-MAX(0,F13)*F14/100</f>
        <v>1286.84468134457</v>
      </c>
      <c r="G15" s="0" t="n">
        <f aca="false">G13-MAX(0,G13)*G14/100</f>
        <v>1386.32565385341</v>
      </c>
      <c r="H15" s="0" t="n">
        <f aca="false">H13-MAX(0,H13)*H14/100</f>
        <v>1474.32114364921</v>
      </c>
      <c r="I15" s="0" t="n">
        <f aca="false">I13-MAX(0,I13)*I14/100</f>
        <v>1548.03720083167</v>
      </c>
      <c r="J15" s="0" t="n">
        <f aca="false">J13-MAX(0,J13)*J14/100</f>
        <v>1617.6988748691</v>
      </c>
      <c r="K15" s="0" t="n">
        <f aca="false">K13-MAX(0,K13)*K14/100</f>
        <v>1682.40682986386</v>
      </c>
      <c r="L15" s="0" t="n">
        <f aca="false">L13-MAX(0,L13)*L14/100</f>
        <v>1741.2910689091</v>
      </c>
    </row>
    <row r="16" customFormat="false" ht="15" hidden="false" customHeight="false" outlineLevel="0" collapsed="false">
      <c r="A16" s="0" t="s">
        <v>120</v>
      </c>
      <c r="C16" s="0" t="n">
        <f aca="false">-C12</f>
        <v>488.63174</v>
      </c>
      <c r="D16" s="0" t="n">
        <f aca="false">-D12</f>
        <v>522.8359618</v>
      </c>
      <c r="E16" s="0" t="n">
        <f aca="false">-E12</f>
        <v>544.712519149</v>
      </c>
      <c r="F16" s="0" t="n">
        <f aca="false">-F12</f>
        <v>580.118832893685</v>
      </c>
      <c r="G16" s="0" t="n">
        <f aca="false">-G12</f>
        <v>614.925962867306</v>
      </c>
      <c r="H16" s="0" t="n">
        <f aca="false">-H12</f>
        <v>631.213191072981</v>
      </c>
      <c r="I16" s="0" t="n">
        <f aca="false">-I12</f>
        <v>662.77385062663</v>
      </c>
      <c r="J16" s="0" t="n">
        <f aca="false">-J12</f>
        <v>692.598673904828</v>
      </c>
      <c r="K16" s="0" t="n">
        <f aca="false">-K12</f>
        <v>720.302620861021</v>
      </c>
      <c r="L16" s="0" t="n">
        <f aca="false">-L12</f>
        <v>745.513212591157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-655.79523</v>
      </c>
      <c r="D17" s="4" t="n">
        <f aca="false">-D6*Assumptions!D32/100</f>
        <v>-687.942055</v>
      </c>
      <c r="E17" s="4" t="n">
        <f aca="false">-E6*Assumptions!E32/100</f>
        <v>-721.376038873</v>
      </c>
      <c r="F17" s="4" t="n">
        <f aca="false">-F6*Assumptions!F32/100</f>
        <v>-752.58659402424</v>
      </c>
      <c r="G17" s="4" t="n">
        <f aca="false">-G6*Assumptions!G32/100</f>
        <v>-781.122169047659</v>
      </c>
      <c r="H17" s="4" t="n">
        <f aca="false">-H6*Assumptions!H32/100</f>
        <v>-806.550188593253</v>
      </c>
      <c r="I17" s="4" t="n">
        <f aca="false">-I6*Assumptions!I32/100</f>
        <v>-828.467313283287</v>
      </c>
      <c r="J17" s="4" t="n">
        <f aca="false">-J6*Assumptions!J32/100</f>
        <v>-846.509490328123</v>
      </c>
      <c r="K17" s="4" t="n">
        <f aca="false">-K6*Assumptions!K32/100</f>
        <v>-860.36146380622</v>
      </c>
      <c r="L17" s="4" t="n">
        <f aca="false">-L6*Assumptions!L32/100</f>
        <v>-869.765414689683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53.0865000000001</v>
      </c>
      <c r="D18" s="4" t="n">
        <f aca="false">(D6-C6)*Assumptions!$B$37/100</f>
        <v>45.005555</v>
      </c>
      <c r="E18" s="4" t="n">
        <f aca="false">(E6-D6)*Assumptions!$B$37/100</f>
        <v>48.15594385</v>
      </c>
      <c r="F18" s="4" t="n">
        <f aca="false">(F6-E6)*Assumptions!$B$37/100</f>
        <v>47.8463699252499</v>
      </c>
      <c r="G18" s="4" t="n">
        <f aca="false">(G6-F6)*Assumptions!$B$37/100</f>
        <v>47.036662126515</v>
      </c>
      <c r="H18" s="4" t="n">
        <f aca="false">(H6-G6)*Assumptions!$B$37/100</f>
        <v>45.7039566995971</v>
      </c>
      <c r="I18" s="4" t="n">
        <f aca="false">(I6-H6)*Assumptions!$B$37/100</f>
        <v>43.8342493800681</v>
      </c>
      <c r="J18" s="4" t="n">
        <f aca="false">(J6-I6)*Assumptions!$B$37/100</f>
        <v>41.4233656641643</v>
      </c>
      <c r="K18" s="4" t="n">
        <f aca="false">(K6-J6)*Assumptions!$B$37/100</f>
        <v>38.4777041058238</v>
      </c>
      <c r="L18" s="4" t="n">
        <f aca="false">(L6-K6)*Assumptions!$B$37/100</f>
        <v>35.0147107362996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854.28824884</v>
      </c>
      <c r="D19" s="0" t="n">
        <f aca="false">D15+D16+D17+D18</f>
        <v>962.1423850438</v>
      </c>
      <c r="E19" s="0" t="n">
        <f aca="false">E15+E16+E17+E18</f>
        <v>1060.0698628691</v>
      </c>
      <c r="F19" s="0" t="n">
        <f aca="false">F15+F16+F17+F18</f>
        <v>1162.22329013927</v>
      </c>
      <c r="G19" s="0" t="n">
        <f aca="false">G15+G16+G17+G18</f>
        <v>1267.16610979958</v>
      </c>
      <c r="H19" s="0" t="n">
        <f aca="false">H15+H16+H17+H18</f>
        <v>1344.68810282854</v>
      </c>
      <c r="I19" s="0" t="n">
        <f aca="false">I15+I16+I17+I18</f>
        <v>1426.17798755508</v>
      </c>
      <c r="J19" s="0" t="n">
        <f aca="false">J15+J16+J17+J18</f>
        <v>1505.21142410997</v>
      </c>
      <c r="K19" s="0" t="n">
        <f aca="false">K15+K16+K17+K18</f>
        <v>1580.82569102449</v>
      </c>
      <c r="L19" s="0" t="n">
        <f aca="false">L15+L16+L17+L18</f>
        <v>1652.05357754687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780.171916748859</v>
      </c>
      <c r="D21" s="0" t="n">
        <f aca="false">D19*D20</f>
        <v>802.43730117704</v>
      </c>
      <c r="E21" s="0" t="n">
        <f aca="false">E19*E20</f>
        <v>807.406293769773</v>
      </c>
      <c r="F21" s="0" t="n">
        <f aca="false">F19*F20</f>
        <v>808.412643908851</v>
      </c>
      <c r="G21" s="0" t="n">
        <f aca="false">G19*G20</f>
        <v>804.938969452284</v>
      </c>
      <c r="H21" s="0" t="n">
        <f aca="false">H19*H20</f>
        <v>780.075875883166</v>
      </c>
      <c r="I21" s="0" t="n">
        <f aca="false">I19*I20</f>
        <v>755.570328651195</v>
      </c>
      <c r="J21" s="0" t="n">
        <f aca="false">J19*J20</f>
        <v>728.256806595206</v>
      </c>
      <c r="K21" s="0" t="n">
        <f aca="false">K19*K20</f>
        <v>698.484724434169</v>
      </c>
      <c r="L21" s="0" t="n">
        <f aca="false">L19*L20</f>
        <v>666.627055793815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7632.38191641436</v>
      </c>
    </row>
    <row r="31" customFormat="false" ht="15" hidden="false" customHeight="false" outlineLevel="0" collapsed="false">
      <c r="A31" s="0" t="s">
        <v>129</v>
      </c>
      <c r="B31" s="0" t="n">
        <f aca="false">L19</f>
        <v>1652.05357754687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26178.6951518965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26432.8572407499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26178.6951518965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10563.4748841174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18195.8568005317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18982.8568005317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430.203107023149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0.214576812600645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360.457837583128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463.450723694207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448.875113385992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14180.1265406106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231.642384074145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10</v>
      </c>
      <c r="D5" s="4" t="n">
        <f aca="false">Assumptions!D41</f>
        <v>9</v>
      </c>
      <c r="E5" s="4" t="n">
        <f aca="false">Assumptions!E41</f>
        <v>8.5</v>
      </c>
      <c r="F5" s="4" t="n">
        <f aca="false">Assumptions!F41</f>
        <v>8</v>
      </c>
      <c r="G5" s="4" t="n">
        <f aca="false">Assumptions!G41</f>
        <v>7.5</v>
      </c>
      <c r="H5" s="4" t="n">
        <f aca="false">Assumptions!H41</f>
        <v>7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4.5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38</v>
      </c>
      <c r="B6" s="3" t="n">
        <v>11797</v>
      </c>
      <c r="C6" s="0" t="n">
        <f aca="false">B6*(1+C5/100)</f>
        <v>12976.7</v>
      </c>
      <c r="D6" s="0" t="n">
        <f aca="false">C6*(1+D5/100)</f>
        <v>14144.603</v>
      </c>
      <c r="E6" s="0" t="n">
        <f aca="false">D6*(1+E5/100)</f>
        <v>15346.894255</v>
      </c>
      <c r="F6" s="0" t="n">
        <f aca="false">E6*(1+F5/100)</f>
        <v>16574.6457954</v>
      </c>
      <c r="G6" s="0" t="n">
        <f aca="false">F6*(1+G5/100)</f>
        <v>17817.744230055</v>
      </c>
      <c r="H6" s="0" t="n">
        <f aca="false">G6*(1+H5/100)</f>
        <v>19064.9863261589</v>
      </c>
      <c r="I6" s="0" t="n">
        <f aca="false">H6*(1+I5/100)</f>
        <v>20208.8855057284</v>
      </c>
      <c r="J6" s="0" t="n">
        <f aca="false">I6*(1+J5/100)</f>
        <v>21219.3297810148</v>
      </c>
      <c r="K6" s="0" t="n">
        <f aca="false">J6*(1+K5/100)</f>
        <v>22174.1996211605</v>
      </c>
      <c r="L6" s="0" t="n">
        <f aca="false">K6*(1+L5/100)</f>
        <v>23061.1676060069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15.5</v>
      </c>
      <c r="D7" s="4" t="n">
        <f aca="false">Assumptions!D42</f>
        <v>16.2</v>
      </c>
      <c r="E7" s="4" t="n">
        <f aca="false">Assumptions!E42</f>
        <v>16.6</v>
      </c>
      <c r="F7" s="4" t="n">
        <f aca="false">Assumptions!F42</f>
        <v>17</v>
      </c>
      <c r="G7" s="4" t="n">
        <f aca="false">Assumptions!G42</f>
        <v>17.3</v>
      </c>
      <c r="H7" s="4" t="n">
        <f aca="false">Assumptions!H42</f>
        <v>17.5</v>
      </c>
      <c r="I7" s="4" t="n">
        <f aca="false">Assumptions!I42</f>
        <v>17.5</v>
      </c>
      <c r="J7" s="4" t="n">
        <f aca="false">Assumptions!J42</f>
        <v>17.5</v>
      </c>
      <c r="K7" s="4" t="n">
        <f aca="false">Assumptions!K42</f>
        <v>17.5</v>
      </c>
      <c r="L7" s="4" t="n">
        <f aca="false">Assumptions!L42</f>
        <v>17.5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2011.3885</v>
      </c>
      <c r="D8" s="0" t="n">
        <f aca="false">D6*D7/100</f>
        <v>2291.425686</v>
      </c>
      <c r="E8" s="0" t="n">
        <f aca="false">E6*E7/100</f>
        <v>2547.58444633</v>
      </c>
      <c r="F8" s="0" t="n">
        <f aca="false">F6*F7/100</f>
        <v>2817.689785218</v>
      </c>
      <c r="G8" s="0" t="n">
        <f aca="false">G6*G7/100</f>
        <v>3082.46975179952</v>
      </c>
      <c r="H8" s="0" t="n">
        <f aca="false">H6*H7/100</f>
        <v>3336.3726070778</v>
      </c>
      <c r="I8" s="0" t="n">
        <f aca="false">I6*I7/100</f>
        <v>3536.55496350247</v>
      </c>
      <c r="J8" s="0" t="n">
        <f aca="false">J6*J7/100</f>
        <v>3713.38271167759</v>
      </c>
      <c r="K8" s="0" t="n">
        <f aca="false">K6*K7/100</f>
        <v>3880.48493370308</v>
      </c>
      <c r="L8" s="0" t="n">
        <f aca="false">L6*L7/100</f>
        <v>4035.70433105121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0.36</v>
      </c>
      <c r="D9" s="4" t="n">
        <f aca="false">Assumptions!D43</f>
        <v>0.36</v>
      </c>
      <c r="E9" s="4" t="n">
        <f aca="false">Assumptions!E43</f>
        <v>0.35</v>
      </c>
      <c r="F9" s="4" t="n">
        <f aca="false">Assumptions!F43</f>
        <v>0.35</v>
      </c>
      <c r="G9" s="4" t="n">
        <f aca="false">Assumptions!G43</f>
        <v>0.35</v>
      </c>
      <c r="H9" s="4" t="n">
        <f aca="false">Assumptions!H43</f>
        <v>0.35</v>
      </c>
      <c r="I9" s="4" t="n">
        <f aca="false">Assumptions!I43</f>
        <v>0.35</v>
      </c>
      <c r="J9" s="4" t="n">
        <f aca="false">Assumptions!J43</f>
        <v>0.35</v>
      </c>
      <c r="K9" s="4" t="n">
        <f aca="false">Assumptions!K43</f>
        <v>0.35</v>
      </c>
      <c r="L9" s="4" t="n">
        <f aca="false">Assumptions!L43</f>
        <v>0.35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-46.71612</v>
      </c>
      <c r="D10" s="0" t="n">
        <f aca="false">-D6*D9/100</f>
        <v>-50.9205708</v>
      </c>
      <c r="E10" s="0" t="n">
        <f aca="false">-E6*E9/100</f>
        <v>-53.7141298925</v>
      </c>
      <c r="F10" s="0" t="n">
        <f aca="false">-F6*F9/100</f>
        <v>-58.0112602839</v>
      </c>
      <c r="G10" s="0" t="n">
        <f aca="false">-G6*G9/100</f>
        <v>-62.3621048051925</v>
      </c>
      <c r="H10" s="0" t="n">
        <f aca="false">-H6*H9/100</f>
        <v>-66.727452141556</v>
      </c>
      <c r="I10" s="0" t="n">
        <f aca="false">-I6*I9/100</f>
        <v>-70.7310992700494</v>
      </c>
      <c r="J10" s="0" t="n">
        <f aca="false">-J6*J9/100</f>
        <v>-74.2676542335518</v>
      </c>
      <c r="K10" s="0" t="n">
        <f aca="false">-K6*K9/100</f>
        <v>-77.6096986740617</v>
      </c>
      <c r="L10" s="0" t="n">
        <f aca="false">-L6*L9/100</f>
        <v>-80.7140866210241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1964.67238</v>
      </c>
      <c r="D11" s="0" t="n">
        <f aca="false">D8+D10+D24</f>
        <v>2240.5051152</v>
      </c>
      <c r="E11" s="0" t="n">
        <f aca="false">E8+E10+E24</f>
        <v>2493.8703164375</v>
      </c>
      <c r="F11" s="0" t="n">
        <f aca="false">F8+F10+F24</f>
        <v>2759.6785249341</v>
      </c>
      <c r="G11" s="0" t="n">
        <f aca="false">G8+G10+G24</f>
        <v>3020.10764699432</v>
      </c>
      <c r="H11" s="0" t="n">
        <f aca="false">H8+H10+H24</f>
        <v>3269.64515493624</v>
      </c>
      <c r="I11" s="0" t="n">
        <f aca="false">I8+I10+I24</f>
        <v>3465.82386423242</v>
      </c>
      <c r="J11" s="0" t="n">
        <f aca="false">J8+J10+J24</f>
        <v>3639.11505744404</v>
      </c>
      <c r="K11" s="0" t="n">
        <f aca="false">K8+K10+K24</f>
        <v>3802.87523502902</v>
      </c>
      <c r="L11" s="0" t="n">
        <f aca="false">L8+L10+L24</f>
        <v>3954.99024443018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-493.1146</v>
      </c>
      <c r="D12" s="4" t="n">
        <f aca="false">-D6*Assumptions!D45/100</f>
        <v>-523.350311</v>
      </c>
      <c r="E12" s="4" t="n">
        <f aca="false">-E6*Assumptions!E45/100</f>
        <v>-552.48819318</v>
      </c>
      <c r="F12" s="4" t="n">
        <f aca="false">-F6*Assumptions!F45/100</f>
        <v>-580.112602839</v>
      </c>
      <c r="G12" s="4" t="n">
        <f aca="false">-G6*Assumptions!G45/100</f>
        <v>-623.621048051925</v>
      </c>
      <c r="H12" s="4" t="n">
        <f aca="false">-H6*Assumptions!H45/100</f>
        <v>-648.209535089401</v>
      </c>
      <c r="I12" s="4" t="n">
        <f aca="false">-I6*Assumptions!I45/100</f>
        <v>-687.102107194765</v>
      </c>
      <c r="J12" s="4" t="n">
        <f aca="false">-J6*Assumptions!J45/100</f>
        <v>-721.457212554503</v>
      </c>
      <c r="K12" s="4" t="n">
        <f aca="false">-K6*Assumptions!K45/100</f>
        <v>-753.922787119456</v>
      </c>
      <c r="L12" s="4" t="n">
        <f aca="false">-L6*Assumptions!L45/100</f>
        <v>-784.079698604234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1471.55778</v>
      </c>
      <c r="D13" s="0" t="n">
        <f aca="false">D11+D12</f>
        <v>1717.1548042</v>
      </c>
      <c r="E13" s="0" t="n">
        <f aca="false">E11+E12</f>
        <v>1941.3821232575</v>
      </c>
      <c r="F13" s="0" t="n">
        <f aca="false">F11+F12</f>
        <v>2179.5659220951</v>
      </c>
      <c r="G13" s="0" t="n">
        <f aca="false">G11+G12</f>
        <v>2396.4865989424</v>
      </c>
      <c r="H13" s="0" t="n">
        <f aca="false">H11+H12</f>
        <v>2621.43561984684</v>
      </c>
      <c r="I13" s="0" t="n">
        <f aca="false">I11+I12</f>
        <v>2778.72175703765</v>
      </c>
      <c r="J13" s="0" t="n">
        <f aca="false">J11+J12</f>
        <v>2917.65784488954</v>
      </c>
      <c r="K13" s="0" t="n">
        <f aca="false">K11+K12</f>
        <v>3048.95244790956</v>
      </c>
      <c r="L13" s="0" t="n">
        <f aca="false">L11+L12</f>
        <v>3170.91054582595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33</v>
      </c>
      <c r="D14" s="4" t="n">
        <f aca="false">Assumptions!D47</f>
        <v>33</v>
      </c>
      <c r="E14" s="4" t="n">
        <f aca="false">Assumptions!E47</f>
        <v>33</v>
      </c>
      <c r="F14" s="4" t="n">
        <f aca="false">Assumptions!F47</f>
        <v>33</v>
      </c>
      <c r="G14" s="4" t="n">
        <f aca="false">Assumptions!G47</f>
        <v>33</v>
      </c>
      <c r="H14" s="4" t="n">
        <f aca="false">Assumptions!H47</f>
        <v>33</v>
      </c>
      <c r="I14" s="4" t="n">
        <f aca="false">Assumptions!I47</f>
        <v>33</v>
      </c>
      <c r="J14" s="4" t="n">
        <f aca="false">Assumptions!J47</f>
        <v>33</v>
      </c>
      <c r="K14" s="4" t="n">
        <f aca="false">Assumptions!K47</f>
        <v>33</v>
      </c>
      <c r="L14" s="4" t="n">
        <f aca="false">Assumptions!L47</f>
        <v>33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985.9437126</v>
      </c>
      <c r="D15" s="0" t="n">
        <f aca="false">D13-MAX(0,D13)*D14/100</f>
        <v>1150.493718814</v>
      </c>
      <c r="E15" s="0" t="n">
        <f aca="false">E13-MAX(0,E13)*E14/100</f>
        <v>1300.72602258253</v>
      </c>
      <c r="F15" s="0" t="n">
        <f aca="false">F13-MAX(0,F13)*F14/100</f>
        <v>1460.30916780372</v>
      </c>
      <c r="G15" s="0" t="n">
        <f aca="false">G13-MAX(0,G13)*G14/100</f>
        <v>1605.64602129141</v>
      </c>
      <c r="H15" s="0" t="n">
        <f aca="false">H13-MAX(0,H13)*H14/100</f>
        <v>1756.36186529738</v>
      </c>
      <c r="I15" s="0" t="n">
        <f aca="false">I13-MAX(0,I13)*I14/100</f>
        <v>1861.74357721523</v>
      </c>
      <c r="J15" s="0" t="n">
        <f aca="false">J13-MAX(0,J13)*J14/100</f>
        <v>1954.83075607599</v>
      </c>
      <c r="K15" s="0" t="n">
        <f aca="false">K13-MAX(0,K13)*K14/100</f>
        <v>2042.79814009941</v>
      </c>
      <c r="L15" s="0" t="n">
        <f aca="false">L13-MAX(0,L13)*L14/100</f>
        <v>2124.51006570338</v>
      </c>
    </row>
    <row r="16" customFormat="false" ht="15" hidden="false" customHeight="false" outlineLevel="0" collapsed="false">
      <c r="A16" s="0" t="s">
        <v>120</v>
      </c>
      <c r="C16" s="0" t="n">
        <f aca="false">-C12</f>
        <v>493.1146</v>
      </c>
      <c r="D16" s="0" t="n">
        <f aca="false">-D12</f>
        <v>523.350311</v>
      </c>
      <c r="E16" s="0" t="n">
        <f aca="false">-E12</f>
        <v>552.48819318</v>
      </c>
      <c r="F16" s="0" t="n">
        <f aca="false">-F12</f>
        <v>580.112602839</v>
      </c>
      <c r="G16" s="0" t="n">
        <f aca="false">-G12</f>
        <v>623.621048051925</v>
      </c>
      <c r="H16" s="0" t="n">
        <f aca="false">-H12</f>
        <v>648.209535089401</v>
      </c>
      <c r="I16" s="0" t="n">
        <f aca="false">-I12</f>
        <v>687.102107194765</v>
      </c>
      <c r="J16" s="0" t="n">
        <f aca="false">-J12</f>
        <v>721.457212554503</v>
      </c>
      <c r="K16" s="0" t="n">
        <f aca="false">-K12</f>
        <v>753.922787119456</v>
      </c>
      <c r="L16" s="0" t="n">
        <f aca="false">-L12</f>
        <v>784.079698604234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-661.8117</v>
      </c>
      <c r="D17" s="4" t="n">
        <f aca="false">-D6*Assumptions!D46/100</f>
        <v>-693.085547</v>
      </c>
      <c r="E17" s="4" t="n">
        <f aca="false">-E6*Assumptions!E46/100</f>
        <v>-721.304029985</v>
      </c>
      <c r="F17" s="4" t="n">
        <f aca="false">-F6*Assumptions!F46/100</f>
        <v>-745.859060793</v>
      </c>
      <c r="G17" s="4" t="n">
        <f aca="false">-G6*Assumptions!G46/100</f>
        <v>-783.98074612242</v>
      </c>
      <c r="H17" s="4" t="n">
        <f aca="false">-H6*Assumptions!H46/100</f>
        <v>-819.794412024831</v>
      </c>
      <c r="I17" s="4" t="n">
        <f aca="false">-I6*Assumptions!I46/100</f>
        <v>-848.773191240592</v>
      </c>
      <c r="J17" s="4" t="n">
        <f aca="false">-J6*Assumptions!J46/100</f>
        <v>-869.992521021607</v>
      </c>
      <c r="K17" s="4" t="n">
        <f aca="false">-K6*Assumptions!K46/100</f>
        <v>-886.967984846419</v>
      </c>
      <c r="L17" s="4" t="n">
        <f aca="false">-L6*Assumptions!L46/100</f>
        <v>-922.446704240276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58.985</v>
      </c>
      <c r="D18" s="4" t="n">
        <f aca="false">(D6-C6)*Assumptions!$B$51/100</f>
        <v>58.39515</v>
      </c>
      <c r="E18" s="4" t="n">
        <f aca="false">(E6-D6)*Assumptions!$B$51/100</f>
        <v>60.11456275</v>
      </c>
      <c r="F18" s="4" t="n">
        <f aca="false">(F6-E6)*Assumptions!$B$51/100</f>
        <v>61.3875770200001</v>
      </c>
      <c r="G18" s="4" t="n">
        <f aca="false">(G6-F6)*Assumptions!$B$51/100</f>
        <v>62.15492173275</v>
      </c>
      <c r="H18" s="4" t="n">
        <f aca="false">(H6-G6)*Assumptions!$B$51/100</f>
        <v>62.3621048051926</v>
      </c>
      <c r="I18" s="4" t="n">
        <f aca="false">(I6-H6)*Assumptions!$B$51/100</f>
        <v>57.1949589784766</v>
      </c>
      <c r="J18" s="4" t="n">
        <f aca="false">(J6-I6)*Assumptions!$B$51/100</f>
        <v>50.522213764321</v>
      </c>
      <c r="K18" s="4" t="n">
        <f aca="false">(K6-J6)*Assumptions!$B$51/100</f>
        <v>47.7434920072832</v>
      </c>
      <c r="L18" s="4" t="n">
        <f aca="false">(L6-K6)*Assumptions!$B$51/100</f>
        <v>44.3483992423209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876.2316126</v>
      </c>
      <c r="D19" s="0" t="n">
        <f aca="false">D15+D16+D17+D18</f>
        <v>1039.153632814</v>
      </c>
      <c r="E19" s="0" t="n">
        <f aca="false">E15+E16+E17+E18</f>
        <v>1192.02474852753</v>
      </c>
      <c r="F19" s="0" t="n">
        <f aca="false">F15+F16+F17+F18</f>
        <v>1355.95028686972</v>
      </c>
      <c r="G19" s="0" t="n">
        <f aca="false">G15+G16+G17+G18</f>
        <v>1507.44124495366</v>
      </c>
      <c r="H19" s="0" t="n">
        <f aca="false">H15+H16+H17+H18</f>
        <v>1647.13909316715</v>
      </c>
      <c r="I19" s="0" t="n">
        <f aca="false">I15+I16+I17+I18</f>
        <v>1757.26745214788</v>
      </c>
      <c r="J19" s="0" t="n">
        <f aca="false">J15+J16+J17+J18</f>
        <v>1856.81766137321</v>
      </c>
      <c r="K19" s="0" t="n">
        <f aca="false">K15+K16+K17+K18</f>
        <v>1957.49643437973</v>
      </c>
      <c r="L19" s="0" t="n">
        <f aca="false">L15+L16+L17+L18</f>
        <v>2030.49145930966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800.211518356165</v>
      </c>
      <c r="D21" s="0" t="n">
        <f aca="false">D19*D20</f>
        <v>866.665526418548</v>
      </c>
      <c r="E21" s="0" t="n">
        <f aca="false">E19*E20</f>
        <v>907.910240637889</v>
      </c>
      <c r="F21" s="0" t="n">
        <f aca="false">F19*F20</f>
        <v>943.164162788341</v>
      </c>
      <c r="G21" s="0" t="n">
        <f aca="false">G19*G20</f>
        <v>957.568382581497</v>
      </c>
      <c r="H21" s="0" t="n">
        <f aca="false">H19*H20</f>
        <v>955.532712828356</v>
      </c>
      <c r="I21" s="0" t="n">
        <f aca="false">I19*I20</f>
        <v>930.977169703469</v>
      </c>
      <c r="J21" s="0" t="n">
        <f aca="false">J19*J20</f>
        <v>898.372201301098</v>
      </c>
      <c r="K21" s="0" t="n">
        <f aca="false">K19*K20</f>
        <v>864.915952031688</v>
      </c>
      <c r="L21" s="0" t="n">
        <f aca="false">L19*L20</f>
        <v>819.332109884727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8944.64997653178</v>
      </c>
    </row>
    <row r="31" customFormat="false" ht="15" hidden="false" customHeight="false" outlineLevel="0" collapsed="false">
      <c r="A31" s="0" t="s">
        <v>129</v>
      </c>
      <c r="B31" s="0" t="n">
        <f aca="false">L19</f>
        <v>2030.49145930966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35025.9776730917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32487.8633489546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32487.8633489546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13109.3137581556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22053.9637346874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22840.9637346874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517.638291713308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0.461429395012161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384.983810315728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561.820063117419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539.09543972704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18274.423133787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276.449538834295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281.100727790412</v>
      </c>
      <c r="C4" s="0" t="n">
        <f aca="false">B4/Assumptions!$B$2-1</f>
        <v>-0.206378521201548</v>
      </c>
      <c r="D4" s="4" t="n">
        <f aca="false">Assumptions!$B$24</f>
        <v>0.25</v>
      </c>
      <c r="E4" s="4" t="n">
        <f aca="false">DCF_Bear!$B$43</f>
        <v>295.993307258432</v>
      </c>
      <c r="F4" s="4" t="n">
        <f aca="false">DCF_Bear!$B$47</f>
        <v>167.897893738591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430.203107023149</v>
      </c>
      <c r="C5" s="0" t="n">
        <f aca="false">B5/Assumptions!$B$2-1</f>
        <v>0.214576812600645</v>
      </c>
      <c r="D5" s="4" t="n">
        <f aca="false">Assumptions!$B$38</f>
        <v>0.5</v>
      </c>
      <c r="E5" s="4" t="n">
        <f aca="false">DCF_Base!$B$43</f>
        <v>448.875113385992</v>
      </c>
      <c r="F5" s="4" t="n">
        <f aca="false">DCF_Base!$B$47</f>
        <v>231.642384074145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517.638291713308</v>
      </c>
      <c r="C6" s="0" t="n">
        <f aca="false">B6/Assumptions!$B$2-1</f>
        <v>0.461429395012161</v>
      </c>
      <c r="D6" s="4" t="n">
        <f aca="false">Assumptions!$B$52</f>
        <v>0.25</v>
      </c>
      <c r="E6" s="4" t="n">
        <f aca="false">DCF_Bull!$B$43</f>
        <v>539.09543972704</v>
      </c>
      <c r="F6" s="4" t="n">
        <f aca="false">DCF_Bull!$B$47</f>
        <v>276.449538834295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414.786308387504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433.209743439364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0.146066316950131</v>
      </c>
    </row>
    <row r="11" customFormat="false" ht="15" hidden="false" customHeight="false" outlineLevel="0" collapsed="false">
      <c r="A11" s="0" t="s">
        <v>156</v>
      </c>
      <c r="B11" s="0" t="n">
        <f aca="false">IF(ABS(B9-B8)&gt;0.01*ABS(B8),(Assumptions!$B$2-B8)/(B9-B8)*100,"n/a")</f>
        <v>-328.854571457277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226.908050180294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448.147449875025</v>
      </c>
      <c r="C15" s="3" t="n">
        <v>9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430.203107023149</v>
      </c>
      <c r="C16" s="3" t="n">
        <v>9.5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399.054106875424</v>
      </c>
      <c r="C17" s="3" t="n">
        <v>10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348.554451472812</v>
      </c>
      <c r="C18" s="3" t="n">
        <v>11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309.408196951598</v>
      </c>
      <c r="C19" s="3" t="n">
        <v>12</v>
      </c>
    </row>
    <row r="20" customFormat="false" ht="15" hidden="false" customHeight="false" outlineLevel="0" collapsed="false">
      <c r="A20" s="0" t="s">
        <v>165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231.642384074145</v>
      </c>
      <c r="C20" s="3" t="n">
        <v>15</v>
      </c>
    </row>
    <row r="22" customFormat="false" ht="15" hidden="false" customHeight="false" outlineLevel="0" collapsed="false">
      <c r="A22" s="2" t="s">
        <v>166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499.635428919963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499.635428919963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499.635428919963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499.635428919963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499.635428919963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459.416359744486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464.511490761185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464.511490761185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464.511490761185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464.511490761185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396.26915775863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412.024205631442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430.203107023149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432.527350123458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432.527350123458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348.189695660786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359.397916727979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372.100567270799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386.617882176877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403.36863014543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310.406364995636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318.626258330138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327.813197939287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338.14850499958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349.861853001245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2026-10-23T22:29:54Z</dcterms:created>
  <dc:creator>openpyxl</dc:creator>
  <dc:description/>
  <dc:language>en-NZ</dc:language>
  <cp:lastModifiedBy/>
  <dcterms:modified xsi:type="dcterms:W3CDTF">2026-10-23T22:29:54Z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