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<sst xmlns="http://schemas.openxmlformats.org/spreadsheetml/2006/main" count="351" uniqueCount="163">
  <si>
    <t xml:space="preserve">Ticker</t>
  </si>
  <si>
    <t xml:space="preserve">SPX.L</t>
  </si>
  <si>
    <t xml:space="preserve">Company</t>
  </si>
  <si>
    <t xml:space="preserve">Spirax Group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</si>
  <si>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</si>
  <si>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</si>
  <si>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</si>
  <si>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</si>
  <si>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2026-10-09T15:41:51Z regular close (LSE), Yahoo Finance chart API; 52-week range 5950-8050p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</si>
  <si>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</si>
  <si>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</si>
  <si>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</si>
  <si>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</si>
  <si>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</si>
  <si>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</si>
  <si>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</si>
  <si>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</si>
  <si>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</si>
  <si>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</si>
  <si>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</si>
  <si>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</si>
  <si>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</si>
  <si>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2026-10-10T01:35:05Z</t>
  </si>
  <si>
    <t xml:space="preserve">Drivers file</t>
  </si>
  <si>
    <t xml:space="preserve">SPX.L_Drivers.json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</si>
  <si>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</si>
  <si>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</si>
  <si>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</si>
  <si>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Spirax is valued as a going-concern owner-FCF stream in GBP, with SBC expensed and the count held flat, leases charged in the flows (treatment B) and excluded from net debt, acquired-intangible amortisation ignored as non-cash, and cash tax ramped to a normal 25% from a flattered FY2025 rate. The 8.5% GBP WACC is held constant across scenarios; business risk is priced in the scenario paths and a 25/50/25 weighting. The market has historically paid 25-35x adjusted earnings for this franchise; the house model does not assume that premium persists in the terminal (Gordon at 2.5% binds below the 18x FCF cap), so a gap between house IV and price is the price of the quality premium, stated rather than assumed.
key_risks_to_valuation: Margin path: each 1pt of pre-IFRS-16 EBITDA margin is ~GBP17-20m of EBITDA, roughly 5-6% of base-case value; the CMD divisional targets (which imply ~23% group adjusted margin) are only half-captured in base.; Global IP below 2% for a fourth year and continued sterling strength keep reported growth 2-3pt below organic; the model's growth rates are reported-currency.; Watson-Marlow competitive position: a scaled entrant (Ingersoll Rand) in peristaltic/bioprocessing fluid paths threatens the Group's highest-margin division (27.5% H1 2026).; Working-capital intensity (25.7% of sales) means growth consumes cash; the -20% capture assumption is calibrated to FY2025 and could be worse in strong ETS growth years (H1 2026 conversion 54%).; Net debt is taken at the seasonal June high (618.2) rather than the expected ~1.5x year-end level; this understates value by roughly 50-70p/share.; Bolt-on M&amp;A (~GBP10m/yr historically, larger in 2022) is not modelled; it is both a use of cash and a source of growth not captured in organic paths.</t>
  </si>
  <si>
    <t xml:space="preserve">Data sources</t>
  </si>
  <si>
    <t xml:space="preserve">price: Yahoo Finance chart API (regularMarketPrice, GBp) at inputs.price_as_of; 52-week range 5950-8050p.
financials: SPX.L_Metrics.csv / core_metrics FY2019-FY2025 and H1 2025, H1 2026 (GBP millions); FY2025 Annual Report cash flow statement, adjusted cash flow and net debt reconciliation (p.~171 and CFO review), Note 23 net debt, EBITDA definition note; H1 2026 interim Notes 5 (diluted shares) and 8 (net debt, lease liabilities, borrowings), adjusted cash flow table.
qualitative: SPX.L_Analysis.json (2026-10-10): business model, CMD medium-term targets, H1 2026 guidance, bull/bear axes; FY2025 Annual Report outlook and 2026 guidance section.</t>
  </si>
  <si>
    <t xml:space="preserve">Scenario narrative: bear</t>
  </si>
  <si>
    <t xml:space="preserve">Weak-IP, strong-sterling, WMFTS-competition case: growth 1-2.5%, adjusted operating margin erodes to ~18.8%, capex and working-capital intensity stay elevated, terminal 2% and a 15x cap. A derating, not a distress case.</t>
  </si>
  <si>
    <t xml:space="preserve">Scenario narrative: base</t>
  </si>
  <si>
    <t xml:space="preserve">Guidance delivered and sustained: mid-single-digit organic growth at ~2x IP fading to GDP-like by year 10, half the CMD margin ambition achieved (adjusted operating margin ~21.3% by FY2032), capex normalising at 4.5% and cash tax at 25%. Terminal value at 2.5% growth, Gordon-bound below the 18x cap.</t>
  </si>
  <si>
    <t xml:space="preserve">Scenario narrative: bull</t>
  </si>
  <si>
    <t xml:space="preserve">CMD medium-term targets fully delivered and exceeded: ETS to 20% margin on Semicon/Datacentre/Heat Trace, WMFTS Biopharm recovery to 30%+ margin, STS large-project recovery plus decarbonisation TAM. ~6% organic growth for five years, adjusted operating margin ~23%, terminal growth 3%, 20x cap.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</si>
  <si>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</si>
  <si>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</si>
  <si>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</si>
  <si>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</si>
  <si>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</si>
  <si>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</si>
  <si>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</si>
  <si>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</si>
  <si>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</si>
  <si>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</si>
  <si>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</si>
  <si>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</si>
  <si>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</si>
  <si>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</si>
  <si>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</si>
  <si>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</si>
  <si>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</si>
  <si>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</si>
  <si>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</si>
  <si>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</si>
  <si>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</si>
  <si>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</si>
  <si>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</si>
  <si>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</si>
  <si>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</si>
  <si>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</si>
  <si>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</si>
  <si>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</si>
  <si>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</si>
  <si>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</si>
  <si>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</si>
  <si>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</si>
  <si>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</si>
  <si>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</si>
  <si>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</si>
  <si>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</si>
  <si>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</si>
  <si>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</si>
  <si>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</si>
  <si>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</si>
  <si>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</si>
  <si>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</si>
  <si>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</si>
  <si>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</si>
  <si>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</si>
  <si>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</si>
  <si>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</si>
  <si>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</si>
  <si>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</si>
  <si>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</si>
  <si>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</si>
  <si>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</si>
  <si>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</si>
  <si>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</si>
  <si>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</si>
  <si>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</si>
  <si>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</si>
  <si>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</si>
  <si>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</si>
  <si>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</si>
  <si>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</si>
  <si>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</si>
  <si>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</si>
  <si>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</si>
  <si>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</si>
  <si>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</si>
  <si>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</si>
  <si>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</si>
  <si>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</si>
  <si>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</si>
  <si>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</si>
  <si>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SPX.L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</si>
  <si>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</si>
  <si>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</si>
  <si>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</si>
  <si>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</si>
  <si>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</si>
  <si>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</si>
  <si>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</si>
  <si>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</si>
  <si>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</si>
  <si>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</si>
  <si>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</si>
  <si>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</si>
  <si>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</si>
  <si>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</si>
  <si>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</si>
  <si>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</si>
  <si>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</si>
  <si>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</si>
  <si>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</si>
  <si>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</si>
  <si>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</si>
  <si>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</si>
  <si>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</si>
  <si>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</si>
  <si>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</si>
  <si>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</si>
  <si>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</si>
  <si>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</si>
  <si>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</si>
  <si>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</si>
  <si>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SPX.L owner-FCF component DCF: base case (millions, GBP)</t>
  </si>
  <si>
    <t xml:space="preserve">SPX.L owner-FCF component DCF: bull case (millions, GBP)</t>
  </si>
  <si>
    <t xml:space="preserve">SPX.L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</si>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</sst>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7270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1242.4</v>
      </c>
      <c r="F2" s="0" t="n">
        <v>245</v>
      </c>
      <c r="G2" s="0" t="n">
        <v>19.7</v>
      </c>
      <c r="H2" s="0" t="n">
        <v>321.6</v>
      </c>
      <c r="I2" s="0" t="n">
        <v>166.6</v>
      </c>
      <c r="J2" s="0" t="n">
        <v>13.4</v>
      </c>
      <c r="K2" s="0" t="n">
        <v>2.255</v>
      </c>
      <c r="L2" s="0" t="n">
        <v>227.4</v>
      </c>
      <c r="M2" s="0" t="n">
        <v>62.4</v>
      </c>
      <c r="N2" s="0" t="n">
        <v>165</v>
      </c>
      <c r="O2" s="0" t="n">
        <v>826.3</v>
      </c>
      <c r="P2" s="0" t="n">
        <v>1694.3</v>
      </c>
      <c r="Q2" s="0" t="n">
        <v>868</v>
      </c>
      <c r="R2" s="0" t="n">
        <v>463.7</v>
      </c>
      <c r="S2" s="0" t="n">
        <v>168.5</v>
      </c>
      <c r="T2" s="0" t="n">
        <v>73.9</v>
      </c>
      <c r="U2" s="0" t="n">
        <v>6.2</v>
      </c>
      <c r="V2" s="0" t="n">
        <v>1.1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1193.4</v>
      </c>
      <c r="F3" s="0" t="n">
        <v>249</v>
      </c>
      <c r="G3" s="0" t="n">
        <v>20.9</v>
      </c>
      <c r="H3" s="0" t="n">
        <v>324.4</v>
      </c>
      <c r="I3" s="0" t="n">
        <v>173.6</v>
      </c>
      <c r="J3" s="0" t="n">
        <v>14.5</v>
      </c>
      <c r="K3" s="0" t="n">
        <v>2.348</v>
      </c>
      <c r="L3" s="0" t="n">
        <v>259.2</v>
      </c>
      <c r="M3" s="0" t="n">
        <v>49.6</v>
      </c>
      <c r="N3" s="0" t="n">
        <v>209.6</v>
      </c>
      <c r="O3" s="0" t="n">
        <v>856</v>
      </c>
      <c r="P3" s="0" t="n">
        <v>1745.1</v>
      </c>
      <c r="Q3" s="0" t="n">
        <v>889.1</v>
      </c>
      <c r="R3" s="0" t="n">
        <v>475</v>
      </c>
      <c r="S3" s="0" t="n">
        <v>246.2</v>
      </c>
      <c r="T3" s="0" t="n">
        <v>73.9</v>
      </c>
      <c r="U3" s="0" t="n">
        <v>7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1344.5</v>
      </c>
      <c r="F4" s="0" t="n">
        <v>320.9</v>
      </c>
      <c r="G4" s="0" t="n">
        <v>23.9</v>
      </c>
      <c r="H4" s="0" t="n">
        <v>389.9</v>
      </c>
      <c r="I4" s="0" t="n">
        <v>234.6</v>
      </c>
      <c r="J4" s="0" t="n">
        <v>17.4</v>
      </c>
      <c r="K4" s="0" t="n">
        <v>3.175</v>
      </c>
      <c r="L4" s="0" t="n">
        <v>273.4</v>
      </c>
      <c r="M4" s="0" t="n">
        <v>64.1</v>
      </c>
      <c r="N4" s="0" t="n">
        <v>209.3</v>
      </c>
      <c r="O4" s="0" t="n">
        <v>1010</v>
      </c>
      <c r="P4" s="0" t="n">
        <v>1863.2</v>
      </c>
      <c r="Q4" s="0" t="n">
        <v>853.2</v>
      </c>
      <c r="R4" s="0" t="n">
        <v>405.1</v>
      </c>
      <c r="S4" s="0" t="n">
        <v>274.6</v>
      </c>
      <c r="T4" s="0" t="n">
        <v>73.9</v>
      </c>
      <c r="U4" s="0" t="n">
        <v>9.2</v>
      </c>
      <c r="V4" s="0" t="n">
        <v>1.36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1610.6</v>
      </c>
      <c r="F5" s="0" t="n">
        <v>318.8</v>
      </c>
      <c r="G5" s="0" t="n">
        <v>19.8</v>
      </c>
      <c r="H5" s="0" t="n">
        <v>399.8</v>
      </c>
      <c r="I5" s="0" t="n">
        <v>224.7</v>
      </c>
      <c r="J5" s="0" t="n">
        <v>14</v>
      </c>
      <c r="K5" s="0" t="n">
        <v>3.044</v>
      </c>
      <c r="L5" s="0" t="n">
        <v>241.1</v>
      </c>
      <c r="M5" s="0" t="n">
        <v>117.5</v>
      </c>
      <c r="N5" s="0" t="n">
        <v>123.6</v>
      </c>
      <c r="O5" s="0" t="n">
        <v>1169.8</v>
      </c>
      <c r="P5" s="0" t="n">
        <v>2784.9</v>
      </c>
      <c r="Q5" s="0" t="n">
        <v>1615.1</v>
      </c>
      <c r="R5" s="0" t="n">
        <v>1019.3</v>
      </c>
      <c r="S5" s="0" t="n">
        <v>328.9</v>
      </c>
      <c r="T5" s="0" t="n">
        <v>73.8</v>
      </c>
      <c r="U5" s="0" t="n">
        <v>8.9</v>
      </c>
      <c r="V5" s="0" t="n">
        <v>1.52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1682.6</v>
      </c>
      <c r="F6" s="0" t="n">
        <v>284.4</v>
      </c>
      <c r="G6" s="0" t="n">
        <v>16.9</v>
      </c>
      <c r="H6" s="0" t="n">
        <v>397.1</v>
      </c>
      <c r="I6" s="0" t="n">
        <v>183.6</v>
      </c>
      <c r="J6" s="0" t="n">
        <v>10.9</v>
      </c>
      <c r="K6" s="0" t="n">
        <v>2.489</v>
      </c>
      <c r="L6" s="0" t="n">
        <v>298.6</v>
      </c>
      <c r="M6" s="0" t="n">
        <v>105.4</v>
      </c>
      <c r="N6" s="0" t="n">
        <v>193.2</v>
      </c>
      <c r="O6" s="0" t="n">
        <v>1157.7</v>
      </c>
      <c r="P6" s="0" t="n">
        <v>2708.4</v>
      </c>
      <c r="Q6" s="0" t="n">
        <v>1550.7</v>
      </c>
      <c r="R6" s="0" t="n">
        <v>1026.4</v>
      </c>
      <c r="S6" s="0" t="n">
        <v>359.7</v>
      </c>
      <c r="T6" s="0" t="n">
        <v>73.8</v>
      </c>
      <c r="U6" s="0" t="n">
        <v>6.1</v>
      </c>
      <c r="V6" s="0" t="n">
        <v>1.6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1665.2</v>
      </c>
      <c r="F7" s="0" t="n">
        <v>304.6</v>
      </c>
      <c r="G7" s="0" t="n">
        <v>18.3</v>
      </c>
      <c r="H7" s="0" t="n">
        <v>408.3</v>
      </c>
      <c r="I7" s="0" t="n">
        <v>191.2</v>
      </c>
      <c r="J7" s="0" t="n">
        <v>11.5</v>
      </c>
      <c r="K7" s="0" t="n">
        <v>2.589</v>
      </c>
      <c r="L7" s="0" t="n">
        <v>312.8</v>
      </c>
      <c r="M7" s="0" t="n">
        <v>92.8</v>
      </c>
      <c r="N7" s="0" t="n">
        <v>220</v>
      </c>
      <c r="O7" s="0" t="n">
        <v>1209.2</v>
      </c>
      <c r="P7" s="0" t="n">
        <v>2645</v>
      </c>
      <c r="Q7" s="0" t="n">
        <v>1435.8</v>
      </c>
      <c r="R7" s="0" t="n">
        <v>930.4</v>
      </c>
      <c r="S7" s="0" t="n">
        <v>334.2</v>
      </c>
      <c r="T7" s="0" t="n">
        <v>73.9</v>
      </c>
      <c r="U7" s="0" t="n">
        <v>3.1</v>
      </c>
      <c r="V7" s="0" t="n">
        <v>1.65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1702.9</v>
      </c>
      <c r="F8" s="0" t="n">
        <v>265.4</v>
      </c>
      <c r="G8" s="0" t="n">
        <v>15.6</v>
      </c>
      <c r="H8" s="0" t="n">
        <v>367.6</v>
      </c>
      <c r="I8" s="0" t="n">
        <v>163.4</v>
      </c>
      <c r="J8" s="0" t="n">
        <v>9.6</v>
      </c>
      <c r="K8" s="0" t="n">
        <v>2.212</v>
      </c>
      <c r="L8" s="0" t="n">
        <v>296.2</v>
      </c>
      <c r="M8" s="0" t="n">
        <v>68</v>
      </c>
      <c r="N8" s="0" t="n">
        <v>228.2</v>
      </c>
      <c r="O8" s="0" t="n">
        <v>1222.3</v>
      </c>
      <c r="P8" s="0" t="n">
        <v>2661.1</v>
      </c>
      <c r="Q8" s="0" t="n">
        <v>1438.8</v>
      </c>
      <c r="R8" s="0" t="n">
        <v>933.7</v>
      </c>
      <c r="S8" s="0" t="n">
        <v>369</v>
      </c>
      <c r="T8" s="0" t="n">
        <v>73.9</v>
      </c>
      <c r="U8" s="0" t="n">
        <v>6.4</v>
      </c>
      <c r="V8" s="0" t="n">
        <v>1.7</v>
      </c>
      <c r="AA8" s="0" t="s">
        <v>18</v>
      </c>
      <c r="AB8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71</v>
      </c>
      <c r="B1" s="2" t="s">
        <v>72</v>
      </c>
    </row>
    <row r="2" customFormat="false" ht="15" hidden="false" customHeight="false" outlineLevel="0" collapsed="false">
      <c r="A2" s="0" t="s">
        <v>73</v>
      </c>
      <c r="B2" s="3" t="n">
        <v>7270</v>
      </c>
    </row>
    <row r="3" customFormat="false" ht="15" hidden="false" customHeight="false" outlineLevel="0" collapsed="false">
      <c r="A3" s="0" t="s">
        <v>74</v>
      </c>
      <c r="B3" s="3" t="n">
        <v>73.9</v>
      </c>
    </row>
    <row r="4" customFormat="false" ht="15" hidden="false" customHeight="false" outlineLevel="0" collapsed="false">
      <c r="A4" s="0" t="s">
        <v>75</v>
      </c>
      <c r="B4" s="3" t="n">
        <v>618.2</v>
      </c>
    </row>
    <row r="5" customFormat="false" ht="15" hidden="false" customHeight="false" outlineLevel="0" collapsed="false">
      <c r="A5" s="0" t="s">
        <v>76</v>
      </c>
      <c r="B5" s="3" t="n">
        <v>0</v>
      </c>
    </row>
    <row r="6" customFormat="false" ht="15" hidden="false" customHeight="false" outlineLevel="0" collapsed="false">
      <c r="A6" s="0" t="s">
        <v>77</v>
      </c>
      <c r="B6" s="3" t="n">
        <v>15</v>
      </c>
    </row>
    <row r="7" customFormat="false" ht="15" hidden="false" customHeight="false" outlineLevel="0" collapsed="false">
      <c r="A7" s="0" t="s">
        <v>78</v>
      </c>
      <c r="B7" s="3" t="n">
        <v>1702.9</v>
      </c>
    </row>
    <row r="8" customFormat="false" ht="15" hidden="false" customHeight="false" outlineLevel="0" collapsed="false">
      <c r="A8" s="0" t="s">
        <v>79</v>
      </c>
      <c r="B8" s="3" t="s">
        <v>70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100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3</v>
      </c>
      <c r="D13" s="3" t="n">
        <v>1.5</v>
      </c>
      <c r="E13" s="3" t="n">
        <v>1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23.5</v>
      </c>
      <c r="D14" s="3" t="n">
        <v>23</v>
      </c>
      <c r="E14" s="3" t="n">
        <v>22.5</v>
      </c>
      <c r="F14" s="3" t="n">
        <v>22.5</v>
      </c>
      <c r="G14" s="3" t="n">
        <v>22.5</v>
      </c>
      <c r="H14" s="3" t="n">
        <v>22.5</v>
      </c>
      <c r="I14" s="3" t="n">
        <v>22.5</v>
      </c>
      <c r="J14" s="3" t="n">
        <v>22.5</v>
      </c>
      <c r="K14" s="3" t="n">
        <v>22.5</v>
      </c>
      <c r="L14" s="3" t="n">
        <v>22.5</v>
      </c>
    </row>
    <row r="15" customFormat="false" ht="15" hidden="false" customHeight="false" outlineLevel="0" collapsed="false">
      <c r="A15" s="0" t="s">
        <v>96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97</v>
      </c>
      <c r="C16" s="3" t="n">
        <v>1.25</v>
      </c>
      <c r="D16" s="3" t="n">
        <v>1.25</v>
      </c>
      <c r="E16" s="3" t="n">
        <v>1.25</v>
      </c>
      <c r="F16" s="3" t="n">
        <v>1.25</v>
      </c>
      <c r="G16" s="3" t="n">
        <v>1.25</v>
      </c>
      <c r="H16" s="3" t="n">
        <v>1.25</v>
      </c>
      <c r="I16" s="3" t="n">
        <v>1.25</v>
      </c>
      <c r="J16" s="3" t="n">
        <v>1.25</v>
      </c>
      <c r="K16" s="3" t="n">
        <v>1.25</v>
      </c>
      <c r="L16" s="3" t="n">
        <v>1.25</v>
      </c>
    </row>
    <row r="17" customFormat="false" ht="15" hidden="false" customHeight="false" outlineLevel="0" collapsed="false">
      <c r="A17" s="0" t="s">
        <v>98</v>
      </c>
      <c r="C17" s="3" t="n">
        <v>2.7</v>
      </c>
      <c r="D17" s="3" t="n">
        <v>2.7</v>
      </c>
      <c r="E17" s="3" t="n">
        <v>2.7</v>
      </c>
      <c r="F17" s="3" t="n">
        <v>2.7</v>
      </c>
      <c r="G17" s="3" t="n">
        <v>2.7</v>
      </c>
      <c r="H17" s="3" t="n">
        <v>2.7</v>
      </c>
      <c r="I17" s="3" t="n">
        <v>2.7</v>
      </c>
      <c r="J17" s="3" t="n">
        <v>2.7</v>
      </c>
      <c r="K17" s="3" t="n">
        <v>2.7</v>
      </c>
      <c r="L17" s="3" t="n">
        <v>2.7</v>
      </c>
    </row>
    <row r="18" customFormat="false" ht="15" hidden="false" customHeight="false" outlineLevel="0" collapsed="false">
      <c r="A18" s="0" t="s">
        <v>99</v>
      </c>
      <c r="C18" s="3" t="n">
        <v>4.5</v>
      </c>
      <c r="D18" s="3" t="n">
        <v>4.5</v>
      </c>
      <c r="E18" s="3" t="n">
        <v>4.5</v>
      </c>
      <c r="F18" s="3" t="n">
        <v>4.5</v>
      </c>
      <c r="G18" s="3" t="n">
        <v>4.5</v>
      </c>
      <c r="H18" s="3" t="n">
        <v>4.5</v>
      </c>
      <c r="I18" s="3" t="n">
        <v>4.5</v>
      </c>
      <c r="J18" s="3" t="n">
        <v>4.5</v>
      </c>
      <c r="K18" s="3" t="n">
        <v>4.5</v>
      </c>
      <c r="L18" s="3" t="n">
        <v>4.5</v>
      </c>
    </row>
    <row r="19" customFormat="false" ht="15" hidden="false" customHeight="false" outlineLevel="0" collapsed="false">
      <c r="A19" s="0" t="s">
        <v>100</v>
      </c>
      <c r="C19" s="3" t="n">
        <v>23</v>
      </c>
      <c r="D19" s="3" t="n">
        <v>24</v>
      </c>
      <c r="E19" s="3" t="n">
        <v>25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101</v>
      </c>
      <c r="B20" s="3" t="n">
        <v>8.5</v>
      </c>
    </row>
    <row r="21" customFormat="false" ht="15" hidden="false" customHeight="false" outlineLevel="0" collapsed="false">
      <c r="A21" s="0" t="s">
        <v>102</v>
      </c>
      <c r="B21" s="3" t="n">
        <v>2</v>
      </c>
    </row>
    <row r="22" customFormat="false" ht="15" hidden="false" customHeight="false" outlineLevel="0" collapsed="false">
      <c r="A22" s="0" t="s">
        <v>103</v>
      </c>
      <c r="B22" s="3" t="n">
        <v>15</v>
      </c>
    </row>
    <row r="23" customFormat="false" ht="15" hidden="false" customHeight="false" outlineLevel="0" collapsed="false">
      <c r="A23" s="0" t="s">
        <v>104</v>
      </c>
      <c r="B23" s="3" t="n">
        <v>-22</v>
      </c>
    </row>
    <row r="24" customFormat="false" ht="15" hidden="false" customHeight="false" outlineLevel="0" collapsed="false">
      <c r="A24" s="0" t="s">
        <v>105</v>
      </c>
      <c r="B24" s="3" t="n">
        <v>0.25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4.5</v>
      </c>
      <c r="D27" s="3" t="n">
        <v>4.5</v>
      </c>
      <c r="E27" s="3" t="n">
        <v>4.5</v>
      </c>
      <c r="F27" s="3" t="n">
        <v>4.5</v>
      </c>
      <c r="G27" s="3" t="n">
        <v>4</v>
      </c>
      <c r="H27" s="3" t="n">
        <v>4</v>
      </c>
      <c r="I27" s="3" t="n">
        <v>3.5</v>
      </c>
      <c r="J27" s="3" t="n">
        <v>3.5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23.8</v>
      </c>
      <c r="D28" s="3" t="n">
        <v>24</v>
      </c>
      <c r="E28" s="3" t="n">
        <v>24.2</v>
      </c>
      <c r="F28" s="3" t="n">
        <v>24.4</v>
      </c>
      <c r="G28" s="3" t="n">
        <v>24.6</v>
      </c>
      <c r="H28" s="3" t="n">
        <v>24.8</v>
      </c>
      <c r="I28" s="3" t="n">
        <v>25</v>
      </c>
      <c r="J28" s="3" t="n">
        <v>25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96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97</v>
      </c>
      <c r="C30" s="3" t="n">
        <v>1.25</v>
      </c>
      <c r="D30" s="3" t="n">
        <v>1.25</v>
      </c>
      <c r="E30" s="3" t="n">
        <v>1.25</v>
      </c>
      <c r="F30" s="3" t="n">
        <v>1.25</v>
      </c>
      <c r="G30" s="3" t="n">
        <v>1.25</v>
      </c>
      <c r="H30" s="3" t="n">
        <v>1.25</v>
      </c>
      <c r="I30" s="3" t="n">
        <v>1.25</v>
      </c>
      <c r="J30" s="3" t="n">
        <v>1.25</v>
      </c>
      <c r="K30" s="3" t="n">
        <v>1.25</v>
      </c>
      <c r="L30" s="3" t="n">
        <v>1.25</v>
      </c>
    </row>
    <row r="31" customFormat="false" ht="15" hidden="false" customHeight="false" outlineLevel="0" collapsed="false">
      <c r="A31" s="0" t="s">
        <v>98</v>
      </c>
      <c r="C31" s="3" t="n">
        <v>2.7</v>
      </c>
      <c r="D31" s="3" t="n">
        <v>2.7</v>
      </c>
      <c r="E31" s="3" t="n">
        <v>2.7</v>
      </c>
      <c r="F31" s="3" t="n">
        <v>2.7</v>
      </c>
      <c r="G31" s="3" t="n">
        <v>2.7</v>
      </c>
      <c r="H31" s="3" t="n">
        <v>2.7</v>
      </c>
      <c r="I31" s="3" t="n">
        <v>2.7</v>
      </c>
      <c r="J31" s="3" t="n">
        <v>2.7</v>
      </c>
      <c r="K31" s="3" t="n">
        <v>2.7</v>
      </c>
      <c r="L31" s="3" t="n">
        <v>2.7</v>
      </c>
    </row>
    <row r="32" customFormat="false" ht="15" hidden="false" customHeight="false" outlineLevel="0" collapsed="false">
      <c r="A32" s="0" t="s">
        <v>99</v>
      </c>
      <c r="C32" s="3" t="n">
        <v>4</v>
      </c>
      <c r="D32" s="3" t="n">
        <v>4</v>
      </c>
      <c r="E32" s="3" t="n">
        <v>4.2</v>
      </c>
      <c r="F32" s="3" t="n">
        <v>4.3</v>
      </c>
      <c r="G32" s="3" t="n">
        <v>4.5</v>
      </c>
      <c r="H32" s="3" t="n">
        <v>4.5</v>
      </c>
      <c r="I32" s="3" t="n">
        <v>4.5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100</v>
      </c>
      <c r="C33" s="3" t="n">
        <v>22</v>
      </c>
      <c r="D33" s="3" t="n">
        <v>23</v>
      </c>
      <c r="E33" s="3" t="n">
        <v>24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101</v>
      </c>
      <c r="B34" s="3" t="n">
        <v>8.5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18</v>
      </c>
    </row>
    <row r="37" customFormat="false" ht="15" hidden="false" customHeight="false" outlineLevel="0" collapsed="false">
      <c r="A37" s="0" t="s">
        <v>104</v>
      </c>
      <c r="B37" s="3" t="n">
        <v>-20</v>
      </c>
    </row>
    <row r="38" customFormat="false" ht="15" hidden="false" customHeight="false" outlineLevel="0" collapsed="false">
      <c r="A38" s="0" t="s">
        <v>105</v>
      </c>
      <c r="B38" s="3" t="n">
        <v>0.5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5.5</v>
      </c>
      <c r="D41" s="3" t="n">
        <v>6.5</v>
      </c>
      <c r="E41" s="3" t="n">
        <v>6.5</v>
      </c>
      <c r="F41" s="3" t="n">
        <v>6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24</v>
      </c>
      <c r="D42" s="3" t="n">
        <v>24.5</v>
      </c>
      <c r="E42" s="3" t="n">
        <v>25</v>
      </c>
      <c r="F42" s="3" t="n">
        <v>25.5</v>
      </c>
      <c r="G42" s="3" t="n">
        <v>26</v>
      </c>
      <c r="H42" s="3" t="n">
        <v>26.5</v>
      </c>
      <c r="I42" s="3" t="n">
        <v>26.8</v>
      </c>
      <c r="J42" s="3" t="n">
        <v>27</v>
      </c>
      <c r="K42" s="3" t="n">
        <v>27</v>
      </c>
      <c r="L42" s="3" t="n">
        <v>27</v>
      </c>
    </row>
    <row r="43" customFormat="false" ht="15" hidden="false" customHeight="false" outlineLevel="0" collapsed="false">
      <c r="A43" s="0" t="s">
        <v>96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97</v>
      </c>
      <c r="C44" s="3" t="n">
        <v>1.25</v>
      </c>
      <c r="D44" s="3" t="n">
        <v>1.25</v>
      </c>
      <c r="E44" s="3" t="n">
        <v>1.25</v>
      </c>
      <c r="F44" s="3" t="n">
        <v>1.25</v>
      </c>
      <c r="G44" s="3" t="n">
        <v>1.25</v>
      </c>
      <c r="H44" s="3" t="n">
        <v>1.25</v>
      </c>
      <c r="I44" s="3" t="n">
        <v>1.25</v>
      </c>
      <c r="J44" s="3" t="n">
        <v>1.25</v>
      </c>
      <c r="K44" s="3" t="n">
        <v>1.25</v>
      </c>
      <c r="L44" s="3" t="n">
        <v>1.25</v>
      </c>
    </row>
    <row r="45" customFormat="false" ht="15" hidden="false" customHeight="false" outlineLevel="0" collapsed="false">
      <c r="A45" s="0" t="s">
        <v>98</v>
      </c>
      <c r="C45" s="3" t="n">
        <v>2.7</v>
      </c>
      <c r="D45" s="3" t="n">
        <v>2.7</v>
      </c>
      <c r="E45" s="3" t="n">
        <v>2.7</v>
      </c>
      <c r="F45" s="3" t="n">
        <v>2.7</v>
      </c>
      <c r="G45" s="3" t="n">
        <v>2.7</v>
      </c>
      <c r="H45" s="3" t="n">
        <v>2.7</v>
      </c>
      <c r="I45" s="3" t="n">
        <v>2.7</v>
      </c>
      <c r="J45" s="3" t="n">
        <v>2.7</v>
      </c>
      <c r="K45" s="3" t="n">
        <v>2.7</v>
      </c>
      <c r="L45" s="3" t="n">
        <v>2.7</v>
      </c>
    </row>
    <row r="46" customFormat="false" ht="15" hidden="false" customHeight="false" outlineLevel="0" collapsed="false">
      <c r="A46" s="0" t="s">
        <v>99</v>
      </c>
      <c r="C46" s="3" t="n">
        <v>4</v>
      </c>
      <c r="D46" s="3" t="n">
        <v>4</v>
      </c>
      <c r="E46" s="3" t="n">
        <v>4</v>
      </c>
      <c r="F46" s="3" t="n">
        <v>4.2</v>
      </c>
      <c r="G46" s="3" t="n">
        <v>4.2</v>
      </c>
      <c r="H46" s="3" t="n">
        <v>4.2</v>
      </c>
      <c r="I46" s="3" t="n">
        <v>4.2</v>
      </c>
      <c r="J46" s="3" t="n">
        <v>4.2</v>
      </c>
      <c r="K46" s="3" t="n">
        <v>4.2</v>
      </c>
      <c r="L46" s="3" t="n">
        <v>4.2</v>
      </c>
    </row>
    <row r="47" customFormat="false" ht="15" hidden="false" customHeight="false" outlineLevel="0" collapsed="false">
      <c r="A47" s="0" t="s">
        <v>100</v>
      </c>
      <c r="C47" s="3" t="n">
        <v>22</v>
      </c>
      <c r="D47" s="3" t="n">
        <v>23</v>
      </c>
      <c r="E47" s="3" t="n">
        <v>24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101</v>
      </c>
      <c r="B48" s="3" t="n">
        <v>8.5</v>
      </c>
    </row>
    <row r="49" customFormat="false" ht="15" hidden="false" customHeight="false" outlineLevel="0" collapsed="false">
      <c r="A49" s="0" t="s">
        <v>102</v>
      </c>
      <c r="B49" s="3" t="n">
        <v>3</v>
      </c>
    </row>
    <row r="50" customFormat="false" ht="15" hidden="false" customHeight="false" outlineLevel="0" collapsed="false">
      <c r="A50" s="0" t="s">
        <v>103</v>
      </c>
      <c r="B50" s="3" t="n">
        <v>20</v>
      </c>
    </row>
    <row r="51" customFormat="false" ht="15" hidden="false" customHeight="false" outlineLevel="0" collapsed="false">
      <c r="A51" s="0" t="s">
        <v>104</v>
      </c>
      <c r="B51" s="3" t="n">
        <v>-20</v>
      </c>
    </row>
    <row r="52" customFormat="false" ht="15" hidden="false" customHeight="false" outlineLevel="0" collapsed="false">
      <c r="A52" s="0" t="s">
        <v>105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3</v>
      </c>
      <c r="D5" s="4" t="n">
        <f aca="false">Assumptions!D13</f>
        <v>1.5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1702.9</v>
      </c>
      <c r="C6" s="0" t="n">
        <f aca="false">B6*(1+C5/100)</f>
        <v>1753.987</v>
      </c>
      <c r="D6" s="0" t="n">
        <f aca="false">C6*(1+D5/100)</f>
        <v>1780.296805</v>
      </c>
      <c r="E6" s="0" t="n">
        <f aca="false">D6*(1+E5/100)</f>
        <v>1798.09977305</v>
      </c>
      <c r="F6" s="0" t="n">
        <f aca="false">E6*(1+F5/100)</f>
        <v>1834.061768511</v>
      </c>
      <c r="G6" s="0" t="n">
        <f aca="false">F6*(1+G5/100)</f>
        <v>1879.91331272377</v>
      </c>
      <c r="H6" s="0" t="n">
        <f aca="false">G6*(1+H5/100)</f>
        <v>1926.91114554187</v>
      </c>
      <c r="I6" s="0" t="n">
        <f aca="false">H6*(1+I5/100)</f>
        <v>1975.08392418042</v>
      </c>
      <c r="J6" s="0" t="n">
        <f aca="false">I6*(1+J5/100)</f>
        <v>2024.46102228493</v>
      </c>
      <c r="K6" s="0" t="n">
        <f aca="false">J6*(1+K5/100)</f>
        <v>2064.95024273062</v>
      </c>
      <c r="L6" s="0" t="n">
        <f aca="false">K6*(1+L5/100)</f>
        <v>2106.24924758524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23.5</v>
      </c>
      <c r="D7" s="4" t="n">
        <f aca="false">Assumptions!D14</f>
        <v>23</v>
      </c>
      <c r="E7" s="4" t="n">
        <f aca="false">Assumptions!E14</f>
        <v>22.5</v>
      </c>
      <c r="F7" s="4" t="n">
        <f aca="false">Assumptions!F14</f>
        <v>22.5</v>
      </c>
      <c r="G7" s="4" t="n">
        <f aca="false">Assumptions!G14</f>
        <v>22.5</v>
      </c>
      <c r="H7" s="4" t="n">
        <f aca="false">Assumptions!H14</f>
        <v>22.5</v>
      </c>
      <c r="I7" s="4" t="n">
        <f aca="false">Assumptions!I14</f>
        <v>22.5</v>
      </c>
      <c r="J7" s="4" t="n">
        <f aca="false">Assumptions!J14</f>
        <v>22.5</v>
      </c>
      <c r="K7" s="4" t="n">
        <f aca="false">Assumptions!K14</f>
        <v>22.5</v>
      </c>
      <c r="L7" s="4" t="n">
        <f aca="false">Assumptions!L14</f>
        <v>22.5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412.186945</v>
      </c>
      <c r="D8" s="0" t="n">
        <f aca="false">D6*D7/100</f>
        <v>409.46826515</v>
      </c>
      <c r="E8" s="0" t="n">
        <f aca="false">E6*E7/100</f>
        <v>404.57244893625</v>
      </c>
      <c r="F8" s="0" t="n">
        <f aca="false">F6*F7/100</f>
        <v>412.663897914975</v>
      </c>
      <c r="G8" s="0" t="n">
        <f aca="false">G6*G7/100</f>
        <v>422.980495362849</v>
      </c>
      <c r="H8" s="0" t="n">
        <f aca="false">H6*H7/100</f>
        <v>433.555007746921</v>
      </c>
      <c r="I8" s="0" t="n">
        <f aca="false">I6*I7/100</f>
        <v>444.393882940594</v>
      </c>
      <c r="J8" s="0" t="n">
        <f aca="false">J6*J7/100</f>
        <v>455.503730014108</v>
      </c>
      <c r="K8" s="0" t="n">
        <f aca="false">K6*K7/100</f>
        <v>464.61380461439</v>
      </c>
      <c r="L8" s="0" t="n">
        <f aca="false">L6*L7/100</f>
        <v>473.906080706678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-8.769935</v>
      </c>
      <c r="D10" s="0" t="n">
        <f aca="false">-D6*D9/100</f>
        <v>-8.901484025</v>
      </c>
      <c r="E10" s="0" t="n">
        <f aca="false">-E6*E9/100</f>
        <v>-8.99049886525</v>
      </c>
      <c r="F10" s="0" t="n">
        <f aca="false">-F6*F9/100</f>
        <v>-9.170308842555</v>
      </c>
      <c r="G10" s="0" t="n">
        <f aca="false">-G6*G9/100</f>
        <v>-9.39956656361887</v>
      </c>
      <c r="H10" s="0" t="n">
        <f aca="false">-H6*H9/100</f>
        <v>-9.63455572770935</v>
      </c>
      <c r="I10" s="0" t="n">
        <f aca="false">-I6*I9/100</f>
        <v>-9.87541962090208</v>
      </c>
      <c r="J10" s="0" t="n">
        <f aca="false">-J6*J9/100</f>
        <v>-10.1223051114246</v>
      </c>
      <c r="K10" s="0" t="n">
        <f aca="false">-K6*K9/100</f>
        <v>-10.3247512136531</v>
      </c>
      <c r="L10" s="0" t="n">
        <f aca="false">-L6*L9/100</f>
        <v>-10.5312462379262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381.4921725</v>
      </c>
      <c r="D11" s="0" t="n">
        <f aca="false">D8+D10+D24</f>
        <v>378.3130710625</v>
      </c>
      <c r="E11" s="0" t="n">
        <f aca="false">E8+E10+E24</f>
        <v>373.105702907875</v>
      </c>
      <c r="F11" s="0" t="n">
        <f aca="false">F8+F10+F24</f>
        <v>380.567816966032</v>
      </c>
      <c r="G11" s="0" t="n">
        <f aca="false">G8+G10+G24</f>
        <v>390.082012390183</v>
      </c>
      <c r="H11" s="0" t="n">
        <f aca="false">H8+H10+H24</f>
        <v>399.834062699938</v>
      </c>
      <c r="I11" s="0" t="n">
        <f aca="false">I8+I10+I24</f>
        <v>409.829914267436</v>
      </c>
      <c r="J11" s="0" t="n">
        <f aca="false">J8+J10+J24</f>
        <v>420.075662124122</v>
      </c>
      <c r="K11" s="0" t="n">
        <f aca="false">K8+K10+K24</f>
        <v>428.477175366605</v>
      </c>
      <c r="L11" s="0" t="n">
        <f aca="false">L8+L10+L24</f>
        <v>437.046718873937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-47.357649</v>
      </c>
      <c r="D12" s="4" t="n">
        <f aca="false">-D6*Assumptions!D17/100</f>
        <v>-48.068013735</v>
      </c>
      <c r="E12" s="4" t="n">
        <f aca="false">-E6*Assumptions!E17/100</f>
        <v>-48.54869387235</v>
      </c>
      <c r="F12" s="4" t="n">
        <f aca="false">-F6*Assumptions!F17/100</f>
        <v>-49.519667749797</v>
      </c>
      <c r="G12" s="4" t="n">
        <f aca="false">-G6*Assumptions!G17/100</f>
        <v>-50.7576594435419</v>
      </c>
      <c r="H12" s="4" t="n">
        <f aca="false">-H6*Assumptions!H17/100</f>
        <v>-52.0266009296305</v>
      </c>
      <c r="I12" s="4" t="n">
        <f aca="false">-I6*Assumptions!I17/100</f>
        <v>-53.3272659528712</v>
      </c>
      <c r="J12" s="4" t="n">
        <f aca="false">-J6*Assumptions!J17/100</f>
        <v>-54.660447601693</v>
      </c>
      <c r="K12" s="4" t="n">
        <f aca="false">-K6*Assumptions!K17/100</f>
        <v>-55.7536565537269</v>
      </c>
      <c r="L12" s="4" t="n">
        <f aca="false">-L6*Assumptions!L17/100</f>
        <v>-56.8687296848014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334.1345235</v>
      </c>
      <c r="D13" s="0" t="n">
        <f aca="false">D11+D12</f>
        <v>330.2450573275</v>
      </c>
      <c r="E13" s="0" t="n">
        <f aca="false">E11+E12</f>
        <v>324.557009035525</v>
      </c>
      <c r="F13" s="0" t="n">
        <f aca="false">F11+F12</f>
        <v>331.048149216235</v>
      </c>
      <c r="G13" s="0" t="n">
        <f aca="false">G11+G12</f>
        <v>339.324352946641</v>
      </c>
      <c r="H13" s="0" t="n">
        <f aca="false">H11+H12</f>
        <v>347.807461770307</v>
      </c>
      <c r="I13" s="0" t="n">
        <f aca="false">I11+I12</f>
        <v>356.502648314565</v>
      </c>
      <c r="J13" s="0" t="n">
        <f aca="false">J11+J12</f>
        <v>365.415214522429</v>
      </c>
      <c r="K13" s="0" t="n">
        <f aca="false">K11+K12</f>
        <v>372.723518812878</v>
      </c>
      <c r="L13" s="0" t="n">
        <f aca="false">L11+L12</f>
        <v>380.177989189135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23</v>
      </c>
      <c r="D14" s="4" t="n">
        <f aca="false">Assumptions!D19</f>
        <v>24</v>
      </c>
      <c r="E14" s="4" t="n">
        <f aca="false">Assumptions!E19</f>
        <v>25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257.283583095</v>
      </c>
      <c r="D15" s="0" t="n">
        <f aca="false">D13-MAX(0,D13)*D14/100</f>
        <v>250.9862435689</v>
      </c>
      <c r="E15" s="0" t="n">
        <f aca="false">E13-MAX(0,E13)*E14/100</f>
        <v>243.417756776644</v>
      </c>
      <c r="F15" s="0" t="n">
        <f aca="false">F13-MAX(0,F13)*F14/100</f>
        <v>244.975630420014</v>
      </c>
      <c r="G15" s="0" t="n">
        <f aca="false">G13-MAX(0,G13)*G14/100</f>
        <v>251.100021180515</v>
      </c>
      <c r="H15" s="0" t="n">
        <f aca="false">H13-MAX(0,H13)*H14/100</f>
        <v>257.377521710027</v>
      </c>
      <c r="I15" s="0" t="n">
        <f aca="false">I13-MAX(0,I13)*I14/100</f>
        <v>263.811959752778</v>
      </c>
      <c r="J15" s="0" t="n">
        <f aca="false">J13-MAX(0,J13)*J14/100</f>
        <v>270.407258746598</v>
      </c>
      <c r="K15" s="0" t="n">
        <f aca="false">K13-MAX(0,K13)*K14/100</f>
        <v>275.81540392153</v>
      </c>
      <c r="L15" s="0" t="n">
        <f aca="false">L13-MAX(0,L13)*L14/100</f>
        <v>281.33171199996</v>
      </c>
    </row>
    <row r="16" customFormat="false" ht="15" hidden="false" customHeight="false" outlineLevel="0" collapsed="false">
      <c r="A16" s="0" t="s">
        <v>116</v>
      </c>
      <c r="C16" s="0" t="n">
        <f aca="false">-C12</f>
        <v>47.357649</v>
      </c>
      <c r="D16" s="0" t="n">
        <f aca="false">-D12</f>
        <v>48.068013735</v>
      </c>
      <c r="E16" s="0" t="n">
        <f aca="false">-E12</f>
        <v>48.54869387235</v>
      </c>
      <c r="F16" s="0" t="n">
        <f aca="false">-F12</f>
        <v>49.519667749797</v>
      </c>
      <c r="G16" s="0" t="n">
        <f aca="false">-G12</f>
        <v>50.7576594435419</v>
      </c>
      <c r="H16" s="0" t="n">
        <f aca="false">-H12</f>
        <v>52.0266009296305</v>
      </c>
      <c r="I16" s="0" t="n">
        <f aca="false">-I12</f>
        <v>53.3272659528712</v>
      </c>
      <c r="J16" s="0" t="n">
        <f aca="false">-J12</f>
        <v>54.660447601693</v>
      </c>
      <c r="K16" s="0" t="n">
        <f aca="false">-K12</f>
        <v>55.7536565537269</v>
      </c>
      <c r="L16" s="0" t="n">
        <f aca="false">-L12</f>
        <v>56.8687296848014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-78.929415</v>
      </c>
      <c r="D17" s="4" t="n">
        <f aca="false">-D6*Assumptions!D18/100</f>
        <v>-80.113356225</v>
      </c>
      <c r="E17" s="4" t="n">
        <f aca="false">-E6*Assumptions!E18/100</f>
        <v>-80.91448978725</v>
      </c>
      <c r="F17" s="4" t="n">
        <f aca="false">-F6*Assumptions!F18/100</f>
        <v>-82.532779582995</v>
      </c>
      <c r="G17" s="4" t="n">
        <f aca="false">-G6*Assumptions!G18/100</f>
        <v>-84.5960990725699</v>
      </c>
      <c r="H17" s="4" t="n">
        <f aca="false">-H6*Assumptions!H18/100</f>
        <v>-86.7110015493841</v>
      </c>
      <c r="I17" s="4" t="n">
        <f aca="false">-I6*Assumptions!I18/100</f>
        <v>-88.8787765881187</v>
      </c>
      <c r="J17" s="4" t="n">
        <f aca="false">-J6*Assumptions!J18/100</f>
        <v>-91.1007460028217</v>
      </c>
      <c r="K17" s="4" t="n">
        <f aca="false">-K6*Assumptions!K18/100</f>
        <v>-92.9227609228781</v>
      </c>
      <c r="L17" s="4" t="n">
        <f aca="false">-L6*Assumptions!L18/100</f>
        <v>-94.7812161413357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-11.23914</v>
      </c>
      <c r="D18" s="4" t="n">
        <f aca="false">(D6-C6)*Assumptions!$B$23/100</f>
        <v>-5.78815709999997</v>
      </c>
      <c r="E18" s="4" t="n">
        <f aca="false">(E6-D6)*Assumptions!$B$23/100</f>
        <v>-3.91665297100003</v>
      </c>
      <c r="F18" s="4" t="n">
        <f aca="false">(F6-E6)*Assumptions!$B$23/100</f>
        <v>-7.91163900142</v>
      </c>
      <c r="G18" s="4" t="n">
        <f aca="false">(G6-F6)*Assumptions!$B$23/100</f>
        <v>-10.0873397268105</v>
      </c>
      <c r="H18" s="4" t="n">
        <f aca="false">(H6-G6)*Assumptions!$B$23/100</f>
        <v>-10.3395232199807</v>
      </c>
      <c r="I18" s="4" t="n">
        <f aca="false">(I6-H6)*Assumptions!$B$23/100</f>
        <v>-10.5980113004802</v>
      </c>
      <c r="J18" s="4" t="n">
        <f aca="false">(J6-I6)*Assumptions!$B$23/100</f>
        <v>-10.8629615829922</v>
      </c>
      <c r="K18" s="4" t="n">
        <f aca="false">(K6-J6)*Assumptions!$B$23/100</f>
        <v>-8.90762849805367</v>
      </c>
      <c r="L18" s="4" t="n">
        <f aca="false">(L6-K6)*Assumptions!$B$23/100</f>
        <v>-9.08578106801477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214.472677095</v>
      </c>
      <c r="D19" s="0" t="n">
        <f aca="false">D15+D16+D17+D18</f>
        <v>213.1527439789</v>
      </c>
      <c r="E19" s="0" t="n">
        <f aca="false">E15+E16+E17+E18</f>
        <v>207.135307890744</v>
      </c>
      <c r="F19" s="0" t="n">
        <f aca="false">F15+F16+F17+F18</f>
        <v>204.050879585396</v>
      </c>
      <c r="G19" s="0" t="n">
        <f aca="false">G15+G16+G17+G18</f>
        <v>207.174241824676</v>
      </c>
      <c r="H19" s="0" t="n">
        <f aca="false">H15+H16+H17+H18</f>
        <v>212.353597870293</v>
      </c>
      <c r="I19" s="0" t="n">
        <f aca="false">I15+I16+I17+I18</f>
        <v>217.66243781705</v>
      </c>
      <c r="J19" s="0" t="n">
        <f aca="false">J15+J16+J17+J18</f>
        <v>223.103998762477</v>
      </c>
      <c r="K19" s="0" t="n">
        <f aca="false">K15+K16+K17+K18</f>
        <v>229.738671054325</v>
      </c>
      <c r="L19" s="0" t="n">
        <f aca="false">L15+L16+L17+L18</f>
        <v>234.333444475411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197.670670133641</v>
      </c>
      <c r="D21" s="0" t="n">
        <f aca="false">D19*D20</f>
        <v>181.063725268237</v>
      </c>
      <c r="E21" s="0" t="n">
        <f aca="false">E19*E20</f>
        <v>162.167910018606</v>
      </c>
      <c r="F21" s="0" t="n">
        <f aca="false">F19*F20</f>
        <v>147.237867391079</v>
      </c>
      <c r="G21" s="0" t="n">
        <f aca="false">G19*G20</f>
        <v>137.780281348753</v>
      </c>
      <c r="H21" s="0" t="n">
        <f aca="false">H19*H20</f>
        <v>130.161095283384</v>
      </c>
      <c r="I21" s="0" t="n">
        <f aca="false">I19*I20</f>
        <v>122.963246696284</v>
      </c>
      <c r="J21" s="0" t="n">
        <f aca="false">J19*J20</f>
        <v>116.16343581907</v>
      </c>
      <c r="K21" s="0" t="n">
        <f aca="false">K19*K20</f>
        <v>110.246918872856</v>
      </c>
      <c r="L21" s="0" t="n">
        <f aca="false">L19*L20</f>
        <v>103.642264746832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1.25</v>
      </c>
      <c r="D23" s="4" t="n">
        <f aca="false">Assumptions!D16</f>
        <v>1.25</v>
      </c>
      <c r="E23" s="4" t="n">
        <f aca="false">Assumptions!E16</f>
        <v>1.25</v>
      </c>
      <c r="F23" s="4" t="n">
        <f aca="false">Assumptions!F16</f>
        <v>1.25</v>
      </c>
      <c r="G23" s="4" t="n">
        <f aca="false">Assumptions!G16</f>
        <v>1.25</v>
      </c>
      <c r="H23" s="4" t="n">
        <f aca="false">Assumptions!H16</f>
        <v>1.25</v>
      </c>
      <c r="I23" s="4" t="n">
        <f aca="false">Assumptions!I16</f>
        <v>1.25</v>
      </c>
      <c r="J23" s="4" t="n">
        <f aca="false">Assumptions!J16</f>
        <v>1.25</v>
      </c>
      <c r="K23" s="4" t="n">
        <f aca="false">Assumptions!K16</f>
        <v>1.25</v>
      </c>
      <c r="L23" s="4" t="n">
        <f aca="false">Assumptions!L16</f>
        <v>1.25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-21.9248375</v>
      </c>
      <c r="D24" s="0" t="n">
        <f aca="false">-D6*D23/100</f>
        <v>-22.2537100625</v>
      </c>
      <c r="E24" s="0" t="n">
        <f aca="false">-E6*E23/100</f>
        <v>-22.476247163125</v>
      </c>
      <c r="F24" s="0" t="n">
        <f aca="false">-F6*F23/100</f>
        <v>-22.9257721063875</v>
      </c>
      <c r="G24" s="0" t="n">
        <f aca="false">-G6*G23/100</f>
        <v>-23.4989164090472</v>
      </c>
      <c r="H24" s="0" t="n">
        <f aca="false">-H6*H23/100</f>
        <v>-24.0863893192734</v>
      </c>
      <c r="I24" s="0" t="n">
        <f aca="false">-I6*I23/100</f>
        <v>-24.6885490522552</v>
      </c>
      <c r="J24" s="0" t="n">
        <f aca="false">-J6*J23/100</f>
        <v>-25.3057627785616</v>
      </c>
      <c r="K24" s="0" t="n">
        <f aca="false">-K6*K23/100</f>
        <v>-25.8118780341328</v>
      </c>
      <c r="L24" s="0" t="n">
        <f aca="false">-L6*L23/100</f>
        <v>-26.3281155948155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1409.09741557874</v>
      </c>
    </row>
    <row r="31" customFormat="false" ht="15" hidden="false" customHeight="false" outlineLevel="0" collapsed="false">
      <c r="A31" s="0" t="s">
        <v>125</v>
      </c>
      <c r="B31" s="0" t="n">
        <f aca="false">L19</f>
        <v>234.333444475411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3677.23251330645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3515.00166713116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3515.00166713116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1554.63397120249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2963.73138678123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2345.53138678123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3173.9260984861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-0.563421444499849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61.9184024878344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73.0918914686287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3356.61932440824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1838.61625665322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1230.86628976947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4.5</v>
      </c>
      <c r="D5" s="4" t="n">
        <f aca="false">Assumptions!D27</f>
        <v>4.5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1702.9</v>
      </c>
      <c r="C6" s="0" t="n">
        <f aca="false">B6*(1+C5/100)</f>
        <v>1779.5305</v>
      </c>
      <c r="D6" s="0" t="n">
        <f aca="false">C6*(1+D5/100)</f>
        <v>1859.6093725</v>
      </c>
      <c r="E6" s="0" t="n">
        <f aca="false">D6*(1+E5/100)</f>
        <v>1943.2917942625</v>
      </c>
      <c r="F6" s="0" t="n">
        <f aca="false">E6*(1+F5/100)</f>
        <v>2030.73992500431</v>
      </c>
      <c r="G6" s="0" t="n">
        <f aca="false">F6*(1+G5/100)</f>
        <v>2111.96952200448</v>
      </c>
      <c r="H6" s="0" t="n">
        <f aca="false">G6*(1+H5/100)</f>
        <v>2196.44830288466</v>
      </c>
      <c r="I6" s="0" t="n">
        <f aca="false">H6*(1+I5/100)</f>
        <v>2273.32399348563</v>
      </c>
      <c r="J6" s="0" t="n">
        <f aca="false">I6*(1+J5/100)</f>
        <v>2352.89033325762</v>
      </c>
      <c r="K6" s="0" t="n">
        <f aca="false">J6*(1+K5/100)</f>
        <v>2423.47704325535</v>
      </c>
      <c r="L6" s="0" t="n">
        <f aca="false">K6*(1+L5/100)</f>
        <v>2484.06396933674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23.8</v>
      </c>
      <c r="D7" s="4" t="n">
        <f aca="false">Assumptions!D28</f>
        <v>24</v>
      </c>
      <c r="E7" s="4" t="n">
        <f aca="false">Assumptions!E28</f>
        <v>24.2</v>
      </c>
      <c r="F7" s="4" t="n">
        <f aca="false">Assumptions!F28</f>
        <v>24.4</v>
      </c>
      <c r="G7" s="4" t="n">
        <f aca="false">Assumptions!G28</f>
        <v>24.6</v>
      </c>
      <c r="H7" s="4" t="n">
        <f aca="false">Assumptions!H28</f>
        <v>24.8</v>
      </c>
      <c r="I7" s="4" t="n">
        <f aca="false">Assumptions!I28</f>
        <v>25</v>
      </c>
      <c r="J7" s="4" t="n">
        <f aca="false">Assumptions!J28</f>
        <v>25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423.528259</v>
      </c>
      <c r="D8" s="0" t="n">
        <f aca="false">D6*D7/100</f>
        <v>446.3062494</v>
      </c>
      <c r="E8" s="0" t="n">
        <f aca="false">E6*E7/100</f>
        <v>470.276614211525</v>
      </c>
      <c r="F8" s="0" t="n">
        <f aca="false">F6*F7/100</f>
        <v>495.500541701052</v>
      </c>
      <c r="G8" s="0" t="n">
        <f aca="false">G6*G7/100</f>
        <v>519.544502413103</v>
      </c>
      <c r="H8" s="0" t="n">
        <f aca="false">H6*H7/100</f>
        <v>544.719179115397</v>
      </c>
      <c r="I8" s="0" t="n">
        <f aca="false">I6*I7/100</f>
        <v>568.330998371407</v>
      </c>
      <c r="J8" s="0" t="n">
        <f aca="false">J6*J7/100</f>
        <v>588.222583314406</v>
      </c>
      <c r="K8" s="0" t="n">
        <f aca="false">K6*K7/100</f>
        <v>605.869260813838</v>
      </c>
      <c r="L8" s="0" t="n">
        <f aca="false">L6*L7/100</f>
        <v>621.015992334184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-8.8976525</v>
      </c>
      <c r="D10" s="0" t="n">
        <f aca="false">-D6*D9/100</f>
        <v>-9.2980468625</v>
      </c>
      <c r="E10" s="0" t="n">
        <f aca="false">-E6*E9/100</f>
        <v>-9.7164589713125</v>
      </c>
      <c r="F10" s="0" t="n">
        <f aca="false">-F6*F9/100</f>
        <v>-10.1536996250216</v>
      </c>
      <c r="G10" s="0" t="n">
        <f aca="false">-G6*G9/100</f>
        <v>-10.5598476100224</v>
      </c>
      <c r="H10" s="0" t="n">
        <f aca="false">-H6*H9/100</f>
        <v>-10.9822415144233</v>
      </c>
      <c r="I10" s="0" t="n">
        <f aca="false">-I6*I9/100</f>
        <v>-11.3666199674281</v>
      </c>
      <c r="J10" s="0" t="n">
        <f aca="false">-J6*J9/100</f>
        <v>-11.7644516662881</v>
      </c>
      <c r="K10" s="0" t="n">
        <f aca="false">-K6*K9/100</f>
        <v>-12.1173852162768</v>
      </c>
      <c r="L10" s="0" t="n">
        <f aca="false">-L6*L9/100</f>
        <v>-12.4203198466837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392.38647525</v>
      </c>
      <c r="D11" s="0" t="n">
        <f aca="false">D8+D10+D24</f>
        <v>413.76308538125</v>
      </c>
      <c r="E11" s="0" t="n">
        <f aca="false">E8+E10+E24</f>
        <v>436.269007811931</v>
      </c>
      <c r="F11" s="0" t="n">
        <f aca="false">F8+F10+F24</f>
        <v>459.962593013477</v>
      </c>
      <c r="G11" s="0" t="n">
        <f aca="false">G8+G10+G24</f>
        <v>482.585035778025</v>
      </c>
      <c r="H11" s="0" t="n">
        <f aca="false">H8+H10+H24</f>
        <v>506.281333814915</v>
      </c>
      <c r="I11" s="0" t="n">
        <f aca="false">I8+I10+I24</f>
        <v>528.547828485408</v>
      </c>
      <c r="J11" s="0" t="n">
        <f aca="false">J8+J10+J24</f>
        <v>547.047002482398</v>
      </c>
      <c r="K11" s="0" t="n">
        <f aca="false">K8+K10+K24</f>
        <v>563.45841255687</v>
      </c>
      <c r="L11" s="0" t="n">
        <f aca="false">L8+L10+L24</f>
        <v>577.544872870791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-48.0473235</v>
      </c>
      <c r="D12" s="4" t="n">
        <f aca="false">-D6*Assumptions!D31/100</f>
        <v>-50.2094530575</v>
      </c>
      <c r="E12" s="4" t="n">
        <f aca="false">-E6*Assumptions!E31/100</f>
        <v>-52.4688784450875</v>
      </c>
      <c r="F12" s="4" t="n">
        <f aca="false">-F6*Assumptions!F31/100</f>
        <v>-54.8299779751164</v>
      </c>
      <c r="G12" s="4" t="n">
        <f aca="false">-G6*Assumptions!G31/100</f>
        <v>-57.0231770941211</v>
      </c>
      <c r="H12" s="4" t="n">
        <f aca="false">-H6*Assumptions!H31/100</f>
        <v>-59.3041041778859</v>
      </c>
      <c r="I12" s="4" t="n">
        <f aca="false">-I6*Assumptions!I31/100</f>
        <v>-61.3797478241119</v>
      </c>
      <c r="J12" s="4" t="n">
        <f aca="false">-J6*Assumptions!J31/100</f>
        <v>-63.5280389979558</v>
      </c>
      <c r="K12" s="4" t="n">
        <f aca="false">-K6*Assumptions!K31/100</f>
        <v>-65.4338801678945</v>
      </c>
      <c r="L12" s="4" t="n">
        <f aca="false">-L6*Assumptions!L31/100</f>
        <v>-67.0697271720919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344.33915175</v>
      </c>
      <c r="D13" s="0" t="n">
        <f aca="false">D11+D12</f>
        <v>363.55363232375</v>
      </c>
      <c r="E13" s="0" t="n">
        <f aca="false">E11+E12</f>
        <v>383.800129366844</v>
      </c>
      <c r="F13" s="0" t="n">
        <f aca="false">F11+F12</f>
        <v>405.13261503836</v>
      </c>
      <c r="G13" s="0" t="n">
        <f aca="false">G11+G12</f>
        <v>425.561858683904</v>
      </c>
      <c r="H13" s="0" t="n">
        <f aca="false">H11+H12</f>
        <v>446.977229637029</v>
      </c>
      <c r="I13" s="0" t="n">
        <f aca="false">I11+I12</f>
        <v>467.168080661296</v>
      </c>
      <c r="J13" s="0" t="n">
        <f aca="false">J11+J12</f>
        <v>483.518963484442</v>
      </c>
      <c r="K13" s="0" t="n">
        <f aca="false">K11+K12</f>
        <v>498.024532388975</v>
      </c>
      <c r="L13" s="0" t="n">
        <f aca="false">L11+L12</f>
        <v>510.475145698699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22</v>
      </c>
      <c r="D14" s="4" t="n">
        <f aca="false">Assumptions!D33</f>
        <v>23</v>
      </c>
      <c r="E14" s="4" t="n">
        <f aca="false">Assumptions!E33</f>
        <v>24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268.584538365</v>
      </c>
      <c r="D15" s="0" t="n">
        <f aca="false">D13-MAX(0,D13)*D14/100</f>
        <v>279.936296889288</v>
      </c>
      <c r="E15" s="0" t="n">
        <f aca="false">E13-MAX(0,E13)*E14/100</f>
        <v>291.688098318801</v>
      </c>
      <c r="F15" s="0" t="n">
        <f aca="false">F13-MAX(0,F13)*F14/100</f>
        <v>303.84946127877</v>
      </c>
      <c r="G15" s="0" t="n">
        <f aca="false">G13-MAX(0,G13)*G14/100</f>
        <v>319.171394012928</v>
      </c>
      <c r="H15" s="0" t="n">
        <f aca="false">H13-MAX(0,H13)*H14/100</f>
        <v>335.232922227772</v>
      </c>
      <c r="I15" s="0" t="n">
        <f aca="false">I13-MAX(0,I13)*I14/100</f>
        <v>350.376060495972</v>
      </c>
      <c r="J15" s="0" t="n">
        <f aca="false">J13-MAX(0,J13)*J14/100</f>
        <v>362.639222613331</v>
      </c>
      <c r="K15" s="0" t="n">
        <f aca="false">K13-MAX(0,K13)*K14/100</f>
        <v>373.518399291731</v>
      </c>
      <c r="L15" s="0" t="n">
        <f aca="false">L13-MAX(0,L13)*L14/100</f>
        <v>382.856359274024</v>
      </c>
    </row>
    <row r="16" customFormat="false" ht="15" hidden="false" customHeight="false" outlineLevel="0" collapsed="false">
      <c r="A16" s="0" t="s">
        <v>116</v>
      </c>
      <c r="C16" s="0" t="n">
        <f aca="false">-C12</f>
        <v>48.0473235</v>
      </c>
      <c r="D16" s="0" t="n">
        <f aca="false">-D12</f>
        <v>50.2094530575</v>
      </c>
      <c r="E16" s="0" t="n">
        <f aca="false">-E12</f>
        <v>52.4688784450875</v>
      </c>
      <c r="F16" s="0" t="n">
        <f aca="false">-F12</f>
        <v>54.8299779751164</v>
      </c>
      <c r="G16" s="0" t="n">
        <f aca="false">-G12</f>
        <v>57.0231770941211</v>
      </c>
      <c r="H16" s="0" t="n">
        <f aca="false">-H12</f>
        <v>59.3041041778859</v>
      </c>
      <c r="I16" s="0" t="n">
        <f aca="false">-I12</f>
        <v>61.3797478241119</v>
      </c>
      <c r="J16" s="0" t="n">
        <f aca="false">-J12</f>
        <v>63.5280389979558</v>
      </c>
      <c r="K16" s="0" t="n">
        <f aca="false">-K12</f>
        <v>65.4338801678945</v>
      </c>
      <c r="L16" s="0" t="n">
        <f aca="false">-L12</f>
        <v>67.0697271720919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-71.18122</v>
      </c>
      <c r="D17" s="4" t="n">
        <f aca="false">-D6*Assumptions!D32/100</f>
        <v>-74.3843749</v>
      </c>
      <c r="E17" s="4" t="n">
        <f aca="false">-E6*Assumptions!E32/100</f>
        <v>-81.618255359025</v>
      </c>
      <c r="F17" s="4" t="n">
        <f aca="false">-F6*Assumptions!F32/100</f>
        <v>-87.3218167751854</v>
      </c>
      <c r="G17" s="4" t="n">
        <f aca="false">-G6*Assumptions!G32/100</f>
        <v>-95.0386284902018</v>
      </c>
      <c r="H17" s="4" t="n">
        <f aca="false">-H6*Assumptions!H32/100</f>
        <v>-98.8401736298099</v>
      </c>
      <c r="I17" s="4" t="n">
        <f aca="false">-I6*Assumptions!I32/100</f>
        <v>-102.299579706853</v>
      </c>
      <c r="J17" s="4" t="n">
        <f aca="false">-J6*Assumptions!J32/100</f>
        <v>-105.880064996593</v>
      </c>
      <c r="K17" s="4" t="n">
        <f aca="false">-K6*Assumptions!K32/100</f>
        <v>-109.056466946491</v>
      </c>
      <c r="L17" s="4" t="n">
        <f aca="false">-L6*Assumptions!L32/100</f>
        <v>-111.782878620153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-15.3261</v>
      </c>
      <c r="D18" s="4" t="n">
        <f aca="false">(D6-C6)*Assumptions!$B$37/100</f>
        <v>-16.0157745</v>
      </c>
      <c r="E18" s="4" t="n">
        <f aca="false">(E6-D6)*Assumptions!$B$37/100</f>
        <v>-16.7364843525</v>
      </c>
      <c r="F18" s="4" t="n">
        <f aca="false">(F6-E6)*Assumptions!$B$37/100</f>
        <v>-17.4896261483625</v>
      </c>
      <c r="G18" s="4" t="n">
        <f aca="false">(G6-F6)*Assumptions!$B$37/100</f>
        <v>-16.2459194000345</v>
      </c>
      <c r="H18" s="4" t="n">
        <f aca="false">(H6-G6)*Assumptions!$B$37/100</f>
        <v>-16.8957561760359</v>
      </c>
      <c r="I18" s="4" t="n">
        <f aca="false">(I6-H6)*Assumptions!$B$37/100</f>
        <v>-15.3751381201926</v>
      </c>
      <c r="J18" s="4" t="n">
        <f aca="false">(J6-I6)*Assumptions!$B$37/100</f>
        <v>-15.9132679543994</v>
      </c>
      <c r="K18" s="4" t="n">
        <f aca="false">(K6-J6)*Assumptions!$B$37/100</f>
        <v>-14.1173419995457</v>
      </c>
      <c r="L18" s="4" t="n">
        <f aca="false">(L6-K6)*Assumptions!$B$37/100</f>
        <v>-12.1173852162768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230.124541865</v>
      </c>
      <c r="D19" s="0" t="n">
        <f aca="false">D15+D16+D17+D18</f>
        <v>239.745600546788</v>
      </c>
      <c r="E19" s="0" t="n">
        <f aca="false">E15+E16+E17+E18</f>
        <v>245.802237052364</v>
      </c>
      <c r="F19" s="0" t="n">
        <f aca="false">F15+F16+F17+F18</f>
        <v>253.867996330339</v>
      </c>
      <c r="G19" s="0" t="n">
        <f aca="false">G15+G16+G17+G18</f>
        <v>264.910023216813</v>
      </c>
      <c r="H19" s="0" t="n">
        <f aca="false">H15+H16+H17+H18</f>
        <v>278.801096599812</v>
      </c>
      <c r="I19" s="0" t="n">
        <f aca="false">I15+I16+I17+I18</f>
        <v>294.081090493038</v>
      </c>
      <c r="J19" s="0" t="n">
        <f aca="false">J15+J16+J17+J18</f>
        <v>304.373928660295</v>
      </c>
      <c r="K19" s="0" t="n">
        <f aca="false">K15+K16+K17+K18</f>
        <v>315.778470513589</v>
      </c>
      <c r="L19" s="0" t="n">
        <f aca="false">L15+L16+L17+L18</f>
        <v>326.025822609686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212.096351949309</v>
      </c>
      <c r="D21" s="0" t="n">
        <f aca="false">D19*D20</f>
        <v>203.653167870872</v>
      </c>
      <c r="E21" s="0" t="n">
        <f aca="false">E19*E20</f>
        <v>192.440562000685</v>
      </c>
      <c r="F21" s="0" t="n">
        <f aca="false">F19*F20</f>
        <v>183.184617750604</v>
      </c>
      <c r="G21" s="0" t="n">
        <f aca="false">G19*G20</f>
        <v>176.177198523575</v>
      </c>
      <c r="H21" s="0" t="n">
        <f aca="false">H19*H20</f>
        <v>170.889763411523</v>
      </c>
      <c r="I21" s="0" t="n">
        <f aca="false">I19*I20</f>
        <v>166.134157283499</v>
      </c>
      <c r="J21" s="0" t="n">
        <f aca="false">J19*J20</f>
        <v>158.478205334951</v>
      </c>
      <c r="K21" s="0" t="n">
        <f aca="false">K19*K20</f>
        <v>151.535669901538</v>
      </c>
      <c r="L21" s="0" t="n">
        <f aca="false">L19*L20</f>
        <v>144.19646626567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1.25</v>
      </c>
      <c r="D23" s="4" t="n">
        <f aca="false">Assumptions!D30</f>
        <v>1.25</v>
      </c>
      <c r="E23" s="4" t="n">
        <f aca="false">Assumptions!E30</f>
        <v>1.25</v>
      </c>
      <c r="F23" s="4" t="n">
        <f aca="false">Assumptions!F30</f>
        <v>1.25</v>
      </c>
      <c r="G23" s="4" t="n">
        <f aca="false">Assumptions!G30</f>
        <v>1.25</v>
      </c>
      <c r="H23" s="4" t="n">
        <f aca="false">Assumptions!H30</f>
        <v>1.25</v>
      </c>
      <c r="I23" s="4" t="n">
        <f aca="false">Assumptions!I30</f>
        <v>1.25</v>
      </c>
      <c r="J23" s="4" t="n">
        <f aca="false">Assumptions!J30</f>
        <v>1.25</v>
      </c>
      <c r="K23" s="4" t="n">
        <f aca="false">Assumptions!K30</f>
        <v>1.25</v>
      </c>
      <c r="L23" s="4" t="n">
        <f aca="false">Assumptions!L30</f>
        <v>1.25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-22.24413125</v>
      </c>
      <c r="D24" s="0" t="n">
        <f aca="false">-D6*D23/100</f>
        <v>-23.24511715625</v>
      </c>
      <c r="E24" s="0" t="n">
        <f aca="false">-E6*E23/100</f>
        <v>-24.2911474282812</v>
      </c>
      <c r="F24" s="0" t="n">
        <f aca="false">-F6*F23/100</f>
        <v>-25.3842490625539</v>
      </c>
      <c r="G24" s="0" t="n">
        <f aca="false">-G6*G23/100</f>
        <v>-26.3996190250561</v>
      </c>
      <c r="H24" s="0" t="n">
        <f aca="false">-H6*H23/100</f>
        <v>-27.4556037860583</v>
      </c>
      <c r="I24" s="0" t="n">
        <f aca="false">-I6*I23/100</f>
        <v>-28.4165499185703</v>
      </c>
      <c r="J24" s="0" t="n">
        <f aca="false">-J6*J23/100</f>
        <v>-29.4111291657203</v>
      </c>
      <c r="K24" s="0" t="n">
        <f aca="false">-K6*K23/100</f>
        <v>-30.2934630406919</v>
      </c>
      <c r="L24" s="0" t="n">
        <f aca="false">-L6*L23/100</f>
        <v>-31.0507996167092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1758.78616029223</v>
      </c>
    </row>
    <row r="31" customFormat="false" ht="15" hidden="false" customHeight="false" outlineLevel="0" collapsed="false">
      <c r="A31" s="0" t="s">
        <v>125</v>
      </c>
      <c r="B31" s="0" t="n">
        <f aca="false">L19</f>
        <v>326.025822609686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5569.60780291548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5868.46480697435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5569.60780291548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2463.3562987052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4222.14245899743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3603.94245899743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4876.78275913049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-0.329190817175999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68.6418156387592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93.8443246039753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5096.65574998669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2673.41174539943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1844.97311261381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70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5.5</v>
      </c>
      <c r="D5" s="4" t="n">
        <f aca="false">Assumptions!D41</f>
        <v>6.5</v>
      </c>
      <c r="E5" s="4" t="n">
        <f aca="false">Assumptions!E41</f>
        <v>6.5</v>
      </c>
      <c r="F5" s="4" t="n">
        <f aca="false">Assumptions!F41</f>
        <v>6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1702.9</v>
      </c>
      <c r="C6" s="0" t="n">
        <f aca="false">B6*(1+C5/100)</f>
        <v>1796.5595</v>
      </c>
      <c r="D6" s="0" t="n">
        <f aca="false">C6*(1+D5/100)</f>
        <v>1913.3358675</v>
      </c>
      <c r="E6" s="0" t="n">
        <f aca="false">D6*(1+E5/100)</f>
        <v>2037.7026988875</v>
      </c>
      <c r="F6" s="0" t="n">
        <f aca="false">E6*(1+F5/100)</f>
        <v>2159.96486082075</v>
      </c>
      <c r="G6" s="0" t="n">
        <f aca="false">F6*(1+G5/100)</f>
        <v>2289.56275247</v>
      </c>
      <c r="H6" s="0" t="n">
        <f aca="false">G6*(1+H5/100)</f>
        <v>2415.48870385584</v>
      </c>
      <c r="I6" s="0" t="n">
        <f aca="false">H6*(1+I5/100)</f>
        <v>2536.26313904864</v>
      </c>
      <c r="J6" s="0" t="n">
        <f aca="false">I6*(1+J5/100)</f>
        <v>2650.39498030583</v>
      </c>
      <c r="K6" s="0" t="n">
        <f aca="false">J6*(1+K5/100)</f>
        <v>2756.41077951806</v>
      </c>
      <c r="L6" s="0" t="n">
        <f aca="false">K6*(1+L5/100)</f>
        <v>2839.1031029036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24</v>
      </c>
      <c r="D7" s="4" t="n">
        <f aca="false">Assumptions!D42</f>
        <v>24.5</v>
      </c>
      <c r="E7" s="4" t="n">
        <f aca="false">Assumptions!E42</f>
        <v>25</v>
      </c>
      <c r="F7" s="4" t="n">
        <f aca="false">Assumptions!F42</f>
        <v>25.5</v>
      </c>
      <c r="G7" s="4" t="n">
        <f aca="false">Assumptions!G42</f>
        <v>26</v>
      </c>
      <c r="H7" s="4" t="n">
        <f aca="false">Assumptions!H42</f>
        <v>26.5</v>
      </c>
      <c r="I7" s="4" t="n">
        <f aca="false">Assumptions!I42</f>
        <v>26.8</v>
      </c>
      <c r="J7" s="4" t="n">
        <f aca="false">Assumptions!J42</f>
        <v>27</v>
      </c>
      <c r="K7" s="4" t="n">
        <f aca="false">Assumptions!K42</f>
        <v>27</v>
      </c>
      <c r="L7" s="4" t="n">
        <f aca="false">Assumptions!L42</f>
        <v>27</v>
      </c>
    </row>
    <row r="8" customFormat="false" ht="15" hidden="false" customHeight="false" outlineLevel="0" collapsed="false">
      <c r="A8" s="0" t="s">
        <v>44</v>
      </c>
      <c r="C8" s="0" t="n">
        <f aca="false">C6*C7/100</f>
        <v>431.17428</v>
      </c>
      <c r="D8" s="0" t="n">
        <f aca="false">D6*D7/100</f>
        <v>468.7672875375</v>
      </c>
      <c r="E8" s="0" t="n">
        <f aca="false">E6*E7/100</f>
        <v>509.425674721875</v>
      </c>
      <c r="F8" s="0" t="n">
        <f aca="false">F6*F7/100</f>
        <v>550.791039509291</v>
      </c>
      <c r="G8" s="0" t="n">
        <f aca="false">G6*G7/100</f>
        <v>595.286315642199</v>
      </c>
      <c r="H8" s="0" t="n">
        <f aca="false">H6*H7/100</f>
        <v>640.104506521799</v>
      </c>
      <c r="I8" s="0" t="n">
        <f aca="false">I6*I7/100</f>
        <v>679.718521265035</v>
      </c>
      <c r="J8" s="0" t="n">
        <f aca="false">J6*J7/100</f>
        <v>715.606644682573</v>
      </c>
      <c r="K8" s="0" t="n">
        <f aca="false">K6*K7/100</f>
        <v>744.230910469876</v>
      </c>
      <c r="L8" s="0" t="n">
        <f aca="false">L6*L7/100</f>
        <v>766.557837783972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-8.9827975</v>
      </c>
      <c r="D10" s="0" t="n">
        <f aca="false">-D6*D9/100</f>
        <v>-9.5666793375</v>
      </c>
      <c r="E10" s="0" t="n">
        <f aca="false">-E6*E9/100</f>
        <v>-10.1885134944375</v>
      </c>
      <c r="F10" s="0" t="n">
        <f aca="false">-F6*F9/100</f>
        <v>-10.7998243041038</v>
      </c>
      <c r="G10" s="0" t="n">
        <f aca="false">-G6*G9/100</f>
        <v>-11.44781376235</v>
      </c>
      <c r="H10" s="0" t="n">
        <f aca="false">-H6*H9/100</f>
        <v>-12.0774435192792</v>
      </c>
      <c r="I10" s="0" t="n">
        <f aca="false">-I6*I9/100</f>
        <v>-12.6813156952432</v>
      </c>
      <c r="J10" s="0" t="n">
        <f aca="false">-J6*J9/100</f>
        <v>-13.2519749015291</v>
      </c>
      <c r="K10" s="0" t="n">
        <f aca="false">-K6*K9/100</f>
        <v>-13.7820538975903</v>
      </c>
      <c r="L10" s="0" t="n">
        <f aca="false">-L6*L9/100</f>
        <v>-14.195515514518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399.73448875</v>
      </c>
      <c r="D11" s="0" t="n">
        <f aca="false">D8+D10+D24</f>
        <v>435.28390985625</v>
      </c>
      <c r="E11" s="0" t="n">
        <f aca="false">E8+E10+E24</f>
        <v>473.765877491344</v>
      </c>
      <c r="F11" s="0" t="n">
        <f aca="false">F8+F10+F24</f>
        <v>512.991654444928</v>
      </c>
      <c r="G11" s="0" t="n">
        <f aca="false">G8+G10+G24</f>
        <v>555.218967473974</v>
      </c>
      <c r="H11" s="0" t="n">
        <f aca="false">H8+H10+H24</f>
        <v>597.833454204322</v>
      </c>
      <c r="I11" s="0" t="n">
        <f aca="false">I8+I10+I24</f>
        <v>635.333916331684</v>
      </c>
      <c r="J11" s="0" t="n">
        <f aca="false">J8+J10+J24</f>
        <v>669.224732527221</v>
      </c>
      <c r="K11" s="0" t="n">
        <f aca="false">K8+K10+K24</f>
        <v>695.99372182831</v>
      </c>
      <c r="L11" s="0" t="n">
        <f aca="false">L8+L10+L24</f>
        <v>716.873533483159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-48.5071065</v>
      </c>
      <c r="D12" s="4" t="n">
        <f aca="false">-D6*Assumptions!D45/100</f>
        <v>-51.6600684225</v>
      </c>
      <c r="E12" s="4" t="n">
        <f aca="false">-E6*Assumptions!E45/100</f>
        <v>-55.0179728699625</v>
      </c>
      <c r="F12" s="4" t="n">
        <f aca="false">-F6*Assumptions!F45/100</f>
        <v>-58.3190512421603</v>
      </c>
      <c r="G12" s="4" t="n">
        <f aca="false">-G6*Assumptions!G45/100</f>
        <v>-61.8181943166899</v>
      </c>
      <c r="H12" s="4" t="n">
        <f aca="false">-H6*Assumptions!H45/100</f>
        <v>-65.2181950041078</v>
      </c>
      <c r="I12" s="4" t="n">
        <f aca="false">-I6*Assumptions!I45/100</f>
        <v>-68.4791047543132</v>
      </c>
      <c r="J12" s="4" t="n">
        <f aca="false">-J6*Assumptions!J45/100</f>
        <v>-71.5606644682573</v>
      </c>
      <c r="K12" s="4" t="n">
        <f aca="false">-K6*Assumptions!K45/100</f>
        <v>-74.4230910469876</v>
      </c>
      <c r="L12" s="4" t="n">
        <f aca="false">-L6*Assumptions!L45/100</f>
        <v>-76.6557837783972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351.22738225</v>
      </c>
      <c r="D13" s="0" t="n">
        <f aca="false">D11+D12</f>
        <v>383.62384143375</v>
      </c>
      <c r="E13" s="0" t="n">
        <f aca="false">E11+E12</f>
        <v>418.747904621381</v>
      </c>
      <c r="F13" s="0" t="n">
        <f aca="false">F11+F12</f>
        <v>454.672603202768</v>
      </c>
      <c r="G13" s="0" t="n">
        <f aca="false">G11+G12</f>
        <v>493.400773157284</v>
      </c>
      <c r="H13" s="0" t="n">
        <f aca="false">H11+H12</f>
        <v>532.615259200214</v>
      </c>
      <c r="I13" s="0" t="n">
        <f aca="false">I11+I12</f>
        <v>566.85481157737</v>
      </c>
      <c r="J13" s="0" t="n">
        <f aca="false">J11+J12</f>
        <v>597.664068058964</v>
      </c>
      <c r="K13" s="0" t="n">
        <f aca="false">K11+K12</f>
        <v>621.570630781322</v>
      </c>
      <c r="L13" s="0" t="n">
        <f aca="false">L11+L12</f>
        <v>640.217749704762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22</v>
      </c>
      <c r="D14" s="4" t="n">
        <f aca="false">Assumptions!D47</f>
        <v>23</v>
      </c>
      <c r="E14" s="4" t="n">
        <f aca="false">Assumptions!E47</f>
        <v>24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273.957358155</v>
      </c>
      <c r="D15" s="0" t="n">
        <f aca="false">D13-MAX(0,D13)*D14/100</f>
        <v>295.390357903988</v>
      </c>
      <c r="E15" s="0" t="n">
        <f aca="false">E13-MAX(0,E13)*E14/100</f>
        <v>318.24840751225</v>
      </c>
      <c r="F15" s="0" t="n">
        <f aca="false">F13-MAX(0,F13)*F14/100</f>
        <v>341.004452402076</v>
      </c>
      <c r="G15" s="0" t="n">
        <f aca="false">G13-MAX(0,G13)*G14/100</f>
        <v>370.050579867963</v>
      </c>
      <c r="H15" s="0" t="n">
        <f aca="false">H13-MAX(0,H13)*H14/100</f>
        <v>399.46144440016</v>
      </c>
      <c r="I15" s="0" t="n">
        <f aca="false">I13-MAX(0,I13)*I14/100</f>
        <v>425.141108683028</v>
      </c>
      <c r="J15" s="0" t="n">
        <f aca="false">J13-MAX(0,J13)*J14/100</f>
        <v>448.248051044223</v>
      </c>
      <c r="K15" s="0" t="n">
        <f aca="false">K13-MAX(0,K13)*K14/100</f>
        <v>466.177973085992</v>
      </c>
      <c r="L15" s="0" t="n">
        <f aca="false">L13-MAX(0,L13)*L14/100</f>
        <v>480.163312278571</v>
      </c>
    </row>
    <row r="16" customFormat="false" ht="15" hidden="false" customHeight="false" outlineLevel="0" collapsed="false">
      <c r="A16" s="0" t="s">
        <v>116</v>
      </c>
      <c r="C16" s="0" t="n">
        <f aca="false">-C12</f>
        <v>48.5071065</v>
      </c>
      <c r="D16" s="0" t="n">
        <f aca="false">-D12</f>
        <v>51.6600684225</v>
      </c>
      <c r="E16" s="0" t="n">
        <f aca="false">-E12</f>
        <v>55.0179728699625</v>
      </c>
      <c r="F16" s="0" t="n">
        <f aca="false">-F12</f>
        <v>58.3190512421603</v>
      </c>
      <c r="G16" s="0" t="n">
        <f aca="false">-G12</f>
        <v>61.8181943166899</v>
      </c>
      <c r="H16" s="0" t="n">
        <f aca="false">-H12</f>
        <v>65.2181950041078</v>
      </c>
      <c r="I16" s="0" t="n">
        <f aca="false">-I12</f>
        <v>68.4791047543132</v>
      </c>
      <c r="J16" s="0" t="n">
        <f aca="false">-J12</f>
        <v>71.5606644682573</v>
      </c>
      <c r="K16" s="0" t="n">
        <f aca="false">-K12</f>
        <v>74.4230910469876</v>
      </c>
      <c r="L16" s="0" t="n">
        <f aca="false">-L12</f>
        <v>76.6557837783972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-71.86238</v>
      </c>
      <c r="D17" s="4" t="n">
        <f aca="false">-D6*Assumptions!D46/100</f>
        <v>-76.5334347</v>
      </c>
      <c r="E17" s="4" t="n">
        <f aca="false">-E6*Assumptions!E46/100</f>
        <v>-81.5081079555</v>
      </c>
      <c r="F17" s="4" t="n">
        <f aca="false">-F6*Assumptions!F46/100</f>
        <v>-90.7185241544715</v>
      </c>
      <c r="G17" s="4" t="n">
        <f aca="false">-G6*Assumptions!G46/100</f>
        <v>-96.1616356037398</v>
      </c>
      <c r="H17" s="4" t="n">
        <f aca="false">-H6*Assumptions!H46/100</f>
        <v>-101.450525561945</v>
      </c>
      <c r="I17" s="4" t="n">
        <f aca="false">-I6*Assumptions!I46/100</f>
        <v>-106.523051840043</v>
      </c>
      <c r="J17" s="4" t="n">
        <f aca="false">-J6*Assumptions!J46/100</f>
        <v>-111.316589172845</v>
      </c>
      <c r="K17" s="4" t="n">
        <f aca="false">-K6*Assumptions!K46/100</f>
        <v>-115.769252739758</v>
      </c>
      <c r="L17" s="4" t="n">
        <f aca="false">-L6*Assumptions!L46/100</f>
        <v>-119.242330321951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-18.7319</v>
      </c>
      <c r="D18" s="4" t="n">
        <f aca="false">(D6-C6)*Assumptions!$B$51/100</f>
        <v>-23.3552735</v>
      </c>
      <c r="E18" s="4" t="n">
        <f aca="false">(E6-D6)*Assumptions!$B$51/100</f>
        <v>-24.8733662775</v>
      </c>
      <c r="F18" s="4" t="n">
        <f aca="false">(F6-E6)*Assumptions!$B$51/100</f>
        <v>-24.45243238665</v>
      </c>
      <c r="G18" s="4" t="n">
        <f aca="false">(G6-F6)*Assumptions!$B$51/100</f>
        <v>-25.919578329849</v>
      </c>
      <c r="H18" s="4" t="n">
        <f aca="false">(H6-G6)*Assumptions!$B$51/100</f>
        <v>-25.1851902771699</v>
      </c>
      <c r="I18" s="4" t="n">
        <f aca="false">(I6-H6)*Assumptions!$B$51/100</f>
        <v>-24.1548870385584</v>
      </c>
      <c r="J18" s="4" t="n">
        <f aca="false">(J6-I6)*Assumptions!$B$51/100</f>
        <v>-22.8263682514377</v>
      </c>
      <c r="K18" s="4" t="n">
        <f aca="false">(K6-J6)*Assumptions!$B$51/100</f>
        <v>-21.2031598424466</v>
      </c>
      <c r="L18" s="4" t="n">
        <f aca="false">(L6-K6)*Assumptions!$B$51/100</f>
        <v>-16.5384646771084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231.870184655</v>
      </c>
      <c r="D19" s="0" t="n">
        <f aca="false">D15+D16+D17+D18</f>
        <v>247.161718126488</v>
      </c>
      <c r="E19" s="0" t="n">
        <f aca="false">E15+E16+E17+E18</f>
        <v>266.884906149212</v>
      </c>
      <c r="F19" s="0" t="n">
        <f aca="false">F15+F16+F17+F18</f>
        <v>284.152547103115</v>
      </c>
      <c r="G19" s="0" t="n">
        <f aca="false">G15+G16+G17+G18</f>
        <v>309.787560251064</v>
      </c>
      <c r="H19" s="0" t="n">
        <f aca="false">H15+H16+H17+H18</f>
        <v>338.043923565153</v>
      </c>
      <c r="I19" s="0" t="n">
        <f aca="false">I15+I16+I17+I18</f>
        <v>362.94227455874</v>
      </c>
      <c r="J19" s="0" t="n">
        <f aca="false">J15+J16+J17+J18</f>
        <v>385.665758088198</v>
      </c>
      <c r="K19" s="0" t="n">
        <f aca="false">K15+K16+K17+K18</f>
        <v>403.628651550774</v>
      </c>
      <c r="L19" s="0" t="n">
        <f aca="false">L15+L16+L17+L18</f>
        <v>421.038301057909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213.705239313364</v>
      </c>
      <c r="D21" s="0" t="n">
        <f aca="false">D19*D20</f>
        <v>209.952828156459</v>
      </c>
      <c r="E21" s="0" t="n">
        <f aca="false">E19*E20</f>
        <v>208.946354373143</v>
      </c>
      <c r="F21" s="0" t="n">
        <f aca="false">F19*F20</f>
        <v>205.037170798846</v>
      </c>
      <c r="G21" s="0" t="n">
        <f aca="false">G19*G20</f>
        <v>206.022799136661</v>
      </c>
      <c r="H21" s="0" t="n">
        <f aca="false">H19*H20</f>
        <v>207.202363352508</v>
      </c>
      <c r="I21" s="0" t="n">
        <f aca="false">I19*I20</f>
        <v>205.035654707626</v>
      </c>
      <c r="J21" s="0" t="n">
        <f aca="false">J19*J20</f>
        <v>200.804377267066</v>
      </c>
      <c r="K21" s="0" t="n">
        <f aca="false">K19*K20</f>
        <v>193.693186254029</v>
      </c>
      <c r="L21" s="0" t="n">
        <f aca="false">L19*L20</f>
        <v>186.219099729827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1.25</v>
      </c>
      <c r="D23" s="4" t="n">
        <f aca="false">Assumptions!D44</f>
        <v>1.25</v>
      </c>
      <c r="E23" s="4" t="n">
        <f aca="false">Assumptions!E44</f>
        <v>1.25</v>
      </c>
      <c r="F23" s="4" t="n">
        <f aca="false">Assumptions!F44</f>
        <v>1.25</v>
      </c>
      <c r="G23" s="4" t="n">
        <f aca="false">Assumptions!G44</f>
        <v>1.25</v>
      </c>
      <c r="H23" s="4" t="n">
        <f aca="false">Assumptions!H44</f>
        <v>1.25</v>
      </c>
      <c r="I23" s="4" t="n">
        <f aca="false">Assumptions!I44</f>
        <v>1.25</v>
      </c>
      <c r="J23" s="4" t="n">
        <f aca="false">Assumptions!J44</f>
        <v>1.25</v>
      </c>
      <c r="K23" s="4" t="n">
        <f aca="false">Assumptions!K44</f>
        <v>1.25</v>
      </c>
      <c r="L23" s="4" t="n">
        <f aca="false">Assumptions!L44</f>
        <v>1.25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-22.45699375</v>
      </c>
      <c r="D24" s="0" t="n">
        <f aca="false">-D6*D23/100</f>
        <v>-23.91669834375</v>
      </c>
      <c r="E24" s="0" t="n">
        <f aca="false">-E6*E23/100</f>
        <v>-25.4712837360937</v>
      </c>
      <c r="F24" s="0" t="n">
        <f aca="false">-F6*F23/100</f>
        <v>-26.9995607602594</v>
      </c>
      <c r="G24" s="0" t="n">
        <f aca="false">-G6*G23/100</f>
        <v>-28.6195344058749</v>
      </c>
      <c r="H24" s="0" t="n">
        <f aca="false">-H6*H23/100</f>
        <v>-30.1936087981981</v>
      </c>
      <c r="I24" s="0" t="n">
        <f aca="false">-I6*I23/100</f>
        <v>-31.703289238108</v>
      </c>
      <c r="J24" s="0" t="n">
        <f aca="false">-J6*J23/100</f>
        <v>-33.1299372538228</v>
      </c>
      <c r="K24" s="0" t="n">
        <f aca="false">-K6*K23/100</f>
        <v>-34.4551347439757</v>
      </c>
      <c r="L24" s="0" t="n">
        <f aca="false">-L6*L23/100</f>
        <v>-35.488788786295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2036.61907308953</v>
      </c>
    </row>
    <row r="31" customFormat="false" ht="15" hidden="false" customHeight="false" outlineLevel="0" collapsed="false">
      <c r="A31" s="0" t="s">
        <v>125</v>
      </c>
      <c r="B31" s="0" t="n">
        <f aca="false">L19</f>
        <v>421.038301057909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7884.89909253902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8420.76602115818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7884.89909253902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3487.37586766766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5523.99494075719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4905.79494075719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6638.42346516535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-0.086874351421548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74.1473183291283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117.578610093297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6897.86315179921</v>
      </c>
    </row>
    <row r="45" customFormat="false" ht="15" hidden="false" customHeight="false" outlineLevel="0" collapsed="false">
      <c r="A45" s="0" t="s">
        <v>77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3613.91208408039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2412.80100563601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3173.9260984861</v>
      </c>
      <c r="C4" s="0" t="n">
        <f aca="false">B4/Assumptions!$B$2-1</f>
        <v>-0.563421444499849</v>
      </c>
      <c r="D4" s="4" t="n">
        <f aca="false">Assumptions!$B$24</f>
        <v>0.25</v>
      </c>
      <c r="E4" s="4" t="n">
        <f aca="false">DCF_Bear!$B$43</f>
        <v>3356.61932440824</v>
      </c>
      <c r="F4" s="4" t="n">
        <f aca="false">DCF_Bear!$B$47</f>
        <v>1230.86628976947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4876.78275913049</v>
      </c>
      <c r="C5" s="0" t="n">
        <f aca="false">B5/Assumptions!$B$2-1</f>
        <v>-0.329190817175999</v>
      </c>
      <c r="D5" s="4" t="n">
        <f aca="false">Assumptions!$B$38</f>
        <v>0.5</v>
      </c>
      <c r="E5" s="4" t="n">
        <f aca="false">DCF_Base!$B$43</f>
        <v>5096.65574998669</v>
      </c>
      <c r="F5" s="4" t="n">
        <f aca="false">DCF_Base!$B$47</f>
        <v>1844.97311261381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6638.42346516535</v>
      </c>
      <c r="C6" s="0" t="n">
        <f aca="false">B6/Assumptions!$B$2-1</f>
        <v>-0.086874351421548</v>
      </c>
      <c r="D6" s="4" t="n">
        <f aca="false">Assumptions!$B$52</f>
        <v>0.25</v>
      </c>
      <c r="E6" s="4" t="n">
        <f aca="false">DCF_Bull!$B$43</f>
        <v>6897.86315179921</v>
      </c>
      <c r="F6" s="4" t="n">
        <f aca="false">DCF_Bull!$B$47</f>
        <v>2412.80100563601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4891.4787704781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5111.94849404521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-0.486258111530026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1078.84256896524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1833.40338015827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4876.78275913049</v>
      </c>
      <c r="C15" s="3" t="n">
        <v>8.5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4426.52595697091</v>
      </c>
      <c r="C16" s="3" t="n">
        <v>9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3706.97701877379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3157.6854777567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2724.82390432421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1844.97311261381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6017.29659438313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6017.29659438313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6017.29659438313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6017.29659438313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6017.29659438313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5281.80312687761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5513.69473093673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5513.69473093673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5513.69473093673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5513.69473093673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4372.71301913998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4605.36059144329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4876.78275913049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5055.64621525615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5055.64621525615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3692.81256741015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3855.25490943734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4040.90330032556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4255.11298211966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4505.02427754612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3165.57639168267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3282.97302108278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3415.04422915792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3564.72493164307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3735.7885916261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2026-10-10T01:35:05Z</dcterms:created>
  <dc:creator>openpyxl</dc:creator>
  <dc:description/>
  <dc:language>en-NZ</dc:language>
  <cp:lastModifiedBy/>
  <dcterms:modified xsi:type="dcterms:W3CDTF">2026-10-10T01:35:05Z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