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<sst xmlns="http://schemas.openxmlformats.org/spreadsheetml/2006/main" count="357" uniqueCount="164">
  <si>
    <t xml:space="preserve">Ticker</t>
  </si>
  <si>
    <t xml:space="preserve">0683.HK</t>
  </si>
  <si>
    <t xml:space="preserve">Company</t>
  </si>
  <si>
    <t xml:space="preserve">Kerry Properties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</si>
  <si>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</si>
  <si>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</si>
  <si>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</si>
  <si>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</si>
  <si>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</t>
  </si>
  <si>
    <t xml:space="preserve">Balance sheet date</t>
  </si>
  <si>
    <t xml:space="preserve">2026-06-30</t>
  </si>
  <si>
    <t xml:space="preserve">Model</t>
  </si>
  <si>
    <t xml:space="preserve">Underlying profit capitalisation at cost of equity (engine route)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</si>
  <si>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</si>
  <si>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</si>
  <si>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</si>
  <si>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</si>
  <si>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</si>
  <si>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</si>
  <si>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</si>
  <si>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</si>
  <si>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2026-10-11T05:32:45Z</t>
  </si>
  <si>
    <t xml:space="preserve">Drivers file</t>
  </si>
  <si>
    <t xml:space="preserve">0683.HK_Drivers.json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</si>
  <si>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</si>
  <si>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</si>
  <si>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</si>
  <si>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Kerry Properties is valued as a stream of underlying profit (the company's audited measure of attributable earnings excluding investment-property revaluations) capitalised at a 10% HKD cost of equity, with net debt held at zero because the flow is already post-interest. The explicit ten years follow the disclosed handover pipeline -- a FY2027-28 bulge from HK$29.8bn of presold stock, then normalisation -- rather than a smooth growth rate, and the terminal multiple is capped at 9-14x underlying profit depending on scenario. The result should be read against the stock's decade-long 0.22-0.55x price-to-book range and against the HK$1.35 dividend (a ~7.5% yield at the current price, ~100% of FY2025 underlying profit): the model pays for earnings and dividends, not for the HK$72.5 of stated NAV per share, which HK developer shareholders have never been able to realise.
key_risks_to_valuation: Timing and net margin of the Jinling Residences handovers (HK$23.9bn unrecognised): a one-year slip or a heavier land-appreciation-tax bill moves the FY2027-28 peak and ~HK$2-3/share of value; Mainland Grade-A office rents: the largest recurring-income segment, with Shanghai vacancy above 20% and Shenzhen near 30%; a further 10% rent decline is roughly HK$0.3bn of UNP; Further development-property provisions (HK$447m FY2025, HK$1,397m FY2024) on the second- and third-tier Mainland pipeline; Refinancing: HK$55bn of borrowings with a ~2.4-2.5 year average maturity; the model assumes the Kuok Group banking relationships roll it at ~3.5%; RMB/HKD translation: most assets and revenue are RMB while the HKD is pegged to the USD; Capital allocation: three HK sites and a Shanghai Pudong site bought in 2026 at a rising-land-price moment; returns on this ~HK$10bn+ of new land are not in the explicit years; Cost of equity: at a 10% rate a 100bp move is worth roughly HK$2.5-3.0/share on the base case; HK rates track US rates through the peg</t>
  </si>
  <si>
    <t xml:space="preserve">Data sources</t>
  </si>
  <si>
    <t xml:space="preserve">price: Yahoo Finance chart API (0683.HK, HKD), regular close at inputs.price_as_of; 52-week range 17.07-26.10
financials: 0683.HK_Metrics.csv / core_metrics (HKD millions, FY2017-FY2025 annuals plus H1 FY2023-FY2026 interims); FY2025 Annual Report (underlying profit bridge lines 330-360, segment revenue 65-72, NAV/share 85, gearing 97, Jinling status 1261-1292, unrecognised sales 466) and 1H2026 Interim Report (UNP 217-221, unrecognised sales 347-352, net debt and total equity 998-999, shares 2156/2978, effective interest rate 320)
qualitative: 0683.HK_Analysis.json (2026-10-11): business model, Jinling concentration, Mainland office oversupply, HK cycle inflection, deleveraging path, broker targets HK$22.70 (HSBC) and HK$25.55 (Citi)</t>
  </si>
  <si>
    <t xml:space="preserve">Scenario narrative: bear</t>
  </si>
  <si>
    <t xml:space="preserve">Jinling handovers slip and the net take is squeezed by land appreciation tax and another HK$1bn-plus of Mainland provisions; sales outside Shanghai remain 'disappointingly slow', so there is no second project to replace Jinling after FY2028; Shanghai and Shenzhen office vacancy of 20-30% forces rent cuts across the Kerry Centres and HK office and retail stay soft; RMB weakness translates into lower HKD earnings. Underlying profit recovers only to ~HK$2.5bn at the FY2028 peak and settles below HK$2bn, so the HK$1.35 dividend is uncovered and eventually cut; the market re-rates the stock toward 9x a smaller earnings base. The balance sheet survives (gearing ~30%, 2.4-year average debt maturity refinanced at the Kuok Group's banking relationships), so this is an earnings-and-multiple bear, not a solvency bear.</t>
  </si>
  <si>
    <t xml:space="preserve">Scenario narrative: base</t>
  </si>
  <si>
    <t xml:space="preserve">The visible pipeline plays out roughly on schedule. HK$29.8bn of presold stock (HK$23.9bn Shanghai Jinling Residences at record per-sq-m prices, HK$5.9bn Hong Kong led by Mont Verra) is handed over and booked across FY2026-FY2028, lifting underlying profit from a FY2025 trough of HK$2.0bn to a FY2028 peak near HK$3.7bn, then fading to ~HK$2.8bn by FY2030 as the Jinling tail runs off while the Huangpu mixed-use project, the three new HK sites and the Shanghai Pudong site are still being built. Rental income is flat-to-down: Mainland office oversupply (Shanghai Grade-A vacancy &gt;20%) erodes Kerry Centre rents at roughly the pace that the HK apartment-for-lease book and new IP completions add. Gearing keeps falling with sales proceeds and the HK$1.35 dividend is held. Out-year growth 2%, terminal 1.5%, exit capped at 12x UNP.</t>
  </si>
  <si>
    <t xml:space="preserve">Scenario narrative: bull</t>
  </si>
  <si>
    <t xml:space="preserve">The Hong Kong residential cycle that was inflecting in 1H2026 (land prices +40% YoY, inventory months at a 3-year low, Mainland wealth inflows) carries through to the new HK sites at full margins; Jinling's remaining phases keep selling out at record prices with no further provisions; Mainland office rents find a floor in 2027 as supply additions slow; the Huangpu MUD commercial portion opens 2029-2031 and adds a second Jing An Kerry Centre-scale rental stream; HKD rates fall and the 3.5% effective interest rate drifts toward 3%. Underlying profit peaks near HK$4.6bn in FY2028 and settles around HK$3.7bn, growing 3% as the 6.5m sq ft IP pipeline fills. Terminal growth 2%, exit 14x.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</si>
  <si>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</si>
  <si>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</si>
  <si>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</si>
  <si>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</si>
  <si>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</si>
  <si>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</si>
  <si>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</si>
  <si>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</si>
  <si>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</si>
  <si>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</si>
  <si>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</si>
  <si>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</si>
  <si>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</si>
  <si>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</si>
  <si>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</si>
  <si>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</si>
  <si>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</si>
  <si>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</si>
  <si>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</si>
  <si>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</si>
  <si>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</si>
  <si>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</si>
  <si>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</si>
  <si>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</si>
  <si>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</si>
  <si>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</si>
  <si>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</si>
  <si>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</si>
  <si>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</si>
  <si>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</si>
  <si>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</si>
  <si>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</si>
  <si>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</si>
  <si>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</si>
  <si>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</si>
  <si>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</si>
  <si>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</si>
  <si>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</si>
  <si>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</si>
  <si>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</si>
  <si>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</si>
  <si>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</si>
  <si>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</si>
  <si>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</si>
  <si>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</si>
  <si>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</si>
  <si>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</si>
  <si>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</si>
  <si>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</si>
  <si>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</si>
  <si>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</si>
  <si>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</si>
  <si>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</si>
  <si>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</si>
  <si>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</si>
  <si>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</si>
  <si>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</si>
  <si>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</si>
  <si>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</si>
  <si>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</si>
  <si>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</si>
  <si>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</si>
  <si>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</si>
  <si>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</si>
  <si>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</si>
  <si>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</si>
  <si>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</si>
  <si>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</si>
  <si>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</si>
  <si>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</si>
  <si>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</si>
  <si>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</si>
  <si>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</si>
  <si>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</si>
  <si>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0683.HK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</si>
  <si>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</si>
  <si>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</si>
  <si>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</si>
  <si>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</si>
  <si>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</si>
  <si>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</si>
  <si>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</si>
  <si>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</si>
  <si>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</si>
  <si>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</si>
  <si>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</si>
  <si>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</si>
  <si>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</si>
  <si>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</si>
  <si>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</si>
  <si>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</si>
  <si>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</si>
  <si>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</si>
  <si>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</si>
  <si>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</si>
  <si>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</si>
  <si>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</si>
  <si>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</si>
  <si>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</si>
  <si>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</si>
  <si>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</si>
  <si>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</si>
  <si>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</si>
  <si>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</si>
  <si>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</si>
  <si>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0683.HK owner-FCF component DCF: base case (millions, HKD)</t>
  </si>
  <si>
    <t xml:space="preserve">0683.HK owner-FCF component DCF: bull case (millions, HKD)</t>
  </si>
  <si>
    <t xml:space="preserve">0683.HK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</si>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</sst>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17.98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35548.1</v>
      </c>
      <c r="C2" s="0" t="n">
        <v>25802.6</v>
      </c>
      <c r="D2" s="0" t="n">
        <v>9745.5</v>
      </c>
      <c r="E2" s="0" t="n">
        <v>27.4</v>
      </c>
      <c r="F2" s="0" t="n">
        <v>11565.9</v>
      </c>
      <c r="G2" s="0" t="n">
        <v>32.5</v>
      </c>
      <c r="I2" s="0" t="n">
        <v>9242.1</v>
      </c>
      <c r="J2" s="0" t="n">
        <v>26</v>
      </c>
      <c r="K2" s="0" t="n">
        <v>6.4</v>
      </c>
      <c r="L2" s="0" t="n">
        <v>11083.7</v>
      </c>
      <c r="M2" s="0" t="n">
        <v>97.7</v>
      </c>
      <c r="N2" s="0" t="n">
        <v>10986</v>
      </c>
      <c r="O2" s="0" t="n">
        <v>94349.5</v>
      </c>
      <c r="P2" s="0" t="n">
        <v>173303.8</v>
      </c>
      <c r="Q2" s="0" t="n">
        <v>65592</v>
      </c>
      <c r="R2" s="0" t="n">
        <v>38021.8</v>
      </c>
      <c r="S2" s="0" t="n">
        <v>13151.7</v>
      </c>
      <c r="T2" s="0" t="n">
        <v>1443.94</v>
      </c>
      <c r="AA2" s="0" t="s">
        <v>17</v>
      </c>
      <c r="AB2" s="0" t="s">
        <v>14</v>
      </c>
      <c r="AC2" s="0" t="n">
        <v>10210.7</v>
      </c>
    </row>
    <row r="3" customFormat="false" ht="15" hidden="false" customHeight="false" outlineLevel="0" collapsed="false">
      <c r="A3" s="0" t="s">
        <v>65</v>
      </c>
      <c r="B3" s="0" t="n">
        <v>21433.2</v>
      </c>
      <c r="C3" s="0" t="n">
        <v>11965.1</v>
      </c>
      <c r="D3" s="0" t="n">
        <v>9468.1</v>
      </c>
      <c r="E3" s="0" t="n">
        <v>44.2</v>
      </c>
      <c r="F3" s="0" t="n">
        <v>10356.9</v>
      </c>
      <c r="G3" s="0" t="n">
        <v>48.3</v>
      </c>
      <c r="I3" s="0" t="n">
        <v>7499.3</v>
      </c>
      <c r="J3" s="0" t="n">
        <v>35</v>
      </c>
      <c r="K3" s="0" t="n">
        <v>5.16</v>
      </c>
      <c r="L3" s="0" t="n">
        <v>16022.1</v>
      </c>
      <c r="M3" s="0" t="n">
        <v>1522.1</v>
      </c>
      <c r="N3" s="0" t="n">
        <v>14500</v>
      </c>
      <c r="O3" s="0" t="n">
        <v>97541</v>
      </c>
      <c r="P3" s="0" t="n">
        <v>170184.8</v>
      </c>
      <c r="Q3" s="0" t="n">
        <v>59243.1</v>
      </c>
      <c r="R3" s="0" t="n">
        <v>33111.2</v>
      </c>
      <c r="S3" s="0" t="n">
        <v>13861</v>
      </c>
      <c r="T3" s="0" t="n">
        <v>1452.42</v>
      </c>
      <c r="AA3" s="0" t="s">
        <v>17</v>
      </c>
      <c r="AB3" s="0" t="s">
        <v>14</v>
      </c>
      <c r="AC3" s="0" t="n">
        <v>8736.2</v>
      </c>
    </row>
    <row r="4" customFormat="false" ht="15" hidden="false" customHeight="false" outlineLevel="0" collapsed="false">
      <c r="A4" s="0" t="s">
        <v>66</v>
      </c>
      <c r="B4" s="0" t="n">
        <v>18025.4</v>
      </c>
      <c r="C4" s="0" t="n">
        <v>9041.4</v>
      </c>
      <c r="D4" s="0" t="n">
        <v>8984</v>
      </c>
      <c r="E4" s="0" t="n">
        <v>49.8</v>
      </c>
      <c r="F4" s="0" t="n">
        <v>9263.6</v>
      </c>
      <c r="G4" s="0" t="n">
        <v>51.4</v>
      </c>
      <c r="I4" s="0" t="n">
        <v>6897.5</v>
      </c>
      <c r="J4" s="0" t="n">
        <v>38.3</v>
      </c>
      <c r="K4" s="0" t="n">
        <v>4.74</v>
      </c>
      <c r="L4" s="0" t="n">
        <v>3819.7</v>
      </c>
      <c r="M4" s="0" t="n">
        <v>2156.2</v>
      </c>
      <c r="N4" s="0" t="n">
        <v>1663.5</v>
      </c>
      <c r="O4" s="0" t="n">
        <v>101704.5</v>
      </c>
      <c r="P4" s="0" t="n">
        <v>177884</v>
      </c>
      <c r="Q4" s="0" t="n">
        <v>62501</v>
      </c>
      <c r="R4" s="0" t="n">
        <v>39541.4</v>
      </c>
      <c r="S4" s="0" t="n">
        <v>11743.8</v>
      </c>
      <c r="T4" s="0" t="n">
        <v>1455.97</v>
      </c>
      <c r="AA4" s="0" t="s">
        <v>17</v>
      </c>
      <c r="AB4" s="0" t="s">
        <v>14</v>
      </c>
      <c r="AC4" s="0" t="n">
        <v>7693.1</v>
      </c>
    </row>
    <row r="5" customFormat="false" ht="15" hidden="false" customHeight="false" outlineLevel="0" collapsed="false">
      <c r="A5" s="0" t="s">
        <v>67</v>
      </c>
      <c r="B5" s="0" t="n">
        <v>14526.1</v>
      </c>
      <c r="C5" s="0" t="n">
        <v>6139.2</v>
      </c>
      <c r="D5" s="0" t="n">
        <v>8386.9</v>
      </c>
      <c r="E5" s="0" t="n">
        <v>57.7</v>
      </c>
      <c r="F5" s="0" t="n">
        <v>8662.1</v>
      </c>
      <c r="G5" s="0" t="n">
        <v>59.6</v>
      </c>
      <c r="I5" s="0" t="n">
        <v>5403.2</v>
      </c>
      <c r="J5" s="0" t="n">
        <v>37.2</v>
      </c>
      <c r="K5" s="0" t="n">
        <v>3.71</v>
      </c>
      <c r="L5" s="0" t="n">
        <v>5954.4</v>
      </c>
      <c r="M5" s="0" t="n">
        <v>944.5</v>
      </c>
      <c r="N5" s="0" t="n">
        <v>5009.9</v>
      </c>
      <c r="O5" s="0" t="n">
        <v>109872.5</v>
      </c>
      <c r="P5" s="0" t="n">
        <v>195769.2</v>
      </c>
      <c r="Q5" s="0" t="n">
        <v>71112.8</v>
      </c>
      <c r="R5" s="0" t="n">
        <v>44534.5</v>
      </c>
      <c r="S5" s="0" t="n">
        <v>16429.5</v>
      </c>
      <c r="T5" s="0" t="n">
        <v>1456.5</v>
      </c>
      <c r="AA5" s="0" t="s">
        <v>17</v>
      </c>
      <c r="AB5" s="0" t="s">
        <v>14</v>
      </c>
      <c r="AC5" s="0" t="n">
        <v>5928.4</v>
      </c>
    </row>
    <row r="6" customFormat="false" ht="15" hidden="false" customHeight="false" outlineLevel="0" collapsed="false">
      <c r="A6" s="0" t="s">
        <v>68</v>
      </c>
      <c r="B6" s="0" t="n">
        <v>15326.8</v>
      </c>
      <c r="C6" s="0" t="n">
        <v>6583.8</v>
      </c>
      <c r="D6" s="0" t="n">
        <v>8743</v>
      </c>
      <c r="E6" s="0" t="n">
        <v>57</v>
      </c>
      <c r="F6" s="0" t="n">
        <v>11398.9</v>
      </c>
      <c r="G6" s="0" t="n">
        <v>74.4</v>
      </c>
      <c r="I6" s="0" t="n">
        <v>10358</v>
      </c>
      <c r="J6" s="0" t="n">
        <v>67.6</v>
      </c>
      <c r="K6" s="0" t="n">
        <v>7.11</v>
      </c>
      <c r="L6" s="0" t="n">
        <v>5478.8</v>
      </c>
      <c r="M6" s="0" t="n">
        <v>278.3</v>
      </c>
      <c r="N6" s="0" t="n">
        <v>5200.5</v>
      </c>
      <c r="O6" s="0" t="n">
        <v>116828.9</v>
      </c>
      <c r="P6" s="0" t="n">
        <v>200055.6</v>
      </c>
      <c r="Q6" s="0" t="n">
        <v>67742.4</v>
      </c>
      <c r="R6" s="0" t="n">
        <v>37478.5</v>
      </c>
      <c r="S6" s="0" t="n">
        <v>16513.6</v>
      </c>
      <c r="T6" s="0" t="n">
        <v>1456.31</v>
      </c>
      <c r="AA6" s="0" t="s">
        <v>17</v>
      </c>
      <c r="AB6" s="0" t="s">
        <v>14</v>
      </c>
      <c r="AC6" s="0" t="n">
        <v>11290</v>
      </c>
    </row>
    <row r="7" customFormat="false" ht="15" hidden="false" customHeight="false" outlineLevel="0" collapsed="false">
      <c r="A7" s="0" t="s">
        <v>69</v>
      </c>
      <c r="B7" s="0" t="n">
        <v>14590.5</v>
      </c>
      <c r="C7" s="0" t="n">
        <v>7605.8</v>
      </c>
      <c r="D7" s="0" t="n">
        <v>6984.7</v>
      </c>
      <c r="E7" s="0" t="n">
        <v>47.9</v>
      </c>
      <c r="F7" s="0" t="n">
        <v>4139.3</v>
      </c>
      <c r="G7" s="0" t="n">
        <v>28.4</v>
      </c>
      <c r="I7" s="0" t="n">
        <v>2754.8</v>
      </c>
      <c r="J7" s="0" t="n">
        <v>18.9</v>
      </c>
      <c r="K7" s="0" t="n">
        <v>1.9</v>
      </c>
      <c r="L7" s="0" t="n">
        <v>-360</v>
      </c>
      <c r="M7" s="0" t="n">
        <v>419.5</v>
      </c>
      <c r="N7" s="0" t="n">
        <v>-779.5</v>
      </c>
      <c r="O7" s="0" t="n">
        <v>108786.9</v>
      </c>
      <c r="P7" s="0" t="n">
        <v>201474.8</v>
      </c>
      <c r="Q7" s="0" t="n">
        <v>78992.6</v>
      </c>
      <c r="R7" s="0" t="n">
        <v>52870.3</v>
      </c>
      <c r="S7" s="0" t="n">
        <v>11346.6</v>
      </c>
      <c r="T7" s="0" t="n">
        <v>1453.22</v>
      </c>
      <c r="U7" s="0" t="n">
        <v>0</v>
      </c>
      <c r="AA7" s="0" t="s">
        <v>17</v>
      </c>
      <c r="AB7" s="0" t="s">
        <v>14</v>
      </c>
      <c r="AC7" s="0" t="n">
        <v>3474.9</v>
      </c>
    </row>
    <row r="8" customFormat="false" ht="15" hidden="false" customHeight="false" outlineLevel="0" collapsed="false">
      <c r="A8" s="0" t="s">
        <v>70</v>
      </c>
      <c r="B8" s="0" t="n">
        <v>13089.6</v>
      </c>
      <c r="C8" s="0" t="n">
        <v>6368.4</v>
      </c>
      <c r="D8" s="0" t="n">
        <v>6721.3</v>
      </c>
      <c r="E8" s="0" t="n">
        <v>51.3</v>
      </c>
      <c r="F8" s="0" t="n">
        <v>6101.5</v>
      </c>
      <c r="G8" s="0" t="n">
        <v>46.6</v>
      </c>
      <c r="I8" s="0" t="n">
        <v>3243.3</v>
      </c>
      <c r="J8" s="0" t="n">
        <v>24.8</v>
      </c>
      <c r="K8" s="0" t="n">
        <v>2.23</v>
      </c>
      <c r="L8" s="0" t="n">
        <v>4977.3</v>
      </c>
      <c r="M8" s="0" t="n">
        <v>372</v>
      </c>
      <c r="N8" s="0" t="n">
        <v>4605.3</v>
      </c>
      <c r="O8" s="0" t="n">
        <v>107256.6</v>
      </c>
      <c r="P8" s="0" t="n">
        <v>208432.4</v>
      </c>
      <c r="Q8" s="0" t="n">
        <v>87275.6</v>
      </c>
      <c r="R8" s="0" t="n">
        <v>55131.1</v>
      </c>
      <c r="S8" s="0" t="n">
        <v>13539.6</v>
      </c>
      <c r="T8" s="0" t="n">
        <v>1451.31</v>
      </c>
      <c r="U8" s="0" t="n">
        <v>0</v>
      </c>
      <c r="AA8" s="0" t="s">
        <v>17</v>
      </c>
      <c r="AB8" s="0" t="s">
        <v>14</v>
      </c>
      <c r="AC8" s="0" t="n">
        <v>4163.8</v>
      </c>
    </row>
    <row r="9" customFormat="false" ht="15" hidden="false" customHeight="false" outlineLevel="0" collapsed="false">
      <c r="A9" s="0" t="s">
        <v>71</v>
      </c>
      <c r="B9" s="0" t="n">
        <v>19499</v>
      </c>
      <c r="C9" s="0" t="n">
        <v>13113</v>
      </c>
      <c r="D9" s="0" t="n">
        <v>6386</v>
      </c>
      <c r="E9" s="0" t="n">
        <v>32.8</v>
      </c>
      <c r="F9" s="0" t="n">
        <v>2044</v>
      </c>
      <c r="G9" s="0" t="n">
        <v>10.5</v>
      </c>
      <c r="I9" s="0" t="n">
        <v>808</v>
      </c>
      <c r="J9" s="0" t="n">
        <v>4.1</v>
      </c>
      <c r="K9" s="0" t="n">
        <v>0.56</v>
      </c>
      <c r="L9" s="0" t="n">
        <v>1165</v>
      </c>
      <c r="M9" s="0" t="n">
        <v>709</v>
      </c>
      <c r="N9" s="0" t="n">
        <v>456</v>
      </c>
      <c r="O9" s="0" t="n">
        <v>103311</v>
      </c>
      <c r="P9" s="0" t="n">
        <v>201348</v>
      </c>
      <c r="Q9" s="0" t="n">
        <v>84701</v>
      </c>
      <c r="R9" s="0" t="n">
        <v>59581</v>
      </c>
      <c r="S9" s="0" t="n">
        <v>10979</v>
      </c>
      <c r="T9" s="0" t="n">
        <v>1451.31</v>
      </c>
      <c r="U9" s="0" t="n">
        <v>0</v>
      </c>
      <c r="AA9" s="0" t="s">
        <v>17</v>
      </c>
      <c r="AB9" s="0" t="s">
        <v>14</v>
      </c>
      <c r="AC9" s="0" t="n">
        <v>1512</v>
      </c>
    </row>
    <row r="10" customFormat="false" ht="15" hidden="false" customHeight="false" outlineLevel="0" collapsed="false">
      <c r="A10" s="0" t="s">
        <v>72</v>
      </c>
      <c r="B10" s="0" t="n">
        <v>19568</v>
      </c>
      <c r="C10" s="0" t="n">
        <v>13910</v>
      </c>
      <c r="D10" s="0" t="n">
        <v>5658</v>
      </c>
      <c r="E10" s="0" t="n">
        <v>28.9</v>
      </c>
      <c r="F10" s="0" t="n">
        <v>2918</v>
      </c>
      <c r="G10" s="0" t="n">
        <v>14.9</v>
      </c>
      <c r="I10" s="0" t="n">
        <v>938</v>
      </c>
      <c r="J10" s="0" t="n">
        <v>4.8</v>
      </c>
      <c r="K10" s="0" t="n">
        <v>0.65</v>
      </c>
      <c r="L10" s="0" t="n">
        <v>14194</v>
      </c>
      <c r="M10" s="0" t="n">
        <v>1634</v>
      </c>
      <c r="N10" s="0" t="n">
        <v>12560</v>
      </c>
      <c r="O10" s="0" t="n">
        <v>105272</v>
      </c>
      <c r="P10" s="0" t="n">
        <v>209311</v>
      </c>
      <c r="Q10" s="0" t="n">
        <v>90120</v>
      </c>
      <c r="R10" s="0" t="n">
        <v>55770</v>
      </c>
      <c r="S10" s="0" t="n">
        <v>12332</v>
      </c>
      <c r="T10" s="0" t="n">
        <v>1446.63</v>
      </c>
      <c r="U10" s="0" t="n">
        <v>19</v>
      </c>
      <c r="AA10" s="0" t="s">
        <v>17</v>
      </c>
      <c r="AB10" s="0" t="s">
        <v>14</v>
      </c>
      <c r="AC10" s="0" t="n">
        <v>1306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17.98</v>
      </c>
    </row>
    <row r="3" customFormat="false" ht="15" hidden="false" customHeight="false" outlineLevel="0" collapsed="false">
      <c r="A3" s="0" t="s">
        <v>76</v>
      </c>
      <c r="B3" s="3" t="n">
        <v>1446.5</v>
      </c>
    </row>
    <row r="4" customFormat="false" ht="15" hidden="false" customHeight="false" outlineLevel="0" collapsed="false">
      <c r="A4" s="0" t="s">
        <v>77</v>
      </c>
      <c r="B4" s="3" t="n">
        <v>0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2008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-15</v>
      </c>
      <c r="D13" s="3" t="n">
        <v>29</v>
      </c>
      <c r="E13" s="3" t="n">
        <v>14</v>
      </c>
      <c r="F13" s="3" t="n">
        <v>-16</v>
      </c>
      <c r="G13" s="3" t="n">
        <v>-10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97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0.5</v>
      </c>
    </row>
    <row r="22" customFormat="false" ht="15" hidden="false" customHeight="false" outlineLevel="0" collapsed="false">
      <c r="A22" s="0" t="s">
        <v>105</v>
      </c>
      <c r="B22" s="3" t="n">
        <v>9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-5</v>
      </c>
      <c r="D27" s="3" t="n">
        <v>60</v>
      </c>
      <c r="E27" s="3" t="n">
        <v>20</v>
      </c>
      <c r="F27" s="3" t="n">
        <v>-15</v>
      </c>
      <c r="G27" s="3" t="n">
        <v>-10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1.5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5</v>
      </c>
      <c r="D41" s="3" t="n">
        <v>81</v>
      </c>
      <c r="E41" s="3" t="n">
        <v>21</v>
      </c>
      <c r="F41" s="3" t="n">
        <v>-13</v>
      </c>
      <c r="G41" s="3" t="n">
        <v>-7.5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2</v>
      </c>
    </row>
    <row r="50" customFormat="false" ht="15" hidden="false" customHeight="false" outlineLevel="0" collapsed="false">
      <c r="A50" s="0" t="s">
        <v>105</v>
      </c>
      <c r="B50" s="3" t="n">
        <v>14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-15</v>
      </c>
      <c r="D5" s="4" t="n">
        <f aca="false">Assumptions!D13</f>
        <v>29</v>
      </c>
      <c r="E5" s="4" t="n">
        <f aca="false">Assumptions!E13</f>
        <v>14</v>
      </c>
      <c r="F5" s="4" t="n">
        <f aca="false">Assumptions!F13</f>
        <v>-16</v>
      </c>
      <c r="G5" s="4" t="n">
        <f aca="false">Assumptions!G13</f>
        <v>-10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2008</v>
      </c>
      <c r="C6" s="0" t="n">
        <f aca="false">B6*(1+C5/100)</f>
        <v>1706.8</v>
      </c>
      <c r="D6" s="0" t="n">
        <f aca="false">C6*(1+D5/100)</f>
        <v>2201.772</v>
      </c>
      <c r="E6" s="0" t="n">
        <f aca="false">D6*(1+E5/100)</f>
        <v>2510.02008</v>
      </c>
      <c r="F6" s="0" t="n">
        <f aca="false">E6*(1+F5/100)</f>
        <v>2108.4168672</v>
      </c>
      <c r="G6" s="0" t="n">
        <f aca="false">F6*(1+G5/100)</f>
        <v>1897.57518048</v>
      </c>
      <c r="H6" s="0" t="n">
        <f aca="false">G6*(1+H5/100)</f>
        <v>1916.5509322848</v>
      </c>
      <c r="I6" s="0" t="n">
        <f aca="false">H6*(1+I5/100)</f>
        <v>1935.71644160765</v>
      </c>
      <c r="J6" s="0" t="n">
        <f aca="false">I6*(1+J5/100)</f>
        <v>1955.07360602372</v>
      </c>
      <c r="K6" s="0" t="n">
        <f aca="false">J6*(1+K5/100)</f>
        <v>1974.62434208396</v>
      </c>
      <c r="L6" s="0" t="n">
        <f aca="false">K6*(1+L5/100)</f>
        <v>1994.3705855048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1706.8</v>
      </c>
      <c r="D8" s="0" t="n">
        <f aca="false">D6*D7/100</f>
        <v>2201.772</v>
      </c>
      <c r="E8" s="0" t="n">
        <f aca="false">E6*E7/100</f>
        <v>2510.02008</v>
      </c>
      <c r="F8" s="0" t="n">
        <f aca="false">F6*F7/100</f>
        <v>2108.4168672</v>
      </c>
      <c r="G8" s="0" t="n">
        <f aca="false">G6*G7/100</f>
        <v>1897.57518048</v>
      </c>
      <c r="H8" s="0" t="n">
        <f aca="false">H6*H7/100</f>
        <v>1916.5509322848</v>
      </c>
      <c r="I8" s="0" t="n">
        <f aca="false">I6*I7/100</f>
        <v>1935.71644160765</v>
      </c>
      <c r="J8" s="0" t="n">
        <f aca="false">J6*J7/100</f>
        <v>1955.07360602372</v>
      </c>
      <c r="K8" s="0" t="n">
        <f aca="false">K6*K7/100</f>
        <v>1974.62434208396</v>
      </c>
      <c r="L8" s="0" t="n">
        <f aca="false">L6*L7/100</f>
        <v>1994.3705855048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1706.8</v>
      </c>
      <c r="D11" s="0" t="n">
        <f aca="false">D8+D10+D24</f>
        <v>2201.772</v>
      </c>
      <c r="E11" s="0" t="n">
        <f aca="false">E8+E10+E24</f>
        <v>2510.02008</v>
      </c>
      <c r="F11" s="0" t="n">
        <f aca="false">F8+F10+F24</f>
        <v>2108.4168672</v>
      </c>
      <c r="G11" s="0" t="n">
        <f aca="false">G8+G10+G24</f>
        <v>1897.57518048</v>
      </c>
      <c r="H11" s="0" t="n">
        <f aca="false">H8+H10+H24</f>
        <v>1916.5509322848</v>
      </c>
      <c r="I11" s="0" t="n">
        <f aca="false">I8+I10+I24</f>
        <v>1935.71644160765</v>
      </c>
      <c r="J11" s="0" t="n">
        <f aca="false">J8+J10+J24</f>
        <v>1955.07360602372</v>
      </c>
      <c r="K11" s="0" t="n">
        <f aca="false">K8+K10+K24</f>
        <v>1974.62434208396</v>
      </c>
      <c r="L11" s="0" t="n">
        <f aca="false">L8+L10+L24</f>
        <v>1994.3705855048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1706.8</v>
      </c>
      <c r="D13" s="0" t="n">
        <f aca="false">D11+D12</f>
        <v>2201.772</v>
      </c>
      <c r="E13" s="0" t="n">
        <f aca="false">E11+E12</f>
        <v>2510.02008</v>
      </c>
      <c r="F13" s="0" t="n">
        <f aca="false">F11+F12</f>
        <v>2108.4168672</v>
      </c>
      <c r="G13" s="0" t="n">
        <f aca="false">G11+G12</f>
        <v>1897.57518048</v>
      </c>
      <c r="H13" s="0" t="n">
        <f aca="false">H11+H12</f>
        <v>1916.5509322848</v>
      </c>
      <c r="I13" s="0" t="n">
        <f aca="false">I11+I12</f>
        <v>1935.71644160765</v>
      </c>
      <c r="J13" s="0" t="n">
        <f aca="false">J11+J12</f>
        <v>1955.07360602372</v>
      </c>
      <c r="K13" s="0" t="n">
        <f aca="false">K11+K12</f>
        <v>1974.62434208396</v>
      </c>
      <c r="L13" s="0" t="n">
        <f aca="false">L11+L12</f>
        <v>1994.3705855048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1706.8</v>
      </c>
      <c r="D15" s="0" t="n">
        <f aca="false">D13-MAX(0,D13)*D14/100</f>
        <v>2201.772</v>
      </c>
      <c r="E15" s="0" t="n">
        <f aca="false">E13-MAX(0,E13)*E14/100</f>
        <v>2510.02008</v>
      </c>
      <c r="F15" s="0" t="n">
        <f aca="false">F13-MAX(0,F13)*F14/100</f>
        <v>2108.4168672</v>
      </c>
      <c r="G15" s="0" t="n">
        <f aca="false">G13-MAX(0,G13)*G14/100</f>
        <v>1897.57518048</v>
      </c>
      <c r="H15" s="0" t="n">
        <f aca="false">H13-MAX(0,H13)*H14/100</f>
        <v>1916.5509322848</v>
      </c>
      <c r="I15" s="0" t="n">
        <f aca="false">I13-MAX(0,I13)*I14/100</f>
        <v>1935.71644160765</v>
      </c>
      <c r="J15" s="0" t="n">
        <f aca="false">J13-MAX(0,J13)*J14/100</f>
        <v>1955.07360602372</v>
      </c>
      <c r="K15" s="0" t="n">
        <f aca="false">K13-MAX(0,K13)*K14/100</f>
        <v>1974.62434208396</v>
      </c>
      <c r="L15" s="0" t="n">
        <f aca="false">L13-MAX(0,L13)*L14/100</f>
        <v>1994.3705855048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1706.8</v>
      </c>
      <c r="D19" s="0" t="n">
        <f aca="false">D15+D16+D17+D18</f>
        <v>2201.772</v>
      </c>
      <c r="E19" s="0" t="n">
        <f aca="false">E15+E16+E17+E18</f>
        <v>2510.02008</v>
      </c>
      <c r="F19" s="0" t="n">
        <f aca="false">F15+F16+F17+F18</f>
        <v>2108.4168672</v>
      </c>
      <c r="G19" s="0" t="n">
        <f aca="false">G15+G16+G17+G18</f>
        <v>1897.57518048</v>
      </c>
      <c r="H19" s="0" t="n">
        <f aca="false">H15+H16+H17+H18</f>
        <v>1916.5509322848</v>
      </c>
      <c r="I19" s="0" t="n">
        <f aca="false">I15+I16+I17+I18</f>
        <v>1935.71644160765</v>
      </c>
      <c r="J19" s="0" t="n">
        <f aca="false">J15+J16+J17+J18</f>
        <v>1955.07360602372</v>
      </c>
      <c r="K19" s="0" t="n">
        <f aca="false">K15+K16+K17+K18</f>
        <v>1974.62434208396</v>
      </c>
      <c r="L19" s="0" t="n">
        <f aca="false">L15+L16+L17+L18</f>
        <v>1994.3705855048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1551.63636363636</v>
      </c>
      <c r="D21" s="0" t="n">
        <f aca="false">D19*D20</f>
        <v>1819.64628099174</v>
      </c>
      <c r="E21" s="0" t="n">
        <f aca="false">E19*E20</f>
        <v>1885.81523666416</v>
      </c>
      <c r="F21" s="0" t="n">
        <f aca="false">F19*F20</f>
        <v>1440.07708981627</v>
      </c>
      <c r="G21" s="0" t="n">
        <f aca="false">G19*G20</f>
        <v>1178.24489166786</v>
      </c>
      <c r="H21" s="0" t="n">
        <f aca="false">H19*H20</f>
        <v>1081.84303689503</v>
      </c>
      <c r="I21" s="0" t="n">
        <f aca="false">I19*I20</f>
        <v>993.32860660362</v>
      </c>
      <c r="J21" s="0" t="n">
        <f aca="false">J19*J20</f>
        <v>912.056266063324</v>
      </c>
      <c r="K21" s="0" t="n">
        <f aca="false">K19*K20</f>
        <v>837.433480658143</v>
      </c>
      <c r="L21" s="0" t="n">
        <f aca="false">L19*L20</f>
        <v>768.916195877022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12468.9974488735</v>
      </c>
    </row>
    <row r="31" customFormat="false" ht="15" hidden="false" customHeight="false" outlineLevel="0" collapsed="false">
      <c r="A31" s="0" t="s">
        <v>127</v>
      </c>
      <c r="B31" s="0" t="n">
        <f aca="false">L19</f>
        <v>1994.3705855048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21098.3414571824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17949.3352695432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17949.3352695432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6920.2457628932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19389.2432117667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19389.2432117667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13.4042469490264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-0.254491270910655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13.4042469490264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13823.0512995333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9.41228613115157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-5</v>
      </c>
      <c r="D5" s="4" t="n">
        <f aca="false">Assumptions!D27</f>
        <v>60</v>
      </c>
      <c r="E5" s="4" t="n">
        <f aca="false">Assumptions!E27</f>
        <v>20</v>
      </c>
      <c r="F5" s="4" t="n">
        <f aca="false">Assumptions!F27</f>
        <v>-15</v>
      </c>
      <c r="G5" s="4" t="n">
        <f aca="false">Assumptions!G27</f>
        <v>-10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2008</v>
      </c>
      <c r="C6" s="0" t="n">
        <f aca="false">B6*(1+C5/100)</f>
        <v>1907.6</v>
      </c>
      <c r="D6" s="0" t="n">
        <f aca="false">C6*(1+D5/100)</f>
        <v>3052.16</v>
      </c>
      <c r="E6" s="0" t="n">
        <f aca="false">D6*(1+E5/100)</f>
        <v>3662.592</v>
      </c>
      <c r="F6" s="0" t="n">
        <f aca="false">E6*(1+F5/100)</f>
        <v>3113.2032</v>
      </c>
      <c r="G6" s="0" t="n">
        <f aca="false">F6*(1+G5/100)</f>
        <v>2801.88288</v>
      </c>
      <c r="H6" s="0" t="n">
        <f aca="false">G6*(1+H5/100)</f>
        <v>2857.9205376</v>
      </c>
      <c r="I6" s="0" t="n">
        <f aca="false">H6*(1+I5/100)</f>
        <v>2915.078948352</v>
      </c>
      <c r="J6" s="0" t="n">
        <f aca="false">I6*(1+J5/100)</f>
        <v>2973.38052731904</v>
      </c>
      <c r="K6" s="0" t="n">
        <f aca="false">J6*(1+K5/100)</f>
        <v>3032.84813786542</v>
      </c>
      <c r="L6" s="0" t="n">
        <f aca="false">K6*(1+L5/100)</f>
        <v>3093.50510062273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1907.6</v>
      </c>
      <c r="D8" s="0" t="n">
        <f aca="false">D6*D7/100</f>
        <v>3052.16</v>
      </c>
      <c r="E8" s="0" t="n">
        <f aca="false">E6*E7/100</f>
        <v>3662.592</v>
      </c>
      <c r="F8" s="0" t="n">
        <f aca="false">F6*F7/100</f>
        <v>3113.2032</v>
      </c>
      <c r="G8" s="0" t="n">
        <f aca="false">G6*G7/100</f>
        <v>2801.88288</v>
      </c>
      <c r="H8" s="0" t="n">
        <f aca="false">H6*H7/100</f>
        <v>2857.9205376</v>
      </c>
      <c r="I8" s="0" t="n">
        <f aca="false">I6*I7/100</f>
        <v>2915.078948352</v>
      </c>
      <c r="J8" s="0" t="n">
        <f aca="false">J6*J7/100</f>
        <v>2973.38052731904</v>
      </c>
      <c r="K8" s="0" t="n">
        <f aca="false">K6*K7/100</f>
        <v>3032.84813786542</v>
      </c>
      <c r="L8" s="0" t="n">
        <f aca="false">L6*L7/100</f>
        <v>3093.50510062273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1907.6</v>
      </c>
      <c r="D11" s="0" t="n">
        <f aca="false">D8+D10+D24</f>
        <v>3052.16</v>
      </c>
      <c r="E11" s="0" t="n">
        <f aca="false">E8+E10+E24</f>
        <v>3662.592</v>
      </c>
      <c r="F11" s="0" t="n">
        <f aca="false">F8+F10+F24</f>
        <v>3113.2032</v>
      </c>
      <c r="G11" s="0" t="n">
        <f aca="false">G8+G10+G24</f>
        <v>2801.88288</v>
      </c>
      <c r="H11" s="0" t="n">
        <f aca="false">H8+H10+H24</f>
        <v>2857.9205376</v>
      </c>
      <c r="I11" s="0" t="n">
        <f aca="false">I8+I10+I24</f>
        <v>2915.078948352</v>
      </c>
      <c r="J11" s="0" t="n">
        <f aca="false">J8+J10+J24</f>
        <v>2973.38052731904</v>
      </c>
      <c r="K11" s="0" t="n">
        <f aca="false">K8+K10+K24</f>
        <v>3032.84813786542</v>
      </c>
      <c r="L11" s="0" t="n">
        <f aca="false">L8+L10+L24</f>
        <v>3093.50510062273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1907.6</v>
      </c>
      <c r="D13" s="0" t="n">
        <f aca="false">D11+D12</f>
        <v>3052.16</v>
      </c>
      <c r="E13" s="0" t="n">
        <f aca="false">E11+E12</f>
        <v>3662.592</v>
      </c>
      <c r="F13" s="0" t="n">
        <f aca="false">F11+F12</f>
        <v>3113.2032</v>
      </c>
      <c r="G13" s="0" t="n">
        <f aca="false">G11+G12</f>
        <v>2801.88288</v>
      </c>
      <c r="H13" s="0" t="n">
        <f aca="false">H11+H12</f>
        <v>2857.9205376</v>
      </c>
      <c r="I13" s="0" t="n">
        <f aca="false">I11+I12</f>
        <v>2915.078948352</v>
      </c>
      <c r="J13" s="0" t="n">
        <f aca="false">J11+J12</f>
        <v>2973.38052731904</v>
      </c>
      <c r="K13" s="0" t="n">
        <f aca="false">K11+K12</f>
        <v>3032.84813786542</v>
      </c>
      <c r="L13" s="0" t="n">
        <f aca="false">L11+L12</f>
        <v>3093.50510062273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1907.6</v>
      </c>
      <c r="D15" s="0" t="n">
        <f aca="false">D13-MAX(0,D13)*D14/100</f>
        <v>3052.16</v>
      </c>
      <c r="E15" s="0" t="n">
        <f aca="false">E13-MAX(0,E13)*E14/100</f>
        <v>3662.592</v>
      </c>
      <c r="F15" s="0" t="n">
        <f aca="false">F13-MAX(0,F13)*F14/100</f>
        <v>3113.2032</v>
      </c>
      <c r="G15" s="0" t="n">
        <f aca="false">G13-MAX(0,G13)*G14/100</f>
        <v>2801.88288</v>
      </c>
      <c r="H15" s="0" t="n">
        <f aca="false">H13-MAX(0,H13)*H14/100</f>
        <v>2857.9205376</v>
      </c>
      <c r="I15" s="0" t="n">
        <f aca="false">I13-MAX(0,I13)*I14/100</f>
        <v>2915.078948352</v>
      </c>
      <c r="J15" s="0" t="n">
        <f aca="false">J13-MAX(0,J13)*J14/100</f>
        <v>2973.38052731904</v>
      </c>
      <c r="K15" s="0" t="n">
        <f aca="false">K13-MAX(0,K13)*K14/100</f>
        <v>3032.84813786542</v>
      </c>
      <c r="L15" s="0" t="n">
        <f aca="false">L13-MAX(0,L13)*L14/100</f>
        <v>3093.50510062273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-0</v>
      </c>
      <c r="G18" s="4" t="n">
        <f aca="false">(G6-F6)*Assumptions!$B$37/100</f>
        <v>-0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1907.6</v>
      </c>
      <c r="D19" s="0" t="n">
        <f aca="false">D15+D16+D17+D18</f>
        <v>3052.16</v>
      </c>
      <c r="E19" s="0" t="n">
        <f aca="false">E15+E16+E17+E18</f>
        <v>3662.592</v>
      </c>
      <c r="F19" s="0" t="n">
        <f aca="false">F15+F16+F17+F18</f>
        <v>3113.2032</v>
      </c>
      <c r="G19" s="0" t="n">
        <f aca="false">G15+G16+G17+G18</f>
        <v>2801.88288</v>
      </c>
      <c r="H19" s="0" t="n">
        <f aca="false">H15+H16+H17+H18</f>
        <v>2857.9205376</v>
      </c>
      <c r="I19" s="0" t="n">
        <f aca="false">I15+I16+I17+I18</f>
        <v>2915.078948352</v>
      </c>
      <c r="J19" s="0" t="n">
        <f aca="false">J15+J16+J17+J18</f>
        <v>2973.38052731904</v>
      </c>
      <c r="K19" s="0" t="n">
        <f aca="false">K15+K16+K17+K18</f>
        <v>3032.84813786542</v>
      </c>
      <c r="L19" s="0" t="n">
        <f aca="false">L15+L16+L17+L18</f>
        <v>3093.50510062273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1734.18181818182</v>
      </c>
      <c r="D21" s="0" t="n">
        <f aca="false">D19*D20</f>
        <v>2522.44628099174</v>
      </c>
      <c r="E21" s="0" t="n">
        <f aca="false">E19*E20</f>
        <v>2751.75957926371</v>
      </c>
      <c r="F21" s="0" t="n">
        <f aca="false">F19*F20</f>
        <v>2126.35967488559</v>
      </c>
      <c r="G21" s="0" t="n">
        <f aca="false">G19*G20</f>
        <v>1739.7488249064</v>
      </c>
      <c r="H21" s="0" t="n">
        <f aca="false">H19*H20</f>
        <v>1613.22163764048</v>
      </c>
      <c r="I21" s="0" t="n">
        <f aca="false">I19*I20</f>
        <v>1495.89642763026</v>
      </c>
      <c r="J21" s="0" t="n">
        <f aca="false">J19*J20</f>
        <v>1387.10396016624</v>
      </c>
      <c r="K21" s="0" t="n">
        <f aca="false">K19*K20</f>
        <v>1286.22367215415</v>
      </c>
      <c r="L21" s="0" t="n">
        <f aca="false">L19*L20</f>
        <v>1192.68013236112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17849.6220081815</v>
      </c>
    </row>
    <row r="31" customFormat="false" ht="15" hidden="false" customHeight="false" outlineLevel="0" collapsed="false">
      <c r="A31" s="0" t="s">
        <v>127</v>
      </c>
      <c r="B31" s="0" t="n">
        <f aca="false">L19</f>
        <v>3093.50510062273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36940.0903192008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37122.0612074728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36940.0903192008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14242.0039334887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32091.6259416702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32091.6259416702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22.1857075296717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0.233910318669174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22.1857075296717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23258.5753861635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13.9836060882577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5</v>
      </c>
      <c r="D5" s="4" t="n">
        <f aca="false">Assumptions!D41</f>
        <v>81</v>
      </c>
      <c r="E5" s="4" t="n">
        <f aca="false">Assumptions!E41</f>
        <v>21</v>
      </c>
      <c r="F5" s="4" t="n">
        <f aca="false">Assumptions!F41</f>
        <v>-13</v>
      </c>
      <c r="G5" s="4" t="n">
        <f aca="false">Assumptions!G41</f>
        <v>-7.5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2008</v>
      </c>
      <c r="C6" s="0" t="n">
        <f aca="false">B6*(1+C5/100)</f>
        <v>2108.4</v>
      </c>
      <c r="D6" s="0" t="n">
        <f aca="false">C6*(1+D5/100)</f>
        <v>3816.204</v>
      </c>
      <c r="E6" s="0" t="n">
        <f aca="false">D6*(1+E5/100)</f>
        <v>4617.60684</v>
      </c>
      <c r="F6" s="0" t="n">
        <f aca="false">E6*(1+F5/100)</f>
        <v>4017.3179508</v>
      </c>
      <c r="G6" s="0" t="n">
        <f aca="false">F6*(1+G5/100)</f>
        <v>3716.01910449</v>
      </c>
      <c r="H6" s="0" t="n">
        <f aca="false">G6*(1+H5/100)</f>
        <v>3827.4996776247</v>
      </c>
      <c r="I6" s="0" t="n">
        <f aca="false">H6*(1+I5/100)</f>
        <v>3942.32466795344</v>
      </c>
      <c r="J6" s="0" t="n">
        <f aca="false">I6*(1+J5/100)</f>
        <v>4060.59440799204</v>
      </c>
      <c r="K6" s="0" t="n">
        <f aca="false">J6*(1+K5/100)</f>
        <v>4182.41224023181</v>
      </c>
      <c r="L6" s="0" t="n">
        <f aca="false">K6*(1+L5/100)</f>
        <v>4307.88460743876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2108.4</v>
      </c>
      <c r="D8" s="0" t="n">
        <f aca="false">D6*D7/100</f>
        <v>3816.204</v>
      </c>
      <c r="E8" s="0" t="n">
        <f aca="false">E6*E7/100</f>
        <v>4617.60684</v>
      </c>
      <c r="F8" s="0" t="n">
        <f aca="false">F6*F7/100</f>
        <v>4017.3179508</v>
      </c>
      <c r="G8" s="0" t="n">
        <f aca="false">G6*G7/100</f>
        <v>3716.01910449</v>
      </c>
      <c r="H8" s="0" t="n">
        <f aca="false">H6*H7/100</f>
        <v>3827.4996776247</v>
      </c>
      <c r="I8" s="0" t="n">
        <f aca="false">I6*I7/100</f>
        <v>3942.32466795344</v>
      </c>
      <c r="J8" s="0" t="n">
        <f aca="false">J6*J7/100</f>
        <v>4060.59440799204</v>
      </c>
      <c r="K8" s="0" t="n">
        <f aca="false">K6*K7/100</f>
        <v>4182.41224023181</v>
      </c>
      <c r="L8" s="0" t="n">
        <f aca="false">L6*L7/100</f>
        <v>4307.88460743876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2108.4</v>
      </c>
      <c r="D11" s="0" t="n">
        <f aca="false">D8+D10+D24</f>
        <v>3816.204</v>
      </c>
      <c r="E11" s="0" t="n">
        <f aca="false">E8+E10+E24</f>
        <v>4617.60684</v>
      </c>
      <c r="F11" s="0" t="n">
        <f aca="false">F8+F10+F24</f>
        <v>4017.3179508</v>
      </c>
      <c r="G11" s="0" t="n">
        <f aca="false">G8+G10+G24</f>
        <v>3716.01910449</v>
      </c>
      <c r="H11" s="0" t="n">
        <f aca="false">H8+H10+H24</f>
        <v>3827.4996776247</v>
      </c>
      <c r="I11" s="0" t="n">
        <f aca="false">I8+I10+I24</f>
        <v>3942.32466795344</v>
      </c>
      <c r="J11" s="0" t="n">
        <f aca="false">J8+J10+J24</f>
        <v>4060.59440799204</v>
      </c>
      <c r="K11" s="0" t="n">
        <f aca="false">K8+K10+K24</f>
        <v>4182.41224023181</v>
      </c>
      <c r="L11" s="0" t="n">
        <f aca="false">L8+L10+L24</f>
        <v>4307.88460743876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2108.4</v>
      </c>
      <c r="D13" s="0" t="n">
        <f aca="false">D11+D12</f>
        <v>3816.204</v>
      </c>
      <c r="E13" s="0" t="n">
        <f aca="false">E11+E12</f>
        <v>4617.60684</v>
      </c>
      <c r="F13" s="0" t="n">
        <f aca="false">F11+F12</f>
        <v>4017.3179508</v>
      </c>
      <c r="G13" s="0" t="n">
        <f aca="false">G11+G12</f>
        <v>3716.01910449</v>
      </c>
      <c r="H13" s="0" t="n">
        <f aca="false">H11+H12</f>
        <v>3827.4996776247</v>
      </c>
      <c r="I13" s="0" t="n">
        <f aca="false">I11+I12</f>
        <v>3942.32466795344</v>
      </c>
      <c r="J13" s="0" t="n">
        <f aca="false">J11+J12</f>
        <v>4060.59440799204</v>
      </c>
      <c r="K13" s="0" t="n">
        <f aca="false">K11+K12</f>
        <v>4182.41224023181</v>
      </c>
      <c r="L13" s="0" t="n">
        <f aca="false">L11+L12</f>
        <v>4307.88460743876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2108.4</v>
      </c>
      <c r="D15" s="0" t="n">
        <f aca="false">D13-MAX(0,D13)*D14/100</f>
        <v>3816.204</v>
      </c>
      <c r="E15" s="0" t="n">
        <f aca="false">E13-MAX(0,E13)*E14/100</f>
        <v>4617.60684</v>
      </c>
      <c r="F15" s="0" t="n">
        <f aca="false">F13-MAX(0,F13)*F14/100</f>
        <v>4017.3179508</v>
      </c>
      <c r="G15" s="0" t="n">
        <f aca="false">G13-MAX(0,G13)*G14/100</f>
        <v>3716.01910449</v>
      </c>
      <c r="H15" s="0" t="n">
        <f aca="false">H13-MAX(0,H13)*H14/100</f>
        <v>3827.4996776247</v>
      </c>
      <c r="I15" s="0" t="n">
        <f aca="false">I13-MAX(0,I13)*I14/100</f>
        <v>3942.32466795344</v>
      </c>
      <c r="J15" s="0" t="n">
        <f aca="false">J13-MAX(0,J13)*J14/100</f>
        <v>4060.59440799204</v>
      </c>
      <c r="K15" s="0" t="n">
        <f aca="false">K13-MAX(0,K13)*K14/100</f>
        <v>4182.41224023181</v>
      </c>
      <c r="L15" s="0" t="n">
        <f aca="false">L13-MAX(0,L13)*L14/100</f>
        <v>4307.88460743876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-0</v>
      </c>
      <c r="G18" s="4" t="n">
        <f aca="false">(G6-F6)*Assumptions!$B$51/100</f>
        <v>-0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2108.4</v>
      </c>
      <c r="D19" s="0" t="n">
        <f aca="false">D15+D16+D17+D18</f>
        <v>3816.204</v>
      </c>
      <c r="E19" s="0" t="n">
        <f aca="false">E15+E16+E17+E18</f>
        <v>4617.60684</v>
      </c>
      <c r="F19" s="0" t="n">
        <f aca="false">F15+F16+F17+F18</f>
        <v>4017.3179508</v>
      </c>
      <c r="G19" s="0" t="n">
        <f aca="false">G15+G16+G17+G18</f>
        <v>3716.01910449</v>
      </c>
      <c r="H19" s="0" t="n">
        <f aca="false">H15+H16+H17+H18</f>
        <v>3827.4996776247</v>
      </c>
      <c r="I19" s="0" t="n">
        <f aca="false">I15+I16+I17+I18</f>
        <v>3942.32466795344</v>
      </c>
      <c r="J19" s="0" t="n">
        <f aca="false">J15+J16+J17+J18</f>
        <v>4060.59440799204</v>
      </c>
      <c r="K19" s="0" t="n">
        <f aca="false">K15+K16+K17+K18</f>
        <v>4182.41224023181</v>
      </c>
      <c r="L19" s="0" t="n">
        <f aca="false">L15+L16+L17+L18</f>
        <v>4307.88460743876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1916.72727272727</v>
      </c>
      <c r="D21" s="0" t="n">
        <f aca="false">D19*D20</f>
        <v>3153.88760330579</v>
      </c>
      <c r="E21" s="0" t="n">
        <f aca="false">E19*E20</f>
        <v>3469.27636363636</v>
      </c>
      <c r="F21" s="0" t="n">
        <f aca="false">F19*F20</f>
        <v>2743.88221487603</v>
      </c>
      <c r="G21" s="0" t="n">
        <f aca="false">G19*G20</f>
        <v>2307.35549887303</v>
      </c>
      <c r="H21" s="0" t="n">
        <f aca="false">H19*H20</f>
        <v>2160.52378530838</v>
      </c>
      <c r="I21" s="0" t="n">
        <f aca="false">I19*I20</f>
        <v>2023.03590806148</v>
      </c>
      <c r="J21" s="0" t="n">
        <f aca="false">J19*J20</f>
        <v>1894.29725936666</v>
      </c>
      <c r="K21" s="0" t="n">
        <f aca="false">K19*K20</f>
        <v>1773.75107013424</v>
      </c>
      <c r="L21" s="0" t="n">
        <f aca="false">L19*L20</f>
        <v>1660.87600203479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23103.612978324</v>
      </c>
    </row>
    <row r="31" customFormat="false" ht="15" hidden="false" customHeight="false" outlineLevel="0" collapsed="false">
      <c r="A31" s="0" t="s">
        <v>127</v>
      </c>
      <c r="B31" s="0" t="n">
        <f aca="false">L19</f>
        <v>4307.88460743876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54925.5287448442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60310.3845041426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54925.5287448442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21176.1690259435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44279.7820042675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44279.7820042675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30.6116709327809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0.702540096372685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30.6116709327809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33800.3253814426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18.646704777995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13.4042469490264</v>
      </c>
      <c r="C4" s="0" t="n">
        <f aca="false">B4/Assumptions!$B$2-1</f>
        <v>-0.254491270910655</v>
      </c>
      <c r="D4" s="4" t="n">
        <f aca="false">Assumptions!$B$24</f>
        <v>0.3</v>
      </c>
      <c r="E4" s="4" t="n">
        <f aca="false">DCF_Bear!$B$43</f>
        <v>13.4042469490264</v>
      </c>
      <c r="F4" s="4" t="n">
        <f aca="false">DCF_Bear!$B$47</f>
        <v>9.41228613115157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22.1857075296717</v>
      </c>
      <c r="C5" s="0" t="n">
        <f aca="false">B5/Assumptions!$B$2-1</f>
        <v>0.233910318669174</v>
      </c>
      <c r="D5" s="4" t="n">
        <f aca="false">Assumptions!$B$38</f>
        <v>0.5</v>
      </c>
      <c r="E5" s="4" t="n">
        <f aca="false">DCF_Base!$B$43</f>
        <v>22.1857075296717</v>
      </c>
      <c r="F5" s="4" t="n">
        <f aca="false">DCF_Base!$B$47</f>
        <v>13.9836060882577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30.6116709327809</v>
      </c>
      <c r="C6" s="0" t="n">
        <f aca="false">B6/Assumptions!$B$2-1</f>
        <v>0.702540096372685</v>
      </c>
      <c r="D6" s="4" t="n">
        <f aca="false">Assumptions!$B$52</f>
        <v>0.2</v>
      </c>
      <c r="E6" s="4" t="n">
        <f aca="false">DCF_Bull!$B$43</f>
        <v>30.6116709327809</v>
      </c>
      <c r="F6" s="4" t="n">
        <f aca="false">DCF_Bull!$B$47</f>
        <v>18.646704777995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21.2364620361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21.2364620361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0.153342964122945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13.5448298390733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23.7460072367902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22.1857075296717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19.8582811658147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17.9724117244477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13.9836060882577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25.3984201262968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25.3984201262968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25.3984201262968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25.3984201262968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25.3984201262968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23.5865883572607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23.7460072367902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23.7460072367902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23.7460072367902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23.7460072367902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21.0625111343182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21.592909432124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22.1857075296717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22.2342091921984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22.2342091921984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19.0201486590148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19.4182615997448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19.8582811658147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20.3471917947813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20.8493162245308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17.3337321092038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17.6385564710248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17.9724117244477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18.3396525032129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18.7455502060587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2026-10-11T05:32:45Z</dcterms:created>
  <dc:creator>openpyxl</dc:creator>
  <dc:description/>
  <dc:language>en-NZ</dc:language>
  <cp:lastModifiedBy/>
  <dcterms:modified xsi:type="dcterms:W3CDTF">2026-10-11T05:32:45Z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