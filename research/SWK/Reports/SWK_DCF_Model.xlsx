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<sst xmlns="http://schemas.openxmlformats.org/spreadsheetml/2006/main" count="386" uniqueCount="174">
  <si>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</si>
  <si>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SWK</t>
  </si>
  <si>
    <t xml:space="preserve">Company</t>
  </si>
  <si>
    <t xml:space="preserve">Stanley Black &amp; Decker,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</si>
  <si>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</si>
  <si>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</si>
  <si>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</si>
  <si>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</si>
  <si>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</si>
  <si>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</si>
  <si>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2026-07-04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</si>
  <si>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</si>
  <si>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</si>
  <si>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</si>
  <si>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</si>
  <si>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</si>
  <si>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</si>
  <si>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</si>
  <si>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</si>
  <si>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</si>
  <si>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</si>
  <si>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2026-10-02T09:08:05Z</t>
  </si>
  <si>
    <t xml:space="preserve">Drivers file</t>
  </si>
  <si>
    <t xml:space="preserve">SWK_Drivers.json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</si>
  <si>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</si>
  <si>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</si>
  <si>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</si>
  <si>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SWK is valued on a mid-cycle owner-FCF basis because its last five years span a peak (FY2021), a working-capital and margin collapse (FY2022-23, negative owner FCF) and a slow cost-programme-led recovery (FY2024-26). Extrapolating FY2025 (~4% owner-FCF margin) would undervalue a business with ~$2.1B of completed cost-out; extrapolating FY2019-21 (~15% EBITDA, then-larger portfolio) would ignore Milwaukee share loss and the tariff cost floor. The base case lets margins recover over four years to ~1pp below the old mid-cycle and caps the terminal value at 13x FCF, the cyclical-industrial band.
key_risks_to_valuation: Tariff policy: a further escalation could overwhelm pricing and reshoring mitigation; Q2 2026 gross margin included ~250bp of non-repeatable tariff-refund benefit; Professional cordless share loss to Techtronic/Milwaukee caps both price and volume in DEWALT; US housing/DIY demand stays depressed by mortgage rates for longer; Leverage ~2.5x net debt/EBITDA plus off-balance-sheet receivables factoring; the 58-year dividend streak competes with deleveraging for cash; Pro forma base revenue depends on an ESTIMATED CAM revenue carve-out and 53rd-week adjustment (~$530M combined); a $300M error in the base is ~$2/share</t>
  </si>
  <si>
    <t xml:space="preserve">Data sources</t>
  </si>
  <si>
    <t xml:space="preserve">price: Yahoo Finance chart API at inputs.price_as_of; 52-week range 61.90-104.68
financials: SEC XBRL companyfacts (CIK 93556) for FY2023-25 10-K and Q1/Q2 2026 10-Q: revenue, COGS, SG&amp;A, depreciation, amortisation, SBC, capex, OCF, debt, cash, CP, divestiture proceeds, diluted shares, cover-page shares; SWK_Metrics.csv / core_metrics for the FY2007-25 history and KPIs (cash taxes, interest income, buybacks)
qualitative: SWK_Analysis.json (2026-10-02): segments, Q2 2026 results, FY2026 guidance (adj EPS $5.20-5.80, FCF $600-800M, H2 adj GM 34-35%, ~$800M gross tariff cost), bull/bear points</t>
  </si>
  <si>
    <t xml:space="preserve">Scenario narrative: bear</t>
  </si>
  <si>
    <t xml:space="preserve">The trough is structural. Tariff-driven price increases meet elastic DIY demand into a consumer slowdown, revenue falls in 2027, new trade actions overwhelm the mitigation plan, and Milwaukee keeps winning the professional cordless platform war. EBITDA stalls at ~11.5%, close to FY2024-26 levels, and the narrower post-divestiture portfolio is more housing-concentrated than before.</t>
  </si>
  <si>
    <t xml:space="preserve">Scenario narrative: base</t>
  </si>
  <si>
    <t xml:space="preserve">Mid-cycle normalisation, not peak or trough extrapolation. The completed ~$2.1B cost programme and the China-to-North-America sourcing shift carry gross margin to the guided 34-35% in H2 2026 and ~34% thereafter, but SWK keeps reinvesting in SG&amp;A and the tariff regime leaves a cost floor that did not exist pre-2022, so EBITDA settles at 14% -- about 1pp below the FY2015-21 average on the same definition. Revenue grows 2-3.5% from a pro forma ex-CAM base: modest housing/DIY recovery from 2027 plus price, with DEWALT holding but not regaining professional cordless share from Milwaukee.</t>
  </si>
  <si>
    <t xml:space="preserve">Scenario narrative: bull</t>
  </si>
  <si>
    <t xml:space="preserve">The cost-out meets a demand recovery. Lower mortgage rates revive housing turnover and repair/remodel, outdoor and DIY volumes recover to the pre-2022 trend, and operating leverage on the leaner cost base returns EBITDA to the ~15.5% pre-2022 mid-cycle. Tariff mitigation completes, price sticks, and DEWALT innovation stops the share bleed to Techtronic. Requires several independent things to go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</si>
  <si>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</si>
  <si>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</si>
  <si>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</si>
  <si>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</si>
  <si>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</si>
  <si>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</si>
  <si>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</si>
  <si>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</si>
  <si>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</si>
  <si>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</si>
  <si>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</si>
  <si>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</si>
  <si>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</si>
  <si>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</si>
  <si>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</si>
  <si>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</si>
  <si>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</si>
  <si>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</si>
  <si>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</si>
  <si>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</si>
  <si>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</si>
  <si>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</si>
  <si>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</si>
  <si>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</si>
  <si>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</si>
  <si>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</si>
  <si>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</si>
  <si>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</si>
  <si>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</si>
  <si>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</si>
  <si>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</si>
  <si>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</si>
  <si>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</si>
  <si>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</si>
  <si>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</si>
  <si>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</si>
  <si>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</si>
  <si>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</si>
  <si>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</si>
  <si>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</si>
  <si>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</si>
  <si>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</si>
  <si>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</si>
  <si>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</si>
  <si>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</si>
  <si>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</si>
  <si>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</si>
  <si>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</si>
  <si>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</si>
  <si>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</si>
  <si>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</si>
  <si>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</si>
  <si>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</si>
  <si>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</si>
  <si>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</si>
  <si>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 (pro forma ex-CAM, 52-week)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</si>
  <si>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</si>
  <si>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</si>
  <si>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</si>
  <si>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</si>
  <si>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</si>
  <si>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</si>
  <si>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</si>
  <si>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</si>
  <si>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</si>
  <si>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</si>
  <si>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</si>
  <si>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</si>
  <si>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</si>
  <si>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</si>
  <si>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</si>
  <si>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</si>
  <si>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</si>
  <si>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</si>
  <si>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</si>
  <si>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</si>
  <si>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</si>
  <si>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</si>
  <si>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</si>
  <si>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</si>
  <si>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</si>
  <si>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</si>
  <si>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</si>
  <si>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</si>
  <si>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SWK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</si>
  <si>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</si>
  <si>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</si>
  <si>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</si>
  <si>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</si>
  <si>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</si>
  <si>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</si>
  <si>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</si>
  <si>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</si>
  <si>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</si>
  <si>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</si>
  <si>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</si>
  <si>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</si>
  <si>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</si>
  <si>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</si>
  <si>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</si>
  <si>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</si>
  <si>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</si>
  <si>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</si>
  <si>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</si>
  <si>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</si>
  <si>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</si>
  <si>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</si>
  <si>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</si>
  <si>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</si>
  <si>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</si>
  <si>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</si>
  <si>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</si>
  <si>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</si>
  <si>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</si>
  <si>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</si>
  <si>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SWK owner-FCF component DCF: base case (millions, USD)</t>
  </si>
  <si>
    <t xml:space="preserve">SWK owner-FCF component DCF: bull case (millions, USD)</t>
  </si>
  <si>
    <t xml:space="preserve">SWK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</si>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</sst>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89.59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1772.2</v>
      </c>
      <c r="S2" s="0" t="n">
        <v>240.4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4426.2</v>
      </c>
      <c r="C3" s="0" t="n">
        <v>2754.8</v>
      </c>
      <c r="I3" s="0" t="n">
        <v>308.6</v>
      </c>
      <c r="J3" s="0" t="n">
        <v>6.97212055487777</v>
      </c>
      <c r="K3" s="0" t="n">
        <v>3.88</v>
      </c>
      <c r="L3" s="0" t="n">
        <v>516.6</v>
      </c>
      <c r="M3" s="0" t="n">
        <v>94.6</v>
      </c>
      <c r="N3" s="0" t="n">
        <v>422</v>
      </c>
      <c r="O3" s="0" t="n">
        <v>1724.8</v>
      </c>
      <c r="S3" s="0" t="n">
        <v>211.6</v>
      </c>
      <c r="T3" s="0" t="n">
        <v>78.876034</v>
      </c>
      <c r="U3" s="0" t="n">
        <v>13.9</v>
      </c>
      <c r="V3" s="0" t="n">
        <v>1.26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3682.6</v>
      </c>
      <c r="C4" s="0" t="n">
        <v>2190.2</v>
      </c>
      <c r="F4" s="0" t="n">
        <v>547.1</v>
      </c>
      <c r="G4" s="0" t="n">
        <v>14.8563514907946</v>
      </c>
      <c r="H4" s="0" t="n">
        <v>642.6</v>
      </c>
      <c r="I4" s="0" t="n">
        <v>226.3</v>
      </c>
      <c r="J4" s="0" t="n">
        <v>6.14511486449791</v>
      </c>
      <c r="K4" s="0" t="n">
        <v>2.81</v>
      </c>
      <c r="L4" s="0" t="n">
        <v>536.8</v>
      </c>
      <c r="M4" s="0" t="n">
        <v>93.4</v>
      </c>
      <c r="N4" s="0" t="n">
        <v>443.4</v>
      </c>
      <c r="O4" s="0" t="n">
        <v>2011.5</v>
      </c>
      <c r="P4" s="0" t="n">
        <v>4769.1</v>
      </c>
      <c r="R4" s="0" t="n">
        <v>1292.7</v>
      </c>
      <c r="S4" s="0" t="n">
        <v>398.1</v>
      </c>
      <c r="T4" s="0" t="n">
        <v>80.478624</v>
      </c>
      <c r="U4" s="0" t="n">
        <v>20.7</v>
      </c>
      <c r="V4" s="0" t="n">
        <v>1.3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7496.9</v>
      </c>
      <c r="C5" s="0" t="n">
        <v>4806.6</v>
      </c>
      <c r="F5" s="0" t="n">
        <v>931</v>
      </c>
      <c r="G5" s="0" t="n">
        <v>12.4184662994038</v>
      </c>
      <c r="H5" s="0" t="n">
        <v>1134.4</v>
      </c>
      <c r="I5" s="0" t="n">
        <v>198.2</v>
      </c>
      <c r="J5" s="0" t="n">
        <v>2.6437594205605</v>
      </c>
      <c r="K5" s="0" t="n">
        <v>1.34</v>
      </c>
      <c r="L5" s="0" t="n">
        <v>739.3</v>
      </c>
      <c r="M5" s="0" t="n">
        <v>185.5</v>
      </c>
      <c r="N5" s="0" t="n">
        <v>553.8</v>
      </c>
      <c r="O5" s="0" t="n">
        <v>7069.7</v>
      </c>
      <c r="P5" s="0" t="n">
        <v>15949</v>
      </c>
      <c r="R5" s="0" t="n">
        <v>3850.3</v>
      </c>
      <c r="S5" s="0" t="n">
        <v>1742.8</v>
      </c>
      <c r="T5" s="0" t="n">
        <v>166.34743</v>
      </c>
      <c r="U5" s="0" t="n">
        <v>85.1</v>
      </c>
      <c r="V5" s="0" t="n">
        <v>1.34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9376.5</v>
      </c>
      <c r="C6" s="0" t="n">
        <v>5925.7</v>
      </c>
      <c r="F6" s="0" t="n">
        <v>1338.3</v>
      </c>
      <c r="G6" s="0" t="n">
        <v>14.2729163333867</v>
      </c>
      <c r="H6" s="0" t="n">
        <v>1566.8</v>
      </c>
      <c r="I6" s="0" t="n">
        <v>674.6</v>
      </c>
      <c r="J6" s="0" t="n">
        <v>7.1945822001813</v>
      </c>
      <c r="K6" s="0" t="n">
        <v>4.06</v>
      </c>
      <c r="L6" s="0" t="n">
        <v>998.9</v>
      </c>
      <c r="M6" s="0" t="n">
        <v>302.1</v>
      </c>
      <c r="N6" s="0" t="n">
        <v>696.8</v>
      </c>
      <c r="O6" s="0" t="n">
        <v>7066.8</v>
      </c>
      <c r="P6" s="0" t="n">
        <v>15949</v>
      </c>
      <c r="R6" s="0" t="n">
        <v>3978.6</v>
      </c>
      <c r="S6" s="0" t="n">
        <v>906.9</v>
      </c>
      <c r="T6" s="0" t="n">
        <v>169.046961</v>
      </c>
      <c r="U6" s="0" t="n">
        <v>68.9</v>
      </c>
      <c r="V6" s="0" t="n">
        <v>1.64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10022.4</v>
      </c>
      <c r="C7" s="0" t="n">
        <v>6365.1</v>
      </c>
      <c r="D7" s="0" t="n">
        <v>3695.5</v>
      </c>
      <c r="E7" s="0" t="n">
        <v>36.8724058109834</v>
      </c>
      <c r="F7" s="0" t="n">
        <v>1435.2</v>
      </c>
      <c r="G7" s="0" t="n">
        <v>14.3199233716475</v>
      </c>
      <c r="H7" s="0" t="n">
        <v>1673.1</v>
      </c>
      <c r="I7" s="0" t="n">
        <v>883.8</v>
      </c>
      <c r="J7" s="0" t="n">
        <v>8.81824712643678</v>
      </c>
      <c r="K7" s="0" t="n">
        <v>5.41</v>
      </c>
      <c r="L7" s="0" t="n">
        <v>966.2</v>
      </c>
      <c r="M7" s="0" t="n">
        <v>372.9</v>
      </c>
      <c r="N7" s="0" t="n">
        <v>593.3</v>
      </c>
      <c r="O7" s="0" t="n">
        <v>6727.1</v>
      </c>
      <c r="P7" s="0" t="n">
        <v>15844</v>
      </c>
      <c r="R7" s="0" t="n">
        <v>3547.3</v>
      </c>
      <c r="S7" s="0" t="n">
        <v>716</v>
      </c>
      <c r="T7" s="0" t="n">
        <v>159.952027</v>
      </c>
      <c r="U7" s="0" t="n">
        <v>89.7</v>
      </c>
      <c r="V7" s="0" t="n">
        <v>1.8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10889.5</v>
      </c>
      <c r="C8" s="0" t="n">
        <v>6985.8</v>
      </c>
      <c r="D8" s="0" t="n">
        <v>3903.7</v>
      </c>
      <c r="E8" s="0" t="n">
        <v>35.8482942283851</v>
      </c>
      <c r="F8" s="0" t="n">
        <v>1467.1</v>
      </c>
      <c r="G8" s="0" t="n">
        <v>13.4726112310023</v>
      </c>
      <c r="H8" s="0" t="n">
        <v>1705.1</v>
      </c>
      <c r="I8" s="0" t="n">
        <v>490.3</v>
      </c>
      <c r="J8" s="0" t="n">
        <v>4.502502410579</v>
      </c>
      <c r="K8" s="0" t="n">
        <v>3.16</v>
      </c>
      <c r="L8" s="0" t="n">
        <v>868</v>
      </c>
      <c r="M8" s="0" t="n">
        <v>340.3</v>
      </c>
      <c r="N8" s="0" t="n">
        <v>527.7</v>
      </c>
      <c r="O8" s="0" t="n">
        <v>6880.5</v>
      </c>
      <c r="P8" s="0" t="n">
        <v>16535.1</v>
      </c>
      <c r="R8" s="0" t="n">
        <v>3819.2</v>
      </c>
      <c r="S8" s="0" t="n">
        <v>496.2</v>
      </c>
      <c r="T8" s="0" t="n">
        <v>155.47923</v>
      </c>
      <c r="U8" s="0" t="n">
        <v>66.4</v>
      </c>
      <c r="V8" s="0" t="n">
        <v>1.98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11338.6</v>
      </c>
      <c r="C9" s="0" t="n">
        <v>7235.9</v>
      </c>
      <c r="D9" s="0" t="n">
        <v>4102.7</v>
      </c>
      <c r="E9" s="0" t="n">
        <v>36.1834794419064</v>
      </c>
      <c r="F9" s="0" t="n">
        <v>1684.2</v>
      </c>
      <c r="G9" s="0" t="n">
        <v>14.8536856402025</v>
      </c>
      <c r="H9" s="0" t="n">
        <v>1947.6</v>
      </c>
      <c r="I9" s="0" t="n">
        <v>761.4</v>
      </c>
      <c r="J9" s="0" t="n">
        <v>6.71511474079692</v>
      </c>
      <c r="K9" s="0" t="n">
        <v>4.87</v>
      </c>
      <c r="L9" s="0" t="n">
        <v>1295.9</v>
      </c>
      <c r="M9" s="0" t="n">
        <v>291</v>
      </c>
      <c r="N9" s="0" t="n">
        <v>1004.9</v>
      </c>
      <c r="O9" s="0" t="n">
        <v>6511.9</v>
      </c>
      <c r="P9" s="0" t="n">
        <v>15803.4</v>
      </c>
      <c r="R9" s="0" t="n">
        <v>3851.6</v>
      </c>
      <c r="S9" s="0" t="n">
        <v>496.6</v>
      </c>
      <c r="T9" s="0" t="n">
        <v>152.559767</v>
      </c>
      <c r="U9" s="0" t="n">
        <v>57.1</v>
      </c>
      <c r="V9" s="0" t="n">
        <v>2.04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11171.8</v>
      </c>
      <c r="C10" s="0" t="n">
        <v>7099.8</v>
      </c>
      <c r="D10" s="0" t="n">
        <v>4072</v>
      </c>
      <c r="E10" s="0" t="n">
        <v>36.448916020695</v>
      </c>
      <c r="F10" s="0" t="n">
        <v>1749.6</v>
      </c>
      <c r="G10" s="0" t="n">
        <v>15.6608603806012</v>
      </c>
      <c r="H10" s="0" t="n">
        <v>2006.5</v>
      </c>
      <c r="I10" s="0" t="n">
        <v>883.7</v>
      </c>
      <c r="J10" s="0" t="n">
        <v>7.91009506077803</v>
      </c>
      <c r="K10" s="0" t="n">
        <v>5.96</v>
      </c>
      <c r="L10" s="0" t="n">
        <v>1182.3</v>
      </c>
      <c r="M10" s="0" t="n">
        <v>311.4</v>
      </c>
      <c r="N10" s="0" t="n">
        <v>870.9</v>
      </c>
      <c r="O10" s="0" t="n">
        <v>5863.5</v>
      </c>
      <c r="P10" s="0" t="n">
        <v>15127.8</v>
      </c>
      <c r="R10" s="0" t="n">
        <v>3797.2</v>
      </c>
      <c r="S10" s="0" t="n">
        <v>465.4</v>
      </c>
      <c r="T10" s="0" t="n">
        <v>153.944291</v>
      </c>
      <c r="U10" s="0" t="n">
        <v>67.9</v>
      </c>
      <c r="V10" s="0" t="n">
        <v>2.14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11593.5</v>
      </c>
      <c r="C11" s="0" t="n">
        <v>7325.5</v>
      </c>
      <c r="D11" s="0" t="n">
        <v>4267.2</v>
      </c>
      <c r="E11" s="0" t="n">
        <v>36.8068314141545</v>
      </c>
      <c r="F11" s="0" t="n">
        <v>1826.4</v>
      </c>
      <c r="G11" s="0" t="n">
        <v>15.7536550653383</v>
      </c>
      <c r="H11" s="0" t="n">
        <v>2090</v>
      </c>
      <c r="I11" s="0" t="n">
        <v>968</v>
      </c>
      <c r="J11" s="0" t="n">
        <v>8.3495061888127</v>
      </c>
      <c r="K11" s="0" t="n">
        <v>6.63</v>
      </c>
      <c r="L11" s="0" t="n">
        <v>1185.5</v>
      </c>
      <c r="M11" s="0" t="n">
        <v>347</v>
      </c>
      <c r="N11" s="0" t="n">
        <v>838.5</v>
      </c>
      <c r="O11" s="0" t="n">
        <v>6380.2</v>
      </c>
      <c r="P11" s="0" t="n">
        <v>15655</v>
      </c>
      <c r="R11" s="0" t="n">
        <v>3823.1</v>
      </c>
      <c r="S11" s="0" t="n">
        <v>1131.8</v>
      </c>
      <c r="T11" s="0" t="n">
        <v>152.559767</v>
      </c>
      <c r="U11" s="0" t="n">
        <v>81.2</v>
      </c>
      <c r="V11" s="0" t="n">
        <v>2.26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12966.6</v>
      </c>
      <c r="C12" s="0" t="n">
        <v>8188.3</v>
      </c>
      <c r="D12" s="0" t="n">
        <v>4778.3</v>
      </c>
      <c r="E12" s="0" t="n">
        <v>36.8508321379544</v>
      </c>
      <c r="F12" s="0" t="n">
        <v>1996.5</v>
      </c>
      <c r="G12" s="0" t="n">
        <v>15.3972513997501</v>
      </c>
      <c r="H12" s="0" t="n">
        <v>2293.4</v>
      </c>
      <c r="I12" s="0" t="n">
        <v>1227.3</v>
      </c>
      <c r="J12" s="0" t="n">
        <v>9.46508722409884</v>
      </c>
      <c r="K12" s="0" t="n">
        <v>8.2</v>
      </c>
      <c r="L12" s="0" t="n">
        <v>668.5</v>
      </c>
      <c r="M12" s="0" t="n">
        <v>442.4</v>
      </c>
      <c r="N12" s="0" t="n">
        <v>226.1</v>
      </c>
      <c r="O12" s="0" t="n">
        <v>8305</v>
      </c>
      <c r="P12" s="0" t="n">
        <v>19097.7</v>
      </c>
      <c r="R12" s="0" t="n">
        <v>3805.7</v>
      </c>
      <c r="S12" s="0" t="n">
        <v>637.5</v>
      </c>
      <c r="T12" s="0" t="n">
        <v>154.038031</v>
      </c>
      <c r="U12" s="0" t="n">
        <v>78.7</v>
      </c>
      <c r="V12" s="0" t="n">
        <v>2.42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13982.4</v>
      </c>
      <c r="C13" s="0" t="n">
        <v>9131.3</v>
      </c>
      <c r="D13" s="0" t="n">
        <v>4851.1</v>
      </c>
      <c r="E13" s="0" t="n">
        <v>34.6943300148759</v>
      </c>
      <c r="F13" s="0" t="n">
        <v>1882.2</v>
      </c>
      <c r="G13" s="0" t="n">
        <v>13.4612083762444</v>
      </c>
      <c r="H13" s="0" t="n">
        <v>2213.4</v>
      </c>
      <c r="I13" s="0" t="n">
        <v>605.8</v>
      </c>
      <c r="J13" s="0" t="n">
        <v>4.33258954113743</v>
      </c>
      <c r="K13" s="0" t="n">
        <v>4.06</v>
      </c>
      <c r="L13" s="0" t="n">
        <v>1260.9</v>
      </c>
      <c r="M13" s="0" t="n">
        <v>492.1</v>
      </c>
      <c r="N13" s="0" t="n">
        <v>768.8</v>
      </c>
      <c r="O13" s="0" t="n">
        <v>7839.9</v>
      </c>
      <c r="P13" s="0" t="n">
        <v>19408</v>
      </c>
      <c r="R13" s="0" t="n">
        <v>4797.3</v>
      </c>
      <c r="S13" s="0" t="n">
        <v>288.7</v>
      </c>
      <c r="T13" s="0" t="n">
        <v>151.30245</v>
      </c>
      <c r="U13" s="0" t="n">
        <v>76.5</v>
      </c>
      <c r="V13" s="0" t="n">
        <v>2.58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12912.9</v>
      </c>
      <c r="C14" s="0" t="n">
        <v>8679.5</v>
      </c>
      <c r="D14" s="0" t="n">
        <v>4805.5</v>
      </c>
      <c r="E14" s="0" t="n">
        <v>37.2147232612349</v>
      </c>
      <c r="F14" s="0" t="n">
        <v>1994</v>
      </c>
      <c r="G14" s="0" t="n">
        <v>15.4419224186666</v>
      </c>
      <c r="H14" s="0" t="n">
        <v>2554.2</v>
      </c>
      <c r="I14" s="0" t="n">
        <v>958</v>
      </c>
      <c r="J14" s="0" t="n">
        <v>7.41893765149579</v>
      </c>
      <c r="K14" s="0" t="n">
        <v>6.43</v>
      </c>
      <c r="L14" s="0" t="n">
        <v>1505.7</v>
      </c>
      <c r="M14" s="0" t="n">
        <v>424.7</v>
      </c>
      <c r="N14" s="0" t="n">
        <v>1081</v>
      </c>
      <c r="O14" s="0" t="n">
        <v>9142.2</v>
      </c>
      <c r="P14" s="0" t="n">
        <v>20596.6</v>
      </c>
      <c r="R14" s="0" t="n">
        <v>3182.6</v>
      </c>
      <c r="S14" s="0" t="n">
        <v>297.7</v>
      </c>
      <c r="T14" s="0" t="n">
        <v>153.506409</v>
      </c>
      <c r="U14" s="0" t="n">
        <v>88.8</v>
      </c>
      <c r="V14" s="0" t="n">
        <v>2.7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12750</v>
      </c>
      <c r="C15" s="0" t="n">
        <v>8431.9</v>
      </c>
      <c r="D15" s="0" t="n">
        <v>4405.4</v>
      </c>
      <c r="E15" s="0" t="n">
        <v>34.5521568627451</v>
      </c>
      <c r="F15" s="0" t="n">
        <v>2176</v>
      </c>
      <c r="G15" s="0" t="n">
        <v>17.0666666666667</v>
      </c>
      <c r="H15" s="0" t="n">
        <v>2754.1</v>
      </c>
      <c r="I15" s="0" t="n">
        <v>1234.7</v>
      </c>
      <c r="J15" s="0" t="n">
        <v>9.68392156862745</v>
      </c>
      <c r="K15" s="0" t="n">
        <v>7.85</v>
      </c>
      <c r="L15" s="0" t="n">
        <v>2022.1</v>
      </c>
      <c r="M15" s="0" t="n">
        <v>348.1</v>
      </c>
      <c r="N15" s="0" t="n">
        <v>1674</v>
      </c>
      <c r="O15" s="0" t="n">
        <v>11066.4</v>
      </c>
      <c r="P15" s="0" t="n">
        <v>23566.3</v>
      </c>
      <c r="R15" s="0" t="n">
        <v>4245.4</v>
      </c>
      <c r="S15" s="0" t="n">
        <v>1241.9</v>
      </c>
      <c r="T15" s="0" t="n">
        <v>160.752262</v>
      </c>
      <c r="U15" s="0" t="n">
        <v>109.1</v>
      </c>
      <c r="V15" s="0" t="n">
        <v>2.78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15281.3</v>
      </c>
      <c r="C16" s="0" t="n">
        <v>10189.1</v>
      </c>
      <c r="D16" s="0" t="n">
        <v>5092.2</v>
      </c>
      <c r="E16" s="0" t="n">
        <v>33.3230811514727</v>
      </c>
      <c r="I16" s="0" t="n">
        <v>1689.2</v>
      </c>
      <c r="J16" s="0" t="n">
        <v>11.054033361036</v>
      </c>
      <c r="K16" s="0" t="n">
        <v>10.55</v>
      </c>
      <c r="L16" s="0" t="n">
        <v>663.1</v>
      </c>
      <c r="M16" s="0" t="n">
        <v>519.1</v>
      </c>
      <c r="N16" s="0" t="n">
        <v>144</v>
      </c>
      <c r="O16" s="0" t="n">
        <v>11592.4</v>
      </c>
      <c r="P16" s="0" t="n">
        <v>28180</v>
      </c>
      <c r="R16" s="0" t="n">
        <v>4356.2</v>
      </c>
      <c r="S16" s="0" t="n">
        <v>142.1</v>
      </c>
      <c r="T16" s="0" t="n">
        <v>163.328776</v>
      </c>
      <c r="U16" s="0" t="n">
        <v>118.3</v>
      </c>
      <c r="V16" s="0" t="n">
        <v>2.98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16947.4</v>
      </c>
      <c r="C17" s="0" t="n">
        <v>12663.3</v>
      </c>
      <c r="D17" s="0" t="n">
        <v>4284.1</v>
      </c>
      <c r="E17" s="0" t="n">
        <v>25.2788038283159</v>
      </c>
      <c r="I17" s="0" t="n">
        <v>1062.7</v>
      </c>
      <c r="J17" s="0" t="n">
        <v>6.27057837780427</v>
      </c>
      <c r="K17" s="0" t="n">
        <v>7.13</v>
      </c>
      <c r="L17" s="0" t="n">
        <v>-1459.5</v>
      </c>
      <c r="M17" s="0" t="n">
        <v>530.4</v>
      </c>
      <c r="N17" s="0" t="n">
        <v>-1989.9</v>
      </c>
      <c r="O17" s="0" t="n">
        <v>9714.2</v>
      </c>
      <c r="P17" s="0" t="n">
        <v>24963.3</v>
      </c>
      <c r="R17" s="0" t="n">
        <v>5355.3</v>
      </c>
      <c r="S17" s="0" t="n">
        <v>395.6</v>
      </c>
      <c r="T17" s="0" t="n">
        <v>152.98353</v>
      </c>
      <c r="U17" s="0" t="n">
        <v>90.7</v>
      </c>
      <c r="V17" s="0" t="n">
        <v>3.18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15781.1</v>
      </c>
      <c r="C18" s="0" t="n">
        <v>11848.5</v>
      </c>
      <c r="I18" s="0" t="n">
        <v>-310.5</v>
      </c>
      <c r="J18" s="0" t="n">
        <v>-1.96754345387837</v>
      </c>
      <c r="K18" s="0" t="n">
        <v>-2.07</v>
      </c>
      <c r="L18" s="0" t="n">
        <v>1191.3</v>
      </c>
      <c r="M18" s="0" t="n">
        <v>338.7</v>
      </c>
      <c r="N18" s="0" t="n">
        <v>852.6</v>
      </c>
      <c r="O18" s="0" t="n">
        <v>9056.1</v>
      </c>
      <c r="P18" s="0" t="n">
        <v>23663.8</v>
      </c>
      <c r="R18" s="0" t="n">
        <v>6103.2</v>
      </c>
      <c r="S18" s="0" t="n">
        <v>449.4</v>
      </c>
      <c r="T18" s="0" t="n">
        <v>153.620088</v>
      </c>
      <c r="U18" s="0" t="n">
        <v>83.8</v>
      </c>
      <c r="V18" s="0" t="n">
        <v>3.22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15365.7</v>
      </c>
      <c r="C19" s="0" t="n">
        <v>10851.3</v>
      </c>
      <c r="I19" s="0" t="n">
        <v>294.3</v>
      </c>
      <c r="J19" s="0" t="n">
        <v>1.91530486733439</v>
      </c>
      <c r="K19" s="0" t="n">
        <v>1.96</v>
      </c>
      <c r="L19" s="0" t="n">
        <v>1106.9</v>
      </c>
      <c r="M19" s="0" t="n">
        <v>353.9</v>
      </c>
      <c r="N19" s="0" t="n">
        <v>753</v>
      </c>
      <c r="O19" s="0" t="n">
        <v>8719.9</v>
      </c>
      <c r="P19" s="0" t="n">
        <v>21848.9</v>
      </c>
      <c r="R19" s="0" t="n">
        <v>6603.4</v>
      </c>
      <c r="S19" s="0" t="n">
        <v>290.5</v>
      </c>
      <c r="T19" s="0" t="n">
        <v>154.372933</v>
      </c>
      <c r="U19" s="0" t="n">
        <v>105.4</v>
      </c>
      <c r="V19" s="0" t="n">
        <v>3.26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15130.4</v>
      </c>
      <c r="C20" s="0" t="n">
        <v>10542.1</v>
      </c>
      <c r="I20" s="0" t="n">
        <v>401.9</v>
      </c>
      <c r="J20" s="0" t="n">
        <v>2.65624173848676</v>
      </c>
      <c r="K20" s="0" t="n">
        <v>2.66</v>
      </c>
      <c r="L20" s="0" t="n">
        <v>971.2</v>
      </c>
      <c r="M20" s="0" t="n">
        <v>283.3</v>
      </c>
      <c r="N20" s="0" t="n">
        <v>687.9</v>
      </c>
      <c r="O20" s="0" t="n">
        <v>9054.6</v>
      </c>
      <c r="P20" s="0" t="n">
        <v>21243.7</v>
      </c>
      <c r="R20" s="0" t="n">
        <v>5812.9</v>
      </c>
      <c r="S20" s="0" t="n">
        <v>280.1</v>
      </c>
      <c r="T20" s="0" t="n">
        <v>155.036411</v>
      </c>
      <c r="U20" s="0" t="n">
        <v>94.1</v>
      </c>
      <c r="V20" s="0" t="n">
        <v>3.3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89.59</v>
      </c>
    </row>
    <row r="3" customFormat="false" ht="15" hidden="false" customHeight="false" outlineLevel="0" collapsed="false">
      <c r="A3" s="0" t="s">
        <v>85</v>
      </c>
      <c r="B3" s="3" t="n">
        <v>151.5</v>
      </c>
    </row>
    <row r="4" customFormat="false" ht="15" hidden="false" customHeight="false" outlineLevel="0" collapsed="false">
      <c r="A4" s="0" t="s">
        <v>86</v>
      </c>
      <c r="B4" s="3" t="n">
        <v>4165.5</v>
      </c>
    </row>
    <row r="5" customFormat="false" ht="15" hidden="false" customHeight="false" outlineLevel="0" collapsed="false">
      <c r="A5" s="0" t="s">
        <v>87</v>
      </c>
      <c r="B5" s="3" t="n">
        <v>-240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14600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0</v>
      </c>
      <c r="D13" s="3" t="n">
        <v>-2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108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3.2</v>
      </c>
      <c r="D17" s="3" t="n">
        <v>3.1</v>
      </c>
      <c r="E17" s="3" t="n">
        <v>3</v>
      </c>
      <c r="F17" s="3" t="n">
        <v>2.9</v>
      </c>
      <c r="G17" s="3" t="n">
        <v>2.9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111</v>
      </c>
      <c r="C18" s="3" t="n">
        <v>2.2</v>
      </c>
      <c r="D18" s="3" t="n">
        <v>2.4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</v>
      </c>
      <c r="D27" s="3" t="n">
        <v>3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10.5</v>
      </c>
      <c r="D28" s="3" t="n">
        <v>12</v>
      </c>
      <c r="E28" s="3" t="n">
        <v>13</v>
      </c>
      <c r="F28" s="3" t="n">
        <v>13.5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108</v>
      </c>
      <c r="C29" s="3" t="n">
        <v>0.65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3.2</v>
      </c>
      <c r="D31" s="3" t="n">
        <v>3.1</v>
      </c>
      <c r="E31" s="3" t="n">
        <v>3</v>
      </c>
      <c r="F31" s="3" t="n">
        <v>2.9</v>
      </c>
      <c r="G31" s="3" t="n">
        <v>2.9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111</v>
      </c>
      <c r="C32" s="3" t="n">
        <v>2.2</v>
      </c>
      <c r="D32" s="3" t="n">
        <v>2.4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112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2.5</v>
      </c>
      <c r="D41" s="3" t="n">
        <v>5</v>
      </c>
      <c r="E41" s="3" t="n">
        <v>5.5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10.8</v>
      </c>
      <c r="D42" s="3" t="n">
        <v>12.5</v>
      </c>
      <c r="E42" s="3" t="n">
        <v>14</v>
      </c>
      <c r="F42" s="3" t="n">
        <v>15</v>
      </c>
      <c r="G42" s="3" t="n">
        <v>15.5</v>
      </c>
      <c r="H42" s="3" t="n">
        <v>15.5</v>
      </c>
      <c r="I42" s="3" t="n">
        <v>15.5</v>
      </c>
      <c r="J42" s="3" t="n">
        <v>15.5</v>
      </c>
      <c r="K42" s="3" t="n">
        <v>15.5</v>
      </c>
      <c r="L42" s="3" t="n">
        <v>15.5</v>
      </c>
    </row>
    <row r="43" customFormat="false" ht="15" hidden="false" customHeight="false" outlineLevel="0" collapsed="false">
      <c r="A43" s="0" t="s">
        <v>108</v>
      </c>
      <c r="C43" s="3" t="n">
        <v>0.65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3.2</v>
      </c>
      <c r="D45" s="3" t="n">
        <v>3.1</v>
      </c>
      <c r="E45" s="3" t="n">
        <v>3</v>
      </c>
      <c r="F45" s="3" t="n">
        <v>2.9</v>
      </c>
      <c r="G45" s="3" t="n">
        <v>2.9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111</v>
      </c>
      <c r="C46" s="3" t="n">
        <v>2.2</v>
      </c>
      <c r="D46" s="3" t="n">
        <v>2.4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112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0</v>
      </c>
      <c r="D5" s="4" t="n">
        <f aca="false">Assumptions!D13</f>
        <v>-2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14600</v>
      </c>
      <c r="C6" s="0" t="n">
        <f aca="false">B6*(1+C5/100)</f>
        <v>14600</v>
      </c>
      <c r="D6" s="0" t="n">
        <f aca="false">C6*(1+D5/100)</f>
        <v>14308</v>
      </c>
      <c r="E6" s="0" t="n">
        <f aca="false">D6*(1+E5/100)</f>
        <v>14522.62</v>
      </c>
      <c r="F6" s="0" t="n">
        <f aca="false">E6*(1+F5/100)</f>
        <v>14813.0724</v>
      </c>
      <c r="G6" s="0" t="n">
        <f aca="false">F6*(1+G5/100)</f>
        <v>15109.333848</v>
      </c>
      <c r="H6" s="0" t="n">
        <f aca="false">G6*(1+H5/100)</f>
        <v>15411.52052496</v>
      </c>
      <c r="I6" s="0" t="n">
        <f aca="false">H6*(1+I5/100)</f>
        <v>15719.7509354592</v>
      </c>
      <c r="J6" s="0" t="n">
        <f aca="false">I6*(1+J5/100)</f>
        <v>16034.1459541684</v>
      </c>
      <c r="K6" s="0" t="n">
        <f aca="false">J6*(1+K5/100)</f>
        <v>16274.6581434809</v>
      </c>
      <c r="L6" s="0" t="n">
        <f aca="false">K6*(1+L5/100)</f>
        <v>16518.7780156331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10</v>
      </c>
      <c r="D7" s="4" t="n">
        <f aca="false">Assumptions!D14</f>
        <v>10.5</v>
      </c>
      <c r="E7" s="4" t="n">
        <f aca="false">Assumptions!E14</f>
        <v>11</v>
      </c>
      <c r="F7" s="4" t="n">
        <f aca="false">Assumptions!F14</f>
        <v>11.5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1460</v>
      </c>
      <c r="D8" s="0" t="n">
        <f aca="false">D6*D7/100</f>
        <v>1502.34</v>
      </c>
      <c r="E8" s="0" t="n">
        <f aca="false">E6*E7/100</f>
        <v>1597.4882</v>
      </c>
      <c r="F8" s="0" t="n">
        <f aca="false">F6*F7/100</f>
        <v>1703.503326</v>
      </c>
      <c r="G8" s="0" t="n">
        <f aca="false">G6*G7/100</f>
        <v>1737.57339252</v>
      </c>
      <c r="H8" s="0" t="n">
        <f aca="false">H6*H7/100</f>
        <v>1772.3248603704</v>
      </c>
      <c r="I8" s="0" t="n">
        <f aca="false">I6*I7/100</f>
        <v>1807.77135757781</v>
      </c>
      <c r="J8" s="0" t="n">
        <f aca="false">J6*J7/100</f>
        <v>1843.92678472936</v>
      </c>
      <c r="K8" s="0" t="n">
        <f aca="false">K6*K7/100</f>
        <v>1871.5856865003</v>
      </c>
      <c r="L8" s="0" t="n">
        <f aca="false">L6*L7/100</f>
        <v>1899.65947179781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-94.9</v>
      </c>
      <c r="D10" s="0" t="n">
        <f aca="false">-D6*D9/100</f>
        <v>-93.002</v>
      </c>
      <c r="E10" s="0" t="n">
        <f aca="false">-E6*E9/100</f>
        <v>-94.39703</v>
      </c>
      <c r="F10" s="0" t="n">
        <f aca="false">-F6*F9/100</f>
        <v>-96.2849706</v>
      </c>
      <c r="G10" s="0" t="n">
        <f aca="false">-G6*G9/100</f>
        <v>-98.210670012</v>
      </c>
      <c r="H10" s="0" t="n">
        <f aca="false">-H6*H9/100</f>
        <v>-100.17488341224</v>
      </c>
      <c r="I10" s="0" t="n">
        <f aca="false">-I6*I9/100</f>
        <v>-102.178381080485</v>
      </c>
      <c r="J10" s="0" t="n">
        <f aca="false">-J6*J9/100</f>
        <v>-104.221948702095</v>
      </c>
      <c r="K10" s="0" t="n">
        <f aca="false">-K6*K9/100</f>
        <v>-105.785277932626</v>
      </c>
      <c r="L10" s="0" t="n">
        <f aca="false">-L6*L9/100</f>
        <v>-107.372057101615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1365.1</v>
      </c>
      <c r="D11" s="0" t="n">
        <f aca="false">D8+D10+D24</f>
        <v>1409.338</v>
      </c>
      <c r="E11" s="0" t="n">
        <f aca="false">E8+E10+E24</f>
        <v>1503.09117</v>
      </c>
      <c r="F11" s="0" t="n">
        <f aca="false">F8+F10+F24</f>
        <v>1607.2183554</v>
      </c>
      <c r="G11" s="0" t="n">
        <f aca="false">G8+G10+G24</f>
        <v>1639.362722508</v>
      </c>
      <c r="H11" s="0" t="n">
        <f aca="false">H8+H10+H24</f>
        <v>1672.14997695816</v>
      </c>
      <c r="I11" s="0" t="n">
        <f aca="false">I8+I10+I24</f>
        <v>1705.59297649732</v>
      </c>
      <c r="J11" s="0" t="n">
        <f aca="false">J8+J10+J24</f>
        <v>1739.70483602727</v>
      </c>
      <c r="K11" s="0" t="n">
        <f aca="false">K8+K10+K24</f>
        <v>1765.80040856768</v>
      </c>
      <c r="L11" s="0" t="n">
        <f aca="false">L8+L10+L24</f>
        <v>1792.28741469619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-467.2</v>
      </c>
      <c r="D12" s="4" t="n">
        <f aca="false">-D6*Assumptions!D17/100</f>
        <v>-443.548</v>
      </c>
      <c r="E12" s="4" t="n">
        <f aca="false">-E6*Assumptions!E17/100</f>
        <v>-435.6786</v>
      </c>
      <c r="F12" s="4" t="n">
        <f aca="false">-F6*Assumptions!F17/100</f>
        <v>-429.5790996</v>
      </c>
      <c r="G12" s="4" t="n">
        <f aca="false">-G6*Assumptions!G17/100</f>
        <v>-438.170681592</v>
      </c>
      <c r="H12" s="4" t="n">
        <f aca="false">-H6*Assumptions!H17/100</f>
        <v>-431.52257469888</v>
      </c>
      <c r="I12" s="4" t="n">
        <f aca="false">-I6*Assumptions!I17/100</f>
        <v>-440.153026192858</v>
      </c>
      <c r="J12" s="4" t="n">
        <f aca="false">-J6*Assumptions!J17/100</f>
        <v>-448.956086716715</v>
      </c>
      <c r="K12" s="4" t="n">
        <f aca="false">-K6*Assumptions!K17/100</f>
        <v>-455.690428017465</v>
      </c>
      <c r="L12" s="4" t="n">
        <f aca="false">-L6*Assumptions!L17/100</f>
        <v>-462.525784437727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897.9</v>
      </c>
      <c r="D13" s="0" t="n">
        <f aca="false">D11+D12</f>
        <v>965.79</v>
      </c>
      <c r="E13" s="0" t="n">
        <f aca="false">E11+E12</f>
        <v>1067.41257</v>
      </c>
      <c r="F13" s="0" t="n">
        <f aca="false">F11+F12</f>
        <v>1177.6392558</v>
      </c>
      <c r="G13" s="0" t="n">
        <f aca="false">G11+G12</f>
        <v>1201.192040916</v>
      </c>
      <c r="H13" s="0" t="n">
        <f aca="false">H11+H12</f>
        <v>1240.62740225928</v>
      </c>
      <c r="I13" s="0" t="n">
        <f aca="false">I11+I12</f>
        <v>1265.43995030447</v>
      </c>
      <c r="J13" s="0" t="n">
        <f aca="false">J11+J12</f>
        <v>1290.74874931056</v>
      </c>
      <c r="K13" s="0" t="n">
        <f aca="false">K11+K12</f>
        <v>1310.10998055021</v>
      </c>
      <c r="L13" s="0" t="n">
        <f aca="false">L11+L12</f>
        <v>1329.76163025847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673.425</v>
      </c>
      <c r="D15" s="0" t="n">
        <f aca="false">D13-MAX(0,D13)*D14/100</f>
        <v>724.3425</v>
      </c>
      <c r="E15" s="0" t="n">
        <f aca="false">E13-MAX(0,E13)*E14/100</f>
        <v>800.5594275</v>
      </c>
      <c r="F15" s="0" t="n">
        <f aca="false">F13-MAX(0,F13)*F14/100</f>
        <v>883.22944185</v>
      </c>
      <c r="G15" s="0" t="n">
        <f aca="false">G13-MAX(0,G13)*G14/100</f>
        <v>900.894030687</v>
      </c>
      <c r="H15" s="0" t="n">
        <f aca="false">H13-MAX(0,H13)*H14/100</f>
        <v>930.47055169446</v>
      </c>
      <c r="I15" s="0" t="n">
        <f aca="false">I13-MAX(0,I13)*I14/100</f>
        <v>949.079962728349</v>
      </c>
      <c r="J15" s="0" t="n">
        <f aca="false">J13-MAX(0,J13)*J14/100</f>
        <v>968.061561982916</v>
      </c>
      <c r="K15" s="0" t="n">
        <f aca="false">K13-MAX(0,K13)*K14/100</f>
        <v>982.58248541266</v>
      </c>
      <c r="L15" s="0" t="n">
        <f aca="false">L13-MAX(0,L13)*L14/100</f>
        <v>997.32122269385</v>
      </c>
    </row>
    <row r="16" customFormat="false" ht="15" hidden="false" customHeight="false" outlineLevel="0" collapsed="false">
      <c r="A16" s="0" t="s">
        <v>128</v>
      </c>
      <c r="C16" s="0" t="n">
        <f aca="false">-C12</f>
        <v>467.2</v>
      </c>
      <c r="D16" s="0" t="n">
        <f aca="false">-D12</f>
        <v>443.548</v>
      </c>
      <c r="E16" s="0" t="n">
        <f aca="false">-E12</f>
        <v>435.6786</v>
      </c>
      <c r="F16" s="0" t="n">
        <f aca="false">-F12</f>
        <v>429.5790996</v>
      </c>
      <c r="G16" s="0" t="n">
        <f aca="false">-G12</f>
        <v>438.170681592</v>
      </c>
      <c r="H16" s="0" t="n">
        <f aca="false">-H12</f>
        <v>431.52257469888</v>
      </c>
      <c r="I16" s="0" t="n">
        <f aca="false">-I12</f>
        <v>440.153026192858</v>
      </c>
      <c r="J16" s="0" t="n">
        <f aca="false">-J12</f>
        <v>448.956086716715</v>
      </c>
      <c r="K16" s="0" t="n">
        <f aca="false">-K12</f>
        <v>455.690428017465</v>
      </c>
      <c r="L16" s="0" t="n">
        <f aca="false">-L12</f>
        <v>462.525784437727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-321.2</v>
      </c>
      <c r="D17" s="4" t="n">
        <f aca="false">-D6*Assumptions!D18/100</f>
        <v>-343.392</v>
      </c>
      <c r="E17" s="4" t="n">
        <f aca="false">-E6*Assumptions!E18/100</f>
        <v>-363.0655</v>
      </c>
      <c r="F17" s="4" t="n">
        <f aca="false">-F6*Assumptions!F18/100</f>
        <v>-370.32681</v>
      </c>
      <c r="G17" s="4" t="n">
        <f aca="false">-G6*Assumptions!G18/100</f>
        <v>-377.7333462</v>
      </c>
      <c r="H17" s="4" t="n">
        <f aca="false">-H6*Assumptions!H18/100</f>
        <v>-385.288013124</v>
      </c>
      <c r="I17" s="4" t="n">
        <f aca="false">-I6*Assumptions!I18/100</f>
        <v>-392.99377338648</v>
      </c>
      <c r="J17" s="4" t="n">
        <f aca="false">-J6*Assumptions!J18/100</f>
        <v>-400.85364885421</v>
      </c>
      <c r="K17" s="4" t="n">
        <f aca="false">-K6*Assumptions!K18/100</f>
        <v>-406.866453587023</v>
      </c>
      <c r="L17" s="4" t="n">
        <f aca="false">-L6*Assumptions!L18/100</f>
        <v>-412.969450390828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-0</v>
      </c>
      <c r="D18" s="4" t="n">
        <f aca="false">(D6-C6)*Assumptions!$B$23/100</f>
        <v>43.8</v>
      </c>
      <c r="E18" s="4" t="n">
        <f aca="false">(E6-D6)*Assumptions!$B$23/100</f>
        <v>-32.1929999999999</v>
      </c>
      <c r="F18" s="4" t="n">
        <f aca="false">(F6-E6)*Assumptions!$B$23/100</f>
        <v>-43.56786</v>
      </c>
      <c r="G18" s="4" t="n">
        <f aca="false">(G6-F6)*Assumptions!$B$23/100</f>
        <v>-44.4392172000002</v>
      </c>
      <c r="H18" s="4" t="n">
        <f aca="false">(H6-G6)*Assumptions!$B$23/100</f>
        <v>-45.328001544</v>
      </c>
      <c r="I18" s="4" t="n">
        <f aca="false">(I6-H6)*Assumptions!$B$23/100</f>
        <v>-46.23456157488</v>
      </c>
      <c r="J18" s="4" t="n">
        <f aca="false">(J6-I6)*Assumptions!$B$23/100</f>
        <v>-47.1592528063778</v>
      </c>
      <c r="K18" s="4" t="n">
        <f aca="false">(K6-J6)*Assumptions!$B$23/100</f>
        <v>-36.0768283968785</v>
      </c>
      <c r="L18" s="4" t="n">
        <f aca="false">(L6-K6)*Assumptions!$B$23/100</f>
        <v>-36.6179808228319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819.425</v>
      </c>
      <c r="D19" s="0" t="n">
        <f aca="false">D15+D16+D17+D18</f>
        <v>868.2985</v>
      </c>
      <c r="E19" s="0" t="n">
        <f aca="false">E15+E16+E17+E18</f>
        <v>840.9795275</v>
      </c>
      <c r="F19" s="0" t="n">
        <f aca="false">F15+F16+F17+F18</f>
        <v>898.91387145</v>
      </c>
      <c r="G19" s="0" t="n">
        <f aca="false">G15+G16+G17+G18</f>
        <v>916.892148879</v>
      </c>
      <c r="H19" s="0" t="n">
        <f aca="false">H15+H16+H17+H18</f>
        <v>931.37711172534</v>
      </c>
      <c r="I19" s="0" t="n">
        <f aca="false">I15+I16+I17+I18</f>
        <v>950.004653959847</v>
      </c>
      <c r="J19" s="0" t="n">
        <f aca="false">J15+J16+J17+J18</f>
        <v>969.004747039044</v>
      </c>
      <c r="K19" s="0" t="n">
        <f aca="false">K15+K16+K17+K18</f>
        <v>995.329631446224</v>
      </c>
      <c r="L19" s="0" t="n">
        <f aca="false">L15+L16+L17+L18</f>
        <v>1010.25957591792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751.766055045871</v>
      </c>
      <c r="D21" s="0" t="n">
        <f aca="false">D19*D20</f>
        <v>730.829475633364</v>
      </c>
      <c r="E21" s="0" t="n">
        <f aca="false">E19*E20</f>
        <v>649.390498205059</v>
      </c>
      <c r="F21" s="0" t="n">
        <f aca="false">F19*F20</f>
        <v>636.813249111399</v>
      </c>
      <c r="G21" s="0" t="n">
        <f aca="false">G19*G20</f>
        <v>595.916985406997</v>
      </c>
      <c r="H21" s="0" t="n">
        <f aca="false">H19*H20</f>
        <v>555.349740724953</v>
      </c>
      <c r="I21" s="0" t="n">
        <f aca="false">I19*I20</f>
        <v>519.685078476562</v>
      </c>
      <c r="J21" s="0" t="n">
        <f aca="false">J19*J20</f>
        <v>486.310807381737</v>
      </c>
      <c r="K21" s="0" t="n">
        <f aca="false">K19*K20</f>
        <v>458.277412093563</v>
      </c>
      <c r="L21" s="0" t="n">
        <f aca="false">L19*L20</f>
        <v>426.744562637584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5811.08386471709</v>
      </c>
    </row>
    <row r="31" customFormat="false" ht="15" hidden="false" customHeight="false" outlineLevel="0" collapsed="false">
      <c r="A31" s="0" t="s">
        <v>137</v>
      </c>
      <c r="B31" s="0" t="n">
        <f aca="false">L19</f>
        <v>1010.25957591792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13672.1795940891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11112.8553350971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11112.8553350971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4694.19018901342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10505.2740537305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6099.77405373051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40.2625350081222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-0.550591193122869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632.268030624064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613.805920500246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48.4874455765995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7595.65533004952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13.0239645814497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</v>
      </c>
      <c r="D5" s="4" t="n">
        <f aca="false">Assumptions!D27</f>
        <v>3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14600</v>
      </c>
      <c r="C6" s="0" t="n">
        <f aca="false">B6*(1+C5/100)</f>
        <v>14892</v>
      </c>
      <c r="D6" s="0" t="n">
        <f aca="false">C6*(1+D5/100)</f>
        <v>15338.76</v>
      </c>
      <c r="E6" s="0" t="n">
        <f aca="false">D6*(1+E5/100)</f>
        <v>15875.6166</v>
      </c>
      <c r="F6" s="0" t="n">
        <f aca="false">E6*(1+F5/100)</f>
        <v>16431.263181</v>
      </c>
      <c r="G6" s="0" t="n">
        <f aca="false">F6*(1+G5/100)</f>
        <v>16924.20107643</v>
      </c>
      <c r="H6" s="0" t="n">
        <f aca="false">G6*(1+H5/100)</f>
        <v>17431.9271087229</v>
      </c>
      <c r="I6" s="0" t="n">
        <f aca="false">H6*(1+I5/100)</f>
        <v>17867.725286441</v>
      </c>
      <c r="J6" s="0" t="n">
        <f aca="false">I6*(1+J5/100)</f>
        <v>18314.418418602</v>
      </c>
      <c r="K6" s="0" t="n">
        <f aca="false">J6*(1+K5/100)</f>
        <v>18772.278879067</v>
      </c>
      <c r="L6" s="0" t="n">
        <f aca="false">K6*(1+L5/100)</f>
        <v>19241.5858510437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10.5</v>
      </c>
      <c r="D7" s="4" t="n">
        <f aca="false">Assumptions!D28</f>
        <v>12</v>
      </c>
      <c r="E7" s="4" t="n">
        <f aca="false">Assumptions!E28</f>
        <v>13</v>
      </c>
      <c r="F7" s="4" t="n">
        <f aca="false">Assumptions!F28</f>
        <v>13.5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1563.66</v>
      </c>
      <c r="D8" s="0" t="n">
        <f aca="false">D6*D7/100</f>
        <v>1840.6512</v>
      </c>
      <c r="E8" s="0" t="n">
        <f aca="false">E6*E7/100</f>
        <v>2063.830158</v>
      </c>
      <c r="F8" s="0" t="n">
        <f aca="false">F6*F7/100</f>
        <v>2218.220529435</v>
      </c>
      <c r="G8" s="0" t="n">
        <f aca="false">G6*G7/100</f>
        <v>2369.3881507002</v>
      </c>
      <c r="H8" s="0" t="n">
        <f aca="false">H6*H7/100</f>
        <v>2440.46979522121</v>
      </c>
      <c r="I8" s="0" t="n">
        <f aca="false">I6*I7/100</f>
        <v>2501.48154010174</v>
      </c>
      <c r="J8" s="0" t="n">
        <f aca="false">J6*J7/100</f>
        <v>2564.01857860428</v>
      </c>
      <c r="K8" s="0" t="n">
        <f aca="false">K6*K7/100</f>
        <v>2628.11904306939</v>
      </c>
      <c r="L8" s="0" t="n">
        <f aca="false">L6*L7/100</f>
        <v>2693.82201914612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0.65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-96.798</v>
      </c>
      <c r="D10" s="0" t="n">
        <f aca="false">-D6*D9/100</f>
        <v>-99.70194</v>
      </c>
      <c r="E10" s="0" t="n">
        <f aca="false">-E6*E9/100</f>
        <v>-103.1915079</v>
      </c>
      <c r="F10" s="0" t="n">
        <f aca="false">-F6*F9/100</f>
        <v>-106.8032106765</v>
      </c>
      <c r="G10" s="0" t="n">
        <f aca="false">-G6*G9/100</f>
        <v>-110.007306996795</v>
      </c>
      <c r="H10" s="0" t="n">
        <f aca="false">-H6*H9/100</f>
        <v>-113.307526206699</v>
      </c>
      <c r="I10" s="0" t="n">
        <f aca="false">-I6*I9/100</f>
        <v>-116.140214361866</v>
      </c>
      <c r="J10" s="0" t="n">
        <f aca="false">-J6*J9/100</f>
        <v>-119.043719720913</v>
      </c>
      <c r="K10" s="0" t="n">
        <f aca="false">-K6*K9/100</f>
        <v>-122.019812713936</v>
      </c>
      <c r="L10" s="0" t="n">
        <f aca="false">-L6*L9/100</f>
        <v>-125.070308031784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1466.862</v>
      </c>
      <c r="D11" s="0" t="n">
        <f aca="false">D8+D10+D24</f>
        <v>1740.94926</v>
      </c>
      <c r="E11" s="0" t="n">
        <f aca="false">E8+E10+E24</f>
        <v>1960.6386501</v>
      </c>
      <c r="F11" s="0" t="n">
        <f aca="false">F8+F10+F24</f>
        <v>2111.4173187585</v>
      </c>
      <c r="G11" s="0" t="n">
        <f aca="false">G8+G10+G24</f>
        <v>2259.38084370341</v>
      </c>
      <c r="H11" s="0" t="n">
        <f aca="false">H8+H10+H24</f>
        <v>2327.16226901451</v>
      </c>
      <c r="I11" s="0" t="n">
        <f aca="false">I8+I10+I24</f>
        <v>2385.34132573987</v>
      </c>
      <c r="J11" s="0" t="n">
        <f aca="false">J8+J10+J24</f>
        <v>2444.97485888337</v>
      </c>
      <c r="K11" s="0" t="n">
        <f aca="false">K8+K10+K24</f>
        <v>2506.09923035545</v>
      </c>
      <c r="L11" s="0" t="n">
        <f aca="false">L8+L10+L24</f>
        <v>2568.75171111434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-476.544</v>
      </c>
      <c r="D12" s="4" t="n">
        <f aca="false">-D6*Assumptions!D31/100</f>
        <v>-475.50156</v>
      </c>
      <c r="E12" s="4" t="n">
        <f aca="false">-E6*Assumptions!E31/100</f>
        <v>-476.268498</v>
      </c>
      <c r="F12" s="4" t="n">
        <f aca="false">-F6*Assumptions!F31/100</f>
        <v>-476.506632249</v>
      </c>
      <c r="G12" s="4" t="n">
        <f aca="false">-G6*Assumptions!G31/100</f>
        <v>-490.80183121647</v>
      </c>
      <c r="H12" s="4" t="n">
        <f aca="false">-H6*Assumptions!H31/100</f>
        <v>-488.093959044241</v>
      </c>
      <c r="I12" s="4" t="n">
        <f aca="false">-I6*Assumptions!I31/100</f>
        <v>-500.296308020347</v>
      </c>
      <c r="J12" s="4" t="n">
        <f aca="false">-J6*Assumptions!J31/100</f>
        <v>-512.803715720856</v>
      </c>
      <c r="K12" s="4" t="n">
        <f aca="false">-K6*Assumptions!K31/100</f>
        <v>-525.623808613877</v>
      </c>
      <c r="L12" s="4" t="n">
        <f aca="false">-L6*Assumptions!L31/100</f>
        <v>-538.764403829224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990.318</v>
      </c>
      <c r="D13" s="0" t="n">
        <f aca="false">D11+D12</f>
        <v>1265.4477</v>
      </c>
      <c r="E13" s="0" t="n">
        <f aca="false">E11+E12</f>
        <v>1484.3701521</v>
      </c>
      <c r="F13" s="0" t="n">
        <f aca="false">F11+F12</f>
        <v>1634.9106865095</v>
      </c>
      <c r="G13" s="0" t="n">
        <f aca="false">G11+G12</f>
        <v>1768.57901248694</v>
      </c>
      <c r="H13" s="0" t="n">
        <f aca="false">H11+H12</f>
        <v>1839.06830997027</v>
      </c>
      <c r="I13" s="0" t="n">
        <f aca="false">I11+I12</f>
        <v>1885.04501771952</v>
      </c>
      <c r="J13" s="0" t="n">
        <f aca="false">J11+J12</f>
        <v>1932.17114316251</v>
      </c>
      <c r="K13" s="0" t="n">
        <f aca="false">K11+K12</f>
        <v>1980.47542174157</v>
      </c>
      <c r="L13" s="0" t="n">
        <f aca="false">L11+L12</f>
        <v>2029.98730728511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742.7385</v>
      </c>
      <c r="D15" s="0" t="n">
        <f aca="false">D13-MAX(0,D13)*D14/100</f>
        <v>949.085775</v>
      </c>
      <c r="E15" s="0" t="n">
        <f aca="false">E13-MAX(0,E13)*E14/100</f>
        <v>1113.277614075</v>
      </c>
      <c r="F15" s="0" t="n">
        <f aca="false">F13-MAX(0,F13)*F14/100</f>
        <v>1226.18301488213</v>
      </c>
      <c r="G15" s="0" t="n">
        <f aca="false">G13-MAX(0,G13)*G14/100</f>
        <v>1326.4342593652</v>
      </c>
      <c r="H15" s="0" t="n">
        <f aca="false">H13-MAX(0,H13)*H14/100</f>
        <v>1379.3012324777</v>
      </c>
      <c r="I15" s="0" t="n">
        <f aca="false">I13-MAX(0,I13)*I14/100</f>
        <v>1413.78376328964</v>
      </c>
      <c r="J15" s="0" t="n">
        <f aca="false">J13-MAX(0,J13)*J14/100</f>
        <v>1449.12835737188</v>
      </c>
      <c r="K15" s="0" t="n">
        <f aca="false">K13-MAX(0,K13)*K14/100</f>
        <v>1485.35656630618</v>
      </c>
      <c r="L15" s="0" t="n">
        <f aca="false">L13-MAX(0,L13)*L14/100</f>
        <v>1522.49048046383</v>
      </c>
    </row>
    <row r="16" customFormat="false" ht="15" hidden="false" customHeight="false" outlineLevel="0" collapsed="false">
      <c r="A16" s="0" t="s">
        <v>128</v>
      </c>
      <c r="C16" s="0" t="n">
        <f aca="false">-C12</f>
        <v>476.544</v>
      </c>
      <c r="D16" s="0" t="n">
        <f aca="false">-D12</f>
        <v>475.50156</v>
      </c>
      <c r="E16" s="0" t="n">
        <f aca="false">-E12</f>
        <v>476.268498</v>
      </c>
      <c r="F16" s="0" t="n">
        <f aca="false">-F12</f>
        <v>476.506632249</v>
      </c>
      <c r="G16" s="0" t="n">
        <f aca="false">-G12</f>
        <v>490.80183121647</v>
      </c>
      <c r="H16" s="0" t="n">
        <f aca="false">-H12</f>
        <v>488.093959044241</v>
      </c>
      <c r="I16" s="0" t="n">
        <f aca="false">-I12</f>
        <v>500.296308020347</v>
      </c>
      <c r="J16" s="0" t="n">
        <f aca="false">-J12</f>
        <v>512.803715720856</v>
      </c>
      <c r="K16" s="0" t="n">
        <f aca="false">-K12</f>
        <v>525.623808613877</v>
      </c>
      <c r="L16" s="0" t="n">
        <f aca="false">-L12</f>
        <v>538.764403829224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-327.624</v>
      </c>
      <c r="D17" s="4" t="n">
        <f aca="false">-D6*Assumptions!D32/100</f>
        <v>-368.13024</v>
      </c>
      <c r="E17" s="4" t="n">
        <f aca="false">-E6*Assumptions!E32/100</f>
        <v>-396.890415</v>
      </c>
      <c r="F17" s="4" t="n">
        <f aca="false">-F6*Assumptions!F32/100</f>
        <v>-410.781579525</v>
      </c>
      <c r="G17" s="4" t="n">
        <f aca="false">-G6*Assumptions!G32/100</f>
        <v>-423.10502691075</v>
      </c>
      <c r="H17" s="4" t="n">
        <f aca="false">-H6*Assumptions!H32/100</f>
        <v>-435.798177718072</v>
      </c>
      <c r="I17" s="4" t="n">
        <f aca="false">-I6*Assumptions!I32/100</f>
        <v>-446.693132161024</v>
      </c>
      <c r="J17" s="4" t="n">
        <f aca="false">-J6*Assumptions!J32/100</f>
        <v>-457.86046046505</v>
      </c>
      <c r="K17" s="4" t="n">
        <f aca="false">-K6*Assumptions!K32/100</f>
        <v>-469.306971976676</v>
      </c>
      <c r="L17" s="4" t="n">
        <f aca="false">-L6*Assumptions!L32/100</f>
        <v>-481.039646276093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-43.8</v>
      </c>
      <c r="D18" s="4" t="n">
        <f aca="false">(D6-C6)*Assumptions!$B$37/100</f>
        <v>-67.014</v>
      </c>
      <c r="E18" s="4" t="n">
        <f aca="false">(E6-D6)*Assumptions!$B$37/100</f>
        <v>-80.5284899999999</v>
      </c>
      <c r="F18" s="4" t="n">
        <f aca="false">(F6-E6)*Assumptions!$B$37/100</f>
        <v>-83.3469871499999</v>
      </c>
      <c r="G18" s="4" t="n">
        <f aca="false">(G6-F6)*Assumptions!$B$37/100</f>
        <v>-73.9406843145002</v>
      </c>
      <c r="H18" s="4" t="n">
        <f aca="false">(H6-G6)*Assumptions!$B$37/100</f>
        <v>-76.158904843935</v>
      </c>
      <c r="I18" s="4" t="n">
        <f aca="false">(I6-H6)*Assumptions!$B$37/100</f>
        <v>-65.3697266577108</v>
      </c>
      <c r="J18" s="4" t="n">
        <f aca="false">(J6-I6)*Assumptions!$B$37/100</f>
        <v>-67.0039698241531</v>
      </c>
      <c r="K18" s="4" t="n">
        <f aca="false">(K6-J6)*Assumptions!$B$37/100</f>
        <v>-68.6790690697575</v>
      </c>
      <c r="L18" s="4" t="n">
        <f aca="false">(L6-K6)*Assumptions!$B$37/100</f>
        <v>-70.3960457965013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847.8585</v>
      </c>
      <c r="D19" s="0" t="n">
        <f aca="false">D15+D16+D17+D18</f>
        <v>989.443095</v>
      </c>
      <c r="E19" s="0" t="n">
        <f aca="false">E15+E16+E17+E18</f>
        <v>1112.127207075</v>
      </c>
      <c r="F19" s="0" t="n">
        <f aca="false">F15+F16+F17+F18</f>
        <v>1208.56108045613</v>
      </c>
      <c r="G19" s="0" t="n">
        <f aca="false">G15+G16+G17+G18</f>
        <v>1320.19037935642</v>
      </c>
      <c r="H19" s="0" t="n">
        <f aca="false">H15+H16+H17+H18</f>
        <v>1355.43810895993</v>
      </c>
      <c r="I19" s="0" t="n">
        <f aca="false">I15+I16+I17+I18</f>
        <v>1402.01721249125</v>
      </c>
      <c r="J19" s="0" t="n">
        <f aca="false">J15+J16+J17+J18</f>
        <v>1437.06764280354</v>
      </c>
      <c r="K19" s="0" t="n">
        <f aca="false">K15+K16+K17+K18</f>
        <v>1472.99433387362</v>
      </c>
      <c r="L19" s="0" t="n">
        <f aca="false">L15+L16+L17+L18</f>
        <v>1509.81919222046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777.851834862385</v>
      </c>
      <c r="D21" s="0" t="n">
        <f aca="false">D19*D20</f>
        <v>832.794457537244</v>
      </c>
      <c r="E21" s="0" t="n">
        <f aca="false">E19*E20</f>
        <v>858.766257029765</v>
      </c>
      <c r="F21" s="0" t="n">
        <f aca="false">F19*F20</f>
        <v>856.175138507312</v>
      </c>
      <c r="G21" s="0" t="n">
        <f aca="false">G19*G20</f>
        <v>858.033163432857</v>
      </c>
      <c r="H21" s="0" t="n">
        <f aca="false">H19*H20</f>
        <v>808.203457979759</v>
      </c>
      <c r="I21" s="0" t="n">
        <f aca="false">I19*I20</f>
        <v>766.951427092486</v>
      </c>
      <c r="J21" s="0" t="n">
        <f aca="false">J19*J20</f>
        <v>721.215791531925</v>
      </c>
      <c r="K21" s="0" t="n">
        <f aca="false">K19*K20</f>
        <v>678.207510385525</v>
      </c>
      <c r="L21" s="0" t="n">
        <f aca="false">L19*L20</f>
        <v>637.763943252443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7795.9629816117</v>
      </c>
    </row>
    <row r="31" customFormat="false" ht="15" hidden="false" customHeight="false" outlineLevel="0" collapsed="false">
      <c r="A31" s="0" t="s">
        <v>137</v>
      </c>
      <c r="B31" s="0" t="n">
        <f aca="false">L19</f>
        <v>1509.81919222046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22000.2225152125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19627.649498866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19627.649498866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8290.93126228176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16086.8942438935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11681.3942438935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77.104912500947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-0.139358047762619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699.415339183267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769.823867558375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86.8028610602977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11846.2736620375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29.4489770053261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2.5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14600</v>
      </c>
      <c r="C6" s="0" t="n">
        <f aca="false">B6*(1+C5/100)</f>
        <v>14965</v>
      </c>
      <c r="D6" s="0" t="n">
        <f aca="false">C6*(1+D5/100)</f>
        <v>15713.25</v>
      </c>
      <c r="E6" s="0" t="n">
        <f aca="false">D6*(1+E5/100)</f>
        <v>16577.47875</v>
      </c>
      <c r="F6" s="0" t="n">
        <f aca="false">E6*(1+F5/100)</f>
        <v>17406.3526875</v>
      </c>
      <c r="G6" s="0" t="n">
        <f aca="false">F6*(1+G5/100)</f>
        <v>18102.606795</v>
      </c>
      <c r="H6" s="0" t="n">
        <f aca="false">G6*(1+H5/100)</f>
        <v>18736.198032825</v>
      </c>
      <c r="I6" s="0" t="n">
        <f aca="false">H6*(1+I5/100)</f>
        <v>19298.2839738098</v>
      </c>
      <c r="J6" s="0" t="n">
        <f aca="false">I6*(1+J5/100)</f>
        <v>19877.232493024</v>
      </c>
      <c r="K6" s="0" t="n">
        <f aca="false">J6*(1+K5/100)</f>
        <v>20473.5494678148</v>
      </c>
      <c r="L6" s="0" t="n">
        <f aca="false">K6*(1+L5/100)</f>
        <v>21087.7559518492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10.8</v>
      </c>
      <c r="D7" s="4" t="n">
        <f aca="false">Assumptions!D42</f>
        <v>12.5</v>
      </c>
      <c r="E7" s="4" t="n">
        <f aca="false">Assumptions!E42</f>
        <v>14</v>
      </c>
      <c r="F7" s="4" t="n">
        <f aca="false">Assumptions!F42</f>
        <v>15</v>
      </c>
      <c r="G7" s="4" t="n">
        <f aca="false">Assumptions!G42</f>
        <v>15.5</v>
      </c>
      <c r="H7" s="4" t="n">
        <f aca="false">Assumptions!H42</f>
        <v>15.5</v>
      </c>
      <c r="I7" s="4" t="n">
        <f aca="false">Assumptions!I42</f>
        <v>15.5</v>
      </c>
      <c r="J7" s="4" t="n">
        <f aca="false">Assumptions!J42</f>
        <v>15.5</v>
      </c>
      <c r="K7" s="4" t="n">
        <f aca="false">Assumptions!K42</f>
        <v>15.5</v>
      </c>
      <c r="L7" s="4" t="n">
        <f aca="false">Assumptions!L42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1616.22</v>
      </c>
      <c r="D8" s="0" t="n">
        <f aca="false">D6*D7/100</f>
        <v>1964.15625</v>
      </c>
      <c r="E8" s="0" t="n">
        <f aca="false">E6*E7/100</f>
        <v>2320.847025</v>
      </c>
      <c r="F8" s="0" t="n">
        <f aca="false">F6*F7/100</f>
        <v>2610.952903125</v>
      </c>
      <c r="G8" s="0" t="n">
        <f aca="false">G6*G7/100</f>
        <v>2805.904053225</v>
      </c>
      <c r="H8" s="0" t="n">
        <f aca="false">H6*H7/100</f>
        <v>2904.11069508788</v>
      </c>
      <c r="I8" s="0" t="n">
        <f aca="false">I6*I7/100</f>
        <v>2991.23401594051</v>
      </c>
      <c r="J8" s="0" t="n">
        <f aca="false">J6*J7/100</f>
        <v>3080.97103641873</v>
      </c>
      <c r="K8" s="0" t="n">
        <f aca="false">K6*K7/100</f>
        <v>3173.40016751129</v>
      </c>
      <c r="L8" s="0" t="n">
        <f aca="false">L6*L7/100</f>
        <v>3268.60217253663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0.65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-97.2725</v>
      </c>
      <c r="D10" s="0" t="n">
        <f aca="false">-D6*D9/100</f>
        <v>-102.136125</v>
      </c>
      <c r="E10" s="0" t="n">
        <f aca="false">-E6*E9/100</f>
        <v>-107.753611875</v>
      </c>
      <c r="F10" s="0" t="n">
        <f aca="false">-F6*F9/100</f>
        <v>-113.14129246875</v>
      </c>
      <c r="G10" s="0" t="n">
        <f aca="false">-G6*G9/100</f>
        <v>-117.6669441675</v>
      </c>
      <c r="H10" s="0" t="n">
        <f aca="false">-H6*H9/100</f>
        <v>-121.785287213363</v>
      </c>
      <c r="I10" s="0" t="n">
        <f aca="false">-I6*I9/100</f>
        <v>-125.438845829763</v>
      </c>
      <c r="J10" s="0" t="n">
        <f aca="false">-J6*J9/100</f>
        <v>-129.202011204656</v>
      </c>
      <c r="K10" s="0" t="n">
        <f aca="false">-K6*K9/100</f>
        <v>-133.078071540796</v>
      </c>
      <c r="L10" s="0" t="n">
        <f aca="false">-L6*L9/100</f>
        <v>-137.07041368702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1518.9475</v>
      </c>
      <c r="D11" s="0" t="n">
        <f aca="false">D8+D10+D24</f>
        <v>1862.020125</v>
      </c>
      <c r="E11" s="0" t="n">
        <f aca="false">E8+E10+E24</f>
        <v>2213.093413125</v>
      </c>
      <c r="F11" s="0" t="n">
        <f aca="false">F8+F10+F24</f>
        <v>2497.81161065625</v>
      </c>
      <c r="G11" s="0" t="n">
        <f aca="false">G8+G10+G24</f>
        <v>2688.2371090575</v>
      </c>
      <c r="H11" s="0" t="n">
        <f aca="false">H8+H10+H24</f>
        <v>2782.32540787451</v>
      </c>
      <c r="I11" s="0" t="n">
        <f aca="false">I8+I10+I24</f>
        <v>2865.79517011075</v>
      </c>
      <c r="J11" s="0" t="n">
        <f aca="false">J8+J10+J24</f>
        <v>2951.76902521407</v>
      </c>
      <c r="K11" s="0" t="n">
        <f aca="false">K8+K10+K24</f>
        <v>3040.32209597049</v>
      </c>
      <c r="L11" s="0" t="n">
        <f aca="false">L8+L10+L24</f>
        <v>3131.53175884961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-478.88</v>
      </c>
      <c r="D12" s="4" t="n">
        <f aca="false">-D6*Assumptions!D45/100</f>
        <v>-487.11075</v>
      </c>
      <c r="E12" s="4" t="n">
        <f aca="false">-E6*Assumptions!E45/100</f>
        <v>-497.3243625</v>
      </c>
      <c r="F12" s="4" t="n">
        <f aca="false">-F6*Assumptions!F45/100</f>
        <v>-504.7842279375</v>
      </c>
      <c r="G12" s="4" t="n">
        <f aca="false">-G6*Assumptions!G45/100</f>
        <v>-524.975597055</v>
      </c>
      <c r="H12" s="4" t="n">
        <f aca="false">-H6*Assumptions!H45/100</f>
        <v>-524.6135449191</v>
      </c>
      <c r="I12" s="4" t="n">
        <f aca="false">-I6*Assumptions!I45/100</f>
        <v>-540.351951266673</v>
      </c>
      <c r="J12" s="4" t="n">
        <f aca="false">-J6*Assumptions!J45/100</f>
        <v>-556.562509804673</v>
      </c>
      <c r="K12" s="4" t="n">
        <f aca="false">-K6*Assumptions!K45/100</f>
        <v>-573.259385098814</v>
      </c>
      <c r="L12" s="4" t="n">
        <f aca="false">-L6*Assumptions!L45/100</f>
        <v>-590.457166651778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1040.0675</v>
      </c>
      <c r="D13" s="0" t="n">
        <f aca="false">D11+D12</f>
        <v>1374.909375</v>
      </c>
      <c r="E13" s="0" t="n">
        <f aca="false">E11+E12</f>
        <v>1715.769050625</v>
      </c>
      <c r="F13" s="0" t="n">
        <f aca="false">F11+F12</f>
        <v>1993.02738271875</v>
      </c>
      <c r="G13" s="0" t="n">
        <f aca="false">G11+G12</f>
        <v>2163.2615120025</v>
      </c>
      <c r="H13" s="0" t="n">
        <f aca="false">H11+H12</f>
        <v>2257.71186295541</v>
      </c>
      <c r="I13" s="0" t="n">
        <f aca="false">I11+I12</f>
        <v>2325.44321884407</v>
      </c>
      <c r="J13" s="0" t="n">
        <f aca="false">J11+J12</f>
        <v>2395.2065154094</v>
      </c>
      <c r="K13" s="0" t="n">
        <f aca="false">K11+K12</f>
        <v>2467.06271087168</v>
      </c>
      <c r="L13" s="0" t="n">
        <f aca="false">L11+L12</f>
        <v>2541.07459219783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780.050625</v>
      </c>
      <c r="D15" s="0" t="n">
        <f aca="false">D13-MAX(0,D13)*D14/100</f>
        <v>1031.18203125</v>
      </c>
      <c r="E15" s="0" t="n">
        <f aca="false">E13-MAX(0,E13)*E14/100</f>
        <v>1286.82678796875</v>
      </c>
      <c r="F15" s="0" t="n">
        <f aca="false">F13-MAX(0,F13)*F14/100</f>
        <v>1494.77053703906</v>
      </c>
      <c r="G15" s="0" t="n">
        <f aca="false">G13-MAX(0,G13)*G14/100</f>
        <v>1622.44613400187</v>
      </c>
      <c r="H15" s="0" t="n">
        <f aca="false">H13-MAX(0,H13)*H14/100</f>
        <v>1693.28389721656</v>
      </c>
      <c r="I15" s="0" t="n">
        <f aca="false">I13-MAX(0,I13)*I14/100</f>
        <v>1744.08241413306</v>
      </c>
      <c r="J15" s="0" t="n">
        <f aca="false">J13-MAX(0,J13)*J14/100</f>
        <v>1796.40488655705</v>
      </c>
      <c r="K15" s="0" t="n">
        <f aca="false">K13-MAX(0,K13)*K14/100</f>
        <v>1850.29703315376</v>
      </c>
      <c r="L15" s="0" t="n">
        <f aca="false">L13-MAX(0,L13)*L14/100</f>
        <v>1905.80594414837</v>
      </c>
    </row>
    <row r="16" customFormat="false" ht="15" hidden="false" customHeight="false" outlineLevel="0" collapsed="false">
      <c r="A16" s="0" t="s">
        <v>128</v>
      </c>
      <c r="C16" s="0" t="n">
        <f aca="false">-C12</f>
        <v>478.88</v>
      </c>
      <c r="D16" s="0" t="n">
        <f aca="false">-D12</f>
        <v>487.11075</v>
      </c>
      <c r="E16" s="0" t="n">
        <f aca="false">-E12</f>
        <v>497.3243625</v>
      </c>
      <c r="F16" s="0" t="n">
        <f aca="false">-F12</f>
        <v>504.7842279375</v>
      </c>
      <c r="G16" s="0" t="n">
        <f aca="false">-G12</f>
        <v>524.975597055</v>
      </c>
      <c r="H16" s="0" t="n">
        <f aca="false">-H12</f>
        <v>524.6135449191</v>
      </c>
      <c r="I16" s="0" t="n">
        <f aca="false">-I12</f>
        <v>540.351951266673</v>
      </c>
      <c r="J16" s="0" t="n">
        <f aca="false">-J12</f>
        <v>556.562509804673</v>
      </c>
      <c r="K16" s="0" t="n">
        <f aca="false">-K12</f>
        <v>573.259385098814</v>
      </c>
      <c r="L16" s="0" t="n">
        <f aca="false">-L12</f>
        <v>590.457166651778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-329.23</v>
      </c>
      <c r="D17" s="4" t="n">
        <f aca="false">-D6*Assumptions!D46/100</f>
        <v>-377.118</v>
      </c>
      <c r="E17" s="4" t="n">
        <f aca="false">-E6*Assumptions!E46/100</f>
        <v>-414.43696875</v>
      </c>
      <c r="F17" s="4" t="n">
        <f aca="false">-F6*Assumptions!F46/100</f>
        <v>-435.1588171875</v>
      </c>
      <c r="G17" s="4" t="n">
        <f aca="false">-G6*Assumptions!G46/100</f>
        <v>-452.565169875</v>
      </c>
      <c r="H17" s="4" t="n">
        <f aca="false">-H6*Assumptions!H46/100</f>
        <v>-468.404950820625</v>
      </c>
      <c r="I17" s="4" t="n">
        <f aca="false">-I6*Assumptions!I46/100</f>
        <v>-482.457099345244</v>
      </c>
      <c r="J17" s="4" t="n">
        <f aca="false">-J6*Assumptions!J46/100</f>
        <v>-496.930812325601</v>
      </c>
      <c r="K17" s="4" t="n">
        <f aca="false">-K6*Assumptions!K46/100</f>
        <v>-511.838736695369</v>
      </c>
      <c r="L17" s="4" t="n">
        <f aca="false">-L6*Assumptions!L46/100</f>
        <v>-527.19389879623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-54.7499999999997</v>
      </c>
      <c r="D18" s="4" t="n">
        <f aca="false">(D6-C6)*Assumptions!$B$51/100</f>
        <v>-112.2375</v>
      </c>
      <c r="E18" s="4" t="n">
        <f aca="false">(E6-D6)*Assumptions!$B$51/100</f>
        <v>-129.6343125</v>
      </c>
      <c r="F18" s="4" t="n">
        <f aca="false">(F6-E6)*Assumptions!$B$51/100</f>
        <v>-124.331090625</v>
      </c>
      <c r="G18" s="4" t="n">
        <f aca="false">(G6-F6)*Assumptions!$B$51/100</f>
        <v>-104.438116125</v>
      </c>
      <c r="H18" s="4" t="n">
        <f aca="false">(H6-G6)*Assumptions!$B$51/100</f>
        <v>-95.0386856737499</v>
      </c>
      <c r="I18" s="4" t="n">
        <f aca="false">(I6-H6)*Assumptions!$B$51/100</f>
        <v>-84.3128911477126</v>
      </c>
      <c r="J18" s="4" t="n">
        <f aca="false">(J6-I6)*Assumptions!$B$51/100</f>
        <v>-86.8422778821439</v>
      </c>
      <c r="K18" s="4" t="n">
        <f aca="false">(K6-J6)*Assumptions!$B$51/100</f>
        <v>-89.4475462186085</v>
      </c>
      <c r="L18" s="4" t="n">
        <f aca="false">(L6-K6)*Assumptions!$B$51/100</f>
        <v>-92.1309726051664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874.950625</v>
      </c>
      <c r="D19" s="0" t="n">
        <f aca="false">D15+D16+D17+D18</f>
        <v>1028.93728125</v>
      </c>
      <c r="E19" s="0" t="n">
        <f aca="false">E15+E16+E17+E18</f>
        <v>1240.07986921875</v>
      </c>
      <c r="F19" s="0" t="n">
        <f aca="false">F15+F16+F17+F18</f>
        <v>1440.06485716406</v>
      </c>
      <c r="G19" s="0" t="n">
        <f aca="false">G15+G16+G17+G18</f>
        <v>1590.41844505687</v>
      </c>
      <c r="H19" s="0" t="n">
        <f aca="false">H15+H16+H17+H18</f>
        <v>1654.45380564128</v>
      </c>
      <c r="I19" s="0" t="n">
        <f aca="false">I15+I16+I17+I18</f>
        <v>1717.66437490677</v>
      </c>
      <c r="J19" s="0" t="n">
        <f aca="false">J15+J16+J17+J18</f>
        <v>1769.19430615398</v>
      </c>
      <c r="K19" s="0" t="n">
        <f aca="false">K15+K16+K17+K18</f>
        <v>1822.2701353386</v>
      </c>
      <c r="L19" s="0" t="n">
        <f aca="false">L15+L16+L17+L18</f>
        <v>1876.93823939875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802.706995412844</v>
      </c>
      <c r="D21" s="0" t="n">
        <f aca="false">D19*D20</f>
        <v>866.035923954213</v>
      </c>
      <c r="E21" s="0" t="n">
        <f aca="false">E19*E20</f>
        <v>957.569188967004</v>
      </c>
      <c r="F21" s="0" t="n">
        <f aca="false">F19*F20</f>
        <v>1020.17825038402</v>
      </c>
      <c r="G21" s="0" t="n">
        <f aca="false">G19*G20</f>
        <v>1033.66286479027</v>
      </c>
      <c r="H21" s="0" t="n">
        <f aca="false">H19*H20</f>
        <v>986.496748134874</v>
      </c>
      <c r="I21" s="0" t="n">
        <f aca="false">I19*I20</f>
        <v>939.621234221395</v>
      </c>
      <c r="J21" s="0" t="n">
        <f aca="false">J19*J20</f>
        <v>887.89896444774</v>
      </c>
      <c r="K21" s="0" t="n">
        <f aca="false">K19*K20</f>
        <v>839.023792092819</v>
      </c>
      <c r="L21" s="0" t="n">
        <f aca="false">L19*L20</f>
        <v>792.838996197801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9126.03295860298</v>
      </c>
    </row>
    <row r="31" customFormat="false" ht="15" hidden="false" customHeight="false" outlineLevel="0" collapsed="false">
      <c r="A31" s="0" t="s">
        <v>137</v>
      </c>
      <c r="B31" s="0" t="n">
        <f aca="false">L19</f>
        <v>1876.93823939875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29597.8722366726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28154.0735909813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28154.0735909813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11892.584942967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21018.61790157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16613.11790157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109.657543904752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0.223993123169466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740.290831519621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913.038840742099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120.570611048394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15390.8935630698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41.5082757553753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40.2625350081222</v>
      </c>
      <c r="C4" s="0" t="n">
        <f aca="false">B4/Assumptions!$B$2-1</f>
        <v>-0.550591193122869</v>
      </c>
      <c r="D4" s="4" t="n">
        <f aca="false">Assumptions!$B$24</f>
        <v>0.25</v>
      </c>
      <c r="E4" s="4" t="n">
        <f aca="false">DCF_Bear!$B$43</f>
        <v>48.4874455765995</v>
      </c>
      <c r="F4" s="4" t="n">
        <f aca="false">DCF_Bear!$B$47</f>
        <v>13.0239645814497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77.104912500947</v>
      </c>
      <c r="C5" s="0" t="n">
        <f aca="false">B5/Assumptions!$B$2-1</f>
        <v>-0.139358047762619</v>
      </c>
      <c r="D5" s="4" t="n">
        <f aca="false">Assumptions!$B$38</f>
        <v>0.5</v>
      </c>
      <c r="E5" s="4" t="n">
        <f aca="false">DCF_Base!$B$43</f>
        <v>86.8028610602977</v>
      </c>
      <c r="F5" s="4" t="n">
        <f aca="false">DCF_Base!$B$47</f>
        <v>29.4489770053261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109.657543904752</v>
      </c>
      <c r="C6" s="0" t="n">
        <f aca="false">B6/Assumptions!$B$2-1</f>
        <v>0.223993123169466</v>
      </c>
      <c r="D6" s="4" t="n">
        <f aca="false">Assumptions!$B$52</f>
        <v>0.25</v>
      </c>
      <c r="E6" s="4" t="n">
        <f aca="false">DCF_Bull!$B$43</f>
        <v>120.570611048394</v>
      </c>
      <c r="F6" s="4" t="n">
        <f aca="false">DCF_Bull!$B$47</f>
        <v>41.5082757553753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76.0324759786922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85.6659446863973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-0.178312278362569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140.733565786788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28.3575485868693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77.104912500947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68.9590995000979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57.5022779607386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48.3571649425064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29.4489770053261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93.6061095378942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93.6061095378942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93.6061095378942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93.6061095378942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93.6061095378942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84.9751592167319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84.9751592167319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84.9751592167319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84.9751592167319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84.9751592167319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75.526288879035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77.104912500947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77.104912500947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77.104912500947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77.104912500947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63.0889975236241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65.8513984537294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68.9590995000979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69.9196616417027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69.9196616417027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53.1735231192718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55.223985938914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57.5022779607386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60.048604338072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62.9132215125721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2026-10-02T09:08:05Z</dcterms:created>
  <dc:creator>openpyxl</dc:creator>
  <dc:description/>
  <dc:language>en-NZ</dc:language>
  <cp:lastModifiedBy/>
  <dcterms:modified xsi:type="dcterms:W3CDTF">2026-10-02T09:08:05Z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