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<sst xmlns="http://schemas.openxmlformats.org/spreadsheetml/2006/main" count="390" uniqueCount="175">
  <si>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</si>
  <si>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LOW</t>
  </si>
  <si>
    <t xml:space="preserve">Company</t>
  </si>
  <si>
    <t xml:space="preserve">Lowe's Companies,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</si>
  <si>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</si>
  <si>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</si>
  <si>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</si>
  <si>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</si>
  <si>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2026-10-01T20:03:55Z regular close (Yahoo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</si>
  <si>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</si>
  <si>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</si>
  <si>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</si>
  <si>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</si>
  <si>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</si>
  <si>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</si>
  <si>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</si>
  <si>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</si>
  <si>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</si>
  <si>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</si>
  <si>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</si>
  <si>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</si>
  <si>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2026-10-02T00:31:17Z</t>
  </si>
  <si>
    <t xml:space="preserve">Drivers file</t>
  </si>
  <si>
    <t xml:space="preserve">LOW_Drivers.json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</si>
  <si>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</si>
  <si>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</si>
  <si>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</si>
  <si>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Lowe's is valued as a stream of unlevered owner free cash flow discounted at an 8% USD WACC, with the equity found by subtracting $34.4B of net debt -- book equity is negative and irrelevant. SBC is tiny (0.3% of revenue) and fully expensed, so house and street values nearly coincide and the valuation turns almost entirely on four judgments: the pace of a housing-turnover recovery, how far FBM/ADG lift Pro penetration and margin, the exit multiple a cyclical retailer deserves (16x base, 13x-18x across scenarios, versus ~18.5x today), and the probability weights. The 10-year horizon lets margins mature before the terminal value is capitalised, and the terminal cap, not Gordon, binds in every scenario.
key_risks_to_valuation: Housing turnover and mortgage rates: comps are the single largest swing factor; a 2027 recession (bear) versus a 2027 recovery (bull) is worth roughly 2x in equity value because leverage magnifies EV changes; Terminal multiple: with ~55-60% of EV in the terminal value and net debt of $34B, each 1x of terminal FCF multiple moves equity value by roughly $9/share; FBM/ADG integration and distribution-margin dilution: $10.1B of 2025 M&amp;A at a cyclical peak must earn its cost of capital for the base margin path to hold; Leverage: net debt/EBITDA ~2.7x with buybacks paused; the flat share count assumes repurchases resume once the term debt is repaid; Tariffs on ~20% China-sourced merchandise and commodity (lumber, gypsum) swings; Competitive share loss to Home Depot in Pro, where Lowe's is structurally underweight</t>
  </si>
  <si>
    <t xml:space="preserve">Data sources</t>
  </si>
  <si>
    <t xml:space="preserve">price: Yahoo Finance chart API at inputs.price_as_of; 52-week range 179.21-293.06.
financials: research/LOW/Reports/LOW_Metrics.csv (SEC XBRL-derived via build_facts_xbrl.py, 94 periods, USD millions) for the history; SEC companyfacts API (CIK 60667) for the 2026-07-31 debt, lease, share-count, interest and working-capital tags that the CSV does not carry.
qualitative: research/LOW/Reports/LOW_Analysis.json (2026-10-02): Q2 FY2026 results and lowered FY2026 guidance (Aug-2026), FBM ($8.8B, closed Oct-2025) and ADG ($1.3B, Jun-2025) acquisitions, Pro strategy, housing-cycle backdrop.</t>
  </si>
  <si>
    <t xml:space="preserve">Scenario narrative: bear</t>
  </si>
  <si>
    <t xml:space="preserve">The DIY shopper management already calls 'wary' retrenches further into a 2027 housing/consumer recession; comps fall 4-5% and the DIY-heavy, discretionary mix deleverages EBITDA margin to 12.5%. FBM, bought at the top with $8.8B of debt, under-delivers and its lower-margin distribution revenue caps the recovery at 13.3%. With net debt/EBITDA pushing 3x and negative book equity, buybacks stay suspended and the market prices Lowe's as a levered housing cyclical at a 13x FCF exit. Tariffs on the ~20% China-sourced mix add a persistent cost headwind. Solvency is not in question -- interest cover stays above 4x even here -- but equity value compresses hard.</t>
  </si>
  <si>
    <t xml:space="preserve">Scenario narrative: base</t>
  </si>
  <si>
    <t xml:space="preserve">Lowe's fiscal 2026 lands on the guided numbers -- ~$92B sales (flat comps plus the FBM/ADG roll-in), ~11.6% adjusted operating margin, ~$2.5B capex -- and the next four years deliver 3.5% growth as housing turnover grinds back from a 30-year low and Pro/distribution gains ~1pt of share a year. EBITDA margin climbs 80bp over the decade as FBM synergies, Pro mix and productivity offset lower-margin distribution revenue. Free cash flow first repays the FBM term debt, then resumes buybacks; the model treats those buybacks as value-neutral and credits the cash through the net-debt bridge. The axes are (1) housing turnover / mortgage rates, (2) Pro penetration vs Home Depot, (3) FBM/ADG integration, and (4) DIY discretionary mix.</t>
  </si>
  <si>
    <t xml:space="preserve">Scenario narrative: bull</t>
  </si>
  <si>
    <t xml:space="preserve">Rate cuts in 2027 unlock the locked-in-mortgage housing market; existing-home sales and remodel spend recover for three years (comps +4-5%). FBM and ADG give Lowe's a credible large-Pro and new-construction channel, cross-sell works, and Pro penetration moves toward 35%. Margins reach 15.8% on synergies and mix, approaching Home Depot's level, and the market re-rates the stock back to an 18x FCF exit as a through-cycle compounder. This needs two independent things -- a macro housing recovery and acquisition execution -- which is why its weight is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</si>
  <si>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</si>
  <si>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</si>
  <si>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</si>
  <si>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</si>
  <si>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</si>
  <si>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</si>
  <si>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</si>
  <si>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</si>
  <si>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</si>
  <si>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</si>
  <si>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</si>
  <si>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</si>
  <si>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</si>
  <si>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</si>
  <si>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</si>
  <si>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</si>
  <si>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</si>
  <si>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</si>
  <si>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</si>
  <si>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</si>
  <si>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</si>
  <si>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</si>
  <si>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</si>
  <si>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</si>
  <si>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</si>
  <si>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</si>
  <si>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</si>
  <si>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</si>
  <si>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</si>
  <si>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</si>
  <si>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</si>
  <si>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</si>
  <si>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</si>
  <si>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</si>
  <si>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</si>
  <si>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</si>
  <si>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</si>
  <si>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</si>
  <si>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</si>
  <si>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</si>
  <si>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</si>
  <si>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</si>
  <si>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</si>
  <si>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</si>
  <si>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</si>
  <si>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</si>
  <si>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</si>
  <si>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</si>
  <si>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</si>
  <si>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</si>
  <si>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</si>
  <si>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</si>
  <si>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</si>
  <si>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</si>
  <si>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</si>
  <si>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</si>
  <si>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</si>
  <si>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</si>
  <si>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</si>
  <si>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</si>
  <si>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</si>
  <si>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</si>
  <si>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</si>
  <si>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</si>
  <si>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</si>
  <si>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</si>
  <si>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</si>
  <si>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</si>
  <si>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</si>
  <si>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</si>
  <si>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</si>
  <si>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</si>
  <si>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</si>
  <si>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</si>
  <si>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</si>
  <si>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</si>
  <si>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</si>
  <si>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</si>
  <si>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</si>
  <si>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</si>
  <si>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</si>
  <si>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</si>
  <si>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</si>
  <si>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</si>
  <si>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LOW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</si>
  <si>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</si>
  <si>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</si>
  <si>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</si>
  <si>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</si>
  <si>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</si>
  <si>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</si>
  <si>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</si>
  <si>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</si>
  <si>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</si>
  <si>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</si>
  <si>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</si>
  <si>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</si>
  <si>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</si>
  <si>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</si>
  <si>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</si>
  <si>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</si>
  <si>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</si>
  <si>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</si>
  <si>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</si>
  <si>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</si>
  <si>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</si>
  <si>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</si>
  <si>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</si>
  <si>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</si>
  <si>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</si>
  <si>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</si>
  <si>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</si>
  <si>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</si>
  <si>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</si>
  <si>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</si>
  <si>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LOW owner-FCF component DCF: base case (millions, USD)</t>
  </si>
  <si>
    <t xml:space="preserve">LOW owner-FCF component DCF: bull case (millions, USD)</t>
  </si>
  <si>
    <t xml:space="preserve">LOW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</si>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</sst>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182.38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15725</v>
      </c>
      <c r="S2" s="0" t="n">
        <v>364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48283</v>
      </c>
      <c r="C3" s="0" t="n">
        <v>31556</v>
      </c>
      <c r="D3" s="0" t="n">
        <v>16727</v>
      </c>
      <c r="E3" s="0" t="n">
        <v>34.6436634011971</v>
      </c>
      <c r="I3" s="0" t="n">
        <v>2809</v>
      </c>
      <c r="J3" s="0" t="n">
        <v>5.81778265642152</v>
      </c>
      <c r="K3" s="0" t="n">
        <v>1.89</v>
      </c>
      <c r="L3" s="0" t="n">
        <v>4347</v>
      </c>
      <c r="M3" s="0" t="n">
        <v>4010</v>
      </c>
      <c r="N3" s="0" t="n">
        <v>337</v>
      </c>
      <c r="O3" s="0" t="n">
        <v>16098</v>
      </c>
      <c r="S3" s="0" t="n">
        <v>281</v>
      </c>
      <c r="U3" s="0" t="n">
        <v>99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48230</v>
      </c>
      <c r="C4" s="0" t="n">
        <v>31729</v>
      </c>
      <c r="D4" s="0" t="n">
        <v>16501</v>
      </c>
      <c r="E4" s="0" t="n">
        <v>34.2131453452208</v>
      </c>
      <c r="I4" s="0" t="n">
        <v>2195</v>
      </c>
      <c r="J4" s="0" t="n">
        <v>4.5511092680904</v>
      </c>
      <c r="K4" s="0" t="n">
        <v>1.5</v>
      </c>
      <c r="L4" s="0" t="n">
        <v>4122</v>
      </c>
      <c r="M4" s="0" t="n">
        <v>3266</v>
      </c>
      <c r="N4" s="0" t="n">
        <v>856</v>
      </c>
      <c r="O4" s="0" t="n">
        <v>18055</v>
      </c>
      <c r="P4" s="0" t="n">
        <v>32625</v>
      </c>
      <c r="Q4" s="0" t="n">
        <v>14570</v>
      </c>
      <c r="R4" s="0" t="n">
        <v>5073</v>
      </c>
      <c r="S4" s="0" t="n">
        <v>245</v>
      </c>
      <c r="T4" s="0" t="n">
        <v>1468</v>
      </c>
      <c r="U4" s="0" t="n">
        <v>95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47220</v>
      </c>
      <c r="C5" s="0" t="n">
        <v>30757</v>
      </c>
      <c r="D5" s="0" t="n">
        <v>16463</v>
      </c>
      <c r="E5" s="0" t="n">
        <v>34.8644642100805</v>
      </c>
      <c r="I5" s="0" t="n">
        <v>1783</v>
      </c>
      <c r="J5" s="0" t="n">
        <v>3.77594239728928</v>
      </c>
      <c r="K5" s="0" t="n">
        <v>1.21</v>
      </c>
      <c r="L5" s="0" t="n">
        <v>4054</v>
      </c>
      <c r="M5" s="0" t="n">
        <v>1799</v>
      </c>
      <c r="N5" s="0" t="n">
        <v>2255</v>
      </c>
      <c r="O5" s="0" t="n">
        <v>19069</v>
      </c>
      <c r="P5" s="0" t="n">
        <v>33005</v>
      </c>
      <c r="Q5" s="0" t="n">
        <v>13936</v>
      </c>
      <c r="R5" s="0" t="n">
        <v>5632</v>
      </c>
      <c r="S5" s="0" t="n">
        <v>632</v>
      </c>
      <c r="T5" s="0" t="n">
        <v>1464</v>
      </c>
      <c r="U5" s="0" t="n">
        <v>102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48815</v>
      </c>
      <c r="C6" s="0" t="n">
        <v>31663</v>
      </c>
      <c r="D6" s="0" t="n">
        <v>17152</v>
      </c>
      <c r="E6" s="0" t="n">
        <v>35.1367407559152</v>
      </c>
      <c r="I6" s="0" t="n">
        <v>2010</v>
      </c>
      <c r="J6" s="0" t="n">
        <v>4.11758680733381</v>
      </c>
      <c r="K6" s="0" t="n">
        <v>1.42</v>
      </c>
      <c r="L6" s="0" t="n">
        <v>3852</v>
      </c>
      <c r="M6" s="0" t="n">
        <v>1329</v>
      </c>
      <c r="N6" s="0" t="n">
        <v>2523</v>
      </c>
      <c r="O6" s="0" t="n">
        <v>18112</v>
      </c>
      <c r="P6" s="0" t="n">
        <v>33699</v>
      </c>
      <c r="Q6" s="0" t="n">
        <v>15587</v>
      </c>
      <c r="R6" s="0" t="n">
        <v>6609</v>
      </c>
      <c r="S6" s="0" t="n">
        <v>652</v>
      </c>
      <c r="T6" s="0" t="n">
        <v>1403</v>
      </c>
      <c r="U6" s="0" t="n">
        <v>115</v>
      </c>
      <c r="V6" s="0" t="n">
        <v>0.42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50208</v>
      </c>
      <c r="C7" s="0" t="n">
        <v>32858</v>
      </c>
      <c r="D7" s="0" t="n">
        <v>17350</v>
      </c>
      <c r="E7" s="0" t="n">
        <v>34.5562460165711</v>
      </c>
      <c r="I7" s="0" t="n">
        <v>1839</v>
      </c>
      <c r="J7" s="0" t="n">
        <v>3.66276290630975</v>
      </c>
      <c r="K7" s="0" t="n">
        <v>1.43</v>
      </c>
      <c r="L7" s="0" t="n">
        <v>4349</v>
      </c>
      <c r="M7" s="0" t="n">
        <v>1829</v>
      </c>
      <c r="N7" s="0" t="n">
        <v>2520</v>
      </c>
      <c r="O7" s="0" t="n">
        <v>16533</v>
      </c>
      <c r="P7" s="0" t="n">
        <v>33559</v>
      </c>
      <c r="Q7" s="0" t="n">
        <v>17026</v>
      </c>
      <c r="R7" s="0" t="n">
        <v>7627</v>
      </c>
      <c r="S7" s="0" t="n">
        <v>1014</v>
      </c>
      <c r="T7" s="0" t="n">
        <v>1273</v>
      </c>
      <c r="U7" s="0" t="n">
        <v>107</v>
      </c>
      <c r="V7" s="0" t="n">
        <v>0.53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50521</v>
      </c>
      <c r="C8" s="0" t="n">
        <v>33194</v>
      </c>
      <c r="D8" s="0" t="n">
        <v>17327</v>
      </c>
      <c r="E8" s="0" t="n">
        <v>34.2966291245225</v>
      </c>
      <c r="I8" s="0" t="n">
        <v>1959</v>
      </c>
      <c r="J8" s="0" t="n">
        <v>3.8775954553552</v>
      </c>
      <c r="K8" s="0" t="n">
        <v>1.69</v>
      </c>
      <c r="L8" s="0" t="n">
        <v>3762</v>
      </c>
      <c r="M8" s="0" t="n">
        <v>1211</v>
      </c>
      <c r="N8" s="0" t="n">
        <v>2551</v>
      </c>
      <c r="O8" s="0" t="n">
        <v>13857</v>
      </c>
      <c r="P8" s="0" t="n">
        <v>32666</v>
      </c>
      <c r="Q8" s="0" t="n">
        <v>18809</v>
      </c>
      <c r="R8" s="0" t="n">
        <v>9077</v>
      </c>
      <c r="S8" s="0" t="n">
        <v>541</v>
      </c>
      <c r="T8" s="0" t="n">
        <v>1152</v>
      </c>
      <c r="U8" s="0" t="n">
        <v>100</v>
      </c>
      <c r="V8" s="0" t="n">
        <v>0.62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53417</v>
      </c>
      <c r="C9" s="0" t="n">
        <v>34941</v>
      </c>
      <c r="D9" s="0" t="n">
        <v>18476</v>
      </c>
      <c r="E9" s="0" t="n">
        <v>34.5882396989722</v>
      </c>
      <c r="I9" s="0" t="n">
        <v>2286</v>
      </c>
      <c r="J9" s="0" t="n">
        <v>4.27953647715147</v>
      </c>
      <c r="K9" s="0" t="n">
        <v>2.14</v>
      </c>
      <c r="M9" s="0" t="n">
        <v>940</v>
      </c>
      <c r="O9" s="0" t="n">
        <v>11853</v>
      </c>
      <c r="P9" s="0" t="n">
        <v>32732</v>
      </c>
      <c r="Q9" s="0" t="n">
        <v>20879</v>
      </c>
      <c r="R9" s="0" t="n">
        <v>10135</v>
      </c>
      <c r="S9" s="0" t="n">
        <v>391</v>
      </c>
      <c r="T9" s="0" t="n">
        <v>1061</v>
      </c>
      <c r="U9" s="0" t="n">
        <v>100</v>
      </c>
      <c r="V9" s="0" t="n">
        <v>0.7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56223</v>
      </c>
      <c r="C10" s="0" t="n">
        <v>36665</v>
      </c>
      <c r="D10" s="0" t="n">
        <v>19558</v>
      </c>
      <c r="E10" s="0" t="n">
        <v>34.786475285915</v>
      </c>
      <c r="F10" s="0" t="n">
        <v>4792</v>
      </c>
      <c r="G10" s="0" t="n">
        <v>8.52320224819024</v>
      </c>
      <c r="H10" s="0" t="n">
        <v>6378</v>
      </c>
      <c r="I10" s="0" t="n">
        <v>2698</v>
      </c>
      <c r="J10" s="0" t="n">
        <v>4.79874784340928</v>
      </c>
      <c r="K10" s="0" t="n">
        <v>2.71</v>
      </c>
      <c r="M10" s="0" t="n">
        <v>880</v>
      </c>
      <c r="O10" s="0" t="n">
        <v>9968</v>
      </c>
      <c r="P10" s="0" t="n">
        <v>31721</v>
      </c>
      <c r="Q10" s="0" t="n">
        <v>21753</v>
      </c>
      <c r="R10" s="0" t="n">
        <v>11358</v>
      </c>
      <c r="S10" s="0" t="n">
        <v>466</v>
      </c>
      <c r="T10" s="0" t="n">
        <v>990</v>
      </c>
      <c r="U10" s="0" t="n">
        <v>119</v>
      </c>
      <c r="V10" s="0" t="n">
        <v>0.87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59074</v>
      </c>
      <c r="C11" s="0" t="n">
        <v>38504</v>
      </c>
      <c r="D11" s="0" t="n">
        <v>20570</v>
      </c>
      <c r="E11" s="0" t="n">
        <v>34.8207333175339</v>
      </c>
      <c r="F11" s="0" t="n">
        <v>4971</v>
      </c>
      <c r="G11" s="0" t="n">
        <v>8.41486948572976</v>
      </c>
      <c r="H11" s="0" t="n">
        <v>6558</v>
      </c>
      <c r="I11" s="0" t="n">
        <v>2546</v>
      </c>
      <c r="J11" s="0" t="n">
        <v>4.30984866438704</v>
      </c>
      <c r="K11" s="0" t="n">
        <v>2.73</v>
      </c>
      <c r="L11" s="0" t="n">
        <v>4784</v>
      </c>
      <c r="M11" s="0" t="n">
        <v>1197</v>
      </c>
      <c r="N11" s="0" t="n">
        <v>3587</v>
      </c>
      <c r="O11" s="0" t="n">
        <v>7654</v>
      </c>
      <c r="P11" s="0" t="n">
        <v>31266</v>
      </c>
      <c r="Q11" s="0" t="n">
        <v>23612</v>
      </c>
      <c r="R11" s="0" t="n">
        <v>12606</v>
      </c>
      <c r="S11" s="0" t="n">
        <v>405</v>
      </c>
      <c r="T11" s="0" t="n">
        <v>929</v>
      </c>
      <c r="U11" s="0" t="n">
        <v>117</v>
      </c>
      <c r="V11" s="0" t="n">
        <v>1.07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65017</v>
      </c>
      <c r="C12" s="0" t="n">
        <v>43343</v>
      </c>
      <c r="D12" s="0" t="n">
        <v>21674</v>
      </c>
      <c r="E12" s="0" t="n">
        <v>33.3358967654613</v>
      </c>
      <c r="F12" s="0" t="n">
        <v>5846</v>
      </c>
      <c r="G12" s="0" t="n">
        <v>8.99149453219927</v>
      </c>
      <c r="H12" s="0" t="n">
        <v>7436</v>
      </c>
      <c r="I12" s="0" t="n">
        <v>3093</v>
      </c>
      <c r="J12" s="0" t="n">
        <v>4.75721734315641</v>
      </c>
      <c r="K12" s="0" t="n">
        <v>3.48</v>
      </c>
      <c r="L12" s="0" t="n">
        <v>5617</v>
      </c>
      <c r="M12" s="0" t="n">
        <v>1167</v>
      </c>
      <c r="N12" s="0" t="n">
        <v>4450</v>
      </c>
      <c r="O12" s="0" t="n">
        <v>6434</v>
      </c>
      <c r="P12" s="0" t="n">
        <v>34408</v>
      </c>
      <c r="Q12" s="0" t="n">
        <v>27974</v>
      </c>
      <c r="R12" s="0" t="n">
        <v>15189</v>
      </c>
      <c r="S12" s="0" t="n">
        <v>558</v>
      </c>
      <c r="T12" s="0" t="n">
        <v>881</v>
      </c>
      <c r="U12" s="0" t="n">
        <v>90</v>
      </c>
      <c r="V12" s="0" t="n">
        <v>1.33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68619</v>
      </c>
      <c r="C13" s="0" t="n">
        <v>46185</v>
      </c>
      <c r="D13" s="0" t="n">
        <v>22434</v>
      </c>
      <c r="E13" s="0" t="n">
        <v>32.6935688366196</v>
      </c>
      <c r="F13" s="0" t="n">
        <v>6586</v>
      </c>
      <c r="G13" s="0" t="n">
        <v>9.59792477302205</v>
      </c>
      <c r="H13" s="0" t="n">
        <v>8126</v>
      </c>
      <c r="I13" s="0" t="n">
        <v>3447</v>
      </c>
      <c r="J13" s="0" t="n">
        <v>5.02339002317143</v>
      </c>
      <c r="K13" s="0" t="n">
        <v>4.09</v>
      </c>
      <c r="L13" s="0" t="n">
        <v>5065</v>
      </c>
      <c r="M13" s="0" t="n">
        <v>1123</v>
      </c>
      <c r="N13" s="0" t="n">
        <v>3942</v>
      </c>
      <c r="O13" s="0" t="n">
        <v>5873</v>
      </c>
      <c r="P13" s="0" t="n">
        <v>35291</v>
      </c>
      <c r="Q13" s="0" t="n">
        <v>29418</v>
      </c>
      <c r="R13" s="0" t="n">
        <v>15858</v>
      </c>
      <c r="S13" s="0" t="n">
        <v>588</v>
      </c>
      <c r="T13" s="0" t="n">
        <v>840</v>
      </c>
      <c r="U13" s="0" t="n">
        <v>99</v>
      </c>
      <c r="V13" s="0" t="n">
        <v>1.58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71309</v>
      </c>
      <c r="C14" s="0" t="n">
        <v>48401</v>
      </c>
      <c r="D14" s="0" t="n">
        <v>22908</v>
      </c>
      <c r="E14" s="0" t="n">
        <v>32.1249772118526</v>
      </c>
      <c r="F14" s="0" t="n">
        <v>4018</v>
      </c>
      <c r="G14" s="0" t="n">
        <v>5.63463237459507</v>
      </c>
      <c r="H14" s="0" t="n">
        <v>5625</v>
      </c>
      <c r="I14" s="0" t="n">
        <v>2314</v>
      </c>
      <c r="J14" s="0" t="n">
        <v>3.24503218387581</v>
      </c>
      <c r="K14" s="0" t="n">
        <v>2.84</v>
      </c>
      <c r="L14" s="0" t="n">
        <v>6193</v>
      </c>
      <c r="M14" s="0" t="n">
        <v>1174</v>
      </c>
      <c r="N14" s="0" t="n">
        <v>5019</v>
      </c>
      <c r="O14" s="0" t="n">
        <v>3644</v>
      </c>
      <c r="P14" s="0" t="n">
        <v>34508</v>
      </c>
      <c r="Q14" s="0" t="n">
        <v>30864</v>
      </c>
      <c r="R14" s="0" t="n">
        <v>15501</v>
      </c>
      <c r="S14" s="0" t="n">
        <v>511</v>
      </c>
      <c r="T14" s="0" t="n">
        <v>812</v>
      </c>
      <c r="U14" s="0" t="n">
        <v>74</v>
      </c>
      <c r="V14" s="0" t="n">
        <v>1.85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72148</v>
      </c>
      <c r="C15" s="0" t="n">
        <v>49205</v>
      </c>
      <c r="D15" s="0" t="n">
        <v>22943</v>
      </c>
      <c r="E15" s="0" t="n">
        <v>31.7999112934524</v>
      </c>
      <c r="F15" s="0" t="n">
        <v>6314</v>
      </c>
      <c r="G15" s="0" t="n">
        <v>8.75145534179742</v>
      </c>
      <c r="H15" s="0" t="n">
        <v>7724</v>
      </c>
      <c r="I15" s="0" t="n">
        <v>4281</v>
      </c>
      <c r="J15" s="0" t="n">
        <v>5.93363641403781</v>
      </c>
      <c r="K15" s="0" t="n">
        <v>5.49</v>
      </c>
      <c r="L15" s="0" t="n">
        <v>4296</v>
      </c>
      <c r="M15" s="0" t="n">
        <v>1484</v>
      </c>
      <c r="N15" s="0" t="n">
        <v>2812</v>
      </c>
      <c r="O15" s="0" t="n">
        <v>1972</v>
      </c>
      <c r="P15" s="0" t="n">
        <v>39471</v>
      </c>
      <c r="Q15" s="0" t="n">
        <v>37499</v>
      </c>
      <c r="R15" s="0" t="n">
        <v>17365</v>
      </c>
      <c r="S15" s="0" t="n">
        <v>716</v>
      </c>
      <c r="T15" s="0" t="n">
        <v>778</v>
      </c>
      <c r="U15" s="0" t="n">
        <v>98</v>
      </c>
      <c r="V15" s="0" t="n">
        <v>2.13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89597</v>
      </c>
      <c r="C16" s="0" t="n">
        <v>60025</v>
      </c>
      <c r="D16" s="0" t="n">
        <v>29572</v>
      </c>
      <c r="E16" s="0" t="n">
        <v>33.0055693829035</v>
      </c>
      <c r="F16" s="0" t="n">
        <v>9647</v>
      </c>
      <c r="G16" s="0" t="n">
        <v>10.7671015770617</v>
      </c>
      <c r="H16" s="0" t="n">
        <v>11241</v>
      </c>
      <c r="I16" s="0" t="n">
        <v>5835</v>
      </c>
      <c r="J16" s="0" t="n">
        <v>6.51249483799681</v>
      </c>
      <c r="K16" s="0" t="n">
        <v>7.77</v>
      </c>
      <c r="L16" s="0" t="n">
        <v>11049</v>
      </c>
      <c r="M16" s="0" t="n">
        <v>1791</v>
      </c>
      <c r="N16" s="0" t="n">
        <v>9258</v>
      </c>
      <c r="O16" s="0" t="n">
        <v>1437</v>
      </c>
      <c r="P16" s="0" t="n">
        <v>46735</v>
      </c>
      <c r="Q16" s="0" t="n">
        <v>45298</v>
      </c>
      <c r="R16" s="0" t="n">
        <v>21780</v>
      </c>
      <c r="S16" s="0" t="n">
        <v>4690</v>
      </c>
      <c r="T16" s="0" t="n">
        <v>750</v>
      </c>
      <c r="U16" s="0" t="n">
        <v>155</v>
      </c>
      <c r="V16" s="0" t="n">
        <v>2.3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96250</v>
      </c>
      <c r="C17" s="0" t="n">
        <v>64194</v>
      </c>
      <c r="D17" s="0" t="n">
        <v>32056</v>
      </c>
      <c r="E17" s="0" t="n">
        <v>33.3049350649351</v>
      </c>
      <c r="F17" s="0" t="n">
        <v>12093</v>
      </c>
      <c r="G17" s="0" t="n">
        <v>12.5641558441559</v>
      </c>
      <c r="H17" s="0" t="n">
        <v>13975</v>
      </c>
      <c r="I17" s="0" t="n">
        <v>8442</v>
      </c>
      <c r="J17" s="0" t="n">
        <v>8.77090909090909</v>
      </c>
      <c r="K17" s="0" t="n">
        <v>12.07</v>
      </c>
      <c r="L17" s="0" t="n">
        <v>10113</v>
      </c>
      <c r="M17" s="0" t="n">
        <v>1853</v>
      </c>
      <c r="N17" s="0" t="n">
        <v>8260</v>
      </c>
      <c r="O17" s="0" t="n">
        <v>-4816</v>
      </c>
      <c r="P17" s="0" t="n">
        <v>44640</v>
      </c>
      <c r="Q17" s="0" t="n">
        <v>49456</v>
      </c>
      <c r="R17" s="0" t="n">
        <v>24727</v>
      </c>
      <c r="S17" s="0" t="n">
        <v>1133</v>
      </c>
      <c r="T17" s="0" t="n">
        <v>699</v>
      </c>
      <c r="U17" s="0" t="n">
        <v>230</v>
      </c>
      <c r="V17" s="0" t="n">
        <v>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97059</v>
      </c>
      <c r="C18" s="0" t="n">
        <v>64802</v>
      </c>
      <c r="D18" s="0" t="n">
        <v>32257</v>
      </c>
      <c r="E18" s="0" t="n">
        <v>33.2344244222586</v>
      </c>
      <c r="F18" s="0" t="n">
        <v>10159</v>
      </c>
      <c r="G18" s="0" t="n">
        <v>10.4668294542495</v>
      </c>
      <c r="H18" s="0" t="n">
        <v>12140</v>
      </c>
      <c r="I18" s="0" t="n">
        <v>6437</v>
      </c>
      <c r="J18" s="0" t="n">
        <v>6.63204854779052</v>
      </c>
      <c r="K18" s="0" t="n">
        <v>10.2</v>
      </c>
      <c r="L18" s="0" t="n">
        <v>8589</v>
      </c>
      <c r="M18" s="0" t="n">
        <v>1829</v>
      </c>
      <c r="N18" s="0" t="n">
        <v>6760</v>
      </c>
      <c r="O18" s="0" t="n">
        <v>-14254</v>
      </c>
      <c r="P18" s="0" t="n">
        <v>43708</v>
      </c>
      <c r="Q18" s="0" t="n">
        <v>57962</v>
      </c>
      <c r="R18" s="0" t="n">
        <v>33461</v>
      </c>
      <c r="S18" s="0" t="n">
        <v>1348</v>
      </c>
      <c r="T18" s="0" t="n">
        <v>631</v>
      </c>
      <c r="U18" s="0" t="n">
        <v>224</v>
      </c>
      <c r="V18" s="0" t="n">
        <v>3.95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86377</v>
      </c>
      <c r="C19" s="0" t="n">
        <v>57533</v>
      </c>
      <c r="D19" s="0" t="n">
        <v>28844</v>
      </c>
      <c r="E19" s="0" t="n">
        <v>33.3931486391053</v>
      </c>
      <c r="F19" s="0" t="n">
        <v>11557</v>
      </c>
      <c r="G19" s="0" t="n">
        <v>13.3797191381965</v>
      </c>
      <c r="H19" s="0" t="n">
        <v>13480</v>
      </c>
      <c r="I19" s="0" t="n">
        <v>7726</v>
      </c>
      <c r="J19" s="0" t="n">
        <v>8.94451069150353</v>
      </c>
      <c r="K19" s="0" t="n">
        <v>13.23</v>
      </c>
      <c r="L19" s="0" t="n">
        <v>8140</v>
      </c>
      <c r="M19" s="0" t="n">
        <v>1964</v>
      </c>
      <c r="N19" s="0" t="n">
        <v>6176</v>
      </c>
      <c r="O19" s="0" t="n">
        <v>-15050</v>
      </c>
      <c r="P19" s="0" t="n">
        <v>41795</v>
      </c>
      <c r="Q19" s="0" t="n">
        <v>56845</v>
      </c>
      <c r="R19" s="0" t="n">
        <v>35921</v>
      </c>
      <c r="S19" s="0" t="n">
        <v>921</v>
      </c>
      <c r="T19" s="0" t="n">
        <v>584</v>
      </c>
      <c r="U19" s="0" t="n">
        <v>210</v>
      </c>
      <c r="V19" s="0" t="n">
        <v>4.35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83674</v>
      </c>
      <c r="C20" s="0" t="n">
        <v>55797</v>
      </c>
      <c r="D20" s="0" t="n">
        <v>27877</v>
      </c>
      <c r="E20" s="0" t="n">
        <v>33.3162033606616</v>
      </c>
      <c r="F20" s="0" t="n">
        <v>10466</v>
      </c>
      <c r="G20" s="0" t="n">
        <v>12.508067022014</v>
      </c>
      <c r="H20" s="0" t="n">
        <v>12438</v>
      </c>
      <c r="I20" s="0" t="n">
        <v>6957</v>
      </c>
      <c r="J20" s="0" t="n">
        <v>8.31441068910295</v>
      </c>
      <c r="K20" s="0" t="n">
        <v>12.25</v>
      </c>
      <c r="L20" s="0" t="n">
        <v>9625</v>
      </c>
      <c r="M20" s="0" t="n">
        <v>1927</v>
      </c>
      <c r="N20" s="0" t="n">
        <v>7698</v>
      </c>
      <c r="O20" s="0" t="n">
        <v>-14231</v>
      </c>
      <c r="P20" s="0" t="n">
        <v>43102</v>
      </c>
      <c r="Q20" s="0" t="n">
        <v>57333</v>
      </c>
      <c r="R20" s="0" t="n">
        <v>35487</v>
      </c>
      <c r="S20" s="0" t="n">
        <v>1761</v>
      </c>
      <c r="T20" s="0" t="n">
        <v>568</v>
      </c>
      <c r="U20" s="0" t="n">
        <v>221</v>
      </c>
      <c r="V20" s="0" t="n">
        <v>4.55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86286</v>
      </c>
      <c r="C21" s="0" t="n">
        <v>57401</v>
      </c>
      <c r="D21" s="0" t="n">
        <v>28885</v>
      </c>
      <c r="E21" s="0" t="n">
        <v>33.4758825301903</v>
      </c>
      <c r="F21" s="0" t="n">
        <v>10153</v>
      </c>
      <c r="G21" s="0" t="n">
        <v>11.7666828917785</v>
      </c>
      <c r="H21" s="0" t="n">
        <v>12347</v>
      </c>
      <c r="I21" s="0" t="n">
        <v>6654</v>
      </c>
      <c r="J21" s="0" t="n">
        <v>7.71156386899381</v>
      </c>
      <c r="K21" s="0" t="n">
        <v>11.87</v>
      </c>
      <c r="L21" s="0" t="n">
        <v>9864</v>
      </c>
      <c r="M21" s="0" t="n">
        <v>2213</v>
      </c>
      <c r="N21" s="0" t="n">
        <v>7651</v>
      </c>
      <c r="O21" s="0" t="n">
        <v>-9917</v>
      </c>
      <c r="P21" s="0" t="n">
        <v>54144</v>
      </c>
      <c r="Q21" s="0" t="n">
        <v>64061</v>
      </c>
      <c r="R21" s="0" t="n">
        <v>42250</v>
      </c>
      <c r="S21" s="0" t="n">
        <v>982</v>
      </c>
      <c r="T21" s="0" t="n">
        <v>561</v>
      </c>
      <c r="U21" s="0" t="n">
        <v>247</v>
      </c>
      <c r="V21" s="0" t="n">
        <v>4.75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182.38</v>
      </c>
    </row>
    <row r="3" customFormat="false" ht="15" hidden="false" customHeight="false" outlineLevel="0" collapsed="false">
      <c r="A3" s="0" t="s">
        <v>86</v>
      </c>
      <c r="B3" s="3" t="n">
        <v>561</v>
      </c>
    </row>
    <row r="4" customFormat="false" ht="15" hidden="false" customHeight="false" outlineLevel="0" collapsed="false">
      <c r="A4" s="0" t="s">
        <v>87</v>
      </c>
      <c r="B4" s="3" t="n">
        <v>34384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86286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5.5</v>
      </c>
      <c r="D13" s="3" t="n">
        <v>-2</v>
      </c>
      <c r="E13" s="3" t="n">
        <v>0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13.5</v>
      </c>
      <c r="D14" s="3" t="n">
        <v>12.5</v>
      </c>
      <c r="E14" s="3" t="n">
        <v>12.5</v>
      </c>
      <c r="F14" s="3" t="n">
        <v>12.8</v>
      </c>
      <c r="G14" s="3" t="n">
        <v>13</v>
      </c>
      <c r="H14" s="3" t="n">
        <v>13.2</v>
      </c>
      <c r="I14" s="3" t="n">
        <v>13.3</v>
      </c>
      <c r="J14" s="3" t="n">
        <v>13.3</v>
      </c>
      <c r="K14" s="3" t="n">
        <v>13.3</v>
      </c>
      <c r="L14" s="3" t="n">
        <v>13.3</v>
      </c>
    </row>
    <row r="15" customFormat="false" ht="15" hidden="false" customHeight="false" outlineLevel="0" collapsed="false">
      <c r="A15" s="0" t="s">
        <v>108</v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2.8</v>
      </c>
      <c r="D17" s="3" t="n">
        <v>2.9</v>
      </c>
      <c r="E17" s="3" t="n">
        <v>2.9</v>
      </c>
      <c r="F17" s="3" t="n">
        <v>2.8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111</v>
      </c>
      <c r="C18" s="3" t="n">
        <v>2.7</v>
      </c>
      <c r="D18" s="3" t="n">
        <v>2.6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-6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6.6</v>
      </c>
      <c r="D27" s="3" t="n">
        <v>3.5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14</v>
      </c>
      <c r="D28" s="3" t="n">
        <v>14.1</v>
      </c>
      <c r="E28" s="3" t="n">
        <v>14.3</v>
      </c>
      <c r="F28" s="3" t="n">
        <v>14.5</v>
      </c>
      <c r="G28" s="3" t="n">
        <v>14.6</v>
      </c>
      <c r="H28" s="3" t="n">
        <v>14.7</v>
      </c>
      <c r="I28" s="3" t="n">
        <v>14.8</v>
      </c>
      <c r="J28" s="3" t="n">
        <v>14.8</v>
      </c>
      <c r="K28" s="3" t="n">
        <v>14.8</v>
      </c>
      <c r="L28" s="3" t="n">
        <v>14.8</v>
      </c>
    </row>
    <row r="29" customFormat="false" ht="15" hidden="false" customHeight="false" outlineLevel="0" collapsed="false">
      <c r="A29" s="0" t="s">
        <v>108</v>
      </c>
      <c r="C29" s="3" t="n">
        <v>0.28</v>
      </c>
      <c r="D29" s="3" t="n">
        <v>0.28</v>
      </c>
      <c r="E29" s="3" t="n">
        <v>0.28</v>
      </c>
      <c r="F29" s="3" t="n">
        <v>0.28</v>
      </c>
      <c r="G29" s="3" t="n">
        <v>0.28</v>
      </c>
      <c r="H29" s="3" t="n">
        <v>0.28</v>
      </c>
      <c r="I29" s="3" t="n">
        <v>0.28</v>
      </c>
      <c r="J29" s="3" t="n">
        <v>0.28</v>
      </c>
      <c r="K29" s="3" t="n">
        <v>0.28</v>
      </c>
      <c r="L29" s="3" t="n">
        <v>0.28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2.8</v>
      </c>
      <c r="D31" s="3" t="n">
        <v>2.8</v>
      </c>
      <c r="E31" s="3" t="n">
        <v>2.7</v>
      </c>
      <c r="F31" s="3" t="n">
        <v>2.7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111</v>
      </c>
      <c r="C32" s="3" t="n">
        <v>2.7</v>
      </c>
      <c r="D32" s="3" t="n">
        <v>2.6</v>
      </c>
      <c r="E32" s="3" t="n">
        <v>2.6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7.5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14.2</v>
      </c>
      <c r="D42" s="3" t="n">
        <v>14.5</v>
      </c>
      <c r="E42" s="3" t="n">
        <v>14.9</v>
      </c>
      <c r="F42" s="3" t="n">
        <v>15.2</v>
      </c>
      <c r="G42" s="3" t="n">
        <v>15.4</v>
      </c>
      <c r="H42" s="3" t="n">
        <v>15.6</v>
      </c>
      <c r="I42" s="3" t="n">
        <v>15.8</v>
      </c>
      <c r="J42" s="3" t="n">
        <v>15.8</v>
      </c>
      <c r="K42" s="3" t="n">
        <v>15.8</v>
      </c>
      <c r="L42" s="3" t="n">
        <v>15.8</v>
      </c>
    </row>
    <row r="43" customFormat="false" ht="15" hidden="false" customHeight="false" outlineLevel="0" collapsed="false">
      <c r="A43" s="0" t="s">
        <v>108</v>
      </c>
      <c r="C43" s="3" t="n">
        <v>0.28</v>
      </c>
      <c r="D43" s="3" t="n">
        <v>0.28</v>
      </c>
      <c r="E43" s="3" t="n">
        <v>0.28</v>
      </c>
      <c r="F43" s="3" t="n">
        <v>0.28</v>
      </c>
      <c r="G43" s="3" t="n">
        <v>0.28</v>
      </c>
      <c r="H43" s="3" t="n">
        <v>0.28</v>
      </c>
      <c r="I43" s="3" t="n">
        <v>0.28</v>
      </c>
      <c r="J43" s="3" t="n">
        <v>0.28</v>
      </c>
      <c r="K43" s="3" t="n">
        <v>0.28</v>
      </c>
      <c r="L43" s="3" t="n">
        <v>0.28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2.8</v>
      </c>
      <c r="D45" s="3" t="n">
        <v>2.8</v>
      </c>
      <c r="E45" s="3" t="n">
        <v>2.7</v>
      </c>
      <c r="F45" s="3" t="n">
        <v>2.7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111</v>
      </c>
      <c r="C46" s="3" t="n">
        <v>2.7</v>
      </c>
      <c r="D46" s="3" t="n">
        <v>2.7</v>
      </c>
      <c r="E46" s="3" t="n">
        <v>2.6</v>
      </c>
      <c r="F46" s="3" t="n">
        <v>2.6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-6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5.5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86286</v>
      </c>
      <c r="C6" s="0" t="n">
        <f aca="false">B6*(1+C5/100)</f>
        <v>91031.73</v>
      </c>
      <c r="D6" s="0" t="n">
        <f aca="false">C6*(1+D5/100)</f>
        <v>89211.0954</v>
      </c>
      <c r="E6" s="0" t="n">
        <f aca="false">D6*(1+E5/100)</f>
        <v>89211.0954</v>
      </c>
      <c r="F6" s="0" t="n">
        <f aca="false">E6*(1+F5/100)</f>
        <v>90995.317308</v>
      </c>
      <c r="G6" s="0" t="n">
        <f aca="false">F6*(1+G5/100)</f>
        <v>93270.2002407</v>
      </c>
      <c r="H6" s="0" t="n">
        <f aca="false">G6*(1+H5/100)</f>
        <v>95601.9552467175</v>
      </c>
      <c r="I6" s="0" t="n">
        <f aca="false">H6*(1+I5/100)</f>
        <v>97992.0041278854</v>
      </c>
      <c r="J6" s="0" t="n">
        <f aca="false">I6*(1+J5/100)</f>
        <v>99951.8442104431</v>
      </c>
      <c r="K6" s="0" t="n">
        <f aca="false">J6*(1+K5/100)</f>
        <v>101950.881094652</v>
      </c>
      <c r="L6" s="0" t="n">
        <f aca="false">K6*(1+L5/100)</f>
        <v>103989.898716545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13.5</v>
      </c>
      <c r="D7" s="4" t="n">
        <f aca="false">Assumptions!D14</f>
        <v>12.5</v>
      </c>
      <c r="E7" s="4" t="n">
        <f aca="false">Assumptions!E14</f>
        <v>12.5</v>
      </c>
      <c r="F7" s="4" t="n">
        <f aca="false">Assumptions!F14</f>
        <v>12.8</v>
      </c>
      <c r="G7" s="4" t="n">
        <f aca="false">Assumptions!G14</f>
        <v>13</v>
      </c>
      <c r="H7" s="4" t="n">
        <f aca="false">Assumptions!H14</f>
        <v>13.2</v>
      </c>
      <c r="I7" s="4" t="n">
        <f aca="false">Assumptions!I14</f>
        <v>13.3</v>
      </c>
      <c r="J7" s="4" t="n">
        <f aca="false">Assumptions!J14</f>
        <v>13.3</v>
      </c>
      <c r="K7" s="4" t="n">
        <f aca="false">Assumptions!K14</f>
        <v>13.3</v>
      </c>
      <c r="L7" s="4" t="n">
        <f aca="false">Assumptions!L14</f>
        <v>13.3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12289.28355</v>
      </c>
      <c r="D8" s="0" t="n">
        <f aca="false">D6*D7/100</f>
        <v>11151.386925</v>
      </c>
      <c r="E8" s="0" t="n">
        <f aca="false">E6*E7/100</f>
        <v>11151.386925</v>
      </c>
      <c r="F8" s="0" t="n">
        <f aca="false">F6*F7/100</f>
        <v>11647.400615424</v>
      </c>
      <c r="G8" s="0" t="n">
        <f aca="false">G6*G7/100</f>
        <v>12125.126031291</v>
      </c>
      <c r="H8" s="0" t="n">
        <f aca="false">H6*H7/100</f>
        <v>12619.4580925667</v>
      </c>
      <c r="I8" s="0" t="n">
        <f aca="false">I6*I7/100</f>
        <v>13032.9365490088</v>
      </c>
      <c r="J8" s="0" t="n">
        <f aca="false">J6*J7/100</f>
        <v>13293.5952799889</v>
      </c>
      <c r="K8" s="0" t="n">
        <f aca="false">K6*K7/100</f>
        <v>13559.4671855887</v>
      </c>
      <c r="L8" s="0" t="n">
        <f aca="false">L6*L7/100</f>
        <v>13830.6565293005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0.28</v>
      </c>
      <c r="D9" s="4" t="n">
        <f aca="false">Assumptions!D15</f>
        <v>0.28</v>
      </c>
      <c r="E9" s="4" t="n">
        <f aca="false">Assumptions!E15</f>
        <v>0.28</v>
      </c>
      <c r="F9" s="4" t="n">
        <f aca="false">Assumptions!F15</f>
        <v>0.28</v>
      </c>
      <c r="G9" s="4" t="n">
        <f aca="false">Assumptions!G15</f>
        <v>0.28</v>
      </c>
      <c r="H9" s="4" t="n">
        <f aca="false">Assumptions!H15</f>
        <v>0.28</v>
      </c>
      <c r="I9" s="4" t="n">
        <f aca="false">Assumptions!I15</f>
        <v>0.28</v>
      </c>
      <c r="J9" s="4" t="n">
        <f aca="false">Assumptions!J15</f>
        <v>0.28</v>
      </c>
      <c r="K9" s="4" t="n">
        <f aca="false">Assumptions!K15</f>
        <v>0.28</v>
      </c>
      <c r="L9" s="4" t="n">
        <f aca="false">Assumptions!L15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-254.888844</v>
      </c>
      <c r="D10" s="0" t="n">
        <f aca="false">-D6*D9/100</f>
        <v>-249.79106712</v>
      </c>
      <c r="E10" s="0" t="n">
        <f aca="false">-E6*E9/100</f>
        <v>-249.79106712</v>
      </c>
      <c r="F10" s="0" t="n">
        <f aca="false">-F6*F9/100</f>
        <v>-254.7868884624</v>
      </c>
      <c r="G10" s="0" t="n">
        <f aca="false">-G6*G9/100</f>
        <v>-261.15656067396</v>
      </c>
      <c r="H10" s="0" t="n">
        <f aca="false">-H6*H9/100</f>
        <v>-267.685474690809</v>
      </c>
      <c r="I10" s="0" t="n">
        <f aca="false">-I6*I9/100</f>
        <v>-274.377611558079</v>
      </c>
      <c r="J10" s="0" t="n">
        <f aca="false">-J6*J9/100</f>
        <v>-279.865163789241</v>
      </c>
      <c r="K10" s="0" t="n">
        <f aca="false">-K6*K9/100</f>
        <v>-285.462467065026</v>
      </c>
      <c r="L10" s="0" t="n">
        <f aca="false">-L6*L9/100</f>
        <v>-291.171716406326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12034.394706</v>
      </c>
      <c r="D11" s="0" t="n">
        <f aca="false">D8+D10+D24</f>
        <v>10901.59585788</v>
      </c>
      <c r="E11" s="0" t="n">
        <f aca="false">E8+E10+E24</f>
        <v>10901.59585788</v>
      </c>
      <c r="F11" s="0" t="n">
        <f aca="false">F8+F10+F24</f>
        <v>11392.6137269616</v>
      </c>
      <c r="G11" s="0" t="n">
        <f aca="false">G8+G10+G24</f>
        <v>11863.969470617</v>
      </c>
      <c r="H11" s="0" t="n">
        <f aca="false">H8+H10+H24</f>
        <v>12351.7726178759</v>
      </c>
      <c r="I11" s="0" t="n">
        <f aca="false">I8+I10+I24</f>
        <v>12758.5589374507</v>
      </c>
      <c r="J11" s="0" t="n">
        <f aca="false">J8+J10+J24</f>
        <v>13013.7301161997</v>
      </c>
      <c r="K11" s="0" t="n">
        <f aca="false">K8+K10+K24</f>
        <v>13274.0047185237</v>
      </c>
      <c r="L11" s="0" t="n">
        <f aca="false">L8+L10+L24</f>
        <v>13539.4848128942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-2548.88844</v>
      </c>
      <c r="D12" s="4" t="n">
        <f aca="false">-D6*Assumptions!D17/100</f>
        <v>-2587.1217666</v>
      </c>
      <c r="E12" s="4" t="n">
        <f aca="false">-E6*Assumptions!E17/100</f>
        <v>-2587.1217666</v>
      </c>
      <c r="F12" s="4" t="n">
        <f aca="false">-F6*Assumptions!F17/100</f>
        <v>-2547.868884624</v>
      </c>
      <c r="G12" s="4" t="n">
        <f aca="false">-G6*Assumptions!G17/100</f>
        <v>-2518.2954064989</v>
      </c>
      <c r="H12" s="4" t="n">
        <f aca="false">-H6*Assumptions!H17/100</f>
        <v>-2581.25279166137</v>
      </c>
      <c r="I12" s="4" t="n">
        <f aca="false">-I6*Assumptions!I17/100</f>
        <v>-2645.78411145291</v>
      </c>
      <c r="J12" s="4" t="n">
        <f aca="false">-J6*Assumptions!J17/100</f>
        <v>-2698.69979368196</v>
      </c>
      <c r="K12" s="4" t="n">
        <f aca="false">-K6*Assumptions!K17/100</f>
        <v>-2752.6737895556</v>
      </c>
      <c r="L12" s="4" t="n">
        <f aca="false">-L6*Assumptions!L17/100</f>
        <v>-2807.72726534672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9485.506266</v>
      </c>
      <c r="D13" s="0" t="n">
        <f aca="false">D11+D12</f>
        <v>8314.47409128</v>
      </c>
      <c r="E13" s="0" t="n">
        <f aca="false">E11+E12</f>
        <v>8314.47409128</v>
      </c>
      <c r="F13" s="0" t="n">
        <f aca="false">F11+F12</f>
        <v>8844.7448423376</v>
      </c>
      <c r="G13" s="0" t="n">
        <f aca="false">G11+G12</f>
        <v>9345.67406411814</v>
      </c>
      <c r="H13" s="0" t="n">
        <f aca="false">H11+H12</f>
        <v>9770.51982621453</v>
      </c>
      <c r="I13" s="0" t="n">
        <f aca="false">I11+I12</f>
        <v>10112.7748259978</v>
      </c>
      <c r="J13" s="0" t="n">
        <f aca="false">J11+J12</f>
        <v>10315.0303225177</v>
      </c>
      <c r="K13" s="0" t="n">
        <f aca="false">K11+K12</f>
        <v>10521.3309289681</v>
      </c>
      <c r="L13" s="0" t="n">
        <f aca="false">L11+L12</f>
        <v>10731.7575475474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7208.98476216</v>
      </c>
      <c r="D15" s="0" t="n">
        <f aca="false">D13-MAX(0,D13)*D14/100</f>
        <v>6319.0003093728</v>
      </c>
      <c r="E15" s="0" t="n">
        <f aca="false">E13-MAX(0,E13)*E14/100</f>
        <v>6319.0003093728</v>
      </c>
      <c r="F15" s="0" t="n">
        <f aca="false">F13-MAX(0,F13)*F14/100</f>
        <v>6722.00608017658</v>
      </c>
      <c r="G15" s="0" t="n">
        <f aca="false">G13-MAX(0,G13)*G14/100</f>
        <v>7102.71228872979</v>
      </c>
      <c r="H15" s="0" t="n">
        <f aca="false">H13-MAX(0,H13)*H14/100</f>
        <v>7425.59506792304</v>
      </c>
      <c r="I15" s="0" t="n">
        <f aca="false">I13-MAX(0,I13)*I14/100</f>
        <v>7685.70886775831</v>
      </c>
      <c r="J15" s="0" t="n">
        <f aca="false">J13-MAX(0,J13)*J14/100</f>
        <v>7839.42304511348</v>
      </c>
      <c r="K15" s="0" t="n">
        <f aca="false">K13-MAX(0,K13)*K14/100</f>
        <v>7996.21150601575</v>
      </c>
      <c r="L15" s="0" t="n">
        <f aca="false">L13-MAX(0,L13)*L14/100</f>
        <v>8156.13573613606</v>
      </c>
    </row>
    <row r="16" customFormat="false" ht="15" hidden="false" customHeight="false" outlineLevel="0" collapsed="false">
      <c r="A16" s="0" t="s">
        <v>128</v>
      </c>
      <c r="C16" s="0" t="n">
        <f aca="false">-C12</f>
        <v>2548.88844</v>
      </c>
      <c r="D16" s="0" t="n">
        <f aca="false">-D12</f>
        <v>2587.1217666</v>
      </c>
      <c r="E16" s="0" t="n">
        <f aca="false">-E12</f>
        <v>2587.1217666</v>
      </c>
      <c r="F16" s="0" t="n">
        <f aca="false">-F12</f>
        <v>2547.868884624</v>
      </c>
      <c r="G16" s="0" t="n">
        <f aca="false">-G12</f>
        <v>2518.2954064989</v>
      </c>
      <c r="H16" s="0" t="n">
        <f aca="false">-H12</f>
        <v>2581.25279166137</v>
      </c>
      <c r="I16" s="0" t="n">
        <f aca="false">-I12</f>
        <v>2645.78411145291</v>
      </c>
      <c r="J16" s="0" t="n">
        <f aca="false">-J12</f>
        <v>2698.69979368196</v>
      </c>
      <c r="K16" s="0" t="n">
        <f aca="false">-K12</f>
        <v>2752.6737895556</v>
      </c>
      <c r="L16" s="0" t="n">
        <f aca="false">-L12</f>
        <v>2807.72726534672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-2457.85671</v>
      </c>
      <c r="D17" s="4" t="n">
        <f aca="false">-D6*Assumptions!D18/100</f>
        <v>-2319.4884804</v>
      </c>
      <c r="E17" s="4" t="n">
        <f aca="false">-E6*Assumptions!E18/100</f>
        <v>-2230.277385</v>
      </c>
      <c r="F17" s="4" t="n">
        <f aca="false">-F6*Assumptions!F18/100</f>
        <v>-2274.8829327</v>
      </c>
      <c r="G17" s="4" t="n">
        <f aca="false">-G6*Assumptions!G18/100</f>
        <v>-2331.7550060175</v>
      </c>
      <c r="H17" s="4" t="n">
        <f aca="false">-H6*Assumptions!H18/100</f>
        <v>-2390.04888116794</v>
      </c>
      <c r="I17" s="4" t="n">
        <f aca="false">-I6*Assumptions!I18/100</f>
        <v>-2449.80010319714</v>
      </c>
      <c r="J17" s="4" t="n">
        <f aca="false">-J6*Assumptions!J18/100</f>
        <v>-2498.79610526108</v>
      </c>
      <c r="K17" s="4" t="n">
        <f aca="false">-K6*Assumptions!K18/100</f>
        <v>-2548.7720273663</v>
      </c>
      <c r="L17" s="4" t="n">
        <f aca="false">-L6*Assumptions!L18/100</f>
        <v>-2599.74746791363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-284.7438</v>
      </c>
      <c r="D18" s="4" t="n">
        <f aca="false">(D6-C6)*Assumptions!$B$23/100</f>
        <v>109.238076</v>
      </c>
      <c r="E18" s="4" t="n">
        <f aca="false">(E6-D6)*Assumptions!$B$23/100</f>
        <v>-0</v>
      </c>
      <c r="F18" s="4" t="n">
        <f aca="false">(F6-E6)*Assumptions!$B$23/100</f>
        <v>-107.05331448</v>
      </c>
      <c r="G18" s="4" t="n">
        <f aca="false">(G6-F6)*Assumptions!$B$23/100</f>
        <v>-136.492975962</v>
      </c>
      <c r="H18" s="4" t="n">
        <f aca="false">(H6-G6)*Assumptions!$B$23/100</f>
        <v>-139.90530036105</v>
      </c>
      <c r="I18" s="4" t="n">
        <f aca="false">(I6-H6)*Assumptions!$B$23/100</f>
        <v>-143.402932870075</v>
      </c>
      <c r="J18" s="4" t="n">
        <f aca="false">(J6-I6)*Assumptions!$B$23/100</f>
        <v>-117.590404953463</v>
      </c>
      <c r="K18" s="4" t="n">
        <f aca="false">(K6-J6)*Assumptions!$B$23/100</f>
        <v>-119.942213052532</v>
      </c>
      <c r="L18" s="4" t="n">
        <f aca="false">(L6-K6)*Assumptions!$B$23/100</f>
        <v>-122.341057313583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7015.27269216</v>
      </c>
      <c r="D19" s="0" t="n">
        <f aca="false">D15+D16+D17+D18</f>
        <v>6695.8716715728</v>
      </c>
      <c r="E19" s="0" t="n">
        <f aca="false">E15+E16+E17+E18</f>
        <v>6675.8446909728</v>
      </c>
      <c r="F19" s="0" t="n">
        <f aca="false">F15+F16+F17+F18</f>
        <v>6887.93871762058</v>
      </c>
      <c r="G19" s="0" t="n">
        <f aca="false">G15+G16+G17+G18</f>
        <v>7152.75971324919</v>
      </c>
      <c r="H19" s="0" t="n">
        <f aca="false">H15+H16+H17+H18</f>
        <v>7476.89367805543</v>
      </c>
      <c r="I19" s="0" t="n">
        <f aca="false">I15+I16+I17+I18</f>
        <v>7738.28994314401</v>
      </c>
      <c r="J19" s="0" t="n">
        <f aca="false">J15+J16+J17+J18</f>
        <v>7921.7363285809</v>
      </c>
      <c r="K19" s="0" t="n">
        <f aca="false">K15+K16+K17+K18</f>
        <v>8080.17105515252</v>
      </c>
      <c r="L19" s="0" t="n">
        <f aca="false">L15+L16+L17+L18</f>
        <v>8241.77447625557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6495.62286311111</v>
      </c>
      <c r="D21" s="0" t="n">
        <f aca="false">D19*D20</f>
        <v>5740.63071979835</v>
      </c>
      <c r="E21" s="0" t="n">
        <f aca="false">E19*E20</f>
        <v>5299.50075173754</v>
      </c>
      <c r="F21" s="0" t="n">
        <f aca="false">F19*F20</f>
        <v>5062.84058168364</v>
      </c>
      <c r="G21" s="0" t="n">
        <f aca="false">G19*G20</f>
        <v>4868.04807325736</v>
      </c>
      <c r="H21" s="0" t="n">
        <f aca="false">H19*H20</f>
        <v>4711.71129934483</v>
      </c>
      <c r="I21" s="0" t="n">
        <f aca="false">I19*I20</f>
        <v>4515.21785757809</v>
      </c>
      <c r="J21" s="0" t="n">
        <f aca="false">J19*J20</f>
        <v>4279.86764956118</v>
      </c>
      <c r="K21" s="0" t="n">
        <f aca="false">K19*K20</f>
        <v>4042.09722458556</v>
      </c>
      <c r="L21" s="0" t="n">
        <f aca="false">L19*L20</f>
        <v>3817.53626766414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48833.0732883218</v>
      </c>
    </row>
    <row r="31" customFormat="false" ht="15" hidden="false" customHeight="false" outlineLevel="0" collapsed="false">
      <c r="A31" s="0" t="s">
        <v>137</v>
      </c>
      <c r="B31" s="0" t="n">
        <f aca="false">L19</f>
        <v>8241.77447625557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140110.166096345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107143.068191322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107143.068191322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49627.9714796338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98461.0447679556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64077.0447679556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114.219331137176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-0.373728856578705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1771.12825024131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2292.77033021546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121.463357127295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64666.2305060052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31.5739412041777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6.6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86286</v>
      </c>
      <c r="C6" s="0" t="n">
        <f aca="false">B6*(1+C5/100)</f>
        <v>91980.876</v>
      </c>
      <c r="D6" s="0" t="n">
        <f aca="false">C6*(1+D5/100)</f>
        <v>95200.20666</v>
      </c>
      <c r="E6" s="0" t="n">
        <f aca="false">D6*(1+E5/100)</f>
        <v>98532.2138931</v>
      </c>
      <c r="F6" s="0" t="n">
        <f aca="false">E6*(1+F5/100)</f>
        <v>101980.841379358</v>
      </c>
      <c r="G6" s="0" t="n">
        <f aca="false">F6*(1+G5/100)</f>
        <v>105550.170827636</v>
      </c>
      <c r="H6" s="0" t="n">
        <f aca="false">G6*(1+H5/100)</f>
        <v>108716.675952465</v>
      </c>
      <c r="I6" s="0" t="n">
        <f aca="false">H6*(1+I5/100)</f>
        <v>111978.176231039</v>
      </c>
      <c r="J6" s="0" t="n">
        <f aca="false">I6*(1+J5/100)</f>
        <v>115337.52151797</v>
      </c>
      <c r="K6" s="0" t="n">
        <f aca="false">J6*(1+K5/100)</f>
        <v>118220.95955592</v>
      </c>
      <c r="L6" s="0" t="n">
        <f aca="false">K6*(1+L5/100)</f>
        <v>121176.483544817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14</v>
      </c>
      <c r="D7" s="4" t="n">
        <f aca="false">Assumptions!D28</f>
        <v>14.1</v>
      </c>
      <c r="E7" s="4" t="n">
        <f aca="false">Assumptions!E28</f>
        <v>14.3</v>
      </c>
      <c r="F7" s="4" t="n">
        <f aca="false">Assumptions!F28</f>
        <v>14.5</v>
      </c>
      <c r="G7" s="4" t="n">
        <f aca="false">Assumptions!G28</f>
        <v>14.6</v>
      </c>
      <c r="H7" s="4" t="n">
        <f aca="false">Assumptions!H28</f>
        <v>14.7</v>
      </c>
      <c r="I7" s="4" t="n">
        <f aca="false">Assumptions!I28</f>
        <v>14.8</v>
      </c>
      <c r="J7" s="4" t="n">
        <f aca="false">Assumptions!J28</f>
        <v>14.8</v>
      </c>
      <c r="K7" s="4" t="n">
        <f aca="false">Assumptions!K28</f>
        <v>14.8</v>
      </c>
      <c r="L7" s="4" t="n">
        <f aca="false">Assumptions!L28</f>
        <v>14.8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12877.32264</v>
      </c>
      <c r="D8" s="0" t="n">
        <f aca="false">D6*D7/100</f>
        <v>13423.22913906</v>
      </c>
      <c r="E8" s="0" t="n">
        <f aca="false">E6*E7/100</f>
        <v>14090.1065867133</v>
      </c>
      <c r="F8" s="0" t="n">
        <f aca="false">F6*F7/100</f>
        <v>14787.222000007</v>
      </c>
      <c r="G8" s="0" t="n">
        <f aca="false">G6*G7/100</f>
        <v>15410.3249408349</v>
      </c>
      <c r="H8" s="0" t="n">
        <f aca="false">H6*H7/100</f>
        <v>15981.3513650124</v>
      </c>
      <c r="I8" s="0" t="n">
        <f aca="false">I6*I7/100</f>
        <v>16572.7700821938</v>
      </c>
      <c r="J8" s="0" t="n">
        <f aca="false">J6*J7/100</f>
        <v>17069.9531846596</v>
      </c>
      <c r="K8" s="0" t="n">
        <f aca="false">K6*K7/100</f>
        <v>17496.7020142761</v>
      </c>
      <c r="L8" s="0" t="n">
        <f aca="false">L6*L7/100</f>
        <v>17934.119564633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0.28</v>
      </c>
      <c r="F9" s="4" t="n">
        <f aca="false">Assumptions!F29</f>
        <v>0.28</v>
      </c>
      <c r="G9" s="4" t="n">
        <f aca="false">Assumptions!G29</f>
        <v>0.28</v>
      </c>
      <c r="H9" s="4" t="n">
        <f aca="false">Assumptions!H29</f>
        <v>0.28</v>
      </c>
      <c r="I9" s="4" t="n">
        <f aca="false">Assumptions!I29</f>
        <v>0.28</v>
      </c>
      <c r="J9" s="4" t="n">
        <f aca="false">Assumptions!J29</f>
        <v>0.28</v>
      </c>
      <c r="K9" s="4" t="n">
        <f aca="false">Assumptions!K29</f>
        <v>0.28</v>
      </c>
      <c r="L9" s="4" t="n">
        <f aca="false">Assumptions!L29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-257.5464528</v>
      </c>
      <c r="D10" s="0" t="n">
        <f aca="false">-D6*D9/100</f>
        <v>-266.560578648</v>
      </c>
      <c r="E10" s="0" t="n">
        <f aca="false">-E6*E9/100</f>
        <v>-275.89019890068</v>
      </c>
      <c r="F10" s="0" t="n">
        <f aca="false">-F6*F9/100</f>
        <v>-285.546355862204</v>
      </c>
      <c r="G10" s="0" t="n">
        <f aca="false">-G6*G9/100</f>
        <v>-295.540478317381</v>
      </c>
      <c r="H10" s="0" t="n">
        <f aca="false">-H6*H9/100</f>
        <v>-304.406692666902</v>
      </c>
      <c r="I10" s="0" t="n">
        <f aca="false">-I6*I9/100</f>
        <v>-313.538893446909</v>
      </c>
      <c r="J10" s="0" t="n">
        <f aca="false">-J6*J9/100</f>
        <v>-322.945060250317</v>
      </c>
      <c r="K10" s="0" t="n">
        <f aca="false">-K6*K9/100</f>
        <v>-331.018686756575</v>
      </c>
      <c r="L10" s="0" t="n">
        <f aca="false">-L6*L9/100</f>
        <v>-339.294153925489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12619.7761872</v>
      </c>
      <c r="D11" s="0" t="n">
        <f aca="false">D8+D10+D24</f>
        <v>13156.668560412</v>
      </c>
      <c r="E11" s="0" t="n">
        <f aca="false">E8+E10+E24</f>
        <v>13814.2163878126</v>
      </c>
      <c r="F11" s="0" t="n">
        <f aca="false">F8+F10+F24</f>
        <v>14501.6756441448</v>
      </c>
      <c r="G11" s="0" t="n">
        <f aca="false">G8+G10+G24</f>
        <v>15114.7844625175</v>
      </c>
      <c r="H11" s="0" t="n">
        <f aca="false">H8+H10+H24</f>
        <v>15676.9446723455</v>
      </c>
      <c r="I11" s="0" t="n">
        <f aca="false">I8+I10+I24</f>
        <v>16259.2311887469</v>
      </c>
      <c r="J11" s="0" t="n">
        <f aca="false">J8+J10+J24</f>
        <v>16747.0081244093</v>
      </c>
      <c r="K11" s="0" t="n">
        <f aca="false">K8+K10+K24</f>
        <v>17165.6833275195</v>
      </c>
      <c r="L11" s="0" t="n">
        <f aca="false">L8+L10+L24</f>
        <v>17594.8254107075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-2575.464528</v>
      </c>
      <c r="D12" s="4" t="n">
        <f aca="false">-D6*Assumptions!D31/100</f>
        <v>-2665.60578648</v>
      </c>
      <c r="E12" s="4" t="n">
        <f aca="false">-E6*Assumptions!E31/100</f>
        <v>-2660.3697751137</v>
      </c>
      <c r="F12" s="4" t="n">
        <f aca="false">-F6*Assumptions!F31/100</f>
        <v>-2753.48271724268</v>
      </c>
      <c r="G12" s="4" t="n">
        <f aca="false">-G6*Assumptions!G31/100</f>
        <v>-2744.30444151854</v>
      </c>
      <c r="H12" s="4" t="n">
        <f aca="false">-H6*Assumptions!H31/100</f>
        <v>-2826.63357476409</v>
      </c>
      <c r="I12" s="4" t="n">
        <f aca="false">-I6*Assumptions!I31/100</f>
        <v>-2911.43258200702</v>
      </c>
      <c r="J12" s="4" t="n">
        <f aca="false">-J6*Assumptions!J31/100</f>
        <v>-2998.77555946723</v>
      </c>
      <c r="K12" s="4" t="n">
        <f aca="false">-K6*Assumptions!K31/100</f>
        <v>-3073.74494845391</v>
      </c>
      <c r="L12" s="4" t="n">
        <f aca="false">-L6*Assumptions!L31/100</f>
        <v>-3150.58857216525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10044.3116592</v>
      </c>
      <c r="D13" s="0" t="n">
        <f aca="false">D11+D12</f>
        <v>10491.062773932</v>
      </c>
      <c r="E13" s="0" t="n">
        <f aca="false">E11+E12</f>
        <v>11153.8466126989</v>
      </c>
      <c r="F13" s="0" t="n">
        <f aca="false">F11+F12</f>
        <v>11748.1929269021</v>
      </c>
      <c r="G13" s="0" t="n">
        <f aca="false">G11+G12</f>
        <v>12370.4800209989</v>
      </c>
      <c r="H13" s="0" t="n">
        <f aca="false">H11+H12</f>
        <v>12850.3110975814</v>
      </c>
      <c r="I13" s="0" t="n">
        <f aca="false">I11+I12</f>
        <v>13347.7986067399</v>
      </c>
      <c r="J13" s="0" t="n">
        <f aca="false">J11+J12</f>
        <v>13748.2325649421</v>
      </c>
      <c r="K13" s="0" t="n">
        <f aca="false">K11+K12</f>
        <v>14091.9383790656</v>
      </c>
      <c r="L13" s="0" t="n">
        <f aca="false">L11+L12</f>
        <v>14444.2368385422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7633.676860992</v>
      </c>
      <c r="D15" s="0" t="n">
        <f aca="false">D13-MAX(0,D13)*D14/100</f>
        <v>7973.20770818832</v>
      </c>
      <c r="E15" s="0" t="n">
        <f aca="false">E13-MAX(0,E13)*E14/100</f>
        <v>8476.92342565118</v>
      </c>
      <c r="F15" s="0" t="n">
        <f aca="false">F13-MAX(0,F13)*F14/100</f>
        <v>8928.6266244456</v>
      </c>
      <c r="G15" s="0" t="n">
        <f aca="false">G13-MAX(0,G13)*G14/100</f>
        <v>9401.5648159592</v>
      </c>
      <c r="H15" s="0" t="n">
        <f aca="false">H13-MAX(0,H13)*H14/100</f>
        <v>9766.23643416185</v>
      </c>
      <c r="I15" s="0" t="n">
        <f aca="false">I13-MAX(0,I13)*I14/100</f>
        <v>10144.3269411223</v>
      </c>
      <c r="J15" s="0" t="n">
        <f aca="false">J13-MAX(0,J13)*J14/100</f>
        <v>10448.656749356</v>
      </c>
      <c r="K15" s="0" t="n">
        <f aca="false">K13-MAX(0,K13)*K14/100</f>
        <v>10709.8731680899</v>
      </c>
      <c r="L15" s="0" t="n">
        <f aca="false">L13-MAX(0,L13)*L14/100</f>
        <v>10977.6199972921</v>
      </c>
    </row>
    <row r="16" customFormat="false" ht="15" hidden="false" customHeight="false" outlineLevel="0" collapsed="false">
      <c r="A16" s="0" t="s">
        <v>128</v>
      </c>
      <c r="C16" s="0" t="n">
        <f aca="false">-C12</f>
        <v>2575.464528</v>
      </c>
      <c r="D16" s="0" t="n">
        <f aca="false">-D12</f>
        <v>2665.60578648</v>
      </c>
      <c r="E16" s="0" t="n">
        <f aca="false">-E12</f>
        <v>2660.3697751137</v>
      </c>
      <c r="F16" s="0" t="n">
        <f aca="false">-F12</f>
        <v>2753.48271724268</v>
      </c>
      <c r="G16" s="0" t="n">
        <f aca="false">-G12</f>
        <v>2744.30444151854</v>
      </c>
      <c r="H16" s="0" t="n">
        <f aca="false">-H12</f>
        <v>2826.63357476409</v>
      </c>
      <c r="I16" s="0" t="n">
        <f aca="false">-I12</f>
        <v>2911.43258200702</v>
      </c>
      <c r="J16" s="0" t="n">
        <f aca="false">-J12</f>
        <v>2998.77555946723</v>
      </c>
      <c r="K16" s="0" t="n">
        <f aca="false">-K12</f>
        <v>3073.74494845391</v>
      </c>
      <c r="L16" s="0" t="n">
        <f aca="false">-L12</f>
        <v>3150.58857216525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-2483.483652</v>
      </c>
      <c r="D17" s="4" t="n">
        <f aca="false">-D6*Assumptions!D32/100</f>
        <v>-2475.20537316</v>
      </c>
      <c r="E17" s="4" t="n">
        <f aca="false">-E6*Assumptions!E32/100</f>
        <v>-2561.8375612206</v>
      </c>
      <c r="F17" s="4" t="n">
        <f aca="false">-F6*Assumptions!F32/100</f>
        <v>-2549.52103448396</v>
      </c>
      <c r="G17" s="4" t="n">
        <f aca="false">-G6*Assumptions!G32/100</f>
        <v>-2638.7542706909</v>
      </c>
      <c r="H17" s="4" t="n">
        <f aca="false">-H6*Assumptions!H32/100</f>
        <v>-2717.91689881163</v>
      </c>
      <c r="I17" s="4" t="n">
        <f aca="false">-I6*Assumptions!I32/100</f>
        <v>-2799.45440577598</v>
      </c>
      <c r="J17" s="4" t="n">
        <f aca="false">-J6*Assumptions!J32/100</f>
        <v>-2883.43803794926</v>
      </c>
      <c r="K17" s="4" t="n">
        <f aca="false">-K6*Assumptions!K32/100</f>
        <v>-2955.52398889799</v>
      </c>
      <c r="L17" s="4" t="n">
        <f aca="false">-L6*Assumptions!L32/100</f>
        <v>-3029.41208862044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-341.69256</v>
      </c>
      <c r="D18" s="4" t="n">
        <f aca="false">(D6-C6)*Assumptions!$B$37/100</f>
        <v>-193.1598396</v>
      </c>
      <c r="E18" s="4" t="n">
        <f aca="false">(E6-D6)*Assumptions!$B$37/100</f>
        <v>-199.920433986</v>
      </c>
      <c r="F18" s="4" t="n">
        <f aca="false">(F6-E6)*Assumptions!$B$37/100</f>
        <v>-206.91764917551</v>
      </c>
      <c r="G18" s="4" t="n">
        <f aca="false">(G6-F6)*Assumptions!$B$37/100</f>
        <v>-214.159766896652</v>
      </c>
      <c r="H18" s="4" t="n">
        <f aca="false">(H6-G6)*Assumptions!$B$37/100</f>
        <v>-189.990307489745</v>
      </c>
      <c r="I18" s="4" t="n">
        <f aca="false">(I6-H6)*Assumptions!$B$37/100</f>
        <v>-195.690016714438</v>
      </c>
      <c r="J18" s="4" t="n">
        <f aca="false">(J6-I6)*Assumptions!$B$37/100</f>
        <v>-201.56071721587</v>
      </c>
      <c r="K18" s="4" t="n">
        <f aca="false">(K6-J6)*Assumptions!$B$37/100</f>
        <v>-173.006282276955</v>
      </c>
      <c r="L18" s="4" t="n">
        <f aca="false">(L6-K6)*Assumptions!$B$37/100</f>
        <v>-177.331439333878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7383.965176992</v>
      </c>
      <c r="D19" s="0" t="n">
        <f aca="false">D15+D16+D17+D18</f>
        <v>7970.44828190832</v>
      </c>
      <c r="E19" s="0" t="n">
        <f aca="false">E15+E16+E17+E18</f>
        <v>8375.53520555828</v>
      </c>
      <c r="F19" s="0" t="n">
        <f aca="false">F15+F16+F17+F18</f>
        <v>8925.67065802881</v>
      </c>
      <c r="G19" s="0" t="n">
        <f aca="false">G15+G16+G17+G18</f>
        <v>9292.95521989018</v>
      </c>
      <c r="H19" s="0" t="n">
        <f aca="false">H15+H16+H17+H18</f>
        <v>9684.96280262457</v>
      </c>
      <c r="I19" s="0" t="n">
        <f aca="false">I15+I16+I17+I18</f>
        <v>10060.6151006389</v>
      </c>
      <c r="J19" s="0" t="n">
        <f aca="false">J15+J16+J17+J18</f>
        <v>10362.4335536581</v>
      </c>
      <c r="K19" s="0" t="n">
        <f aca="false">K15+K16+K17+K18</f>
        <v>10655.0878453688</v>
      </c>
      <c r="L19" s="0" t="n">
        <f aca="false">L15+L16+L17+L18</f>
        <v>10921.465041503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6837.00479351111</v>
      </c>
      <c r="D21" s="0" t="n">
        <f aca="false">D19*D20</f>
        <v>6833.37472728765</v>
      </c>
      <c r="E21" s="0" t="n">
        <f aca="false">E19*E20</f>
        <v>6648.76988197165</v>
      </c>
      <c r="F21" s="0" t="n">
        <f aca="false">F19*F20</f>
        <v>6560.63438988053</v>
      </c>
      <c r="G21" s="0" t="n">
        <f aca="false">G19*G20</f>
        <v>6324.62917344436</v>
      </c>
      <c r="H21" s="0" t="n">
        <f aca="false">H19*H20</f>
        <v>6103.16939570667</v>
      </c>
      <c r="I21" s="0" t="n">
        <f aca="false">I19*I20</f>
        <v>5870.27228165198</v>
      </c>
      <c r="J21" s="0" t="n">
        <f aca="false">J19*J20</f>
        <v>5598.50041676069</v>
      </c>
      <c r="K21" s="0" t="n">
        <f aca="false">K19*K20</f>
        <v>5330.19668934072</v>
      </c>
      <c r="L21" s="0" t="n">
        <f aca="false">L19*L20</f>
        <v>5058.75148756874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61165.3032371241</v>
      </c>
    </row>
    <row r="31" customFormat="false" ht="15" hidden="false" customHeight="false" outlineLevel="0" collapsed="false">
      <c r="A31" s="0" t="s">
        <v>137</v>
      </c>
      <c r="B31" s="0" t="n">
        <f aca="false">L19</f>
        <v>10921.465041503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203536.393955284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174743.440664049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174743.440664049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80940.0238010998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142105.327038224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107721.327038224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192.016625736584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0.0528381716009674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1969.03973524328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2928.86934017411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200.747301450341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89556.013340325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57.961292922194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7.5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86286</v>
      </c>
      <c r="C6" s="0" t="n">
        <f aca="false">B6*(1+C5/100)</f>
        <v>92757.45</v>
      </c>
      <c r="D6" s="0" t="n">
        <f aca="false">C6*(1+D5/100)</f>
        <v>97859.10975</v>
      </c>
      <c r="E6" s="0" t="n">
        <f aca="false">D6*(1+E5/100)</f>
        <v>103241.36078625</v>
      </c>
      <c r="F6" s="0" t="n">
        <f aca="false">E6*(1+F5/100)</f>
        <v>108403.428825562</v>
      </c>
      <c r="G6" s="0" t="n">
        <f aca="false">F6*(1+G5/100)</f>
        <v>113281.583122713</v>
      </c>
      <c r="H6" s="0" t="n">
        <f aca="false">G6*(1+H5/100)</f>
        <v>117812.846447621</v>
      </c>
      <c r="I6" s="0" t="n">
        <f aca="false">H6*(1+I5/100)</f>
        <v>121936.296073288</v>
      </c>
      <c r="J6" s="0" t="n">
        <f aca="false">I6*(1+J5/100)</f>
        <v>125594.384955487</v>
      </c>
      <c r="K6" s="0" t="n">
        <f aca="false">J6*(1+K5/100)</f>
        <v>129362.216504151</v>
      </c>
      <c r="L6" s="0" t="n">
        <f aca="false">K6*(1+L5/100)</f>
        <v>133243.082999276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14.2</v>
      </c>
      <c r="D7" s="4" t="n">
        <f aca="false">Assumptions!D42</f>
        <v>14.5</v>
      </c>
      <c r="E7" s="4" t="n">
        <f aca="false">Assumptions!E42</f>
        <v>14.9</v>
      </c>
      <c r="F7" s="4" t="n">
        <f aca="false">Assumptions!F42</f>
        <v>15.2</v>
      </c>
      <c r="G7" s="4" t="n">
        <f aca="false">Assumptions!G42</f>
        <v>15.4</v>
      </c>
      <c r="H7" s="4" t="n">
        <f aca="false">Assumptions!H42</f>
        <v>15.6</v>
      </c>
      <c r="I7" s="4" t="n">
        <f aca="false">Assumptions!I42</f>
        <v>15.8</v>
      </c>
      <c r="J7" s="4" t="n">
        <f aca="false">Assumptions!J42</f>
        <v>15.8</v>
      </c>
      <c r="K7" s="4" t="n">
        <f aca="false">Assumptions!K42</f>
        <v>15.8</v>
      </c>
      <c r="L7" s="4" t="n">
        <f aca="false">Assumptions!L42</f>
        <v>15.8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13171.5579</v>
      </c>
      <c r="D8" s="0" t="n">
        <f aca="false">D6*D7/100</f>
        <v>14189.57091375</v>
      </c>
      <c r="E8" s="0" t="n">
        <f aca="false">E6*E7/100</f>
        <v>15382.9627571512</v>
      </c>
      <c r="F8" s="0" t="n">
        <f aca="false">F6*F7/100</f>
        <v>16477.3211814855</v>
      </c>
      <c r="G8" s="0" t="n">
        <f aca="false">G6*G7/100</f>
        <v>17445.3638008978</v>
      </c>
      <c r="H8" s="0" t="n">
        <f aca="false">H6*H7/100</f>
        <v>18378.8040458289</v>
      </c>
      <c r="I8" s="0" t="n">
        <f aca="false">I6*I7/100</f>
        <v>19265.9347795795</v>
      </c>
      <c r="J8" s="0" t="n">
        <f aca="false">J6*J7/100</f>
        <v>19843.9128229669</v>
      </c>
      <c r="K8" s="0" t="n">
        <f aca="false">K6*K7/100</f>
        <v>20439.2302076559</v>
      </c>
      <c r="L8" s="0" t="n">
        <f aca="false">L6*L7/100</f>
        <v>21052.4071138856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0.28</v>
      </c>
      <c r="D9" s="4" t="n">
        <f aca="false">Assumptions!D43</f>
        <v>0.28</v>
      </c>
      <c r="E9" s="4" t="n">
        <f aca="false">Assumptions!E43</f>
        <v>0.28</v>
      </c>
      <c r="F9" s="4" t="n">
        <f aca="false">Assumptions!F43</f>
        <v>0.28</v>
      </c>
      <c r="G9" s="4" t="n">
        <f aca="false">Assumptions!G43</f>
        <v>0.28</v>
      </c>
      <c r="H9" s="4" t="n">
        <f aca="false">Assumptions!H43</f>
        <v>0.28</v>
      </c>
      <c r="I9" s="4" t="n">
        <f aca="false">Assumptions!I43</f>
        <v>0.28</v>
      </c>
      <c r="J9" s="4" t="n">
        <f aca="false">Assumptions!J43</f>
        <v>0.28</v>
      </c>
      <c r="K9" s="4" t="n">
        <f aca="false">Assumptions!K43</f>
        <v>0.28</v>
      </c>
      <c r="L9" s="4" t="n">
        <f aca="false">Assumptions!L43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-259.72086</v>
      </c>
      <c r="D10" s="0" t="n">
        <f aca="false">-D6*D9/100</f>
        <v>-274.0055073</v>
      </c>
      <c r="E10" s="0" t="n">
        <f aca="false">-E6*E9/100</f>
        <v>-289.0758102015</v>
      </c>
      <c r="F10" s="0" t="n">
        <f aca="false">-F6*F9/100</f>
        <v>-303.529600711575</v>
      </c>
      <c r="G10" s="0" t="n">
        <f aca="false">-G6*G9/100</f>
        <v>-317.188432743596</v>
      </c>
      <c r="H10" s="0" t="n">
        <f aca="false">-H6*H9/100</f>
        <v>-329.87597005334</v>
      </c>
      <c r="I10" s="0" t="n">
        <f aca="false">-I6*I9/100</f>
        <v>-341.421629005207</v>
      </c>
      <c r="J10" s="0" t="n">
        <f aca="false">-J6*J9/100</f>
        <v>-351.664277875363</v>
      </c>
      <c r="K10" s="0" t="n">
        <f aca="false">-K6*K9/100</f>
        <v>-362.214206211624</v>
      </c>
      <c r="L10" s="0" t="n">
        <f aca="false">-L6*L9/100</f>
        <v>-373.080632397972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12911.83704</v>
      </c>
      <c r="D11" s="0" t="n">
        <f aca="false">D8+D10+D24</f>
        <v>13915.56540645</v>
      </c>
      <c r="E11" s="0" t="n">
        <f aca="false">E8+E10+E24</f>
        <v>15093.8869469497</v>
      </c>
      <c r="F11" s="0" t="n">
        <f aca="false">F8+F10+F24</f>
        <v>16173.7915807739</v>
      </c>
      <c r="G11" s="0" t="n">
        <f aca="false">G8+G10+G24</f>
        <v>17128.1753681542</v>
      </c>
      <c r="H11" s="0" t="n">
        <f aca="false">H8+H10+H24</f>
        <v>18048.9280757756</v>
      </c>
      <c r="I11" s="0" t="n">
        <f aca="false">I8+I10+I24</f>
        <v>18924.5131505743</v>
      </c>
      <c r="J11" s="0" t="n">
        <f aca="false">J8+J10+J24</f>
        <v>19492.2485450915</v>
      </c>
      <c r="K11" s="0" t="n">
        <f aca="false">K8+K10+K24</f>
        <v>20077.0160014443</v>
      </c>
      <c r="L11" s="0" t="n">
        <f aca="false">L8+L10+L24</f>
        <v>20679.3264814876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-2597.2086</v>
      </c>
      <c r="D12" s="4" t="n">
        <f aca="false">-D6*Assumptions!D45/100</f>
        <v>-2740.055073</v>
      </c>
      <c r="E12" s="4" t="n">
        <f aca="false">-E6*Assumptions!E45/100</f>
        <v>-2787.51674122875</v>
      </c>
      <c r="F12" s="4" t="n">
        <f aca="false">-F6*Assumptions!F45/100</f>
        <v>-2926.89257829019</v>
      </c>
      <c r="G12" s="4" t="n">
        <f aca="false">-G6*Assumptions!G45/100</f>
        <v>-2945.32116119053</v>
      </c>
      <c r="H12" s="4" t="n">
        <f aca="false">-H6*Assumptions!H45/100</f>
        <v>-3063.13400763815</v>
      </c>
      <c r="I12" s="4" t="n">
        <f aca="false">-I6*Assumptions!I45/100</f>
        <v>-3170.34369790549</v>
      </c>
      <c r="J12" s="4" t="n">
        <f aca="false">-J6*Assumptions!J45/100</f>
        <v>-3265.45400884265</v>
      </c>
      <c r="K12" s="4" t="n">
        <f aca="false">-K6*Assumptions!K45/100</f>
        <v>-3363.41762910793</v>
      </c>
      <c r="L12" s="4" t="n">
        <f aca="false">-L6*Assumptions!L45/100</f>
        <v>-3464.32015798117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10314.62844</v>
      </c>
      <c r="D13" s="0" t="n">
        <f aca="false">D11+D12</f>
        <v>11175.51033345</v>
      </c>
      <c r="E13" s="0" t="n">
        <f aca="false">E11+E12</f>
        <v>12306.370205721</v>
      </c>
      <c r="F13" s="0" t="n">
        <f aca="false">F11+F12</f>
        <v>13246.8990024837</v>
      </c>
      <c r="G13" s="0" t="n">
        <f aca="false">G11+G12</f>
        <v>14182.8542069636</v>
      </c>
      <c r="H13" s="0" t="n">
        <f aca="false">H11+H12</f>
        <v>14985.7940681374</v>
      </c>
      <c r="I13" s="0" t="n">
        <f aca="false">I11+I12</f>
        <v>15754.1694526688</v>
      </c>
      <c r="J13" s="0" t="n">
        <f aca="false">J11+J12</f>
        <v>16226.7945362489</v>
      </c>
      <c r="K13" s="0" t="n">
        <f aca="false">K11+K12</f>
        <v>16713.5983723363</v>
      </c>
      <c r="L13" s="0" t="n">
        <f aca="false">L11+L12</f>
        <v>17215.0063235064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7839.1176144</v>
      </c>
      <c r="D15" s="0" t="n">
        <f aca="false">D13-MAX(0,D13)*D14/100</f>
        <v>8493.387853422</v>
      </c>
      <c r="E15" s="0" t="n">
        <f aca="false">E13-MAX(0,E13)*E14/100</f>
        <v>9352.84135634796</v>
      </c>
      <c r="F15" s="0" t="n">
        <f aca="false">F13-MAX(0,F13)*F14/100</f>
        <v>10067.6432418876</v>
      </c>
      <c r="G15" s="0" t="n">
        <f aca="false">G13-MAX(0,G13)*G14/100</f>
        <v>10778.9691972924</v>
      </c>
      <c r="H15" s="0" t="n">
        <f aca="false">H13-MAX(0,H13)*H14/100</f>
        <v>11389.2034917844</v>
      </c>
      <c r="I15" s="0" t="n">
        <f aca="false">I13-MAX(0,I13)*I14/100</f>
        <v>11973.1687840283</v>
      </c>
      <c r="J15" s="0" t="n">
        <f aca="false">J13-MAX(0,J13)*J14/100</f>
        <v>12332.3638475491</v>
      </c>
      <c r="K15" s="0" t="n">
        <f aca="false">K13-MAX(0,K13)*K14/100</f>
        <v>12702.3347629756</v>
      </c>
      <c r="L15" s="0" t="n">
        <f aca="false">L13-MAX(0,L13)*L14/100</f>
        <v>13083.4048058649</v>
      </c>
    </row>
    <row r="16" customFormat="false" ht="15" hidden="false" customHeight="false" outlineLevel="0" collapsed="false">
      <c r="A16" s="0" t="s">
        <v>128</v>
      </c>
      <c r="C16" s="0" t="n">
        <f aca="false">-C12</f>
        <v>2597.2086</v>
      </c>
      <c r="D16" s="0" t="n">
        <f aca="false">-D12</f>
        <v>2740.055073</v>
      </c>
      <c r="E16" s="0" t="n">
        <f aca="false">-E12</f>
        <v>2787.51674122875</v>
      </c>
      <c r="F16" s="0" t="n">
        <f aca="false">-F12</f>
        <v>2926.89257829019</v>
      </c>
      <c r="G16" s="0" t="n">
        <f aca="false">-G12</f>
        <v>2945.32116119053</v>
      </c>
      <c r="H16" s="0" t="n">
        <f aca="false">-H12</f>
        <v>3063.13400763815</v>
      </c>
      <c r="I16" s="0" t="n">
        <f aca="false">-I12</f>
        <v>3170.34369790549</v>
      </c>
      <c r="J16" s="0" t="n">
        <f aca="false">-J12</f>
        <v>3265.45400884265</v>
      </c>
      <c r="K16" s="0" t="n">
        <f aca="false">-K12</f>
        <v>3363.41762910793</v>
      </c>
      <c r="L16" s="0" t="n">
        <f aca="false">-L12</f>
        <v>3464.32015798117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-2504.45115</v>
      </c>
      <c r="D17" s="4" t="n">
        <f aca="false">-D6*Assumptions!D46/100</f>
        <v>-2642.19596325</v>
      </c>
      <c r="E17" s="4" t="n">
        <f aca="false">-E6*Assumptions!E46/100</f>
        <v>-2684.2753804425</v>
      </c>
      <c r="F17" s="4" t="n">
        <f aca="false">-F6*Assumptions!F46/100</f>
        <v>-2818.48914946463</v>
      </c>
      <c r="G17" s="4" t="n">
        <f aca="false">-G6*Assumptions!G46/100</f>
        <v>-2832.03957806782</v>
      </c>
      <c r="H17" s="4" t="n">
        <f aca="false">-H6*Assumptions!H46/100</f>
        <v>-2945.32116119053</v>
      </c>
      <c r="I17" s="4" t="n">
        <f aca="false">-I6*Assumptions!I46/100</f>
        <v>-3048.4074018322</v>
      </c>
      <c r="J17" s="4" t="n">
        <f aca="false">-J6*Assumptions!J46/100</f>
        <v>-3139.85962388717</v>
      </c>
      <c r="K17" s="4" t="n">
        <f aca="false">-K6*Assumptions!K46/100</f>
        <v>-3234.05541260378</v>
      </c>
      <c r="L17" s="4" t="n">
        <f aca="false">-L6*Assumptions!L46/100</f>
        <v>-3331.0770749819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-388.287</v>
      </c>
      <c r="D18" s="4" t="n">
        <f aca="false">(D6-C6)*Assumptions!$B$51/100</f>
        <v>-306.099585</v>
      </c>
      <c r="E18" s="4" t="n">
        <f aca="false">(E6-D6)*Assumptions!$B$51/100</f>
        <v>-322.935062174999</v>
      </c>
      <c r="F18" s="4" t="n">
        <f aca="false">(F6-E6)*Assumptions!$B$51/100</f>
        <v>-309.724082358751</v>
      </c>
      <c r="G18" s="4" t="n">
        <f aca="false">(G6-F6)*Assumptions!$B$51/100</f>
        <v>-292.689257829018</v>
      </c>
      <c r="H18" s="4" t="n">
        <f aca="false">(H6-G6)*Assumptions!$B$51/100</f>
        <v>-271.875799494511</v>
      </c>
      <c r="I18" s="4" t="n">
        <f aca="false">(I6-H6)*Assumptions!$B$51/100</f>
        <v>-247.406977540004</v>
      </c>
      <c r="J18" s="4" t="n">
        <f aca="false">(J6-I6)*Assumptions!$B$51/100</f>
        <v>-219.485332931919</v>
      </c>
      <c r="K18" s="4" t="n">
        <f aca="false">(K6-J6)*Assumptions!$B$51/100</f>
        <v>-226.069892919876</v>
      </c>
      <c r="L18" s="4" t="n">
        <f aca="false">(L6-K6)*Assumptions!$B$51/100</f>
        <v>-232.851989707472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7543.5880644</v>
      </c>
      <c r="D19" s="0" t="n">
        <f aca="false">D15+D16+D17+D18</f>
        <v>8285.147378172</v>
      </c>
      <c r="E19" s="0" t="n">
        <f aca="false">E15+E16+E17+E18</f>
        <v>9133.14765495921</v>
      </c>
      <c r="F19" s="0" t="n">
        <f aca="false">F15+F16+F17+F18</f>
        <v>9866.32258835445</v>
      </c>
      <c r="G19" s="0" t="n">
        <f aca="false">G15+G16+G17+G18</f>
        <v>10599.5615225861</v>
      </c>
      <c r="H19" s="0" t="n">
        <f aca="false">H15+H16+H17+H18</f>
        <v>11235.1405387376</v>
      </c>
      <c r="I19" s="0" t="n">
        <f aca="false">I15+I16+I17+I18</f>
        <v>11847.6981025616</v>
      </c>
      <c r="J19" s="0" t="n">
        <f aca="false">J15+J16+J17+J18</f>
        <v>12238.4728995727</v>
      </c>
      <c r="K19" s="0" t="n">
        <f aca="false">K15+K16+K17+K18</f>
        <v>12605.6270865599</v>
      </c>
      <c r="L19" s="0" t="n">
        <f aca="false">L15+L16+L17+L18</f>
        <v>12983.7958991567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6984.80376333333</v>
      </c>
      <c r="D21" s="0" t="n">
        <f aca="false">D19*D20</f>
        <v>7103.17847922839</v>
      </c>
      <c r="E21" s="0" t="n">
        <f aca="false">E19*E20</f>
        <v>7250.18707050438</v>
      </c>
      <c r="F21" s="0" t="n">
        <f aca="false">F19*F20</f>
        <v>7252.04163976049</v>
      </c>
      <c r="G21" s="0" t="n">
        <f aca="false">G19*G20</f>
        <v>7213.88346819758</v>
      </c>
      <c r="H21" s="0" t="n">
        <f aca="false">H19*H20</f>
        <v>7080.04432127549</v>
      </c>
      <c r="I21" s="0" t="n">
        <f aca="false">I19*I20</f>
        <v>6913.01804881009</v>
      </c>
      <c r="J21" s="0" t="n">
        <f aca="false">J19*J20</f>
        <v>6612.06610145981</v>
      </c>
      <c r="K21" s="0" t="n">
        <f aca="false">K19*K20</f>
        <v>6305.95193009593</v>
      </c>
      <c r="L21" s="0" t="n">
        <f aca="false">L19*L20</f>
        <v>6014.00971111001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68729.1845337755</v>
      </c>
    </row>
    <row r="31" customFormat="false" ht="15" hidden="false" customHeight="false" outlineLevel="0" collapsed="false">
      <c r="A31" s="0" t="s">
        <v>137</v>
      </c>
      <c r="B31" s="0" t="n">
        <f aca="false">L19</f>
        <v>12983.7958991567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267466.195522628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233708.326184821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233708.326184821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108252.17479998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176981.359333756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142597.359333756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254.184241236641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0.393706772873347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2094.94509709607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3559.85550081949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264.264099699949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111444.248134428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76.6641667051072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114.219331137176</v>
      </c>
      <c r="C4" s="0" t="n">
        <f aca="false">B4/Assumptions!$B$2-1</f>
        <v>-0.373728856578705</v>
      </c>
      <c r="D4" s="4" t="n">
        <f aca="false">Assumptions!$B$24</f>
        <v>0.25</v>
      </c>
      <c r="E4" s="4" t="n">
        <f aca="false">DCF_Bear!$B$43</f>
        <v>121.463357127295</v>
      </c>
      <c r="F4" s="4" t="n">
        <f aca="false">DCF_Bear!$B$47</f>
        <v>31.5739412041777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192.016625736584</v>
      </c>
      <c r="C5" s="0" t="n">
        <f aca="false">B5/Assumptions!$B$2-1</f>
        <v>0.0528381716009674</v>
      </c>
      <c r="D5" s="4" t="n">
        <f aca="false">Assumptions!$B$38</f>
        <v>0.5</v>
      </c>
      <c r="E5" s="4" t="n">
        <f aca="false">DCF_Base!$B$43</f>
        <v>200.747301450341</v>
      </c>
      <c r="F5" s="4" t="n">
        <f aca="false">DCF_Base!$B$47</f>
        <v>57.961292922194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254.184241236641</v>
      </c>
      <c r="C6" s="0" t="n">
        <f aca="false">B6/Assumptions!$B$2-1</f>
        <v>0.393706772873347</v>
      </c>
      <c r="D6" s="4" t="n">
        <f aca="false">Assumptions!$B$52</f>
        <v>0.25</v>
      </c>
      <c r="E6" s="4" t="n">
        <f aca="false">DCF_Bull!$B$43</f>
        <v>264.264099699949</v>
      </c>
      <c r="F6" s="4" t="n">
        <f aca="false">DCF_Bull!$B$47</f>
        <v>76.6641667051072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188.109205961746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196.805514931981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0.0304568079613896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-65.8808924723802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56.0401734384182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192.016625736584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172.328479521139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140.489297105862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116.168572199599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96.9906428368432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57.961292922194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233.018009337261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233.018009337261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233.018009337261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233.018009337261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233.018009337261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211.548472158165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211.548472158165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211.548472158165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211.548472158165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211.548472158165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188.548401763207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192.016625736584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192.016625736584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192.016625736584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192.016625736584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153.941730956308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162.478435647123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172.328479521139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174.22619439595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174.22619439595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127.538285779477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133.60907233872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140.489297105862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148.352411125452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157.42523499421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2026-10-02T00:31:17Z</dcterms:created>
  <dc:creator>openpyxl</dc:creator>
  <dc:description/>
  <dc:language>en-NZ</dc:language>
  <cp:lastModifiedBy/>
  <dcterms:modified xsi:type="dcterms:W3CDTF">2026-10-02T00:31:17Z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