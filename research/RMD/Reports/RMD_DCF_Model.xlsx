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<sst xmlns="http://schemas.openxmlformats.org/spreadsheetml/2006/main" count="387" uniqueCount="174">
  <si>
    <t xml:space="preserve">Ticker</t>
  </si>
  <si>
    <t xml:space="preserve">RMD</t>
  </si>
  <si>
    <t xml:space="preserve">Company</t>
  </si>
  <si>
    <t xml:space="preserve">ResMed Inc.</t>
  </si>
  <si>
    <t xml:space="preserve">Valuation date</t>
  </si>
  <si>
    <t xml:space="preserve">2026-10-02</t>
  </si>
  <si>
    <t xml:space="preserve">Current price</t>
  </si>
  <si>
    <t xml:space="preserve">Price as of</t>
  </si>
  <si>
    <t xml:space="preserve">2026-10-01T20:00:02Z regular close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</si>
  <si>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</si>
  <si>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</si>
  <si>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</si>
  <si>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</si>
  <si>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</si>
  <si>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USD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</si>
  <si>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</si>
  <si>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</si>
  <si>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</si>
  <si>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</si>
  <si>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</si>
  <si>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</si>
  <si>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2026-10-02T07:56:59Z</t>
  </si>
  <si>
    <t xml:space="preserve">Drivers file</t>
  </si>
  <si>
    <t xml:space="preserve">RMD_Drivers.json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</si>
  <si>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</si>
  <si>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</si>
  <si>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</si>
  <si>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ResMed is valued as a mature, cash-generative device-plus-consumables franchise on a strict owner-FCF basis (SBC and equity-award taxes expensed, count held flat). The valuation turns on two external axes - Philips' US re-entry and GLP-1's long-run effect on sleep-apnea prevalence - which are carried in the scenario paths and a 25% bear weight rather than in the discount rate.
key_risks_to_valuation: Philips Respironics re-entering the US device market with price after its consent decree; Long-run GLP-1 weight loss reducing OSA prevalence and new-patient device demand; Medicare competitive bidding / prior authorization compressing device and resupply reimbursement; Terminal value is ~60-70% of EV: the 20x cap multiple and 3% terminal growth carry most of the value; FX: ~42% of revenue outside the Americas</t>
  </si>
  <si>
    <t xml:space="preserve">Data sources</t>
  </si>
  <si>
    <t xml:space="preserve">price: Yahoo Finance chart API at inputs.price_as_of; 52-week range 180.27-284.87
financials: SEC XBRL (10-K FY2016-FY2026, 10-Qs) via research/RMD/Reports/RMD_Metrics.csv and the RMD.duckdb kpis table (buybacks, equity-award taxes, cash taxes, D&amp;A)
qualitative: research/RMD/Reports/RMD_Analysis.json (Q4 FY2026 results, FY2027 guidance, MatrixCare divestiture)</t>
  </si>
  <si>
    <t xml:space="preserve">Scenario narrative: bear</t>
  </si>
  <si>
    <t xml:space="preserve">Philips resolves its consent decree and re-enters the US with discounting, CMS competitive bidding and prior-authorization trim reimbursement, Astral ventilator headwinds persist, and sustained population-level GLP-1 weight loss reduces moderate OSA prevalence and new-patient device demand over the decade. Growth settles near 3%, price and mix compress adj. EBITDA margin from 38.8% to 36%, and the exit multiple de-rates to 15x as the market stops treating ResMed as a compounder.</t>
  </si>
  <si>
    <t xml:space="preserve">Scenario narrative: base</t>
  </si>
  <si>
    <t xml:space="preserve">ResMed delivers its FY2027 guide ($5.75-5.85B; the low reported number is the MatrixCare divestiture plus FX, not a demand stall) and then grows high-single digits as the under-diagnosed OSA pool, the AirSense 11 replacement cycle and the masks/accessories annuity on a growing installed base compound. GLP-1 proves net neutral-to-positive (ResMed's 2.5M linked-patient data), Philips rebuilds US share only slowly under its consent decree, and guided gross-margin expansion lifts adj. EBITDA margin ~170bp over five years before plateauing. Growth fades toward GDP-plus by year 10.</t>
  </si>
  <si>
    <t xml:space="preserve">Scenario narrative: bull</t>
  </si>
  <si>
    <t xml:space="preserve">GLP-1 becomes an outright funnel: physician screening of GLP-1 patients raises sleep-apnea diagnosis rates and CPAP initiation/compliance, while Philips stays a marginal US device supplier for years. Revenue runs ~9% in FY28-29 on top of the guided FY27 top end, the post-MatrixCare focus and mask mix take adj. EBITDA margin to ~42.5%, and the market keeps paying a 22x quality multiple at exit.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</si>
  <si>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</si>
  <si>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</si>
  <si>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</si>
  <si>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</si>
  <si>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</si>
  <si>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</si>
  <si>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</si>
  <si>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</si>
  <si>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</si>
  <si>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</si>
  <si>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</si>
  <si>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</si>
  <si>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</si>
  <si>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</si>
  <si>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</si>
  <si>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</si>
  <si>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</si>
  <si>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</si>
  <si>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</si>
  <si>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</si>
  <si>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</si>
  <si>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</si>
  <si>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</si>
  <si>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</si>
  <si>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</si>
  <si>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</si>
  <si>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</si>
  <si>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FY2008</t>
  </si>
  <si>
    <t xml:space="preserve">FY2009</t>
  </si>
  <si>
    <t xml:space="preserve">FY2010</t>
  </si>
  <si>
    <t xml:space="preserve">FY2011</t>
  </si>
  <si>
    <t xml:space="preserve">FY2012</t>
  </si>
  <si>
    <t xml:space="preserve">FY2013</t>
  </si>
  <si>
    <t xml:space="preserve">FY2014</t>
  </si>
  <si>
    <t xml:space="preserve">FY2015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</si>
  <si>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</si>
  <si>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</si>
  <si>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</si>
  <si>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</si>
  <si>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</si>
  <si>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</si>
  <si>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</si>
  <si>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</si>
  <si>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</si>
  <si>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</si>
  <si>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FY2026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</si>
  <si>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</si>
  <si>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</si>
  <si>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</si>
  <si>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</si>
  <si>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</si>
  <si>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</si>
  <si>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</si>
  <si>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</si>
  <si>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</si>
  <si>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</si>
  <si>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USD millions</t>
  </si>
  <si>
    <t xml:space="preserve">FX rate (model -&gt; quote)</t>
  </si>
  <si>
    <t xml:space="preserve">BEAR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</si>
  <si>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</si>
  <si>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</si>
  <si>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</si>
  <si>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</si>
  <si>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</si>
  <si>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</si>
  <si>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</si>
  <si>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</si>
  <si>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</si>
  <si>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FY2036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</si>
  <si>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</si>
  <si>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</si>
  <si>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</si>
  <si>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</si>
  <si>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</si>
  <si>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</si>
  <si>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</si>
  <si>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</si>
  <si>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</si>
  <si>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</si>
  <si>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</si>
  <si>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</si>
  <si>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</si>
  <si>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</si>
  <si>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RMD owner-FCF component DCF: bear case (millions, USD)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</si>
  <si>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</si>
  <si>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</si>
  <si>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</si>
  <si>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</si>
  <si>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</si>
  <si>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</si>
  <si>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</si>
  <si>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</si>
  <si>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</si>
  <si>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</si>
  <si>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</si>
  <si>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</si>
  <si>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</si>
  <si>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</si>
  <si>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</si>
  <si>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</si>
  <si>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</si>
  <si>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</si>
  <si>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</si>
  <si>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</si>
  <si>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</si>
  <si>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</si>
  <si>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</si>
  <si>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</si>
  <si>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</si>
  <si>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</si>
  <si>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</si>
  <si>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</si>
  <si>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</si>
  <si>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</si>
  <si>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RMD owner-FCF component DCF: base case (millions, USD)</t>
  </si>
  <si>
    <t xml:space="preserve">RMD owner-FCF component DCF: bull case (millions, USD)</t>
  </si>
  <si>
    <t xml:space="preserve">RMD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</si>
  <si>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</si>
  <si>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</si>
  <si>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</si>
  <si>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</si>
  <si>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</si>
  <si>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</si>
  <si>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</si>
  <si>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</si>
  <si>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</si>
  <si>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</si>
  <si>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</si>
  <si>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</si>
  <si>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</si>
  <si>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</si>
  <si>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8.5% (WACC)</t>
  </si>
  <si>
    <t xml:space="preserve">Value per share at 9%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</si>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</sst>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221.15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</row>
    <row r="2" customFormat="false" ht="15" hidden="false" customHeight="false" outlineLevel="0" collapsed="false">
      <c r="A2" s="0" t="s">
        <v>63</v>
      </c>
      <c r="O2" s="0" t="n">
        <v>1081.775</v>
      </c>
      <c r="S2" s="0" t="n">
        <v>321.078</v>
      </c>
      <c r="AA2" s="0" t="s">
        <v>17</v>
      </c>
      <c r="AB2" s="0" t="s">
        <v>14</v>
      </c>
    </row>
    <row r="3" customFormat="false" ht="15" hidden="false" customHeight="false" outlineLevel="0" collapsed="false">
      <c r="A3" s="0" t="s">
        <v>64</v>
      </c>
      <c r="B3" s="0" t="n">
        <v>920.735</v>
      </c>
      <c r="D3" s="0" t="n">
        <v>553.802</v>
      </c>
      <c r="E3" s="0" t="n">
        <v>60.1478166899271</v>
      </c>
      <c r="F3" s="0" t="n">
        <v>190.311</v>
      </c>
      <c r="G3" s="0" t="n">
        <v>20.6694651555551</v>
      </c>
      <c r="H3" s="0" t="n">
        <v>244.274</v>
      </c>
      <c r="I3" s="0" t="n">
        <v>146.448</v>
      </c>
      <c r="J3" s="0" t="n">
        <v>15.9055537152384</v>
      </c>
      <c r="K3" s="0" t="n">
        <v>0.97</v>
      </c>
      <c r="L3" s="0" t="n">
        <v>238.877</v>
      </c>
      <c r="M3" s="0" t="n">
        <v>109.692</v>
      </c>
      <c r="N3" s="0" t="n">
        <v>129.185</v>
      </c>
      <c r="O3" s="0" t="n">
        <v>1115.192</v>
      </c>
      <c r="S3" s="0" t="n">
        <v>415.65</v>
      </c>
      <c r="T3" s="0" t="n">
        <v>154.226</v>
      </c>
      <c r="U3" s="0" t="n">
        <v>25.515</v>
      </c>
      <c r="AA3" s="0" t="s">
        <v>17</v>
      </c>
      <c r="AB3" s="0" t="s">
        <v>14</v>
      </c>
    </row>
    <row r="4" customFormat="false" ht="15" hidden="false" customHeight="false" outlineLevel="0" collapsed="false">
      <c r="A4" s="0" t="s">
        <v>65</v>
      </c>
      <c r="B4" s="0" t="n">
        <v>1092.357</v>
      </c>
      <c r="D4" s="0" t="n">
        <v>655.483</v>
      </c>
      <c r="E4" s="0" t="n">
        <v>60.0062983072384</v>
      </c>
      <c r="F4" s="0" t="n">
        <v>240.382</v>
      </c>
      <c r="G4" s="0" t="n">
        <v>22.0058094560661</v>
      </c>
      <c r="H4" s="0" t="n">
        <v>301.945</v>
      </c>
      <c r="I4" s="0" t="n">
        <v>190.085</v>
      </c>
      <c r="J4" s="0" t="n">
        <v>17.401362375121</v>
      </c>
      <c r="K4" s="0" t="n">
        <v>1.26</v>
      </c>
      <c r="L4" s="0" t="n">
        <v>188.213</v>
      </c>
      <c r="M4" s="0" t="n">
        <v>56.855</v>
      </c>
      <c r="N4" s="0" t="n">
        <v>131.358</v>
      </c>
      <c r="O4" s="0" t="n">
        <v>1287.536</v>
      </c>
      <c r="P4" s="0" t="n">
        <v>1626.397</v>
      </c>
      <c r="Q4" s="0" t="n">
        <v>338.861</v>
      </c>
      <c r="R4" s="0" t="n">
        <v>243.378</v>
      </c>
      <c r="S4" s="0" t="n">
        <v>488.776</v>
      </c>
      <c r="T4" s="0" t="n">
        <v>155.098</v>
      </c>
      <c r="U4" s="0" t="n">
        <v>29.734</v>
      </c>
      <c r="AA4" s="0" t="s">
        <v>17</v>
      </c>
      <c r="AB4" s="0" t="s">
        <v>14</v>
      </c>
    </row>
    <row r="5" customFormat="false" ht="15" hidden="false" customHeight="false" outlineLevel="0" collapsed="false">
      <c r="A5" s="0" t="s">
        <v>66</v>
      </c>
      <c r="B5" s="0" t="n">
        <v>1243.148</v>
      </c>
      <c r="D5" s="0" t="n">
        <v>741.326</v>
      </c>
      <c r="E5" s="0" t="n">
        <v>59.6329640557681</v>
      </c>
      <c r="F5" s="0" t="n">
        <v>266.924</v>
      </c>
      <c r="G5" s="0" t="n">
        <v>21.4716188257553</v>
      </c>
      <c r="H5" s="0" t="n">
        <v>337.54</v>
      </c>
      <c r="I5" s="0" t="n">
        <v>226.986</v>
      </c>
      <c r="J5" s="0" t="n">
        <v>18.2589683609675</v>
      </c>
      <c r="K5" s="0" t="n">
        <v>1.49</v>
      </c>
      <c r="L5" s="0" t="n">
        <v>283.19</v>
      </c>
      <c r="M5" s="0" t="n">
        <v>66.609</v>
      </c>
      <c r="N5" s="0" t="n">
        <v>216.581</v>
      </c>
      <c r="O5" s="0" t="n">
        <v>1730.737</v>
      </c>
      <c r="P5" s="0" t="n">
        <v>2068.922</v>
      </c>
      <c r="Q5" s="0" t="n">
        <v>338.185</v>
      </c>
      <c r="R5" s="0" t="n">
        <v>100.326</v>
      </c>
      <c r="S5" s="0" t="n">
        <v>735.267</v>
      </c>
      <c r="T5" s="0" t="n">
        <v>157.195</v>
      </c>
      <c r="U5" s="0" t="n">
        <v>30.809</v>
      </c>
      <c r="AA5" s="0" t="s">
        <v>17</v>
      </c>
      <c r="AB5" s="0" t="s">
        <v>14</v>
      </c>
    </row>
    <row r="6" customFormat="false" ht="15" hidden="false" customHeight="false" outlineLevel="0" collapsed="false">
      <c r="A6" s="0" t="s">
        <v>67</v>
      </c>
      <c r="B6" s="0" t="n">
        <v>1368.515</v>
      </c>
      <c r="D6" s="0" t="n">
        <v>820.735</v>
      </c>
      <c r="E6" s="0" t="n">
        <v>59.9726711070028</v>
      </c>
      <c r="F6" s="0" t="n">
        <v>294.407</v>
      </c>
      <c r="G6" s="0" t="n">
        <v>21.5128807503023</v>
      </c>
      <c r="H6" s="0" t="n">
        <v>380.263</v>
      </c>
      <c r="I6" s="0" t="n">
        <v>254.85</v>
      </c>
      <c r="J6" s="0" t="n">
        <v>18.6223753484617</v>
      </c>
      <c r="K6" s="0" t="n">
        <v>1.75</v>
      </c>
      <c r="L6" s="0" t="n">
        <v>383.159</v>
      </c>
      <c r="M6" s="0" t="n">
        <v>47.135</v>
      </c>
      <c r="N6" s="0" t="n">
        <v>336.024</v>
      </c>
      <c r="O6" s="0" t="n">
        <v>1607.627</v>
      </c>
      <c r="P6" s="0" t="n">
        <v>2137.869</v>
      </c>
      <c r="Q6" s="0" t="n">
        <v>530.242</v>
      </c>
      <c r="R6" s="0" t="n">
        <v>250.887</v>
      </c>
      <c r="S6" s="0" t="n">
        <v>809.541</v>
      </c>
      <c r="T6" s="0" t="n">
        <v>149.316</v>
      </c>
      <c r="U6" s="0" t="n">
        <v>30.586</v>
      </c>
      <c r="AA6" s="0" t="s">
        <v>17</v>
      </c>
      <c r="AB6" s="0" t="s">
        <v>14</v>
      </c>
    </row>
    <row r="7" customFormat="false" ht="15" hidden="false" customHeight="false" outlineLevel="0" collapsed="false">
      <c r="A7" s="0" t="s">
        <v>68</v>
      </c>
      <c r="B7" s="0" t="n">
        <v>1514.457</v>
      </c>
      <c r="D7" s="0" t="n">
        <v>940.657</v>
      </c>
      <c r="E7" s="0" t="n">
        <v>62.1118328219289</v>
      </c>
      <c r="F7" s="0" t="n">
        <v>354.824</v>
      </c>
      <c r="G7" s="0" t="n">
        <v>23.4291234416032</v>
      </c>
      <c r="H7" s="0" t="n">
        <v>433.104</v>
      </c>
      <c r="I7" s="0" t="n">
        <v>307.133</v>
      </c>
      <c r="J7" s="0" t="n">
        <v>20.2800739803111</v>
      </c>
      <c r="K7" s="0" t="n">
        <v>2.15</v>
      </c>
      <c r="L7" s="0" t="n">
        <v>402.823</v>
      </c>
      <c r="M7" s="0" t="n">
        <v>63.579</v>
      </c>
      <c r="N7" s="0" t="n">
        <v>339.244</v>
      </c>
      <c r="O7" s="0" t="n">
        <v>1610.516</v>
      </c>
      <c r="P7" s="0" t="n">
        <v>2210.721</v>
      </c>
      <c r="Q7" s="0" t="n">
        <v>600.205</v>
      </c>
      <c r="R7" s="0" t="n">
        <v>600.803</v>
      </c>
      <c r="S7" s="0" t="n">
        <v>876.048</v>
      </c>
      <c r="T7" s="0" t="n">
        <v>146.41</v>
      </c>
      <c r="U7" s="0" t="n">
        <v>38.157</v>
      </c>
      <c r="V7" s="0" t="n">
        <v>0.68</v>
      </c>
      <c r="AA7" s="0" t="s">
        <v>17</v>
      </c>
      <c r="AB7" s="0" t="s">
        <v>14</v>
      </c>
    </row>
    <row r="8" customFormat="false" ht="15" hidden="false" customHeight="false" outlineLevel="0" collapsed="false">
      <c r="A8" s="0" t="s">
        <v>69</v>
      </c>
      <c r="B8" s="0" t="n">
        <v>1554.973</v>
      </c>
      <c r="D8" s="0" t="n">
        <v>989.786</v>
      </c>
      <c r="E8" s="0" t="n">
        <v>63.6529380252905</v>
      </c>
      <c r="F8" s="0" t="n">
        <v>405.087</v>
      </c>
      <c r="G8" s="0" t="n">
        <v>26.0510632660503</v>
      </c>
      <c r="H8" s="0" t="n">
        <v>478.541</v>
      </c>
      <c r="I8" s="0" t="n">
        <v>345.273</v>
      </c>
      <c r="J8" s="0" t="n">
        <v>22.2044369902243</v>
      </c>
      <c r="K8" s="0" t="n">
        <v>2.44</v>
      </c>
      <c r="M8" s="0" t="n">
        <v>72.722</v>
      </c>
      <c r="O8" s="0" t="n">
        <v>1758.248</v>
      </c>
      <c r="P8" s="0" t="n">
        <v>2360.962</v>
      </c>
      <c r="Q8" s="0" t="n">
        <v>602.714</v>
      </c>
      <c r="R8" s="0" t="n">
        <v>300.806</v>
      </c>
      <c r="S8" s="0" t="n">
        <v>905.73</v>
      </c>
      <c r="T8" s="0" t="n">
        <v>144.359</v>
      </c>
      <c r="U8" s="0" t="n">
        <v>43.457</v>
      </c>
      <c r="V8" s="0" t="n">
        <v>1</v>
      </c>
      <c r="AA8" s="0" t="s">
        <v>17</v>
      </c>
      <c r="AB8" s="0" t="s">
        <v>14</v>
      </c>
    </row>
    <row r="9" customFormat="false" ht="15" hidden="false" customHeight="false" outlineLevel="0" collapsed="false">
      <c r="A9" s="0" t="s">
        <v>70</v>
      </c>
      <c r="B9" s="0" t="n">
        <v>1678.912</v>
      </c>
      <c r="D9" s="0" t="n">
        <v>1011.396</v>
      </c>
      <c r="E9" s="0" t="n">
        <v>60.2411561773339</v>
      </c>
      <c r="F9" s="0" t="n">
        <v>409.236</v>
      </c>
      <c r="G9" s="0" t="n">
        <v>24.3750714748599</v>
      </c>
      <c r="H9" s="0" t="n">
        <v>482.292</v>
      </c>
      <c r="I9" s="0" t="n">
        <v>352.886</v>
      </c>
      <c r="J9" s="0" t="n">
        <v>21.0187311782869</v>
      </c>
      <c r="K9" s="0" t="n">
        <v>2.51</v>
      </c>
      <c r="M9" s="0" t="n">
        <v>62.502</v>
      </c>
      <c r="O9" s="0" t="n">
        <v>1587.307</v>
      </c>
      <c r="P9" s="0" t="n">
        <v>2181.774</v>
      </c>
      <c r="Q9" s="0" t="n">
        <v>594.467</v>
      </c>
      <c r="R9" s="0" t="n">
        <v>300.594</v>
      </c>
      <c r="S9" s="0" t="n">
        <v>717.249</v>
      </c>
      <c r="T9" s="0" t="n">
        <v>142.687</v>
      </c>
      <c r="U9" s="0" t="n">
        <v>47.855</v>
      </c>
      <c r="V9" s="0" t="n">
        <v>1.12</v>
      </c>
      <c r="AA9" s="0" t="s">
        <v>17</v>
      </c>
      <c r="AB9" s="0" t="s">
        <v>14</v>
      </c>
    </row>
    <row r="10" customFormat="false" ht="15" hidden="false" customHeight="false" outlineLevel="0" collapsed="false">
      <c r="A10" s="0" t="s">
        <v>71</v>
      </c>
      <c r="B10" s="0" t="n">
        <v>1838.713</v>
      </c>
      <c r="D10" s="0" t="n">
        <v>1066.497</v>
      </c>
      <c r="E10" s="0" t="n">
        <v>58.002363609764</v>
      </c>
      <c r="F10" s="0" t="n">
        <v>428.952</v>
      </c>
      <c r="G10" s="0" t="n">
        <v>23.3289262652736</v>
      </c>
      <c r="H10" s="0" t="n">
        <v>515.801</v>
      </c>
      <c r="I10" s="0" t="n">
        <v>352.409</v>
      </c>
      <c r="J10" s="0" t="n">
        <v>19.1660688753492</v>
      </c>
      <c r="K10" s="0" t="n">
        <v>2.51</v>
      </c>
      <c r="L10" s="0" t="n">
        <v>547.933</v>
      </c>
      <c r="M10" s="0" t="n">
        <v>58.534</v>
      </c>
      <c r="N10" s="0" t="n">
        <v>489.399</v>
      </c>
      <c r="O10" s="0" t="n">
        <v>1694.831</v>
      </c>
      <c r="P10" s="0" t="n">
        <v>3256.705</v>
      </c>
      <c r="Q10" s="0" t="n">
        <v>1561.874</v>
      </c>
      <c r="R10" s="0" t="n">
        <v>873.332</v>
      </c>
      <c r="S10" s="0" t="n">
        <v>731.434</v>
      </c>
      <c r="T10" s="0" t="n">
        <v>141.669</v>
      </c>
      <c r="U10" s="0" t="n">
        <v>46.408</v>
      </c>
      <c r="V10" s="0" t="n">
        <v>1.2</v>
      </c>
      <c r="AA10" s="0" t="s">
        <v>17</v>
      </c>
      <c r="AB10" s="0" t="s">
        <v>14</v>
      </c>
    </row>
    <row r="11" customFormat="false" ht="15" hidden="false" customHeight="false" outlineLevel="0" collapsed="false">
      <c r="A11" s="0" t="s">
        <v>72</v>
      </c>
      <c r="B11" s="0" t="n">
        <v>2066.737</v>
      </c>
      <c r="C11" s="0" t="n">
        <v>864.992</v>
      </c>
      <c r="D11" s="0" t="n">
        <v>1201.745</v>
      </c>
      <c r="E11" s="0" t="n">
        <v>58.1469727401213</v>
      </c>
      <c r="F11" s="0" t="n">
        <v>425.798</v>
      </c>
      <c r="G11" s="0" t="n">
        <v>20.6024278851155</v>
      </c>
      <c r="H11" s="0" t="n">
        <v>537.955</v>
      </c>
      <c r="I11" s="0" t="n">
        <v>342.284</v>
      </c>
      <c r="J11" s="0" t="n">
        <v>16.5615654047903</v>
      </c>
      <c r="K11" s="0" t="n">
        <v>2.42</v>
      </c>
      <c r="L11" s="0" t="n">
        <v>414.053</v>
      </c>
      <c r="M11" s="0" t="n">
        <v>62.219</v>
      </c>
      <c r="N11" s="0" t="n">
        <v>351.834</v>
      </c>
      <c r="O11" s="0" t="n">
        <v>1960.266</v>
      </c>
      <c r="P11" s="0" t="n">
        <v>3468.487</v>
      </c>
      <c r="Q11" s="0" t="n">
        <v>1508.221</v>
      </c>
      <c r="R11" s="0" t="n">
        <v>1078.611</v>
      </c>
      <c r="S11" s="0" t="n">
        <v>821.935</v>
      </c>
      <c r="T11" s="0" t="n">
        <v>142.453</v>
      </c>
      <c r="U11" s="0" t="n">
        <v>45.925</v>
      </c>
      <c r="V11" s="0" t="n">
        <v>1.32</v>
      </c>
      <c r="AA11" s="0" t="s">
        <v>17</v>
      </c>
      <c r="AB11" s="0" t="s">
        <v>14</v>
      </c>
    </row>
    <row r="12" customFormat="false" ht="15" hidden="false" customHeight="false" outlineLevel="0" collapsed="false">
      <c r="A12" s="0" t="s">
        <v>73</v>
      </c>
      <c r="B12" s="0" t="n">
        <v>2340.196</v>
      </c>
      <c r="C12" s="0" t="n">
        <v>1005.298</v>
      </c>
      <c r="D12" s="0" t="n">
        <v>1334.898</v>
      </c>
      <c r="E12" s="0" t="n">
        <v>57.042145187839</v>
      </c>
      <c r="F12" s="0" t="n">
        <v>541.831</v>
      </c>
      <c r="G12" s="0" t="n">
        <v>23.1532316096601</v>
      </c>
      <c r="H12" s="0" t="n">
        <v>661.791</v>
      </c>
      <c r="I12" s="0" t="n">
        <v>315.588</v>
      </c>
      <c r="J12" s="0" t="n">
        <v>13.4855371088576</v>
      </c>
      <c r="K12" s="0" t="n">
        <v>2.21</v>
      </c>
      <c r="L12" s="0" t="n">
        <v>505.026</v>
      </c>
      <c r="M12" s="0" t="n">
        <v>62.581</v>
      </c>
      <c r="N12" s="0" t="n">
        <v>442.445</v>
      </c>
      <c r="O12" s="0" t="n">
        <v>2058.98</v>
      </c>
      <c r="P12" s="0" t="n">
        <v>3063.923</v>
      </c>
      <c r="Q12" s="0" t="n">
        <v>1004.943</v>
      </c>
      <c r="R12" s="0" t="n">
        <v>269.988</v>
      </c>
      <c r="S12" s="0" t="n">
        <v>188.701</v>
      </c>
      <c r="T12" s="0" t="n">
        <v>143.987</v>
      </c>
      <c r="U12" s="0" t="n">
        <v>48.412</v>
      </c>
      <c r="V12" s="0" t="n">
        <v>1.4</v>
      </c>
      <c r="AA12" s="0" t="s">
        <v>17</v>
      </c>
      <c r="AB12" s="0" t="s">
        <v>14</v>
      </c>
    </row>
    <row r="13" customFormat="false" ht="15" hidden="false" customHeight="false" outlineLevel="0" collapsed="false">
      <c r="A13" s="0" t="s">
        <v>74</v>
      </c>
      <c r="B13" s="0" t="n">
        <v>2606.572</v>
      </c>
      <c r="C13" s="0" t="n">
        <v>1112.501</v>
      </c>
      <c r="D13" s="0" t="n">
        <v>1494.071</v>
      </c>
      <c r="E13" s="0" t="n">
        <v>57.3193834661003</v>
      </c>
      <c r="F13" s="0" t="n">
        <v>579.263</v>
      </c>
      <c r="G13" s="0" t="n">
        <v>22.2231728108796</v>
      </c>
      <c r="H13" s="0" t="n">
        <v>730.058</v>
      </c>
      <c r="I13" s="0" t="n">
        <v>404.592</v>
      </c>
      <c r="J13" s="0" t="n">
        <v>15.5219959394945</v>
      </c>
      <c r="K13" s="0" t="n">
        <v>2.83</v>
      </c>
      <c r="L13" s="0" t="n">
        <v>459.051</v>
      </c>
      <c r="M13" s="0" t="n">
        <v>68.71</v>
      </c>
      <c r="N13" s="0" t="n">
        <v>390.341</v>
      </c>
      <c r="O13" s="0" t="n">
        <v>2072.193</v>
      </c>
      <c r="P13" s="0" t="n">
        <v>4107.682</v>
      </c>
      <c r="Q13" s="0" t="n">
        <v>2035.489</v>
      </c>
      <c r="R13" s="0" t="n">
        <v>1258.861</v>
      </c>
      <c r="S13" s="0" t="n">
        <v>147.128</v>
      </c>
      <c r="T13" s="0" t="n">
        <v>144.484</v>
      </c>
      <c r="U13" s="0" t="n">
        <v>52.073</v>
      </c>
      <c r="V13" s="0" t="n">
        <v>1.48</v>
      </c>
      <c r="AA13" s="0" t="s">
        <v>17</v>
      </c>
      <c r="AB13" s="0" t="s">
        <v>14</v>
      </c>
    </row>
    <row r="14" customFormat="false" ht="15" hidden="false" customHeight="false" outlineLevel="0" collapsed="false">
      <c r="A14" s="0" t="s">
        <v>75</v>
      </c>
      <c r="B14" s="0" t="n">
        <v>2957.013</v>
      </c>
      <c r="C14" s="0" t="n">
        <v>1239.227</v>
      </c>
      <c r="D14" s="0" t="n">
        <v>1717.786</v>
      </c>
      <c r="E14" s="0" t="n">
        <v>58.0919326360757</v>
      </c>
      <c r="F14" s="0" t="n">
        <v>809.659</v>
      </c>
      <c r="G14" s="0" t="n">
        <v>27.38097532882</v>
      </c>
      <c r="H14" s="0" t="n">
        <v>964.509</v>
      </c>
      <c r="I14" s="0" t="n">
        <v>621.674</v>
      </c>
      <c r="J14" s="0" t="n">
        <v>21.0237154858636</v>
      </c>
      <c r="K14" s="0" t="n">
        <v>4.31</v>
      </c>
      <c r="L14" s="0" t="n">
        <v>802.255</v>
      </c>
      <c r="M14" s="0" t="n">
        <v>95.33</v>
      </c>
      <c r="N14" s="0" t="n">
        <v>706.925</v>
      </c>
      <c r="O14" s="0" t="n">
        <v>2497.027</v>
      </c>
      <c r="P14" s="0" t="n">
        <v>4587.376</v>
      </c>
      <c r="Q14" s="0" t="n">
        <v>2090.349</v>
      </c>
      <c r="R14" s="0" t="n">
        <v>1164.133</v>
      </c>
      <c r="S14" s="0" t="n">
        <v>463.156</v>
      </c>
      <c r="T14" s="0" t="n">
        <v>145.652</v>
      </c>
      <c r="U14" s="0" t="n">
        <v>57.559</v>
      </c>
      <c r="V14" s="0" t="n">
        <v>1.56</v>
      </c>
      <c r="AA14" s="0" t="s">
        <v>17</v>
      </c>
      <c r="AB14" s="0" t="s">
        <v>14</v>
      </c>
    </row>
    <row r="15" customFormat="false" ht="15" hidden="false" customHeight="false" outlineLevel="0" collapsed="false">
      <c r="A15" s="0" t="s">
        <v>76</v>
      </c>
      <c r="B15" s="0" t="n">
        <v>3196.825</v>
      </c>
      <c r="C15" s="0" t="n">
        <v>1357.725</v>
      </c>
      <c r="D15" s="0" t="n">
        <v>1839.1</v>
      </c>
      <c r="E15" s="0" t="n">
        <v>57.5289545095524</v>
      </c>
      <c r="F15" s="0" t="n">
        <v>903.678</v>
      </c>
      <c r="G15" s="0" t="n">
        <v>28.267984641011</v>
      </c>
      <c r="H15" s="0" t="n">
        <v>1060.436</v>
      </c>
      <c r="I15" s="0" t="n">
        <v>474.505</v>
      </c>
      <c r="J15" s="0" t="n">
        <v>14.843008297295</v>
      </c>
      <c r="K15" s="0" t="n">
        <v>3.27</v>
      </c>
      <c r="L15" s="0" t="n">
        <v>736.718</v>
      </c>
      <c r="M15" s="0" t="n">
        <v>102.712</v>
      </c>
      <c r="N15" s="0" t="n">
        <v>634.006</v>
      </c>
      <c r="O15" s="0" t="n">
        <v>2885.679</v>
      </c>
      <c r="P15" s="0" t="n">
        <v>4728.125</v>
      </c>
      <c r="Q15" s="0" t="n">
        <v>1842.446</v>
      </c>
      <c r="R15" s="0" t="n">
        <v>643.351</v>
      </c>
      <c r="S15" s="0" t="n">
        <v>295.278</v>
      </c>
      <c r="T15" s="0" t="n">
        <v>146.451</v>
      </c>
      <c r="U15" s="0" t="n">
        <v>63.927</v>
      </c>
      <c r="V15" s="0" t="n">
        <v>1.56</v>
      </c>
      <c r="AA15" s="0" t="s">
        <v>17</v>
      </c>
      <c r="AB15" s="0" t="s">
        <v>14</v>
      </c>
    </row>
    <row r="16" customFormat="false" ht="15" hidden="false" customHeight="false" outlineLevel="0" collapsed="false">
      <c r="A16" s="0" t="s">
        <v>77</v>
      </c>
      <c r="B16" s="0" t="n">
        <v>3578.127</v>
      </c>
      <c r="C16" s="0" t="n">
        <v>1553.816</v>
      </c>
      <c r="D16" s="0" t="n">
        <v>2024.311</v>
      </c>
      <c r="E16" s="0" t="n">
        <v>56.5745989452023</v>
      </c>
      <c r="F16" s="0" t="n">
        <v>1000.286</v>
      </c>
      <c r="G16" s="0" t="n">
        <v>27.9555756405516</v>
      </c>
      <c r="H16" s="0" t="n">
        <v>1159.895</v>
      </c>
      <c r="I16" s="0" t="n">
        <v>779.437</v>
      </c>
      <c r="J16" s="0" t="n">
        <v>21.783379963875</v>
      </c>
      <c r="K16" s="0" t="n">
        <v>5.34</v>
      </c>
      <c r="L16" s="0" t="n">
        <v>351.147</v>
      </c>
      <c r="M16" s="0" t="n">
        <v>134.835</v>
      </c>
      <c r="N16" s="0" t="n">
        <v>216.312</v>
      </c>
      <c r="O16" s="0" t="n">
        <v>3360.751</v>
      </c>
      <c r="P16" s="0" t="n">
        <v>5095.853</v>
      </c>
      <c r="Q16" s="0" t="n">
        <v>1735.102</v>
      </c>
      <c r="R16" s="0" t="n">
        <v>765.325</v>
      </c>
      <c r="S16" s="0" t="n">
        <v>273.71</v>
      </c>
      <c r="T16" s="0" t="n">
        <v>147.043</v>
      </c>
      <c r="U16" s="0" t="n">
        <v>65.257</v>
      </c>
      <c r="V16" s="0" t="n">
        <v>1.68</v>
      </c>
      <c r="AA16" s="0" t="s">
        <v>17</v>
      </c>
      <c r="AB16" s="0" t="s">
        <v>14</v>
      </c>
    </row>
    <row r="17" customFormat="false" ht="15" hidden="false" customHeight="false" outlineLevel="0" collapsed="false">
      <c r="A17" s="0" t="s">
        <v>78</v>
      </c>
      <c r="B17" s="0" t="n">
        <v>4222.993</v>
      </c>
      <c r="C17" s="0" t="n">
        <v>1867.331</v>
      </c>
      <c r="D17" s="0" t="n">
        <v>2355.662</v>
      </c>
      <c r="E17" s="0" t="n">
        <v>55.7818116203366</v>
      </c>
      <c r="F17" s="0" t="n">
        <v>1131.871</v>
      </c>
      <c r="G17" s="0" t="n">
        <v>26.8025781714533</v>
      </c>
      <c r="H17" s="0" t="n">
        <v>1297.027</v>
      </c>
      <c r="I17" s="0" t="n">
        <v>897.556</v>
      </c>
      <c r="J17" s="0" t="n">
        <v>21.2540252849105</v>
      </c>
      <c r="K17" s="0" t="n">
        <v>6.12</v>
      </c>
      <c r="L17" s="0" t="n">
        <v>693.299</v>
      </c>
      <c r="M17" s="0" t="n">
        <v>119.672</v>
      </c>
      <c r="N17" s="0" t="n">
        <v>573.627</v>
      </c>
      <c r="O17" s="0" t="n">
        <v>4129.903</v>
      </c>
      <c r="P17" s="0" t="n">
        <v>6751.708</v>
      </c>
      <c r="Q17" s="0" t="n">
        <v>2621.805</v>
      </c>
      <c r="R17" s="0" t="n">
        <v>1431.234</v>
      </c>
      <c r="S17" s="0" t="n">
        <v>227.891</v>
      </c>
      <c r="T17" s="0" t="n">
        <v>147.455</v>
      </c>
      <c r="U17" s="0" t="n">
        <v>71.142</v>
      </c>
      <c r="V17" s="0" t="n">
        <v>1.76</v>
      </c>
      <c r="AA17" s="0" t="s">
        <v>17</v>
      </c>
      <c r="AB17" s="0" t="s">
        <v>14</v>
      </c>
    </row>
    <row r="18" customFormat="false" ht="15" hidden="false" customHeight="false" outlineLevel="0" collapsed="false">
      <c r="A18" s="0" t="s">
        <v>79</v>
      </c>
      <c r="B18" s="0" t="n">
        <v>4685.297</v>
      </c>
      <c r="C18" s="0" t="n">
        <v>2029.994</v>
      </c>
      <c r="D18" s="0" t="n">
        <v>2655.303</v>
      </c>
      <c r="E18" s="0" t="n">
        <v>56.6730988451746</v>
      </c>
      <c r="F18" s="0" t="n">
        <v>1319.893</v>
      </c>
      <c r="G18" s="0" t="n">
        <v>28.1709569318658</v>
      </c>
      <c r="H18" s="0" t="n">
        <v>1496.763</v>
      </c>
      <c r="I18" s="0" t="n">
        <v>1020.951</v>
      </c>
      <c r="J18" s="0" t="n">
        <v>21.790528967534</v>
      </c>
      <c r="K18" s="0" t="n">
        <v>6.94</v>
      </c>
      <c r="L18" s="0" t="n">
        <v>1401.26</v>
      </c>
      <c r="M18" s="0" t="n">
        <v>99.46</v>
      </c>
      <c r="N18" s="0" t="n">
        <v>1301.8</v>
      </c>
      <c r="O18" s="0" t="n">
        <v>4864.043</v>
      </c>
      <c r="P18" s="0" t="n">
        <v>6872.394</v>
      </c>
      <c r="Q18" s="0" t="n">
        <v>2008.351</v>
      </c>
      <c r="R18" s="0" t="n">
        <v>697.313</v>
      </c>
      <c r="S18" s="0" t="n">
        <v>238.361</v>
      </c>
      <c r="T18" s="0" t="n">
        <v>147.55</v>
      </c>
      <c r="U18" s="0" t="n">
        <v>80.184</v>
      </c>
      <c r="V18" s="0" t="n">
        <v>1.92</v>
      </c>
      <c r="AA18" s="0" t="s">
        <v>17</v>
      </c>
      <c r="AB18" s="0" t="s">
        <v>14</v>
      </c>
    </row>
    <row r="19" customFormat="false" ht="15" hidden="false" customHeight="false" outlineLevel="0" collapsed="false">
      <c r="A19" s="0" t="s">
        <v>80</v>
      </c>
      <c r="B19" s="0" t="n">
        <v>5146.327</v>
      </c>
      <c r="C19" s="0" t="n">
        <v>2091.357</v>
      </c>
      <c r="D19" s="0" t="n">
        <v>3054.97</v>
      </c>
      <c r="E19" s="0" t="n">
        <v>59.3621431362601</v>
      </c>
      <c r="F19" s="0" t="n">
        <v>1685.363</v>
      </c>
      <c r="G19" s="0" t="n">
        <v>32.7488517538819</v>
      </c>
      <c r="H19" s="0" t="n">
        <v>1883.836</v>
      </c>
      <c r="I19" s="0" t="n">
        <v>1400.723</v>
      </c>
      <c r="J19" s="0" t="n">
        <v>27.2179167783159</v>
      </c>
      <c r="K19" s="0" t="n">
        <v>9.55</v>
      </c>
      <c r="L19" s="0" t="n">
        <v>1751.588</v>
      </c>
      <c r="M19" s="0" t="n">
        <v>89.865</v>
      </c>
      <c r="N19" s="0" t="n">
        <v>1661.723</v>
      </c>
      <c r="O19" s="0" t="n">
        <v>5967.859</v>
      </c>
      <c r="P19" s="0" t="n">
        <v>8174.391</v>
      </c>
      <c r="Q19" s="0" t="n">
        <v>2206.532</v>
      </c>
      <c r="R19" s="0" t="n">
        <v>658.392</v>
      </c>
      <c r="S19" s="0" t="n">
        <v>1209.45</v>
      </c>
      <c r="T19" s="0" t="n">
        <v>147.34</v>
      </c>
      <c r="U19" s="0" t="n">
        <v>91.661</v>
      </c>
      <c r="V19" s="0" t="n">
        <v>2.12</v>
      </c>
      <c r="AA19" s="0" t="s">
        <v>17</v>
      </c>
      <c r="AB19" s="0" t="s">
        <v>14</v>
      </c>
    </row>
    <row r="20" customFormat="false" ht="15" hidden="false" customHeight="false" outlineLevel="0" collapsed="false">
      <c r="A20" s="0" t="s">
        <v>81</v>
      </c>
      <c r="B20" s="0" t="n">
        <v>5653.443</v>
      </c>
      <c r="C20" s="0" t="n">
        <v>2201.704</v>
      </c>
      <c r="D20" s="0" t="n">
        <v>3451.739</v>
      </c>
      <c r="E20" s="0" t="n">
        <v>61.0555196187527</v>
      </c>
      <c r="F20" s="0" t="n">
        <v>1886.715</v>
      </c>
      <c r="G20" s="0" t="n">
        <v>33.3728490762178</v>
      </c>
      <c r="H20" s="0" t="n">
        <v>2088.057</v>
      </c>
      <c r="I20" s="0" t="n">
        <v>1523.293</v>
      </c>
      <c r="J20" s="0" t="n">
        <v>26.9445185880533</v>
      </c>
      <c r="K20" s="0" t="n">
        <v>10.47</v>
      </c>
      <c r="L20" s="0" t="n">
        <v>1805.829</v>
      </c>
      <c r="M20" s="0" t="n">
        <v>156.285</v>
      </c>
      <c r="N20" s="0" t="n">
        <v>1649.544</v>
      </c>
      <c r="O20" s="0" t="n">
        <v>6585.393</v>
      </c>
      <c r="P20" s="0" t="n">
        <v>8965.95</v>
      </c>
      <c r="Q20" s="0" t="n">
        <v>2380.557</v>
      </c>
      <c r="R20" s="0" t="n">
        <v>399.415</v>
      </c>
      <c r="S20" s="0" t="n">
        <v>1469.234</v>
      </c>
      <c r="T20" s="0" t="n">
        <v>146.054</v>
      </c>
      <c r="U20" s="0" t="n">
        <v>104.348</v>
      </c>
      <c r="V20" s="0" t="n">
        <v>2.4</v>
      </c>
      <c r="AA20" s="0" t="s">
        <v>17</v>
      </c>
      <c r="AB20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82</v>
      </c>
      <c r="B1" s="2" t="s">
        <v>83</v>
      </c>
    </row>
    <row r="2" customFormat="false" ht="15" hidden="false" customHeight="false" outlineLevel="0" collapsed="false">
      <c r="A2" s="0" t="s">
        <v>84</v>
      </c>
      <c r="B2" s="3" t="n">
        <v>221.15</v>
      </c>
    </row>
    <row r="3" customFormat="false" ht="15" hidden="false" customHeight="false" outlineLevel="0" collapsed="false">
      <c r="A3" s="0" t="s">
        <v>85</v>
      </c>
      <c r="B3" s="3" t="n">
        <v>146.054</v>
      </c>
    </row>
    <row r="4" customFormat="false" ht="15" hidden="false" customHeight="false" outlineLevel="0" collapsed="false">
      <c r="A4" s="0" t="s">
        <v>86</v>
      </c>
      <c r="B4" s="3" t="n">
        <v>-1069.819</v>
      </c>
    </row>
    <row r="5" customFormat="false" ht="15" hidden="false" customHeight="false" outlineLevel="0" collapsed="false">
      <c r="A5" s="0" t="s">
        <v>87</v>
      </c>
      <c r="B5" s="3" t="n">
        <v>490</v>
      </c>
    </row>
    <row r="6" customFormat="false" ht="15" hidden="false" customHeight="false" outlineLevel="0" collapsed="false">
      <c r="A6" s="0" t="s">
        <v>88</v>
      </c>
      <c r="B6" s="3" t="n">
        <v>15</v>
      </c>
    </row>
    <row r="7" customFormat="false" ht="15" hidden="false" customHeight="false" outlineLevel="0" collapsed="false">
      <c r="A7" s="0" t="s">
        <v>89</v>
      </c>
      <c r="B7" s="3" t="n">
        <v>5653.443</v>
      </c>
    </row>
    <row r="8" customFormat="false" ht="15" hidden="false" customHeight="false" outlineLevel="0" collapsed="false">
      <c r="A8" s="0" t="s">
        <v>90</v>
      </c>
      <c r="B8" s="3" t="s">
        <v>81</v>
      </c>
    </row>
    <row r="9" customFormat="false" ht="15" hidden="false" customHeight="false" outlineLevel="0" collapsed="false">
      <c r="A9" s="0" t="s">
        <v>91</v>
      </c>
      <c r="B9" s="3" t="s">
        <v>92</v>
      </c>
    </row>
    <row r="10" customFormat="false" ht="15" hidden="false" customHeight="false" outlineLevel="0" collapsed="false">
      <c r="A10" s="0" t="s">
        <v>93</v>
      </c>
      <c r="B10" s="3" t="n">
        <v>1</v>
      </c>
    </row>
    <row r="12" customFormat="false" ht="15" hidden="false" customHeight="false" outlineLevel="0" collapsed="false">
      <c r="A12" s="2" t="s">
        <v>94</v>
      </c>
      <c r="C12" s="2" t="s">
        <v>95</v>
      </c>
      <c r="D12" s="2" t="s">
        <v>96</v>
      </c>
      <c r="E12" s="2" t="s">
        <v>97</v>
      </c>
      <c r="F12" s="2" t="s">
        <v>98</v>
      </c>
      <c r="G12" s="2" t="s">
        <v>99</v>
      </c>
      <c r="H12" s="2" t="s">
        <v>100</v>
      </c>
      <c r="I12" s="2" t="s">
        <v>101</v>
      </c>
      <c r="J12" s="2" t="s">
        <v>102</v>
      </c>
      <c r="K12" s="2" t="s">
        <v>103</v>
      </c>
      <c r="L12" s="2" t="s">
        <v>104</v>
      </c>
    </row>
    <row r="13" customFormat="false" ht="15" hidden="false" customHeight="false" outlineLevel="0" collapsed="false">
      <c r="A13" s="0" t="s">
        <v>105</v>
      </c>
      <c r="C13" s="3" t="n">
        <v>1.5</v>
      </c>
      <c r="D13" s="3" t="n">
        <v>3</v>
      </c>
      <c r="E13" s="3" t="n">
        <v>3</v>
      </c>
      <c r="F13" s="3" t="n">
        <v>3</v>
      </c>
      <c r="G13" s="3" t="n">
        <v>3</v>
      </c>
      <c r="H13" s="3" t="n">
        <v>3</v>
      </c>
      <c r="I13" s="3" t="n">
        <v>2.5</v>
      </c>
      <c r="J13" s="3" t="n">
        <v>2.5</v>
      </c>
      <c r="K13" s="3" t="n">
        <v>2.5</v>
      </c>
      <c r="L13" s="3" t="n">
        <v>2.5</v>
      </c>
    </row>
    <row r="14" customFormat="false" ht="15" hidden="false" customHeight="false" outlineLevel="0" collapsed="false">
      <c r="A14" s="0" t="s">
        <v>106</v>
      </c>
      <c r="C14" s="3" t="n">
        <v>38.5</v>
      </c>
      <c r="D14" s="3" t="n">
        <v>37.8</v>
      </c>
      <c r="E14" s="3" t="n">
        <v>37</v>
      </c>
      <c r="F14" s="3" t="n">
        <v>36.5</v>
      </c>
      <c r="G14" s="3" t="n">
        <v>36</v>
      </c>
      <c r="H14" s="3" t="n">
        <v>36</v>
      </c>
      <c r="I14" s="3" t="n">
        <v>36</v>
      </c>
      <c r="J14" s="3" t="n">
        <v>36</v>
      </c>
      <c r="K14" s="3" t="n">
        <v>36</v>
      </c>
      <c r="L14" s="3" t="n">
        <v>36</v>
      </c>
    </row>
    <row r="15" customFormat="false" ht="15" hidden="false" customHeight="false" outlineLevel="0" collapsed="false">
      <c r="A15" s="0" t="s">
        <v>107</v>
      </c>
      <c r="C15" s="3" t="n">
        <v>2.2</v>
      </c>
      <c r="D15" s="3" t="n">
        <v>2.2</v>
      </c>
      <c r="E15" s="3" t="n">
        <v>2.2</v>
      </c>
      <c r="F15" s="3" t="n">
        <v>2.2</v>
      </c>
      <c r="G15" s="3" t="n">
        <v>2.2</v>
      </c>
      <c r="H15" s="3" t="n">
        <v>2.2</v>
      </c>
      <c r="I15" s="3" t="n">
        <v>2.2</v>
      </c>
      <c r="J15" s="3" t="n">
        <v>2.2</v>
      </c>
      <c r="K15" s="3" t="n">
        <v>2.2</v>
      </c>
      <c r="L15" s="3" t="n">
        <v>2.2</v>
      </c>
    </row>
    <row r="16" customFormat="false" ht="15" hidden="false" customHeight="false" outlineLevel="0" collapsed="false">
      <c r="A16" s="0" t="s">
        <v>108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109</v>
      </c>
      <c r="C17" s="3" t="n">
        <v>3.4</v>
      </c>
      <c r="D17" s="3" t="n">
        <v>3.4</v>
      </c>
      <c r="E17" s="3" t="n">
        <v>3.4</v>
      </c>
      <c r="F17" s="3" t="n">
        <v>3.4</v>
      </c>
      <c r="G17" s="3" t="n">
        <v>3.4</v>
      </c>
      <c r="H17" s="3" t="n">
        <v>3.4</v>
      </c>
      <c r="I17" s="3" t="n">
        <v>3.4</v>
      </c>
      <c r="J17" s="3" t="n">
        <v>3.4</v>
      </c>
      <c r="K17" s="3" t="n">
        <v>3.4</v>
      </c>
      <c r="L17" s="3" t="n">
        <v>3.4</v>
      </c>
    </row>
    <row r="18" customFormat="false" ht="15" hidden="false" customHeight="false" outlineLevel="0" collapsed="false">
      <c r="A18" s="0" t="s">
        <v>110</v>
      </c>
      <c r="C18" s="3" t="n">
        <v>2.8</v>
      </c>
      <c r="D18" s="3" t="n">
        <v>2.8</v>
      </c>
      <c r="E18" s="3" t="n">
        <v>2.8</v>
      </c>
      <c r="F18" s="3" t="n">
        <v>2.8</v>
      </c>
      <c r="G18" s="3" t="n">
        <v>2.8</v>
      </c>
      <c r="H18" s="3" t="n">
        <v>2.8</v>
      </c>
      <c r="I18" s="3" t="n">
        <v>2.8</v>
      </c>
      <c r="J18" s="3" t="n">
        <v>2.8</v>
      </c>
      <c r="K18" s="3" t="n">
        <v>2.8</v>
      </c>
      <c r="L18" s="3" t="n">
        <v>2.8</v>
      </c>
    </row>
    <row r="19" customFormat="false" ht="15" hidden="false" customHeight="false" outlineLevel="0" collapsed="false">
      <c r="A19" s="0" t="s">
        <v>111</v>
      </c>
      <c r="C19" s="3" t="n">
        <v>20</v>
      </c>
      <c r="D19" s="3" t="n">
        <v>20</v>
      </c>
      <c r="E19" s="3" t="n">
        <v>21</v>
      </c>
      <c r="F19" s="3" t="n">
        <v>21</v>
      </c>
      <c r="G19" s="3" t="n">
        <v>21</v>
      </c>
      <c r="H19" s="3" t="n">
        <v>21</v>
      </c>
      <c r="I19" s="3" t="n">
        <v>21</v>
      </c>
      <c r="J19" s="3" t="n">
        <v>21</v>
      </c>
      <c r="K19" s="3" t="n">
        <v>21</v>
      </c>
      <c r="L19" s="3" t="n">
        <v>21</v>
      </c>
    </row>
    <row r="20" customFormat="false" ht="15" hidden="false" customHeight="false" outlineLevel="0" collapsed="false">
      <c r="A20" s="0" t="s">
        <v>112</v>
      </c>
      <c r="B20" s="3" t="n">
        <v>8.5</v>
      </c>
    </row>
    <row r="21" customFormat="false" ht="15" hidden="false" customHeight="false" outlineLevel="0" collapsed="false">
      <c r="A21" s="0" t="s">
        <v>113</v>
      </c>
      <c r="B21" s="3" t="n">
        <v>2.5</v>
      </c>
    </row>
    <row r="22" customFormat="false" ht="15" hidden="false" customHeight="false" outlineLevel="0" collapsed="false">
      <c r="A22" s="0" t="s">
        <v>114</v>
      </c>
      <c r="B22" s="3" t="n">
        <v>15</v>
      </c>
    </row>
    <row r="23" customFormat="false" ht="15" hidden="false" customHeight="false" outlineLevel="0" collapsed="false">
      <c r="A23" s="0" t="s">
        <v>115</v>
      </c>
      <c r="B23" s="3" t="n">
        <v>-8</v>
      </c>
    </row>
    <row r="24" customFormat="false" ht="15" hidden="false" customHeight="false" outlineLevel="0" collapsed="false">
      <c r="A24" s="0" t="s">
        <v>116</v>
      </c>
      <c r="B24" s="3" t="n">
        <v>0.25</v>
      </c>
    </row>
    <row r="26" customFormat="false" ht="15" hidden="false" customHeight="false" outlineLevel="0" collapsed="false">
      <c r="A26" s="2" t="s">
        <v>117</v>
      </c>
      <c r="C26" s="2" t="s">
        <v>95</v>
      </c>
      <c r="D26" s="2" t="s">
        <v>96</v>
      </c>
      <c r="E26" s="2" t="s">
        <v>97</v>
      </c>
      <c r="F26" s="2" t="s">
        <v>98</v>
      </c>
      <c r="G26" s="2" t="s">
        <v>99</v>
      </c>
      <c r="H26" s="2" t="s">
        <v>100</v>
      </c>
      <c r="I26" s="2" t="s">
        <v>101</v>
      </c>
      <c r="J26" s="2" t="s">
        <v>102</v>
      </c>
      <c r="K26" s="2" t="s">
        <v>103</v>
      </c>
      <c r="L26" s="2" t="s">
        <v>104</v>
      </c>
    </row>
    <row r="27" customFormat="false" ht="15" hidden="false" customHeight="false" outlineLevel="0" collapsed="false">
      <c r="A27" s="0" t="s">
        <v>105</v>
      </c>
      <c r="C27" s="3" t="n">
        <v>2.6</v>
      </c>
      <c r="D27" s="3" t="n">
        <v>7</v>
      </c>
      <c r="E27" s="3" t="n">
        <v>7</v>
      </c>
      <c r="F27" s="3" t="n">
        <v>6.5</v>
      </c>
      <c r="G27" s="3" t="n">
        <v>6</v>
      </c>
      <c r="H27" s="3" t="n">
        <v>5.5</v>
      </c>
      <c r="I27" s="3" t="n">
        <v>5</v>
      </c>
      <c r="J27" s="3" t="n">
        <v>4.5</v>
      </c>
      <c r="K27" s="3" t="n">
        <v>4</v>
      </c>
      <c r="L27" s="3" t="n">
        <v>3.5</v>
      </c>
    </row>
    <row r="28" customFormat="false" ht="15" hidden="false" customHeight="false" outlineLevel="0" collapsed="false">
      <c r="A28" s="0" t="s">
        <v>106</v>
      </c>
      <c r="C28" s="3" t="n">
        <v>39.2</v>
      </c>
      <c r="D28" s="3" t="n">
        <v>39.6</v>
      </c>
      <c r="E28" s="3" t="n">
        <v>40</v>
      </c>
      <c r="F28" s="3" t="n">
        <v>40.3</v>
      </c>
      <c r="G28" s="3" t="n">
        <v>40.5</v>
      </c>
      <c r="H28" s="3" t="n">
        <v>40.5</v>
      </c>
      <c r="I28" s="3" t="n">
        <v>40.5</v>
      </c>
      <c r="J28" s="3" t="n">
        <v>40.5</v>
      </c>
      <c r="K28" s="3" t="n">
        <v>40.5</v>
      </c>
      <c r="L28" s="3" t="n">
        <v>40.5</v>
      </c>
    </row>
    <row r="29" customFormat="false" ht="15" hidden="false" customHeight="false" outlineLevel="0" collapsed="false">
      <c r="A29" s="0" t="s">
        <v>107</v>
      </c>
      <c r="C29" s="3" t="n">
        <v>2.2</v>
      </c>
      <c r="D29" s="3" t="n">
        <v>2.2</v>
      </c>
      <c r="E29" s="3" t="n">
        <v>2.1</v>
      </c>
      <c r="F29" s="3" t="n">
        <v>2.1</v>
      </c>
      <c r="G29" s="3" t="n">
        <v>2</v>
      </c>
      <c r="H29" s="3" t="n">
        <v>2</v>
      </c>
      <c r="I29" s="3" t="n">
        <v>2</v>
      </c>
      <c r="J29" s="3" t="n">
        <v>2</v>
      </c>
      <c r="K29" s="3" t="n">
        <v>2</v>
      </c>
      <c r="L29" s="3" t="n">
        <v>2</v>
      </c>
    </row>
    <row r="30" customFormat="false" ht="15" hidden="false" customHeight="false" outlineLevel="0" collapsed="false">
      <c r="A30" s="0" t="s">
        <v>108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109</v>
      </c>
      <c r="C31" s="3" t="n">
        <v>3.4</v>
      </c>
      <c r="D31" s="3" t="n">
        <v>3.3</v>
      </c>
      <c r="E31" s="3" t="n">
        <v>3.2</v>
      </c>
      <c r="F31" s="3" t="n">
        <v>3.1</v>
      </c>
      <c r="G31" s="3" t="n">
        <v>3</v>
      </c>
      <c r="H31" s="3" t="n">
        <v>3</v>
      </c>
      <c r="I31" s="3" t="n">
        <v>3</v>
      </c>
      <c r="J31" s="3" t="n">
        <v>3</v>
      </c>
      <c r="K31" s="3" t="n">
        <v>3</v>
      </c>
      <c r="L31" s="3" t="n">
        <v>3</v>
      </c>
    </row>
    <row r="32" customFormat="false" ht="15" hidden="false" customHeight="false" outlineLevel="0" collapsed="false">
      <c r="A32" s="0" t="s">
        <v>110</v>
      </c>
      <c r="C32" s="3" t="n">
        <v>2.6</v>
      </c>
      <c r="D32" s="3" t="n">
        <v>2.6</v>
      </c>
      <c r="E32" s="3" t="n">
        <v>2.6</v>
      </c>
      <c r="F32" s="3" t="n">
        <v>2.6</v>
      </c>
      <c r="G32" s="3" t="n">
        <v>2.6</v>
      </c>
      <c r="H32" s="3" t="n">
        <v>2.6</v>
      </c>
      <c r="I32" s="3" t="n">
        <v>2.6</v>
      </c>
      <c r="J32" s="3" t="n">
        <v>2.6</v>
      </c>
      <c r="K32" s="3" t="n">
        <v>2.6</v>
      </c>
      <c r="L32" s="3" t="n">
        <v>2.6</v>
      </c>
    </row>
    <row r="33" customFormat="false" ht="15" hidden="false" customHeight="false" outlineLevel="0" collapsed="false">
      <c r="A33" s="0" t="s">
        <v>111</v>
      </c>
      <c r="C33" s="3" t="n">
        <v>20</v>
      </c>
      <c r="D33" s="3" t="n">
        <v>20</v>
      </c>
      <c r="E33" s="3" t="n">
        <v>20</v>
      </c>
      <c r="F33" s="3" t="n">
        <v>20</v>
      </c>
      <c r="G33" s="3" t="n">
        <v>20</v>
      </c>
      <c r="H33" s="3" t="n">
        <v>20</v>
      </c>
      <c r="I33" s="3" t="n">
        <v>20</v>
      </c>
      <c r="J33" s="3" t="n">
        <v>20</v>
      </c>
      <c r="K33" s="3" t="n">
        <v>20</v>
      </c>
      <c r="L33" s="3" t="n">
        <v>20</v>
      </c>
    </row>
    <row r="34" customFormat="false" ht="15" hidden="false" customHeight="false" outlineLevel="0" collapsed="false">
      <c r="A34" s="0" t="s">
        <v>112</v>
      </c>
      <c r="B34" s="3" t="n">
        <v>8.5</v>
      </c>
    </row>
    <row r="35" customFormat="false" ht="15" hidden="false" customHeight="false" outlineLevel="0" collapsed="false">
      <c r="A35" s="0" t="s">
        <v>113</v>
      </c>
      <c r="B35" s="3" t="n">
        <v>3</v>
      </c>
    </row>
    <row r="36" customFormat="false" ht="15" hidden="false" customHeight="false" outlineLevel="0" collapsed="false">
      <c r="A36" s="0" t="s">
        <v>114</v>
      </c>
      <c r="B36" s="3" t="n">
        <v>20</v>
      </c>
    </row>
    <row r="37" customFormat="false" ht="15" hidden="false" customHeight="false" outlineLevel="0" collapsed="false">
      <c r="A37" s="0" t="s">
        <v>115</v>
      </c>
      <c r="B37" s="3" t="n">
        <v>-8</v>
      </c>
    </row>
    <row r="38" customFormat="false" ht="15" hidden="false" customHeight="false" outlineLevel="0" collapsed="false">
      <c r="A38" s="0" t="s">
        <v>116</v>
      </c>
      <c r="B38" s="3" t="n">
        <v>0.5</v>
      </c>
    </row>
    <row r="40" customFormat="false" ht="15" hidden="false" customHeight="false" outlineLevel="0" collapsed="false">
      <c r="A40" s="2" t="s">
        <v>118</v>
      </c>
      <c r="C40" s="2" t="s">
        <v>95</v>
      </c>
      <c r="D40" s="2" t="s">
        <v>96</v>
      </c>
      <c r="E40" s="2" t="s">
        <v>97</v>
      </c>
      <c r="F40" s="2" t="s">
        <v>98</v>
      </c>
      <c r="G40" s="2" t="s">
        <v>99</v>
      </c>
      <c r="H40" s="2" t="s">
        <v>100</v>
      </c>
      <c r="I40" s="2" t="s">
        <v>101</v>
      </c>
      <c r="J40" s="2" t="s">
        <v>102</v>
      </c>
      <c r="K40" s="2" t="s">
        <v>103</v>
      </c>
      <c r="L40" s="2" t="s">
        <v>104</v>
      </c>
    </row>
    <row r="41" customFormat="false" ht="15" hidden="false" customHeight="false" outlineLevel="0" collapsed="false">
      <c r="A41" s="0" t="s">
        <v>105</v>
      </c>
      <c r="C41" s="3" t="n">
        <v>3.5</v>
      </c>
      <c r="D41" s="3" t="n">
        <v>9</v>
      </c>
      <c r="E41" s="3" t="n">
        <v>9</v>
      </c>
      <c r="F41" s="3" t="n">
        <v>8.5</v>
      </c>
      <c r="G41" s="3" t="n">
        <v>8</v>
      </c>
      <c r="H41" s="3" t="n">
        <v>7</v>
      </c>
      <c r="I41" s="3" t="n">
        <v>6</v>
      </c>
      <c r="J41" s="3" t="n">
        <v>5</v>
      </c>
      <c r="K41" s="3" t="n">
        <v>4.5</v>
      </c>
      <c r="L41" s="3" t="n">
        <v>4</v>
      </c>
    </row>
    <row r="42" customFormat="false" ht="15" hidden="false" customHeight="false" outlineLevel="0" collapsed="false">
      <c r="A42" s="0" t="s">
        <v>106</v>
      </c>
      <c r="C42" s="3" t="n">
        <v>39.5</v>
      </c>
      <c r="D42" s="3" t="n">
        <v>40.3</v>
      </c>
      <c r="E42" s="3" t="n">
        <v>41</v>
      </c>
      <c r="F42" s="3" t="n">
        <v>41.6</v>
      </c>
      <c r="G42" s="3" t="n">
        <v>42</v>
      </c>
      <c r="H42" s="3" t="n">
        <v>42.3</v>
      </c>
      <c r="I42" s="3" t="n">
        <v>42.5</v>
      </c>
      <c r="J42" s="3" t="n">
        <v>42.5</v>
      </c>
      <c r="K42" s="3" t="n">
        <v>42.5</v>
      </c>
      <c r="L42" s="3" t="n">
        <v>42.5</v>
      </c>
    </row>
    <row r="43" customFormat="false" ht="15" hidden="false" customHeight="false" outlineLevel="0" collapsed="false">
      <c r="A43" s="0" t="s">
        <v>107</v>
      </c>
      <c r="C43" s="3" t="n">
        <v>2.2</v>
      </c>
      <c r="D43" s="3" t="n">
        <v>2.2</v>
      </c>
      <c r="E43" s="3" t="n">
        <v>2.1</v>
      </c>
      <c r="F43" s="3" t="n">
        <v>2.1</v>
      </c>
      <c r="G43" s="3" t="n">
        <v>2</v>
      </c>
      <c r="H43" s="3" t="n">
        <v>2</v>
      </c>
      <c r="I43" s="3" t="n">
        <v>2</v>
      </c>
      <c r="J43" s="3" t="n">
        <v>2</v>
      </c>
      <c r="K43" s="3" t="n">
        <v>2</v>
      </c>
      <c r="L43" s="3" t="n">
        <v>2</v>
      </c>
    </row>
    <row r="44" customFormat="false" ht="15" hidden="false" customHeight="false" outlineLevel="0" collapsed="false">
      <c r="A44" s="0" t="s">
        <v>108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109</v>
      </c>
      <c r="C45" s="3" t="n">
        <v>3.4</v>
      </c>
      <c r="D45" s="3" t="n">
        <v>3.3</v>
      </c>
      <c r="E45" s="3" t="n">
        <v>3.2</v>
      </c>
      <c r="F45" s="3" t="n">
        <v>3.1</v>
      </c>
      <c r="G45" s="3" t="n">
        <v>3</v>
      </c>
      <c r="H45" s="3" t="n">
        <v>3</v>
      </c>
      <c r="I45" s="3" t="n">
        <v>3</v>
      </c>
      <c r="J45" s="3" t="n">
        <v>3</v>
      </c>
      <c r="K45" s="3" t="n">
        <v>3</v>
      </c>
      <c r="L45" s="3" t="n">
        <v>3</v>
      </c>
    </row>
    <row r="46" customFormat="false" ht="15" hidden="false" customHeight="false" outlineLevel="0" collapsed="false">
      <c r="A46" s="0" t="s">
        <v>110</v>
      </c>
      <c r="C46" s="3" t="n">
        <v>2.6</v>
      </c>
      <c r="D46" s="3" t="n">
        <v>2.6</v>
      </c>
      <c r="E46" s="3" t="n">
        <v>2.6</v>
      </c>
      <c r="F46" s="3" t="n">
        <v>2.6</v>
      </c>
      <c r="G46" s="3" t="n">
        <v>2.6</v>
      </c>
      <c r="H46" s="3" t="n">
        <v>2.6</v>
      </c>
      <c r="I46" s="3" t="n">
        <v>2.6</v>
      </c>
      <c r="J46" s="3" t="n">
        <v>2.6</v>
      </c>
      <c r="K46" s="3" t="n">
        <v>2.6</v>
      </c>
      <c r="L46" s="3" t="n">
        <v>2.6</v>
      </c>
    </row>
    <row r="47" customFormat="false" ht="15" hidden="false" customHeight="false" outlineLevel="0" collapsed="false">
      <c r="A47" s="0" t="s">
        <v>111</v>
      </c>
      <c r="C47" s="3" t="n">
        <v>20</v>
      </c>
      <c r="D47" s="3" t="n">
        <v>20</v>
      </c>
      <c r="E47" s="3" t="n">
        <v>20</v>
      </c>
      <c r="F47" s="3" t="n">
        <v>20</v>
      </c>
      <c r="G47" s="3" t="n">
        <v>20</v>
      </c>
      <c r="H47" s="3" t="n">
        <v>20</v>
      </c>
      <c r="I47" s="3" t="n">
        <v>20</v>
      </c>
      <c r="J47" s="3" t="n">
        <v>20</v>
      </c>
      <c r="K47" s="3" t="n">
        <v>20</v>
      </c>
      <c r="L47" s="3" t="n">
        <v>20</v>
      </c>
    </row>
    <row r="48" customFormat="false" ht="15" hidden="false" customHeight="false" outlineLevel="0" collapsed="false">
      <c r="A48" s="0" t="s">
        <v>112</v>
      </c>
      <c r="B48" s="3" t="n">
        <v>8.5</v>
      </c>
    </row>
    <row r="49" customFormat="false" ht="15" hidden="false" customHeight="false" outlineLevel="0" collapsed="false">
      <c r="A49" s="0" t="s">
        <v>113</v>
      </c>
      <c r="B49" s="3" t="n">
        <v>3</v>
      </c>
    </row>
    <row r="50" customFormat="false" ht="15" hidden="false" customHeight="false" outlineLevel="0" collapsed="false">
      <c r="A50" s="0" t="s">
        <v>114</v>
      </c>
      <c r="B50" s="3" t="n">
        <v>22</v>
      </c>
    </row>
    <row r="51" customFormat="false" ht="15" hidden="false" customHeight="false" outlineLevel="0" collapsed="false">
      <c r="A51" s="0" t="s">
        <v>115</v>
      </c>
      <c r="B51" s="3" t="n">
        <v>-8</v>
      </c>
    </row>
    <row r="52" customFormat="false" ht="15" hidden="false" customHeight="false" outlineLevel="0" collapsed="false">
      <c r="A52" s="0" t="s">
        <v>116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119</v>
      </c>
    </row>
    <row r="3" customFormat="false" ht="15" hidden="false" customHeight="false" outlineLevel="0" collapsed="false">
      <c r="A3" s="0" t="s">
        <v>120</v>
      </c>
      <c r="B3" s="0" t="s">
        <v>81</v>
      </c>
      <c r="C3" s="2" t="s">
        <v>95</v>
      </c>
      <c r="D3" s="2" t="s">
        <v>96</v>
      </c>
      <c r="E3" s="2" t="s">
        <v>97</v>
      </c>
      <c r="F3" s="2" t="s">
        <v>98</v>
      </c>
      <c r="G3" s="2" t="s">
        <v>99</v>
      </c>
      <c r="H3" s="2" t="s">
        <v>100</v>
      </c>
      <c r="I3" s="2" t="s">
        <v>101</v>
      </c>
      <c r="J3" s="2" t="s">
        <v>102</v>
      </c>
      <c r="K3" s="2" t="s">
        <v>103</v>
      </c>
      <c r="L3" s="2" t="s">
        <v>104</v>
      </c>
    </row>
    <row r="4" customFormat="false" ht="15" hidden="false" customHeight="false" outlineLevel="0" collapsed="false">
      <c r="A4" s="0" t="s">
        <v>121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105</v>
      </c>
      <c r="C5" s="4" t="n">
        <f aca="false">Assumptions!C13</f>
        <v>1.5</v>
      </c>
      <c r="D5" s="4" t="n">
        <f aca="false">Assumptions!D13</f>
        <v>3</v>
      </c>
      <c r="E5" s="4" t="n">
        <f aca="false">Assumptions!E13</f>
        <v>3</v>
      </c>
      <c r="F5" s="4" t="n">
        <f aca="false">Assumptions!F13</f>
        <v>3</v>
      </c>
      <c r="G5" s="4" t="n">
        <f aca="false">Assumptions!G13</f>
        <v>3</v>
      </c>
      <c r="H5" s="4" t="n">
        <f aca="false">Assumptions!H13</f>
        <v>3</v>
      </c>
      <c r="I5" s="4" t="n">
        <f aca="false">Assumptions!I13</f>
        <v>2.5</v>
      </c>
      <c r="J5" s="4" t="n">
        <f aca="false">Assumptions!J13</f>
        <v>2.5</v>
      </c>
      <c r="K5" s="4" t="n">
        <f aca="false">Assumptions!K13</f>
        <v>2.5</v>
      </c>
      <c r="L5" s="4" t="n">
        <f aca="false">Assumptions!L13</f>
        <v>2.5</v>
      </c>
    </row>
    <row r="6" customFormat="false" ht="15" hidden="false" customHeight="false" outlineLevel="0" collapsed="false">
      <c r="A6" s="0" t="s">
        <v>37</v>
      </c>
      <c r="B6" s="3" t="n">
        <v>5653.443</v>
      </c>
      <c r="C6" s="0" t="n">
        <f aca="false">B6*(1+C5/100)</f>
        <v>5738.244645</v>
      </c>
      <c r="D6" s="0" t="n">
        <f aca="false">C6*(1+D5/100)</f>
        <v>5910.39198435</v>
      </c>
      <c r="E6" s="0" t="n">
        <f aca="false">D6*(1+E5/100)</f>
        <v>6087.7037438805</v>
      </c>
      <c r="F6" s="0" t="n">
        <f aca="false">E6*(1+F5/100)</f>
        <v>6270.33485619692</v>
      </c>
      <c r="G6" s="0" t="n">
        <f aca="false">F6*(1+G5/100)</f>
        <v>6458.44490188282</v>
      </c>
      <c r="H6" s="0" t="n">
        <f aca="false">G6*(1+H5/100)</f>
        <v>6652.19824893931</v>
      </c>
      <c r="I6" s="0" t="n">
        <f aca="false">H6*(1+I5/100)</f>
        <v>6818.50320516279</v>
      </c>
      <c r="J6" s="0" t="n">
        <f aca="false">I6*(1+J5/100)</f>
        <v>6988.96578529186</v>
      </c>
      <c r="K6" s="0" t="n">
        <f aca="false">J6*(1+K5/100)</f>
        <v>7163.68992992416</v>
      </c>
      <c r="L6" s="0" t="n">
        <f aca="false">K6*(1+L5/100)</f>
        <v>7342.78217817226</v>
      </c>
    </row>
    <row r="7" customFormat="false" ht="15" hidden="false" customHeight="false" outlineLevel="0" collapsed="false">
      <c r="A7" s="0" t="s">
        <v>106</v>
      </c>
      <c r="C7" s="4" t="n">
        <f aca="false">Assumptions!C14</f>
        <v>38.5</v>
      </c>
      <c r="D7" s="4" t="n">
        <f aca="false">Assumptions!D14</f>
        <v>37.8</v>
      </c>
      <c r="E7" s="4" t="n">
        <f aca="false">Assumptions!E14</f>
        <v>37</v>
      </c>
      <c r="F7" s="4" t="n">
        <f aca="false">Assumptions!F14</f>
        <v>36.5</v>
      </c>
      <c r="G7" s="4" t="n">
        <f aca="false">Assumptions!G14</f>
        <v>36</v>
      </c>
      <c r="H7" s="4" t="n">
        <f aca="false">Assumptions!H14</f>
        <v>36</v>
      </c>
      <c r="I7" s="4" t="n">
        <f aca="false">Assumptions!I14</f>
        <v>36</v>
      </c>
      <c r="J7" s="4" t="n">
        <f aca="false">Assumptions!J14</f>
        <v>36</v>
      </c>
      <c r="K7" s="4" t="n">
        <f aca="false">Assumptions!K14</f>
        <v>36</v>
      </c>
      <c r="L7" s="4" t="n">
        <f aca="false">Assumptions!L14</f>
        <v>36</v>
      </c>
    </row>
    <row r="8" customFormat="false" ht="15" hidden="false" customHeight="false" outlineLevel="0" collapsed="false">
      <c r="A8" s="0" t="s">
        <v>43</v>
      </c>
      <c r="C8" s="0" t="n">
        <f aca="false">C6*C7/100</f>
        <v>2209.224188325</v>
      </c>
      <c r="D8" s="0" t="n">
        <f aca="false">D6*D7/100</f>
        <v>2234.1281700843</v>
      </c>
      <c r="E8" s="0" t="n">
        <f aca="false">E6*E7/100</f>
        <v>2252.45038523579</v>
      </c>
      <c r="F8" s="0" t="n">
        <f aca="false">F6*F7/100</f>
        <v>2288.67222251187</v>
      </c>
      <c r="G8" s="0" t="n">
        <f aca="false">G6*G7/100</f>
        <v>2325.04016467782</v>
      </c>
      <c r="H8" s="0" t="n">
        <f aca="false">H6*H7/100</f>
        <v>2394.79136961815</v>
      </c>
      <c r="I8" s="0" t="n">
        <f aca="false">I6*I7/100</f>
        <v>2454.6611538586</v>
      </c>
      <c r="J8" s="0" t="n">
        <f aca="false">J6*J7/100</f>
        <v>2516.02768270507</v>
      </c>
      <c r="K8" s="0" t="n">
        <f aca="false">K6*K7/100</f>
        <v>2578.9283747727</v>
      </c>
      <c r="L8" s="0" t="n">
        <f aca="false">L6*L7/100</f>
        <v>2643.40158414201</v>
      </c>
    </row>
    <row r="9" customFormat="false" ht="15" hidden="false" customHeight="false" outlineLevel="0" collapsed="false">
      <c r="A9" s="0" t="s">
        <v>107</v>
      </c>
      <c r="C9" s="4" t="n">
        <f aca="false">Assumptions!C15</f>
        <v>2.2</v>
      </c>
      <c r="D9" s="4" t="n">
        <f aca="false">Assumptions!D15</f>
        <v>2.2</v>
      </c>
      <c r="E9" s="4" t="n">
        <f aca="false">Assumptions!E15</f>
        <v>2.2</v>
      </c>
      <c r="F9" s="4" t="n">
        <f aca="false">Assumptions!F15</f>
        <v>2.2</v>
      </c>
      <c r="G9" s="4" t="n">
        <f aca="false">Assumptions!G15</f>
        <v>2.2</v>
      </c>
      <c r="H9" s="4" t="n">
        <f aca="false">Assumptions!H15</f>
        <v>2.2</v>
      </c>
      <c r="I9" s="4" t="n">
        <f aca="false">Assumptions!I15</f>
        <v>2.2</v>
      </c>
      <c r="J9" s="4" t="n">
        <f aca="false">Assumptions!J15</f>
        <v>2.2</v>
      </c>
      <c r="K9" s="4" t="n">
        <f aca="false">Assumptions!K15</f>
        <v>2.2</v>
      </c>
      <c r="L9" s="4" t="n">
        <f aca="false">Assumptions!L15</f>
        <v>2.2</v>
      </c>
    </row>
    <row r="10" customFormat="false" ht="15" hidden="false" customHeight="false" outlineLevel="0" collapsed="false">
      <c r="A10" s="0" t="s">
        <v>122</v>
      </c>
      <c r="C10" s="0" t="n">
        <f aca="false">-C6*C9/100</f>
        <v>-126.24138219</v>
      </c>
      <c r="D10" s="0" t="n">
        <f aca="false">-D6*D9/100</f>
        <v>-130.0286236557</v>
      </c>
      <c r="E10" s="0" t="n">
        <f aca="false">-E6*E9/100</f>
        <v>-133.929482365371</v>
      </c>
      <c r="F10" s="0" t="n">
        <f aca="false">-F6*F9/100</f>
        <v>-137.947366836332</v>
      </c>
      <c r="G10" s="0" t="n">
        <f aca="false">-G6*G9/100</f>
        <v>-142.085787841422</v>
      </c>
      <c r="H10" s="0" t="n">
        <f aca="false">-H6*H9/100</f>
        <v>-146.348361476665</v>
      </c>
      <c r="I10" s="0" t="n">
        <f aca="false">-I6*I9/100</f>
        <v>-150.007070513581</v>
      </c>
      <c r="J10" s="0" t="n">
        <f aca="false">-J6*J9/100</f>
        <v>-153.757247276421</v>
      </c>
      <c r="K10" s="0" t="n">
        <f aca="false">-K6*K9/100</f>
        <v>-157.601178458331</v>
      </c>
      <c r="L10" s="0" t="n">
        <f aca="false">-L6*L9/100</f>
        <v>-161.54120791979</v>
      </c>
    </row>
    <row r="11" customFormat="false" ht="15" hidden="false" customHeight="false" outlineLevel="0" collapsed="false">
      <c r="A11" s="0" t="s">
        <v>123</v>
      </c>
      <c r="C11" s="0" t="n">
        <f aca="false">C8+C10+C24</f>
        <v>2082.982806135</v>
      </c>
      <c r="D11" s="0" t="n">
        <f aca="false">D8+D10+D24</f>
        <v>2104.0995464286</v>
      </c>
      <c r="E11" s="0" t="n">
        <f aca="false">E8+E10+E24</f>
        <v>2118.52090287041</v>
      </c>
      <c r="F11" s="0" t="n">
        <f aca="false">F8+F10+F24</f>
        <v>2150.72485567554</v>
      </c>
      <c r="G11" s="0" t="n">
        <f aca="false">G8+G10+G24</f>
        <v>2182.95437683639</v>
      </c>
      <c r="H11" s="0" t="n">
        <f aca="false">H8+H10+H24</f>
        <v>2248.44300814149</v>
      </c>
      <c r="I11" s="0" t="n">
        <f aca="false">I8+I10+I24</f>
        <v>2304.65408334502</v>
      </c>
      <c r="J11" s="0" t="n">
        <f aca="false">J8+J10+J24</f>
        <v>2362.27043542865</v>
      </c>
      <c r="K11" s="0" t="n">
        <f aca="false">K8+K10+K24</f>
        <v>2421.32719631436</v>
      </c>
      <c r="L11" s="0" t="n">
        <f aca="false">L8+L10+L24</f>
        <v>2481.86037622222</v>
      </c>
    </row>
    <row r="12" customFormat="false" ht="15" hidden="false" customHeight="false" outlineLevel="0" collapsed="false">
      <c r="A12" s="0" t="s">
        <v>124</v>
      </c>
      <c r="C12" s="4" t="n">
        <f aca="false">-C6*Assumptions!C17/100</f>
        <v>-195.10031793</v>
      </c>
      <c r="D12" s="4" t="n">
        <f aca="false">-D6*Assumptions!D17/100</f>
        <v>-200.9533274679</v>
      </c>
      <c r="E12" s="4" t="n">
        <f aca="false">-E6*Assumptions!E17/100</f>
        <v>-206.981927291937</v>
      </c>
      <c r="F12" s="4" t="n">
        <f aca="false">-F6*Assumptions!F17/100</f>
        <v>-213.191385110695</v>
      </c>
      <c r="G12" s="4" t="n">
        <f aca="false">-G6*Assumptions!G17/100</f>
        <v>-219.587126664016</v>
      </c>
      <c r="H12" s="4" t="n">
        <f aca="false">-H6*Assumptions!H17/100</f>
        <v>-226.174740463936</v>
      </c>
      <c r="I12" s="4" t="n">
        <f aca="false">-I6*Assumptions!I17/100</f>
        <v>-231.829108975535</v>
      </c>
      <c r="J12" s="4" t="n">
        <f aca="false">-J6*Assumptions!J17/100</f>
        <v>-237.624836699923</v>
      </c>
      <c r="K12" s="4" t="n">
        <f aca="false">-K6*Assumptions!K17/100</f>
        <v>-243.565457617421</v>
      </c>
      <c r="L12" s="4" t="n">
        <f aca="false">-L6*Assumptions!L17/100</f>
        <v>-249.654594057857</v>
      </c>
    </row>
    <row r="13" customFormat="false" ht="15" hidden="false" customHeight="false" outlineLevel="0" collapsed="false">
      <c r="A13" s="0" t="s">
        <v>125</v>
      </c>
      <c r="C13" s="0" t="n">
        <f aca="false">C11+C12</f>
        <v>1887.882488205</v>
      </c>
      <c r="D13" s="0" t="n">
        <f aca="false">D11+D12</f>
        <v>1903.1462189607</v>
      </c>
      <c r="E13" s="0" t="n">
        <f aca="false">E11+E12</f>
        <v>1911.53897557848</v>
      </c>
      <c r="F13" s="0" t="n">
        <f aca="false">F11+F12</f>
        <v>1937.53347056485</v>
      </c>
      <c r="G13" s="0" t="n">
        <f aca="false">G11+G12</f>
        <v>1963.36725017238</v>
      </c>
      <c r="H13" s="0" t="n">
        <f aca="false">H11+H12</f>
        <v>2022.26826767755</v>
      </c>
      <c r="I13" s="0" t="n">
        <f aca="false">I11+I12</f>
        <v>2072.82497436949</v>
      </c>
      <c r="J13" s="0" t="n">
        <f aca="false">J11+J12</f>
        <v>2124.64559872873</v>
      </c>
      <c r="K13" s="0" t="n">
        <f aca="false">K11+K12</f>
        <v>2177.76173869694</v>
      </c>
      <c r="L13" s="0" t="n">
        <f aca="false">L11+L12</f>
        <v>2232.20578216437</v>
      </c>
    </row>
    <row r="14" customFormat="false" ht="15" hidden="false" customHeight="false" outlineLevel="0" collapsed="false">
      <c r="A14" s="0" t="s">
        <v>111</v>
      </c>
      <c r="C14" s="4" t="n">
        <f aca="false">Assumptions!C19</f>
        <v>20</v>
      </c>
      <c r="D14" s="4" t="n">
        <f aca="false">Assumptions!D19</f>
        <v>20</v>
      </c>
      <c r="E14" s="4" t="n">
        <f aca="false">Assumptions!E19</f>
        <v>21</v>
      </c>
      <c r="F14" s="4" t="n">
        <f aca="false">Assumptions!F19</f>
        <v>21</v>
      </c>
      <c r="G14" s="4" t="n">
        <f aca="false">Assumptions!G19</f>
        <v>21</v>
      </c>
      <c r="H14" s="4" t="n">
        <f aca="false">Assumptions!H19</f>
        <v>21</v>
      </c>
      <c r="I14" s="4" t="n">
        <f aca="false">Assumptions!I19</f>
        <v>21</v>
      </c>
      <c r="J14" s="4" t="n">
        <f aca="false">Assumptions!J19</f>
        <v>21</v>
      </c>
      <c r="K14" s="4" t="n">
        <f aca="false">Assumptions!K19</f>
        <v>21</v>
      </c>
      <c r="L14" s="4" t="n">
        <f aca="false">Assumptions!L19</f>
        <v>21</v>
      </c>
    </row>
    <row r="15" customFormat="false" ht="15" hidden="false" customHeight="false" outlineLevel="0" collapsed="false">
      <c r="A15" s="0" t="s">
        <v>126</v>
      </c>
      <c r="C15" s="0" t="n">
        <f aca="false">C13-MAX(0,C13)*C14/100</f>
        <v>1510.305990564</v>
      </c>
      <c r="D15" s="0" t="n">
        <f aca="false">D13-MAX(0,D13)*D14/100</f>
        <v>1522.51697516856</v>
      </c>
      <c r="E15" s="0" t="n">
        <f aca="false">E13-MAX(0,E13)*E14/100</f>
        <v>1510.115790707</v>
      </c>
      <c r="F15" s="0" t="n">
        <f aca="false">F13-MAX(0,F13)*F14/100</f>
        <v>1530.65144174623</v>
      </c>
      <c r="G15" s="0" t="n">
        <f aca="false">G13-MAX(0,G13)*G14/100</f>
        <v>1551.06012763618</v>
      </c>
      <c r="H15" s="0" t="n">
        <f aca="false">H13-MAX(0,H13)*H14/100</f>
        <v>1597.59193146526</v>
      </c>
      <c r="I15" s="0" t="n">
        <f aca="false">I13-MAX(0,I13)*I14/100</f>
        <v>1637.5317297519</v>
      </c>
      <c r="J15" s="0" t="n">
        <f aca="false">J13-MAX(0,J13)*J14/100</f>
        <v>1678.47002299569</v>
      </c>
      <c r="K15" s="0" t="n">
        <f aca="false">K13-MAX(0,K13)*K14/100</f>
        <v>1720.43177357059</v>
      </c>
      <c r="L15" s="0" t="n">
        <f aca="false">L13-MAX(0,L13)*L14/100</f>
        <v>1763.44256790985</v>
      </c>
    </row>
    <row r="16" customFormat="false" ht="15" hidden="false" customHeight="false" outlineLevel="0" collapsed="false">
      <c r="A16" s="0" t="s">
        <v>127</v>
      </c>
      <c r="C16" s="0" t="n">
        <f aca="false">-C12</f>
        <v>195.10031793</v>
      </c>
      <c r="D16" s="0" t="n">
        <f aca="false">-D12</f>
        <v>200.9533274679</v>
      </c>
      <c r="E16" s="0" t="n">
        <f aca="false">-E12</f>
        <v>206.981927291937</v>
      </c>
      <c r="F16" s="0" t="n">
        <f aca="false">-F12</f>
        <v>213.191385110695</v>
      </c>
      <c r="G16" s="0" t="n">
        <f aca="false">-G12</f>
        <v>219.587126664016</v>
      </c>
      <c r="H16" s="0" t="n">
        <f aca="false">-H12</f>
        <v>226.174740463936</v>
      </c>
      <c r="I16" s="0" t="n">
        <f aca="false">-I12</f>
        <v>231.829108975535</v>
      </c>
      <c r="J16" s="0" t="n">
        <f aca="false">-J12</f>
        <v>237.624836699923</v>
      </c>
      <c r="K16" s="0" t="n">
        <f aca="false">-K12</f>
        <v>243.565457617421</v>
      </c>
      <c r="L16" s="0" t="n">
        <f aca="false">-L12</f>
        <v>249.654594057857</v>
      </c>
    </row>
    <row r="17" customFormat="false" ht="15" hidden="false" customHeight="false" outlineLevel="0" collapsed="false">
      <c r="A17" s="0" t="s">
        <v>128</v>
      </c>
      <c r="C17" s="4" t="n">
        <f aca="false">-C6*Assumptions!C18/100</f>
        <v>-160.67085006</v>
      </c>
      <c r="D17" s="4" t="n">
        <f aca="false">-D6*Assumptions!D18/100</f>
        <v>-165.4909755618</v>
      </c>
      <c r="E17" s="4" t="n">
        <f aca="false">-E6*Assumptions!E18/100</f>
        <v>-170.455704828654</v>
      </c>
      <c r="F17" s="4" t="n">
        <f aca="false">-F6*Assumptions!F18/100</f>
        <v>-175.569375973514</v>
      </c>
      <c r="G17" s="4" t="n">
        <f aca="false">-G6*Assumptions!G18/100</f>
        <v>-180.836457252719</v>
      </c>
      <c r="H17" s="4" t="n">
        <f aca="false">-H6*Assumptions!H18/100</f>
        <v>-186.261550970301</v>
      </c>
      <c r="I17" s="4" t="n">
        <f aca="false">-I6*Assumptions!I18/100</f>
        <v>-190.918089744558</v>
      </c>
      <c r="J17" s="4" t="n">
        <f aca="false">-J6*Assumptions!J18/100</f>
        <v>-195.691041988172</v>
      </c>
      <c r="K17" s="4" t="n">
        <f aca="false">-K6*Assumptions!K18/100</f>
        <v>-200.583318037876</v>
      </c>
      <c r="L17" s="4" t="n">
        <f aca="false">-L6*Assumptions!L18/100</f>
        <v>-205.597900988823</v>
      </c>
    </row>
    <row r="18" customFormat="false" ht="15" hidden="false" customHeight="false" outlineLevel="0" collapsed="false">
      <c r="A18" s="0" t="s">
        <v>129</v>
      </c>
      <c r="C18" s="4" t="n">
        <f aca="false">(C6-B6)*Assumptions!$B$23/100</f>
        <v>-6.78413159999996</v>
      </c>
      <c r="D18" s="4" t="n">
        <f aca="false">(D6-C6)*Assumptions!$B$23/100</f>
        <v>-13.771787148</v>
      </c>
      <c r="E18" s="4" t="n">
        <f aca="false">(E6-D6)*Assumptions!$B$23/100</f>
        <v>-14.18494076244</v>
      </c>
      <c r="F18" s="4" t="n">
        <f aca="false">(F6-E6)*Assumptions!$B$23/100</f>
        <v>-14.6104889853132</v>
      </c>
      <c r="G18" s="4" t="n">
        <f aca="false">(G6-F6)*Assumptions!$B$23/100</f>
        <v>-15.0488036548726</v>
      </c>
      <c r="H18" s="4" t="n">
        <f aca="false">(H6-G6)*Assumptions!$B$23/100</f>
        <v>-15.5002677645188</v>
      </c>
      <c r="I18" s="4" t="n">
        <f aca="false">(I6-H6)*Assumptions!$B$23/100</f>
        <v>-13.3043964978786</v>
      </c>
      <c r="J18" s="4" t="n">
        <f aca="false">(J6-I6)*Assumptions!$B$23/100</f>
        <v>-13.6370064103256</v>
      </c>
      <c r="K18" s="4" t="n">
        <f aca="false">(K6-J6)*Assumptions!$B$23/100</f>
        <v>-13.9779315705837</v>
      </c>
      <c r="L18" s="4" t="n">
        <f aca="false">(L6-K6)*Assumptions!$B$23/100</f>
        <v>-14.3273798598482</v>
      </c>
    </row>
    <row r="19" customFormat="false" ht="15" hidden="false" customHeight="false" outlineLevel="0" collapsed="false">
      <c r="A19" s="0" t="s">
        <v>130</v>
      </c>
      <c r="C19" s="0" t="n">
        <f aca="false">C15+C16+C17+C18</f>
        <v>1537.951326834</v>
      </c>
      <c r="D19" s="0" t="n">
        <f aca="false">D15+D16+D17+D18</f>
        <v>1544.20753992666</v>
      </c>
      <c r="E19" s="0" t="n">
        <f aca="false">E15+E16+E17+E18</f>
        <v>1532.45707240784</v>
      </c>
      <c r="F19" s="0" t="n">
        <f aca="false">F15+F16+F17+F18</f>
        <v>1553.6629618981</v>
      </c>
      <c r="G19" s="0" t="n">
        <f aca="false">G15+G16+G17+G18</f>
        <v>1574.7619933926</v>
      </c>
      <c r="H19" s="0" t="n">
        <f aca="false">H15+H16+H17+H18</f>
        <v>1622.00485319438</v>
      </c>
      <c r="I19" s="0" t="n">
        <f aca="false">I15+I16+I17+I18</f>
        <v>1665.13835248499</v>
      </c>
      <c r="J19" s="0" t="n">
        <f aca="false">J15+J16+J17+J18</f>
        <v>1706.76681129712</v>
      </c>
      <c r="K19" s="0" t="n">
        <f aca="false">K15+K16+K17+K18</f>
        <v>1749.43598157955</v>
      </c>
      <c r="L19" s="0" t="n">
        <f aca="false">L15+L16+L17+L18</f>
        <v>1793.17188111904</v>
      </c>
    </row>
    <row r="20" customFormat="false" ht="15" hidden="false" customHeight="false" outlineLevel="0" collapsed="false">
      <c r="A20" s="0" t="s">
        <v>131</v>
      </c>
      <c r="C20" s="0" t="n">
        <f aca="false">1/(1+$B$27/100)^C4</f>
        <v>0.921658986175115</v>
      </c>
      <c r="D20" s="0" t="n">
        <f aca="false">1/(1+$B$27/100)^D4</f>
        <v>0.849455286797341</v>
      </c>
      <c r="E20" s="0" t="n">
        <f aca="false">1/(1+$B$27/100)^E4</f>
        <v>0.782908098430729</v>
      </c>
      <c r="F20" s="0" t="n">
        <f aca="false">1/(1+$B$27/100)^F4</f>
        <v>0.721574284267953</v>
      </c>
      <c r="G20" s="0" t="n">
        <f aca="false">1/(1+$B$27/100)^G4</f>
        <v>0.665045423288436</v>
      </c>
      <c r="H20" s="0" t="n">
        <f aca="false">1/(1+$B$27/100)^H4</f>
        <v>0.612945090588421</v>
      </c>
      <c r="I20" s="0" t="n">
        <f aca="false">1/(1+$B$27/100)^I4</f>
        <v>0.564926350772738</v>
      </c>
      <c r="J20" s="0" t="n">
        <f aca="false">1/(1+$B$27/100)^J4</f>
        <v>0.520669447716809</v>
      </c>
      <c r="K20" s="0" t="n">
        <f aca="false">1/(1+$B$27/100)^K4</f>
        <v>0.479879675315031</v>
      </c>
      <c r="L20" s="0" t="n">
        <f aca="false">1/(1+$B$27/100)^L4</f>
        <v>0.442285415036895</v>
      </c>
    </row>
    <row r="21" customFormat="false" ht="15" hidden="false" customHeight="false" outlineLevel="0" collapsed="false">
      <c r="A21" s="0" t="s">
        <v>132</v>
      </c>
      <c r="C21" s="0" t="n">
        <f aca="false">C19*C20</f>
        <v>1417.4666606765</v>
      </c>
      <c r="D21" s="0" t="n">
        <f aca="false">D19*D20</f>
        <v>1311.73525870302</v>
      </c>
      <c r="E21" s="0" t="n">
        <f aca="false">E19*E20</f>
        <v>1199.77305248554</v>
      </c>
      <c r="F21" s="0" t="n">
        <f aca="false">F19*F20</f>
        <v>1121.08323972525</v>
      </c>
      <c r="G21" s="0" t="n">
        <f aca="false">G19*G20</f>
        <v>1047.28825647433</v>
      </c>
      <c r="H21" s="0" t="n">
        <f aca="false">H19*H20</f>
        <v>994.199911676088</v>
      </c>
      <c r="I21" s="0" t="n">
        <f aca="false">I19*I20</f>
        <v>940.680533001076</v>
      </c>
      <c r="J21" s="0" t="n">
        <f aca="false">J19*J20</f>
        <v>888.66133301945</v>
      </c>
      <c r="K21" s="0" t="n">
        <f aca="false">K19*K20</f>
        <v>839.518770824826</v>
      </c>
      <c r="L21" s="0" t="n">
        <f aca="false">L19*L20</f>
        <v>793.093769673223</v>
      </c>
    </row>
    <row r="23" customFormat="false" ht="15" hidden="false" customHeight="false" outlineLevel="0" collapsed="false">
      <c r="A23" s="0" t="s">
        <v>108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133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134</v>
      </c>
    </row>
    <row r="27" customFormat="false" ht="15" hidden="false" customHeight="false" outlineLevel="0" collapsed="false">
      <c r="A27" s="0" t="s">
        <v>112</v>
      </c>
      <c r="B27" s="4" t="n">
        <f aca="false">Assumptions!$B$20</f>
        <v>8.5</v>
      </c>
    </row>
    <row r="28" customFormat="false" ht="15" hidden="false" customHeight="false" outlineLevel="0" collapsed="false">
      <c r="A28" s="0" t="s">
        <v>113</v>
      </c>
      <c r="B28" s="4" t="n">
        <f aca="false">Assumptions!$B$21</f>
        <v>2.5</v>
      </c>
    </row>
    <row r="29" customFormat="false" ht="15" hidden="false" customHeight="false" outlineLevel="0" collapsed="false">
      <c r="A29" s="0" t="s">
        <v>114</v>
      </c>
      <c r="B29" s="4" t="n">
        <f aca="false">Assumptions!$B$22</f>
        <v>15</v>
      </c>
    </row>
    <row r="30" customFormat="false" ht="15" hidden="false" customHeight="false" outlineLevel="0" collapsed="false">
      <c r="A30" s="0" t="s">
        <v>135</v>
      </c>
      <c r="B30" s="0" t="n">
        <f aca="false">SUM(C21:L21)</f>
        <v>10553.5007862593</v>
      </c>
    </row>
    <row r="31" customFormat="false" ht="15" hidden="false" customHeight="false" outlineLevel="0" collapsed="false">
      <c r="A31" s="0" t="s">
        <v>136</v>
      </c>
      <c r="B31" s="0" t="n">
        <f aca="false">L19</f>
        <v>1793.17188111904</v>
      </c>
    </row>
    <row r="32" customFormat="false" ht="15" hidden="false" customHeight="false" outlineLevel="0" collapsed="false">
      <c r="A32" s="0" t="s">
        <v>137</v>
      </c>
      <c r="B32" s="0" t="n">
        <f aca="false">IF(B27&gt;B28,B31*(1+B28/100)/((B27-B28)/100),B31*B29)</f>
        <v>30633.3529691169</v>
      </c>
    </row>
    <row r="33" customFormat="false" ht="15" hidden="false" customHeight="false" outlineLevel="0" collapsed="false">
      <c r="A33" s="0" t="s">
        <v>138</v>
      </c>
      <c r="B33" s="0" t="n">
        <f aca="false">B31*B29</f>
        <v>26897.5782167855</v>
      </c>
    </row>
    <row r="34" customFormat="false" ht="15" hidden="false" customHeight="false" outlineLevel="0" collapsed="false">
      <c r="A34" s="0" t="s">
        <v>139</v>
      </c>
      <c r="B34" s="0" t="n">
        <f aca="false">MAX(0,MIN(B32,B33))</f>
        <v>26897.5782167855</v>
      </c>
    </row>
    <row r="35" customFormat="false" ht="15" hidden="false" customHeight="false" outlineLevel="0" collapsed="false">
      <c r="A35" s="0" t="s">
        <v>140</v>
      </c>
      <c r="B35" s="0" t="n">
        <f aca="false">B34/(1+B27/100)^L4</f>
        <v>11896.4065450983</v>
      </c>
    </row>
    <row r="36" customFormat="false" ht="15" hidden="false" customHeight="false" outlineLevel="0" collapsed="false">
      <c r="A36" s="0" t="s">
        <v>141</v>
      </c>
      <c r="B36" s="0" t="n">
        <f aca="false">B30+B35</f>
        <v>22449.9073313576</v>
      </c>
    </row>
    <row r="37" customFormat="false" ht="15" hidden="false" customHeight="false" outlineLevel="0" collapsed="false">
      <c r="A37" s="0" t="s">
        <v>142</v>
      </c>
      <c r="B37" s="0" t="n">
        <f aca="false">B36+Assumptions!$B$5-Assumptions!$B$4</f>
        <v>24009.7263313576</v>
      </c>
    </row>
    <row r="38" customFormat="false" ht="15" hidden="false" customHeight="false" outlineLevel="0" collapsed="false">
      <c r="A38" s="0" t="s">
        <v>143</v>
      </c>
      <c r="B38" s="0" t="n">
        <f aca="false">B37/Assumptions!$B$3*Assumptions!$B$10</f>
        <v>164.389378800701</v>
      </c>
    </row>
    <row r="39" customFormat="false" ht="15" hidden="false" customHeight="false" outlineLevel="0" collapsed="false">
      <c r="A39" s="0" t="s">
        <v>144</v>
      </c>
      <c r="B39" s="4" t="n">
        <f aca="false">B38/Assumptions!$B$2-1</f>
        <v>-0.256661185617448</v>
      </c>
    </row>
    <row r="41" customFormat="false" ht="15" hidden="false" customHeight="false" outlineLevel="0" collapsed="false">
      <c r="A41" s="0" t="s">
        <v>145</v>
      </c>
      <c r="B41" s="0" t="n">
        <f aca="false">SUMPRODUCT(-C10:L10/(1+$B$27/100)^C4:L4)</f>
        <v>927.27233807244</v>
      </c>
    </row>
    <row r="42" customFormat="false" ht="15" hidden="false" customHeight="false" outlineLevel="0" collapsed="false">
      <c r="A42" s="0" t="s">
        <v>146</v>
      </c>
      <c r="B42" s="0" t="n">
        <f aca="false">IF(B27&gt;B28,-L10*(1+B28/100)/((B27-B28)/100),-L10*20)/(1+B27/100)^L4</f>
        <v>1220.55838658541</v>
      </c>
    </row>
    <row r="43" customFormat="false" ht="15" hidden="false" customHeight="false" outlineLevel="0" collapsed="false">
      <c r="A43" s="0" t="s">
        <v>147</v>
      </c>
      <c r="B43" s="0" t="n">
        <f aca="false">(B37+B41+B42)/Assumptions!$B$3*Assumptions!$B$10</f>
        <v>179.095109041967</v>
      </c>
    </row>
    <row r="45" customFormat="false" ht="15" hidden="false" customHeight="false" outlineLevel="0" collapsed="false">
      <c r="A45" s="0" t="s">
        <v>88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148</v>
      </c>
      <c r="B46" s="0" t="n">
        <f aca="false">MAX(0,MIN(IF(B45&gt;B28,B31*(1+B28/100)/((B45-B28)/100),B31*B29),B31*B29))</f>
        <v>14704.0094251761</v>
      </c>
    </row>
    <row r="47" customFormat="false" ht="15" hidden="false" customHeight="false" outlineLevel="0" collapsed="false">
      <c r="A47" s="0" t="s">
        <v>149</v>
      </c>
      <c r="B47" s="0" t="n">
        <f aca="false">(SUMPRODUCT(C19:L19/(1+B45/100)^C4:L4)+B46/(1+B45/100)^L4+Assumptions!$B$5-Assumptions!$B$4)/Assumptions!$B$3*Assumptions!$B$10</f>
        <v>90.4048676900621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150</v>
      </c>
    </row>
    <row r="3" customFormat="false" ht="15" hidden="false" customHeight="false" outlineLevel="0" collapsed="false">
      <c r="A3" s="0" t="s">
        <v>120</v>
      </c>
      <c r="B3" s="0" t="s">
        <v>81</v>
      </c>
      <c r="C3" s="2" t="s">
        <v>95</v>
      </c>
      <c r="D3" s="2" t="s">
        <v>96</v>
      </c>
      <c r="E3" s="2" t="s">
        <v>97</v>
      </c>
      <c r="F3" s="2" t="s">
        <v>98</v>
      </c>
      <c r="G3" s="2" t="s">
        <v>99</v>
      </c>
      <c r="H3" s="2" t="s">
        <v>100</v>
      </c>
      <c r="I3" s="2" t="s">
        <v>101</v>
      </c>
      <c r="J3" s="2" t="s">
        <v>102</v>
      </c>
      <c r="K3" s="2" t="s">
        <v>103</v>
      </c>
      <c r="L3" s="2" t="s">
        <v>104</v>
      </c>
    </row>
    <row r="4" customFormat="false" ht="15" hidden="false" customHeight="false" outlineLevel="0" collapsed="false">
      <c r="A4" s="0" t="s">
        <v>121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105</v>
      </c>
      <c r="C5" s="4" t="n">
        <f aca="false">Assumptions!C27</f>
        <v>2.6</v>
      </c>
      <c r="D5" s="4" t="n">
        <f aca="false">Assumptions!D27</f>
        <v>7</v>
      </c>
      <c r="E5" s="4" t="n">
        <f aca="false">Assumptions!E27</f>
        <v>7</v>
      </c>
      <c r="F5" s="4" t="n">
        <f aca="false">Assumptions!F27</f>
        <v>6.5</v>
      </c>
      <c r="G5" s="4" t="n">
        <f aca="false">Assumptions!G27</f>
        <v>6</v>
      </c>
      <c r="H5" s="4" t="n">
        <f aca="false">Assumptions!H27</f>
        <v>5.5</v>
      </c>
      <c r="I5" s="4" t="n">
        <f aca="false">Assumptions!I27</f>
        <v>5</v>
      </c>
      <c r="J5" s="4" t="n">
        <f aca="false">Assumptions!J27</f>
        <v>4.5</v>
      </c>
      <c r="K5" s="4" t="n">
        <f aca="false">Assumptions!K27</f>
        <v>4</v>
      </c>
      <c r="L5" s="4" t="n">
        <f aca="false">Assumptions!L27</f>
        <v>3.5</v>
      </c>
    </row>
    <row r="6" customFormat="false" ht="15" hidden="false" customHeight="false" outlineLevel="0" collapsed="false">
      <c r="A6" s="0" t="s">
        <v>37</v>
      </c>
      <c r="B6" s="3" t="n">
        <v>5653.443</v>
      </c>
      <c r="C6" s="0" t="n">
        <f aca="false">B6*(1+C5/100)</f>
        <v>5800.432518</v>
      </c>
      <c r="D6" s="0" t="n">
        <f aca="false">C6*(1+D5/100)</f>
        <v>6206.46279426</v>
      </c>
      <c r="E6" s="0" t="n">
        <f aca="false">D6*(1+E5/100)</f>
        <v>6640.9151898582</v>
      </c>
      <c r="F6" s="0" t="n">
        <f aca="false">E6*(1+F5/100)</f>
        <v>7072.57467719898</v>
      </c>
      <c r="G6" s="0" t="n">
        <f aca="false">F6*(1+G5/100)</f>
        <v>7496.92915783092</v>
      </c>
      <c r="H6" s="0" t="n">
        <f aca="false">G6*(1+H5/100)</f>
        <v>7909.26026151162</v>
      </c>
      <c r="I6" s="0" t="n">
        <f aca="false">H6*(1+I5/100)</f>
        <v>8304.72327458721</v>
      </c>
      <c r="J6" s="0" t="n">
        <f aca="false">I6*(1+J5/100)</f>
        <v>8678.43582194363</v>
      </c>
      <c r="K6" s="0" t="n">
        <f aca="false">J6*(1+K5/100)</f>
        <v>9025.57325482138</v>
      </c>
      <c r="L6" s="0" t="n">
        <f aca="false">K6*(1+L5/100)</f>
        <v>9341.46831874012</v>
      </c>
    </row>
    <row r="7" customFormat="false" ht="15" hidden="false" customHeight="false" outlineLevel="0" collapsed="false">
      <c r="A7" s="0" t="s">
        <v>106</v>
      </c>
      <c r="C7" s="4" t="n">
        <f aca="false">Assumptions!C28</f>
        <v>39.2</v>
      </c>
      <c r="D7" s="4" t="n">
        <f aca="false">Assumptions!D28</f>
        <v>39.6</v>
      </c>
      <c r="E7" s="4" t="n">
        <f aca="false">Assumptions!E28</f>
        <v>40</v>
      </c>
      <c r="F7" s="4" t="n">
        <f aca="false">Assumptions!F28</f>
        <v>40.3</v>
      </c>
      <c r="G7" s="4" t="n">
        <f aca="false">Assumptions!G28</f>
        <v>40.5</v>
      </c>
      <c r="H7" s="4" t="n">
        <f aca="false">Assumptions!H28</f>
        <v>40.5</v>
      </c>
      <c r="I7" s="4" t="n">
        <f aca="false">Assumptions!I28</f>
        <v>40.5</v>
      </c>
      <c r="J7" s="4" t="n">
        <f aca="false">Assumptions!J28</f>
        <v>40.5</v>
      </c>
      <c r="K7" s="4" t="n">
        <f aca="false">Assumptions!K28</f>
        <v>40.5</v>
      </c>
      <c r="L7" s="4" t="n">
        <f aca="false">Assumptions!L28</f>
        <v>40.5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2273.769547056</v>
      </c>
      <c r="D8" s="0" t="n">
        <f aca="false">D6*D7/100</f>
        <v>2457.75926652696</v>
      </c>
      <c r="E8" s="0" t="n">
        <f aca="false">E6*E7/100</f>
        <v>2656.36607594328</v>
      </c>
      <c r="F8" s="0" t="n">
        <f aca="false">F6*F7/100</f>
        <v>2850.24759491119</v>
      </c>
      <c r="G8" s="0" t="n">
        <f aca="false">G6*G7/100</f>
        <v>3036.25630892152</v>
      </c>
      <c r="H8" s="0" t="n">
        <f aca="false">H6*H7/100</f>
        <v>3203.25040591221</v>
      </c>
      <c r="I8" s="0" t="n">
        <f aca="false">I6*I7/100</f>
        <v>3363.41292620782</v>
      </c>
      <c r="J8" s="0" t="n">
        <f aca="false">J6*J7/100</f>
        <v>3514.76650788717</v>
      </c>
      <c r="K8" s="0" t="n">
        <f aca="false">K6*K7/100</f>
        <v>3655.35716820266</v>
      </c>
      <c r="L8" s="0" t="n">
        <f aca="false">L6*L7/100</f>
        <v>3783.29466908975</v>
      </c>
    </row>
    <row r="9" customFormat="false" ht="15" hidden="false" customHeight="false" outlineLevel="0" collapsed="false">
      <c r="A9" s="0" t="s">
        <v>107</v>
      </c>
      <c r="C9" s="4" t="n">
        <f aca="false">Assumptions!C29</f>
        <v>2.2</v>
      </c>
      <c r="D9" s="4" t="n">
        <f aca="false">Assumptions!D29</f>
        <v>2.2</v>
      </c>
      <c r="E9" s="4" t="n">
        <f aca="false">Assumptions!E29</f>
        <v>2.1</v>
      </c>
      <c r="F9" s="4" t="n">
        <f aca="false">Assumptions!F29</f>
        <v>2.1</v>
      </c>
      <c r="G9" s="4" t="n">
        <f aca="false">Assumptions!G29</f>
        <v>2</v>
      </c>
      <c r="H9" s="4" t="n">
        <f aca="false">Assumptions!H29</f>
        <v>2</v>
      </c>
      <c r="I9" s="4" t="n">
        <f aca="false">Assumptions!I29</f>
        <v>2</v>
      </c>
      <c r="J9" s="4" t="n">
        <f aca="false">Assumptions!J29</f>
        <v>2</v>
      </c>
      <c r="K9" s="4" t="n">
        <f aca="false">Assumptions!K29</f>
        <v>2</v>
      </c>
      <c r="L9" s="4" t="n">
        <f aca="false">Assumptions!L29</f>
        <v>2</v>
      </c>
    </row>
    <row r="10" customFormat="false" ht="15" hidden="false" customHeight="false" outlineLevel="0" collapsed="false">
      <c r="A10" s="0" t="s">
        <v>122</v>
      </c>
      <c r="C10" s="0" t="n">
        <f aca="false">-C6*C9/100</f>
        <v>-127.609515396</v>
      </c>
      <c r="D10" s="0" t="n">
        <f aca="false">-D6*D9/100</f>
        <v>-136.54218147372</v>
      </c>
      <c r="E10" s="0" t="n">
        <f aca="false">-E6*E9/100</f>
        <v>-139.459218987022</v>
      </c>
      <c r="F10" s="0" t="n">
        <f aca="false">-F6*F9/100</f>
        <v>-148.524068221179</v>
      </c>
      <c r="G10" s="0" t="n">
        <f aca="false">-G6*G9/100</f>
        <v>-149.938583156618</v>
      </c>
      <c r="H10" s="0" t="n">
        <f aca="false">-H6*H9/100</f>
        <v>-158.185205230232</v>
      </c>
      <c r="I10" s="0" t="n">
        <f aca="false">-I6*I9/100</f>
        <v>-166.094465491744</v>
      </c>
      <c r="J10" s="0" t="n">
        <f aca="false">-J6*J9/100</f>
        <v>-173.568716438873</v>
      </c>
      <c r="K10" s="0" t="n">
        <f aca="false">-K6*K9/100</f>
        <v>-180.511465096428</v>
      </c>
      <c r="L10" s="0" t="n">
        <f aca="false">-L6*L9/100</f>
        <v>-186.829366374802</v>
      </c>
    </row>
    <row r="11" customFormat="false" ht="15" hidden="false" customHeight="false" outlineLevel="0" collapsed="false">
      <c r="A11" s="0" t="s">
        <v>123</v>
      </c>
      <c r="C11" s="0" t="n">
        <f aca="false">C8+C10+C24</f>
        <v>2146.16003166</v>
      </c>
      <c r="D11" s="0" t="n">
        <f aca="false">D8+D10+D24</f>
        <v>2321.21708505324</v>
      </c>
      <c r="E11" s="0" t="n">
        <f aca="false">E8+E10+E24</f>
        <v>2516.90685695626</v>
      </c>
      <c r="F11" s="0" t="n">
        <f aca="false">F8+F10+F24</f>
        <v>2701.72352669001</v>
      </c>
      <c r="G11" s="0" t="n">
        <f aca="false">G8+G10+G24</f>
        <v>2886.31772576491</v>
      </c>
      <c r="H11" s="0" t="n">
        <f aca="false">H8+H10+H24</f>
        <v>3045.06520068198</v>
      </c>
      <c r="I11" s="0" t="n">
        <f aca="false">I8+I10+I24</f>
        <v>3197.31846071607</v>
      </c>
      <c r="J11" s="0" t="n">
        <f aca="false">J8+J10+J24</f>
        <v>3341.1977914483</v>
      </c>
      <c r="K11" s="0" t="n">
        <f aca="false">K8+K10+K24</f>
        <v>3474.84570310623</v>
      </c>
      <c r="L11" s="0" t="n">
        <f aca="false">L8+L10+L24</f>
        <v>3596.46530271495</v>
      </c>
    </row>
    <row r="12" customFormat="false" ht="15" hidden="false" customHeight="false" outlineLevel="0" collapsed="false">
      <c r="A12" s="0" t="s">
        <v>124</v>
      </c>
      <c r="C12" s="4" t="n">
        <f aca="false">-C6*Assumptions!C31/100</f>
        <v>-197.214705612</v>
      </c>
      <c r="D12" s="4" t="n">
        <f aca="false">-D6*Assumptions!D31/100</f>
        <v>-204.81327221058</v>
      </c>
      <c r="E12" s="4" t="n">
        <f aca="false">-E6*Assumptions!E31/100</f>
        <v>-212.509286075462</v>
      </c>
      <c r="F12" s="4" t="n">
        <f aca="false">-F6*Assumptions!F31/100</f>
        <v>-219.249814993169</v>
      </c>
      <c r="G12" s="4" t="n">
        <f aca="false">-G6*Assumptions!G31/100</f>
        <v>-224.907874734928</v>
      </c>
      <c r="H12" s="4" t="n">
        <f aca="false">-H6*Assumptions!H31/100</f>
        <v>-237.277807845349</v>
      </c>
      <c r="I12" s="4" t="n">
        <f aca="false">-I6*Assumptions!I31/100</f>
        <v>-249.141698237616</v>
      </c>
      <c r="J12" s="4" t="n">
        <f aca="false">-J6*Assumptions!J31/100</f>
        <v>-260.353074658309</v>
      </c>
      <c r="K12" s="4" t="n">
        <f aca="false">-K6*Assumptions!K31/100</f>
        <v>-270.767197644641</v>
      </c>
      <c r="L12" s="4" t="n">
        <f aca="false">-L6*Assumptions!L31/100</f>
        <v>-280.244049562204</v>
      </c>
    </row>
    <row r="13" customFormat="false" ht="15" hidden="false" customHeight="false" outlineLevel="0" collapsed="false">
      <c r="A13" s="0" t="s">
        <v>125</v>
      </c>
      <c r="C13" s="0" t="n">
        <f aca="false">C11+C12</f>
        <v>1948.945326048</v>
      </c>
      <c r="D13" s="0" t="n">
        <f aca="false">D11+D12</f>
        <v>2116.40381284266</v>
      </c>
      <c r="E13" s="0" t="n">
        <f aca="false">E11+E12</f>
        <v>2304.3975708808</v>
      </c>
      <c r="F13" s="0" t="n">
        <f aca="false">F11+F12</f>
        <v>2482.47371169684</v>
      </c>
      <c r="G13" s="0" t="n">
        <f aca="false">G11+G12</f>
        <v>2661.40985102998</v>
      </c>
      <c r="H13" s="0" t="n">
        <f aca="false">H11+H12</f>
        <v>2807.78739283663</v>
      </c>
      <c r="I13" s="0" t="n">
        <f aca="false">I11+I12</f>
        <v>2948.17676247846</v>
      </c>
      <c r="J13" s="0" t="n">
        <f aca="false">J11+J12</f>
        <v>3080.84471678999</v>
      </c>
      <c r="K13" s="0" t="n">
        <f aca="false">K11+K12</f>
        <v>3204.07850546159</v>
      </c>
      <c r="L13" s="0" t="n">
        <f aca="false">L11+L12</f>
        <v>3316.22125315274</v>
      </c>
    </row>
    <row r="14" customFormat="false" ht="15" hidden="false" customHeight="false" outlineLevel="0" collapsed="false">
      <c r="A14" s="0" t="s">
        <v>111</v>
      </c>
      <c r="C14" s="4" t="n">
        <f aca="false">Assumptions!C33</f>
        <v>20</v>
      </c>
      <c r="D14" s="4" t="n">
        <f aca="false">Assumptions!D33</f>
        <v>20</v>
      </c>
      <c r="E14" s="4" t="n">
        <f aca="false">Assumptions!E33</f>
        <v>20</v>
      </c>
      <c r="F14" s="4" t="n">
        <f aca="false">Assumptions!F33</f>
        <v>20</v>
      </c>
      <c r="G14" s="4" t="n">
        <f aca="false">Assumptions!G33</f>
        <v>20</v>
      </c>
      <c r="H14" s="4" t="n">
        <f aca="false">Assumptions!H33</f>
        <v>20</v>
      </c>
      <c r="I14" s="4" t="n">
        <f aca="false">Assumptions!I33</f>
        <v>20</v>
      </c>
      <c r="J14" s="4" t="n">
        <f aca="false">Assumptions!J33</f>
        <v>20</v>
      </c>
      <c r="K14" s="4" t="n">
        <f aca="false">Assumptions!K33</f>
        <v>20</v>
      </c>
      <c r="L14" s="4" t="n">
        <f aca="false">Assumptions!L33</f>
        <v>20</v>
      </c>
    </row>
    <row r="15" customFormat="false" ht="15" hidden="false" customHeight="false" outlineLevel="0" collapsed="false">
      <c r="A15" s="0" t="s">
        <v>126</v>
      </c>
      <c r="C15" s="0" t="n">
        <f aca="false">C13-MAX(0,C13)*C14/100</f>
        <v>1559.1562608384</v>
      </c>
      <c r="D15" s="0" t="n">
        <f aca="false">D13-MAX(0,D13)*D14/100</f>
        <v>1693.12305027413</v>
      </c>
      <c r="E15" s="0" t="n">
        <f aca="false">E13-MAX(0,E13)*E14/100</f>
        <v>1843.51805670464</v>
      </c>
      <c r="F15" s="0" t="n">
        <f aca="false">F13-MAX(0,F13)*F14/100</f>
        <v>1985.97896935747</v>
      </c>
      <c r="G15" s="0" t="n">
        <f aca="false">G13-MAX(0,G13)*G14/100</f>
        <v>2129.12788082398</v>
      </c>
      <c r="H15" s="0" t="n">
        <f aca="false">H13-MAX(0,H13)*H14/100</f>
        <v>2246.2299142693</v>
      </c>
      <c r="I15" s="0" t="n">
        <f aca="false">I13-MAX(0,I13)*I14/100</f>
        <v>2358.54140998277</v>
      </c>
      <c r="J15" s="0" t="n">
        <f aca="false">J13-MAX(0,J13)*J14/100</f>
        <v>2464.67577343199</v>
      </c>
      <c r="K15" s="0" t="n">
        <f aca="false">K13-MAX(0,K13)*K14/100</f>
        <v>2563.26280436927</v>
      </c>
      <c r="L15" s="0" t="n">
        <f aca="false">L13-MAX(0,L13)*L14/100</f>
        <v>2652.9770025222</v>
      </c>
    </row>
    <row r="16" customFormat="false" ht="15" hidden="false" customHeight="false" outlineLevel="0" collapsed="false">
      <c r="A16" s="0" t="s">
        <v>127</v>
      </c>
      <c r="C16" s="0" t="n">
        <f aca="false">-C12</f>
        <v>197.214705612</v>
      </c>
      <c r="D16" s="0" t="n">
        <f aca="false">-D12</f>
        <v>204.81327221058</v>
      </c>
      <c r="E16" s="0" t="n">
        <f aca="false">-E12</f>
        <v>212.509286075462</v>
      </c>
      <c r="F16" s="0" t="n">
        <f aca="false">-F12</f>
        <v>219.249814993169</v>
      </c>
      <c r="G16" s="0" t="n">
        <f aca="false">-G12</f>
        <v>224.907874734928</v>
      </c>
      <c r="H16" s="0" t="n">
        <f aca="false">-H12</f>
        <v>237.277807845349</v>
      </c>
      <c r="I16" s="0" t="n">
        <f aca="false">-I12</f>
        <v>249.141698237616</v>
      </c>
      <c r="J16" s="0" t="n">
        <f aca="false">-J12</f>
        <v>260.353074658309</v>
      </c>
      <c r="K16" s="0" t="n">
        <f aca="false">-K12</f>
        <v>270.767197644641</v>
      </c>
      <c r="L16" s="0" t="n">
        <f aca="false">-L12</f>
        <v>280.244049562204</v>
      </c>
    </row>
    <row r="17" customFormat="false" ht="15" hidden="false" customHeight="false" outlineLevel="0" collapsed="false">
      <c r="A17" s="0" t="s">
        <v>128</v>
      </c>
      <c r="C17" s="4" t="n">
        <f aca="false">-C6*Assumptions!C32/100</f>
        <v>-150.811245468</v>
      </c>
      <c r="D17" s="4" t="n">
        <f aca="false">-D6*Assumptions!D32/100</f>
        <v>-161.36803265076</v>
      </c>
      <c r="E17" s="4" t="n">
        <f aca="false">-E6*Assumptions!E32/100</f>
        <v>-172.663794936313</v>
      </c>
      <c r="F17" s="4" t="n">
        <f aca="false">-F6*Assumptions!F32/100</f>
        <v>-183.886941607174</v>
      </c>
      <c r="G17" s="4" t="n">
        <f aca="false">-G6*Assumptions!G32/100</f>
        <v>-194.920158103604</v>
      </c>
      <c r="H17" s="4" t="n">
        <f aca="false">-H6*Assumptions!H32/100</f>
        <v>-205.640766799302</v>
      </c>
      <c r="I17" s="4" t="n">
        <f aca="false">-I6*Assumptions!I32/100</f>
        <v>-215.922805139267</v>
      </c>
      <c r="J17" s="4" t="n">
        <f aca="false">-J6*Assumptions!J32/100</f>
        <v>-225.639331370534</v>
      </c>
      <c r="K17" s="4" t="n">
        <f aca="false">-K6*Assumptions!K32/100</f>
        <v>-234.664904625356</v>
      </c>
      <c r="L17" s="4" t="n">
        <f aca="false">-L6*Assumptions!L32/100</f>
        <v>-242.878176287243</v>
      </c>
    </row>
    <row r="18" customFormat="false" ht="15" hidden="false" customHeight="false" outlineLevel="0" collapsed="false">
      <c r="A18" s="0" t="s">
        <v>129</v>
      </c>
      <c r="C18" s="4" t="n">
        <f aca="false">(C6-B6)*Assumptions!$B$37/100</f>
        <v>-11.75916144</v>
      </c>
      <c r="D18" s="4" t="n">
        <f aca="false">(D6-C6)*Assumptions!$B$37/100</f>
        <v>-32.4824221008</v>
      </c>
      <c r="E18" s="4" t="n">
        <f aca="false">(E6-D6)*Assumptions!$B$37/100</f>
        <v>-34.756191647856</v>
      </c>
      <c r="F18" s="4" t="n">
        <f aca="false">(F6-E6)*Assumptions!$B$37/100</f>
        <v>-34.5327589872626</v>
      </c>
      <c r="G18" s="4" t="n">
        <f aca="false">(G6-F6)*Assumptions!$B$37/100</f>
        <v>-33.9483584505552</v>
      </c>
      <c r="H18" s="4" t="n">
        <f aca="false">(H6-G6)*Assumptions!$B$37/100</f>
        <v>-32.986488294456</v>
      </c>
      <c r="I18" s="4" t="n">
        <f aca="false">(I6-H6)*Assumptions!$B$37/100</f>
        <v>-31.6370410460466</v>
      </c>
      <c r="J18" s="4" t="n">
        <f aca="false">(J6-I6)*Assumptions!$B$37/100</f>
        <v>-29.8970037885138</v>
      </c>
      <c r="K18" s="4" t="n">
        <f aca="false">(K6-J6)*Assumptions!$B$37/100</f>
        <v>-27.7709946302196</v>
      </c>
      <c r="L18" s="4" t="n">
        <f aca="false">(L6-K6)*Assumptions!$B$37/100</f>
        <v>-25.2716051134998</v>
      </c>
    </row>
    <row r="19" customFormat="false" ht="15" hidden="false" customHeight="false" outlineLevel="0" collapsed="false">
      <c r="A19" s="0" t="s">
        <v>130</v>
      </c>
      <c r="C19" s="0" t="n">
        <f aca="false">C15+C16+C17+C18</f>
        <v>1593.8005595424</v>
      </c>
      <c r="D19" s="0" t="n">
        <f aca="false">D15+D16+D17+D18</f>
        <v>1704.08586773315</v>
      </c>
      <c r="E19" s="0" t="n">
        <f aca="false">E15+E16+E17+E18</f>
        <v>1848.60735619593</v>
      </c>
      <c r="F19" s="0" t="n">
        <f aca="false">F15+F16+F17+F18</f>
        <v>1986.80908375621</v>
      </c>
      <c r="G19" s="0" t="n">
        <f aca="false">G15+G16+G17+G18</f>
        <v>2125.16723900475</v>
      </c>
      <c r="H19" s="0" t="n">
        <f aca="false">H15+H16+H17+H18</f>
        <v>2244.88046702089</v>
      </c>
      <c r="I19" s="0" t="n">
        <f aca="false">I15+I16+I17+I18</f>
        <v>2360.12326203507</v>
      </c>
      <c r="J19" s="0" t="n">
        <f aca="false">J15+J16+J17+J18</f>
        <v>2469.49251293125</v>
      </c>
      <c r="K19" s="0" t="n">
        <f aca="false">K15+K16+K17+K18</f>
        <v>2571.59410275834</v>
      </c>
      <c r="L19" s="0" t="n">
        <f aca="false">L15+L16+L17+L18</f>
        <v>2665.07127068366</v>
      </c>
    </row>
    <row r="20" customFormat="false" ht="15" hidden="false" customHeight="false" outlineLevel="0" collapsed="false">
      <c r="A20" s="0" t="s">
        <v>131</v>
      </c>
      <c r="C20" s="0" t="n">
        <f aca="false">1/(1+$B$27/100)^C4</f>
        <v>0.921658986175115</v>
      </c>
      <c r="D20" s="0" t="n">
        <f aca="false">1/(1+$B$27/100)^D4</f>
        <v>0.849455286797341</v>
      </c>
      <c r="E20" s="0" t="n">
        <f aca="false">1/(1+$B$27/100)^E4</f>
        <v>0.782908098430729</v>
      </c>
      <c r="F20" s="0" t="n">
        <f aca="false">1/(1+$B$27/100)^F4</f>
        <v>0.721574284267953</v>
      </c>
      <c r="G20" s="0" t="n">
        <f aca="false">1/(1+$B$27/100)^G4</f>
        <v>0.665045423288436</v>
      </c>
      <c r="H20" s="0" t="n">
        <f aca="false">1/(1+$B$27/100)^H4</f>
        <v>0.612945090588421</v>
      </c>
      <c r="I20" s="0" t="n">
        <f aca="false">1/(1+$B$27/100)^I4</f>
        <v>0.564926350772738</v>
      </c>
      <c r="J20" s="0" t="n">
        <f aca="false">1/(1+$B$27/100)^J4</f>
        <v>0.520669447716809</v>
      </c>
      <c r="K20" s="0" t="n">
        <f aca="false">1/(1+$B$27/100)^K4</f>
        <v>0.479879675315031</v>
      </c>
      <c r="L20" s="0" t="n">
        <f aca="false">1/(1+$B$27/100)^L4</f>
        <v>0.442285415036895</v>
      </c>
    </row>
    <row r="21" customFormat="false" ht="15" hidden="false" customHeight="false" outlineLevel="0" collapsed="false">
      <c r="A21" s="0" t="s">
        <v>132</v>
      </c>
      <c r="C21" s="0" t="n">
        <f aca="false">C19*C20</f>
        <v>1468.94060787318</v>
      </c>
      <c r="D21" s="0" t="n">
        <f aca="false">D19*D20</f>
        <v>1447.54474950256</v>
      </c>
      <c r="E21" s="0" t="n">
        <f aca="false">E19*E20</f>
        <v>1447.28966998441</v>
      </c>
      <c r="F21" s="0" t="n">
        <f aca="false">F19*F20</f>
        <v>1433.63034258845</v>
      </c>
      <c r="G21" s="0" t="n">
        <f aca="false">G19*G20</f>
        <v>1413.33274602263</v>
      </c>
      <c r="H21" s="0" t="n">
        <f aca="false">H19*H20</f>
        <v>1375.9884612183</v>
      </c>
      <c r="I21" s="0" t="n">
        <f aca="false">I19*I20</f>
        <v>1333.29582179532</v>
      </c>
      <c r="J21" s="0" t="n">
        <f aca="false">J19*J20</f>
        <v>1285.78930284871</v>
      </c>
      <c r="K21" s="0" t="n">
        <f aca="false">K19*K20</f>
        <v>1234.05574307372</v>
      </c>
      <c r="L21" s="0" t="n">
        <f aca="false">L19*L20</f>
        <v>1178.72215305723</v>
      </c>
    </row>
    <row r="23" customFormat="false" ht="15" hidden="false" customHeight="false" outlineLevel="0" collapsed="false">
      <c r="A23" s="0" t="s">
        <v>108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133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134</v>
      </c>
    </row>
    <row r="27" customFormat="false" ht="15" hidden="false" customHeight="false" outlineLevel="0" collapsed="false">
      <c r="A27" s="0" t="s">
        <v>112</v>
      </c>
      <c r="B27" s="4" t="n">
        <f aca="false">Assumptions!$B$34</f>
        <v>8.5</v>
      </c>
    </row>
    <row r="28" customFormat="false" ht="15" hidden="false" customHeight="false" outlineLevel="0" collapsed="false">
      <c r="A28" s="0" t="s">
        <v>113</v>
      </c>
      <c r="B28" s="4" t="n">
        <f aca="false">Assumptions!$B$35</f>
        <v>3</v>
      </c>
    </row>
    <row r="29" customFormat="false" ht="15" hidden="false" customHeight="false" outlineLevel="0" collapsed="false">
      <c r="A29" s="0" t="s">
        <v>114</v>
      </c>
      <c r="B29" s="4" t="n">
        <f aca="false">Assumptions!$B$36</f>
        <v>20</v>
      </c>
    </row>
    <row r="30" customFormat="false" ht="15" hidden="false" customHeight="false" outlineLevel="0" collapsed="false">
      <c r="A30" s="0" t="s">
        <v>135</v>
      </c>
      <c r="B30" s="0" t="n">
        <f aca="false">SUM(C21:L21)</f>
        <v>13618.5895979645</v>
      </c>
    </row>
    <row r="31" customFormat="false" ht="15" hidden="false" customHeight="false" outlineLevel="0" collapsed="false">
      <c r="A31" s="0" t="s">
        <v>136</v>
      </c>
      <c r="B31" s="0" t="n">
        <f aca="false">L19</f>
        <v>2665.07127068366</v>
      </c>
    </row>
    <row r="32" customFormat="false" ht="15" hidden="false" customHeight="false" outlineLevel="0" collapsed="false">
      <c r="A32" s="0" t="s">
        <v>137</v>
      </c>
      <c r="B32" s="0" t="n">
        <f aca="false">IF(B27&gt;B28,B31*(1+B28/100)/((B27-B28)/100),B31*B29)</f>
        <v>49909.5165237121</v>
      </c>
    </row>
    <row r="33" customFormat="false" ht="15" hidden="false" customHeight="false" outlineLevel="0" collapsed="false">
      <c r="A33" s="0" t="s">
        <v>138</v>
      </c>
      <c r="B33" s="0" t="n">
        <f aca="false">B31*B29</f>
        <v>53301.4254136731</v>
      </c>
    </row>
    <row r="34" customFormat="false" ht="15" hidden="false" customHeight="false" outlineLevel="0" collapsed="false">
      <c r="A34" s="0" t="s">
        <v>139</v>
      </c>
      <c r="B34" s="0" t="n">
        <f aca="false">MAX(0,MIN(B32,B33))</f>
        <v>49909.5165237121</v>
      </c>
    </row>
    <row r="35" customFormat="false" ht="15" hidden="false" customHeight="false" outlineLevel="0" collapsed="false">
      <c r="A35" s="0" t="s">
        <v>140</v>
      </c>
      <c r="B35" s="0" t="n">
        <f aca="false">B34/(1+B27/100)^L4</f>
        <v>22074.2512299808</v>
      </c>
    </row>
    <row r="36" customFormat="false" ht="15" hidden="false" customHeight="false" outlineLevel="0" collapsed="false">
      <c r="A36" s="0" t="s">
        <v>141</v>
      </c>
      <c r="B36" s="0" t="n">
        <f aca="false">B30+B35</f>
        <v>35692.8408279453</v>
      </c>
    </row>
    <row r="37" customFormat="false" ht="15" hidden="false" customHeight="false" outlineLevel="0" collapsed="false">
      <c r="A37" s="0" t="s">
        <v>142</v>
      </c>
      <c r="B37" s="0" t="n">
        <f aca="false">B36+Assumptions!$B$5-Assumptions!$B$4</f>
        <v>37252.6598279453</v>
      </c>
    </row>
    <row r="38" customFormat="false" ht="15" hidden="false" customHeight="false" outlineLevel="0" collapsed="false">
      <c r="A38" s="0" t="s">
        <v>143</v>
      </c>
      <c r="B38" s="0" t="n">
        <f aca="false">B37/Assumptions!$B$3*Assumptions!$B$10</f>
        <v>255.060866720154</v>
      </c>
    </row>
    <row r="39" customFormat="false" ht="15" hidden="false" customHeight="false" outlineLevel="0" collapsed="false">
      <c r="A39" s="0" t="s">
        <v>144</v>
      </c>
      <c r="B39" s="4" t="n">
        <f aca="false">B38/Assumptions!$B$2-1</f>
        <v>0.153338759756516</v>
      </c>
    </row>
    <row r="41" customFormat="false" ht="15" hidden="false" customHeight="false" outlineLevel="0" collapsed="false">
      <c r="A41" s="0" t="s">
        <v>145</v>
      </c>
      <c r="B41" s="0" t="n">
        <f aca="false">SUMPRODUCT(-C10:L10/(1+$B$27/100)^C4:L4)</f>
        <v>1000.08740324337</v>
      </c>
    </row>
    <row r="42" customFormat="false" ht="15" hidden="false" customHeight="false" outlineLevel="0" collapsed="false">
      <c r="A42" s="0" t="s">
        <v>146</v>
      </c>
      <c r="B42" s="0" t="n">
        <f aca="false">IF(B27&gt;B28,-L10*(1+B28/100)/((B27-B28)/100),-L10*20)/(1+B27/100)^L4</f>
        <v>1547.47019933826</v>
      </c>
    </row>
    <row r="43" customFormat="false" ht="15" hidden="false" customHeight="false" outlineLevel="0" collapsed="false">
      <c r="A43" s="0" t="s">
        <v>147</v>
      </c>
      <c r="B43" s="0" t="n">
        <f aca="false">(B37+B41+B42)/Assumptions!$B$3*Assumptions!$B$10</f>
        <v>272.503440032638</v>
      </c>
    </row>
    <row r="45" customFormat="false" ht="15" hidden="false" customHeight="false" outlineLevel="0" collapsed="false">
      <c r="A45" s="0" t="s">
        <v>88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148</v>
      </c>
      <c r="B46" s="0" t="n">
        <f aca="false">MAX(0,MIN(IF(B45&gt;B28,B31*(1+B28/100)/((B45-B28)/100),B31*B29),B31*B29))</f>
        <v>22875.195073368</v>
      </c>
    </row>
    <row r="47" customFormat="false" ht="15" hidden="false" customHeight="false" outlineLevel="0" collapsed="false">
      <c r="A47" s="0" t="s">
        <v>149</v>
      </c>
      <c r="B47" s="0" t="n">
        <f aca="false">(SUMPRODUCT(C19:L19/(1+B45/100)^C4:L4)+B46/(1+B45/100)^L4+Assumptions!$B$5-Assumptions!$B$4)/Assumptions!$B$3*Assumptions!$B$10</f>
        <v>118.802207729681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151</v>
      </c>
    </row>
    <row r="3" customFormat="false" ht="15" hidden="false" customHeight="false" outlineLevel="0" collapsed="false">
      <c r="A3" s="0" t="s">
        <v>120</v>
      </c>
      <c r="B3" s="0" t="s">
        <v>81</v>
      </c>
      <c r="C3" s="2" t="s">
        <v>95</v>
      </c>
      <c r="D3" s="2" t="s">
        <v>96</v>
      </c>
      <c r="E3" s="2" t="s">
        <v>97</v>
      </c>
      <c r="F3" s="2" t="s">
        <v>98</v>
      </c>
      <c r="G3" s="2" t="s">
        <v>99</v>
      </c>
      <c r="H3" s="2" t="s">
        <v>100</v>
      </c>
      <c r="I3" s="2" t="s">
        <v>101</v>
      </c>
      <c r="J3" s="2" t="s">
        <v>102</v>
      </c>
      <c r="K3" s="2" t="s">
        <v>103</v>
      </c>
      <c r="L3" s="2" t="s">
        <v>104</v>
      </c>
    </row>
    <row r="4" customFormat="false" ht="15" hidden="false" customHeight="false" outlineLevel="0" collapsed="false">
      <c r="A4" s="0" t="s">
        <v>121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105</v>
      </c>
      <c r="C5" s="4" t="n">
        <f aca="false">Assumptions!C41</f>
        <v>3.5</v>
      </c>
      <c r="D5" s="4" t="n">
        <f aca="false">Assumptions!D41</f>
        <v>9</v>
      </c>
      <c r="E5" s="4" t="n">
        <f aca="false">Assumptions!E41</f>
        <v>9</v>
      </c>
      <c r="F5" s="4" t="n">
        <f aca="false">Assumptions!F41</f>
        <v>8.5</v>
      </c>
      <c r="G5" s="4" t="n">
        <f aca="false">Assumptions!G41</f>
        <v>8</v>
      </c>
      <c r="H5" s="4" t="n">
        <f aca="false">Assumptions!H41</f>
        <v>7</v>
      </c>
      <c r="I5" s="4" t="n">
        <f aca="false">Assumptions!I41</f>
        <v>6</v>
      </c>
      <c r="J5" s="4" t="n">
        <f aca="false">Assumptions!J41</f>
        <v>5</v>
      </c>
      <c r="K5" s="4" t="n">
        <f aca="false">Assumptions!K41</f>
        <v>4.5</v>
      </c>
      <c r="L5" s="4" t="n">
        <f aca="false">Assumptions!L41</f>
        <v>4</v>
      </c>
    </row>
    <row r="6" customFormat="false" ht="15" hidden="false" customHeight="false" outlineLevel="0" collapsed="false">
      <c r="A6" s="0" t="s">
        <v>37</v>
      </c>
      <c r="B6" s="3" t="n">
        <v>5653.443</v>
      </c>
      <c r="C6" s="0" t="n">
        <f aca="false">B6*(1+C5/100)</f>
        <v>5851.313505</v>
      </c>
      <c r="D6" s="0" t="n">
        <f aca="false">C6*(1+D5/100)</f>
        <v>6377.93172045</v>
      </c>
      <c r="E6" s="0" t="n">
        <f aca="false">D6*(1+E5/100)</f>
        <v>6951.9455752905</v>
      </c>
      <c r="F6" s="0" t="n">
        <f aca="false">E6*(1+F5/100)</f>
        <v>7542.86094919019</v>
      </c>
      <c r="G6" s="0" t="n">
        <f aca="false">F6*(1+G5/100)</f>
        <v>8146.28982512541</v>
      </c>
      <c r="H6" s="0" t="n">
        <f aca="false">G6*(1+H5/100)</f>
        <v>8716.53011288419</v>
      </c>
      <c r="I6" s="0" t="n">
        <f aca="false">H6*(1+I5/100)</f>
        <v>9239.52191965724</v>
      </c>
      <c r="J6" s="0" t="n">
        <f aca="false">I6*(1+J5/100)</f>
        <v>9701.4980156401</v>
      </c>
      <c r="K6" s="0" t="n">
        <f aca="false">J6*(1+K5/100)</f>
        <v>10138.0654263439</v>
      </c>
      <c r="L6" s="0" t="n">
        <f aca="false">K6*(1+L5/100)</f>
        <v>10543.5880433977</v>
      </c>
    </row>
    <row r="7" customFormat="false" ht="15" hidden="false" customHeight="false" outlineLevel="0" collapsed="false">
      <c r="A7" s="0" t="s">
        <v>106</v>
      </c>
      <c r="C7" s="4" t="n">
        <f aca="false">Assumptions!C42</f>
        <v>39.5</v>
      </c>
      <c r="D7" s="4" t="n">
        <f aca="false">Assumptions!D42</f>
        <v>40.3</v>
      </c>
      <c r="E7" s="4" t="n">
        <f aca="false">Assumptions!E42</f>
        <v>41</v>
      </c>
      <c r="F7" s="4" t="n">
        <f aca="false">Assumptions!F42</f>
        <v>41.6</v>
      </c>
      <c r="G7" s="4" t="n">
        <f aca="false">Assumptions!G42</f>
        <v>42</v>
      </c>
      <c r="H7" s="4" t="n">
        <f aca="false">Assumptions!H42</f>
        <v>42.3</v>
      </c>
      <c r="I7" s="4" t="n">
        <f aca="false">Assumptions!I42</f>
        <v>42.5</v>
      </c>
      <c r="J7" s="4" t="n">
        <f aca="false">Assumptions!J42</f>
        <v>42.5</v>
      </c>
      <c r="K7" s="4" t="n">
        <f aca="false">Assumptions!K42</f>
        <v>42.5</v>
      </c>
      <c r="L7" s="4" t="n">
        <f aca="false">Assumptions!L42</f>
        <v>42.5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2311.268834475</v>
      </c>
      <c r="D8" s="0" t="n">
        <f aca="false">D6*D7/100</f>
        <v>2570.30648334135</v>
      </c>
      <c r="E8" s="0" t="n">
        <f aca="false">E6*E7/100</f>
        <v>2850.29768586911</v>
      </c>
      <c r="F8" s="0" t="n">
        <f aca="false">F6*F7/100</f>
        <v>3137.83015486312</v>
      </c>
      <c r="G8" s="0" t="n">
        <f aca="false">G6*G7/100</f>
        <v>3421.44172655267</v>
      </c>
      <c r="H8" s="0" t="n">
        <f aca="false">H6*H7/100</f>
        <v>3687.09223775001</v>
      </c>
      <c r="I8" s="0" t="n">
        <f aca="false">I6*I7/100</f>
        <v>3926.79681585433</v>
      </c>
      <c r="J8" s="0" t="n">
        <f aca="false">J6*J7/100</f>
        <v>4123.13665664704</v>
      </c>
      <c r="K8" s="0" t="n">
        <f aca="false">K6*K7/100</f>
        <v>4308.67780619616</v>
      </c>
      <c r="L8" s="0" t="n">
        <f aca="false">L6*L7/100</f>
        <v>4481.02491844401</v>
      </c>
    </row>
    <row r="9" customFormat="false" ht="15" hidden="false" customHeight="false" outlineLevel="0" collapsed="false">
      <c r="A9" s="0" t="s">
        <v>107</v>
      </c>
      <c r="C9" s="4" t="n">
        <f aca="false">Assumptions!C43</f>
        <v>2.2</v>
      </c>
      <c r="D9" s="4" t="n">
        <f aca="false">Assumptions!D43</f>
        <v>2.2</v>
      </c>
      <c r="E9" s="4" t="n">
        <f aca="false">Assumptions!E43</f>
        <v>2.1</v>
      </c>
      <c r="F9" s="4" t="n">
        <f aca="false">Assumptions!F43</f>
        <v>2.1</v>
      </c>
      <c r="G9" s="4" t="n">
        <f aca="false">Assumptions!G43</f>
        <v>2</v>
      </c>
      <c r="H9" s="4" t="n">
        <f aca="false">Assumptions!H43</f>
        <v>2</v>
      </c>
      <c r="I9" s="4" t="n">
        <f aca="false">Assumptions!I43</f>
        <v>2</v>
      </c>
      <c r="J9" s="4" t="n">
        <f aca="false">Assumptions!J43</f>
        <v>2</v>
      </c>
      <c r="K9" s="4" t="n">
        <f aca="false">Assumptions!K43</f>
        <v>2</v>
      </c>
      <c r="L9" s="4" t="n">
        <f aca="false">Assumptions!L43</f>
        <v>2</v>
      </c>
    </row>
    <row r="10" customFormat="false" ht="15" hidden="false" customHeight="false" outlineLevel="0" collapsed="false">
      <c r="A10" s="0" t="s">
        <v>122</v>
      </c>
      <c r="C10" s="0" t="n">
        <f aca="false">-C6*C9/100</f>
        <v>-128.72889711</v>
      </c>
      <c r="D10" s="0" t="n">
        <f aca="false">-D6*D9/100</f>
        <v>-140.3144978499</v>
      </c>
      <c r="E10" s="0" t="n">
        <f aca="false">-E6*E9/100</f>
        <v>-145.990857081101</v>
      </c>
      <c r="F10" s="0" t="n">
        <f aca="false">-F6*F9/100</f>
        <v>-158.400079932994</v>
      </c>
      <c r="G10" s="0" t="n">
        <f aca="false">-G6*G9/100</f>
        <v>-162.925796502508</v>
      </c>
      <c r="H10" s="0" t="n">
        <f aca="false">-H6*H9/100</f>
        <v>-174.330602257684</v>
      </c>
      <c r="I10" s="0" t="n">
        <f aca="false">-I6*I9/100</f>
        <v>-184.790438393145</v>
      </c>
      <c r="J10" s="0" t="n">
        <f aca="false">-J6*J9/100</f>
        <v>-194.029960312802</v>
      </c>
      <c r="K10" s="0" t="n">
        <f aca="false">-K6*K9/100</f>
        <v>-202.761308526878</v>
      </c>
      <c r="L10" s="0" t="n">
        <f aca="false">-L6*L9/100</f>
        <v>-210.871760867953</v>
      </c>
    </row>
    <row r="11" customFormat="false" ht="15" hidden="false" customHeight="false" outlineLevel="0" collapsed="false">
      <c r="A11" s="0" t="s">
        <v>123</v>
      </c>
      <c r="C11" s="0" t="n">
        <f aca="false">C8+C10+C24</f>
        <v>2182.539937365</v>
      </c>
      <c r="D11" s="0" t="n">
        <f aca="false">D8+D10+D24</f>
        <v>2429.99198549145</v>
      </c>
      <c r="E11" s="0" t="n">
        <f aca="false">E8+E10+E24</f>
        <v>2704.306828788</v>
      </c>
      <c r="F11" s="0" t="n">
        <f aca="false">F8+F10+F24</f>
        <v>2979.43007493013</v>
      </c>
      <c r="G11" s="0" t="n">
        <f aca="false">G8+G10+G24</f>
        <v>3258.51593005016</v>
      </c>
      <c r="H11" s="0" t="n">
        <f aca="false">H8+H10+H24</f>
        <v>3512.76163549233</v>
      </c>
      <c r="I11" s="0" t="n">
        <f aca="false">I8+I10+I24</f>
        <v>3742.00637746118</v>
      </c>
      <c r="J11" s="0" t="n">
        <f aca="false">J8+J10+J24</f>
        <v>3929.10669633424</v>
      </c>
      <c r="K11" s="0" t="n">
        <f aca="false">K8+K10+K24</f>
        <v>4105.91649766928</v>
      </c>
      <c r="L11" s="0" t="n">
        <f aca="false">L8+L10+L24</f>
        <v>4270.15315757605</v>
      </c>
    </row>
    <row r="12" customFormat="false" ht="15" hidden="false" customHeight="false" outlineLevel="0" collapsed="false">
      <c r="A12" s="0" t="s">
        <v>124</v>
      </c>
      <c r="C12" s="4" t="n">
        <f aca="false">-C6*Assumptions!C45/100</f>
        <v>-198.94465917</v>
      </c>
      <c r="D12" s="4" t="n">
        <f aca="false">-D6*Assumptions!D45/100</f>
        <v>-210.47174677485</v>
      </c>
      <c r="E12" s="4" t="n">
        <f aca="false">-E6*Assumptions!E45/100</f>
        <v>-222.462258409296</v>
      </c>
      <c r="F12" s="4" t="n">
        <f aca="false">-F6*Assumptions!F45/100</f>
        <v>-233.828689424896</v>
      </c>
      <c r="G12" s="4" t="n">
        <f aca="false">-G6*Assumptions!G45/100</f>
        <v>-244.388694753762</v>
      </c>
      <c r="H12" s="4" t="n">
        <f aca="false">-H6*Assumptions!H45/100</f>
        <v>-261.495903386526</v>
      </c>
      <c r="I12" s="4" t="n">
        <f aca="false">-I6*Assumptions!I45/100</f>
        <v>-277.185657589717</v>
      </c>
      <c r="J12" s="4" t="n">
        <f aca="false">-J6*Assumptions!J45/100</f>
        <v>-291.044940469203</v>
      </c>
      <c r="K12" s="4" t="n">
        <f aca="false">-K6*Assumptions!K45/100</f>
        <v>-304.141962790317</v>
      </c>
      <c r="L12" s="4" t="n">
        <f aca="false">-L6*Assumptions!L45/100</f>
        <v>-316.30764130193</v>
      </c>
    </row>
    <row r="13" customFormat="false" ht="15" hidden="false" customHeight="false" outlineLevel="0" collapsed="false">
      <c r="A13" s="0" t="s">
        <v>125</v>
      </c>
      <c r="C13" s="0" t="n">
        <f aca="false">C11+C12</f>
        <v>1983.595278195</v>
      </c>
      <c r="D13" s="0" t="n">
        <f aca="false">D11+D12</f>
        <v>2219.5202387166</v>
      </c>
      <c r="E13" s="0" t="n">
        <f aca="false">E11+E12</f>
        <v>2481.84457037871</v>
      </c>
      <c r="F13" s="0" t="n">
        <f aca="false">F11+F12</f>
        <v>2745.60138550523</v>
      </c>
      <c r="G13" s="0" t="n">
        <f aca="false">G11+G12</f>
        <v>3014.1272352964</v>
      </c>
      <c r="H13" s="0" t="n">
        <f aca="false">H11+H12</f>
        <v>3251.2657321058</v>
      </c>
      <c r="I13" s="0" t="n">
        <f aca="false">I11+I12</f>
        <v>3464.82071987146</v>
      </c>
      <c r="J13" s="0" t="n">
        <f aca="false">J11+J12</f>
        <v>3638.06175586504</v>
      </c>
      <c r="K13" s="0" t="n">
        <f aca="false">K11+K12</f>
        <v>3801.77453487897</v>
      </c>
      <c r="L13" s="0" t="n">
        <f aca="false">L11+L12</f>
        <v>3953.84551627412</v>
      </c>
    </row>
    <row r="14" customFormat="false" ht="15" hidden="false" customHeight="false" outlineLevel="0" collapsed="false">
      <c r="A14" s="0" t="s">
        <v>111</v>
      </c>
      <c r="C14" s="4" t="n">
        <f aca="false">Assumptions!C47</f>
        <v>20</v>
      </c>
      <c r="D14" s="4" t="n">
        <f aca="false">Assumptions!D47</f>
        <v>20</v>
      </c>
      <c r="E14" s="4" t="n">
        <f aca="false">Assumptions!E47</f>
        <v>20</v>
      </c>
      <c r="F14" s="4" t="n">
        <f aca="false">Assumptions!F47</f>
        <v>20</v>
      </c>
      <c r="G14" s="4" t="n">
        <f aca="false">Assumptions!G47</f>
        <v>20</v>
      </c>
      <c r="H14" s="4" t="n">
        <f aca="false">Assumptions!H47</f>
        <v>20</v>
      </c>
      <c r="I14" s="4" t="n">
        <f aca="false">Assumptions!I47</f>
        <v>20</v>
      </c>
      <c r="J14" s="4" t="n">
        <f aca="false">Assumptions!J47</f>
        <v>20</v>
      </c>
      <c r="K14" s="4" t="n">
        <f aca="false">Assumptions!K47</f>
        <v>20</v>
      </c>
      <c r="L14" s="4" t="n">
        <f aca="false">Assumptions!L47</f>
        <v>20</v>
      </c>
    </row>
    <row r="15" customFormat="false" ht="15" hidden="false" customHeight="false" outlineLevel="0" collapsed="false">
      <c r="A15" s="0" t="s">
        <v>126</v>
      </c>
      <c r="C15" s="0" t="n">
        <f aca="false">C13-MAX(0,C13)*C14/100</f>
        <v>1586.876222556</v>
      </c>
      <c r="D15" s="0" t="n">
        <f aca="false">D13-MAX(0,D13)*D14/100</f>
        <v>1775.61619097328</v>
      </c>
      <c r="E15" s="0" t="n">
        <f aca="false">E13-MAX(0,E13)*E14/100</f>
        <v>1985.47565630297</v>
      </c>
      <c r="F15" s="0" t="n">
        <f aca="false">F13-MAX(0,F13)*F14/100</f>
        <v>2196.48110840418</v>
      </c>
      <c r="G15" s="0" t="n">
        <f aca="false">G13-MAX(0,G13)*G14/100</f>
        <v>2411.30178823712</v>
      </c>
      <c r="H15" s="0" t="n">
        <f aca="false">H13-MAX(0,H13)*H14/100</f>
        <v>2601.01258568464</v>
      </c>
      <c r="I15" s="0" t="n">
        <f aca="false">I13-MAX(0,I13)*I14/100</f>
        <v>2771.85657589717</v>
      </c>
      <c r="J15" s="0" t="n">
        <f aca="false">J13-MAX(0,J13)*J14/100</f>
        <v>2910.44940469203</v>
      </c>
      <c r="K15" s="0" t="n">
        <f aca="false">K13-MAX(0,K13)*K14/100</f>
        <v>3041.41962790317</v>
      </c>
      <c r="L15" s="0" t="n">
        <f aca="false">L13-MAX(0,L13)*L14/100</f>
        <v>3163.0764130193</v>
      </c>
    </row>
    <row r="16" customFormat="false" ht="15" hidden="false" customHeight="false" outlineLevel="0" collapsed="false">
      <c r="A16" s="0" t="s">
        <v>127</v>
      </c>
      <c r="C16" s="0" t="n">
        <f aca="false">-C12</f>
        <v>198.94465917</v>
      </c>
      <c r="D16" s="0" t="n">
        <f aca="false">-D12</f>
        <v>210.47174677485</v>
      </c>
      <c r="E16" s="0" t="n">
        <f aca="false">-E12</f>
        <v>222.462258409296</v>
      </c>
      <c r="F16" s="0" t="n">
        <f aca="false">-F12</f>
        <v>233.828689424896</v>
      </c>
      <c r="G16" s="0" t="n">
        <f aca="false">-G12</f>
        <v>244.388694753762</v>
      </c>
      <c r="H16" s="0" t="n">
        <f aca="false">-H12</f>
        <v>261.495903386526</v>
      </c>
      <c r="I16" s="0" t="n">
        <f aca="false">-I12</f>
        <v>277.185657589717</v>
      </c>
      <c r="J16" s="0" t="n">
        <f aca="false">-J12</f>
        <v>291.044940469203</v>
      </c>
      <c r="K16" s="0" t="n">
        <f aca="false">-K12</f>
        <v>304.141962790317</v>
      </c>
      <c r="L16" s="0" t="n">
        <f aca="false">-L12</f>
        <v>316.30764130193</v>
      </c>
    </row>
    <row r="17" customFormat="false" ht="15" hidden="false" customHeight="false" outlineLevel="0" collapsed="false">
      <c r="A17" s="0" t="s">
        <v>128</v>
      </c>
      <c r="C17" s="4" t="n">
        <f aca="false">-C6*Assumptions!C46/100</f>
        <v>-152.13415113</v>
      </c>
      <c r="D17" s="4" t="n">
        <f aca="false">-D6*Assumptions!D46/100</f>
        <v>-165.8262247317</v>
      </c>
      <c r="E17" s="4" t="n">
        <f aca="false">-E6*Assumptions!E46/100</f>
        <v>-180.750584957553</v>
      </c>
      <c r="F17" s="4" t="n">
        <f aca="false">-F6*Assumptions!F46/100</f>
        <v>-196.114384678945</v>
      </c>
      <c r="G17" s="4" t="n">
        <f aca="false">-G6*Assumptions!G46/100</f>
        <v>-211.803535453261</v>
      </c>
      <c r="H17" s="4" t="n">
        <f aca="false">-H6*Assumptions!H46/100</f>
        <v>-226.629782934989</v>
      </c>
      <c r="I17" s="4" t="n">
        <f aca="false">-I6*Assumptions!I46/100</f>
        <v>-240.227569911088</v>
      </c>
      <c r="J17" s="4" t="n">
        <f aca="false">-J6*Assumptions!J46/100</f>
        <v>-252.238948406643</v>
      </c>
      <c r="K17" s="4" t="n">
        <f aca="false">-K6*Assumptions!K46/100</f>
        <v>-263.589701084942</v>
      </c>
      <c r="L17" s="4" t="n">
        <f aca="false">-L6*Assumptions!L46/100</f>
        <v>-274.133289128339</v>
      </c>
    </row>
    <row r="18" customFormat="false" ht="15" hidden="false" customHeight="false" outlineLevel="0" collapsed="false">
      <c r="A18" s="0" t="s">
        <v>129</v>
      </c>
      <c r="C18" s="4" t="n">
        <f aca="false">(C6-B6)*Assumptions!$B$51/100</f>
        <v>-15.8296404</v>
      </c>
      <c r="D18" s="4" t="n">
        <f aca="false">(D6-C6)*Assumptions!$B$51/100</f>
        <v>-42.129457236</v>
      </c>
      <c r="E18" s="4" t="n">
        <f aca="false">(E6-D6)*Assumptions!$B$51/100</f>
        <v>-45.92110838724</v>
      </c>
      <c r="F18" s="4" t="n">
        <f aca="false">(F6-E6)*Assumptions!$B$51/100</f>
        <v>-47.2732299119754</v>
      </c>
      <c r="G18" s="4" t="n">
        <f aca="false">(G6-F6)*Assumptions!$B$51/100</f>
        <v>-48.2743100748173</v>
      </c>
      <c r="H18" s="4" t="n">
        <f aca="false">(H6-G6)*Assumptions!$B$51/100</f>
        <v>-45.6192230207023</v>
      </c>
      <c r="I18" s="4" t="n">
        <f aca="false">(I6-H6)*Assumptions!$B$51/100</f>
        <v>-41.8393445418442</v>
      </c>
      <c r="J18" s="4" t="n">
        <f aca="false">(J6-I6)*Assumptions!$B$51/100</f>
        <v>-36.9580876786289</v>
      </c>
      <c r="K18" s="4" t="n">
        <f aca="false">(K6-J6)*Assumptions!$B$51/100</f>
        <v>-34.9253928563042</v>
      </c>
      <c r="L18" s="4" t="n">
        <f aca="false">(L6-K6)*Assumptions!$B$51/100</f>
        <v>-32.4418093643006</v>
      </c>
    </row>
    <row r="19" customFormat="false" ht="15" hidden="false" customHeight="false" outlineLevel="0" collapsed="false">
      <c r="A19" s="0" t="s">
        <v>130</v>
      </c>
      <c r="C19" s="0" t="n">
        <f aca="false">C15+C16+C17+C18</f>
        <v>1617.857090196</v>
      </c>
      <c r="D19" s="0" t="n">
        <f aca="false">D15+D16+D17+D18</f>
        <v>1778.13225578043</v>
      </c>
      <c r="E19" s="0" t="n">
        <f aca="false">E15+E16+E17+E18</f>
        <v>1981.26622136747</v>
      </c>
      <c r="F19" s="0" t="n">
        <f aca="false">F15+F16+F17+F18</f>
        <v>2186.92218323816</v>
      </c>
      <c r="G19" s="0" t="n">
        <f aca="false">G15+G16+G17+G18</f>
        <v>2395.61263746281</v>
      </c>
      <c r="H19" s="0" t="n">
        <f aca="false">H15+H16+H17+H18</f>
        <v>2590.25948311548</v>
      </c>
      <c r="I19" s="0" t="n">
        <f aca="false">I15+I16+I17+I18</f>
        <v>2766.97531903396</v>
      </c>
      <c r="J19" s="0" t="n">
        <f aca="false">J15+J16+J17+J18</f>
        <v>2912.29730907596</v>
      </c>
      <c r="K19" s="0" t="n">
        <f aca="false">K15+K16+K17+K18</f>
        <v>3047.04649675224</v>
      </c>
      <c r="L19" s="0" t="n">
        <f aca="false">L15+L16+L17+L18</f>
        <v>3172.80895582859</v>
      </c>
    </row>
    <row r="20" customFormat="false" ht="15" hidden="false" customHeight="false" outlineLevel="0" collapsed="false">
      <c r="A20" s="0" t="s">
        <v>131</v>
      </c>
      <c r="C20" s="0" t="n">
        <f aca="false">1/(1+$B$27/100)^C4</f>
        <v>0.921658986175115</v>
      </c>
      <c r="D20" s="0" t="n">
        <f aca="false">1/(1+$B$27/100)^D4</f>
        <v>0.849455286797341</v>
      </c>
      <c r="E20" s="0" t="n">
        <f aca="false">1/(1+$B$27/100)^E4</f>
        <v>0.782908098430729</v>
      </c>
      <c r="F20" s="0" t="n">
        <f aca="false">1/(1+$B$27/100)^F4</f>
        <v>0.721574284267953</v>
      </c>
      <c r="G20" s="0" t="n">
        <f aca="false">1/(1+$B$27/100)^G4</f>
        <v>0.665045423288436</v>
      </c>
      <c r="H20" s="0" t="n">
        <f aca="false">1/(1+$B$27/100)^H4</f>
        <v>0.612945090588421</v>
      </c>
      <c r="I20" s="0" t="n">
        <f aca="false">1/(1+$B$27/100)^I4</f>
        <v>0.564926350772738</v>
      </c>
      <c r="J20" s="0" t="n">
        <f aca="false">1/(1+$B$27/100)^J4</f>
        <v>0.520669447716809</v>
      </c>
      <c r="K20" s="0" t="n">
        <f aca="false">1/(1+$B$27/100)^K4</f>
        <v>0.479879675315031</v>
      </c>
      <c r="L20" s="0" t="n">
        <f aca="false">1/(1+$B$27/100)^L4</f>
        <v>0.442285415036895</v>
      </c>
    </row>
    <row r="21" customFormat="false" ht="15" hidden="false" customHeight="false" outlineLevel="0" collapsed="false">
      <c r="A21" s="0" t="s">
        <v>132</v>
      </c>
      <c r="C21" s="0" t="n">
        <f aca="false">C19*C20</f>
        <v>1491.11252552627</v>
      </c>
      <c r="D21" s="0" t="n">
        <f aca="false">D19*D20</f>
        <v>1510.44384529757</v>
      </c>
      <c r="E21" s="0" t="n">
        <f aca="false">E19*E20</f>
        <v>1551.14936985584</v>
      </c>
      <c r="F21" s="0" t="n">
        <f aca="false">F19*F20</f>
        <v>1578.02680911978</v>
      </c>
      <c r="G21" s="0" t="n">
        <f aca="false">G19*G20</f>
        <v>1593.19122051658</v>
      </c>
      <c r="H21" s="0" t="n">
        <f aca="false">H19*H20</f>
        <v>1587.68683352573</v>
      </c>
      <c r="I21" s="0" t="n">
        <f aca="false">I19*I20</f>
        <v>1563.13726966009</v>
      </c>
      <c r="J21" s="0" t="n">
        <f aca="false">J19*J20</f>
        <v>1516.34423150373</v>
      </c>
      <c r="K21" s="0" t="n">
        <f aca="false">K19*K20</f>
        <v>1462.21568353127</v>
      </c>
      <c r="L21" s="0" t="n">
        <f aca="false">L19*L20</f>
        <v>1403.28712586143</v>
      </c>
    </row>
    <row r="23" customFormat="false" ht="15" hidden="false" customHeight="false" outlineLevel="0" collapsed="false">
      <c r="A23" s="0" t="s">
        <v>108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133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134</v>
      </c>
    </row>
    <row r="27" customFormat="false" ht="15" hidden="false" customHeight="false" outlineLevel="0" collapsed="false">
      <c r="A27" s="0" t="s">
        <v>112</v>
      </c>
      <c r="B27" s="4" t="n">
        <f aca="false">Assumptions!$B$48</f>
        <v>8.5</v>
      </c>
    </row>
    <row r="28" customFormat="false" ht="15" hidden="false" customHeight="false" outlineLevel="0" collapsed="false">
      <c r="A28" s="0" t="s">
        <v>113</v>
      </c>
      <c r="B28" s="4" t="n">
        <f aca="false">Assumptions!$B$49</f>
        <v>3</v>
      </c>
    </row>
    <row r="29" customFormat="false" ht="15" hidden="false" customHeight="false" outlineLevel="0" collapsed="false">
      <c r="A29" s="0" t="s">
        <v>114</v>
      </c>
      <c r="B29" s="4" t="n">
        <f aca="false">Assumptions!$B$50</f>
        <v>22</v>
      </c>
    </row>
    <row r="30" customFormat="false" ht="15" hidden="false" customHeight="false" outlineLevel="0" collapsed="false">
      <c r="A30" s="0" t="s">
        <v>135</v>
      </c>
      <c r="B30" s="0" t="n">
        <f aca="false">SUM(C21:L21)</f>
        <v>15256.5949143983</v>
      </c>
    </row>
    <row r="31" customFormat="false" ht="15" hidden="false" customHeight="false" outlineLevel="0" collapsed="false">
      <c r="A31" s="0" t="s">
        <v>136</v>
      </c>
      <c r="B31" s="0" t="n">
        <f aca="false">L19</f>
        <v>3172.80895582859</v>
      </c>
    </row>
    <row r="32" customFormat="false" ht="15" hidden="false" customHeight="false" outlineLevel="0" collapsed="false">
      <c r="A32" s="0" t="s">
        <v>137</v>
      </c>
      <c r="B32" s="0" t="n">
        <f aca="false">IF(B27&gt;B28,B31*(1+B28/100)/((B27-B28)/100),B31*B29)</f>
        <v>59418.0586273354</v>
      </c>
    </row>
    <row r="33" customFormat="false" ht="15" hidden="false" customHeight="false" outlineLevel="0" collapsed="false">
      <c r="A33" s="0" t="s">
        <v>138</v>
      </c>
      <c r="B33" s="0" t="n">
        <f aca="false">B31*B29</f>
        <v>69801.797028229</v>
      </c>
    </row>
    <row r="34" customFormat="false" ht="15" hidden="false" customHeight="false" outlineLevel="0" collapsed="false">
      <c r="A34" s="0" t="s">
        <v>139</v>
      </c>
      <c r="B34" s="0" t="n">
        <f aca="false">MAX(0,MIN(B32,B33))</f>
        <v>59418.0586273354</v>
      </c>
    </row>
    <row r="35" customFormat="false" ht="15" hidden="false" customHeight="false" outlineLevel="0" collapsed="false">
      <c r="A35" s="0" t="s">
        <v>140</v>
      </c>
      <c r="B35" s="0" t="n">
        <f aca="false">B34/(1+B27/100)^L4</f>
        <v>26279.7407206776</v>
      </c>
    </row>
    <row r="36" customFormat="false" ht="15" hidden="false" customHeight="false" outlineLevel="0" collapsed="false">
      <c r="A36" s="0" t="s">
        <v>141</v>
      </c>
      <c r="B36" s="0" t="n">
        <f aca="false">B30+B35</f>
        <v>41536.3356350759</v>
      </c>
    </row>
    <row r="37" customFormat="false" ht="15" hidden="false" customHeight="false" outlineLevel="0" collapsed="false">
      <c r="A37" s="0" t="s">
        <v>142</v>
      </c>
      <c r="B37" s="0" t="n">
        <f aca="false">B36+Assumptions!$B$5-Assumptions!$B$4</f>
        <v>43096.1546350759</v>
      </c>
    </row>
    <row r="38" customFormat="false" ht="15" hidden="false" customHeight="false" outlineLevel="0" collapsed="false">
      <c r="A38" s="0" t="s">
        <v>143</v>
      </c>
      <c r="B38" s="0" t="n">
        <f aca="false">B37/Assumptions!$B$3*Assumptions!$B$10</f>
        <v>295.070005854519</v>
      </c>
    </row>
    <row r="39" customFormat="false" ht="15" hidden="false" customHeight="false" outlineLevel="0" collapsed="false">
      <c r="A39" s="0" t="s">
        <v>144</v>
      </c>
      <c r="B39" s="4" t="n">
        <f aca="false">B38/Assumptions!$B$2-1</f>
        <v>0.334252796086452</v>
      </c>
    </row>
    <row r="41" customFormat="false" ht="15" hidden="false" customHeight="false" outlineLevel="0" collapsed="false">
      <c r="A41" s="0" t="s">
        <v>145</v>
      </c>
      <c r="B41" s="0" t="n">
        <f aca="false">SUMPRODUCT(-C10:L10/(1+$B$27/100)^C4:L4)</f>
        <v>1077.6230229919</v>
      </c>
    </row>
    <row r="42" customFormat="false" ht="15" hidden="false" customHeight="false" outlineLevel="0" collapsed="false">
      <c r="A42" s="0" t="s">
        <v>146</v>
      </c>
      <c r="B42" s="0" t="n">
        <f aca="false">IF(B27&gt;B28,-L10*(1+B28/100)/((B27-B28)/100),-L10*20)/(1+B27/100)^L4</f>
        <v>1746.60853460536</v>
      </c>
    </row>
    <row r="43" customFormat="false" ht="15" hidden="false" customHeight="false" outlineLevel="0" collapsed="false">
      <c r="A43" s="0" t="s">
        <v>147</v>
      </c>
      <c r="B43" s="0" t="n">
        <f aca="false">(B37+B41+B42)/Assumptions!$B$3*Assumptions!$B$10</f>
        <v>314.406905614863</v>
      </c>
    </row>
    <row r="45" customFormat="false" ht="15" hidden="false" customHeight="false" outlineLevel="0" collapsed="false">
      <c r="A45" s="0" t="s">
        <v>88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148</v>
      </c>
      <c r="B46" s="0" t="n">
        <f aca="false">MAX(0,MIN(IF(B45&gt;B28,B31*(1+B28/100)/((B45-B28)/100),B31*B29),B31*B29))</f>
        <v>27233.2768708621</v>
      </c>
    </row>
    <row r="47" customFormat="false" ht="15" hidden="false" customHeight="false" outlineLevel="0" collapsed="false">
      <c r="A47" s="0" t="s">
        <v>149</v>
      </c>
      <c r="B47" s="0" t="n">
        <f aca="false">(SUMPRODUCT(C19:L19/(1+B45/100)^C4:L4)+B46/(1+B45/100)^L4+Assumptions!$B$5-Assumptions!$B$4)/Assumptions!$B$3*Assumptions!$B$10</f>
        <v>133.851018276136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152</v>
      </c>
    </row>
    <row r="3" customFormat="false" ht="15" hidden="false" customHeight="false" outlineLevel="0" collapsed="false">
      <c r="A3" s="2" t="s">
        <v>153</v>
      </c>
      <c r="B3" s="2" t="s">
        <v>154</v>
      </c>
      <c r="C3" s="2" t="s">
        <v>144</v>
      </c>
      <c r="D3" s="2" t="s">
        <v>155</v>
      </c>
      <c r="E3" s="2" t="s">
        <v>147</v>
      </c>
      <c r="F3" s="2" t="s">
        <v>156</v>
      </c>
    </row>
    <row r="4" customFormat="false" ht="15" hidden="false" customHeight="false" outlineLevel="0" collapsed="false">
      <c r="A4" s="0" t="s">
        <v>157</v>
      </c>
      <c r="B4" s="4" t="n">
        <f aca="false">DCF_Bear!$B$38</f>
        <v>164.389378800701</v>
      </c>
      <c r="C4" s="0" t="n">
        <f aca="false">B4/Assumptions!$B$2-1</f>
        <v>-0.256661185617448</v>
      </c>
      <c r="D4" s="4" t="n">
        <f aca="false">Assumptions!$B$24</f>
        <v>0.25</v>
      </c>
      <c r="E4" s="4" t="n">
        <f aca="false">DCF_Bear!$B$43</f>
        <v>179.095109041967</v>
      </c>
      <c r="F4" s="4" t="n">
        <f aca="false">DCF_Bear!$B$47</f>
        <v>90.4048676900621</v>
      </c>
    </row>
    <row r="5" customFormat="false" ht="15" hidden="false" customHeight="false" outlineLevel="0" collapsed="false">
      <c r="A5" s="0" t="s">
        <v>158</v>
      </c>
      <c r="B5" s="4" t="n">
        <f aca="false">DCF_Base!$B$38</f>
        <v>255.060866720154</v>
      </c>
      <c r="C5" s="0" t="n">
        <f aca="false">B5/Assumptions!$B$2-1</f>
        <v>0.153338759756516</v>
      </c>
      <c r="D5" s="4" t="n">
        <f aca="false">Assumptions!$B$38</f>
        <v>0.5</v>
      </c>
      <c r="E5" s="4" t="n">
        <f aca="false">DCF_Base!$B$43</f>
        <v>272.503440032638</v>
      </c>
      <c r="F5" s="4" t="n">
        <f aca="false">DCF_Base!$B$47</f>
        <v>118.802207729681</v>
      </c>
    </row>
    <row r="6" customFormat="false" ht="15" hidden="false" customHeight="false" outlineLevel="0" collapsed="false">
      <c r="A6" s="0" t="s">
        <v>159</v>
      </c>
      <c r="B6" s="4" t="n">
        <f aca="false">DCF_Bull!$B$38</f>
        <v>295.070005854519</v>
      </c>
      <c r="C6" s="0" t="n">
        <f aca="false">B6/Assumptions!$B$2-1</f>
        <v>0.334252796086452</v>
      </c>
      <c r="D6" s="4" t="n">
        <f aca="false">Assumptions!$B$52</f>
        <v>0.25</v>
      </c>
      <c r="E6" s="4" t="n">
        <f aca="false">DCF_Bull!$B$43</f>
        <v>314.406905614863</v>
      </c>
      <c r="F6" s="4" t="n">
        <f aca="false">DCF_Bull!$B$47</f>
        <v>133.851018276136</v>
      </c>
    </row>
    <row r="8" customFormat="false" ht="15" hidden="false" customHeight="false" outlineLevel="0" collapsed="false">
      <c r="A8" s="0" t="s">
        <v>160</v>
      </c>
      <c r="B8" s="0" t="n">
        <f aca="false">SUMPRODUCT(B4:B6,D4:D6)</f>
        <v>242.395279523882</v>
      </c>
    </row>
    <row r="9" customFormat="false" ht="15" hidden="false" customHeight="false" outlineLevel="0" collapsed="false">
      <c r="A9" s="0" t="s">
        <v>161</v>
      </c>
      <c r="B9" s="0" t="n">
        <f aca="false">SUMPRODUCT(E4:E6,D4:D6)</f>
        <v>259.627223680527</v>
      </c>
    </row>
    <row r="10" customFormat="false" ht="15" hidden="false" customHeight="false" outlineLevel="0" collapsed="false">
      <c r="A10" s="0" t="s">
        <v>162</v>
      </c>
      <c r="B10" s="0" t="n">
        <f aca="false">1-Assumptions!$B$2/B8</f>
        <v>0.0876472494250393</v>
      </c>
    </row>
    <row r="11" customFormat="false" ht="15" hidden="false" customHeight="false" outlineLevel="0" collapsed="false">
      <c r="A11" s="0" t="s">
        <v>163</v>
      </c>
      <c r="B11" s="0" t="n">
        <f aca="false">IF(ABS(B9-B8)&gt;0.01*ABS(B8),(Assumptions!$B$2-B8)/(B9-B8)*100,"n/a")</f>
        <v>-123.290090373752</v>
      </c>
    </row>
    <row r="12" customFormat="false" ht="15" hidden="false" customHeight="false" outlineLevel="0" collapsed="false">
      <c r="A12" s="0" t="s">
        <v>164</v>
      </c>
      <c r="B12" s="0" t="n">
        <f aca="false">SUMPRODUCT(F4:F6,D4:D6)</f>
        <v>115.46507535639</v>
      </c>
    </row>
    <row r="14" customFormat="false" ht="15" hidden="false" customHeight="false" outlineLevel="0" collapsed="false">
      <c r="A14" s="2" t="s">
        <v>165</v>
      </c>
      <c r="C14" s="0" t="s">
        <v>166</v>
      </c>
    </row>
    <row r="15" customFormat="false" ht="15" hidden="false" customHeight="false" outlineLevel="0" collapsed="false">
      <c r="A15" s="0" t="s">
        <v>167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255.060866720154</v>
      </c>
      <c r="C15" s="3" t="n">
        <v>8.5</v>
      </c>
    </row>
    <row r="16" customFormat="false" ht="15" hidden="false" customHeight="false" outlineLevel="0" collapsed="false">
      <c r="A16" s="0" t="s">
        <v>168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234.000565226548</v>
      </c>
      <c r="C16" s="3" t="n">
        <v>9</v>
      </c>
    </row>
    <row r="17" customFormat="false" ht="15" hidden="false" customHeight="false" outlineLevel="0" collapsed="false">
      <c r="A17" s="0" t="s">
        <v>169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200.95238334067</v>
      </c>
      <c r="C17" s="3" t="n">
        <v>10</v>
      </c>
    </row>
    <row r="18" customFormat="false" ht="15" hidden="false" customHeight="false" outlineLevel="0" collapsed="false">
      <c r="A18" s="0" t="s">
        <v>170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176.21754437067</v>
      </c>
      <c r="C18" s="3" t="n">
        <v>11</v>
      </c>
    </row>
    <row r="19" customFormat="false" ht="15" hidden="false" customHeight="false" outlineLevel="0" collapsed="false">
      <c r="A19" s="0" t="s">
        <v>171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157.021915251055</v>
      </c>
      <c r="C19" s="3" t="n">
        <v>12</v>
      </c>
    </row>
    <row r="20" customFormat="false" ht="15" hidden="false" customHeight="false" outlineLevel="0" collapsed="false">
      <c r="A20" s="0" t="s">
        <v>172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118.802207729681</v>
      </c>
      <c r="C20" s="3" t="n">
        <v>15</v>
      </c>
    </row>
    <row r="22" customFormat="false" ht="15" hidden="false" customHeight="false" outlineLevel="0" collapsed="false">
      <c r="A22" s="2" t="s">
        <v>173</v>
      </c>
    </row>
    <row r="23" customFormat="false" ht="15" hidden="false" customHeight="false" outlineLevel="0" collapsed="false">
      <c r="B23" s="3" t="n">
        <v>2</v>
      </c>
      <c r="C23" s="3" t="n">
        <v>2.5</v>
      </c>
      <c r="D23" s="3" t="n">
        <v>3</v>
      </c>
      <c r="E23" s="3" t="n">
        <v>3.5</v>
      </c>
      <c r="F23" s="3" t="n">
        <v>4</v>
      </c>
    </row>
    <row r="24" customFormat="false" ht="15" hidden="false" customHeight="false" outlineLevel="0" collapsed="false">
      <c r="A24" s="3" t="n">
        <v>6.5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308.158978768227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308.158978768227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308.158978768227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308.158978768227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308.158978768227</v>
      </c>
    </row>
    <row r="25" customFormat="false" ht="15" hidden="false" customHeight="false" outlineLevel="0" collapsed="false">
      <c r="A25" s="3" t="n">
        <v>7.5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272.844273404157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285.721965207078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285.721965207078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285.721965207078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285.721965207078</v>
      </c>
    </row>
    <row r="26" customFormat="false" ht="15" hidden="false" customHeight="false" outlineLevel="0" collapsed="false">
      <c r="A26" s="3" t="n">
        <v>8.5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230.56731967271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241.793528736121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255.060866720154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265.332354191662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265.332354191662</v>
      </c>
    </row>
    <row r="27" customFormat="false" ht="15" hidden="false" customHeight="false" outlineLevel="0" collapsed="false">
      <c r="A27" s="3" t="n">
        <v>9.5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199.65881628677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207.337362465058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216.197223440006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226.533727910778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238.749596830782</v>
      </c>
    </row>
    <row r="28" customFormat="false" ht="15" hidden="false" customHeight="false" outlineLevel="0" collapsed="false">
      <c r="A28" s="3" t="n">
        <v>10.5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176.100408604067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181.56296535005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187.753862995496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194.829174590292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202.992995661211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2026-10-02T07:56:59Z</dcterms:created>
  <dc:creator>openpyxl</dc:creator>
  <dc:description/>
  <dc:language>en-NZ</dc:language>
  <cp:lastModifiedBy/>
  <dcterms:modified xsi:type="dcterms:W3CDTF">2026-10-02T07:56:59Z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