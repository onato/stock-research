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Reconciliation" sheetId="2" state="visible" r:id="rId4"/>
    <sheet name="Actuals" sheetId="3" state="visible" r:id="rId5"/>
    <sheet name="Assumptions" sheetId="4" state="visible" r:id="rId6"/>
    <sheet name="DCF_Bear" sheetId="5" state="visible" r:id="rId7"/>
    <sheet name="DCF_Base" sheetId="6" state="visible" r:id="rId8"/>
    <sheet name="DCF_Bull" sheetId="7" state="visible" r:id="rId9"/>
    <sheet name="Valuat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<sst xmlns="http://schemas.openxmlformats.org/spreadsheetml/2006/main" count="420" uniqueCount="216">
  <si>
    <t xml:space="preserve">Ticker</t>
  </si>
  <si>
    <t xml:space="preserve">GOOGL</t>
  </si>
  <si>
    <t xml:space="preserve">Company</t>
  </si>
  <si>
    <t xml:space="preserve">Alphabet Inc.</t>
  </si>
  <si>
    <t xml:space="preserve">Valuation date</t>
  </si>
  <si>
    <t xml:space="preserve">2026-10-30</t>
  </si>
  <si>
    <t xml:space="preserve">Current price</t>
  </si>
  <si>
    <t xml:space="preserve">Price as of</t>
  </si>
  <si>
    <t xml:space="preserve">2026-10-29T20:00:00Z regular close (the -12.6% post-Q3 session)</t>
  </si>
  <si>
    <t xml:space="preserve">Balance sheet date</t>
  </si>
  <si>
    <t xml:space="preserve">2026-09-30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</si>
  <si>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</si>
  <si>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</si>
  <si>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</si>
  <si>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</si>
  <si>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</si>
  <si>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</si>
  <si>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</si>
  <si>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</si>
  <si>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</si>
  <si>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</si>
  <si>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2026-10-30T02:29:02Z</t>
  </si>
  <si>
    <t xml:space="preserve">Drivers file</t>
  </si>
  <si>
    <t xml:space="preserve">GOOGL_Drivers.json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</si>
  <si>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</si>
  <si>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</si>
  <si>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</si>
  <si>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component DCF over a 10-year explicit horizon, because the FCF margin is immature in the extreme: capex of ~$200B (FY2026) and ~$300B (FY2027) makes owner FCF negative for roughly three years in every scenario, so a 5-year horizon would capitalise a trough and a flat-margin model would capitalise a one-off. The engine models the cycle rather than normalising it: revenue grows into a capex base that plateaus in dollars, D&amp;A rises to ~17% of revenue and then matches capex at the terminal, and the cash tax rate ramps from bonus-depreciation lows to 18%. SBC and net-share-settlement taxes are expensed and the count is held flat; the equity-securities pile (SpaceX listed, one private AI company unlisted) is brought in at haircuts rather than ignored or taken at mark. The two accounting-regime figures (house vs street) bracket how much of the price depends on treating comp as non-cash.
key_risks_to_valuation: Capex trajectory after FY2027: if ~$300B/yr persists through FY2030 instead of plateauing and falling to 17% of revenue, the FY2030+ FCF recovery slips two years and the base IV falls toward the bear.; Search growth: each 1pp of sustained Search deceleration is ~$3B of near-70%-margin revenue; the bear case is Search flat by FY2029.; Cloud backlog conversion and external TPU sales: the base needs Cloud ~+50% in FY2027; delays at Crux AI sites or supply constraints push it out.; Equity-securities marks: $225B gross (SpaceX listed, one private company) is carried at $120B after haircuts; a 50% move in those marks is ~$5/share.; WACC: 1pp is ~$40-45/share on a valuation that is ~80% terminal value; the market price implies ~7.5-8%.; Financing stack: $19B 6.25% preferred, $27.6B ATM capacity, $75.7B of data-centre backstop obligations and $130.5B of not-yet-commenced leases are all claims or costs that sit outside the flows or bridge in part.</t>
  </si>
  <si>
    <t xml:space="preserve">Data sources</t>
  </si>
  <si>
    <t xml:space="preserve">price: Yahoo Finance chart API regular close at inputs.price_as_of; 52-week range 270.70-408.61
financials: GOOGL_Metrics.csv (core_metrics through Q3 2026); Q3 2026 10-Q (balance sheet, cash flow, Note 3 fair value, Note 4 leases, Note 6 debt, Note 10 preferred, Note 11 EPS); FY2021-FY2025 10-Ks for the owner-FCF history
qualitative: GOOGL_Analysis.json (2026-10-30): Q3 2026 results, capex guidance ($200B FY2026 reaffirmed; ~$300B FY2027 reported from the call), backlog $567.7B, financing events, antitrust status</t>
  </si>
  <si>
    <t xml:space="preserve">Scenario narrative: bear</t>
  </si>
  <si>
    <t xml:space="preserve">The Q3 2026 Search deceleration is the start of AI substitution of the core franchise; Cloud growth halves as supply and competition catch up; $300B of FY2027 capex is committed into a market that does not need it, and the business settles at 43% EBITDA margins, 3% growth and a 15% FCF margin -- three years of negative FCF followed by a mature-utility profile.</t>
  </si>
  <si>
    <t xml:space="preserve">Scenario narrative: base</t>
  </si>
  <si>
    <t xml:space="preserve">Alphabet is spending ~$500B over FY2026-27 to turn a $560B Cloud backlog and a 1B-user Gemini franchise into a second core business while Search decelerates from high-teens to high-single-digit growth. Owner FCF is negative through FY2029; the value is the FY2030+ recovery as capex intensity halves and the installed base earns at ~49% EBITDA margins. At a 9% WACC that is worth materially less than the pre-October market price, which was paying for a faster Search re-acceleration and a quicker capex peak.</t>
  </si>
  <si>
    <t xml:space="preserve">Scenario narrative: bull</t>
  </si>
  <si>
    <t xml:space="preserve">The capex is demand-led: Cloud compounds 60%+ for two more years on backlog plus external TPU systems, AI-Overview ads re-accelerate Search, margins reach 52% and intensity falls to 15% -- Alphabet becomes a ~$1.6T revenue company by FY2036 and the exit multiple cap binds.</t>
  </si>
  <si>
    <t xml:space="preserve">Item</t>
  </si>
  <si>
    <t xml:space="preserve">Value</t>
  </si>
  <si>
    <t xml:space="preserve">Note</t>
  </si>
  <si>
    <t xml:space="preserve">Prior valuation_date</t>
  </si>
  <si>
    <t xml:space="preserve">2026-06-29</t>
  </si>
  <si>
    <t xml:space="preserve">Prior price_then</t>
  </si>
  <si>
    <t xml:space="preserve">Prior bear</t>
  </si>
  <si>
    <t xml:space="preserve">Prior base</t>
  </si>
  <si>
    <t xml:space="preserve">Prior bull</t>
  </si>
  <si>
    <t xml:space="preserve">Prior weighted</t>
  </si>
  <si>
    <t xml:space="preserve">New valuation_date</t>
  </si>
  <si>
    <t xml:space="preserve">New price_then</t>
  </si>
  <si>
    <t xml:space="preserve">New bear</t>
  </si>
  <si>
    <t xml:space="preserve">New base</t>
  </si>
  <si>
    <t xml:space="preserve">New bull</t>
  </si>
  <si>
    <t xml:space="preserve">New weighted</t>
  </si>
  <si>
    <t xml:space="preserve">Bridge</t>
  </si>
  <si>
    <t xml:space="preserve">Prior weighted IV (2026-06-29, OCF-growth-minus-capex model, no SBC charge)</t>
  </si>
  <si>
    <t xml:space="preserve">Anchor refresh: bridge now net cash 48.6B + equity securities at haircut 119.95B - preferred 19B - finance leases 3.7B = +145.8B (prior: net cash 49.3B); shares 12,352M vs 12,246M (June raise + ATM)</t>
  </si>
  <si>
    <t xml:space="preserve">+7.8 from the bridge (11.81 vs 4.03/share), -1.8 from the 0.9% higher count</t>
  </si>
  <si>
    <t xml:space="preserve">Methodology re-base on a street (SBC-as-non-cash) basis: component owner-FCF engine, 10-yr horizon to FY2036, revenue path re-judged (FY2027 +21% on Cloud backlog, Search decel to +9%), D&amp;A/tax ramps, interest income stripped -- holding prior capex dollars and prior 8/9/12 WACC</t>
  </si>
  <si>
    <t xml:space="preserve">residual: V1 street weighted 360.45 less prior 279.35 less anchors 6.0. The prior 5-yr model capitalised FY2030 FCF; the 10-yr build lets the margin mature first, which is worth more before the costs below</t>
  </si>
  <si>
    <t xml:space="preserve">SBC + net-share-settlement taxes expensed in the flows, count held flat (prior model added SBC back via OCF): house less street at prior capex/WACC</t>
  </si>
  <si>
    <t xml:space="preserve">V1 house 266.61 vs V1 street 360.45; forward SBC path 8.0% -&gt; 7.1% of revenue</t>
  </si>
  <si>
    <t xml:space="preserve">Capex trajectory raised: FY2027 ~$300B vs $210B, FY2028-30 $320/310/295B vs $200/170/150B, terminal 17% of revenue vs ~16.5%</t>
  </si>
  <si>
    <t xml:space="preserve">V2 221.81 vs V1 266.61; three years of negative owner FCF in every scenario</t>
  </si>
  <si>
    <t xml:space="preserve">Single 9% WACC in all scenarios (prior 8% bull / 12% bear): bull 394.68 -&gt; 362.49, bear 56.42 -&gt; 91.99, nets to almost nothing at 25/25 weights</t>
  </si>
  <si>
    <t xml:space="preserve">final 222.65 vs V2 221.81</t>
  </si>
  <si>
    <t xml:space="preserve">New weighted IV</t>
  </si>
  <si>
    <t xml:space="preserve">ties to probability_weighted.weighted_iv; price move 340.59 -&gt; 283.82 is not an IV item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</si>
  <si>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</si>
  <si>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</si>
  <si>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</si>
  <si>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</si>
  <si>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</si>
  <si>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</si>
  <si>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</si>
  <si>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</si>
  <si>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</si>
  <si>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</si>
  <si>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</si>
  <si>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</si>
  <si>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</si>
  <si>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</si>
  <si>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</si>
  <si>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</si>
  <si>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</si>
  <si>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</si>
  <si>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</si>
  <si>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</si>
  <si>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</si>
  <si>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</si>
  <si>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</si>
  <si>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</si>
  <si>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</si>
  <si>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</si>
  <si>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</si>
  <si>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Backlog</t>
  </si>
  <si>
    <t xml:space="preserve">CostPerClickChangePct</t>
  </si>
  <si>
    <t xml:space="preserve">CostPerImpressionChangePct</t>
  </si>
  <si>
    <t xml:space="preserve">GoogleCloudOperatingIncome</t>
  </si>
  <si>
    <t xml:space="preserve">GoogleCloudRevenue</t>
  </si>
  <si>
    <t xml:space="preserve">GoogleNetworkRevenue</t>
  </si>
  <si>
    <t xml:space="preserve">GoogleSearchRevenue</t>
  </si>
  <si>
    <t xml:space="preserve">GoogleServicesOperatingIncome</t>
  </si>
  <si>
    <t xml:space="preserve">GoogleSubscriptionsPlatformsDevicesRevenue</t>
  </si>
  <si>
    <t xml:space="preserve">ImpressionsChangePct</t>
  </si>
  <si>
    <t xml:space="preserve">NumberOfEmployees</t>
  </si>
  <si>
    <t xml:space="preserve">OtherBetsOperatingIncome</t>
  </si>
  <si>
    <t xml:space="preserve">OtherBetsRevenue</t>
  </si>
  <si>
    <t xml:space="preserve">PaidClicksChangePct</t>
  </si>
  <si>
    <t xml:space="preserve">ShortTermInvestments</t>
  </si>
  <si>
    <t xml:space="preserve">TrafficAcquisitionCosts</t>
  </si>
  <si>
    <t xml:space="preserve">YouTubeAdsRevenue</t>
  </si>
  <si>
    <t xml:space="preserve">AdRevenue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</si>
  <si>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</si>
  <si>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</si>
  <si>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</si>
  <si>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</si>
  <si>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</si>
  <si>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</si>
  <si>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</si>
  <si>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</si>
  <si>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</si>
  <si>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</si>
  <si>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</si>
  <si>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</si>
  <si>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</si>
  <si>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</si>
  <si>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</si>
  <si>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</si>
  <si>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</si>
  <si>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</si>
  <si>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</si>
  <si>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</si>
  <si>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</si>
  <si>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</si>
  <si>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</si>
  <si>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</si>
  <si>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</si>
  <si>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</si>
  <si>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</si>
  <si>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</si>
  <si>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</si>
  <si>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</si>
  <si>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</si>
  <si>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</si>
  <si>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</si>
  <si>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</si>
  <si>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</si>
  <si>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</si>
  <si>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</si>
  <si>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</si>
  <si>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</si>
  <si>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</si>
  <si>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</si>
  <si>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</si>
  <si>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</si>
  <si>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</si>
  <si>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</si>
  <si>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</si>
  <si>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</si>
  <si>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</si>
  <si>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</si>
  <si>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</si>
  <si>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</si>
  <si>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GOOGL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</si>
  <si>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</si>
  <si>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</si>
  <si>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</si>
  <si>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</si>
  <si>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</si>
  <si>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</si>
  <si>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</si>
  <si>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</si>
  <si>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</si>
  <si>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</si>
  <si>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</si>
  <si>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</si>
  <si>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</si>
  <si>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</si>
  <si>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</si>
  <si>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</si>
  <si>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</si>
  <si>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</si>
  <si>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</si>
  <si>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</si>
  <si>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</si>
  <si>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</si>
  <si>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</si>
  <si>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</si>
  <si>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</si>
  <si>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</si>
  <si>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</si>
  <si>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</si>
  <si>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</si>
  <si>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</si>
  <si>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GOOGL owner-FCF component DCF: base case (millions, USD)</t>
  </si>
  <si>
    <t xml:space="preserve">GOOGL owner-FCF component DCF: bull case (millions, USD)</t>
  </si>
  <si>
    <t xml:space="preserve">GOOGL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</si>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</sst>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283.82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</cols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</row>
    <row r="2" customFormat="false" ht="15" hidden="false" customHeight="false" outlineLevel="0" collapsed="false">
      <c r="A2" s="0" t="s">
        <v>39</v>
      </c>
      <c r="B2" s="0" t="s">
        <v>40</v>
      </c>
    </row>
    <row r="3" customFormat="false" ht="15" hidden="false" customHeight="false" outlineLevel="0" collapsed="false">
      <c r="A3" s="0" t="s">
        <v>41</v>
      </c>
      <c r="B3" s="0" t="n">
        <v>340.59</v>
      </c>
    </row>
    <row r="4" customFormat="false" ht="15" hidden="false" customHeight="false" outlineLevel="0" collapsed="false">
      <c r="A4" s="0" t="s">
        <v>42</v>
      </c>
      <c r="B4" s="0" t="n">
        <v>33.12</v>
      </c>
    </row>
    <row r="5" customFormat="false" ht="15" hidden="false" customHeight="false" outlineLevel="0" collapsed="false">
      <c r="A5" s="0" t="s">
        <v>43</v>
      </c>
      <c r="B5" s="0" t="n">
        <v>296.94</v>
      </c>
    </row>
    <row r="6" customFormat="false" ht="15" hidden="false" customHeight="false" outlineLevel="0" collapsed="false">
      <c r="A6" s="0" t="s">
        <v>44</v>
      </c>
      <c r="B6" s="0" t="n">
        <v>490.4</v>
      </c>
    </row>
    <row r="7" customFormat="false" ht="15" hidden="false" customHeight="false" outlineLevel="0" collapsed="false">
      <c r="A7" s="0" t="s">
        <v>45</v>
      </c>
      <c r="B7" s="0" t="n">
        <v>279.35</v>
      </c>
    </row>
    <row r="8" customFormat="false" ht="15" hidden="false" customHeight="false" outlineLevel="0" collapsed="false">
      <c r="A8" s="0" t="s">
        <v>46</v>
      </c>
      <c r="B8" s="0" t="s">
        <v>5</v>
      </c>
    </row>
    <row r="9" customFormat="false" ht="15" hidden="false" customHeight="false" outlineLevel="0" collapsed="false">
      <c r="A9" s="0" t="s">
        <v>47</v>
      </c>
      <c r="B9" s="0" t="n">
        <v>283.82</v>
      </c>
    </row>
    <row r="10" customFormat="false" ht="15" hidden="false" customHeight="false" outlineLevel="0" collapsed="false">
      <c r="A10" s="0" t="s">
        <v>48</v>
      </c>
      <c r="B10" s="0" t="n">
        <v>91.99</v>
      </c>
    </row>
    <row r="11" customFormat="false" ht="15" hidden="false" customHeight="false" outlineLevel="0" collapsed="false">
      <c r="A11" s="0" t="s">
        <v>49</v>
      </c>
      <c r="B11" s="0" t="n">
        <v>218.06</v>
      </c>
    </row>
    <row r="12" customFormat="false" ht="15" hidden="false" customHeight="false" outlineLevel="0" collapsed="false">
      <c r="A12" s="0" t="s">
        <v>50</v>
      </c>
      <c r="B12" s="0" t="n">
        <v>362.49</v>
      </c>
    </row>
    <row r="13" customFormat="false" ht="15" hidden="false" customHeight="false" outlineLevel="0" collapsed="false">
      <c r="A13" s="0" t="s">
        <v>51</v>
      </c>
      <c r="B13" s="0" t="n">
        <v>222.65</v>
      </c>
    </row>
    <row r="15" customFormat="false" ht="15" hidden="false" customHeight="false" outlineLevel="0" collapsed="false">
      <c r="A15" s="2" t="s">
        <v>52</v>
      </c>
    </row>
    <row r="16" customFormat="false" ht="15" hidden="false" customHeight="false" outlineLevel="0" collapsed="false">
      <c r="A16" s="0" t="s">
        <v>53</v>
      </c>
      <c r="B16" s="0" t="n">
        <v>279.35</v>
      </c>
    </row>
    <row r="17" customFormat="false" ht="15" hidden="false" customHeight="false" outlineLevel="0" collapsed="false">
      <c r="A17" s="0" t="s">
        <v>54</v>
      </c>
      <c r="B17" s="0" t="n">
        <v>6</v>
      </c>
      <c r="C17" s="0" t="s">
        <v>55</v>
      </c>
    </row>
    <row r="18" customFormat="false" ht="15" hidden="false" customHeight="false" outlineLevel="0" collapsed="false">
      <c r="A18" s="0" t="s">
        <v>56</v>
      </c>
      <c r="B18" s="0" t="n">
        <v>75.1</v>
      </c>
      <c r="C18" s="0" t="s">
        <v>57</v>
      </c>
    </row>
    <row r="19" customFormat="false" ht="15" hidden="false" customHeight="false" outlineLevel="0" collapsed="false">
      <c r="A19" s="0" t="s">
        <v>58</v>
      </c>
      <c r="B19" s="0" t="n">
        <v>-93.84</v>
      </c>
      <c r="C19" s="0" t="s">
        <v>59</v>
      </c>
    </row>
    <row r="20" customFormat="false" ht="15" hidden="false" customHeight="false" outlineLevel="0" collapsed="false">
      <c r="A20" s="0" t="s">
        <v>60</v>
      </c>
      <c r="B20" s="0" t="n">
        <v>-44.8</v>
      </c>
      <c r="C20" s="0" t="s">
        <v>61</v>
      </c>
    </row>
    <row r="21" customFormat="false" ht="15" hidden="false" customHeight="false" outlineLevel="0" collapsed="false">
      <c r="A21" s="0" t="s">
        <v>62</v>
      </c>
      <c r="B21" s="0" t="n">
        <v>0.84</v>
      </c>
      <c r="C21" s="0" t="s">
        <v>63</v>
      </c>
    </row>
    <row r="22" customFormat="false" ht="15" hidden="false" customHeight="false" outlineLevel="0" collapsed="false">
      <c r="A22" s="0" t="s">
        <v>64</v>
      </c>
      <c r="B22" s="0" t="n">
        <v>222.65</v>
      </c>
      <c r="C22" s="0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72</v>
      </c>
      <c r="H1" s="2" t="s">
        <v>73</v>
      </c>
      <c r="I1" s="2" t="s">
        <v>74</v>
      </c>
      <c r="J1" s="2" t="s">
        <v>75</v>
      </c>
      <c r="K1" s="2" t="s">
        <v>76</v>
      </c>
      <c r="L1" s="2" t="s">
        <v>77</v>
      </c>
      <c r="M1" s="2" t="s">
        <v>78</v>
      </c>
      <c r="N1" s="2" t="s">
        <v>79</v>
      </c>
      <c r="O1" s="2" t="s">
        <v>80</v>
      </c>
      <c r="P1" s="2" t="s">
        <v>81</v>
      </c>
      <c r="Q1" s="2" t="s">
        <v>82</v>
      </c>
      <c r="R1" s="2" t="s">
        <v>83</v>
      </c>
      <c r="S1" s="2" t="s">
        <v>84</v>
      </c>
      <c r="T1" s="2" t="s">
        <v>85</v>
      </c>
      <c r="U1" s="2" t="s">
        <v>86</v>
      </c>
      <c r="V1" s="2" t="s">
        <v>87</v>
      </c>
      <c r="W1" s="2" t="s">
        <v>88</v>
      </c>
      <c r="X1" s="2" t="s">
        <v>89</v>
      </c>
      <c r="Y1" s="2" t="s">
        <v>90</v>
      </c>
      <c r="Z1" s="2" t="s">
        <v>91</v>
      </c>
      <c r="AA1" s="2" t="s">
        <v>16</v>
      </c>
      <c r="AB1" s="2" t="s">
        <v>92</v>
      </c>
      <c r="AC1" s="2" t="s">
        <v>93</v>
      </c>
      <c r="AD1" s="2" t="s">
        <v>94</v>
      </c>
      <c r="AE1" s="2" t="s">
        <v>95</v>
      </c>
      <c r="AF1" s="2" t="s">
        <v>96</v>
      </c>
      <c r="AG1" s="2" t="s">
        <v>97</v>
      </c>
      <c r="AH1" s="2" t="s">
        <v>98</v>
      </c>
      <c r="AI1" s="2" t="s">
        <v>99</v>
      </c>
      <c r="AJ1" s="2" t="s">
        <v>100</v>
      </c>
      <c r="AK1" s="2" t="s">
        <v>101</v>
      </c>
      <c r="AL1" s="2" t="s">
        <v>102</v>
      </c>
      <c r="AM1" s="2" t="s">
        <v>103</v>
      </c>
      <c r="AN1" s="2" t="s">
        <v>104</v>
      </c>
      <c r="AO1" s="2" t="s">
        <v>105</v>
      </c>
      <c r="AP1" s="2" t="s">
        <v>106</v>
      </c>
      <c r="AQ1" s="2" t="s">
        <v>107</v>
      </c>
      <c r="AR1" s="2" t="s">
        <v>108</v>
      </c>
      <c r="AS1" s="2" t="s">
        <v>109</v>
      </c>
      <c r="AT1" s="2" t="s">
        <v>110</v>
      </c>
    </row>
    <row r="2" customFormat="false" ht="15" hidden="false" customHeight="false" outlineLevel="0" collapsed="false">
      <c r="A2" s="0" t="s">
        <v>111</v>
      </c>
      <c r="O2" s="0" t="n">
        <v>71570</v>
      </c>
      <c r="S2" s="0" t="n">
        <v>14778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112</v>
      </c>
      <c r="B3" s="0" t="n">
        <v>55519</v>
      </c>
      <c r="C3" s="0" t="n">
        <v>21993</v>
      </c>
      <c r="D3" s="0" t="n">
        <v>33526</v>
      </c>
      <c r="E3" s="0" t="n">
        <v>60.3865343395955</v>
      </c>
      <c r="F3" s="0" t="n">
        <v>15403</v>
      </c>
      <c r="G3" s="0" t="n">
        <v>27.743655325204</v>
      </c>
      <c r="I3" s="0" t="n">
        <v>12733</v>
      </c>
      <c r="J3" s="0" t="n">
        <v>22.9344908950089</v>
      </c>
      <c r="K3" s="0" t="n">
        <v>0.9395</v>
      </c>
      <c r="L3" s="0" t="n">
        <v>18659</v>
      </c>
      <c r="M3" s="0" t="n">
        <v>7358</v>
      </c>
      <c r="N3" s="0" t="n">
        <v>11301</v>
      </c>
      <c r="O3" s="0" t="n">
        <v>86977</v>
      </c>
      <c r="S3" s="0" t="n">
        <v>18898</v>
      </c>
      <c r="T3" s="0" t="n">
        <v>13553</v>
      </c>
      <c r="U3" s="0" t="n">
        <v>3343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113</v>
      </c>
      <c r="B4" s="0" t="n">
        <v>66001</v>
      </c>
      <c r="C4" s="0" t="n">
        <v>25691</v>
      </c>
      <c r="D4" s="0" t="n">
        <v>40310</v>
      </c>
      <c r="E4" s="0" t="n">
        <v>61.0748321995121</v>
      </c>
      <c r="F4" s="0" t="n">
        <v>16496</v>
      </c>
      <c r="G4" s="0" t="n">
        <v>24.9935607036257</v>
      </c>
      <c r="I4" s="0" t="n">
        <v>14136</v>
      </c>
      <c r="J4" s="0" t="n">
        <v>21.4178573051924</v>
      </c>
      <c r="K4" s="0" t="n">
        <v>1.0285</v>
      </c>
      <c r="L4" s="0" t="n">
        <v>23024</v>
      </c>
      <c r="M4" s="0" t="n">
        <v>11014</v>
      </c>
      <c r="N4" s="0" t="n">
        <v>12010</v>
      </c>
      <c r="O4" s="0" t="n">
        <v>103860</v>
      </c>
      <c r="P4" s="0" t="n">
        <v>129187</v>
      </c>
      <c r="R4" s="0" t="n">
        <v>5237</v>
      </c>
      <c r="S4" s="0" t="n">
        <v>18347</v>
      </c>
      <c r="T4" s="0" t="n">
        <v>13744.3</v>
      </c>
      <c r="U4" s="0" t="n">
        <v>4279</v>
      </c>
      <c r="AA4" s="0" t="s">
        <v>17</v>
      </c>
      <c r="AB4" s="0" t="s">
        <v>14</v>
      </c>
      <c r="AD4" s="0" t="n">
        <v>-7</v>
      </c>
      <c r="AH4" s="0" t="n">
        <v>14539</v>
      </c>
      <c r="AN4" s="0" t="n">
        <v>-1893</v>
      </c>
      <c r="AO4" s="0" t="n">
        <v>327</v>
      </c>
      <c r="AP4" s="0" t="n">
        <v>29</v>
      </c>
      <c r="AQ4" s="0" t="n">
        <v>46048</v>
      </c>
      <c r="AT4" s="0" t="n">
        <v>59624</v>
      </c>
    </row>
    <row r="5" customFormat="false" ht="15" hidden="false" customHeight="false" outlineLevel="0" collapsed="false">
      <c r="A5" s="0" t="s">
        <v>114</v>
      </c>
      <c r="B5" s="0" t="n">
        <v>74989</v>
      </c>
      <c r="C5" s="0" t="n">
        <v>28164</v>
      </c>
      <c r="D5" s="0" t="n">
        <v>46825</v>
      </c>
      <c r="E5" s="0" t="n">
        <v>62.4424915654296</v>
      </c>
      <c r="F5" s="0" t="n">
        <v>19360</v>
      </c>
      <c r="G5" s="0" t="n">
        <v>25.8171198442438</v>
      </c>
      <c r="I5" s="0" t="n">
        <v>16348</v>
      </c>
      <c r="J5" s="0" t="n">
        <v>21.8005307445092</v>
      </c>
      <c r="K5" s="0" t="n">
        <v>1.142</v>
      </c>
      <c r="L5" s="0" t="n">
        <v>26572</v>
      </c>
      <c r="M5" s="0" t="n">
        <v>9950</v>
      </c>
      <c r="N5" s="0" t="n">
        <v>16622</v>
      </c>
      <c r="O5" s="0" t="n">
        <v>120331</v>
      </c>
      <c r="P5" s="0" t="n">
        <v>147461</v>
      </c>
      <c r="Q5" s="0" t="n">
        <v>27130</v>
      </c>
      <c r="R5" s="0" t="n">
        <v>5220</v>
      </c>
      <c r="S5" s="0" t="n">
        <v>16549</v>
      </c>
      <c r="T5" s="0" t="n">
        <v>13858.6</v>
      </c>
      <c r="U5" s="0" t="n">
        <v>5203</v>
      </c>
      <c r="AA5" s="0" t="s">
        <v>17</v>
      </c>
      <c r="AB5" s="0" t="s">
        <v>14</v>
      </c>
      <c r="AD5" s="0" t="n">
        <v>-15</v>
      </c>
      <c r="AH5" s="0" t="n">
        <v>15033</v>
      </c>
      <c r="AM5" s="0" t="n">
        <v>61814</v>
      </c>
      <c r="AN5" s="0" t="n">
        <v>-3456</v>
      </c>
      <c r="AO5" s="0" t="n">
        <v>445</v>
      </c>
      <c r="AP5" s="0" t="n">
        <v>33</v>
      </c>
      <c r="AQ5" s="0" t="n">
        <v>56517</v>
      </c>
      <c r="AR5" s="0" t="n">
        <v>14343</v>
      </c>
      <c r="AT5" s="0" t="n">
        <v>67390</v>
      </c>
    </row>
    <row r="6" customFormat="false" ht="15" hidden="false" customHeight="false" outlineLevel="0" collapsed="false">
      <c r="A6" s="0" t="s">
        <v>115</v>
      </c>
      <c r="B6" s="0" t="n">
        <v>90272</v>
      </c>
      <c r="C6" s="0" t="n">
        <v>35138</v>
      </c>
      <c r="D6" s="0" t="n">
        <v>55134</v>
      </c>
      <c r="E6" s="0" t="n">
        <v>61.0754165189649</v>
      </c>
      <c r="F6" s="0" t="n">
        <v>23716</v>
      </c>
      <c r="G6" s="0" t="n">
        <v>26.2717121588089</v>
      </c>
      <c r="I6" s="0" t="n">
        <v>19478</v>
      </c>
      <c r="J6" s="0" t="n">
        <v>21.5770116979794</v>
      </c>
      <c r="K6" s="0" t="n">
        <v>1.3925</v>
      </c>
      <c r="L6" s="0" t="n">
        <v>36036</v>
      </c>
      <c r="M6" s="0" t="n">
        <v>10212</v>
      </c>
      <c r="N6" s="0" t="n">
        <v>25824</v>
      </c>
      <c r="O6" s="0" t="n">
        <v>139036</v>
      </c>
      <c r="P6" s="0" t="n">
        <v>167497</v>
      </c>
      <c r="Q6" s="0" t="n">
        <v>28461</v>
      </c>
      <c r="R6" s="0" t="n">
        <v>3935</v>
      </c>
      <c r="S6" s="0" t="n">
        <v>12918</v>
      </c>
      <c r="T6" s="0" t="n">
        <v>13987.8</v>
      </c>
      <c r="U6" s="0" t="n">
        <v>6703</v>
      </c>
      <c r="AA6" s="0" t="s">
        <v>17</v>
      </c>
      <c r="AB6" s="0" t="s">
        <v>14</v>
      </c>
      <c r="AD6" s="0" t="n">
        <v>-13</v>
      </c>
      <c r="AH6" s="0" t="n">
        <v>15598</v>
      </c>
      <c r="AM6" s="0" t="n">
        <v>72053</v>
      </c>
      <c r="AN6" s="0" t="n">
        <v>-2741</v>
      </c>
      <c r="AO6" s="0" t="n">
        <v>288</v>
      </c>
      <c r="AP6" s="0" t="n">
        <v>43</v>
      </c>
      <c r="AQ6" s="0" t="n">
        <v>73415</v>
      </c>
      <c r="AR6" s="0" t="n">
        <v>16793</v>
      </c>
      <c r="AT6" s="0" t="n">
        <v>79383</v>
      </c>
    </row>
    <row r="7" customFormat="false" ht="15" hidden="false" customHeight="false" outlineLevel="0" collapsed="false">
      <c r="A7" s="0" t="s">
        <v>116</v>
      </c>
      <c r="B7" s="0" t="n">
        <v>110855</v>
      </c>
      <c r="C7" s="0" t="n">
        <v>45583</v>
      </c>
      <c r="D7" s="0" t="n">
        <v>65272</v>
      </c>
      <c r="E7" s="0" t="n">
        <v>58.8805195976726</v>
      </c>
      <c r="F7" s="0" t="n">
        <v>26178</v>
      </c>
      <c r="G7" s="0" t="n">
        <v>23.6146317261287</v>
      </c>
      <c r="I7" s="0" t="n">
        <v>12662</v>
      </c>
      <c r="J7" s="0" t="n">
        <v>11.4221280050517</v>
      </c>
      <c r="K7" s="0" t="n">
        <v>0.9</v>
      </c>
      <c r="L7" s="0" t="n">
        <v>37091</v>
      </c>
      <c r="M7" s="0" t="n">
        <v>13184</v>
      </c>
      <c r="N7" s="0" t="n">
        <v>23907</v>
      </c>
      <c r="O7" s="0" t="n">
        <v>152502</v>
      </c>
      <c r="P7" s="0" t="n">
        <v>197295</v>
      </c>
      <c r="Q7" s="0" t="n">
        <v>44793</v>
      </c>
      <c r="R7" s="0" t="n">
        <v>3969</v>
      </c>
      <c r="S7" s="0" t="n">
        <v>10715</v>
      </c>
      <c r="T7" s="0" t="n">
        <v>14068.9</v>
      </c>
      <c r="U7" s="0" t="n">
        <v>7679</v>
      </c>
      <c r="AA7" s="0" t="s">
        <v>17</v>
      </c>
      <c r="AB7" s="0" t="s">
        <v>14</v>
      </c>
      <c r="AD7" s="0" t="n">
        <v>-21</v>
      </c>
      <c r="AE7" s="0" t="n">
        <v>8</v>
      </c>
      <c r="AG7" s="0" t="n">
        <v>4056</v>
      </c>
      <c r="AH7" s="0" t="n">
        <v>17616</v>
      </c>
      <c r="AI7" s="0" t="n">
        <v>69811</v>
      </c>
      <c r="AK7" s="0" t="n">
        <v>10914</v>
      </c>
      <c r="AL7" s="0" t="n">
        <v>3</v>
      </c>
      <c r="AM7" s="0" t="n">
        <v>80110</v>
      </c>
      <c r="AN7" s="0" t="n">
        <v>-2734</v>
      </c>
      <c r="AO7" s="0" t="n">
        <v>477</v>
      </c>
      <c r="AP7" s="0" t="n">
        <v>54</v>
      </c>
      <c r="AQ7" s="0" t="n">
        <v>91156</v>
      </c>
      <c r="AR7" s="0" t="n">
        <v>21672</v>
      </c>
      <c r="AS7" s="0" t="n">
        <v>8150</v>
      </c>
      <c r="AT7" s="0" t="n">
        <v>95577</v>
      </c>
    </row>
    <row r="8" customFormat="false" ht="15" hidden="false" customHeight="false" outlineLevel="0" collapsed="false">
      <c r="A8" s="0" t="s">
        <v>117</v>
      </c>
      <c r="B8" s="0" t="n">
        <v>136819</v>
      </c>
      <c r="C8" s="0" t="n">
        <v>59549</v>
      </c>
      <c r="D8" s="0" t="n">
        <v>77270</v>
      </c>
      <c r="E8" s="0" t="n">
        <v>56.4760742294564</v>
      </c>
      <c r="F8" s="0" t="n">
        <v>27524</v>
      </c>
      <c r="G8" s="0" t="n">
        <v>20.1170890007967</v>
      </c>
      <c r="I8" s="0" t="n">
        <v>30736</v>
      </c>
      <c r="J8" s="0" t="n">
        <v>22.4647161578436</v>
      </c>
      <c r="K8" s="0" t="n">
        <v>2.185</v>
      </c>
      <c r="L8" s="0" t="n">
        <v>47971</v>
      </c>
      <c r="M8" s="0" t="n">
        <v>25139</v>
      </c>
      <c r="N8" s="0" t="n">
        <v>22832</v>
      </c>
      <c r="O8" s="0" t="n">
        <v>177628</v>
      </c>
      <c r="P8" s="0" t="n">
        <v>232792</v>
      </c>
      <c r="Q8" s="0" t="n">
        <v>55164</v>
      </c>
      <c r="R8" s="0" t="n">
        <v>4012</v>
      </c>
      <c r="S8" s="0" t="n">
        <v>16701</v>
      </c>
      <c r="T8" s="0" t="n">
        <v>14066.8</v>
      </c>
      <c r="U8" s="0" t="n">
        <v>9353</v>
      </c>
      <c r="AA8" s="0" t="s">
        <v>17</v>
      </c>
      <c r="AB8" s="0" t="s">
        <v>14</v>
      </c>
      <c r="AD8" s="0" t="n">
        <v>-25</v>
      </c>
      <c r="AE8" s="0" t="n">
        <v>12</v>
      </c>
      <c r="AF8" s="0" t="n">
        <v>-4348</v>
      </c>
      <c r="AG8" s="0" t="n">
        <v>5838</v>
      </c>
      <c r="AH8" s="0" t="n">
        <v>20010</v>
      </c>
      <c r="AI8" s="0" t="n">
        <v>85296</v>
      </c>
      <c r="AJ8" s="0" t="n">
        <v>43137</v>
      </c>
      <c r="AK8" s="0" t="n">
        <v>14063</v>
      </c>
      <c r="AL8" s="0" t="n">
        <v>2</v>
      </c>
      <c r="AM8" s="0" t="n">
        <v>98771</v>
      </c>
      <c r="AN8" s="0" t="n">
        <v>-3358</v>
      </c>
      <c r="AO8" s="0" t="n">
        <v>595</v>
      </c>
      <c r="AP8" s="0" t="n">
        <v>62</v>
      </c>
      <c r="AQ8" s="0" t="n">
        <v>92439</v>
      </c>
      <c r="AR8" s="0" t="n">
        <v>26726</v>
      </c>
      <c r="AS8" s="0" t="n">
        <v>11155</v>
      </c>
      <c r="AT8" s="0" t="n">
        <v>116461</v>
      </c>
    </row>
    <row r="9" customFormat="false" ht="15" hidden="false" customHeight="false" outlineLevel="0" collapsed="false">
      <c r="A9" s="0" t="s">
        <v>118</v>
      </c>
      <c r="B9" s="0" t="n">
        <v>161857</v>
      </c>
      <c r="C9" s="0" t="n">
        <v>71896</v>
      </c>
      <c r="D9" s="0" t="n">
        <v>89961</v>
      </c>
      <c r="E9" s="0" t="n">
        <v>55.5805433191027</v>
      </c>
      <c r="F9" s="0" t="n">
        <v>34231</v>
      </c>
      <c r="G9" s="0" t="n">
        <v>21.1489154006314</v>
      </c>
      <c r="I9" s="0" t="n">
        <v>34343</v>
      </c>
      <c r="J9" s="0" t="n">
        <v>21.2181122843003</v>
      </c>
      <c r="K9" s="0" t="n">
        <v>2.458</v>
      </c>
      <c r="L9" s="0" t="n">
        <v>54520</v>
      </c>
      <c r="M9" s="0" t="n">
        <v>23548</v>
      </c>
      <c r="N9" s="0" t="n">
        <v>30972</v>
      </c>
      <c r="O9" s="0" t="n">
        <v>201442</v>
      </c>
      <c r="P9" s="0" t="n">
        <v>275909</v>
      </c>
      <c r="Q9" s="0" t="n">
        <v>74467</v>
      </c>
      <c r="R9" s="0" t="n">
        <v>4554</v>
      </c>
      <c r="S9" s="0" t="n">
        <v>18498</v>
      </c>
      <c r="T9" s="0" t="n">
        <v>13971.9</v>
      </c>
      <c r="U9" s="0" t="n">
        <v>10794</v>
      </c>
      <c r="AA9" s="0" t="s">
        <v>17</v>
      </c>
      <c r="AB9" s="0" t="s">
        <v>14</v>
      </c>
      <c r="AD9" s="0" t="n">
        <v>-7</v>
      </c>
      <c r="AE9" s="0" t="n">
        <v>1</v>
      </c>
      <c r="AF9" s="0" t="n">
        <v>-4645</v>
      </c>
      <c r="AG9" s="0" t="n">
        <v>8918</v>
      </c>
      <c r="AH9" s="0" t="n">
        <v>21547</v>
      </c>
      <c r="AI9" s="0" t="n">
        <v>98115</v>
      </c>
      <c r="AJ9" s="0" t="n">
        <v>48999</v>
      </c>
      <c r="AK9" s="0" t="n">
        <v>17014</v>
      </c>
      <c r="AL9" s="0" t="n">
        <v>9</v>
      </c>
      <c r="AM9" s="0" t="n">
        <v>118899</v>
      </c>
      <c r="AN9" s="0" t="n">
        <v>-4824</v>
      </c>
      <c r="AO9" s="0" t="n">
        <v>659</v>
      </c>
      <c r="AP9" s="0" t="n">
        <v>23</v>
      </c>
      <c r="AQ9" s="0" t="n">
        <v>101177</v>
      </c>
      <c r="AR9" s="0" t="n">
        <v>30089</v>
      </c>
      <c r="AS9" s="0" t="n">
        <v>15149</v>
      </c>
      <c r="AT9" s="0" t="n">
        <v>134811</v>
      </c>
    </row>
    <row r="10" customFormat="false" ht="15" hidden="false" customHeight="false" outlineLevel="0" collapsed="false">
      <c r="A10" s="0" t="s">
        <v>119</v>
      </c>
      <c r="B10" s="0" t="n">
        <v>182527</v>
      </c>
      <c r="C10" s="0" t="n">
        <v>84732</v>
      </c>
      <c r="D10" s="0" t="n">
        <v>97795</v>
      </c>
      <c r="E10" s="0" t="n">
        <v>53.5783747062079</v>
      </c>
      <c r="F10" s="0" t="n">
        <v>41224</v>
      </c>
      <c r="G10" s="0" t="n">
        <v>22.5851517857632</v>
      </c>
      <c r="I10" s="0" t="n">
        <v>40269</v>
      </c>
      <c r="J10" s="0" t="n">
        <v>22.0619415209805</v>
      </c>
      <c r="K10" s="0" t="n">
        <v>2.93</v>
      </c>
      <c r="L10" s="0" t="n">
        <v>65124</v>
      </c>
      <c r="M10" s="0" t="n">
        <v>22281</v>
      </c>
      <c r="N10" s="0" t="n">
        <v>42843</v>
      </c>
      <c r="O10" s="0" t="n">
        <v>222544</v>
      </c>
      <c r="P10" s="0" t="n">
        <v>319616</v>
      </c>
      <c r="Q10" s="0" t="n">
        <v>97072</v>
      </c>
      <c r="R10" s="0" t="n">
        <v>14931</v>
      </c>
      <c r="S10" s="0" t="n">
        <v>26465</v>
      </c>
      <c r="T10" s="0" t="n">
        <v>13743.7</v>
      </c>
      <c r="U10" s="0" t="n">
        <v>12991</v>
      </c>
      <c r="AA10" s="0" t="s">
        <v>17</v>
      </c>
      <c r="AB10" s="0" t="s">
        <v>14</v>
      </c>
      <c r="AC10" s="0" t="n">
        <v>29800</v>
      </c>
      <c r="AD10" s="0" t="n">
        <v>-10</v>
      </c>
      <c r="AF10" s="0" t="n">
        <v>-5607</v>
      </c>
      <c r="AG10" s="0" t="n">
        <v>13059</v>
      </c>
      <c r="AH10" s="0" t="n">
        <v>23090</v>
      </c>
      <c r="AI10" s="0" t="n">
        <v>104062</v>
      </c>
      <c r="AJ10" s="0" t="n">
        <v>54606</v>
      </c>
      <c r="AK10" s="0" t="n">
        <v>21711</v>
      </c>
      <c r="AL10" s="0" t="n">
        <v>15</v>
      </c>
      <c r="AM10" s="0" t="n">
        <v>135301</v>
      </c>
      <c r="AN10" s="0" t="n">
        <v>-4476</v>
      </c>
      <c r="AO10" s="0" t="n">
        <v>657</v>
      </c>
      <c r="AP10" s="0" t="n">
        <v>19</v>
      </c>
      <c r="AQ10" s="0" t="n">
        <v>110229</v>
      </c>
      <c r="AR10" s="0" t="n">
        <v>32778</v>
      </c>
      <c r="AS10" s="0" t="n">
        <v>19772</v>
      </c>
      <c r="AT10" s="0" t="n">
        <v>146924</v>
      </c>
    </row>
    <row r="11" customFormat="false" ht="15" hidden="false" customHeight="false" outlineLevel="0" collapsed="false">
      <c r="A11" s="0" t="s">
        <v>120</v>
      </c>
      <c r="B11" s="0" t="n">
        <v>257637</v>
      </c>
      <c r="C11" s="0" t="n">
        <v>110939</v>
      </c>
      <c r="D11" s="0" t="n">
        <v>146698</v>
      </c>
      <c r="E11" s="0" t="n">
        <v>56.9398029009808</v>
      </c>
      <c r="F11" s="0" t="n">
        <v>78714</v>
      </c>
      <c r="G11" s="0" t="n">
        <v>30.5522886852432</v>
      </c>
      <c r="I11" s="0" t="n">
        <v>76033</v>
      </c>
      <c r="J11" s="0" t="n">
        <v>29.5116772823779</v>
      </c>
      <c r="K11" s="0" t="n">
        <v>5.61</v>
      </c>
      <c r="L11" s="0" t="n">
        <v>91652</v>
      </c>
      <c r="M11" s="0" t="n">
        <v>24640</v>
      </c>
      <c r="N11" s="0" t="n">
        <v>67012</v>
      </c>
      <c r="O11" s="0" t="n">
        <v>251635</v>
      </c>
      <c r="P11" s="0" t="n">
        <v>359268</v>
      </c>
      <c r="Q11" s="0" t="n">
        <v>107633</v>
      </c>
      <c r="R11" s="0" t="n">
        <v>14817</v>
      </c>
      <c r="S11" s="0" t="n">
        <v>20945</v>
      </c>
      <c r="T11" s="0" t="n">
        <v>13553.1</v>
      </c>
      <c r="U11" s="0" t="n">
        <v>15376</v>
      </c>
      <c r="AA11" s="0" t="s">
        <v>17</v>
      </c>
      <c r="AB11" s="0" t="s">
        <v>14</v>
      </c>
      <c r="AC11" s="0" t="n">
        <v>51000</v>
      </c>
      <c r="AD11" s="0" t="n">
        <v>15</v>
      </c>
      <c r="AE11" s="0" t="n">
        <v>35</v>
      </c>
      <c r="AF11" s="0" t="n">
        <v>-3099</v>
      </c>
      <c r="AG11" s="0" t="n">
        <v>19206</v>
      </c>
      <c r="AH11" s="0" t="n">
        <v>31701</v>
      </c>
      <c r="AI11" s="0" t="n">
        <v>148951</v>
      </c>
      <c r="AJ11" s="0" t="n">
        <v>91855</v>
      </c>
      <c r="AK11" s="0" t="n">
        <v>28032</v>
      </c>
      <c r="AL11" s="0" t="n">
        <v>2</v>
      </c>
      <c r="AM11" s="0" t="n">
        <v>156500</v>
      </c>
      <c r="AN11" s="0" t="n">
        <v>-5281</v>
      </c>
      <c r="AO11" s="0" t="n">
        <v>753</v>
      </c>
      <c r="AP11" s="0" t="n">
        <v>23</v>
      </c>
      <c r="AQ11" s="0" t="n">
        <v>118704</v>
      </c>
      <c r="AR11" s="0" t="n">
        <v>45566</v>
      </c>
      <c r="AS11" s="0" t="n">
        <v>28845</v>
      </c>
      <c r="AT11" s="0" t="n">
        <v>209497</v>
      </c>
    </row>
    <row r="12" customFormat="false" ht="15" hidden="false" customHeight="false" outlineLevel="0" collapsed="false">
      <c r="A12" s="0" t="s">
        <v>121</v>
      </c>
      <c r="B12" s="0" t="n">
        <v>282836</v>
      </c>
      <c r="C12" s="0" t="n">
        <v>126203</v>
      </c>
      <c r="D12" s="0" t="n">
        <v>156633</v>
      </c>
      <c r="E12" s="0" t="n">
        <v>55.3794425037831</v>
      </c>
      <c r="F12" s="0" t="n">
        <v>74842</v>
      </c>
      <c r="G12" s="0" t="n">
        <v>26.461270842467</v>
      </c>
      <c r="I12" s="0" t="n">
        <v>59972</v>
      </c>
      <c r="J12" s="0" t="n">
        <v>21.203807153262</v>
      </c>
      <c r="K12" s="0" t="n">
        <v>4.56</v>
      </c>
      <c r="L12" s="0" t="n">
        <v>91495</v>
      </c>
      <c r="M12" s="0" t="n">
        <v>31485</v>
      </c>
      <c r="N12" s="0" t="n">
        <v>60010</v>
      </c>
      <c r="O12" s="0" t="n">
        <v>256144</v>
      </c>
      <c r="P12" s="0" t="n">
        <v>365264</v>
      </c>
      <c r="Q12" s="0" t="n">
        <v>109120</v>
      </c>
      <c r="R12" s="0" t="n">
        <v>14701</v>
      </c>
      <c r="S12" s="0" t="n">
        <v>21879</v>
      </c>
      <c r="T12" s="0" t="n">
        <v>13159</v>
      </c>
      <c r="U12" s="0" t="n">
        <v>19362</v>
      </c>
      <c r="AA12" s="0" t="s">
        <v>17</v>
      </c>
      <c r="AB12" s="0" t="s">
        <v>14</v>
      </c>
      <c r="AC12" s="0" t="n">
        <v>64300</v>
      </c>
      <c r="AE12" s="0" t="n">
        <v>1</v>
      </c>
      <c r="AF12" s="0" t="n">
        <v>-1922</v>
      </c>
      <c r="AG12" s="0" t="n">
        <v>26280</v>
      </c>
      <c r="AH12" s="0" t="n">
        <v>32780</v>
      </c>
      <c r="AI12" s="0" t="n">
        <v>162450</v>
      </c>
      <c r="AJ12" s="0" t="n">
        <v>82699</v>
      </c>
      <c r="AK12" s="0" t="n">
        <v>29055</v>
      </c>
      <c r="AL12" s="0" t="n">
        <v>3</v>
      </c>
      <c r="AM12" s="0" t="n">
        <v>190234</v>
      </c>
      <c r="AN12" s="0" t="n">
        <v>-4636</v>
      </c>
      <c r="AO12" s="0" t="n">
        <v>1068</v>
      </c>
      <c r="AP12" s="0" t="n">
        <v>10</v>
      </c>
      <c r="AQ12" s="0" t="n">
        <v>91883</v>
      </c>
      <c r="AR12" s="0" t="n">
        <v>48955</v>
      </c>
      <c r="AS12" s="0" t="n">
        <v>29243</v>
      </c>
      <c r="AT12" s="0" t="n">
        <v>224473</v>
      </c>
    </row>
    <row r="13" customFormat="false" ht="15" hidden="false" customHeight="false" outlineLevel="0" collapsed="false">
      <c r="A13" s="0" t="s">
        <v>122</v>
      </c>
      <c r="B13" s="0" t="n">
        <v>307394</v>
      </c>
      <c r="C13" s="0" t="n">
        <v>133332</v>
      </c>
      <c r="D13" s="0" t="n">
        <v>174062</v>
      </c>
      <c r="E13" s="0" t="n">
        <v>56.6250479840205</v>
      </c>
      <c r="F13" s="0" t="n">
        <v>84293</v>
      </c>
      <c r="G13" s="0" t="n">
        <v>27.4218104452267</v>
      </c>
      <c r="I13" s="0" t="n">
        <v>73795</v>
      </c>
      <c r="J13" s="0" t="n">
        <v>24.0066494466385</v>
      </c>
      <c r="K13" s="0" t="n">
        <v>5.8</v>
      </c>
      <c r="L13" s="0" t="n">
        <v>101746</v>
      </c>
      <c r="M13" s="0" t="n">
        <v>32251</v>
      </c>
      <c r="N13" s="0" t="n">
        <v>69495</v>
      </c>
      <c r="O13" s="0" t="n">
        <v>283379</v>
      </c>
      <c r="P13" s="0" t="n">
        <v>402392</v>
      </c>
      <c r="Q13" s="0" t="n">
        <v>119013</v>
      </c>
      <c r="R13" s="0" t="n">
        <v>12870</v>
      </c>
      <c r="S13" s="0" t="n">
        <v>24048</v>
      </c>
      <c r="T13" s="0" t="n">
        <v>12722</v>
      </c>
      <c r="U13" s="0" t="n">
        <v>22460</v>
      </c>
      <c r="AA13" s="0" t="s">
        <v>17</v>
      </c>
      <c r="AB13" s="0" t="s">
        <v>14</v>
      </c>
      <c r="AC13" s="0" t="n">
        <v>74100</v>
      </c>
      <c r="AD13" s="0" t="n">
        <v>1</v>
      </c>
      <c r="AE13" s="0" t="n">
        <v>0</v>
      </c>
      <c r="AF13" s="0" t="n">
        <v>1716</v>
      </c>
      <c r="AG13" s="0" t="n">
        <v>33088</v>
      </c>
      <c r="AH13" s="0" t="n">
        <v>31312</v>
      </c>
      <c r="AI13" s="0" t="n">
        <v>175033</v>
      </c>
      <c r="AJ13" s="0" t="n">
        <v>95858</v>
      </c>
      <c r="AK13" s="0" t="n">
        <v>34688</v>
      </c>
      <c r="AM13" s="0" t="n">
        <v>182502</v>
      </c>
      <c r="AN13" s="0" t="n">
        <v>-4095</v>
      </c>
      <c r="AO13" s="0" t="n">
        <v>1527</v>
      </c>
      <c r="AP13" s="0" t="n">
        <v>7</v>
      </c>
      <c r="AQ13" s="0" t="n">
        <v>86868</v>
      </c>
      <c r="AR13" s="0" t="n">
        <v>50886</v>
      </c>
      <c r="AS13" s="0" t="n">
        <v>31510</v>
      </c>
      <c r="AT13" s="0" t="n">
        <v>237855</v>
      </c>
    </row>
    <row r="14" customFormat="false" ht="15" hidden="false" customHeight="false" outlineLevel="0" collapsed="false">
      <c r="A14" s="0" t="s">
        <v>123</v>
      </c>
      <c r="B14" s="0" t="n">
        <v>350018</v>
      </c>
      <c r="C14" s="0" t="n">
        <v>146306</v>
      </c>
      <c r="D14" s="0" t="n">
        <v>203712</v>
      </c>
      <c r="E14" s="0" t="n">
        <v>58.2004354061791</v>
      </c>
      <c r="F14" s="0" t="n">
        <v>112390</v>
      </c>
      <c r="G14" s="0" t="n">
        <v>32.1097772114577</v>
      </c>
      <c r="I14" s="0" t="n">
        <v>100118</v>
      </c>
      <c r="J14" s="0" t="n">
        <v>28.603671811164</v>
      </c>
      <c r="K14" s="0" t="n">
        <v>8.04</v>
      </c>
      <c r="L14" s="0" t="n">
        <v>125299</v>
      </c>
      <c r="M14" s="0" t="n">
        <v>52535</v>
      </c>
      <c r="N14" s="0" t="n">
        <v>72764</v>
      </c>
      <c r="O14" s="0" t="n">
        <v>325084</v>
      </c>
      <c r="P14" s="0" t="n">
        <v>450256</v>
      </c>
      <c r="Q14" s="0" t="n">
        <v>125172</v>
      </c>
      <c r="R14" s="0" t="n">
        <v>14182</v>
      </c>
      <c r="S14" s="0" t="n">
        <v>23466</v>
      </c>
      <c r="T14" s="0" t="n">
        <v>12447</v>
      </c>
      <c r="U14" s="0" t="n">
        <v>22785</v>
      </c>
      <c r="V14" s="0" t="n">
        <v>0.6</v>
      </c>
      <c r="AA14" s="0" t="s">
        <v>17</v>
      </c>
      <c r="AB14" s="0" t="s">
        <v>14</v>
      </c>
      <c r="AC14" s="0" t="n">
        <v>93200</v>
      </c>
      <c r="AD14" s="0" t="n">
        <v>7</v>
      </c>
      <c r="AE14" s="0" t="n">
        <v>10</v>
      </c>
      <c r="AF14" s="0" t="n">
        <v>6112</v>
      </c>
      <c r="AG14" s="0" t="n">
        <v>43229</v>
      </c>
      <c r="AH14" s="0" t="n">
        <v>30359</v>
      </c>
      <c r="AI14" s="0" t="n">
        <v>198084</v>
      </c>
      <c r="AJ14" s="0" t="n">
        <v>121263</v>
      </c>
      <c r="AK14" s="0" t="n">
        <v>40340</v>
      </c>
      <c r="AL14" s="0" t="n">
        <v>-11</v>
      </c>
      <c r="AM14" s="0" t="n">
        <v>183323</v>
      </c>
      <c r="AN14" s="0" t="n">
        <v>-4444</v>
      </c>
      <c r="AO14" s="0" t="n">
        <v>1648</v>
      </c>
      <c r="AP14" s="0" t="n">
        <v>5</v>
      </c>
      <c r="AQ14" s="0" t="n">
        <v>72191</v>
      </c>
      <c r="AR14" s="0" t="n">
        <v>54900</v>
      </c>
      <c r="AS14" s="0" t="n">
        <v>36147</v>
      </c>
      <c r="AT14" s="0" t="n">
        <v>264590</v>
      </c>
    </row>
    <row r="15" customFormat="false" ht="15" hidden="false" customHeight="false" outlineLevel="0" collapsed="false">
      <c r="A15" s="0" t="s">
        <v>124</v>
      </c>
      <c r="B15" s="0" t="n">
        <v>402836</v>
      </c>
      <c r="C15" s="0" t="n">
        <v>162535</v>
      </c>
      <c r="D15" s="0" t="n">
        <v>240301</v>
      </c>
      <c r="E15" s="0" t="n">
        <v>59.65231508604</v>
      </c>
      <c r="F15" s="0" t="n">
        <v>129039</v>
      </c>
      <c r="G15" s="0" t="n">
        <v>32.03263859238</v>
      </c>
      <c r="I15" s="0" t="n">
        <v>132170</v>
      </c>
      <c r="J15" s="0" t="n">
        <v>32.8098779652265</v>
      </c>
      <c r="K15" s="0" t="n">
        <v>10.81</v>
      </c>
      <c r="L15" s="0" t="n">
        <v>164713</v>
      </c>
      <c r="M15" s="0" t="n">
        <v>91447</v>
      </c>
      <c r="N15" s="0" t="n">
        <v>73266</v>
      </c>
      <c r="O15" s="0" t="n">
        <v>415265</v>
      </c>
      <c r="P15" s="0" t="n">
        <v>595281</v>
      </c>
      <c r="Q15" s="0" t="n">
        <v>180016</v>
      </c>
      <c r="R15" s="0" t="n">
        <v>48543</v>
      </c>
      <c r="S15" s="0" t="n">
        <v>30708</v>
      </c>
      <c r="T15" s="0" t="n">
        <v>12230</v>
      </c>
      <c r="U15" s="0" t="n">
        <v>24953</v>
      </c>
      <c r="V15" s="0" t="n">
        <v>0.83</v>
      </c>
      <c r="AA15" s="0" t="s">
        <v>17</v>
      </c>
      <c r="AB15" s="0" t="s">
        <v>14</v>
      </c>
      <c r="AC15" s="0" t="n">
        <v>242800</v>
      </c>
      <c r="AD15" s="0" t="n">
        <v>7</v>
      </c>
      <c r="AE15" s="0" t="n">
        <v>7</v>
      </c>
      <c r="AF15" s="0" t="n">
        <v>13910</v>
      </c>
      <c r="AG15" s="0" t="n">
        <v>58705</v>
      </c>
      <c r="AH15" s="0" t="n">
        <v>29792</v>
      </c>
      <c r="AI15" s="0" t="n">
        <v>224532</v>
      </c>
      <c r="AJ15" s="0" t="n">
        <v>139404</v>
      </c>
      <c r="AK15" s="0" t="n">
        <v>48030</v>
      </c>
      <c r="AM15" s="0" t="n">
        <v>190820</v>
      </c>
      <c r="AN15" s="0" t="n">
        <v>-7515</v>
      </c>
      <c r="AO15" s="0" t="n">
        <v>1537</v>
      </c>
      <c r="AP15" s="0" t="n">
        <v>6</v>
      </c>
      <c r="AQ15" s="0" t="n">
        <v>96135</v>
      </c>
      <c r="AR15" s="0" t="n">
        <v>59926</v>
      </c>
      <c r="AS15" s="0" t="n">
        <v>40367</v>
      </c>
      <c r="AT15" s="0" t="n">
        <v>294691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125</v>
      </c>
      <c r="B1" s="2" t="s">
        <v>37</v>
      </c>
    </row>
    <row r="2" customFormat="false" ht="15" hidden="false" customHeight="false" outlineLevel="0" collapsed="false">
      <c r="A2" s="0" t="s">
        <v>126</v>
      </c>
      <c r="B2" s="3" t="n">
        <v>283.82</v>
      </c>
    </row>
    <row r="3" customFormat="false" ht="15" hidden="false" customHeight="false" outlineLevel="0" collapsed="false">
      <c r="A3" s="0" t="s">
        <v>127</v>
      </c>
      <c r="B3" s="3" t="n">
        <v>12352</v>
      </c>
    </row>
    <row r="4" customFormat="false" ht="15" hidden="false" customHeight="false" outlineLevel="0" collapsed="false">
      <c r="A4" s="0" t="s">
        <v>128</v>
      </c>
      <c r="B4" s="3" t="n">
        <v>-48596</v>
      </c>
    </row>
    <row r="5" customFormat="false" ht="15" hidden="false" customHeight="false" outlineLevel="0" collapsed="false">
      <c r="A5" s="0" t="s">
        <v>129</v>
      </c>
      <c r="B5" s="3" t="n">
        <v>97248</v>
      </c>
    </row>
    <row r="6" customFormat="false" ht="15" hidden="false" customHeight="false" outlineLevel="0" collapsed="false">
      <c r="A6" s="0" t="s">
        <v>130</v>
      </c>
      <c r="B6" s="3" t="n">
        <v>15</v>
      </c>
    </row>
    <row r="7" customFormat="false" ht="15" hidden="false" customHeight="false" outlineLevel="0" collapsed="false">
      <c r="A7" s="0" t="s">
        <v>131</v>
      </c>
      <c r="B7" s="3" t="n">
        <v>498400</v>
      </c>
    </row>
    <row r="8" customFormat="false" ht="15" hidden="false" customHeight="false" outlineLevel="0" collapsed="false">
      <c r="A8" s="0" t="s">
        <v>132</v>
      </c>
      <c r="B8" s="3" t="s">
        <v>133</v>
      </c>
    </row>
    <row r="9" customFormat="false" ht="15" hidden="false" customHeight="false" outlineLevel="0" collapsed="false">
      <c r="A9" s="0" t="s">
        <v>134</v>
      </c>
      <c r="B9" s="3" t="s">
        <v>135</v>
      </c>
    </row>
    <row r="10" customFormat="false" ht="15" hidden="false" customHeight="false" outlineLevel="0" collapsed="false">
      <c r="A10" s="0" t="s">
        <v>136</v>
      </c>
      <c r="B10" s="3" t="n">
        <v>1</v>
      </c>
    </row>
    <row r="12" customFormat="false" ht="15" hidden="false" customHeight="false" outlineLevel="0" collapsed="false">
      <c r="A12" s="2" t="s">
        <v>137</v>
      </c>
      <c r="C12" s="2" t="s">
        <v>138</v>
      </c>
      <c r="D12" s="2" t="s">
        <v>139</v>
      </c>
      <c r="E12" s="2" t="s">
        <v>140</v>
      </c>
      <c r="F12" s="2" t="s">
        <v>141</v>
      </c>
      <c r="G12" s="2" t="s">
        <v>142</v>
      </c>
      <c r="H12" s="2" t="s">
        <v>143</v>
      </c>
      <c r="I12" s="2" t="s">
        <v>144</v>
      </c>
      <c r="J12" s="2" t="s">
        <v>145</v>
      </c>
      <c r="K12" s="2" t="s">
        <v>146</v>
      </c>
      <c r="L12" s="2" t="s">
        <v>147</v>
      </c>
    </row>
    <row r="13" customFormat="false" ht="15" hidden="false" customHeight="false" outlineLevel="0" collapsed="false">
      <c r="A13" s="0" t="s">
        <v>148</v>
      </c>
      <c r="C13" s="3" t="n">
        <v>13</v>
      </c>
      <c r="D13" s="3" t="n">
        <v>8</v>
      </c>
      <c r="E13" s="3" t="n">
        <v>5</v>
      </c>
      <c r="F13" s="3" t="n">
        <v>4</v>
      </c>
      <c r="G13" s="3" t="n">
        <v>3.5</v>
      </c>
      <c r="H13" s="3" t="n">
        <v>3.5</v>
      </c>
      <c r="I13" s="3" t="n">
        <v>3</v>
      </c>
      <c r="J13" s="3" t="n">
        <v>3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149</v>
      </c>
      <c r="C14" s="3" t="n">
        <v>45.5</v>
      </c>
      <c r="D14" s="3" t="n">
        <v>44.5</v>
      </c>
      <c r="E14" s="3" t="n">
        <v>44</v>
      </c>
      <c r="F14" s="3" t="n">
        <v>43.5</v>
      </c>
      <c r="G14" s="3" t="n">
        <v>43.5</v>
      </c>
      <c r="H14" s="3" t="n">
        <v>43.5</v>
      </c>
      <c r="I14" s="3" t="n">
        <v>43.5</v>
      </c>
      <c r="J14" s="3" t="n">
        <v>43.5</v>
      </c>
      <c r="K14" s="3" t="n">
        <v>43.5</v>
      </c>
      <c r="L14" s="3" t="n">
        <v>43.5</v>
      </c>
    </row>
    <row r="15" customFormat="false" ht="15" hidden="false" customHeight="false" outlineLevel="0" collapsed="false">
      <c r="A15" s="0" t="s">
        <v>150</v>
      </c>
      <c r="C15" s="3" t="n">
        <v>8.5</v>
      </c>
      <c r="D15" s="3" t="n">
        <v>8.5</v>
      </c>
      <c r="E15" s="3" t="n">
        <v>8.4</v>
      </c>
      <c r="F15" s="3" t="n">
        <v>8.3</v>
      </c>
      <c r="G15" s="3" t="n">
        <v>8.2</v>
      </c>
      <c r="H15" s="3" t="n">
        <v>8.1</v>
      </c>
      <c r="I15" s="3" t="n">
        <v>8</v>
      </c>
      <c r="J15" s="3" t="n">
        <v>8</v>
      </c>
      <c r="K15" s="3" t="n">
        <v>8</v>
      </c>
      <c r="L15" s="3" t="n">
        <v>8</v>
      </c>
    </row>
    <row r="16" customFormat="false" ht="15" hidden="false" customHeight="false" outlineLevel="0" collapsed="false">
      <c r="A16" s="0" t="s">
        <v>151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152</v>
      </c>
      <c r="C17" s="3" t="n">
        <v>9.5</v>
      </c>
      <c r="D17" s="3" t="n">
        <v>13.5</v>
      </c>
      <c r="E17" s="3" t="n">
        <v>16.5</v>
      </c>
      <c r="F17" s="3" t="n">
        <v>17.5</v>
      </c>
      <c r="G17" s="3" t="n">
        <v>17.5</v>
      </c>
      <c r="H17" s="3" t="n">
        <v>17</v>
      </c>
      <c r="I17" s="3" t="n">
        <v>16.5</v>
      </c>
      <c r="J17" s="3" t="n">
        <v>16.5</v>
      </c>
      <c r="K17" s="3" t="n">
        <v>16.5</v>
      </c>
      <c r="L17" s="3" t="n">
        <v>16.5</v>
      </c>
    </row>
    <row r="18" customFormat="false" ht="15" hidden="false" customHeight="false" outlineLevel="0" collapsed="false">
      <c r="A18" s="0" t="s">
        <v>153</v>
      </c>
      <c r="C18" s="3" t="n">
        <v>53</v>
      </c>
      <c r="D18" s="3" t="n">
        <v>44</v>
      </c>
      <c r="E18" s="3" t="n">
        <v>34</v>
      </c>
      <c r="F18" s="3" t="n">
        <v>27</v>
      </c>
      <c r="G18" s="3" t="n">
        <v>23</v>
      </c>
      <c r="H18" s="3" t="n">
        <v>20</v>
      </c>
      <c r="I18" s="3" t="n">
        <v>18.5</v>
      </c>
      <c r="J18" s="3" t="n">
        <v>17.5</v>
      </c>
      <c r="K18" s="3" t="n">
        <v>17</v>
      </c>
      <c r="L18" s="3" t="n">
        <v>17</v>
      </c>
    </row>
    <row r="19" customFormat="false" ht="15" hidden="false" customHeight="false" outlineLevel="0" collapsed="false">
      <c r="A19" s="0" t="s">
        <v>154</v>
      </c>
      <c r="C19" s="3" t="n">
        <v>8</v>
      </c>
      <c r="D19" s="3" t="n">
        <v>10</v>
      </c>
      <c r="E19" s="3" t="n">
        <v>12</v>
      </c>
      <c r="F19" s="3" t="n">
        <v>14</v>
      </c>
      <c r="G19" s="3" t="n">
        <v>16</v>
      </c>
      <c r="H19" s="3" t="n">
        <v>17</v>
      </c>
      <c r="I19" s="3" t="n">
        <v>18</v>
      </c>
      <c r="J19" s="3" t="n">
        <v>18</v>
      </c>
      <c r="K19" s="3" t="n">
        <v>18</v>
      </c>
      <c r="L19" s="3" t="n">
        <v>18</v>
      </c>
    </row>
    <row r="20" customFormat="false" ht="15" hidden="false" customHeight="false" outlineLevel="0" collapsed="false">
      <c r="A20" s="0" t="s">
        <v>155</v>
      </c>
      <c r="B20" s="3" t="n">
        <v>9</v>
      </c>
    </row>
    <row r="21" customFormat="false" ht="15" hidden="false" customHeight="false" outlineLevel="0" collapsed="false">
      <c r="A21" s="0" t="s">
        <v>156</v>
      </c>
      <c r="B21" s="3" t="n">
        <v>2.5</v>
      </c>
    </row>
    <row r="22" customFormat="false" ht="15" hidden="false" customHeight="false" outlineLevel="0" collapsed="false">
      <c r="A22" s="0" t="s">
        <v>157</v>
      </c>
      <c r="B22" s="3" t="n">
        <v>20</v>
      </c>
    </row>
    <row r="23" customFormat="false" ht="15" hidden="false" customHeight="false" outlineLevel="0" collapsed="false">
      <c r="A23" s="0" t="s">
        <v>158</v>
      </c>
      <c r="B23" s="3" t="n">
        <v>0</v>
      </c>
    </row>
    <row r="24" customFormat="false" ht="15" hidden="false" customHeight="false" outlineLevel="0" collapsed="false">
      <c r="A24" s="0" t="s">
        <v>159</v>
      </c>
      <c r="B24" s="3" t="n">
        <v>0.25</v>
      </c>
    </row>
    <row r="26" customFormat="false" ht="15" hidden="false" customHeight="false" outlineLevel="0" collapsed="false">
      <c r="A26" s="2" t="s">
        <v>160</v>
      </c>
      <c r="C26" s="2" t="s">
        <v>138</v>
      </c>
      <c r="D26" s="2" t="s">
        <v>139</v>
      </c>
      <c r="E26" s="2" t="s">
        <v>140</v>
      </c>
      <c r="F26" s="2" t="s">
        <v>141</v>
      </c>
      <c r="G26" s="2" t="s">
        <v>142</v>
      </c>
      <c r="H26" s="2" t="s">
        <v>143</v>
      </c>
      <c r="I26" s="2" t="s">
        <v>144</v>
      </c>
      <c r="J26" s="2" t="s">
        <v>145</v>
      </c>
      <c r="K26" s="2" t="s">
        <v>146</v>
      </c>
      <c r="L26" s="2" t="s">
        <v>147</v>
      </c>
    </row>
    <row r="27" customFormat="false" ht="15" hidden="false" customHeight="false" outlineLevel="0" collapsed="false">
      <c r="A27" s="0" t="s">
        <v>148</v>
      </c>
      <c r="C27" s="3" t="n">
        <v>21</v>
      </c>
      <c r="D27" s="3" t="n">
        <v>17</v>
      </c>
      <c r="E27" s="3" t="n">
        <v>14</v>
      </c>
      <c r="F27" s="3" t="n">
        <v>11</v>
      </c>
      <c r="G27" s="3" t="n">
        <v>9</v>
      </c>
      <c r="H27" s="3" t="n">
        <v>8</v>
      </c>
      <c r="I27" s="3" t="n">
        <v>7</v>
      </c>
      <c r="J27" s="3" t="n">
        <v>6</v>
      </c>
      <c r="K27" s="3" t="n">
        <v>5</v>
      </c>
      <c r="L27" s="3" t="n">
        <v>4</v>
      </c>
    </row>
    <row r="28" customFormat="false" ht="15" hidden="false" customHeight="false" outlineLevel="0" collapsed="false">
      <c r="A28" s="0" t="s">
        <v>149</v>
      </c>
      <c r="C28" s="3" t="n">
        <v>46.5</v>
      </c>
      <c r="D28" s="3" t="n">
        <v>47</v>
      </c>
      <c r="E28" s="3" t="n">
        <v>47.5</v>
      </c>
      <c r="F28" s="3" t="n">
        <v>48</v>
      </c>
      <c r="G28" s="3" t="n">
        <v>48.5</v>
      </c>
      <c r="H28" s="3" t="n">
        <v>49</v>
      </c>
      <c r="I28" s="3" t="n">
        <v>49</v>
      </c>
      <c r="J28" s="3" t="n">
        <v>49</v>
      </c>
      <c r="K28" s="3" t="n">
        <v>49</v>
      </c>
      <c r="L28" s="3" t="n">
        <v>49</v>
      </c>
    </row>
    <row r="29" customFormat="false" ht="15" hidden="false" customHeight="false" outlineLevel="0" collapsed="false">
      <c r="A29" s="0" t="s">
        <v>150</v>
      </c>
      <c r="C29" s="3" t="n">
        <v>8</v>
      </c>
      <c r="D29" s="3" t="n">
        <v>7.9</v>
      </c>
      <c r="E29" s="3" t="n">
        <v>7.8</v>
      </c>
      <c r="F29" s="3" t="n">
        <v>7.7</v>
      </c>
      <c r="G29" s="3" t="n">
        <v>7.6</v>
      </c>
      <c r="H29" s="3" t="n">
        <v>7.5</v>
      </c>
      <c r="I29" s="3" t="n">
        <v>7.4</v>
      </c>
      <c r="J29" s="3" t="n">
        <v>7.3</v>
      </c>
      <c r="K29" s="3" t="n">
        <v>7.2</v>
      </c>
      <c r="L29" s="3" t="n">
        <v>7.1</v>
      </c>
    </row>
    <row r="30" customFormat="false" ht="15" hidden="false" customHeight="false" outlineLevel="0" collapsed="false">
      <c r="A30" s="0" t="s">
        <v>151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152</v>
      </c>
      <c r="C31" s="3" t="n">
        <v>9</v>
      </c>
      <c r="D31" s="3" t="n">
        <v>13</v>
      </c>
      <c r="E31" s="3" t="n">
        <v>16</v>
      </c>
      <c r="F31" s="3" t="n">
        <v>17.5</v>
      </c>
      <c r="G31" s="3" t="n">
        <v>18</v>
      </c>
      <c r="H31" s="3" t="n">
        <v>17.5</v>
      </c>
      <c r="I31" s="3" t="n">
        <v>17</v>
      </c>
      <c r="J31" s="3" t="n">
        <v>16.5</v>
      </c>
      <c r="K31" s="3" t="n">
        <v>16.2</v>
      </c>
      <c r="L31" s="3" t="n">
        <v>16</v>
      </c>
    </row>
    <row r="32" customFormat="false" ht="15" hidden="false" customHeight="false" outlineLevel="0" collapsed="false">
      <c r="A32" s="0" t="s">
        <v>153</v>
      </c>
      <c r="C32" s="3" t="n">
        <v>50</v>
      </c>
      <c r="D32" s="3" t="n">
        <v>45</v>
      </c>
      <c r="E32" s="3" t="n">
        <v>38.5</v>
      </c>
      <c r="F32" s="3" t="n">
        <v>33</v>
      </c>
      <c r="G32" s="3" t="n">
        <v>28</v>
      </c>
      <c r="H32" s="3" t="n">
        <v>24.5</v>
      </c>
      <c r="I32" s="3" t="n">
        <v>21.5</v>
      </c>
      <c r="J32" s="3" t="n">
        <v>19.5</v>
      </c>
      <c r="K32" s="3" t="n">
        <v>18</v>
      </c>
      <c r="L32" s="3" t="n">
        <v>17</v>
      </c>
    </row>
    <row r="33" customFormat="false" ht="15" hidden="false" customHeight="false" outlineLevel="0" collapsed="false">
      <c r="A33" s="0" t="s">
        <v>154</v>
      </c>
      <c r="C33" s="3" t="n">
        <v>8</v>
      </c>
      <c r="D33" s="3" t="n">
        <v>10</v>
      </c>
      <c r="E33" s="3" t="n">
        <v>12</v>
      </c>
      <c r="F33" s="3" t="n">
        <v>14</v>
      </c>
      <c r="G33" s="3" t="n">
        <v>16</v>
      </c>
      <c r="H33" s="3" t="n">
        <v>17</v>
      </c>
      <c r="I33" s="3" t="n">
        <v>17</v>
      </c>
      <c r="J33" s="3" t="n">
        <v>18</v>
      </c>
      <c r="K33" s="3" t="n">
        <v>18</v>
      </c>
      <c r="L33" s="3" t="n">
        <v>18</v>
      </c>
    </row>
    <row r="34" customFormat="false" ht="15" hidden="false" customHeight="false" outlineLevel="0" collapsed="false">
      <c r="A34" s="0" t="s">
        <v>155</v>
      </c>
      <c r="B34" s="3" t="n">
        <v>9</v>
      </c>
    </row>
    <row r="35" customFormat="false" ht="15" hidden="false" customHeight="false" outlineLevel="0" collapsed="false">
      <c r="A35" s="0" t="s">
        <v>156</v>
      </c>
      <c r="B35" s="3" t="n">
        <v>3.5</v>
      </c>
    </row>
    <row r="36" customFormat="false" ht="15" hidden="false" customHeight="false" outlineLevel="0" collapsed="false">
      <c r="A36" s="0" t="s">
        <v>157</v>
      </c>
      <c r="B36" s="3" t="n">
        <v>20</v>
      </c>
    </row>
    <row r="37" customFormat="false" ht="15" hidden="false" customHeight="false" outlineLevel="0" collapsed="false">
      <c r="A37" s="0" t="s">
        <v>158</v>
      </c>
      <c r="B37" s="3" t="n">
        <v>0</v>
      </c>
    </row>
    <row r="38" customFormat="false" ht="15" hidden="false" customHeight="false" outlineLevel="0" collapsed="false">
      <c r="A38" s="0" t="s">
        <v>159</v>
      </c>
      <c r="B38" s="3" t="n">
        <v>0.5</v>
      </c>
    </row>
    <row r="40" customFormat="false" ht="15" hidden="false" customHeight="false" outlineLevel="0" collapsed="false">
      <c r="A40" s="2" t="s">
        <v>161</v>
      </c>
      <c r="C40" s="2" t="s">
        <v>138</v>
      </c>
      <c r="D40" s="2" t="s">
        <v>139</v>
      </c>
      <c r="E40" s="2" t="s">
        <v>140</v>
      </c>
      <c r="F40" s="2" t="s">
        <v>141</v>
      </c>
      <c r="G40" s="2" t="s">
        <v>142</v>
      </c>
      <c r="H40" s="2" t="s">
        <v>143</v>
      </c>
      <c r="I40" s="2" t="s">
        <v>144</v>
      </c>
      <c r="J40" s="2" t="s">
        <v>145</v>
      </c>
      <c r="K40" s="2" t="s">
        <v>146</v>
      </c>
      <c r="L40" s="2" t="s">
        <v>147</v>
      </c>
    </row>
    <row r="41" customFormat="false" ht="15" hidden="false" customHeight="false" outlineLevel="0" collapsed="false">
      <c r="A41" s="0" t="s">
        <v>148</v>
      </c>
      <c r="C41" s="3" t="n">
        <v>26</v>
      </c>
      <c r="D41" s="3" t="n">
        <v>22</v>
      </c>
      <c r="E41" s="3" t="n">
        <v>18</v>
      </c>
      <c r="F41" s="3" t="n">
        <v>14</v>
      </c>
      <c r="G41" s="3" t="n">
        <v>11</v>
      </c>
      <c r="H41" s="3" t="n">
        <v>9</v>
      </c>
      <c r="I41" s="3" t="n">
        <v>8</v>
      </c>
      <c r="J41" s="3" t="n">
        <v>7</v>
      </c>
      <c r="K41" s="3" t="n">
        <v>6</v>
      </c>
      <c r="L41" s="3" t="n">
        <v>5</v>
      </c>
    </row>
    <row r="42" customFormat="false" ht="15" hidden="false" customHeight="false" outlineLevel="0" collapsed="false">
      <c r="A42" s="0" t="s">
        <v>149</v>
      </c>
      <c r="C42" s="3" t="n">
        <v>47</v>
      </c>
      <c r="D42" s="3" t="n">
        <v>48</v>
      </c>
      <c r="E42" s="3" t="n">
        <v>49</v>
      </c>
      <c r="F42" s="3" t="n">
        <v>50</v>
      </c>
      <c r="G42" s="3" t="n">
        <v>51</v>
      </c>
      <c r="H42" s="3" t="n">
        <v>51.5</v>
      </c>
      <c r="I42" s="3" t="n">
        <v>52</v>
      </c>
      <c r="J42" s="3" t="n">
        <v>52</v>
      </c>
      <c r="K42" s="3" t="n">
        <v>52</v>
      </c>
      <c r="L42" s="3" t="n">
        <v>52</v>
      </c>
    </row>
    <row r="43" customFormat="false" ht="15" hidden="false" customHeight="false" outlineLevel="0" collapsed="false">
      <c r="A43" s="0" t="s">
        <v>150</v>
      </c>
      <c r="C43" s="3" t="n">
        <v>7.8</v>
      </c>
      <c r="D43" s="3" t="n">
        <v>7.6</v>
      </c>
      <c r="E43" s="3" t="n">
        <v>7.4</v>
      </c>
      <c r="F43" s="3" t="n">
        <v>7.2</v>
      </c>
      <c r="G43" s="3" t="n">
        <v>7</v>
      </c>
      <c r="H43" s="3" t="n">
        <v>6.8</v>
      </c>
      <c r="I43" s="3" t="n">
        <v>6.6</v>
      </c>
      <c r="J43" s="3" t="n">
        <v>6.5</v>
      </c>
      <c r="K43" s="3" t="n">
        <v>6.4</v>
      </c>
      <c r="L43" s="3" t="n">
        <v>6.3</v>
      </c>
    </row>
    <row r="44" customFormat="false" ht="15" hidden="false" customHeight="false" outlineLevel="0" collapsed="false">
      <c r="A44" s="0" t="s">
        <v>151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152</v>
      </c>
      <c r="C45" s="3" t="n">
        <v>8.5</v>
      </c>
      <c r="D45" s="3" t="n">
        <v>12</v>
      </c>
      <c r="E45" s="3" t="n">
        <v>14.5</v>
      </c>
      <c r="F45" s="3" t="n">
        <v>16</v>
      </c>
      <c r="G45" s="3" t="n">
        <v>16.5</v>
      </c>
      <c r="H45" s="3" t="n">
        <v>16</v>
      </c>
      <c r="I45" s="3" t="n">
        <v>15.5</v>
      </c>
      <c r="J45" s="3" t="n">
        <v>15</v>
      </c>
      <c r="K45" s="3" t="n">
        <v>14.5</v>
      </c>
      <c r="L45" s="3" t="n">
        <v>14</v>
      </c>
    </row>
    <row r="46" customFormat="false" ht="15" hidden="false" customHeight="false" outlineLevel="0" collapsed="false">
      <c r="A46" s="0" t="s">
        <v>153</v>
      </c>
      <c r="C46" s="3" t="n">
        <v>48</v>
      </c>
      <c r="D46" s="3" t="n">
        <v>41</v>
      </c>
      <c r="E46" s="3" t="n">
        <v>34</v>
      </c>
      <c r="F46" s="3" t="n">
        <v>28</v>
      </c>
      <c r="G46" s="3" t="n">
        <v>24</v>
      </c>
      <c r="H46" s="3" t="n">
        <v>21</v>
      </c>
      <c r="I46" s="3" t="n">
        <v>18.5</v>
      </c>
      <c r="J46" s="3" t="n">
        <v>17</v>
      </c>
      <c r="K46" s="3" t="n">
        <v>16</v>
      </c>
      <c r="L46" s="3" t="n">
        <v>15</v>
      </c>
    </row>
    <row r="47" customFormat="false" ht="15" hidden="false" customHeight="false" outlineLevel="0" collapsed="false">
      <c r="A47" s="0" t="s">
        <v>154</v>
      </c>
      <c r="C47" s="3" t="n">
        <v>8</v>
      </c>
      <c r="D47" s="3" t="n">
        <v>10</v>
      </c>
      <c r="E47" s="3" t="n">
        <v>12</v>
      </c>
      <c r="F47" s="3" t="n">
        <v>14</v>
      </c>
      <c r="G47" s="3" t="n">
        <v>16</v>
      </c>
      <c r="H47" s="3" t="n">
        <v>17</v>
      </c>
      <c r="I47" s="3" t="n">
        <v>17</v>
      </c>
      <c r="J47" s="3" t="n">
        <v>18</v>
      </c>
      <c r="K47" s="3" t="n">
        <v>18</v>
      </c>
      <c r="L47" s="3" t="n">
        <v>18</v>
      </c>
    </row>
    <row r="48" customFormat="false" ht="15" hidden="false" customHeight="false" outlineLevel="0" collapsed="false">
      <c r="A48" s="0" t="s">
        <v>155</v>
      </c>
      <c r="B48" s="3" t="n">
        <v>9</v>
      </c>
    </row>
    <row r="49" customFormat="false" ht="15" hidden="false" customHeight="false" outlineLevel="0" collapsed="false">
      <c r="A49" s="0" t="s">
        <v>156</v>
      </c>
      <c r="B49" s="3" t="n">
        <v>4</v>
      </c>
    </row>
    <row r="50" customFormat="false" ht="15" hidden="false" customHeight="false" outlineLevel="0" collapsed="false">
      <c r="A50" s="0" t="s">
        <v>157</v>
      </c>
      <c r="B50" s="3" t="n">
        <v>20</v>
      </c>
    </row>
    <row r="51" customFormat="false" ht="15" hidden="false" customHeight="false" outlineLevel="0" collapsed="false">
      <c r="A51" s="0" t="s">
        <v>158</v>
      </c>
      <c r="B51" s="3" t="n">
        <v>0</v>
      </c>
    </row>
    <row r="52" customFormat="false" ht="15" hidden="false" customHeight="false" outlineLevel="0" collapsed="false">
      <c r="A52" s="0" t="s">
        <v>159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162</v>
      </c>
    </row>
    <row r="3" customFormat="false" ht="15" hidden="false" customHeight="false" outlineLevel="0" collapsed="false">
      <c r="A3" s="0" t="s">
        <v>163</v>
      </c>
      <c r="B3" s="0" t="s">
        <v>133</v>
      </c>
      <c r="C3" s="2" t="s">
        <v>138</v>
      </c>
      <c r="D3" s="2" t="s">
        <v>139</v>
      </c>
      <c r="E3" s="2" t="s">
        <v>140</v>
      </c>
      <c r="F3" s="2" t="s">
        <v>141</v>
      </c>
      <c r="G3" s="2" t="s">
        <v>142</v>
      </c>
      <c r="H3" s="2" t="s">
        <v>143</v>
      </c>
      <c r="I3" s="2" t="s">
        <v>144</v>
      </c>
      <c r="J3" s="2" t="s">
        <v>145</v>
      </c>
      <c r="K3" s="2" t="s">
        <v>146</v>
      </c>
      <c r="L3" s="2" t="s">
        <v>147</v>
      </c>
    </row>
    <row r="4" customFormat="false" ht="15" hidden="false" customHeight="false" outlineLevel="0" collapsed="false">
      <c r="A4" s="0" t="s">
        <v>164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148</v>
      </c>
      <c r="C5" s="4" t="n">
        <f aca="false">Assumptions!C13</f>
        <v>13</v>
      </c>
      <c r="D5" s="4" t="n">
        <f aca="false">Assumptions!D13</f>
        <v>8</v>
      </c>
      <c r="E5" s="4" t="n">
        <f aca="false">Assumptions!E13</f>
        <v>5</v>
      </c>
      <c r="F5" s="4" t="n">
        <f aca="false">Assumptions!F13</f>
        <v>4</v>
      </c>
      <c r="G5" s="4" t="n">
        <f aca="false">Assumptions!G13</f>
        <v>3.5</v>
      </c>
      <c r="H5" s="4" t="n">
        <f aca="false">Assumptions!H13</f>
        <v>3.5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67</v>
      </c>
      <c r="B6" s="3" t="n">
        <v>498400</v>
      </c>
      <c r="C6" s="0" t="n">
        <f aca="false">B6*(1+C5/100)</f>
        <v>563192</v>
      </c>
      <c r="D6" s="0" t="n">
        <f aca="false">C6*(1+D5/100)</f>
        <v>608247.36</v>
      </c>
      <c r="E6" s="0" t="n">
        <f aca="false">D6*(1+E5/100)</f>
        <v>638659.728</v>
      </c>
      <c r="F6" s="0" t="n">
        <f aca="false">E6*(1+F5/100)</f>
        <v>664206.11712</v>
      </c>
      <c r="G6" s="0" t="n">
        <f aca="false">F6*(1+G5/100)</f>
        <v>687453.3312192</v>
      </c>
      <c r="H6" s="0" t="n">
        <f aca="false">G6*(1+H5/100)</f>
        <v>711514.197811872</v>
      </c>
      <c r="I6" s="0" t="n">
        <f aca="false">H6*(1+I5/100)</f>
        <v>732859.623746228</v>
      </c>
      <c r="J6" s="0" t="n">
        <f aca="false">I6*(1+J5/100)</f>
        <v>754845.412458615</v>
      </c>
      <c r="K6" s="0" t="n">
        <f aca="false">J6*(1+K5/100)</f>
        <v>777490.774832374</v>
      </c>
      <c r="L6" s="0" t="n">
        <f aca="false">K6*(1+L5/100)</f>
        <v>800815.498077345</v>
      </c>
    </row>
    <row r="7" customFormat="false" ht="15" hidden="false" customHeight="false" outlineLevel="0" collapsed="false">
      <c r="A7" s="0" t="s">
        <v>149</v>
      </c>
      <c r="C7" s="4" t="n">
        <f aca="false">Assumptions!C14</f>
        <v>45.5</v>
      </c>
      <c r="D7" s="4" t="n">
        <f aca="false">Assumptions!D14</f>
        <v>44.5</v>
      </c>
      <c r="E7" s="4" t="n">
        <f aca="false">Assumptions!E14</f>
        <v>44</v>
      </c>
      <c r="F7" s="4" t="n">
        <f aca="false">Assumptions!F14</f>
        <v>43.5</v>
      </c>
      <c r="G7" s="4" t="n">
        <f aca="false">Assumptions!G14</f>
        <v>43.5</v>
      </c>
      <c r="H7" s="4" t="n">
        <f aca="false">Assumptions!H14</f>
        <v>43.5</v>
      </c>
      <c r="I7" s="4" t="n">
        <f aca="false">Assumptions!I14</f>
        <v>43.5</v>
      </c>
      <c r="J7" s="4" t="n">
        <f aca="false">Assumptions!J14</f>
        <v>43.5</v>
      </c>
      <c r="K7" s="4" t="n">
        <f aca="false">Assumptions!K14</f>
        <v>43.5</v>
      </c>
      <c r="L7" s="4" t="n">
        <f aca="false">Assumptions!L14</f>
        <v>43.5</v>
      </c>
    </row>
    <row r="8" customFormat="false" ht="15" hidden="false" customHeight="false" outlineLevel="0" collapsed="false">
      <c r="A8" s="0" t="s">
        <v>73</v>
      </c>
      <c r="C8" s="0" t="n">
        <f aca="false">C6*C7/100</f>
        <v>256252.36</v>
      </c>
      <c r="D8" s="0" t="n">
        <f aca="false">D6*D7/100</f>
        <v>270670.0752</v>
      </c>
      <c r="E8" s="0" t="n">
        <f aca="false">E6*E7/100</f>
        <v>281010.28032</v>
      </c>
      <c r="F8" s="0" t="n">
        <f aca="false">F6*F7/100</f>
        <v>288929.6609472</v>
      </c>
      <c r="G8" s="0" t="n">
        <f aca="false">G6*G7/100</f>
        <v>299042.199080352</v>
      </c>
      <c r="H8" s="0" t="n">
        <f aca="false">H6*H7/100</f>
        <v>309508.676048164</v>
      </c>
      <c r="I8" s="0" t="n">
        <f aca="false">I6*I7/100</f>
        <v>318793.936329609</v>
      </c>
      <c r="J8" s="0" t="n">
        <f aca="false">J6*J7/100</f>
        <v>328357.754419498</v>
      </c>
      <c r="K8" s="0" t="n">
        <f aca="false">K6*K7/100</f>
        <v>338208.487052083</v>
      </c>
      <c r="L8" s="0" t="n">
        <f aca="false">L6*L7/100</f>
        <v>348354.741663645</v>
      </c>
    </row>
    <row r="9" customFormat="false" ht="15" hidden="false" customHeight="false" outlineLevel="0" collapsed="false">
      <c r="A9" s="0" t="s">
        <v>150</v>
      </c>
      <c r="C9" s="4" t="n">
        <f aca="false">Assumptions!C15</f>
        <v>8.5</v>
      </c>
      <c r="D9" s="4" t="n">
        <f aca="false">Assumptions!D15</f>
        <v>8.5</v>
      </c>
      <c r="E9" s="4" t="n">
        <f aca="false">Assumptions!E15</f>
        <v>8.4</v>
      </c>
      <c r="F9" s="4" t="n">
        <f aca="false">Assumptions!F15</f>
        <v>8.3</v>
      </c>
      <c r="G9" s="4" t="n">
        <f aca="false">Assumptions!G15</f>
        <v>8.2</v>
      </c>
      <c r="H9" s="4" t="n">
        <f aca="false">Assumptions!H15</f>
        <v>8.1</v>
      </c>
      <c r="I9" s="4" t="n">
        <f aca="false">Assumptions!I15</f>
        <v>8</v>
      </c>
      <c r="J9" s="4" t="n">
        <f aca="false">Assumptions!J15</f>
        <v>8</v>
      </c>
      <c r="K9" s="4" t="n">
        <f aca="false">Assumptions!K15</f>
        <v>8</v>
      </c>
      <c r="L9" s="4" t="n">
        <f aca="false">Assumptions!L15</f>
        <v>8</v>
      </c>
    </row>
    <row r="10" customFormat="false" ht="15" hidden="false" customHeight="false" outlineLevel="0" collapsed="false">
      <c r="A10" s="0" t="s">
        <v>165</v>
      </c>
      <c r="C10" s="0" t="n">
        <f aca="false">-C6*C9/100</f>
        <v>-47871.32</v>
      </c>
      <c r="D10" s="0" t="n">
        <f aca="false">-D6*D9/100</f>
        <v>-51701.0256</v>
      </c>
      <c r="E10" s="0" t="n">
        <f aca="false">-E6*E9/100</f>
        <v>-53647.417152</v>
      </c>
      <c r="F10" s="0" t="n">
        <f aca="false">-F6*F9/100</f>
        <v>-55129.10772096</v>
      </c>
      <c r="G10" s="0" t="n">
        <f aca="false">-G6*G9/100</f>
        <v>-56371.1731599744</v>
      </c>
      <c r="H10" s="0" t="n">
        <f aca="false">-H6*H9/100</f>
        <v>-57632.6500227616</v>
      </c>
      <c r="I10" s="0" t="n">
        <f aca="false">-I6*I9/100</f>
        <v>-58628.7698996983</v>
      </c>
      <c r="J10" s="0" t="n">
        <f aca="false">-J6*J9/100</f>
        <v>-60387.6329966892</v>
      </c>
      <c r="K10" s="0" t="n">
        <f aca="false">-K6*K9/100</f>
        <v>-62199.2619865899</v>
      </c>
      <c r="L10" s="0" t="n">
        <f aca="false">-L6*L9/100</f>
        <v>-64065.2398461876</v>
      </c>
    </row>
    <row r="11" customFormat="false" ht="15" hidden="false" customHeight="false" outlineLevel="0" collapsed="false">
      <c r="A11" s="0" t="s">
        <v>166</v>
      </c>
      <c r="C11" s="0" t="n">
        <f aca="false">C8+C10+C24</f>
        <v>208381.04</v>
      </c>
      <c r="D11" s="0" t="n">
        <f aca="false">D8+D10+D24</f>
        <v>218969.0496</v>
      </c>
      <c r="E11" s="0" t="n">
        <f aca="false">E8+E10+E24</f>
        <v>227362.863168</v>
      </c>
      <c r="F11" s="0" t="n">
        <f aca="false">F8+F10+F24</f>
        <v>233800.55322624</v>
      </c>
      <c r="G11" s="0" t="n">
        <f aca="false">G8+G10+G24</f>
        <v>242671.025920378</v>
      </c>
      <c r="H11" s="0" t="n">
        <f aca="false">H8+H10+H24</f>
        <v>251876.026025403</v>
      </c>
      <c r="I11" s="0" t="n">
        <f aca="false">I8+I10+I24</f>
        <v>260165.166429911</v>
      </c>
      <c r="J11" s="0" t="n">
        <f aca="false">J8+J10+J24</f>
        <v>267970.121422808</v>
      </c>
      <c r="K11" s="0" t="n">
        <f aca="false">K8+K10+K24</f>
        <v>276009.225065493</v>
      </c>
      <c r="L11" s="0" t="n">
        <f aca="false">L8+L10+L24</f>
        <v>284289.501817457</v>
      </c>
    </row>
    <row r="12" customFormat="false" ht="15" hidden="false" customHeight="false" outlineLevel="0" collapsed="false">
      <c r="A12" s="0" t="s">
        <v>167</v>
      </c>
      <c r="C12" s="4" t="n">
        <f aca="false">-C6*Assumptions!C17/100</f>
        <v>-53503.24</v>
      </c>
      <c r="D12" s="4" t="n">
        <f aca="false">-D6*Assumptions!D17/100</f>
        <v>-82113.3936</v>
      </c>
      <c r="E12" s="4" t="n">
        <f aca="false">-E6*Assumptions!E17/100</f>
        <v>-105378.85512</v>
      </c>
      <c r="F12" s="4" t="n">
        <f aca="false">-F6*Assumptions!F17/100</f>
        <v>-116236.070496</v>
      </c>
      <c r="G12" s="4" t="n">
        <f aca="false">-G6*Assumptions!G17/100</f>
        <v>-120304.33296336</v>
      </c>
      <c r="H12" s="4" t="n">
        <f aca="false">-H6*Assumptions!H17/100</f>
        <v>-120957.413628018</v>
      </c>
      <c r="I12" s="4" t="n">
        <f aca="false">-I6*Assumptions!I17/100</f>
        <v>-120921.837918128</v>
      </c>
      <c r="J12" s="4" t="n">
        <f aca="false">-J6*Assumptions!J17/100</f>
        <v>-124549.493055671</v>
      </c>
      <c r="K12" s="4" t="n">
        <f aca="false">-K6*Assumptions!K17/100</f>
        <v>-128285.977847342</v>
      </c>
      <c r="L12" s="4" t="n">
        <f aca="false">-L6*Assumptions!L17/100</f>
        <v>-132134.557182762</v>
      </c>
    </row>
    <row r="13" customFormat="false" ht="15" hidden="false" customHeight="false" outlineLevel="0" collapsed="false">
      <c r="A13" s="0" t="s">
        <v>168</v>
      </c>
      <c r="C13" s="0" t="n">
        <f aca="false">C11+C12</f>
        <v>154877.8</v>
      </c>
      <c r="D13" s="0" t="n">
        <f aca="false">D11+D12</f>
        <v>136855.656</v>
      </c>
      <c r="E13" s="0" t="n">
        <f aca="false">E11+E12</f>
        <v>121984.008048</v>
      </c>
      <c r="F13" s="0" t="n">
        <f aca="false">F11+F12</f>
        <v>117564.48273024</v>
      </c>
      <c r="G13" s="0" t="n">
        <f aca="false">G11+G12</f>
        <v>122366.692957018</v>
      </c>
      <c r="H13" s="0" t="n">
        <f aca="false">H11+H12</f>
        <v>130918.612397384</v>
      </c>
      <c r="I13" s="0" t="n">
        <f aca="false">I11+I12</f>
        <v>139243.328511783</v>
      </c>
      <c r="J13" s="0" t="n">
        <f aca="false">J11+J12</f>
        <v>143420.628367137</v>
      </c>
      <c r="K13" s="0" t="n">
        <f aca="false">K11+K12</f>
        <v>147723.247218151</v>
      </c>
      <c r="L13" s="0" t="n">
        <f aca="false">L11+L12</f>
        <v>152154.944634696</v>
      </c>
    </row>
    <row r="14" customFormat="false" ht="15" hidden="false" customHeight="false" outlineLevel="0" collapsed="false">
      <c r="A14" s="0" t="s">
        <v>154</v>
      </c>
      <c r="C14" s="4" t="n">
        <f aca="false">Assumptions!C19</f>
        <v>8</v>
      </c>
      <c r="D14" s="4" t="n">
        <f aca="false">Assumptions!D19</f>
        <v>10</v>
      </c>
      <c r="E14" s="4" t="n">
        <f aca="false">Assumptions!E19</f>
        <v>12</v>
      </c>
      <c r="F14" s="4" t="n">
        <f aca="false">Assumptions!F19</f>
        <v>14</v>
      </c>
      <c r="G14" s="4" t="n">
        <f aca="false">Assumptions!G19</f>
        <v>16</v>
      </c>
      <c r="H14" s="4" t="n">
        <f aca="false">Assumptions!H19</f>
        <v>17</v>
      </c>
      <c r="I14" s="4" t="n">
        <f aca="false">Assumptions!I19</f>
        <v>18</v>
      </c>
      <c r="J14" s="4" t="n">
        <f aca="false">Assumptions!J19</f>
        <v>18</v>
      </c>
      <c r="K14" s="4" t="n">
        <f aca="false">Assumptions!K19</f>
        <v>18</v>
      </c>
      <c r="L14" s="4" t="n">
        <f aca="false">Assumptions!L19</f>
        <v>18</v>
      </c>
    </row>
    <row r="15" customFormat="false" ht="15" hidden="false" customHeight="false" outlineLevel="0" collapsed="false">
      <c r="A15" s="0" t="s">
        <v>169</v>
      </c>
      <c r="C15" s="0" t="n">
        <f aca="false">C13-MAX(0,C13)*C14/100</f>
        <v>142487.576</v>
      </c>
      <c r="D15" s="0" t="n">
        <f aca="false">D13-MAX(0,D13)*D14/100</f>
        <v>123170.0904</v>
      </c>
      <c r="E15" s="0" t="n">
        <f aca="false">E13-MAX(0,E13)*E14/100</f>
        <v>107345.92708224</v>
      </c>
      <c r="F15" s="0" t="n">
        <f aca="false">F13-MAX(0,F13)*F14/100</f>
        <v>101105.455148006</v>
      </c>
      <c r="G15" s="0" t="n">
        <f aca="false">G13-MAX(0,G13)*G14/100</f>
        <v>102788.022083895</v>
      </c>
      <c r="H15" s="0" t="n">
        <f aca="false">H13-MAX(0,H13)*H14/100</f>
        <v>108662.448289829</v>
      </c>
      <c r="I15" s="0" t="n">
        <f aca="false">I13-MAX(0,I13)*I14/100</f>
        <v>114179.529379662</v>
      </c>
      <c r="J15" s="0" t="n">
        <f aca="false">J13-MAX(0,J13)*J14/100</f>
        <v>117604.915261052</v>
      </c>
      <c r="K15" s="0" t="n">
        <f aca="false">K13-MAX(0,K13)*K14/100</f>
        <v>121133.062718884</v>
      </c>
      <c r="L15" s="0" t="n">
        <f aca="false">L13-MAX(0,L13)*L14/100</f>
        <v>124767.05460045</v>
      </c>
    </row>
    <row r="16" customFormat="false" ht="15" hidden="false" customHeight="false" outlineLevel="0" collapsed="false">
      <c r="A16" s="0" t="s">
        <v>170</v>
      </c>
      <c r="C16" s="0" t="n">
        <f aca="false">-C12</f>
        <v>53503.24</v>
      </c>
      <c r="D16" s="0" t="n">
        <f aca="false">-D12</f>
        <v>82113.3936</v>
      </c>
      <c r="E16" s="0" t="n">
        <f aca="false">-E12</f>
        <v>105378.85512</v>
      </c>
      <c r="F16" s="0" t="n">
        <f aca="false">-F12</f>
        <v>116236.070496</v>
      </c>
      <c r="G16" s="0" t="n">
        <f aca="false">-G12</f>
        <v>120304.33296336</v>
      </c>
      <c r="H16" s="0" t="n">
        <f aca="false">-H12</f>
        <v>120957.413628018</v>
      </c>
      <c r="I16" s="0" t="n">
        <f aca="false">-I12</f>
        <v>120921.837918128</v>
      </c>
      <c r="J16" s="0" t="n">
        <f aca="false">-J12</f>
        <v>124549.493055671</v>
      </c>
      <c r="K16" s="0" t="n">
        <f aca="false">-K12</f>
        <v>128285.977847342</v>
      </c>
      <c r="L16" s="0" t="n">
        <f aca="false">-L12</f>
        <v>132134.557182762</v>
      </c>
    </row>
    <row r="17" customFormat="false" ht="15" hidden="false" customHeight="false" outlineLevel="0" collapsed="false">
      <c r="A17" s="0" t="s">
        <v>171</v>
      </c>
      <c r="C17" s="4" t="n">
        <f aca="false">-C6*Assumptions!C18/100</f>
        <v>-298491.76</v>
      </c>
      <c r="D17" s="4" t="n">
        <f aca="false">-D6*Assumptions!D18/100</f>
        <v>-267628.8384</v>
      </c>
      <c r="E17" s="4" t="n">
        <f aca="false">-E6*Assumptions!E18/100</f>
        <v>-217144.30752</v>
      </c>
      <c r="F17" s="4" t="n">
        <f aca="false">-F6*Assumptions!F18/100</f>
        <v>-179335.6516224</v>
      </c>
      <c r="G17" s="4" t="n">
        <f aca="false">-G6*Assumptions!G18/100</f>
        <v>-158114.266180416</v>
      </c>
      <c r="H17" s="4" t="n">
        <f aca="false">-H6*Assumptions!H18/100</f>
        <v>-142302.839562374</v>
      </c>
      <c r="I17" s="4" t="n">
        <f aca="false">-I6*Assumptions!I18/100</f>
        <v>-135579.030393052</v>
      </c>
      <c r="J17" s="4" t="n">
        <f aca="false">-J6*Assumptions!J18/100</f>
        <v>-132097.947180258</v>
      </c>
      <c r="K17" s="4" t="n">
        <f aca="false">-K6*Assumptions!K18/100</f>
        <v>-132173.431721504</v>
      </c>
      <c r="L17" s="4" t="n">
        <f aca="false">-L6*Assumptions!L18/100</f>
        <v>-136138.634673149</v>
      </c>
    </row>
    <row r="18" customFormat="false" ht="15" hidden="false" customHeight="false" outlineLevel="0" collapsed="false">
      <c r="A18" s="0" t="s">
        <v>172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173</v>
      </c>
      <c r="C19" s="0" t="n">
        <f aca="false">C15+C16+C17+C18</f>
        <v>-102500.944</v>
      </c>
      <c r="D19" s="0" t="n">
        <f aca="false">D15+D16+D17+D18</f>
        <v>-62345.3544</v>
      </c>
      <c r="E19" s="0" t="n">
        <f aca="false">E15+E16+E17+E18</f>
        <v>-4419.52531775998</v>
      </c>
      <c r="F19" s="0" t="n">
        <f aca="false">F15+F16+F17+F18</f>
        <v>38005.8740216064</v>
      </c>
      <c r="G19" s="0" t="n">
        <f aca="false">G15+G16+G17+G18</f>
        <v>64978.0888668388</v>
      </c>
      <c r="H19" s="0" t="n">
        <f aca="false">H15+H16+H17+H18</f>
        <v>87317.0223554729</v>
      </c>
      <c r="I19" s="0" t="n">
        <f aca="false">I15+I16+I17+I18</f>
        <v>99522.3369047378</v>
      </c>
      <c r="J19" s="0" t="n">
        <f aca="false">J15+J16+J17+J18</f>
        <v>110056.461136466</v>
      </c>
      <c r="K19" s="0" t="n">
        <f aca="false">K15+K16+K17+K18</f>
        <v>117245.608844722</v>
      </c>
      <c r="L19" s="0" t="n">
        <f aca="false">L15+L16+L17+L18</f>
        <v>120762.977110064</v>
      </c>
    </row>
    <row r="20" customFormat="false" ht="15" hidden="false" customHeight="false" outlineLevel="0" collapsed="false">
      <c r="A20" s="0" t="s">
        <v>174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175</v>
      </c>
      <c r="C21" s="0" t="n">
        <f aca="false">C19*C20</f>
        <v>-94037.5633027523</v>
      </c>
      <c r="D21" s="0" t="n">
        <f aca="false">D19*D20</f>
        <v>-52474.8374715933</v>
      </c>
      <c r="E21" s="0" t="n">
        <f aca="false">E19*E20</f>
        <v>-3412.68444008588</v>
      </c>
      <c r="F21" s="0" t="n">
        <f aca="false">F19*F20</f>
        <v>26924.3193254738</v>
      </c>
      <c r="G21" s="0" t="n">
        <f aca="false">G19*G20</f>
        <v>42231.2993762416</v>
      </c>
      <c r="H21" s="0" t="n">
        <f aca="false">H19*H20</f>
        <v>52064.2875109506</v>
      </c>
      <c r="I21" s="0" t="n">
        <f aca="false">I19*I20</f>
        <v>54442.1264137254</v>
      </c>
      <c r="J21" s="0" t="n">
        <f aca="false">J19*J20</f>
        <v>55233.6267045088</v>
      </c>
      <c r="K21" s="0" t="n">
        <f aca="false">K19*K20</f>
        <v>53983.1353384121</v>
      </c>
      <c r="L21" s="0" t="n">
        <f aca="false">L19*L20</f>
        <v>51011.5866041876</v>
      </c>
    </row>
    <row r="23" customFormat="false" ht="15" hidden="false" customHeight="false" outlineLevel="0" collapsed="false">
      <c r="A23" s="0" t="s">
        <v>151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176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177</v>
      </c>
    </row>
    <row r="27" customFormat="false" ht="15" hidden="false" customHeight="false" outlineLevel="0" collapsed="false">
      <c r="A27" s="0" t="s">
        <v>155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156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157</v>
      </c>
      <c r="B29" s="4" t="n">
        <f aca="false">Assumptions!$B$22</f>
        <v>20</v>
      </c>
    </row>
    <row r="30" customFormat="false" ht="15" hidden="false" customHeight="false" outlineLevel="0" collapsed="false">
      <c r="A30" s="0" t="s">
        <v>178</v>
      </c>
      <c r="B30" s="0" t="n">
        <f aca="false">SUM(C21:L21)</f>
        <v>185965.296059068</v>
      </c>
    </row>
    <row r="31" customFormat="false" ht="15" hidden="false" customHeight="false" outlineLevel="0" collapsed="false">
      <c r="A31" s="0" t="s">
        <v>179</v>
      </c>
      <c r="B31" s="0" t="n">
        <f aca="false">L19</f>
        <v>120762.977110064</v>
      </c>
    </row>
    <row r="32" customFormat="false" ht="15" hidden="false" customHeight="false" outlineLevel="0" collapsed="false">
      <c r="A32" s="0" t="s">
        <v>180</v>
      </c>
      <c r="B32" s="0" t="n">
        <f aca="false">IF(B27&gt;B28,B31*(1+B28/100)/((B27-B28)/100),B31*B29)</f>
        <v>1904339.25442793</v>
      </c>
    </row>
    <row r="33" customFormat="false" ht="15" hidden="false" customHeight="false" outlineLevel="0" collapsed="false">
      <c r="A33" s="0" t="s">
        <v>181</v>
      </c>
      <c r="B33" s="0" t="n">
        <f aca="false">B31*B29</f>
        <v>2415259.54220127</v>
      </c>
    </row>
    <row r="34" customFormat="false" ht="15" hidden="false" customHeight="false" outlineLevel="0" collapsed="false">
      <c r="A34" s="0" t="s">
        <v>182</v>
      </c>
      <c r="B34" s="0" t="n">
        <f aca="false">MAX(0,MIN(B32,B33))</f>
        <v>1904339.25442793</v>
      </c>
    </row>
    <row r="35" customFormat="false" ht="15" hidden="false" customHeight="false" outlineLevel="0" collapsed="false">
      <c r="A35" s="0" t="s">
        <v>183</v>
      </c>
      <c r="B35" s="0" t="n">
        <f aca="false">B34/(1+B27/100)^L4</f>
        <v>804413.481066034</v>
      </c>
    </row>
    <row r="36" customFormat="false" ht="15" hidden="false" customHeight="false" outlineLevel="0" collapsed="false">
      <c r="A36" s="0" t="s">
        <v>184</v>
      </c>
      <c r="B36" s="0" t="n">
        <f aca="false">B30+B35</f>
        <v>990378.777125103</v>
      </c>
    </row>
    <row r="37" customFormat="false" ht="15" hidden="false" customHeight="false" outlineLevel="0" collapsed="false">
      <c r="A37" s="0" t="s">
        <v>185</v>
      </c>
      <c r="B37" s="0" t="n">
        <f aca="false">B36+Assumptions!$B$5-Assumptions!$B$4</f>
        <v>1136222.7771251</v>
      </c>
    </row>
    <row r="38" customFormat="false" ht="15" hidden="false" customHeight="false" outlineLevel="0" collapsed="false">
      <c r="A38" s="0" t="s">
        <v>186</v>
      </c>
      <c r="B38" s="0" t="n">
        <f aca="false">B37/Assumptions!$B$3*Assumptions!$B$10</f>
        <v>91.9869476299468</v>
      </c>
    </row>
    <row r="39" customFormat="false" ht="15" hidden="false" customHeight="false" outlineLevel="0" collapsed="false">
      <c r="A39" s="0" t="s">
        <v>187</v>
      </c>
      <c r="B39" s="4" t="n">
        <f aca="false">B38/Assumptions!$B$2-1</f>
        <v>-0.67589687960698</v>
      </c>
    </row>
    <row r="41" customFormat="false" ht="15" hidden="false" customHeight="false" outlineLevel="0" collapsed="false">
      <c r="A41" s="0" t="s">
        <v>188</v>
      </c>
      <c r="B41" s="0" t="n">
        <f aca="false">SUMPRODUCT(-C10:L10/(1+$B$27/100)^C4:L4)</f>
        <v>356995.300335556</v>
      </c>
    </row>
    <row r="42" customFormat="false" ht="15" hidden="false" customHeight="false" outlineLevel="0" collapsed="false">
      <c r="A42" s="0" t="s">
        <v>189</v>
      </c>
      <c r="B42" s="0" t="n">
        <f aca="false">IF(B27&gt;B28,-L10*(1+B28/100)/((B27-B28)/100),-L10*20)/(1+B27/100)^L4</f>
        <v>426744.552289674</v>
      </c>
    </row>
    <row r="43" customFormat="false" ht="15" hidden="false" customHeight="false" outlineLevel="0" collapsed="false">
      <c r="A43" s="0" t="s">
        <v>190</v>
      </c>
      <c r="B43" s="0" t="n">
        <f aca="false">(B37+B41+B42)/Assumptions!$B$3*Assumptions!$B$10</f>
        <v>155.437389066575</v>
      </c>
    </row>
    <row r="45" customFormat="false" ht="15" hidden="false" customHeight="false" outlineLevel="0" collapsed="false">
      <c r="A45" s="0" t="s">
        <v>130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191</v>
      </c>
      <c r="B46" s="0" t="n">
        <f aca="false">MAX(0,MIN(IF(B45&gt;B28,B31*(1+B28/100)/((B45-B28)/100),B31*B29),B31*B29))</f>
        <v>990256.412302521</v>
      </c>
    </row>
    <row r="47" customFormat="false" ht="15" hidden="false" customHeight="false" outlineLevel="0" collapsed="false">
      <c r="A47" s="0" t="s">
        <v>192</v>
      </c>
      <c r="B47" s="0" t="n">
        <f aca="false">(SUMPRODUCT(C19:L19/(1+B45/100)^C4:L4)+B46/(1+B45/100)^L4+Assumptions!$B$5-Assumptions!$B$4)/Assumptions!$B$3*Assumptions!$B$10</f>
        <v>38.8436876632131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193</v>
      </c>
    </row>
    <row r="3" customFormat="false" ht="15" hidden="false" customHeight="false" outlineLevel="0" collapsed="false">
      <c r="A3" s="0" t="s">
        <v>163</v>
      </c>
      <c r="B3" s="0" t="s">
        <v>133</v>
      </c>
      <c r="C3" s="2" t="s">
        <v>138</v>
      </c>
      <c r="D3" s="2" t="s">
        <v>139</v>
      </c>
      <c r="E3" s="2" t="s">
        <v>140</v>
      </c>
      <c r="F3" s="2" t="s">
        <v>141</v>
      </c>
      <c r="G3" s="2" t="s">
        <v>142</v>
      </c>
      <c r="H3" s="2" t="s">
        <v>143</v>
      </c>
      <c r="I3" s="2" t="s">
        <v>144</v>
      </c>
      <c r="J3" s="2" t="s">
        <v>145</v>
      </c>
      <c r="K3" s="2" t="s">
        <v>146</v>
      </c>
      <c r="L3" s="2" t="s">
        <v>147</v>
      </c>
    </row>
    <row r="4" customFormat="false" ht="15" hidden="false" customHeight="false" outlineLevel="0" collapsed="false">
      <c r="A4" s="0" t="s">
        <v>164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148</v>
      </c>
      <c r="C5" s="4" t="n">
        <f aca="false">Assumptions!C27</f>
        <v>21</v>
      </c>
      <c r="D5" s="4" t="n">
        <f aca="false">Assumptions!D27</f>
        <v>17</v>
      </c>
      <c r="E5" s="4" t="n">
        <f aca="false">Assumptions!E27</f>
        <v>14</v>
      </c>
      <c r="F5" s="4" t="n">
        <f aca="false">Assumptions!F27</f>
        <v>11</v>
      </c>
      <c r="G5" s="4" t="n">
        <f aca="false">Assumptions!G27</f>
        <v>9</v>
      </c>
      <c r="H5" s="4" t="n">
        <f aca="false">Assumptions!H27</f>
        <v>8</v>
      </c>
      <c r="I5" s="4" t="n">
        <f aca="false">Assumptions!I27</f>
        <v>7</v>
      </c>
      <c r="J5" s="4" t="n">
        <f aca="false">Assumptions!J27</f>
        <v>6</v>
      </c>
      <c r="K5" s="4" t="n">
        <f aca="false">Assumptions!K27</f>
        <v>5</v>
      </c>
      <c r="L5" s="4" t="n">
        <f aca="false">Assumptions!L27</f>
        <v>4</v>
      </c>
    </row>
    <row r="6" customFormat="false" ht="15" hidden="false" customHeight="false" outlineLevel="0" collapsed="false">
      <c r="A6" s="0" t="s">
        <v>67</v>
      </c>
      <c r="B6" s="3" t="n">
        <v>498400</v>
      </c>
      <c r="C6" s="0" t="n">
        <f aca="false">B6*(1+C5/100)</f>
        <v>603064</v>
      </c>
      <c r="D6" s="0" t="n">
        <f aca="false">C6*(1+D5/100)</f>
        <v>705584.88</v>
      </c>
      <c r="E6" s="0" t="n">
        <f aca="false">D6*(1+E5/100)</f>
        <v>804366.7632</v>
      </c>
      <c r="F6" s="0" t="n">
        <f aca="false">E6*(1+F5/100)</f>
        <v>892847.107152</v>
      </c>
      <c r="G6" s="0" t="n">
        <f aca="false">F6*(1+G5/100)</f>
        <v>973203.34679568</v>
      </c>
      <c r="H6" s="0" t="n">
        <f aca="false">G6*(1+H5/100)</f>
        <v>1051059.61453933</v>
      </c>
      <c r="I6" s="0" t="n">
        <f aca="false">H6*(1+I5/100)</f>
        <v>1124633.78755709</v>
      </c>
      <c r="J6" s="0" t="n">
        <f aca="false">I6*(1+J5/100)</f>
        <v>1192111.81481051</v>
      </c>
      <c r="K6" s="0" t="n">
        <f aca="false">J6*(1+K5/100)</f>
        <v>1251717.40555104</v>
      </c>
      <c r="L6" s="0" t="n">
        <f aca="false">K6*(1+L5/100)</f>
        <v>1301786.10177308</v>
      </c>
    </row>
    <row r="7" customFormat="false" ht="15" hidden="false" customHeight="false" outlineLevel="0" collapsed="false">
      <c r="A7" s="0" t="s">
        <v>149</v>
      </c>
      <c r="C7" s="4" t="n">
        <f aca="false">Assumptions!C28</f>
        <v>46.5</v>
      </c>
      <c r="D7" s="4" t="n">
        <f aca="false">Assumptions!D28</f>
        <v>47</v>
      </c>
      <c r="E7" s="4" t="n">
        <f aca="false">Assumptions!E28</f>
        <v>47.5</v>
      </c>
      <c r="F7" s="4" t="n">
        <f aca="false">Assumptions!F28</f>
        <v>48</v>
      </c>
      <c r="G7" s="4" t="n">
        <f aca="false">Assumptions!G28</f>
        <v>48.5</v>
      </c>
      <c r="H7" s="4" t="n">
        <f aca="false">Assumptions!H28</f>
        <v>49</v>
      </c>
      <c r="I7" s="4" t="n">
        <f aca="false">Assumptions!I28</f>
        <v>49</v>
      </c>
      <c r="J7" s="4" t="n">
        <f aca="false">Assumptions!J28</f>
        <v>49</v>
      </c>
      <c r="K7" s="4" t="n">
        <f aca="false">Assumptions!K28</f>
        <v>49</v>
      </c>
      <c r="L7" s="4" t="n">
        <f aca="false">Assumptions!L28</f>
        <v>49</v>
      </c>
    </row>
    <row r="8" customFormat="false" ht="15" hidden="false" customHeight="false" outlineLevel="0" collapsed="false">
      <c r="A8" s="0" t="s">
        <v>73</v>
      </c>
      <c r="C8" s="0" t="n">
        <f aca="false">C6*C7/100</f>
        <v>280424.76</v>
      </c>
      <c r="D8" s="0" t="n">
        <f aca="false">D6*D7/100</f>
        <v>331624.8936</v>
      </c>
      <c r="E8" s="0" t="n">
        <f aca="false">E6*E7/100</f>
        <v>382074.21252</v>
      </c>
      <c r="F8" s="0" t="n">
        <f aca="false">F6*F7/100</f>
        <v>428566.61143296</v>
      </c>
      <c r="G8" s="0" t="n">
        <f aca="false">G6*G7/100</f>
        <v>472003.623195905</v>
      </c>
      <c r="H8" s="0" t="n">
        <f aca="false">H6*H7/100</f>
        <v>515019.211124274</v>
      </c>
      <c r="I8" s="0" t="n">
        <f aca="false">I6*I7/100</f>
        <v>551070.555902973</v>
      </c>
      <c r="J8" s="0" t="n">
        <f aca="false">J6*J7/100</f>
        <v>584134.789257152</v>
      </c>
      <c r="K8" s="0" t="n">
        <f aca="false">K6*K7/100</f>
        <v>613341.528720009</v>
      </c>
      <c r="L8" s="0" t="n">
        <f aca="false">L6*L7/100</f>
        <v>637875.18986881</v>
      </c>
    </row>
    <row r="9" customFormat="false" ht="15" hidden="false" customHeight="false" outlineLevel="0" collapsed="false">
      <c r="A9" s="0" t="s">
        <v>150</v>
      </c>
      <c r="C9" s="4" t="n">
        <f aca="false">Assumptions!C29</f>
        <v>8</v>
      </c>
      <c r="D9" s="4" t="n">
        <f aca="false">Assumptions!D29</f>
        <v>7.9</v>
      </c>
      <c r="E9" s="4" t="n">
        <f aca="false">Assumptions!E29</f>
        <v>7.8</v>
      </c>
      <c r="F9" s="4" t="n">
        <f aca="false">Assumptions!F29</f>
        <v>7.7</v>
      </c>
      <c r="G9" s="4" t="n">
        <f aca="false">Assumptions!G29</f>
        <v>7.6</v>
      </c>
      <c r="H9" s="4" t="n">
        <f aca="false">Assumptions!H29</f>
        <v>7.5</v>
      </c>
      <c r="I9" s="4" t="n">
        <f aca="false">Assumptions!I29</f>
        <v>7.4</v>
      </c>
      <c r="J9" s="4" t="n">
        <f aca="false">Assumptions!J29</f>
        <v>7.3</v>
      </c>
      <c r="K9" s="4" t="n">
        <f aca="false">Assumptions!K29</f>
        <v>7.2</v>
      </c>
      <c r="L9" s="4" t="n">
        <f aca="false">Assumptions!L29</f>
        <v>7.1</v>
      </c>
    </row>
    <row r="10" customFormat="false" ht="15" hidden="false" customHeight="false" outlineLevel="0" collapsed="false">
      <c r="A10" s="0" t="s">
        <v>165</v>
      </c>
      <c r="C10" s="0" t="n">
        <f aca="false">-C6*C9/100</f>
        <v>-48245.12</v>
      </c>
      <c r="D10" s="0" t="n">
        <f aca="false">-D6*D9/100</f>
        <v>-55741.20552</v>
      </c>
      <c r="E10" s="0" t="n">
        <f aca="false">-E6*E9/100</f>
        <v>-62740.6075296</v>
      </c>
      <c r="F10" s="0" t="n">
        <f aca="false">-F6*F9/100</f>
        <v>-68749.227250704</v>
      </c>
      <c r="G10" s="0" t="n">
        <f aca="false">-G6*G9/100</f>
        <v>-73963.4543564717</v>
      </c>
      <c r="H10" s="0" t="n">
        <f aca="false">-H6*H9/100</f>
        <v>-78829.4710904501</v>
      </c>
      <c r="I10" s="0" t="n">
        <f aca="false">-I6*I9/100</f>
        <v>-83222.9002792245</v>
      </c>
      <c r="J10" s="0" t="n">
        <f aca="false">-J6*J9/100</f>
        <v>-87024.1624811675</v>
      </c>
      <c r="K10" s="0" t="n">
        <f aca="false">-K6*K9/100</f>
        <v>-90123.6531996748</v>
      </c>
      <c r="L10" s="0" t="n">
        <f aca="false">-L6*L9/100</f>
        <v>-92426.8132258888</v>
      </c>
    </row>
    <row r="11" customFormat="false" ht="15" hidden="false" customHeight="false" outlineLevel="0" collapsed="false">
      <c r="A11" s="0" t="s">
        <v>166</v>
      </c>
      <c r="C11" s="0" t="n">
        <f aca="false">C8+C10+C24</f>
        <v>232179.64</v>
      </c>
      <c r="D11" s="0" t="n">
        <f aca="false">D8+D10+D24</f>
        <v>275883.68808</v>
      </c>
      <c r="E11" s="0" t="n">
        <f aca="false">E8+E10+E24</f>
        <v>319333.6049904</v>
      </c>
      <c r="F11" s="0" t="n">
        <f aca="false">F8+F10+F24</f>
        <v>359817.384182256</v>
      </c>
      <c r="G11" s="0" t="n">
        <f aca="false">G8+G10+G24</f>
        <v>398040.168839433</v>
      </c>
      <c r="H11" s="0" t="n">
        <f aca="false">H8+H10+H24</f>
        <v>436189.740033824</v>
      </c>
      <c r="I11" s="0" t="n">
        <f aca="false">I8+I10+I24</f>
        <v>467847.655623749</v>
      </c>
      <c r="J11" s="0" t="n">
        <f aca="false">J8+J10+J24</f>
        <v>497110.626775984</v>
      </c>
      <c r="K11" s="0" t="n">
        <f aca="false">K8+K10+K24</f>
        <v>523217.875520335</v>
      </c>
      <c r="L11" s="0" t="n">
        <f aca="false">L8+L10+L24</f>
        <v>545448.376642921</v>
      </c>
    </row>
    <row r="12" customFormat="false" ht="15" hidden="false" customHeight="false" outlineLevel="0" collapsed="false">
      <c r="A12" s="0" t="s">
        <v>167</v>
      </c>
      <c r="C12" s="4" t="n">
        <f aca="false">-C6*Assumptions!C31/100</f>
        <v>-54275.76</v>
      </c>
      <c r="D12" s="4" t="n">
        <f aca="false">-D6*Assumptions!D31/100</f>
        <v>-91726.0344</v>
      </c>
      <c r="E12" s="4" t="n">
        <f aca="false">-E6*Assumptions!E31/100</f>
        <v>-128698.682112</v>
      </c>
      <c r="F12" s="4" t="n">
        <f aca="false">-F6*Assumptions!F31/100</f>
        <v>-156248.2437516</v>
      </c>
      <c r="G12" s="4" t="n">
        <f aca="false">-G6*Assumptions!G31/100</f>
        <v>-175176.602423222</v>
      </c>
      <c r="H12" s="4" t="n">
        <f aca="false">-H6*Assumptions!H31/100</f>
        <v>-183935.432544384</v>
      </c>
      <c r="I12" s="4" t="n">
        <f aca="false">-I6*Assumptions!I31/100</f>
        <v>-191187.743884705</v>
      </c>
      <c r="J12" s="4" t="n">
        <f aca="false">-J6*Assumptions!J31/100</f>
        <v>-196698.449443735</v>
      </c>
      <c r="K12" s="4" t="n">
        <f aca="false">-K6*Assumptions!K31/100</f>
        <v>-202778.219699268</v>
      </c>
      <c r="L12" s="4" t="n">
        <f aca="false">-L6*Assumptions!L31/100</f>
        <v>-208285.776283693</v>
      </c>
    </row>
    <row r="13" customFormat="false" ht="15" hidden="false" customHeight="false" outlineLevel="0" collapsed="false">
      <c r="A13" s="0" t="s">
        <v>168</v>
      </c>
      <c r="C13" s="0" t="n">
        <f aca="false">C11+C12</f>
        <v>177903.88</v>
      </c>
      <c r="D13" s="0" t="n">
        <f aca="false">D11+D12</f>
        <v>184157.65368</v>
      </c>
      <c r="E13" s="0" t="n">
        <f aca="false">E11+E12</f>
        <v>190634.9228784</v>
      </c>
      <c r="F13" s="0" t="n">
        <f aca="false">F11+F12</f>
        <v>203569.140430656</v>
      </c>
      <c r="G13" s="0" t="n">
        <f aca="false">G11+G12</f>
        <v>222863.566416211</v>
      </c>
      <c r="H13" s="0" t="n">
        <f aca="false">H11+H12</f>
        <v>252254.30748944</v>
      </c>
      <c r="I13" s="0" t="n">
        <f aca="false">I11+I12</f>
        <v>276659.911739044</v>
      </c>
      <c r="J13" s="0" t="n">
        <f aca="false">J11+J12</f>
        <v>300412.177332249</v>
      </c>
      <c r="K13" s="0" t="n">
        <f aca="false">K11+K12</f>
        <v>320439.655821066</v>
      </c>
      <c r="L13" s="0" t="n">
        <f aca="false">L11+L12</f>
        <v>337162.600359228</v>
      </c>
    </row>
    <row r="14" customFormat="false" ht="15" hidden="false" customHeight="false" outlineLevel="0" collapsed="false">
      <c r="A14" s="0" t="s">
        <v>154</v>
      </c>
      <c r="C14" s="4" t="n">
        <f aca="false">Assumptions!C33</f>
        <v>8</v>
      </c>
      <c r="D14" s="4" t="n">
        <f aca="false">Assumptions!D33</f>
        <v>10</v>
      </c>
      <c r="E14" s="4" t="n">
        <f aca="false">Assumptions!E33</f>
        <v>12</v>
      </c>
      <c r="F14" s="4" t="n">
        <f aca="false">Assumptions!F33</f>
        <v>14</v>
      </c>
      <c r="G14" s="4" t="n">
        <f aca="false">Assumptions!G33</f>
        <v>16</v>
      </c>
      <c r="H14" s="4" t="n">
        <f aca="false">Assumptions!H33</f>
        <v>17</v>
      </c>
      <c r="I14" s="4" t="n">
        <f aca="false">Assumptions!I33</f>
        <v>17</v>
      </c>
      <c r="J14" s="4" t="n">
        <f aca="false">Assumptions!J33</f>
        <v>18</v>
      </c>
      <c r="K14" s="4" t="n">
        <f aca="false">Assumptions!K33</f>
        <v>18</v>
      </c>
      <c r="L14" s="4" t="n">
        <f aca="false">Assumptions!L33</f>
        <v>18</v>
      </c>
    </row>
    <row r="15" customFormat="false" ht="15" hidden="false" customHeight="false" outlineLevel="0" collapsed="false">
      <c r="A15" s="0" t="s">
        <v>169</v>
      </c>
      <c r="C15" s="0" t="n">
        <f aca="false">C13-MAX(0,C13)*C14/100</f>
        <v>163671.5696</v>
      </c>
      <c r="D15" s="0" t="n">
        <f aca="false">D13-MAX(0,D13)*D14/100</f>
        <v>165741.888312</v>
      </c>
      <c r="E15" s="0" t="n">
        <f aca="false">E13-MAX(0,E13)*E14/100</f>
        <v>167758.732132992</v>
      </c>
      <c r="F15" s="0" t="n">
        <f aca="false">F13-MAX(0,F13)*F14/100</f>
        <v>175069.460770364</v>
      </c>
      <c r="G15" s="0" t="n">
        <f aca="false">G13-MAX(0,G13)*G14/100</f>
        <v>187205.395789617</v>
      </c>
      <c r="H15" s="0" t="n">
        <f aca="false">H13-MAX(0,H13)*H14/100</f>
        <v>209371.075216235</v>
      </c>
      <c r="I15" s="0" t="n">
        <f aca="false">I13-MAX(0,I13)*I14/100</f>
        <v>229627.726743406</v>
      </c>
      <c r="J15" s="0" t="n">
        <f aca="false">J13-MAX(0,J13)*J14/100</f>
        <v>246337.985412445</v>
      </c>
      <c r="K15" s="0" t="n">
        <f aca="false">K13-MAX(0,K13)*K14/100</f>
        <v>262760.517773274</v>
      </c>
      <c r="L15" s="0" t="n">
        <f aca="false">L13-MAX(0,L13)*L14/100</f>
        <v>276473.332294567</v>
      </c>
    </row>
    <row r="16" customFormat="false" ht="15" hidden="false" customHeight="false" outlineLevel="0" collapsed="false">
      <c r="A16" s="0" t="s">
        <v>170</v>
      </c>
      <c r="C16" s="0" t="n">
        <f aca="false">-C12</f>
        <v>54275.76</v>
      </c>
      <c r="D16" s="0" t="n">
        <f aca="false">-D12</f>
        <v>91726.0344</v>
      </c>
      <c r="E16" s="0" t="n">
        <f aca="false">-E12</f>
        <v>128698.682112</v>
      </c>
      <c r="F16" s="0" t="n">
        <f aca="false">-F12</f>
        <v>156248.2437516</v>
      </c>
      <c r="G16" s="0" t="n">
        <f aca="false">-G12</f>
        <v>175176.602423222</v>
      </c>
      <c r="H16" s="0" t="n">
        <f aca="false">-H12</f>
        <v>183935.432544384</v>
      </c>
      <c r="I16" s="0" t="n">
        <f aca="false">-I12</f>
        <v>191187.743884705</v>
      </c>
      <c r="J16" s="0" t="n">
        <f aca="false">-J12</f>
        <v>196698.449443735</v>
      </c>
      <c r="K16" s="0" t="n">
        <f aca="false">-K12</f>
        <v>202778.219699268</v>
      </c>
      <c r="L16" s="0" t="n">
        <f aca="false">-L12</f>
        <v>208285.776283693</v>
      </c>
    </row>
    <row r="17" customFormat="false" ht="15" hidden="false" customHeight="false" outlineLevel="0" collapsed="false">
      <c r="A17" s="0" t="s">
        <v>171</v>
      </c>
      <c r="C17" s="4" t="n">
        <f aca="false">-C6*Assumptions!C32/100</f>
        <v>-301532</v>
      </c>
      <c r="D17" s="4" t="n">
        <f aca="false">-D6*Assumptions!D32/100</f>
        <v>-317513.196</v>
      </c>
      <c r="E17" s="4" t="n">
        <f aca="false">-E6*Assumptions!E32/100</f>
        <v>-309681.203832</v>
      </c>
      <c r="F17" s="4" t="n">
        <f aca="false">-F6*Assumptions!F32/100</f>
        <v>-294639.54536016</v>
      </c>
      <c r="G17" s="4" t="n">
        <f aca="false">-G6*Assumptions!G32/100</f>
        <v>-272496.93710279</v>
      </c>
      <c r="H17" s="4" t="n">
        <f aca="false">-H6*Assumptions!H32/100</f>
        <v>-257509.605562137</v>
      </c>
      <c r="I17" s="4" t="n">
        <f aca="false">-I6*Assumptions!I32/100</f>
        <v>-241796.264324774</v>
      </c>
      <c r="J17" s="4" t="n">
        <f aca="false">-J6*Assumptions!J32/100</f>
        <v>-232461.80388805</v>
      </c>
      <c r="K17" s="4" t="n">
        <f aca="false">-K6*Assumptions!K32/100</f>
        <v>-225309.132999187</v>
      </c>
      <c r="L17" s="4" t="n">
        <f aca="false">-L6*Assumptions!L32/100</f>
        <v>-221303.637301424</v>
      </c>
    </row>
    <row r="18" customFormat="false" ht="15" hidden="false" customHeight="false" outlineLevel="0" collapsed="false">
      <c r="A18" s="0" t="s">
        <v>172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173</v>
      </c>
      <c r="C19" s="0" t="n">
        <f aca="false">C15+C16+C17+C18</f>
        <v>-83584.6704</v>
      </c>
      <c r="D19" s="0" t="n">
        <f aca="false">D15+D16+D17+D18</f>
        <v>-60045.273288</v>
      </c>
      <c r="E19" s="0" t="n">
        <f aca="false">E15+E16+E17+E18</f>
        <v>-13223.789587008</v>
      </c>
      <c r="F19" s="0" t="n">
        <f aca="false">F15+F16+F17+F18</f>
        <v>36678.1591618041</v>
      </c>
      <c r="G19" s="0" t="n">
        <f aca="false">G15+G16+G17+G18</f>
        <v>89885.061110049</v>
      </c>
      <c r="H19" s="0" t="n">
        <f aca="false">H15+H16+H17+H18</f>
        <v>135796.902198482</v>
      </c>
      <c r="I19" s="0" t="n">
        <f aca="false">I15+I16+I17+I18</f>
        <v>179019.206303337</v>
      </c>
      <c r="J19" s="0" t="n">
        <f aca="false">J15+J16+J17+J18</f>
        <v>210574.630968129</v>
      </c>
      <c r="K19" s="0" t="n">
        <f aca="false">K15+K16+K17+K18</f>
        <v>240229.604473356</v>
      </c>
      <c r="L19" s="0" t="n">
        <f aca="false">L15+L16+L17+L18</f>
        <v>263455.471276836</v>
      </c>
    </row>
    <row r="20" customFormat="false" ht="15" hidden="false" customHeight="false" outlineLevel="0" collapsed="false">
      <c r="A20" s="0" t="s">
        <v>174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175</v>
      </c>
      <c r="C21" s="0" t="n">
        <f aca="false">C19*C20</f>
        <v>-76683.183853211</v>
      </c>
      <c r="D21" s="0" t="n">
        <f aca="false">D19*D20</f>
        <v>-50538.9052167326</v>
      </c>
      <c r="E21" s="0" t="n">
        <f aca="false">E19*E20</f>
        <v>-10211.1918628911</v>
      </c>
      <c r="F21" s="0" t="n">
        <f aca="false">F19*F20</f>
        <v>25983.732645684</v>
      </c>
      <c r="G21" s="0" t="n">
        <f aca="false">G19*G20</f>
        <v>58419.1223747656</v>
      </c>
      <c r="H21" s="0" t="n">
        <f aca="false">H19*H20</f>
        <v>80971.2558723672</v>
      </c>
      <c r="I21" s="0" t="n">
        <f aca="false">I19*I20</f>
        <v>97929.6363325961</v>
      </c>
      <c r="J21" s="0" t="n">
        <f aca="false">J19*J20</f>
        <v>105680.306637441</v>
      </c>
      <c r="K21" s="0" t="n">
        <f aca="false">K19*K20</f>
        <v>110608.383361746</v>
      </c>
      <c r="L21" s="0" t="n">
        <f aca="false">L19*L20</f>
        <v>111286.438203132</v>
      </c>
    </row>
    <row r="23" customFormat="false" ht="15" hidden="false" customHeight="false" outlineLevel="0" collapsed="false">
      <c r="A23" s="0" t="s">
        <v>151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176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177</v>
      </c>
    </row>
    <row r="27" customFormat="false" ht="15" hidden="false" customHeight="false" outlineLevel="0" collapsed="false">
      <c r="A27" s="0" t="s">
        <v>155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156</v>
      </c>
      <c r="B28" s="4" t="n">
        <f aca="false">Assumptions!$B$35</f>
        <v>3.5</v>
      </c>
    </row>
    <row r="29" customFormat="false" ht="15" hidden="false" customHeight="false" outlineLevel="0" collapsed="false">
      <c r="A29" s="0" t="s">
        <v>157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178</v>
      </c>
      <c r="B30" s="0" t="n">
        <f aca="false">SUM(C21:L21)</f>
        <v>453445.594494898</v>
      </c>
    </row>
    <row r="31" customFormat="false" ht="15" hidden="false" customHeight="false" outlineLevel="0" collapsed="false">
      <c r="A31" s="0" t="s">
        <v>179</v>
      </c>
      <c r="B31" s="0" t="n">
        <f aca="false">L19</f>
        <v>263455.471276836</v>
      </c>
    </row>
    <row r="32" customFormat="false" ht="15" hidden="false" customHeight="false" outlineLevel="0" collapsed="false">
      <c r="A32" s="0" t="s">
        <v>180</v>
      </c>
      <c r="B32" s="0" t="n">
        <f aca="false">IF(B27&gt;B28,B31*(1+B28/100)/((B27-B28)/100),B31*B29)</f>
        <v>4957752.95948228</v>
      </c>
    </row>
    <row r="33" customFormat="false" ht="15" hidden="false" customHeight="false" outlineLevel="0" collapsed="false">
      <c r="A33" s="0" t="s">
        <v>181</v>
      </c>
      <c r="B33" s="0" t="n">
        <f aca="false">B31*B29</f>
        <v>5269109.42553672</v>
      </c>
    </row>
    <row r="34" customFormat="false" ht="15" hidden="false" customHeight="false" outlineLevel="0" collapsed="false">
      <c r="A34" s="0" t="s">
        <v>182</v>
      </c>
      <c r="B34" s="0" t="n">
        <f aca="false">MAX(0,MIN(B32,B33))</f>
        <v>4957752.95948228</v>
      </c>
    </row>
    <row r="35" customFormat="false" ht="15" hidden="false" customHeight="false" outlineLevel="0" collapsed="false">
      <c r="A35" s="0" t="s">
        <v>183</v>
      </c>
      <c r="B35" s="0" t="n">
        <f aca="false">B34/(1+B27/100)^L4</f>
        <v>2094208.4280044</v>
      </c>
    </row>
    <row r="36" customFormat="false" ht="15" hidden="false" customHeight="false" outlineLevel="0" collapsed="false">
      <c r="A36" s="0" t="s">
        <v>184</v>
      </c>
      <c r="B36" s="0" t="n">
        <f aca="false">B30+B35</f>
        <v>2547654.0224993</v>
      </c>
    </row>
    <row r="37" customFormat="false" ht="15" hidden="false" customHeight="false" outlineLevel="0" collapsed="false">
      <c r="A37" s="0" t="s">
        <v>185</v>
      </c>
      <c r="B37" s="0" t="n">
        <f aca="false">B36+Assumptions!$B$5-Assumptions!$B$4</f>
        <v>2693498.0224993</v>
      </c>
    </row>
    <row r="38" customFormat="false" ht="15" hidden="false" customHeight="false" outlineLevel="0" collapsed="false">
      <c r="A38" s="0" t="s">
        <v>186</v>
      </c>
      <c r="B38" s="0" t="n">
        <f aca="false">B37/Assumptions!$B$3*Assumptions!$B$10</f>
        <v>218.061692236018</v>
      </c>
    </row>
    <row r="39" customFormat="false" ht="15" hidden="false" customHeight="false" outlineLevel="0" collapsed="false">
      <c r="A39" s="0" t="s">
        <v>187</v>
      </c>
      <c r="B39" s="4" t="n">
        <f aca="false">B38/Assumptions!$B$2-1</f>
        <v>-0.231690183087808</v>
      </c>
    </row>
    <row r="41" customFormat="false" ht="15" hidden="false" customHeight="false" outlineLevel="0" collapsed="false">
      <c r="A41" s="0" t="s">
        <v>188</v>
      </c>
      <c r="B41" s="0" t="n">
        <f aca="false">SUMPRODUCT(-C10:L10/(1+$B$27/100)^C4:L4)</f>
        <v>453141.177741264</v>
      </c>
    </row>
    <row r="42" customFormat="false" ht="15" hidden="false" customHeight="false" outlineLevel="0" collapsed="false">
      <c r="A42" s="0" t="s">
        <v>189</v>
      </c>
      <c r="B42" s="0" t="n">
        <f aca="false">IF(B27&gt;B28,-L10*(1+B28/100)/((B27-B28)/100),-L10*20)/(1+B27/100)^L4</f>
        <v>734701.04945307</v>
      </c>
    </row>
    <row r="43" customFormat="false" ht="15" hidden="false" customHeight="false" outlineLevel="0" collapsed="false">
      <c r="A43" s="0" t="s">
        <v>190</v>
      </c>
      <c r="B43" s="0" t="n">
        <f aca="false">(B37+B41+B42)/Assumptions!$B$3*Assumptions!$B$10</f>
        <v>314.227675655249</v>
      </c>
    </row>
    <row r="45" customFormat="false" ht="15" hidden="false" customHeight="false" outlineLevel="0" collapsed="false">
      <c r="A45" s="0" t="s">
        <v>130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191</v>
      </c>
      <c r="B46" s="0" t="n">
        <f aca="false">MAX(0,MIN(IF(B45&gt;B28,B31*(1+B28/100)/((B45-B28)/100),B31*B29),B31*B29))</f>
        <v>2371099.24149153</v>
      </c>
    </row>
    <row r="47" customFormat="false" ht="15" hidden="false" customHeight="false" outlineLevel="0" collapsed="false">
      <c r="A47" s="0" t="s">
        <v>192</v>
      </c>
      <c r="B47" s="0" t="n">
        <f aca="false">(SUMPRODUCT(C19:L19/(1+B45/100)^C4:L4)+B46/(1+B45/100)^L4+Assumptions!$B$5-Assumptions!$B$4)/Assumptions!$B$3*Assumptions!$B$10</f>
        <v>80.8840175389681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194</v>
      </c>
    </row>
    <row r="3" customFormat="false" ht="15" hidden="false" customHeight="false" outlineLevel="0" collapsed="false">
      <c r="A3" s="0" t="s">
        <v>163</v>
      </c>
      <c r="B3" s="0" t="s">
        <v>133</v>
      </c>
      <c r="C3" s="2" t="s">
        <v>138</v>
      </c>
      <c r="D3" s="2" t="s">
        <v>139</v>
      </c>
      <c r="E3" s="2" t="s">
        <v>140</v>
      </c>
      <c r="F3" s="2" t="s">
        <v>141</v>
      </c>
      <c r="G3" s="2" t="s">
        <v>142</v>
      </c>
      <c r="H3" s="2" t="s">
        <v>143</v>
      </c>
      <c r="I3" s="2" t="s">
        <v>144</v>
      </c>
      <c r="J3" s="2" t="s">
        <v>145</v>
      </c>
      <c r="K3" s="2" t="s">
        <v>146</v>
      </c>
      <c r="L3" s="2" t="s">
        <v>147</v>
      </c>
    </row>
    <row r="4" customFormat="false" ht="15" hidden="false" customHeight="false" outlineLevel="0" collapsed="false">
      <c r="A4" s="0" t="s">
        <v>164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148</v>
      </c>
      <c r="C5" s="4" t="n">
        <f aca="false">Assumptions!C41</f>
        <v>26</v>
      </c>
      <c r="D5" s="4" t="n">
        <f aca="false">Assumptions!D41</f>
        <v>22</v>
      </c>
      <c r="E5" s="4" t="n">
        <f aca="false">Assumptions!E41</f>
        <v>18</v>
      </c>
      <c r="F5" s="4" t="n">
        <f aca="false">Assumptions!F41</f>
        <v>14</v>
      </c>
      <c r="G5" s="4" t="n">
        <f aca="false">Assumptions!G41</f>
        <v>11</v>
      </c>
      <c r="H5" s="4" t="n">
        <f aca="false">Assumptions!H41</f>
        <v>9</v>
      </c>
      <c r="I5" s="4" t="n">
        <f aca="false">Assumptions!I41</f>
        <v>8</v>
      </c>
      <c r="J5" s="4" t="n">
        <f aca="false">Assumptions!J41</f>
        <v>7</v>
      </c>
      <c r="K5" s="4" t="n">
        <f aca="false">Assumptions!K41</f>
        <v>6</v>
      </c>
      <c r="L5" s="4" t="n">
        <f aca="false">Assumptions!L41</f>
        <v>5</v>
      </c>
    </row>
    <row r="6" customFormat="false" ht="15" hidden="false" customHeight="false" outlineLevel="0" collapsed="false">
      <c r="A6" s="0" t="s">
        <v>67</v>
      </c>
      <c r="B6" s="3" t="n">
        <v>498400</v>
      </c>
      <c r="C6" s="0" t="n">
        <f aca="false">B6*(1+C5/100)</f>
        <v>627984</v>
      </c>
      <c r="D6" s="0" t="n">
        <f aca="false">C6*(1+D5/100)</f>
        <v>766140.48</v>
      </c>
      <c r="E6" s="0" t="n">
        <f aca="false">D6*(1+E5/100)</f>
        <v>904045.7664</v>
      </c>
      <c r="F6" s="0" t="n">
        <f aca="false">E6*(1+F5/100)</f>
        <v>1030612.173696</v>
      </c>
      <c r="G6" s="0" t="n">
        <f aca="false">F6*(1+G5/100)</f>
        <v>1143979.51280256</v>
      </c>
      <c r="H6" s="0" t="n">
        <f aca="false">G6*(1+H5/100)</f>
        <v>1246937.66895479</v>
      </c>
      <c r="I6" s="0" t="n">
        <f aca="false">H6*(1+I5/100)</f>
        <v>1346692.68247117</v>
      </c>
      <c r="J6" s="0" t="n">
        <f aca="false">I6*(1+J5/100)</f>
        <v>1440961.17024416</v>
      </c>
      <c r="K6" s="0" t="n">
        <f aca="false">J6*(1+K5/100)</f>
        <v>1527418.84045881</v>
      </c>
      <c r="L6" s="0" t="n">
        <f aca="false">K6*(1+L5/100)</f>
        <v>1603789.78248175</v>
      </c>
    </row>
    <row r="7" customFormat="false" ht="15" hidden="false" customHeight="false" outlineLevel="0" collapsed="false">
      <c r="A7" s="0" t="s">
        <v>149</v>
      </c>
      <c r="C7" s="4" t="n">
        <f aca="false">Assumptions!C42</f>
        <v>47</v>
      </c>
      <c r="D7" s="4" t="n">
        <f aca="false">Assumptions!D42</f>
        <v>48</v>
      </c>
      <c r="E7" s="4" t="n">
        <f aca="false">Assumptions!E42</f>
        <v>49</v>
      </c>
      <c r="F7" s="4" t="n">
        <f aca="false">Assumptions!F42</f>
        <v>50</v>
      </c>
      <c r="G7" s="4" t="n">
        <f aca="false">Assumptions!G42</f>
        <v>51</v>
      </c>
      <c r="H7" s="4" t="n">
        <f aca="false">Assumptions!H42</f>
        <v>51.5</v>
      </c>
      <c r="I7" s="4" t="n">
        <f aca="false">Assumptions!I42</f>
        <v>52</v>
      </c>
      <c r="J7" s="4" t="n">
        <f aca="false">Assumptions!J42</f>
        <v>52</v>
      </c>
      <c r="K7" s="4" t="n">
        <f aca="false">Assumptions!K42</f>
        <v>52</v>
      </c>
      <c r="L7" s="4" t="n">
        <f aca="false">Assumptions!L42</f>
        <v>52</v>
      </c>
    </row>
    <row r="8" customFormat="false" ht="15" hidden="false" customHeight="false" outlineLevel="0" collapsed="false">
      <c r="A8" s="0" t="s">
        <v>73</v>
      </c>
      <c r="C8" s="0" t="n">
        <f aca="false">C6*C7/100</f>
        <v>295152.48</v>
      </c>
      <c r="D8" s="0" t="n">
        <f aca="false">D6*D7/100</f>
        <v>367747.4304</v>
      </c>
      <c r="E8" s="0" t="n">
        <f aca="false">E6*E7/100</f>
        <v>442982.425536</v>
      </c>
      <c r="F8" s="0" t="n">
        <f aca="false">F6*F7/100</f>
        <v>515306.086848</v>
      </c>
      <c r="G8" s="0" t="n">
        <f aca="false">G6*G7/100</f>
        <v>583429.551529306</v>
      </c>
      <c r="H8" s="0" t="n">
        <f aca="false">H6*H7/100</f>
        <v>642172.899511717</v>
      </c>
      <c r="I8" s="0" t="n">
        <f aca="false">I6*I7/100</f>
        <v>700280.194885011</v>
      </c>
      <c r="J8" s="0" t="n">
        <f aca="false">J6*J7/100</f>
        <v>749299.808526961</v>
      </c>
      <c r="K8" s="0" t="n">
        <f aca="false">K6*K7/100</f>
        <v>794257.797038579</v>
      </c>
      <c r="L8" s="0" t="n">
        <f aca="false">L6*L7/100</f>
        <v>833970.686890508</v>
      </c>
    </row>
    <row r="9" customFormat="false" ht="15" hidden="false" customHeight="false" outlineLevel="0" collapsed="false">
      <c r="A9" s="0" t="s">
        <v>150</v>
      </c>
      <c r="C9" s="4" t="n">
        <f aca="false">Assumptions!C43</f>
        <v>7.8</v>
      </c>
      <c r="D9" s="4" t="n">
        <f aca="false">Assumptions!D43</f>
        <v>7.6</v>
      </c>
      <c r="E9" s="4" t="n">
        <f aca="false">Assumptions!E43</f>
        <v>7.4</v>
      </c>
      <c r="F9" s="4" t="n">
        <f aca="false">Assumptions!F43</f>
        <v>7.2</v>
      </c>
      <c r="G9" s="4" t="n">
        <f aca="false">Assumptions!G43</f>
        <v>7</v>
      </c>
      <c r="H9" s="4" t="n">
        <f aca="false">Assumptions!H43</f>
        <v>6.8</v>
      </c>
      <c r="I9" s="4" t="n">
        <f aca="false">Assumptions!I43</f>
        <v>6.6</v>
      </c>
      <c r="J9" s="4" t="n">
        <f aca="false">Assumptions!J43</f>
        <v>6.5</v>
      </c>
      <c r="K9" s="4" t="n">
        <f aca="false">Assumptions!K43</f>
        <v>6.4</v>
      </c>
      <c r="L9" s="4" t="n">
        <f aca="false">Assumptions!L43</f>
        <v>6.3</v>
      </c>
    </row>
    <row r="10" customFormat="false" ht="15" hidden="false" customHeight="false" outlineLevel="0" collapsed="false">
      <c r="A10" s="0" t="s">
        <v>165</v>
      </c>
      <c r="C10" s="0" t="n">
        <f aca="false">-C6*C9/100</f>
        <v>-48982.752</v>
      </c>
      <c r="D10" s="0" t="n">
        <f aca="false">-D6*D9/100</f>
        <v>-58226.67648</v>
      </c>
      <c r="E10" s="0" t="n">
        <f aca="false">-E6*E9/100</f>
        <v>-66899.3867136</v>
      </c>
      <c r="F10" s="0" t="n">
        <f aca="false">-F6*F9/100</f>
        <v>-74204.076506112</v>
      </c>
      <c r="G10" s="0" t="n">
        <f aca="false">-G6*G9/100</f>
        <v>-80078.5658961792</v>
      </c>
      <c r="H10" s="0" t="n">
        <f aca="false">-H6*H9/100</f>
        <v>-84791.7614889258</v>
      </c>
      <c r="I10" s="0" t="n">
        <f aca="false">-I6*I9/100</f>
        <v>-88881.7170430975</v>
      </c>
      <c r="J10" s="0" t="n">
        <f aca="false">-J6*J9/100</f>
        <v>-93662.4760658702</v>
      </c>
      <c r="K10" s="0" t="n">
        <f aca="false">-K6*K9/100</f>
        <v>-97754.8057893636</v>
      </c>
      <c r="L10" s="0" t="n">
        <f aca="false">-L6*L9/100</f>
        <v>-101038.75629635</v>
      </c>
    </row>
    <row r="11" customFormat="false" ht="15" hidden="false" customHeight="false" outlineLevel="0" collapsed="false">
      <c r="A11" s="0" t="s">
        <v>166</v>
      </c>
      <c r="C11" s="0" t="n">
        <f aca="false">C8+C10+C24</f>
        <v>246169.728</v>
      </c>
      <c r="D11" s="0" t="n">
        <f aca="false">D8+D10+D24</f>
        <v>309520.75392</v>
      </c>
      <c r="E11" s="0" t="n">
        <f aca="false">E8+E10+E24</f>
        <v>376083.0388224</v>
      </c>
      <c r="F11" s="0" t="n">
        <f aca="false">F8+F10+F24</f>
        <v>441102.010341888</v>
      </c>
      <c r="G11" s="0" t="n">
        <f aca="false">G8+G10+G24</f>
        <v>503350.985633127</v>
      </c>
      <c r="H11" s="0" t="n">
        <f aca="false">H8+H10+H24</f>
        <v>557381.138022792</v>
      </c>
      <c r="I11" s="0" t="n">
        <f aca="false">I8+I10+I24</f>
        <v>611398.477841913</v>
      </c>
      <c r="J11" s="0" t="n">
        <f aca="false">J8+J10+J24</f>
        <v>655637.332461091</v>
      </c>
      <c r="K11" s="0" t="n">
        <f aca="false">K8+K10+K24</f>
        <v>696502.991249216</v>
      </c>
      <c r="L11" s="0" t="n">
        <f aca="false">L8+L10+L24</f>
        <v>732931.930594158</v>
      </c>
    </row>
    <row r="12" customFormat="false" ht="15" hidden="false" customHeight="false" outlineLevel="0" collapsed="false">
      <c r="A12" s="0" t="s">
        <v>167</v>
      </c>
      <c r="C12" s="4" t="n">
        <f aca="false">-C6*Assumptions!C45/100</f>
        <v>-53378.64</v>
      </c>
      <c r="D12" s="4" t="n">
        <f aca="false">-D6*Assumptions!D45/100</f>
        <v>-91936.8576</v>
      </c>
      <c r="E12" s="4" t="n">
        <f aca="false">-E6*Assumptions!E45/100</f>
        <v>-131086.636128</v>
      </c>
      <c r="F12" s="4" t="n">
        <f aca="false">-F6*Assumptions!F45/100</f>
        <v>-164897.94779136</v>
      </c>
      <c r="G12" s="4" t="n">
        <f aca="false">-G6*Assumptions!G45/100</f>
        <v>-188756.619612422</v>
      </c>
      <c r="H12" s="4" t="n">
        <f aca="false">-H6*Assumptions!H45/100</f>
        <v>-199510.027032767</v>
      </c>
      <c r="I12" s="4" t="n">
        <f aca="false">-I6*Assumptions!I45/100</f>
        <v>-208737.365783032</v>
      </c>
      <c r="J12" s="4" t="n">
        <f aca="false">-J6*Assumptions!J45/100</f>
        <v>-216144.175536623</v>
      </c>
      <c r="K12" s="4" t="n">
        <f aca="false">-K6*Assumptions!K45/100</f>
        <v>-221475.731866527</v>
      </c>
      <c r="L12" s="4" t="n">
        <f aca="false">-L6*Assumptions!L45/100</f>
        <v>-224530.569547444</v>
      </c>
    </row>
    <row r="13" customFormat="false" ht="15" hidden="false" customHeight="false" outlineLevel="0" collapsed="false">
      <c r="A13" s="0" t="s">
        <v>168</v>
      </c>
      <c r="C13" s="0" t="n">
        <f aca="false">C11+C12</f>
        <v>192791.088</v>
      </c>
      <c r="D13" s="0" t="n">
        <f aca="false">D11+D12</f>
        <v>217583.89632</v>
      </c>
      <c r="E13" s="0" t="n">
        <f aca="false">E11+E12</f>
        <v>244996.4026944</v>
      </c>
      <c r="F13" s="0" t="n">
        <f aca="false">F11+F12</f>
        <v>276204.062550528</v>
      </c>
      <c r="G13" s="0" t="n">
        <f aca="false">G11+G12</f>
        <v>314594.366020704</v>
      </c>
      <c r="H13" s="0" t="n">
        <f aca="false">H11+H12</f>
        <v>357871.110990025</v>
      </c>
      <c r="I13" s="0" t="n">
        <f aca="false">I11+I12</f>
        <v>402661.112058881</v>
      </c>
      <c r="J13" s="0" t="n">
        <f aca="false">J11+J12</f>
        <v>439493.156924468</v>
      </c>
      <c r="K13" s="0" t="n">
        <f aca="false">K11+K12</f>
        <v>475027.259382689</v>
      </c>
      <c r="L13" s="0" t="n">
        <f aca="false">L11+L12</f>
        <v>508401.361046714</v>
      </c>
    </row>
    <row r="14" customFormat="false" ht="15" hidden="false" customHeight="false" outlineLevel="0" collapsed="false">
      <c r="A14" s="0" t="s">
        <v>154</v>
      </c>
      <c r="C14" s="4" t="n">
        <f aca="false">Assumptions!C47</f>
        <v>8</v>
      </c>
      <c r="D14" s="4" t="n">
        <f aca="false">Assumptions!D47</f>
        <v>10</v>
      </c>
      <c r="E14" s="4" t="n">
        <f aca="false">Assumptions!E47</f>
        <v>12</v>
      </c>
      <c r="F14" s="4" t="n">
        <f aca="false">Assumptions!F47</f>
        <v>14</v>
      </c>
      <c r="G14" s="4" t="n">
        <f aca="false">Assumptions!G47</f>
        <v>16</v>
      </c>
      <c r="H14" s="4" t="n">
        <f aca="false">Assumptions!H47</f>
        <v>17</v>
      </c>
      <c r="I14" s="4" t="n">
        <f aca="false">Assumptions!I47</f>
        <v>17</v>
      </c>
      <c r="J14" s="4" t="n">
        <f aca="false">Assumptions!J47</f>
        <v>18</v>
      </c>
      <c r="K14" s="4" t="n">
        <f aca="false">Assumptions!K47</f>
        <v>18</v>
      </c>
      <c r="L14" s="4" t="n">
        <f aca="false">Assumptions!L47</f>
        <v>18</v>
      </c>
    </row>
    <row r="15" customFormat="false" ht="15" hidden="false" customHeight="false" outlineLevel="0" collapsed="false">
      <c r="A15" s="0" t="s">
        <v>169</v>
      </c>
      <c r="C15" s="0" t="n">
        <f aca="false">C13-MAX(0,C13)*C14/100</f>
        <v>177367.80096</v>
      </c>
      <c r="D15" s="0" t="n">
        <f aca="false">D13-MAX(0,D13)*D14/100</f>
        <v>195825.506688</v>
      </c>
      <c r="E15" s="0" t="n">
        <f aca="false">E13-MAX(0,E13)*E14/100</f>
        <v>215596.834371072</v>
      </c>
      <c r="F15" s="0" t="n">
        <f aca="false">F13-MAX(0,F13)*F14/100</f>
        <v>237535.493793454</v>
      </c>
      <c r="G15" s="0" t="n">
        <f aca="false">G13-MAX(0,G13)*G14/100</f>
        <v>264259.267457391</v>
      </c>
      <c r="H15" s="0" t="n">
        <f aca="false">H13-MAX(0,H13)*H14/100</f>
        <v>297033.022121721</v>
      </c>
      <c r="I15" s="0" t="n">
        <f aca="false">I13-MAX(0,I13)*I14/100</f>
        <v>334208.723008871</v>
      </c>
      <c r="J15" s="0" t="n">
        <f aca="false">J13-MAX(0,J13)*J14/100</f>
        <v>360384.388678064</v>
      </c>
      <c r="K15" s="0" t="n">
        <f aca="false">K13-MAX(0,K13)*K14/100</f>
        <v>389522.352693805</v>
      </c>
      <c r="L15" s="0" t="n">
        <f aca="false">L13-MAX(0,L13)*L14/100</f>
        <v>416889.116058305</v>
      </c>
    </row>
    <row r="16" customFormat="false" ht="15" hidden="false" customHeight="false" outlineLevel="0" collapsed="false">
      <c r="A16" s="0" t="s">
        <v>170</v>
      </c>
      <c r="C16" s="0" t="n">
        <f aca="false">-C12</f>
        <v>53378.64</v>
      </c>
      <c r="D16" s="0" t="n">
        <f aca="false">-D12</f>
        <v>91936.8576</v>
      </c>
      <c r="E16" s="0" t="n">
        <f aca="false">-E12</f>
        <v>131086.636128</v>
      </c>
      <c r="F16" s="0" t="n">
        <f aca="false">-F12</f>
        <v>164897.94779136</v>
      </c>
      <c r="G16" s="0" t="n">
        <f aca="false">-G12</f>
        <v>188756.619612422</v>
      </c>
      <c r="H16" s="0" t="n">
        <f aca="false">-H12</f>
        <v>199510.027032767</v>
      </c>
      <c r="I16" s="0" t="n">
        <f aca="false">-I12</f>
        <v>208737.365783032</v>
      </c>
      <c r="J16" s="0" t="n">
        <f aca="false">-J12</f>
        <v>216144.175536623</v>
      </c>
      <c r="K16" s="0" t="n">
        <f aca="false">-K12</f>
        <v>221475.731866527</v>
      </c>
      <c r="L16" s="0" t="n">
        <f aca="false">-L12</f>
        <v>224530.569547444</v>
      </c>
    </row>
    <row r="17" customFormat="false" ht="15" hidden="false" customHeight="false" outlineLevel="0" collapsed="false">
      <c r="A17" s="0" t="s">
        <v>171</v>
      </c>
      <c r="C17" s="4" t="n">
        <f aca="false">-C6*Assumptions!C46/100</f>
        <v>-301432.32</v>
      </c>
      <c r="D17" s="4" t="n">
        <f aca="false">-D6*Assumptions!D46/100</f>
        <v>-314117.5968</v>
      </c>
      <c r="E17" s="4" t="n">
        <f aca="false">-E6*Assumptions!E46/100</f>
        <v>-307375.560576</v>
      </c>
      <c r="F17" s="4" t="n">
        <f aca="false">-F6*Assumptions!F46/100</f>
        <v>-288571.40863488</v>
      </c>
      <c r="G17" s="4" t="n">
        <f aca="false">-G6*Assumptions!G46/100</f>
        <v>-274555.083072615</v>
      </c>
      <c r="H17" s="4" t="n">
        <f aca="false">-H6*Assumptions!H46/100</f>
        <v>-261856.910480506</v>
      </c>
      <c r="I17" s="4" t="n">
        <f aca="false">-I6*Assumptions!I46/100</f>
        <v>-249138.146257167</v>
      </c>
      <c r="J17" s="4" t="n">
        <f aca="false">-J6*Assumptions!J46/100</f>
        <v>-244963.398941507</v>
      </c>
      <c r="K17" s="4" t="n">
        <f aca="false">-K6*Assumptions!K46/100</f>
        <v>-244387.014473409</v>
      </c>
      <c r="L17" s="4" t="n">
        <f aca="false">-L6*Assumptions!L46/100</f>
        <v>-240568.467372262</v>
      </c>
    </row>
    <row r="18" customFormat="false" ht="15" hidden="false" customHeight="false" outlineLevel="0" collapsed="false">
      <c r="A18" s="0" t="s">
        <v>172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173</v>
      </c>
      <c r="C19" s="0" t="n">
        <f aca="false">C15+C16+C17+C18</f>
        <v>-70685.87904</v>
      </c>
      <c r="D19" s="0" t="n">
        <f aca="false">D15+D16+D17+D18</f>
        <v>-26355.232512</v>
      </c>
      <c r="E19" s="0" t="n">
        <f aca="false">E15+E16+E17+E18</f>
        <v>39307.909923072</v>
      </c>
      <c r="F19" s="0" t="n">
        <f aca="false">F15+F16+F17+F18</f>
        <v>113862.032949934</v>
      </c>
      <c r="G19" s="0" t="n">
        <f aca="false">G15+G16+G17+G18</f>
        <v>178460.803997199</v>
      </c>
      <c r="H19" s="0" t="n">
        <f aca="false">H15+H16+H17+H18</f>
        <v>234686.138673981</v>
      </c>
      <c r="I19" s="0" t="n">
        <f aca="false">I15+I16+I17+I18</f>
        <v>293807.942534736</v>
      </c>
      <c r="J19" s="0" t="n">
        <f aca="false">J15+J16+J17+J18</f>
        <v>331565.16527318</v>
      </c>
      <c r="K19" s="0" t="n">
        <f aca="false">K15+K16+K17+K18</f>
        <v>366611.070086923</v>
      </c>
      <c r="L19" s="0" t="n">
        <f aca="false">L15+L16+L17+L18</f>
        <v>400851.218233488</v>
      </c>
    </row>
    <row r="20" customFormat="false" ht="15" hidden="false" customHeight="false" outlineLevel="0" collapsed="false">
      <c r="A20" s="0" t="s">
        <v>174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175</v>
      </c>
      <c r="C21" s="0" t="n">
        <f aca="false">C19*C20</f>
        <v>-64849.4303119266</v>
      </c>
      <c r="D21" s="0" t="n">
        <f aca="false">D19*D20</f>
        <v>-22182.6719232388</v>
      </c>
      <c r="E21" s="0" t="n">
        <f aca="false">E19*E20</f>
        <v>30352.9186783246</v>
      </c>
      <c r="F21" s="0" t="n">
        <f aca="false">F19*F20</f>
        <v>80662.7347248694</v>
      </c>
      <c r="G21" s="0" t="n">
        <f aca="false">G19*G20</f>
        <v>115987.277741817</v>
      </c>
      <c r="H21" s="0" t="n">
        <f aca="false">H19*H20</f>
        <v>139935.67656274</v>
      </c>
      <c r="I21" s="0" t="n">
        <f aca="false">I19*I20</f>
        <v>160723.005973458</v>
      </c>
      <c r="J21" s="0" t="n">
        <f aca="false">J19*J20</f>
        <v>166401.375964738</v>
      </c>
      <c r="K21" s="0" t="n">
        <f aca="false">K19*K20</f>
        <v>168797.920946217</v>
      </c>
      <c r="L21" s="0" t="n">
        <f aca="false">L19*L20</f>
        <v>169323.886539127</v>
      </c>
    </row>
    <row r="23" customFormat="false" ht="15" hidden="false" customHeight="false" outlineLevel="0" collapsed="false">
      <c r="A23" s="0" t="s">
        <v>151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176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177</v>
      </c>
    </row>
    <row r="27" customFormat="false" ht="15" hidden="false" customHeight="false" outlineLevel="0" collapsed="false">
      <c r="A27" s="0" t="s">
        <v>155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156</v>
      </c>
      <c r="B28" s="4" t="n">
        <f aca="false">Assumptions!$B$49</f>
        <v>4</v>
      </c>
    </row>
    <row r="29" customFormat="false" ht="15" hidden="false" customHeight="false" outlineLevel="0" collapsed="false">
      <c r="A29" s="0" t="s">
        <v>157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178</v>
      </c>
      <c r="B30" s="0" t="n">
        <f aca="false">SUM(C21:L21)</f>
        <v>945152.694896125</v>
      </c>
    </row>
    <row r="31" customFormat="false" ht="15" hidden="false" customHeight="false" outlineLevel="0" collapsed="false">
      <c r="A31" s="0" t="s">
        <v>179</v>
      </c>
      <c r="B31" s="0" t="n">
        <f aca="false">L19</f>
        <v>400851.218233488</v>
      </c>
    </row>
    <row r="32" customFormat="false" ht="15" hidden="false" customHeight="false" outlineLevel="0" collapsed="false">
      <c r="A32" s="0" t="s">
        <v>180</v>
      </c>
      <c r="B32" s="0" t="n">
        <f aca="false">IF(B27&gt;B28,B31*(1+B28/100)/((B27-B28)/100),B31*B29)</f>
        <v>8337705.33925654</v>
      </c>
    </row>
    <row r="33" customFormat="false" ht="15" hidden="false" customHeight="false" outlineLevel="0" collapsed="false">
      <c r="A33" s="0" t="s">
        <v>181</v>
      </c>
      <c r="B33" s="0" t="n">
        <f aca="false">B31*B29</f>
        <v>8017024.36466975</v>
      </c>
    </row>
    <row r="34" customFormat="false" ht="15" hidden="false" customHeight="false" outlineLevel="0" collapsed="false">
      <c r="A34" s="0" t="s">
        <v>182</v>
      </c>
      <c r="B34" s="0" t="n">
        <f aca="false">MAX(0,MIN(B32,B33))</f>
        <v>8017024.36466975</v>
      </c>
    </row>
    <row r="35" customFormat="false" ht="15" hidden="false" customHeight="false" outlineLevel="0" collapsed="false">
      <c r="A35" s="0" t="s">
        <v>183</v>
      </c>
      <c r="B35" s="0" t="n">
        <f aca="false">B34/(1+B27/100)^L4</f>
        <v>3386477.73078255</v>
      </c>
    </row>
    <row r="36" customFormat="false" ht="15" hidden="false" customHeight="false" outlineLevel="0" collapsed="false">
      <c r="A36" s="0" t="s">
        <v>184</v>
      </c>
      <c r="B36" s="0" t="n">
        <f aca="false">B30+B35</f>
        <v>4331630.42567867</v>
      </c>
    </row>
    <row r="37" customFormat="false" ht="15" hidden="false" customHeight="false" outlineLevel="0" collapsed="false">
      <c r="A37" s="0" t="s">
        <v>185</v>
      </c>
      <c r="B37" s="0" t="n">
        <f aca="false">B36+Assumptions!$B$5-Assumptions!$B$4</f>
        <v>4477474.42567867</v>
      </c>
    </row>
    <row r="38" customFormat="false" ht="15" hidden="false" customHeight="false" outlineLevel="0" collapsed="false">
      <c r="A38" s="0" t="s">
        <v>186</v>
      </c>
      <c r="B38" s="0" t="n">
        <f aca="false">B37/Assumptions!$B$3*Assumptions!$B$10</f>
        <v>362.489833685126</v>
      </c>
    </row>
    <row r="39" customFormat="false" ht="15" hidden="false" customHeight="false" outlineLevel="0" collapsed="false">
      <c r="A39" s="0" t="s">
        <v>187</v>
      </c>
      <c r="B39" s="4" t="n">
        <f aca="false">B38/Assumptions!$B$2-1</f>
        <v>0.277182135456013</v>
      </c>
    </row>
    <row r="41" customFormat="false" ht="15" hidden="false" customHeight="false" outlineLevel="0" collapsed="false">
      <c r="A41" s="0" t="s">
        <v>188</v>
      </c>
      <c r="B41" s="0" t="n">
        <f aca="false">SUMPRODUCT(-C10:L10/(1+$B$27/100)^C4:L4)</f>
        <v>484093.575484733</v>
      </c>
    </row>
    <row r="42" customFormat="false" ht="15" hidden="false" customHeight="false" outlineLevel="0" collapsed="false">
      <c r="A42" s="0" t="s">
        <v>189</v>
      </c>
      <c r="B42" s="0" t="n">
        <f aca="false">IF(B27&gt;B28,-L10*(1+B28/100)/((B27-B28)/100),-L10*20)/(1+B27/100)^L4</f>
        <v>887741.141557464</v>
      </c>
    </row>
    <row r="43" customFormat="false" ht="15" hidden="false" customHeight="false" outlineLevel="0" collapsed="false">
      <c r="A43" s="0" t="s">
        <v>190</v>
      </c>
      <c r="B43" s="0" t="n">
        <f aca="false">(B37+B41+B42)/Assumptions!$B$3*Assumptions!$B$10</f>
        <v>473.551582150329</v>
      </c>
    </row>
    <row r="45" customFormat="false" ht="15" hidden="false" customHeight="false" outlineLevel="0" collapsed="false">
      <c r="A45" s="0" t="s">
        <v>130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191</v>
      </c>
      <c r="B46" s="0" t="n">
        <f aca="false">MAX(0,MIN(IF(B45&gt;B28,B31*(1+B28/100)/((B45-B28)/100),B31*B29),B31*B29))</f>
        <v>3789866.06329843</v>
      </c>
    </row>
    <row r="47" customFormat="false" ht="15" hidden="false" customHeight="false" outlineLevel="0" collapsed="false">
      <c r="A47" s="0" t="s">
        <v>192</v>
      </c>
      <c r="B47" s="0" t="n">
        <f aca="false">(SUMPRODUCT(C19:L19/(1+B45/100)^C4:L4)+B46/(1+B45/100)^L4+Assumptions!$B$5-Assumptions!$B$4)/Assumptions!$B$3*Assumptions!$B$10</f>
        <v>137.995595973097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195</v>
      </c>
    </row>
    <row r="3" customFormat="false" ht="15" hidden="false" customHeight="false" outlineLevel="0" collapsed="false">
      <c r="A3" s="2" t="s">
        <v>196</v>
      </c>
      <c r="B3" s="2" t="s">
        <v>197</v>
      </c>
      <c r="C3" s="2" t="s">
        <v>187</v>
      </c>
      <c r="D3" s="2" t="s">
        <v>198</v>
      </c>
      <c r="E3" s="2" t="s">
        <v>190</v>
      </c>
      <c r="F3" s="2" t="s">
        <v>199</v>
      </c>
    </row>
    <row r="4" customFormat="false" ht="15" hidden="false" customHeight="false" outlineLevel="0" collapsed="false">
      <c r="A4" s="0" t="s">
        <v>200</v>
      </c>
      <c r="B4" s="4" t="n">
        <f aca="false">DCF_Bear!$B$38</f>
        <v>91.9869476299468</v>
      </c>
      <c r="C4" s="0" t="n">
        <f aca="false">B4/Assumptions!$B$2-1</f>
        <v>-0.67589687960698</v>
      </c>
      <c r="D4" s="4" t="n">
        <f aca="false">Assumptions!$B$24</f>
        <v>0.25</v>
      </c>
      <c r="E4" s="4" t="n">
        <f aca="false">DCF_Bear!$B$43</f>
        <v>155.437389066575</v>
      </c>
      <c r="F4" s="4" t="n">
        <f aca="false">DCF_Bear!$B$47</f>
        <v>38.8436876632131</v>
      </c>
    </row>
    <row r="5" customFormat="false" ht="15" hidden="false" customHeight="false" outlineLevel="0" collapsed="false">
      <c r="A5" s="0" t="s">
        <v>201</v>
      </c>
      <c r="B5" s="4" t="n">
        <f aca="false">DCF_Base!$B$38</f>
        <v>218.061692236018</v>
      </c>
      <c r="C5" s="0" t="n">
        <f aca="false">B5/Assumptions!$B$2-1</f>
        <v>-0.231690183087808</v>
      </c>
      <c r="D5" s="4" t="n">
        <f aca="false">Assumptions!$B$38</f>
        <v>0.5</v>
      </c>
      <c r="E5" s="4" t="n">
        <f aca="false">DCF_Base!$B$43</f>
        <v>314.227675655249</v>
      </c>
      <c r="F5" s="4" t="n">
        <f aca="false">DCF_Base!$B$47</f>
        <v>80.8840175389681</v>
      </c>
    </row>
    <row r="6" customFormat="false" ht="15" hidden="false" customHeight="false" outlineLevel="0" collapsed="false">
      <c r="A6" s="0" t="s">
        <v>202</v>
      </c>
      <c r="B6" s="4" t="n">
        <f aca="false">DCF_Bull!$B$38</f>
        <v>362.489833685126</v>
      </c>
      <c r="C6" s="0" t="n">
        <f aca="false">B6/Assumptions!$B$2-1</f>
        <v>0.277182135456013</v>
      </c>
      <c r="D6" s="4" t="n">
        <f aca="false">Assumptions!$B$52</f>
        <v>0.25</v>
      </c>
      <c r="E6" s="4" t="n">
        <f aca="false">DCF_Bull!$B$43</f>
        <v>473.551582150329</v>
      </c>
      <c r="F6" s="4" t="n">
        <f aca="false">DCF_Bull!$B$47</f>
        <v>137.995595973097</v>
      </c>
    </row>
    <row r="8" customFormat="false" ht="15" hidden="false" customHeight="false" outlineLevel="0" collapsed="false">
      <c r="A8" s="0" t="s">
        <v>203</v>
      </c>
      <c r="B8" s="0" t="n">
        <f aca="false">SUMPRODUCT(B4:B6,D4:D6)</f>
        <v>222.650041446777</v>
      </c>
    </row>
    <row r="9" customFormat="false" ht="15" hidden="false" customHeight="false" outlineLevel="0" collapsed="false">
      <c r="A9" s="0" t="s">
        <v>204</v>
      </c>
      <c r="B9" s="0" t="n">
        <f aca="false">SUMPRODUCT(E4:E6,D4:D6)</f>
        <v>314.36108063185</v>
      </c>
    </row>
    <row r="10" customFormat="false" ht="15" hidden="false" customHeight="false" outlineLevel="0" collapsed="false">
      <c r="A10" s="0" t="s">
        <v>205</v>
      </c>
      <c r="B10" s="0" t="n">
        <f aca="false">1-Assumptions!$B$2/B8</f>
        <v>-0.274735895649249</v>
      </c>
    </row>
    <row r="11" customFormat="false" ht="15" hidden="false" customHeight="false" outlineLevel="0" collapsed="false">
      <c r="A11" s="0" t="s">
        <v>206</v>
      </c>
      <c r="B11" s="0" t="n">
        <f aca="false">IF(ABS(B9-B8)&gt;0.01*ABS(B8),(Assumptions!$B$2-B8)/(B9-B8)*100,"n/a")</f>
        <v>66.6985775068818</v>
      </c>
    </row>
    <row r="12" customFormat="false" ht="15" hidden="false" customHeight="false" outlineLevel="0" collapsed="false">
      <c r="A12" s="0" t="s">
        <v>207</v>
      </c>
      <c r="B12" s="0" t="n">
        <f aca="false">SUMPRODUCT(F4:F6,D4:D6)</f>
        <v>84.6518296785615</v>
      </c>
    </row>
    <row r="14" customFormat="false" ht="15" hidden="false" customHeight="false" outlineLevel="0" collapsed="false">
      <c r="A14" s="2" t="s">
        <v>208</v>
      </c>
      <c r="C14" s="0" t="s">
        <v>209</v>
      </c>
    </row>
    <row r="15" customFormat="false" ht="15" hidden="false" customHeight="false" outlineLevel="0" collapsed="false">
      <c r="A15" s="0" t="s">
        <v>210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218.061692236018</v>
      </c>
      <c r="C15" s="3" t="n">
        <v>9</v>
      </c>
    </row>
    <row r="16" customFormat="false" ht="15" hidden="false" customHeight="false" outlineLevel="0" collapsed="false">
      <c r="A16" s="0" t="s">
        <v>211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176.386990142862</v>
      </c>
      <c r="C16" s="3" t="n">
        <v>10</v>
      </c>
    </row>
    <row r="17" customFormat="false" ht="15" hidden="false" customHeight="false" outlineLevel="0" collapsed="false">
      <c r="A17" s="0" t="s">
        <v>212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146.289989837199</v>
      </c>
      <c r="C17" s="3" t="n">
        <v>11</v>
      </c>
    </row>
    <row r="18" customFormat="false" ht="15" hidden="false" customHeight="false" outlineLevel="0" collapsed="false">
      <c r="A18" s="0" t="s">
        <v>213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123.656458036269</v>
      </c>
      <c r="C18" s="3" t="n">
        <v>12</v>
      </c>
    </row>
    <row r="19" customFormat="false" ht="15" hidden="false" customHeight="false" outlineLevel="0" collapsed="false">
      <c r="A19" s="0" t="s">
        <v>214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80.8840175389681</v>
      </c>
      <c r="C19" s="3" t="n">
        <v>15</v>
      </c>
    </row>
    <row r="21" customFormat="false" ht="15" hidden="false" customHeight="false" outlineLevel="0" collapsed="false">
      <c r="A21" s="2" t="s">
        <v>215</v>
      </c>
    </row>
    <row r="22" customFormat="false" ht="15" hidden="false" customHeight="false" outlineLevel="0" collapsed="false">
      <c r="B22" s="3" t="n">
        <v>2.5</v>
      </c>
      <c r="C22" s="3" t="n">
        <v>3</v>
      </c>
      <c r="D22" s="3" t="n">
        <v>3.5</v>
      </c>
      <c r="E22" s="3" t="n">
        <v>4</v>
      </c>
      <c r="F22" s="3" t="n">
        <v>4.5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272.362988097772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272.362988097772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272.362988097772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272.362988097772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272.362988097772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235.979832893152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249.451798275539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249.451798275539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249.451798275539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249.451798275539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190.591897668866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203.182220178811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218.061692236018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228.709387836589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228.709387836589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157.831981853419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166.446807130661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176.386990142862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187.983870323763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201.68927417392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133.21073682828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139.341636676211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146.289989837199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154.230964878327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163.393628387322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2026-10-30T02:29:02Z</dcterms:created>
  <dc:creator>openpyxl</dc:creator>
  <dc:description/>
  <dc:language>en-NZ</dc:language>
  <cp:lastModifiedBy/>
  <dcterms:modified xsi:type="dcterms:W3CDTF">2026-10-30T02:29:02Z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