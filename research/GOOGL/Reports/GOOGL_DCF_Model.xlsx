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DCF Model" sheetId="1" r:id="rId1"/>
    <sheet name="Bull &amp; Bear" sheetId="2" r:id="rId2"/>
    <sheet name="Sensitivity" sheetId="3" r:id="rId3"/>
    <sheet name="Historical Data" sheetId="4" r:id="rId4"/>
    <sheet name="Sanity Check" sheetId="5" r:id="rId5"/>
  </sheets>
  <calcPr calcId="124519" fullCalcOnLoad="1"/>
</workbook>
</file>

<file path=xl/sharedStrings.xml><?xml version="1.0" encoding="utf-8"?>
<sst xmlns="http://schemas.openxmlformats.org/spreadsheetml/2006/main" count="225" uniqueCount="183">
  <si>
    <t>GOOGL — Alphabet Inc. DCF Valuation Model</t>
  </si>
  <si>
    <t>Valuation Date: 2026-06-29  |  Current Price: $337.39  |  Gray cells are editable inputs</t>
  </si>
  <si>
    <t>VALUATION NOTE: FCF is structurally depressed 2026-2027 by $180-210B annual capex. This model projects operating cash flow minus an explicit capex trajectory. At $337, the stock prices in a bull-or-better AI monetization scenario. Base case fair value: $296.94 (-12%). Bull case entry for 15% CAGR: $326.37 (-3%).</t>
  </si>
  <si>
    <t>KEY INPUTS (Base Case)</t>
  </si>
  <si>
    <t>Current Stock Price ($)</t>
  </si>
  <si>
    <t>Shares Outstanding (M)</t>
  </si>
  <si>
    <t>Cash &amp; Equivalents (M)</t>
  </si>
  <si>
    <t>Total Debt (M)</t>
  </si>
  <si>
    <t>Net Debt (M) [auto: Debt minus Cash]</t>
  </si>
  <si>
    <t>Base Year Operating CF (M) [FY2025 est]</t>
  </si>
  <si>
    <t>WACC</t>
  </si>
  <si>
    <t>Terminal Growth Rate</t>
  </si>
  <si>
    <t>OPERATING CASH FLOW GROWTH RATES (Base Case — editable)</t>
  </si>
  <si>
    <t>FY2025 Base</t>
  </si>
  <si>
    <t>FY2026 (Y1)</t>
  </si>
  <si>
    <t>FY2027 (Y2)</t>
  </si>
  <si>
    <t>FY2028 (Y3)</t>
  </si>
  <si>
    <t>FY2029 (Y4)</t>
  </si>
  <si>
    <t>FY2030 (Y5)</t>
  </si>
  <si>
    <t>OpCF Growth Rate</t>
  </si>
  <si>
    <t>CAPEX TRAJECTORY (M — editable, guided/estimated)</t>
  </si>
  <si>
    <t>Annual CapEx</t>
  </si>
  <si>
    <t>BASE CASE PROJECTIONS</t>
  </si>
  <si>
    <t>FY2025 Actual</t>
  </si>
  <si>
    <t>Operating Cash Flow (M)</t>
  </si>
  <si>
    <t>Capital Expenditures (M)</t>
  </si>
  <si>
    <t>Free Cash Flow (M)</t>
  </si>
  <si>
    <t>Discount Factor</t>
  </si>
  <si>
    <t>PV of Free Cash Flow (M)</t>
  </si>
  <si>
    <t>VALUATION (Base Case)</t>
  </si>
  <si>
    <t>Sum of PV of FCF (M)</t>
  </si>
  <si>
    <t>Terminal FCF: Y5 x (1 + TG)</t>
  </si>
  <si>
    <t>Terminal Value (M)</t>
  </si>
  <si>
    <t>PV of Terminal Value (M)</t>
  </si>
  <si>
    <t>Enterprise Value (M)</t>
  </si>
  <si>
    <t>Less: Net Debt (M) [neg = net cash]</t>
  </si>
  <si>
    <t>Equity Value (M)</t>
  </si>
  <si>
    <t>INTRINSIC VALUE PER SHARE</t>
  </si>
  <si>
    <t>Upside / (Downside) to IV</t>
  </si>
  <si>
    <t>ENTRY PRICE (15% CAGR to Terminal Value)</t>
  </si>
  <si>
    <t>Terminal Value Per Share</t>
  </si>
  <si>
    <t>Entry Price for 15% CAGR (5 years)</t>
  </si>
  <si>
    <t>Entry Price Discount from Current</t>
  </si>
  <si>
    <t>SCENARIO SUMMARY</t>
  </si>
  <si>
    <t>Scenario</t>
  </si>
  <si>
    <t>Intrinsic Value</t>
  </si>
  <si>
    <t>Base Case</t>
  </si>
  <si>
    <t>Bull Case</t>
  </si>
  <si>
    <t>Bear Case</t>
  </si>
  <si>
    <t>Probability-Weighted IV</t>
  </si>
  <si>
    <t>Upside / (Downside)</t>
  </si>
  <si>
    <t>Entry Price (15% CAGR)</t>
  </si>
  <si>
    <t>Base Case Entry</t>
  </si>
  <si>
    <t>Bull Case Entry</t>
  </si>
  <si>
    <t>Bear Case Entry</t>
  </si>
  <si>
    <t>Current Price</t>
  </si>
  <si>
    <t>NOTES:</t>
  </si>
  <si>
    <t>Gray = editable. All monetary values USD Millions. Per-share in USD. FY2025 FCF $62.4B shown as base-year reference; model grows operating cash flow not FCF. CapEx row 21 (C:G) can be adjusted to test different infrastructure spend scenarios.</t>
  </si>
  <si>
    <t>GOOGL — Bull &amp; Bear Scenario Detail</t>
  </si>
  <si>
    <t>Current Price: $337.39  |  Valuation Date: 2026-06-29</t>
  </si>
  <si>
    <t>BULL CASE  (WACC 8%, Terminal Growth 4.0%)</t>
  </si>
  <si>
    <t>Cloud inflects faster (backlog $462B converts rapidly), Search AI monetization outperforms, Waymo begins meaningful revenue contribution by Y4. CapEx produces higher ROI sooner (Cloud supply constraint eases), driving earlier and larger FCF recovery. WACC lower reflecting GOOGL's exceptional credit quality, $50B net cash, and durable moat. Terminal growth 4% reflects Cloud+AI+Waymo compounding.</t>
  </si>
  <si>
    <t>CapEx (M)</t>
  </si>
  <si>
    <t>Operating CF (M)</t>
  </si>
  <si>
    <t>PV of FCF (M)</t>
  </si>
  <si>
    <t>Sum PV FCF (M)</t>
  </si>
  <si>
    <t>PV Terminal Value (M)</t>
  </si>
  <si>
    <t>BULL INTRINSIC VALUE / SHARE</t>
  </si>
  <si>
    <t>Upside from Current Price</t>
  </si>
  <si>
    <t>Bull Entry Price (15% CAGR)</t>
  </si>
  <si>
    <t>Entry Discount from Current</t>
  </si>
  <si>
    <t>BEAR CASE  (WACC 12%, Terminal Growth 2.5%)</t>
  </si>
  <si>
    <t>Antitrust remedies (search data-sharing, exclusive deal ban) and AI-driven search displacement materially impair Search revenue growth. Ad tech divestiture strips $30B+ network revenue. Cloud growth disappoints as AWS/Azure defend share. CapEx produces poor returns; FCF negative for Y1-Y3. Higher WACC reflects regulatory and structural risk premium. Terminal growth 2.5% reflects mature advertising business with structural headwinds.</t>
  </si>
  <si>
    <t>BEAR INTRINSIC VALUE / SHARE</t>
  </si>
  <si>
    <t>Downside from Current Price</t>
  </si>
  <si>
    <t>Bear Entry Price (15% CAGR)</t>
  </si>
  <si>
    <t>GOOGL — Sensitivity Analysis (Base Case FCF Assumptions)</t>
  </si>
  <si>
    <t>Intrinsic Value per share across WACC and Terminal Growth combinations</t>
  </si>
  <si>
    <t>Current Price: $337.39</t>
  </si>
  <si>
    <t>WACC \ Term G</t>
  </si>
  <si>
    <t>2.0%</t>
  </si>
  <si>
    <t>2.5%</t>
  </si>
  <si>
    <t>3.0%</t>
  </si>
  <si>
    <t>3.5%</t>
  </si>
  <si>
    <t>4.0%</t>
  </si>
  <si>
    <t>7%</t>
  </si>
  <si>
    <t>8%</t>
  </si>
  <si>
    <t>9%</t>
  </si>
  <si>
    <t>10%</t>
  </si>
  <si>
    <t>11%</t>
  </si>
  <si>
    <t>Color Key:</t>
  </si>
  <si>
    <t>Green: IV &gt; Current +5%</t>
  </si>
  <si>
    <t>Yellow: Within 10% of current</t>
  </si>
  <si>
    <t>Red: IV &lt; Current -10%</t>
  </si>
  <si>
    <t>Note:</t>
  </si>
  <si>
    <t>Matrix uses Base Case FCF projections across WACC and terminal growth combinations. Rows = WACC (7-11%), Columns = Terminal Growth (2.0-4.0%). Current price $337.39 is above all base-case matrix values, implying the market prices in stronger AI monetization than the base case assumes or a WACC below 7%.</t>
  </si>
  <si>
    <t>GOOGL — Historical Financial Data &amp; Growth Rates</t>
  </si>
  <si>
    <t>Source: GOOGL_Metrics.csv (USD Millions unless noted). EPS adjusted to post-split basis.</t>
  </si>
  <si>
    <t>Metric</t>
  </si>
  <si>
    <t>FY2020</t>
  </si>
  <si>
    <t>FY2021</t>
  </si>
  <si>
    <t>FY2022</t>
  </si>
  <si>
    <t>FY2023</t>
  </si>
  <si>
    <t>FY2024</t>
  </si>
  <si>
    <t>FY2025</t>
  </si>
  <si>
    <t>Revenue (M)</t>
  </si>
  <si>
    <t>Operating Income (M)</t>
  </si>
  <si>
    <t>Net Income (M)</t>
  </si>
  <si>
    <t>Est. Operating CF (M)</t>
  </si>
  <si>
    <t>Shareholders' Equity (M)</t>
  </si>
  <si>
    <t>EPS (post-split adj., $)</t>
  </si>
  <si>
    <t>Est. CapEx (M)</t>
  </si>
  <si>
    <t>HISTORICAL GROWTH RATES (CAGR)</t>
  </si>
  <si>
    <t>3-Year CAGR
2022-2025</t>
  </si>
  <si>
    <t>5-Year CAGR
2020-2025</t>
  </si>
  <si>
    <t>Notes / Caveats</t>
  </si>
  <si>
    <t>Revenue</t>
  </si>
  <si>
    <t>Selected anchor (17.2% 5yr); cleanest measure of underlying business growth</t>
  </si>
  <si>
    <t>EPS</t>
  </si>
  <si>
    <t>3yr inflated by FY2025 unrealized equity investment gains — not representative of recurring earnings</t>
  </si>
  <si>
    <t>Shareholders' Equity</t>
  </si>
  <si>
    <t>5yr inflated by $84.75B equity raise June 2026; organic 4yr CAGR 2020-2024 was 9.1%</t>
  </si>
  <si>
    <t>Free Cash Flow</t>
  </si>
  <si>
    <t>Severely compressed by capex surge; FCF-growth extrapolation would massively understate value</t>
  </si>
  <si>
    <t>Selected Growth Rate:</t>
  </si>
  <si>
    <t>revenue_5yr_cagr</t>
  </si>
  <si>
    <t>Divergence Warning:</t>
  </si>
  <si>
    <t>FCF CAGR (0.56% 3yr, 7.81% 5yr) severely understates business growth due to capex surge from ~$32B in FY2021 to ~$91B in FY2025 and guided $180-190B in FY2026. EPS CAGR (34% 3yr) is inflated by FY2025 unrealized equity investment gains. Equity 5yr CAGR (13.3%) is inflated by the $84.75B equity raise in June 2026. Revenue 5yr CAGR (17.2%) is the cleanest anchor for the business's underlying growth trajectory. DCF projects FCF by growing operating cash flow and subtracting an explicit capex trajectory rather than growing last-year FCF.</t>
  </si>
  <si>
    <t>GOOGL — Sanity Check &amp; Valuation Context</t>
  </si>
  <si>
    <t>Current Price: $337.39  |  Triggered: True</t>
  </si>
  <si>
    <t>SANITY CHECK TRIGGERED: Current price ($337.39) exceeds base case intrinsic value ($296.94) and all sensitivity matrix values. EV/EBIT at 32.4x is above the historical median of ~22x. The market is pricing in a bull-case or better AI monetization scenario.</t>
  </si>
  <si>
    <t>CURRENT MARKET MULTIPLES</t>
  </si>
  <si>
    <t>Value</t>
  </si>
  <si>
    <t>Historical Range</t>
  </si>
  <si>
    <t>Interpretation</t>
  </si>
  <si>
    <t>Market Cap</t>
  </si>
  <si>
    <t>$4.13T</t>
  </si>
  <si>
    <t>—</t>
  </si>
  <si>
    <t>Fourth-largest US company by market cap; one of only four to exceed $4T</t>
  </si>
  <si>
    <t>Enterprise Value</t>
  </si>
  <si>
    <t>$4.180T</t>
  </si>
  <si>
    <t>Net cash of $49.3B reduces EV below market cap</t>
  </si>
  <si>
    <t>EV / EBIT (FY2025)</t>
  </si>
  <si>
    <t>32.4x</t>
  </si>
  <si>
    <t>15x - 40x (median ~22x)</t>
  </si>
  <si>
    <t>ABOVE historical median at 32.4x — premium pricing requires AI monetization to deliver</t>
  </si>
  <si>
    <t>EV / Operating CF (FY2025)</t>
  </si>
  <si>
    <t>27.3x</t>
  </si>
  <si>
    <t>20x - 35x historical</t>
  </si>
  <si>
    <t>Within range — market implicitly uses OpCF not FCF for infrastructure-cycle companies</t>
  </si>
  <si>
    <t>EV / FCF (FY2025)</t>
  </si>
  <si>
    <t>67.0x</t>
  </si>
  <si>
    <t>20x - 60x historical</t>
  </si>
  <si>
    <t>Elevated due to FCF compression from ~$91B FY2025 capex; not representative</t>
  </si>
  <si>
    <t>Forward P/E (FY2026 consensus)</t>
  </si>
  <si>
    <t>24.1x</t>
  </si>
  <si>
    <t>18x - 35x historical</t>
  </si>
  <si>
    <t>Reasonable — consensus $14 EPS implies 24x; compresses rapidly as earnings grow</t>
  </si>
  <si>
    <t>EV / Sales (FY2026 est.)</t>
  </si>
  <si>
    <t>8.7x</t>
  </si>
  <si>
    <t>4x - 12x historical</t>
  </si>
  <si>
    <t>Within range for a high-margin platform business growing 20%+</t>
  </si>
  <si>
    <t>MARKET-IMPLIED ASSUMPTIONS</t>
  </si>
  <si>
    <t>Breakeven WACC (base FCF proj.)</t>
  </si>
  <si>
    <t>~6.3%</t>
  </si>
  <si>
    <t>Breakeven WACC (OpCF basis)</t>
  </si>
  <si>
    <t>~9.6%</t>
  </si>
  <si>
    <t>Implied Y5 FCF (WACC 9% fair value)</t>
  </si>
  <si>
    <t>~$405B (vs base $261B)</t>
  </si>
  <si>
    <t>Interpretation:</t>
  </si>
  <si>
    <t>The market is effectively capitalizing operating cash flow (adding back capex as value-creating investment) rather than penalizing FCF compression during the investment cycle — a common valuation approach for infrastructure-heavy growth companies during a capex supercycle (analogous to Amazon 2012-2015 during AWS buildout).</t>
  </si>
  <si>
    <t>EMBEDDED OPTION VALUE — WAYMO</t>
  </si>
  <si>
    <t>Waymo Series D Valuation</t>
  </si>
  <si>
    <t>$126B (Feb 2026)</t>
  </si>
  <si>
    <t>Alphabet's Ownership</t>
  </si>
  <si>
    <t>100%</t>
  </si>
  <si>
    <t>Waymo Value per GOOGL Share</t>
  </si>
  <si>
    <t>$10.29</t>
  </si>
  <si>
    <t>Waymo as % of Current Price</t>
  </si>
  <si>
    <t>3.1%</t>
  </si>
  <si>
    <t>Waymo's $126B Series D valuation ($16B raise, Feb 2026) represents ~$10.29/share of embedded option value not captured in FCF-based DCF. Management expects Waymo to be financially meaningful in 2028+.</t>
  </si>
  <si>
    <t>OVERALL ASSESSMENT</t>
  </si>
  <si>
    <t>At $337.39, GOOGL is fairly valued to modestly overvalued on a traditional FCF-based DCF basis (base IV $296.94, -12%). However, the stock is near the bull-case entry price ($326.37), which implies the market is pricing in strong AI monetization — consistent with 63% Cloud growth, $462B backlog, and Search queries at all-time highs. The valuation is defensible if: (1) Cloud sustains 40%+ growth through 2027, (2) Search monetizes AI Overviews at historic rates, and (3) CapEx ROI materializes by 2028-2029. Key downside risks are antitrust remedies, CapEx overspend, and search query displacement.</t>
  </si>
</sst>
</file>

<file path=xl/styles.xml><?xml version="1.0" encoding="utf-8"?>
<styleSheet xmlns="http://schemas.openxmlformats.org/spreadsheetml/2006/main">
  <numFmts count="6">
    <numFmt numFmtId="164" formatCode="#,##0.0"/>
    <numFmt numFmtId="165" formatCode="#,##0"/>
    <numFmt numFmtId="166" formatCode="&quot;$&quot;#,##0.00"/>
    <numFmt numFmtId="167" formatCode="#,##0;[Red](#,##0)"/>
    <numFmt numFmtId="168" formatCode="0.0%"/>
    <numFmt numFmtId="169" formatCode="#,##0.00"/>
  </numFmts>
  <fonts count="10">
    <font>
      <sz val="11"/>
      <color theme="1"/>
      <name val="Calibri"/>
      <family val="2"/>
      <scheme val="minor"/>
    </font>
    <font>
      <b/>
      <sz val="18"/>
      <color rgb="FF1A1A2E"/>
      <name val="Calibri"/>
      <family val="2"/>
      <scheme val="minor"/>
    </font>
    <font>
      <i/>
      <sz val="10"/>
      <color rgb="FF636E72"/>
      <name val="Calibri"/>
      <family val="2"/>
      <scheme val="minor"/>
    </font>
    <font>
      <b/>
      <sz val="10"/>
      <color rgb="FF2D3436"/>
      <name val="Calibri"/>
      <family val="2"/>
      <scheme val="minor"/>
    </font>
    <font>
      <b/>
      <sz val="12"/>
      <color rgb="FF1A1A2E"/>
      <name val="Calibri"/>
      <family val="2"/>
      <scheme val="minor"/>
    </font>
    <font>
      <b/>
      <sz val="11"/>
      <color rgb="FFFFFFFF"/>
      <name val="Calibri"/>
      <family val="2"/>
      <scheme val="minor"/>
    </font>
    <font>
      <b/>
      <sz val="11"/>
      <color theme="1"/>
      <name val="Calibri"/>
      <family val="2"/>
      <scheme val="minor"/>
    </font>
    <font>
      <b/>
      <sz val="11"/>
      <color rgb="FF2D3436"/>
      <name val="Calibri"/>
      <family val="2"/>
      <scheme val="minor"/>
    </font>
    <font>
      <b/>
      <sz val="11"/>
      <color rgb="FFE0E0E0"/>
      <name val="Calibri"/>
      <family val="2"/>
      <scheme val="minor"/>
    </font>
    <font>
      <i/>
      <sz val="9"/>
      <color rgb="FF636E72"/>
      <name val="Calibri"/>
      <family val="2"/>
      <scheme val="minor"/>
    </font>
  </fonts>
  <fills count="12">
    <fill>
      <patternFill patternType="none"/>
    </fill>
    <fill>
      <patternFill patternType="gray125"/>
    </fill>
    <fill>
      <patternFill patternType="solid">
        <fgColor rgb="FFFDCB6E"/>
        <bgColor indexed="64"/>
      </patternFill>
    </fill>
    <fill>
      <patternFill patternType="solid">
        <fgColor rgb="FFDFE6E9"/>
        <bgColor indexed="64"/>
      </patternFill>
    </fill>
    <fill>
      <patternFill patternType="solid">
        <fgColor rgb="FF1A1A2E"/>
        <bgColor indexed="64"/>
      </patternFill>
    </fill>
    <fill>
      <patternFill patternType="solid">
        <fgColor rgb="FF00B894"/>
        <bgColor indexed="64"/>
      </patternFill>
    </fill>
    <fill>
      <patternFill patternType="solid">
        <fgColor rgb="FFD63031"/>
        <bgColor indexed="64"/>
      </patternFill>
    </fill>
    <fill>
      <patternFill patternType="solid">
        <fgColor rgb="FFF8F9FA"/>
        <bgColor indexed="64"/>
      </patternFill>
    </fill>
    <fill>
      <patternFill patternType="solid">
        <fgColor rgb="FFD4EDDA"/>
        <bgColor indexed="64"/>
      </patternFill>
    </fill>
    <fill>
      <patternFill patternType="solid">
        <fgColor rgb="FFF8D7DA"/>
        <bgColor indexed="64"/>
      </patternFill>
    </fill>
    <fill>
      <patternFill patternType="solid">
        <fgColor rgb="FF16213E"/>
        <bgColor indexed="64"/>
      </patternFill>
    </fill>
    <fill>
      <patternFill patternType="solid">
        <fgColor rgb="FFFFF3CD"/>
        <bgColor indexed="64"/>
      </patternFill>
    </fill>
  </fills>
  <borders count="4">
    <border>
      <left/>
      <right/>
      <top/>
      <bottom/>
      <diagonal/>
    </border>
    <border>
      <left style="medium">
        <color auto="1"/>
      </left>
      <right style="medium">
        <color auto="1"/>
      </right>
      <top style="medium">
        <color auto="1"/>
      </top>
      <bottom style="medium">
        <color auto="1"/>
      </bottom>
      <diagonal/>
    </border>
    <border>
      <left/>
      <right/>
      <top/>
      <bottom style="medium">
        <color rgb="FF1A1A2E"/>
      </bottom>
      <diagonal/>
    </border>
    <border>
      <left style="thin">
        <color auto="1"/>
      </left>
      <right style="thin">
        <color auto="1"/>
      </right>
      <top style="thin">
        <color auto="1"/>
      </top>
      <bottom style="thin">
        <color auto="1"/>
      </bottom>
      <diagonal/>
    </border>
  </borders>
  <cellStyleXfs count="1">
    <xf numFmtId="0" fontId="0" fillId="0" borderId="0"/>
  </cellStyleXfs>
  <cellXfs count="29">
    <xf numFmtId="0" fontId="0" fillId="0" borderId="0" xfId="0"/>
    <xf numFmtId="0" fontId="1" fillId="0" borderId="0" xfId="0" applyFont="1"/>
    <xf numFmtId="0" fontId="2" fillId="0" borderId="0" xfId="0" applyFont="1"/>
    <xf numFmtId="0" fontId="3" fillId="2" borderId="1" xfId="0" applyFont="1" applyFill="1" applyBorder="1" applyAlignment="1">
      <alignment wrapText="1"/>
    </xf>
    <xf numFmtId="0" fontId="4" fillId="0" borderId="2" xfId="0" applyFont="1" applyBorder="1"/>
    <xf numFmtId="164" fontId="0" fillId="3" borderId="3" xfId="0" applyNumberFormat="1" applyFill="1" applyBorder="1" applyAlignment="1">
      <alignment horizontal="right"/>
    </xf>
    <xf numFmtId="0" fontId="5" fillId="4" borderId="3" xfId="0" applyFont="1" applyFill="1" applyBorder="1" applyAlignment="1">
      <alignment horizontal="center" vertical="center"/>
    </xf>
    <xf numFmtId="165" fontId="0" fillId="3" borderId="3" xfId="0" applyNumberFormat="1" applyFill="1" applyBorder="1" applyAlignment="1">
      <alignment horizontal="right"/>
    </xf>
    <xf numFmtId="0" fontId="6" fillId="0" borderId="3" xfId="0" applyFont="1" applyBorder="1"/>
    <xf numFmtId="166" fontId="7" fillId="2" borderId="1" xfId="0" applyNumberFormat="1" applyFont="1" applyFill="1" applyBorder="1" applyAlignment="1">
      <alignment horizontal="right"/>
    </xf>
    <xf numFmtId="166" fontId="5" fillId="5" borderId="1" xfId="0" applyNumberFormat="1" applyFont="1" applyFill="1" applyBorder="1" applyAlignment="1">
      <alignment horizontal="right"/>
    </xf>
    <xf numFmtId="166" fontId="5" fillId="6" borderId="1" xfId="0" applyNumberFormat="1" applyFont="1" applyFill="1" applyBorder="1" applyAlignment="1">
      <alignment horizontal="right"/>
    </xf>
    <xf numFmtId="167" fontId="0" fillId="0" borderId="3" xfId="0" applyNumberFormat="1" applyBorder="1" applyAlignment="1">
      <alignment horizontal="right"/>
    </xf>
    <xf numFmtId="168" fontId="0" fillId="3" borderId="3" xfId="0" applyNumberFormat="1" applyFill="1" applyBorder="1" applyAlignment="1">
      <alignment horizontal="right"/>
    </xf>
    <xf numFmtId="168" fontId="6" fillId="7" borderId="3" xfId="0" applyNumberFormat="1" applyFont="1" applyFill="1" applyBorder="1" applyAlignment="1">
      <alignment horizontal="right"/>
    </xf>
    <xf numFmtId="168" fontId="0" fillId="8" borderId="3" xfId="0" applyNumberFormat="1" applyFill="1" applyBorder="1" applyAlignment="1">
      <alignment horizontal="right"/>
    </xf>
    <xf numFmtId="168" fontId="0" fillId="9" borderId="3" xfId="0" applyNumberFormat="1" applyFill="1" applyBorder="1" applyAlignment="1">
      <alignment horizontal="right"/>
    </xf>
    <xf numFmtId="0" fontId="8" fillId="10" borderId="3" xfId="0" applyFont="1" applyFill="1" applyBorder="1" applyAlignment="1">
      <alignment horizontal="center"/>
    </xf>
    <xf numFmtId="165" fontId="0" fillId="0" borderId="3" xfId="0" applyNumberFormat="1" applyBorder="1" applyAlignment="1">
      <alignment horizontal="right"/>
    </xf>
    <xf numFmtId="166" fontId="0" fillId="0" borderId="3" xfId="0" applyNumberFormat="1" applyBorder="1" applyAlignment="1">
      <alignment horizontal="right"/>
    </xf>
    <xf numFmtId="0" fontId="9" fillId="0" borderId="3" xfId="0" applyFont="1" applyBorder="1" applyAlignment="1">
      <alignment wrapText="1"/>
    </xf>
    <xf numFmtId="167" fontId="0" fillId="8" borderId="3" xfId="0" applyNumberFormat="1" applyFill="1" applyBorder="1" applyAlignment="1">
      <alignment horizontal="right"/>
    </xf>
    <xf numFmtId="167" fontId="0" fillId="9" borderId="3" xfId="0" applyNumberFormat="1" applyFill="1" applyBorder="1" applyAlignment="1">
      <alignment horizontal="right"/>
    </xf>
    <xf numFmtId="166" fontId="0" fillId="11" borderId="3" xfId="0" applyNumberFormat="1" applyFill="1" applyBorder="1" applyAlignment="1">
      <alignment horizontal="right"/>
    </xf>
    <xf numFmtId="166" fontId="6" fillId="8" borderId="3" xfId="0" applyNumberFormat="1" applyFont="1" applyFill="1" applyBorder="1" applyAlignment="1">
      <alignment horizontal="right"/>
    </xf>
    <xf numFmtId="166" fontId="0" fillId="9" borderId="3" xfId="0" applyNumberFormat="1" applyFill="1" applyBorder="1" applyAlignment="1">
      <alignment horizontal="right"/>
    </xf>
    <xf numFmtId="169" fontId="0" fillId="0" borderId="3" xfId="0" applyNumberFormat="1" applyBorder="1" applyAlignment="1">
      <alignment horizontal="right"/>
    </xf>
    <xf numFmtId="168" fontId="0" fillId="0" borderId="3" xfId="0" applyNumberFormat="1" applyBorder="1" applyAlignment="1">
      <alignment horizontal="right"/>
    </xf>
    <xf numFmtId="0" fontId="0" fillId="0" borderId="3" xfId="0" applyBorder="1" applyAlignment="1">
      <alignment horizontal="left"/>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theme" Target="theme/theme1.xml"/><Relationship Id="rId7" Type="http://schemas.openxmlformats.org/officeDocument/2006/relationships/styles" Target="styles.xml"/><Relationship Id="rId8"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46"/>
  <sheetViews>
    <sheetView tabSelected="1" workbookViewId="0"/>
  </sheetViews>
  <sheetFormatPr defaultRowHeight="15"/>
  <cols>
    <col min="1" max="1" width="30.7109375" customWidth="1"/>
    <col min="2" max="2" width="16.7109375" customWidth="1"/>
    <col min="3" max="7" width="14.7109375" customWidth="1"/>
    <col min="8" max="8" width="2.7109375" customWidth="1"/>
    <col min="9" max="9" width="30.7109375" customWidth="1"/>
    <col min="10" max="10" width="16.7109375" customWidth="1"/>
  </cols>
  <sheetData>
    <row r="1" spans="1:10" ht="30" customHeight="1">
      <c r="A1" s="1" t="s">
        <v>0</v>
      </c>
    </row>
    <row r="2" spans="1:10">
      <c r="A2" s="2" t="s">
        <v>1</v>
      </c>
    </row>
    <row r="4" spans="1:10">
      <c r="A4" s="3" t="s">
        <v>2</v>
      </c>
      <c r="B4" s="3"/>
      <c r="C4" s="3"/>
      <c r="D4" s="3"/>
      <c r="E4" s="3"/>
      <c r="F4" s="3"/>
      <c r="G4" s="3"/>
    </row>
    <row r="5" spans="1:10">
      <c r="A5" s="3"/>
      <c r="B5" s="3"/>
      <c r="C5" s="3"/>
      <c r="D5" s="3"/>
      <c r="E5" s="3"/>
      <c r="F5" s="3"/>
      <c r="G5" s="3"/>
    </row>
    <row r="7" spans="1:10">
      <c r="A7" s="4" t="s">
        <v>3</v>
      </c>
      <c r="I7" s="4" t="s">
        <v>43</v>
      </c>
    </row>
    <row r="8" spans="1:10">
      <c r="A8" t="s">
        <v>4</v>
      </c>
      <c r="B8" s="5">
        <v>337.39</v>
      </c>
      <c r="I8" s="6" t="s">
        <v>44</v>
      </c>
      <c r="J8" s="6" t="s">
        <v>45</v>
      </c>
    </row>
    <row r="9" spans="1:10">
      <c r="A9" t="s">
        <v>5</v>
      </c>
      <c r="B9" s="7">
        <v>12246</v>
      </c>
      <c r="I9" s="8" t="s">
        <v>46</v>
      </c>
      <c r="J9" s="9">
        <v>296.94</v>
      </c>
    </row>
    <row r="10" spans="1:10">
      <c r="A10" t="s">
        <v>6</v>
      </c>
      <c r="B10" s="7">
        <v>126840</v>
      </c>
      <c r="I10" s="8" t="s">
        <v>47</v>
      </c>
      <c r="J10" s="10">
        <v>490.4</v>
      </c>
    </row>
    <row r="11" spans="1:10">
      <c r="A11" t="s">
        <v>7</v>
      </c>
      <c r="B11" s="7">
        <v>77501</v>
      </c>
      <c r="I11" s="8" t="s">
        <v>48</v>
      </c>
      <c r="J11" s="11">
        <v>33.12</v>
      </c>
    </row>
    <row r="12" spans="1:10">
      <c r="A12" t="s">
        <v>8</v>
      </c>
      <c r="B12" s="12">
        <f>B11-B10</f>
        <v>0</v>
      </c>
      <c r="I12" s="8" t="s">
        <v>49</v>
      </c>
      <c r="J12" s="9">
        <v>279.35</v>
      </c>
    </row>
    <row r="13" spans="1:10">
      <c r="A13" t="s">
        <v>9</v>
      </c>
      <c r="B13" s="7">
        <v>153408</v>
      </c>
    </row>
    <row r="14" spans="1:10">
      <c r="A14" t="s">
        <v>10</v>
      </c>
      <c r="B14" s="13">
        <v>0.09</v>
      </c>
      <c r="I14" s="4" t="s">
        <v>50</v>
      </c>
    </row>
    <row r="15" spans="1:10">
      <c r="A15" t="s">
        <v>11</v>
      </c>
      <c r="B15" s="13">
        <v>0.035</v>
      </c>
      <c r="I15" s="8" t="s">
        <v>46</v>
      </c>
      <c r="J15" s="14">
        <v>-0.12</v>
      </c>
    </row>
    <row r="16" spans="1:10">
      <c r="I16" s="8" t="s">
        <v>47</v>
      </c>
      <c r="J16" s="15">
        <v>0.454</v>
      </c>
    </row>
    <row r="17" spans="1:10">
      <c r="A17" s="4" t="s">
        <v>12</v>
      </c>
      <c r="I17" s="8" t="s">
        <v>48</v>
      </c>
      <c r="J17" s="16">
        <v>-0.902</v>
      </c>
    </row>
    <row r="18" spans="1:10">
      <c r="A18" s="17"/>
      <c r="B18" s="17" t="s">
        <v>13</v>
      </c>
      <c r="C18" s="17" t="s">
        <v>14</v>
      </c>
      <c r="D18" s="17" t="s">
        <v>15</v>
      </c>
      <c r="E18" s="17" t="s">
        <v>16</v>
      </c>
      <c r="F18" s="17" t="s">
        <v>17</v>
      </c>
      <c r="G18" s="17" t="s">
        <v>18</v>
      </c>
      <c r="I18" s="4" t="s">
        <v>51</v>
      </c>
    </row>
    <row r="19" spans="1:10">
      <c r="A19" t="s">
        <v>19</v>
      </c>
      <c r="B19" s="13"/>
      <c r="C19" s="13">
        <v>0.25</v>
      </c>
      <c r="D19" s="13">
        <v>0.25</v>
      </c>
      <c r="E19" s="13">
        <v>0.22</v>
      </c>
      <c r="F19" s="13">
        <v>0.2</v>
      </c>
      <c r="G19" s="13">
        <v>0.17</v>
      </c>
      <c r="I19" s="8" t="s">
        <v>52</v>
      </c>
      <c r="J19" s="9">
        <v>201.08</v>
      </c>
    </row>
    <row r="20" spans="1:10">
      <c r="A20" s="4" t="s">
        <v>20</v>
      </c>
      <c r="I20" s="8" t="s">
        <v>53</v>
      </c>
      <c r="J20" s="10">
        <v>326.37</v>
      </c>
    </row>
    <row r="21" spans="1:10">
      <c r="A21" t="s">
        <v>21</v>
      </c>
      <c r="B21" s="18"/>
      <c r="C21" s="7">
        <v>185000</v>
      </c>
      <c r="D21" s="7">
        <v>210000</v>
      </c>
      <c r="E21" s="7">
        <v>200000</v>
      </c>
      <c r="F21" s="7">
        <v>170000</v>
      </c>
      <c r="G21" s="7">
        <v>150000</v>
      </c>
      <c r="I21" s="8" t="s">
        <v>54</v>
      </c>
      <c r="J21" s="11">
        <v>26.76</v>
      </c>
    </row>
    <row r="22" spans="1:10">
      <c r="A22" s="4" t="s">
        <v>22</v>
      </c>
      <c r="I22" s="8" t="s">
        <v>55</v>
      </c>
      <c r="J22" s="5">
        <v>337.39</v>
      </c>
    </row>
    <row r="23" spans="1:10">
      <c r="B23" s="17" t="s">
        <v>23</v>
      </c>
      <c r="C23" s="17" t="s">
        <v>14</v>
      </c>
      <c r="D23" s="17" t="s">
        <v>15</v>
      </c>
      <c r="E23" s="17" t="s">
        <v>16</v>
      </c>
      <c r="F23" s="17" t="s">
        <v>17</v>
      </c>
      <c r="G23" s="17" t="s">
        <v>18</v>
      </c>
    </row>
    <row r="24" spans="1:10">
      <c r="A24" t="s">
        <v>24</v>
      </c>
      <c r="B24" s="18">
        <v>153408</v>
      </c>
      <c r="C24" s="18">
        <f>$B$13*(1+C19)</f>
        <v>0</v>
      </c>
      <c r="D24" s="18">
        <f>C24*(1+D19)</f>
        <v>0</v>
      </c>
      <c r="E24" s="18">
        <f>D24*(1+E19)</f>
        <v>0</v>
      </c>
      <c r="F24" s="18">
        <f>E24*(1+F19)</f>
        <v>0</v>
      </c>
      <c r="G24" s="18">
        <f>F24*(1+G19)</f>
        <v>0</v>
      </c>
    </row>
    <row r="25" spans="1:10">
      <c r="A25" t="s">
        <v>25</v>
      </c>
      <c r="B25" s="18"/>
      <c r="C25" s="18">
        <f>C21</f>
        <v>0</v>
      </c>
      <c r="D25" s="18">
        <f>D21</f>
        <v>0</v>
      </c>
      <c r="E25" s="18">
        <f>E21</f>
        <v>0</v>
      </c>
      <c r="F25" s="18">
        <f>F21</f>
        <v>0</v>
      </c>
      <c r="G25" s="18">
        <f>G21</f>
        <v>0</v>
      </c>
    </row>
    <row r="26" spans="1:10">
      <c r="A26" t="s">
        <v>26</v>
      </c>
      <c r="B26" s="18">
        <v>62408</v>
      </c>
      <c r="C26" s="12">
        <f>C24-C25</f>
        <v>0</v>
      </c>
      <c r="D26" s="12">
        <f>D24-D25</f>
        <v>0</v>
      </c>
      <c r="E26" s="12">
        <f>E24-E25</f>
        <v>0</v>
      </c>
      <c r="F26" s="12">
        <f>F24-F25</f>
        <v>0</v>
      </c>
      <c r="G26" s="12">
        <f>G24-G25</f>
        <v>0</v>
      </c>
    </row>
    <row r="27" spans="1:10">
      <c r="A27" t="s">
        <v>27</v>
      </c>
      <c r="B27" s="18"/>
      <c r="C27" s="18">
        <f>1/(1+$B$14)^1</f>
        <v>0</v>
      </c>
      <c r="D27" s="18">
        <f>1/(1+$B$14)^2</f>
        <v>0</v>
      </c>
      <c r="E27" s="18">
        <f>1/(1+$B$14)^3</f>
        <v>0</v>
      </c>
      <c r="F27" s="18">
        <f>1/(1+$B$14)^4</f>
        <v>0</v>
      </c>
      <c r="G27" s="18">
        <f>1/(1+$B$14)^5</f>
        <v>0</v>
      </c>
    </row>
    <row r="28" spans="1:10">
      <c r="A28" t="s">
        <v>28</v>
      </c>
      <c r="B28" s="18"/>
      <c r="C28" s="12">
        <f>C26*C27</f>
        <v>0</v>
      </c>
      <c r="D28" s="12">
        <f>D26*D27</f>
        <v>0</v>
      </c>
      <c r="E28" s="12">
        <f>E26*E27</f>
        <v>0</v>
      </c>
      <c r="F28" s="12">
        <f>F26*F27</f>
        <v>0</v>
      </c>
      <c r="G28" s="12">
        <f>G26*G27</f>
        <v>0</v>
      </c>
    </row>
    <row r="30" spans="1:10">
      <c r="A30" s="4" t="s">
        <v>29</v>
      </c>
    </row>
    <row r="31" spans="1:10">
      <c r="A31" t="s">
        <v>30</v>
      </c>
      <c r="B31" s="12">
        <f>SUM(C28:G28)</f>
        <v>0</v>
      </c>
    </row>
    <row r="32" spans="1:10">
      <c r="A32" t="s">
        <v>31</v>
      </c>
      <c r="B32" s="12">
        <f>G26*(1+$B$15)</f>
        <v>0</v>
      </c>
    </row>
    <row r="33" spans="1:7">
      <c r="A33" t="s">
        <v>32</v>
      </c>
      <c r="B33" s="18">
        <f>B32/($B$14-$B$15)</f>
        <v>0</v>
      </c>
    </row>
    <row r="34" spans="1:7">
      <c r="A34" t="s">
        <v>33</v>
      </c>
      <c r="B34" s="18">
        <f>B33*G27</f>
        <v>0</v>
      </c>
    </row>
    <row r="35" spans="1:7">
      <c r="A35" t="s">
        <v>34</v>
      </c>
      <c r="B35" s="18">
        <f>B31+B34</f>
        <v>0</v>
      </c>
    </row>
    <row r="36" spans="1:7">
      <c r="A36" t="s">
        <v>35</v>
      </c>
      <c r="B36" s="12">
        <f>B12</f>
        <v>0</v>
      </c>
    </row>
    <row r="37" spans="1:7">
      <c r="A37" t="s">
        <v>36</v>
      </c>
      <c r="B37" s="18">
        <f>B35-B36</f>
        <v>0</v>
      </c>
    </row>
    <row r="38" spans="1:7">
      <c r="A38" s="8" t="s">
        <v>37</v>
      </c>
      <c r="B38" s="9">
        <f>B37/B9</f>
        <v>0</v>
      </c>
    </row>
    <row r="39" spans="1:7">
      <c r="A39" t="s">
        <v>38</v>
      </c>
      <c r="B39" s="14">
        <f>(B38-B8)/B8</f>
        <v>0</v>
      </c>
    </row>
    <row r="41" spans="1:7">
      <c r="A41" s="4" t="s">
        <v>39</v>
      </c>
    </row>
    <row r="42" spans="1:7">
      <c r="A42" t="s">
        <v>40</v>
      </c>
      <c r="B42" s="19">
        <f>(B33-B12)/B9</f>
        <v>0</v>
      </c>
    </row>
    <row r="43" spans="1:7">
      <c r="A43" t="s">
        <v>41</v>
      </c>
      <c r="B43" s="9">
        <f>B42/(1.15^5)</f>
        <v>0</v>
      </c>
    </row>
    <row r="44" spans="1:7">
      <c r="A44" t="s">
        <v>42</v>
      </c>
      <c r="B44" s="14">
        <f>(B43-B8)/B8</f>
        <v>0</v>
      </c>
    </row>
    <row r="46" spans="1:7">
      <c r="A46" s="8" t="s">
        <v>56</v>
      </c>
      <c r="B46" s="20" t="s">
        <v>57</v>
      </c>
      <c r="C46" s="20"/>
      <c r="D46" s="20"/>
      <c r="E46" s="20"/>
      <c r="F46" s="20"/>
      <c r="G46" s="20"/>
    </row>
  </sheetData>
  <mergeCells count="2">
    <mergeCell ref="A4:G5"/>
    <mergeCell ref="B46:G46"/>
  </mergeCell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G43"/>
  <sheetViews>
    <sheetView workbookViewId="0"/>
  </sheetViews>
  <sheetFormatPr defaultRowHeight="15"/>
  <cols>
    <col min="1" max="1" width="32.7109375" customWidth="1"/>
    <col min="2" max="7" width="14.7109375" customWidth="1"/>
  </cols>
  <sheetData>
    <row r="1" spans="1:7">
      <c r="A1" s="1" t="s">
        <v>58</v>
      </c>
    </row>
    <row r="2" spans="1:7">
      <c r="A2" s="2" t="s">
        <v>59</v>
      </c>
    </row>
    <row r="4" spans="1:7">
      <c r="A4" s="4" t="s">
        <v>60</v>
      </c>
    </row>
    <row r="5" spans="1:7" ht="45" customHeight="1">
      <c r="A5" s="20" t="s">
        <v>61</v>
      </c>
      <c r="B5" s="20"/>
      <c r="C5" s="20"/>
      <c r="D5" s="20"/>
      <c r="E5" s="20"/>
      <c r="F5" s="20"/>
      <c r="G5" s="20"/>
    </row>
    <row r="7" spans="1:7">
      <c r="A7" s="17"/>
      <c r="B7" s="17" t="s">
        <v>13</v>
      </c>
      <c r="C7" s="17" t="s">
        <v>14</v>
      </c>
      <c r="D7" s="17" t="s">
        <v>15</v>
      </c>
      <c r="E7" s="17" t="s">
        <v>16</v>
      </c>
      <c r="F7" s="17" t="s">
        <v>17</v>
      </c>
      <c r="G7" s="17" t="s">
        <v>18</v>
      </c>
    </row>
    <row r="8" spans="1:7">
      <c r="A8" s="8" t="s">
        <v>19</v>
      </c>
      <c r="B8" s="18"/>
      <c r="C8" s="15">
        <v>0.28</v>
      </c>
      <c r="D8" s="15">
        <v>0.28</v>
      </c>
      <c r="E8" s="15">
        <v>0.25</v>
      </c>
      <c r="F8" s="15">
        <v>0.22</v>
      </c>
      <c r="G8" s="15">
        <v>0.18</v>
      </c>
    </row>
    <row r="9" spans="1:7">
      <c r="A9" s="8" t="s">
        <v>62</v>
      </c>
      <c r="B9" s="18"/>
      <c r="C9" s="21">
        <v>185000</v>
      </c>
      <c r="D9" s="21">
        <v>205000</v>
      </c>
      <c r="E9" s="21">
        <v>190000</v>
      </c>
      <c r="F9" s="21">
        <v>165000</v>
      </c>
      <c r="G9" s="21">
        <v>145000</v>
      </c>
    </row>
    <row r="10" spans="1:7">
      <c r="A10" s="8" t="s">
        <v>63</v>
      </c>
      <c r="B10" s="18">
        <v>153408</v>
      </c>
      <c r="C10" s="21">
        <v>196362</v>
      </c>
      <c r="D10" s="21">
        <v>251344</v>
      </c>
      <c r="E10" s="21">
        <v>314180</v>
      </c>
      <c r="F10" s="21">
        <v>383299</v>
      </c>
      <c r="G10" s="21">
        <v>452293</v>
      </c>
    </row>
    <row r="11" spans="1:7">
      <c r="A11" s="8" t="s">
        <v>26</v>
      </c>
      <c r="B11" s="18">
        <v>62408</v>
      </c>
      <c r="C11" s="21">
        <v>11362</v>
      </c>
      <c r="D11" s="21">
        <v>46344</v>
      </c>
      <c r="E11" s="21">
        <v>124180</v>
      </c>
      <c r="F11" s="21">
        <v>218299</v>
      </c>
      <c r="G11" s="21">
        <v>307293</v>
      </c>
    </row>
    <row r="12" spans="1:7">
      <c r="A12" s="8" t="s">
        <v>27</v>
      </c>
      <c r="B12" s="18"/>
      <c r="C12" s="21">
        <v>0.9258999999999999</v>
      </c>
      <c r="D12" s="21">
        <v>0.8573</v>
      </c>
      <c r="E12" s="21">
        <v>0.7938</v>
      </c>
      <c r="F12" s="21">
        <v>0.735</v>
      </c>
      <c r="G12" s="21">
        <v>0.6806</v>
      </c>
    </row>
    <row r="13" spans="1:7">
      <c r="A13" s="8" t="s">
        <v>64</v>
      </c>
      <c r="B13" s="18"/>
      <c r="C13" s="21">
        <v>10520</v>
      </c>
      <c r="D13" s="21">
        <v>39731</v>
      </c>
      <c r="E13" s="21">
        <v>98574</v>
      </c>
      <c r="F13" s="21">
        <v>160450</v>
      </c>
      <c r="G13" s="21">
        <v>209144</v>
      </c>
    </row>
    <row r="15" spans="1:7">
      <c r="A15" s="8" t="s">
        <v>65</v>
      </c>
      <c r="B15" s="21">
        <v>518419</v>
      </c>
    </row>
    <row r="16" spans="1:7">
      <c r="A16" s="8" t="s">
        <v>32</v>
      </c>
      <c r="B16" s="21">
        <v>7989625</v>
      </c>
    </row>
    <row r="17" spans="1:7">
      <c r="A17" s="8" t="s">
        <v>66</v>
      </c>
      <c r="B17" s="21">
        <v>5437739</v>
      </c>
    </row>
    <row r="18" spans="1:7">
      <c r="A18" s="8" t="s">
        <v>34</v>
      </c>
      <c r="B18" s="21">
        <v>5956158</v>
      </c>
    </row>
    <row r="19" spans="1:7">
      <c r="A19" s="8" t="s">
        <v>36</v>
      </c>
      <c r="B19" s="21">
        <v>6005497</v>
      </c>
    </row>
    <row r="20" spans="1:7">
      <c r="A20" s="8" t="s">
        <v>67</v>
      </c>
      <c r="B20" s="10">
        <v>490.4</v>
      </c>
    </row>
    <row r="21" spans="1:7">
      <c r="A21" s="8" t="s">
        <v>68</v>
      </c>
      <c r="B21" s="15">
        <v>0.454</v>
      </c>
    </row>
    <row r="22" spans="1:7">
      <c r="A22" s="8" t="s">
        <v>69</v>
      </c>
      <c r="B22" s="10">
        <v>326.37</v>
      </c>
    </row>
    <row r="23" spans="1:7">
      <c r="A23" s="8" t="s">
        <v>70</v>
      </c>
      <c r="B23" s="15">
        <v>-0.033</v>
      </c>
    </row>
    <row r="25" spans="1:7">
      <c r="A25" s="4" t="s">
        <v>71</v>
      </c>
    </row>
    <row r="26" spans="1:7" ht="45" customHeight="1">
      <c r="A26" s="20" t="s">
        <v>72</v>
      </c>
      <c r="B26" s="20"/>
      <c r="C26" s="20"/>
      <c r="D26" s="20"/>
      <c r="E26" s="20"/>
      <c r="F26" s="20"/>
      <c r="G26" s="20"/>
    </row>
    <row r="28" spans="1:7">
      <c r="A28" s="17"/>
      <c r="B28" s="17" t="s">
        <v>13</v>
      </c>
      <c r="C28" s="17" t="s">
        <v>14</v>
      </c>
      <c r="D28" s="17" t="s">
        <v>15</v>
      </c>
      <c r="E28" s="17" t="s">
        <v>16</v>
      </c>
      <c r="F28" s="17" t="s">
        <v>17</v>
      </c>
      <c r="G28" s="17" t="s">
        <v>18</v>
      </c>
    </row>
    <row r="29" spans="1:7">
      <c r="A29" s="8" t="s">
        <v>19</v>
      </c>
      <c r="B29" s="18"/>
      <c r="C29" s="16">
        <v>0.12</v>
      </c>
      <c r="D29" s="16">
        <v>0.1</v>
      </c>
      <c r="E29" s="16">
        <v>0.08</v>
      </c>
      <c r="F29" s="16">
        <v>0.07000000000000001</v>
      </c>
      <c r="G29" s="16">
        <v>0.06</v>
      </c>
    </row>
    <row r="30" spans="1:7">
      <c r="A30" s="8" t="s">
        <v>62</v>
      </c>
      <c r="B30" s="18"/>
      <c r="C30" s="22">
        <v>185000</v>
      </c>
      <c r="D30" s="22">
        <v>215000</v>
      </c>
      <c r="E30" s="22">
        <v>210000</v>
      </c>
      <c r="F30" s="22">
        <v>195000</v>
      </c>
      <c r="G30" s="22">
        <v>175000</v>
      </c>
    </row>
    <row r="31" spans="1:7">
      <c r="A31" s="8" t="s">
        <v>63</v>
      </c>
      <c r="B31" s="18">
        <v>153408</v>
      </c>
      <c r="C31" s="22">
        <v>171817</v>
      </c>
      <c r="D31" s="22">
        <v>189000</v>
      </c>
      <c r="E31" s="22">
        <v>204120</v>
      </c>
      <c r="F31" s="22">
        <v>218408</v>
      </c>
      <c r="G31" s="22">
        <v>231513</v>
      </c>
    </row>
    <row r="32" spans="1:7">
      <c r="A32" s="8" t="s">
        <v>26</v>
      </c>
      <c r="B32" s="18">
        <v>62408</v>
      </c>
      <c r="C32" s="22">
        <v>-13183</v>
      </c>
      <c r="D32" s="22">
        <v>-26001</v>
      </c>
      <c r="E32" s="22">
        <v>-5881</v>
      </c>
      <c r="F32" s="22">
        <v>23407</v>
      </c>
      <c r="G32" s="22">
        <v>56511</v>
      </c>
    </row>
    <row r="33" spans="1:7">
      <c r="A33" s="8" t="s">
        <v>27</v>
      </c>
      <c r="B33" s="18"/>
      <c r="C33" s="22">
        <v>0.8929</v>
      </c>
      <c r="D33" s="22">
        <v>0.7972</v>
      </c>
      <c r="E33" s="22">
        <v>0.7118</v>
      </c>
      <c r="F33" s="22">
        <v>0.6355</v>
      </c>
      <c r="G33" s="22">
        <v>0.5674</v>
      </c>
    </row>
    <row r="34" spans="1:7">
      <c r="A34" s="8" t="s">
        <v>64</v>
      </c>
      <c r="B34" s="18"/>
      <c r="C34" s="22">
        <v>-11771</v>
      </c>
      <c r="D34" s="22">
        <v>-20728</v>
      </c>
      <c r="E34" s="22">
        <v>-4186</v>
      </c>
      <c r="F34" s="22">
        <v>14875</v>
      </c>
      <c r="G34" s="22">
        <v>32064</v>
      </c>
    </row>
    <row r="36" spans="1:7">
      <c r="A36" s="8" t="s">
        <v>65</v>
      </c>
      <c r="B36" s="22">
        <v>10254</v>
      </c>
    </row>
    <row r="37" spans="1:7">
      <c r="A37" s="8" t="s">
        <v>32</v>
      </c>
      <c r="B37" s="22">
        <v>609726</v>
      </c>
    </row>
    <row r="38" spans="1:7">
      <c r="A38" s="8" t="s">
        <v>66</v>
      </c>
      <c r="B38" s="22">
        <v>345959</v>
      </c>
    </row>
    <row r="39" spans="1:7">
      <c r="A39" s="8" t="s">
        <v>34</v>
      </c>
      <c r="B39" s="22">
        <v>356213</v>
      </c>
    </row>
    <row r="40" spans="1:7">
      <c r="A40" s="8" t="s">
        <v>36</v>
      </c>
      <c r="B40" s="22">
        <v>405552</v>
      </c>
    </row>
    <row r="41" spans="1:7">
      <c r="A41" s="8" t="s">
        <v>73</v>
      </c>
      <c r="B41" s="11">
        <v>33.12</v>
      </c>
    </row>
    <row r="42" spans="1:7">
      <c r="A42" s="8" t="s">
        <v>74</v>
      </c>
      <c r="B42" s="16">
        <v>-0.902</v>
      </c>
    </row>
    <row r="43" spans="1:7">
      <c r="A43" s="8" t="s">
        <v>75</v>
      </c>
      <c r="B43" s="11">
        <v>26.76</v>
      </c>
    </row>
  </sheetData>
  <mergeCells count="2">
    <mergeCell ref="A5:G5"/>
    <mergeCell ref="A26:G26"/>
  </mergeCell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F15"/>
  <sheetViews>
    <sheetView workbookViewId="0"/>
  </sheetViews>
  <sheetFormatPr defaultRowHeight="15"/>
  <cols>
    <col min="1" max="1" width="18.7109375" customWidth="1"/>
    <col min="2" max="7" width="14.7109375" customWidth="1"/>
  </cols>
  <sheetData>
    <row r="1" spans="1:6">
      <c r="A1" s="1" t="s">
        <v>76</v>
      </c>
    </row>
    <row r="2" spans="1:6">
      <c r="A2" s="2" t="s">
        <v>77</v>
      </c>
    </row>
    <row r="3" spans="1:6">
      <c r="A3" s="2" t="s">
        <v>78</v>
      </c>
    </row>
    <row r="5" spans="1:6">
      <c r="A5" s="6" t="s">
        <v>79</v>
      </c>
      <c r="B5" s="6" t="s">
        <v>80</v>
      </c>
      <c r="C5" s="6" t="s">
        <v>81</v>
      </c>
      <c r="D5" s="6" t="s">
        <v>82</v>
      </c>
      <c r="E5" s="6" t="s">
        <v>83</v>
      </c>
      <c r="F5" s="6" t="s">
        <v>84</v>
      </c>
    </row>
    <row r="6" spans="1:6">
      <c r="A6" s="6" t="s">
        <v>85</v>
      </c>
      <c r="B6" s="23">
        <v>349.28</v>
      </c>
      <c r="C6" s="24">
        <v>384.91</v>
      </c>
      <c r="D6" s="24">
        <v>429.73</v>
      </c>
      <c r="E6" s="24">
        <v>487.74</v>
      </c>
      <c r="F6" s="24">
        <v>564.78</v>
      </c>
    </row>
    <row r="7" spans="1:6">
      <c r="A7" s="6" t="s">
        <v>86</v>
      </c>
      <c r="B7" s="25">
        <v>283.97</v>
      </c>
      <c r="C7" s="23">
        <v>308.38</v>
      </c>
      <c r="D7" s="23">
        <v>336.49</v>
      </c>
      <c r="E7" s="24">
        <v>370.61</v>
      </c>
      <c r="F7" s="24">
        <v>413.58</v>
      </c>
    </row>
    <row r="8" spans="1:6">
      <c r="A8" s="6" t="s">
        <v>87</v>
      </c>
      <c r="B8" s="25">
        <v>237.62</v>
      </c>
      <c r="C8" s="25">
        <v>254.97</v>
      </c>
      <c r="D8" s="25">
        <v>274.47</v>
      </c>
      <c r="E8" s="25">
        <v>296.94</v>
      </c>
      <c r="F8" s="23">
        <v>323.65</v>
      </c>
    </row>
    <row r="9" spans="1:6">
      <c r="A9" s="6" t="s">
        <v>88</v>
      </c>
      <c r="B9" s="25">
        <v>203.69</v>
      </c>
      <c r="C9" s="25">
        <v>216.46</v>
      </c>
      <c r="D9" s="25">
        <v>230.68</v>
      </c>
      <c r="E9" s="25">
        <v>246.68</v>
      </c>
      <c r="F9" s="25">
        <v>264.87</v>
      </c>
    </row>
    <row r="10" spans="1:6">
      <c r="A10" s="6" t="s">
        <v>89</v>
      </c>
      <c r="B10" s="25">
        <v>177.36</v>
      </c>
      <c r="C10" s="25">
        <v>186.9</v>
      </c>
      <c r="D10" s="25">
        <v>197.42</v>
      </c>
      <c r="E10" s="25">
        <v>209.09</v>
      </c>
      <c r="F10" s="25">
        <v>222.16</v>
      </c>
    </row>
    <row r="12" spans="1:6">
      <c r="A12" s="8" t="s">
        <v>90</v>
      </c>
      <c r="B12" s="24" t="s">
        <v>91</v>
      </c>
      <c r="C12" s="23" t="s">
        <v>92</v>
      </c>
      <c r="D12" s="25" t="s">
        <v>93</v>
      </c>
    </row>
    <row r="14" spans="1:6" ht="40" customHeight="1">
      <c r="A14" s="8" t="s">
        <v>94</v>
      </c>
      <c r="B14" s="20" t="s">
        <v>95</v>
      </c>
      <c r="C14" s="20"/>
      <c r="D14" s="20"/>
      <c r="E14" s="20"/>
      <c r="F14" s="20"/>
    </row>
    <row r="15" spans="1:6">
      <c r="B15" s="20"/>
      <c r="C15" s="20"/>
      <c r="D15" s="20"/>
      <c r="E15" s="20"/>
      <c r="F15" s="20"/>
    </row>
  </sheetData>
  <mergeCells count="1">
    <mergeCell ref="B14:F15"/>
  </mergeCell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G22"/>
  <sheetViews>
    <sheetView workbookViewId="0"/>
  </sheetViews>
  <sheetFormatPr defaultRowHeight="15"/>
  <cols>
    <col min="1" max="1" width="28.7109375" customWidth="1"/>
    <col min="2" max="8" width="14.7109375" customWidth="1"/>
    <col min="9" max="9" width="50.7109375" customWidth="1"/>
  </cols>
  <sheetData>
    <row r="1" spans="1:7">
      <c r="A1" s="1" t="s">
        <v>96</v>
      </c>
    </row>
    <row r="2" spans="1:7">
      <c r="A2" s="2" t="s">
        <v>97</v>
      </c>
    </row>
    <row r="4" spans="1:7">
      <c r="A4" s="6" t="s">
        <v>98</v>
      </c>
      <c r="B4" s="6" t="s">
        <v>99</v>
      </c>
      <c r="C4" s="6" t="s">
        <v>100</v>
      </c>
      <c r="D4" s="6" t="s">
        <v>101</v>
      </c>
      <c r="E4" s="6" t="s">
        <v>102</v>
      </c>
      <c r="F4" s="6" t="s">
        <v>103</v>
      </c>
      <c r="G4" s="6" t="s">
        <v>104</v>
      </c>
    </row>
    <row r="5" spans="1:7">
      <c r="A5" s="8" t="s">
        <v>105</v>
      </c>
      <c r="B5" s="18">
        <v>182527</v>
      </c>
      <c r="C5" s="18">
        <v>257637</v>
      </c>
      <c r="D5" s="18">
        <v>282836</v>
      </c>
      <c r="E5" s="18">
        <v>307394</v>
      </c>
      <c r="F5" s="18">
        <v>350018</v>
      </c>
      <c r="G5" s="18">
        <v>402836</v>
      </c>
    </row>
    <row r="6" spans="1:7">
      <c r="A6" s="8" t="s">
        <v>106</v>
      </c>
      <c r="B6" s="18">
        <v>41224</v>
      </c>
      <c r="C6" s="18">
        <v>78714</v>
      </c>
      <c r="D6" s="18">
        <v>74687</v>
      </c>
      <c r="E6" s="18">
        <v>85994</v>
      </c>
      <c r="F6" s="18">
        <v>112390</v>
      </c>
      <c r="G6" s="18">
        <v>129039</v>
      </c>
    </row>
    <row r="7" spans="1:7">
      <c r="A7" s="8" t="s">
        <v>107</v>
      </c>
      <c r="B7" s="18">
        <v>40269</v>
      </c>
      <c r="C7" s="18">
        <v>76033</v>
      </c>
      <c r="D7" s="18">
        <v>59972</v>
      </c>
      <c r="E7" s="18">
        <v>73795</v>
      </c>
      <c r="F7" s="18">
        <v>100118</v>
      </c>
      <c r="G7" s="18">
        <v>132170</v>
      </c>
    </row>
    <row r="8" spans="1:7">
      <c r="A8" s="8" t="s">
        <v>26</v>
      </c>
      <c r="B8" s="18">
        <v>42843</v>
      </c>
      <c r="C8" s="18">
        <v>67465</v>
      </c>
      <c r="D8" s="18">
        <v>61374</v>
      </c>
      <c r="E8" s="18">
        <v>74500</v>
      </c>
      <c r="F8" s="18">
        <v>72481</v>
      </c>
      <c r="G8" s="18">
        <v>62408</v>
      </c>
    </row>
    <row r="9" spans="1:7">
      <c r="A9" s="8" t="s">
        <v>108</v>
      </c>
      <c r="B9" s="18">
        <v>65000</v>
      </c>
      <c r="C9" s="18">
        <v>91000</v>
      </c>
      <c r="D9" s="18">
        <v>91000</v>
      </c>
      <c r="E9" s="18">
        <v>101000</v>
      </c>
      <c r="F9" s="18">
        <v>125000</v>
      </c>
      <c r="G9" s="18">
        <v>153408</v>
      </c>
    </row>
    <row r="10" spans="1:7">
      <c r="A10" s="8" t="s">
        <v>109</v>
      </c>
      <c r="B10" s="18">
        <v>222544</v>
      </c>
      <c r="C10" s="18">
        <v>251635</v>
      </c>
      <c r="D10" s="18">
        <v>256144</v>
      </c>
      <c r="E10" s="18">
        <v>283388</v>
      </c>
      <c r="F10" s="18">
        <v>315237</v>
      </c>
      <c r="G10" s="18">
        <v>415265</v>
      </c>
    </row>
    <row r="11" spans="1:7">
      <c r="A11" s="8" t="s">
        <v>110</v>
      </c>
      <c r="B11" s="26">
        <v>2.93</v>
      </c>
      <c r="C11" s="26">
        <v>5.61</v>
      </c>
      <c r="D11" s="26">
        <v>4.48</v>
      </c>
      <c r="E11" s="26">
        <v>5.8</v>
      </c>
      <c r="F11" s="26">
        <v>8.039999999999999</v>
      </c>
      <c r="G11" s="26">
        <v>10.81</v>
      </c>
    </row>
    <row r="12" spans="1:7">
      <c r="A12" s="8" t="s">
        <v>111</v>
      </c>
      <c r="B12" s="18">
        <v>22281</v>
      </c>
      <c r="C12" s="18">
        <v>24640</v>
      </c>
      <c r="D12" s="18">
        <v>31485</v>
      </c>
      <c r="E12" s="18">
        <v>32251</v>
      </c>
      <c r="F12" s="18">
        <v>52527</v>
      </c>
      <c r="G12" s="18">
        <v>91000</v>
      </c>
    </row>
    <row r="14" spans="1:7">
      <c r="A14" s="4" t="s">
        <v>112</v>
      </c>
    </row>
    <row r="15" spans="1:7" ht="30" customHeight="1">
      <c r="A15" s="6" t="s">
        <v>98</v>
      </c>
      <c r="B15" s="6" t="s">
        <v>113</v>
      </c>
      <c r="C15" s="6" t="s">
        <v>114</v>
      </c>
      <c r="D15" s="6" t="s">
        <v>115</v>
      </c>
    </row>
    <row r="16" spans="1:7">
      <c r="A16" s="8" t="s">
        <v>116</v>
      </c>
      <c r="B16" s="27">
        <v>0.1251</v>
      </c>
      <c r="C16" s="27">
        <v>0.1715</v>
      </c>
      <c r="D16" s="20" t="s">
        <v>117</v>
      </c>
    </row>
    <row r="17" spans="1:4">
      <c r="A17" s="8" t="s">
        <v>118</v>
      </c>
      <c r="B17" s="27">
        <v>0.3416</v>
      </c>
      <c r="C17" s="27">
        <v>0.2983</v>
      </c>
      <c r="D17" s="20" t="s">
        <v>119</v>
      </c>
    </row>
    <row r="18" spans="1:4">
      <c r="A18" s="8" t="s">
        <v>120</v>
      </c>
      <c r="B18" s="27">
        <v>0.1748</v>
      </c>
      <c r="C18" s="27">
        <v>0.1329</v>
      </c>
      <c r="D18" s="20" t="s">
        <v>121</v>
      </c>
    </row>
    <row r="19" spans="1:4">
      <c r="A19" s="8" t="s">
        <v>122</v>
      </c>
      <c r="B19" s="27">
        <v>0.005600000000000001</v>
      </c>
      <c r="C19" s="27">
        <v>0.0781</v>
      </c>
      <c r="D19" s="20" t="s">
        <v>123</v>
      </c>
    </row>
    <row r="20" spans="1:4">
      <c r="A20" s="8" t="s">
        <v>124</v>
      </c>
      <c r="B20" s="14">
        <v>0.1715</v>
      </c>
      <c r="C20" t="s">
        <v>125</v>
      </c>
    </row>
    <row r="21" spans="1:4" ht="60" customHeight="1">
      <c r="A21" t="s">
        <v>126</v>
      </c>
      <c r="B21" s="20" t="s">
        <v>127</v>
      </c>
      <c r="C21" s="20"/>
      <c r="D21" s="20"/>
    </row>
    <row r="22" spans="1:4">
      <c r="B22" s="20"/>
      <c r="C22" s="20"/>
      <c r="D22" s="20"/>
    </row>
  </sheetData>
  <mergeCells count="1">
    <mergeCell ref="B21:D22"/>
  </mergeCell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34"/>
  <sheetViews>
    <sheetView workbookViewId="0"/>
  </sheetViews>
  <sheetFormatPr defaultRowHeight="15"/>
  <cols>
    <col min="1" max="1" width="35.7109375" customWidth="1"/>
    <col min="2" max="3" width="20.7109375" customWidth="1"/>
    <col min="4" max="4" width="55.7109375" customWidth="1"/>
  </cols>
  <sheetData>
    <row r="1" spans="1:4">
      <c r="A1" s="1" t="s">
        <v>128</v>
      </c>
    </row>
    <row r="2" spans="1:4">
      <c r="A2" s="2" t="s">
        <v>129</v>
      </c>
    </row>
    <row r="4" spans="1:4">
      <c r="A4" s="3" t="s">
        <v>130</v>
      </c>
      <c r="B4" s="3"/>
      <c r="C4" s="3"/>
      <c r="D4" s="3"/>
    </row>
    <row r="5" spans="1:4">
      <c r="A5" s="3"/>
      <c r="B5" s="3"/>
      <c r="C5" s="3"/>
      <c r="D5" s="3"/>
    </row>
    <row r="7" spans="1:4">
      <c r="A7" s="4" t="s">
        <v>131</v>
      </c>
    </row>
    <row r="8" spans="1:4">
      <c r="A8" s="6" t="s">
        <v>98</v>
      </c>
      <c r="B8" s="6" t="s">
        <v>132</v>
      </c>
      <c r="C8" s="6" t="s">
        <v>133</v>
      </c>
      <c r="D8" s="6" t="s">
        <v>134</v>
      </c>
    </row>
    <row r="9" spans="1:4">
      <c r="A9" s="8" t="s">
        <v>135</v>
      </c>
      <c r="B9" s="28" t="s">
        <v>136</v>
      </c>
      <c r="C9" s="28" t="s">
        <v>137</v>
      </c>
      <c r="D9" s="20" t="s">
        <v>138</v>
      </c>
    </row>
    <row r="10" spans="1:4">
      <c r="A10" s="8" t="s">
        <v>139</v>
      </c>
      <c r="B10" s="28" t="s">
        <v>140</v>
      </c>
      <c r="C10" s="28" t="s">
        <v>137</v>
      </c>
      <c r="D10" s="20" t="s">
        <v>141</v>
      </c>
    </row>
    <row r="11" spans="1:4">
      <c r="A11" s="8" t="s">
        <v>142</v>
      </c>
      <c r="B11" s="28" t="s">
        <v>143</v>
      </c>
      <c r="C11" s="28" t="s">
        <v>144</v>
      </c>
      <c r="D11" s="20" t="s">
        <v>145</v>
      </c>
    </row>
    <row r="12" spans="1:4">
      <c r="A12" s="8" t="s">
        <v>146</v>
      </c>
      <c r="B12" s="28" t="s">
        <v>147</v>
      </c>
      <c r="C12" s="28" t="s">
        <v>148</v>
      </c>
      <c r="D12" s="20" t="s">
        <v>149</v>
      </c>
    </row>
    <row r="13" spans="1:4">
      <c r="A13" s="8" t="s">
        <v>150</v>
      </c>
      <c r="B13" s="28" t="s">
        <v>151</v>
      </c>
      <c r="C13" s="28" t="s">
        <v>152</v>
      </c>
      <c r="D13" s="20" t="s">
        <v>153</v>
      </c>
    </row>
    <row r="14" spans="1:4">
      <c r="A14" s="8" t="s">
        <v>154</v>
      </c>
      <c r="B14" s="28" t="s">
        <v>155</v>
      </c>
      <c r="C14" s="28" t="s">
        <v>156</v>
      </c>
      <c r="D14" s="20" t="s">
        <v>157</v>
      </c>
    </row>
    <row r="15" spans="1:4">
      <c r="A15" s="8" t="s">
        <v>158</v>
      </c>
      <c r="B15" s="28" t="s">
        <v>159</v>
      </c>
      <c r="C15" s="28" t="s">
        <v>160</v>
      </c>
      <c r="D15" s="20" t="s">
        <v>161</v>
      </c>
    </row>
    <row r="17" spans="1:4">
      <c r="A17" s="4" t="s">
        <v>162</v>
      </c>
    </row>
    <row r="18" spans="1:4">
      <c r="A18" s="8" t="s">
        <v>163</v>
      </c>
      <c r="B18" s="28" t="s">
        <v>164</v>
      </c>
    </row>
    <row r="19" spans="1:4">
      <c r="A19" s="8" t="s">
        <v>165</v>
      </c>
      <c r="B19" s="28" t="s">
        <v>166</v>
      </c>
    </row>
    <row r="20" spans="1:4">
      <c r="A20" s="8" t="s">
        <v>167</v>
      </c>
      <c r="B20" s="28" t="s">
        <v>168</v>
      </c>
    </row>
    <row r="21" spans="1:4" ht="50" customHeight="1">
      <c r="A21" t="s">
        <v>169</v>
      </c>
      <c r="B21" s="20" t="s">
        <v>170</v>
      </c>
      <c r="C21" s="20"/>
      <c r="D21" s="20"/>
    </row>
    <row r="22" spans="1:4">
      <c r="B22" s="20"/>
      <c r="C22" s="20"/>
      <c r="D22" s="20"/>
    </row>
    <row r="24" spans="1:4">
      <c r="A24" s="4" t="s">
        <v>171</v>
      </c>
    </row>
    <row r="25" spans="1:4">
      <c r="A25" s="8" t="s">
        <v>172</v>
      </c>
      <c r="B25" s="28" t="s">
        <v>173</v>
      </c>
    </row>
    <row r="26" spans="1:4">
      <c r="A26" s="8" t="s">
        <v>174</v>
      </c>
      <c r="B26" s="28" t="s">
        <v>175</v>
      </c>
    </row>
    <row r="27" spans="1:4">
      <c r="A27" s="8" t="s">
        <v>176</v>
      </c>
      <c r="B27" s="28" t="s">
        <v>177</v>
      </c>
    </row>
    <row r="28" spans="1:4">
      <c r="A28" s="8" t="s">
        <v>178</v>
      </c>
      <c r="B28" s="28" t="s">
        <v>179</v>
      </c>
    </row>
    <row r="29" spans="1:4">
      <c r="A29" t="s">
        <v>94</v>
      </c>
      <c r="B29" s="20" t="s">
        <v>180</v>
      </c>
      <c r="C29" s="20"/>
      <c r="D29" s="20"/>
    </row>
    <row r="31" spans="1:4">
      <c r="A31" s="4" t="s">
        <v>181</v>
      </c>
    </row>
    <row r="32" spans="1:4" ht="80" customHeight="1">
      <c r="A32" s="20" t="s">
        <v>182</v>
      </c>
      <c r="B32" s="20"/>
      <c r="C32" s="20"/>
      <c r="D32" s="20"/>
    </row>
    <row r="33" spans="1:4">
      <c r="A33" s="20"/>
      <c r="B33" s="20"/>
      <c r="C33" s="20"/>
      <c r="D33" s="20"/>
    </row>
    <row r="34" spans="1:4">
      <c r="A34" s="20"/>
      <c r="B34" s="20"/>
      <c r="C34" s="20"/>
      <c r="D34" s="20"/>
    </row>
  </sheetData>
  <mergeCells count="4">
    <mergeCell ref="A4:D5"/>
    <mergeCell ref="B21:D22"/>
    <mergeCell ref="B29:D29"/>
    <mergeCell ref="A32:D3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DCF Model</vt:lpstr>
      <vt:lpstr>Bull &amp; Bear</vt:lpstr>
      <vt:lpstr>Sensitivity</vt:lpstr>
      <vt:lpstr>Historical Data</vt:lpstr>
      <vt:lpstr>Sanity Check</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2026-06-29T06:55:28Z</dcterms:created>
  <dcterms:modified xsi:type="dcterms:W3CDTF">2026-06-29T06:55:28Z</dcterms:modified>
</cp:coreProperties>
</file>