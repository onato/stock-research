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<sst xmlns="http://schemas.openxmlformats.org/spreadsheetml/2006/main" count="363" uniqueCount="171">
  <si>
    <t xml:space="preserve">Ticker</t>
  </si>
  <si>
    <t xml:space="preserve">0083.HK</t>
  </si>
  <si>
    <t xml:space="preserve">Company</t>
  </si>
  <si>
    <t xml:space="preserve">Sino Land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</si>
  <si>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</si>
  <si>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</si>
  <si>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</si>
  <si>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</si>
  <si>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(Yahoo regularMarketTime, Friday regular-session close; HKEX closed over the weekend)</t>
  </si>
  <si>
    <t xml:space="preserve">Balance sheet date</t>
  </si>
  <si>
    <t xml:space="preserve">2025-12-31</t>
  </si>
  <si>
    <t xml:space="preserve">Model</t>
  </si>
  <si>
    <t xml:space="preserve">Underlying profit capitalisation at cost of equity ex finance income, plus net cash at face (engine route), with blended exit P/E and exit P/B terminal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</si>
  <si>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</si>
  <si>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</si>
  <si>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</si>
  <si>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</si>
  <si>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</si>
  <si>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</si>
  <si>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</si>
  <si>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</si>
  <si>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2026-10-10T11:51:53Z</t>
  </si>
  <si>
    <t xml:space="preserve">Drivers file</t>
  </si>
  <si>
    <t xml:space="preserve">0083.HK_Drivers.json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</si>
  <si>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</si>
  <si>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</si>
  <si>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</si>
  <si>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Sino Land is valued as two things: HK$51bn of net cash at face (~HK$5.3/share) and an operating property business (development, rental, hotels, management) worth its ex-cash underlying earnings capitalised at an 8.5% cost of equity with a 10-15x exit. The stock trades at 0.59x book NAV; the earnings-based value of the operating assets is ~0.4-0.5x their book value, because they earn only ~2.8% on ex-cash book. The NAV discount is therefore treated as earned, not as a mispricing to be closed.
key_risks_to_valuation: FY2026 annual report not yet extracted: FY0 underlying profit, deposit interest and net cash are estimates/Dec-2025 anchors; Cash valued at face, though the market has persistently discounted it under family control with a mostly-scrip payout; Development profit is lumpy: one or two big completions can move a year's stream by +/-30%; HK office vacancy (16-18%, forecasts &gt;20% by 2027) and retail reversions; HIBOR: lower rates cut deposit income (stripped here) but support residential demand and cap rates; Scrip dilution ~3.5-4%/yr redistributes value from cash-electing to scrip-electing holders at prices below book</t>
  </si>
  <si>
    <t xml:space="preserve">Data sources</t>
  </si>
  <si>
    <t xml:space="preserve">price: Yahoo Finance chart API at inputs.price_as_of; 52-week range 9.58-13.30
financials: 0083.HK_Metrics.csv (core_metrics + kpis, FY2017-FY2025 + H1 FY2024-FY2026); H1 FY2026 interim report (balance sheet, notes 5, 11, 12, 21; chairman's statement net cash); FY2025 annual report underlying-profit reconciliation
qualitative: 0083.HK_Analysis.json (2026-10-11), including the FY2025/26 full-year results summary (revenue 9,273, attributable profit 4,589, underlying 4,789, total DPS 58c)</t>
  </si>
  <si>
    <t xml:space="preserve">Scenario narrative: bear</t>
  </si>
  <si>
    <t xml:space="preserve">Structural HK office/retail oversupply and compressed development margins hold ex-cash underlying profit near HK$3bn; the cash pile keeps earning HIBOR under family control and the stock exits at 10x (~0.25x ex-cash book).</t>
  </si>
  <si>
    <t xml:space="preserve">Scenario narrative: base</t>
  </si>
  <si>
    <t xml:space="preserve">Development profit recovers modestly from the FY2026 trough as contracted sales and La Mirabelle are recognised; rental flat-to-slightly-up, hotels and management services grow; ex-cash underlying profit ~HK$3.9bn by FY2029 then grows with nominal GDP. Net cash HK$51bn added at face. Exit at 13x earnings (~0.45x ex-cash book).</t>
  </si>
  <si>
    <t xml:space="preserve">Scenario narrative: bull</t>
  </si>
  <si>
    <t xml:space="preserve">HK housing upcycle plus tourism and office recovery; ex-cash underlying profit reaches HK$5bn by FY2030 and the NAV discount narrows to ~0.6x ex-cash book (15x exit).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</si>
  <si>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</si>
  <si>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</si>
  <si>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</si>
  <si>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</si>
  <si>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</si>
  <si>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</si>
  <si>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</si>
  <si>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</si>
  <si>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</si>
  <si>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</si>
  <si>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</si>
  <si>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</si>
  <si>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</si>
  <si>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</si>
  <si>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</si>
  <si>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</si>
  <si>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</si>
  <si>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</si>
  <si>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</si>
  <si>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</si>
  <si>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</si>
  <si>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</si>
  <si>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</si>
  <si>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</si>
  <si>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</si>
  <si>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</si>
  <si>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</si>
  <si>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InvestmentPropertyFairValueChange</t>
  </si>
  <si>
    <t xml:space="preserve">NetIncomeInclNCI</t>
  </si>
  <si>
    <t xml:space="preserve">ShareOfAssociatesProfit</t>
  </si>
  <si>
    <t xml:space="preserve">ShareOfJointVenturesProfit</t>
  </si>
  <si>
    <t xml:space="preserve">TotalEquityInclNCI</t>
  </si>
  <si>
    <t xml:space="preserve">UnderlyingNPAT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</si>
  <si>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</si>
  <si>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</si>
  <si>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</si>
  <si>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</si>
  <si>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</si>
  <si>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</si>
  <si>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</si>
  <si>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</si>
  <si>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</si>
  <si>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</si>
  <si>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</si>
  <si>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</si>
  <si>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</si>
  <si>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</si>
  <si>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</si>
  <si>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</si>
  <si>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</si>
  <si>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</si>
  <si>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</si>
  <si>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</si>
  <si>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</si>
  <si>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</si>
  <si>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</si>
  <si>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</si>
  <si>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</si>
  <si>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</si>
  <si>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</si>
  <si>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</si>
  <si>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</si>
  <si>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</si>
  <si>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</si>
  <si>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</si>
  <si>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</si>
  <si>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</si>
  <si>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</si>
  <si>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</si>
  <si>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</si>
  <si>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</si>
  <si>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</si>
  <si>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</si>
  <si>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</si>
  <si>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</si>
  <si>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</si>
  <si>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</si>
  <si>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</si>
  <si>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</si>
  <si>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</si>
  <si>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0083.HK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</si>
  <si>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</si>
  <si>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</si>
  <si>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</si>
  <si>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</si>
  <si>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</si>
  <si>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</si>
  <si>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</si>
  <si>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</si>
  <si>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</si>
  <si>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</si>
  <si>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</si>
  <si>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</si>
  <si>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</si>
  <si>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</si>
  <si>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</si>
  <si>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</si>
  <si>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</si>
  <si>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</si>
  <si>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</si>
  <si>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</si>
  <si>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</si>
  <si>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</si>
  <si>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</si>
  <si>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</si>
  <si>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</si>
  <si>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</si>
  <si>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</si>
  <si>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</si>
  <si>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</si>
  <si>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</si>
  <si>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0083.HK owner-FCF component DCF: base case (millions, HKD)</t>
  </si>
  <si>
    <t xml:space="preserve">0083.HK owner-FCF component DCF: bull case (millions, HKD)</t>
  </si>
  <si>
    <t xml:space="preserve">0083.HK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</si>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</sst>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18333.9</v>
      </c>
      <c r="C2" s="0" t="n">
        <v>-7859</v>
      </c>
      <c r="D2" s="0" t="n">
        <v>7913.7</v>
      </c>
      <c r="E2" s="0" t="n">
        <v>43.2</v>
      </c>
      <c r="I2" s="0" t="n">
        <v>7414.7</v>
      </c>
      <c r="J2" s="0" t="n">
        <v>40.4</v>
      </c>
      <c r="K2" s="0" t="n">
        <v>1.19</v>
      </c>
      <c r="L2" s="0" t="n">
        <v>4870</v>
      </c>
      <c r="M2" s="0" t="n">
        <v>393.4</v>
      </c>
      <c r="N2" s="0" t="n">
        <v>4476.6</v>
      </c>
      <c r="O2" s="0" t="n">
        <v>128353.8</v>
      </c>
      <c r="P2" s="0" t="n">
        <v>155265.9</v>
      </c>
      <c r="S2" s="0" t="n">
        <v>33142.9</v>
      </c>
      <c r="T2" s="0" t="n">
        <v>6230.9</v>
      </c>
      <c r="AA2" s="0" t="s">
        <v>17</v>
      </c>
      <c r="AB2" s="0" t="s">
        <v>14</v>
      </c>
      <c r="AD2" s="0" t="n">
        <v>8106.5</v>
      </c>
      <c r="AH2" s="0" t="n">
        <v>5526.9</v>
      </c>
    </row>
    <row r="3" customFormat="false" ht="15" hidden="false" customHeight="false" outlineLevel="0" collapsed="false">
      <c r="A3" s="0" t="s">
        <v>70</v>
      </c>
      <c r="B3" s="0" t="n">
        <v>10730.2</v>
      </c>
      <c r="C3" s="0" t="n">
        <v>-3659.5</v>
      </c>
      <c r="D3" s="0" t="n">
        <v>4858.7</v>
      </c>
      <c r="E3" s="0" t="n">
        <v>45.3</v>
      </c>
      <c r="I3" s="0" t="n">
        <v>13995.9</v>
      </c>
      <c r="J3" s="0" t="n">
        <v>130.4</v>
      </c>
      <c r="K3" s="0" t="n">
        <v>2.18</v>
      </c>
      <c r="L3" s="0" t="n">
        <v>-7876.3</v>
      </c>
      <c r="M3" s="0" t="n">
        <v>264.3</v>
      </c>
      <c r="N3" s="0" t="n">
        <v>-8140.6</v>
      </c>
      <c r="O3" s="0" t="n">
        <v>139581.9</v>
      </c>
      <c r="P3" s="0" t="n">
        <v>159107.4</v>
      </c>
      <c r="Q3" s="0" t="n">
        <v>18665.3</v>
      </c>
      <c r="R3" s="0" t="n">
        <v>2375.7</v>
      </c>
      <c r="S3" s="0" t="n">
        <v>22393.3</v>
      </c>
      <c r="T3" s="0" t="n">
        <v>6421.8</v>
      </c>
      <c r="AA3" s="0" t="s">
        <v>17</v>
      </c>
      <c r="AB3" s="0" t="s">
        <v>14</v>
      </c>
      <c r="AC3" s="0" t="n">
        <v>927.4</v>
      </c>
      <c r="AD3" s="0" t="n">
        <v>14034.1</v>
      </c>
      <c r="AE3" s="0" t="n">
        <v>2358.4</v>
      </c>
      <c r="AF3" s="0" t="n">
        <v>227.9</v>
      </c>
      <c r="AG3" s="0" t="n">
        <v>140442.1</v>
      </c>
      <c r="AH3" s="0" t="n">
        <v>11247.1</v>
      </c>
    </row>
    <row r="4" customFormat="false" ht="15" hidden="false" customHeight="false" outlineLevel="0" collapsed="false">
      <c r="A4" s="0" t="s">
        <v>71</v>
      </c>
      <c r="B4" s="0" t="n">
        <v>8009.9</v>
      </c>
      <c r="C4" s="0" t="n">
        <v>-1319.2</v>
      </c>
      <c r="D4" s="0" t="n">
        <v>4490.6</v>
      </c>
      <c r="E4" s="0" t="n">
        <v>56.1</v>
      </c>
      <c r="I4" s="0" t="n">
        <v>6914.9</v>
      </c>
      <c r="J4" s="0" t="n">
        <v>86.3</v>
      </c>
      <c r="K4" s="0" t="n">
        <v>1.03</v>
      </c>
      <c r="L4" s="0" t="n">
        <v>14243.5</v>
      </c>
      <c r="M4" s="0" t="n">
        <v>254.9</v>
      </c>
      <c r="N4" s="0" t="n">
        <v>13988.6</v>
      </c>
      <c r="O4" s="0" t="n">
        <v>145294</v>
      </c>
      <c r="P4" s="0" t="n">
        <v>180748.4</v>
      </c>
      <c r="Q4" s="0" t="n">
        <v>34586.3</v>
      </c>
      <c r="R4" s="0" t="n">
        <v>5026.7</v>
      </c>
      <c r="S4" s="0" t="n">
        <v>39074</v>
      </c>
      <c r="T4" s="0" t="n">
        <v>6703.7</v>
      </c>
      <c r="AA4" s="0" t="s">
        <v>17</v>
      </c>
      <c r="AB4" s="0" t="s">
        <v>14</v>
      </c>
      <c r="AC4" s="0" t="n">
        <v>1965.5</v>
      </c>
      <c r="AD4" s="0" t="n">
        <v>7004.8</v>
      </c>
      <c r="AE4" s="0" t="n">
        <v>1378</v>
      </c>
      <c r="AF4" s="0" t="n">
        <v>216.5</v>
      </c>
      <c r="AG4" s="0" t="n">
        <v>146162.1</v>
      </c>
      <c r="AH4" s="0" t="n">
        <v>4671.1</v>
      </c>
    </row>
    <row r="5" customFormat="false" ht="15" hidden="false" customHeight="false" outlineLevel="0" collapsed="false">
      <c r="A5" s="0" t="s">
        <v>72</v>
      </c>
      <c r="B5" s="0" t="n">
        <v>5886.9</v>
      </c>
      <c r="C5" s="0" t="n">
        <v>-540.7</v>
      </c>
      <c r="D5" s="0" t="n">
        <v>3449.7</v>
      </c>
      <c r="E5" s="0" t="n">
        <v>58.6</v>
      </c>
      <c r="I5" s="0" t="n">
        <v>1688.1</v>
      </c>
      <c r="J5" s="0" t="n">
        <v>28.7</v>
      </c>
      <c r="K5" s="0" t="n">
        <v>0.24</v>
      </c>
      <c r="L5" s="0" t="n">
        <v>5893.1</v>
      </c>
      <c r="M5" s="0" t="n">
        <v>229.7</v>
      </c>
      <c r="N5" s="0" t="n">
        <v>5663.4</v>
      </c>
      <c r="O5" s="0" t="n">
        <v>144915.9</v>
      </c>
      <c r="P5" s="0" t="n">
        <v>186723.8</v>
      </c>
      <c r="Q5" s="0" t="n">
        <v>40964.6</v>
      </c>
      <c r="R5" s="0" t="n">
        <v>5250.2</v>
      </c>
      <c r="S5" s="0" t="n">
        <v>43664.1</v>
      </c>
      <c r="T5" s="0" t="n">
        <v>6916.5</v>
      </c>
      <c r="AA5" s="0" t="s">
        <v>17</v>
      </c>
      <c r="AB5" s="0" t="s">
        <v>14</v>
      </c>
      <c r="AC5" s="0" t="n">
        <v>-2020.8</v>
      </c>
      <c r="AD5" s="0" t="n">
        <v>1674.7</v>
      </c>
      <c r="AE5" s="0" t="n">
        <v>910.9</v>
      </c>
      <c r="AF5" s="0" t="n">
        <v>-472.7</v>
      </c>
      <c r="AG5" s="0" t="n">
        <v>145759.2</v>
      </c>
      <c r="AH5" s="0" t="n">
        <v>4557</v>
      </c>
    </row>
    <row r="6" customFormat="false" ht="15" hidden="false" customHeight="false" outlineLevel="0" collapsed="false">
      <c r="A6" s="0" t="s">
        <v>73</v>
      </c>
      <c r="B6" s="0" t="n">
        <v>24545.3</v>
      </c>
      <c r="C6" s="0" t="n">
        <v>-8832.8</v>
      </c>
      <c r="D6" s="0" t="n">
        <v>13534.6</v>
      </c>
      <c r="E6" s="0" t="n">
        <v>55.1</v>
      </c>
      <c r="I6" s="0" t="n">
        <v>9646</v>
      </c>
      <c r="J6" s="0" t="n">
        <v>39.3</v>
      </c>
      <c r="K6" s="0" t="n">
        <v>1.33</v>
      </c>
      <c r="L6" s="0" t="n">
        <v>2218.3</v>
      </c>
      <c r="M6" s="0" t="n">
        <v>119.9</v>
      </c>
      <c r="N6" s="0" t="n">
        <v>2098.4</v>
      </c>
      <c r="O6" s="0" t="n">
        <v>155159.7</v>
      </c>
      <c r="P6" s="0" t="n">
        <v>181715.2</v>
      </c>
      <c r="Q6" s="0" t="n">
        <v>24906.6</v>
      </c>
      <c r="R6" s="0" t="n">
        <v>5250.9</v>
      </c>
      <c r="S6" s="0" t="n">
        <v>44134</v>
      </c>
      <c r="T6" s="0" t="n">
        <v>7217.8</v>
      </c>
      <c r="AA6" s="0" t="s">
        <v>17</v>
      </c>
      <c r="AB6" s="0" t="s">
        <v>14</v>
      </c>
      <c r="AC6" s="0" t="n">
        <v>-554.2</v>
      </c>
      <c r="AD6" s="0" t="n">
        <v>10474.6</v>
      </c>
      <c r="AE6" s="0" t="n">
        <v>625</v>
      </c>
      <c r="AF6" s="0" t="n">
        <v>-233.8</v>
      </c>
      <c r="AG6" s="0" t="n">
        <v>156808.6</v>
      </c>
      <c r="AH6" s="0" t="n">
        <v>10315.8</v>
      </c>
    </row>
    <row r="7" customFormat="false" ht="15" hidden="false" customHeight="false" outlineLevel="0" collapsed="false">
      <c r="A7" s="0" t="s">
        <v>74</v>
      </c>
      <c r="B7" s="0" t="n">
        <v>15554.2</v>
      </c>
      <c r="C7" s="0" t="n">
        <v>-5277.6</v>
      </c>
      <c r="D7" s="0" t="n">
        <v>8252.3</v>
      </c>
      <c r="E7" s="0" t="n">
        <v>53.1</v>
      </c>
      <c r="I7" s="0" t="n">
        <v>5735.4</v>
      </c>
      <c r="J7" s="0" t="n">
        <v>36.9</v>
      </c>
      <c r="K7" s="0" t="n">
        <v>0.76</v>
      </c>
      <c r="L7" s="0" t="n">
        <v>6465.7</v>
      </c>
      <c r="M7" s="0" t="n">
        <v>190.3</v>
      </c>
      <c r="N7" s="0" t="n">
        <v>6275.4</v>
      </c>
      <c r="O7" s="0" t="n">
        <v>157397.3</v>
      </c>
      <c r="P7" s="0" t="n">
        <v>178983.9</v>
      </c>
      <c r="Q7" s="0" t="n">
        <v>20755.4</v>
      </c>
      <c r="R7" s="0" t="n">
        <v>3250.2</v>
      </c>
      <c r="S7" s="0" t="n">
        <v>44784.5</v>
      </c>
      <c r="T7" s="0" t="n">
        <v>7543.2</v>
      </c>
      <c r="AA7" s="0" t="s">
        <v>17</v>
      </c>
      <c r="AB7" s="0" t="s">
        <v>14</v>
      </c>
      <c r="AC7" s="0" t="n">
        <v>-683.2</v>
      </c>
      <c r="AD7" s="0" t="n">
        <v>5964.7</v>
      </c>
      <c r="AE7" s="0" t="n">
        <v>390.5</v>
      </c>
      <c r="AF7" s="0" t="n">
        <v>-63.1</v>
      </c>
      <c r="AG7" s="0" t="n">
        <v>158228.5</v>
      </c>
      <c r="AH7" s="0" t="n">
        <v>6530.7</v>
      </c>
    </row>
    <row r="8" customFormat="false" ht="15" hidden="false" customHeight="false" outlineLevel="0" collapsed="false">
      <c r="A8" s="0" t="s">
        <v>75</v>
      </c>
      <c r="B8" s="0" t="n">
        <v>11881.3</v>
      </c>
      <c r="C8" s="0" t="n">
        <v>-4180.7</v>
      </c>
      <c r="D8" s="0" t="n">
        <v>5388.8</v>
      </c>
      <c r="E8" s="0" t="n">
        <v>45.4</v>
      </c>
      <c r="I8" s="0" t="n">
        <v>5849.4</v>
      </c>
      <c r="J8" s="0" t="n">
        <v>49.2</v>
      </c>
      <c r="K8" s="0" t="n">
        <v>0.73</v>
      </c>
      <c r="L8" s="0" t="n">
        <v>-575.8</v>
      </c>
      <c r="M8" s="0" t="n">
        <v>272.9</v>
      </c>
      <c r="N8" s="0" t="n">
        <v>-848.7</v>
      </c>
      <c r="O8" s="0" t="n">
        <v>162348.8</v>
      </c>
      <c r="P8" s="0" t="n">
        <v>179271.3</v>
      </c>
      <c r="Q8" s="0" t="n">
        <v>16166.4</v>
      </c>
      <c r="R8" s="0" t="n">
        <v>1964.5</v>
      </c>
      <c r="S8" s="0" t="n">
        <v>43932.3</v>
      </c>
      <c r="T8" s="0" t="n">
        <v>7936.4</v>
      </c>
      <c r="AA8" s="0" t="s">
        <v>17</v>
      </c>
      <c r="AB8" s="0" t="s">
        <v>14</v>
      </c>
      <c r="AC8" s="0" t="n">
        <v>178.6</v>
      </c>
      <c r="AD8" s="0" t="n">
        <v>5880.5</v>
      </c>
      <c r="AE8" s="0" t="n">
        <v>323.4</v>
      </c>
      <c r="AF8" s="0" t="n">
        <v>603.7</v>
      </c>
      <c r="AG8" s="0" t="n">
        <v>163104.8</v>
      </c>
      <c r="AH8" s="0" t="n">
        <v>6088.2</v>
      </c>
    </row>
    <row r="9" customFormat="false" ht="15" hidden="false" customHeight="false" outlineLevel="0" collapsed="false">
      <c r="A9" s="0" t="s">
        <v>76</v>
      </c>
      <c r="B9" s="0" t="n">
        <v>8765</v>
      </c>
      <c r="C9" s="0" t="n">
        <v>-2933</v>
      </c>
      <c r="D9" s="0" t="n">
        <v>3421</v>
      </c>
      <c r="E9" s="0" t="n">
        <v>39</v>
      </c>
      <c r="I9" s="0" t="n">
        <v>4402</v>
      </c>
      <c r="J9" s="0" t="n">
        <v>50.2</v>
      </c>
      <c r="K9" s="0" t="n">
        <v>0.52</v>
      </c>
      <c r="L9" s="0" t="n">
        <v>1149</v>
      </c>
      <c r="M9" s="0" t="n">
        <v>496</v>
      </c>
      <c r="N9" s="0" t="n">
        <v>653</v>
      </c>
      <c r="O9" s="0" t="n">
        <v>165790</v>
      </c>
      <c r="P9" s="0" t="n">
        <v>180344</v>
      </c>
      <c r="Q9" s="0" t="n">
        <v>14028</v>
      </c>
      <c r="R9" s="0" t="n">
        <v>832</v>
      </c>
      <c r="S9" s="0" t="n">
        <v>46417</v>
      </c>
      <c r="T9" s="0" t="n">
        <v>8402.4</v>
      </c>
      <c r="AA9" s="0" t="s">
        <v>17</v>
      </c>
      <c r="AB9" s="0" t="s">
        <v>14</v>
      </c>
      <c r="AC9" s="0" t="n">
        <v>-193</v>
      </c>
      <c r="AD9" s="0" t="n">
        <v>4251</v>
      </c>
      <c r="AE9" s="0" t="n">
        <v>466</v>
      </c>
      <c r="AF9" s="0" t="n">
        <v>173</v>
      </c>
      <c r="AG9" s="0" t="n">
        <v>166316</v>
      </c>
      <c r="AH9" s="0" t="n">
        <v>5171</v>
      </c>
    </row>
    <row r="10" customFormat="false" ht="15" hidden="false" customHeight="false" outlineLevel="0" collapsed="false">
      <c r="A10" s="0" t="s">
        <v>77</v>
      </c>
      <c r="B10" s="0" t="n">
        <v>8183</v>
      </c>
      <c r="C10" s="0" t="n">
        <v>-1824</v>
      </c>
      <c r="D10" s="0" t="n">
        <v>3895</v>
      </c>
      <c r="E10" s="0" t="n">
        <v>47.6</v>
      </c>
      <c r="I10" s="0" t="n">
        <v>4019</v>
      </c>
      <c r="J10" s="0" t="n">
        <v>49.1</v>
      </c>
      <c r="K10" s="0" t="n">
        <v>0.45</v>
      </c>
      <c r="L10" s="0" t="n">
        <v>3839</v>
      </c>
      <c r="M10" s="0" t="n">
        <v>427</v>
      </c>
      <c r="N10" s="0" t="n">
        <v>3412</v>
      </c>
      <c r="O10" s="0" t="n">
        <v>169397</v>
      </c>
      <c r="P10" s="0" t="n">
        <v>183613</v>
      </c>
      <c r="Q10" s="0" t="n">
        <v>13716</v>
      </c>
      <c r="R10" s="0" t="n">
        <v>1799</v>
      </c>
      <c r="S10" s="0" t="n">
        <v>51260</v>
      </c>
      <c r="T10" s="0" t="n">
        <v>8886.7</v>
      </c>
      <c r="AA10" s="0" t="s">
        <v>17</v>
      </c>
      <c r="AB10" s="0" t="s">
        <v>14</v>
      </c>
      <c r="AC10" s="0" t="n">
        <v>-653</v>
      </c>
      <c r="AD10" s="0" t="n">
        <v>4001</v>
      </c>
      <c r="AE10" s="0" t="n">
        <v>107</v>
      </c>
      <c r="AF10" s="0" t="n">
        <v>-75</v>
      </c>
      <c r="AG10" s="0" t="n">
        <v>169897</v>
      </c>
      <c r="AH10" s="0" t="n">
        <v>5118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10.44</v>
      </c>
    </row>
    <row r="3" customFormat="false" ht="15" hidden="false" customHeight="false" outlineLevel="0" collapsed="false">
      <c r="A3" s="0" t="s">
        <v>81</v>
      </c>
      <c r="B3" s="3" t="n">
        <v>9597</v>
      </c>
    </row>
    <row r="4" customFormat="false" ht="15" hidden="false" customHeight="false" outlineLevel="0" collapsed="false">
      <c r="A4" s="0" t="s">
        <v>82</v>
      </c>
      <c r="B4" s="3" t="n">
        <v>-51160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3286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-8.7</v>
      </c>
      <c r="D13" s="3" t="n">
        <v>-3.3</v>
      </c>
      <c r="E13" s="3" t="n">
        <v>0</v>
      </c>
      <c r="F13" s="3" t="n">
        <v>1.7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108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109</v>
      </c>
      <c r="B20" s="3" t="n">
        <v>8.5</v>
      </c>
    </row>
    <row r="21" customFormat="false" ht="15" hidden="false" customHeight="false" outlineLevel="0" collapsed="false">
      <c r="A21" s="0" t="s">
        <v>110</v>
      </c>
      <c r="B21" s="3" t="n">
        <v>1</v>
      </c>
    </row>
    <row r="22" customFormat="false" ht="15" hidden="false" customHeight="false" outlineLevel="0" collapsed="false">
      <c r="A22" s="0" t="s">
        <v>111</v>
      </c>
      <c r="B22" s="3" t="n">
        <v>10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7.9</v>
      </c>
      <c r="D27" s="3" t="n">
        <v>5.6</v>
      </c>
      <c r="E27" s="3" t="n">
        <v>4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108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13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18.5</v>
      </c>
      <c r="D41" s="3" t="n">
        <v>12.8</v>
      </c>
      <c r="E41" s="3" t="n">
        <v>9.1</v>
      </c>
      <c r="F41" s="3" t="n">
        <v>4.2</v>
      </c>
      <c r="G41" s="3" t="n">
        <v>3.5</v>
      </c>
      <c r="H41" s="3" t="n">
        <v>3.5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103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108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-8.7</v>
      </c>
      <c r="D5" s="4" t="n">
        <f aca="false">Assumptions!D13</f>
        <v>-3.3</v>
      </c>
      <c r="E5" s="4" t="n">
        <f aca="false">Assumptions!E13</f>
        <v>0</v>
      </c>
      <c r="F5" s="4" t="n">
        <f aca="false">Assumptions!F13</f>
        <v>1.7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3286</v>
      </c>
      <c r="C6" s="0" t="n">
        <f aca="false">B6*(1+C5/100)</f>
        <v>3000.118</v>
      </c>
      <c r="D6" s="0" t="n">
        <f aca="false">C6*(1+D5/100)</f>
        <v>2901.114106</v>
      </c>
      <c r="E6" s="0" t="n">
        <f aca="false">D6*(1+E5/100)</f>
        <v>2901.114106</v>
      </c>
      <c r="F6" s="0" t="n">
        <f aca="false">E6*(1+F5/100)</f>
        <v>2950.433045802</v>
      </c>
      <c r="G6" s="0" t="n">
        <f aca="false">F6*(1+G5/100)</f>
        <v>2979.93737626002</v>
      </c>
      <c r="H6" s="0" t="n">
        <f aca="false">G6*(1+H5/100)</f>
        <v>3009.73675002262</v>
      </c>
      <c r="I6" s="0" t="n">
        <f aca="false">H6*(1+I5/100)</f>
        <v>3039.83411752285</v>
      </c>
      <c r="J6" s="0" t="n">
        <f aca="false">I6*(1+J5/100)</f>
        <v>3070.23245869807</v>
      </c>
      <c r="K6" s="0" t="n">
        <f aca="false">J6*(1+K5/100)</f>
        <v>3100.93478328506</v>
      </c>
      <c r="L6" s="0" t="n">
        <f aca="false">K6*(1+L5/100)</f>
        <v>3131.94413111791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3000.118</v>
      </c>
      <c r="D8" s="0" t="n">
        <f aca="false">D6*D7/100</f>
        <v>2901.114106</v>
      </c>
      <c r="E8" s="0" t="n">
        <f aca="false">E6*E7/100</f>
        <v>2901.114106</v>
      </c>
      <c r="F8" s="0" t="n">
        <f aca="false">F6*F7/100</f>
        <v>2950.433045802</v>
      </c>
      <c r="G8" s="0" t="n">
        <f aca="false">G6*G7/100</f>
        <v>2979.93737626002</v>
      </c>
      <c r="H8" s="0" t="n">
        <f aca="false">H6*H7/100</f>
        <v>3009.73675002262</v>
      </c>
      <c r="I8" s="0" t="n">
        <f aca="false">I6*I7/100</f>
        <v>3039.83411752285</v>
      </c>
      <c r="J8" s="0" t="n">
        <f aca="false">J6*J7/100</f>
        <v>3070.23245869807</v>
      </c>
      <c r="K8" s="0" t="n">
        <f aca="false">K6*K7/100</f>
        <v>3100.93478328506</v>
      </c>
      <c r="L8" s="0" t="n">
        <f aca="false">L6*L7/100</f>
        <v>3131.94413111791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3000.118</v>
      </c>
      <c r="D11" s="0" t="n">
        <f aca="false">D8+D10+D24</f>
        <v>2901.114106</v>
      </c>
      <c r="E11" s="0" t="n">
        <f aca="false">E8+E10+E24</f>
        <v>2901.114106</v>
      </c>
      <c r="F11" s="0" t="n">
        <f aca="false">F8+F10+F24</f>
        <v>2950.433045802</v>
      </c>
      <c r="G11" s="0" t="n">
        <f aca="false">G8+G10+G24</f>
        <v>2979.93737626002</v>
      </c>
      <c r="H11" s="0" t="n">
        <f aca="false">H8+H10+H24</f>
        <v>3009.73675002262</v>
      </c>
      <c r="I11" s="0" t="n">
        <f aca="false">I8+I10+I24</f>
        <v>3039.83411752285</v>
      </c>
      <c r="J11" s="0" t="n">
        <f aca="false">J8+J10+J24</f>
        <v>3070.23245869807</v>
      </c>
      <c r="K11" s="0" t="n">
        <f aca="false">K8+K10+K24</f>
        <v>3100.93478328506</v>
      </c>
      <c r="L11" s="0" t="n">
        <f aca="false">L8+L10+L24</f>
        <v>3131.94413111791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3000.118</v>
      </c>
      <c r="D13" s="0" t="n">
        <f aca="false">D11+D12</f>
        <v>2901.114106</v>
      </c>
      <c r="E13" s="0" t="n">
        <f aca="false">E11+E12</f>
        <v>2901.114106</v>
      </c>
      <c r="F13" s="0" t="n">
        <f aca="false">F11+F12</f>
        <v>2950.433045802</v>
      </c>
      <c r="G13" s="0" t="n">
        <f aca="false">G11+G12</f>
        <v>2979.93737626002</v>
      </c>
      <c r="H13" s="0" t="n">
        <f aca="false">H11+H12</f>
        <v>3009.73675002262</v>
      </c>
      <c r="I13" s="0" t="n">
        <f aca="false">I11+I12</f>
        <v>3039.83411752285</v>
      </c>
      <c r="J13" s="0" t="n">
        <f aca="false">J11+J12</f>
        <v>3070.23245869807</v>
      </c>
      <c r="K13" s="0" t="n">
        <f aca="false">K11+K12</f>
        <v>3100.93478328506</v>
      </c>
      <c r="L13" s="0" t="n">
        <f aca="false">L11+L12</f>
        <v>3131.94413111791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3000.118</v>
      </c>
      <c r="D15" s="0" t="n">
        <f aca="false">D13-MAX(0,D13)*D14/100</f>
        <v>2901.114106</v>
      </c>
      <c r="E15" s="0" t="n">
        <f aca="false">E13-MAX(0,E13)*E14/100</f>
        <v>2901.114106</v>
      </c>
      <c r="F15" s="0" t="n">
        <f aca="false">F13-MAX(0,F13)*F14/100</f>
        <v>2950.433045802</v>
      </c>
      <c r="G15" s="0" t="n">
        <f aca="false">G13-MAX(0,G13)*G14/100</f>
        <v>2979.93737626002</v>
      </c>
      <c r="H15" s="0" t="n">
        <f aca="false">H13-MAX(0,H13)*H14/100</f>
        <v>3009.73675002262</v>
      </c>
      <c r="I15" s="0" t="n">
        <f aca="false">I13-MAX(0,I13)*I14/100</f>
        <v>3039.83411752285</v>
      </c>
      <c r="J15" s="0" t="n">
        <f aca="false">J13-MAX(0,J13)*J14/100</f>
        <v>3070.23245869807</v>
      </c>
      <c r="K15" s="0" t="n">
        <f aca="false">K13-MAX(0,K13)*K14/100</f>
        <v>3100.93478328506</v>
      </c>
      <c r="L15" s="0" t="n">
        <f aca="false">L13-MAX(0,L13)*L14/100</f>
        <v>3131.94413111791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3000.118</v>
      </c>
      <c r="D19" s="0" t="n">
        <f aca="false">D15+D16+D17+D18</f>
        <v>2901.114106</v>
      </c>
      <c r="E19" s="0" t="n">
        <f aca="false">E15+E16+E17+E18</f>
        <v>2901.114106</v>
      </c>
      <c r="F19" s="0" t="n">
        <f aca="false">F15+F16+F17+F18</f>
        <v>2950.433045802</v>
      </c>
      <c r="G19" s="0" t="n">
        <f aca="false">G15+G16+G17+G18</f>
        <v>2979.93737626002</v>
      </c>
      <c r="H19" s="0" t="n">
        <f aca="false">H15+H16+H17+H18</f>
        <v>3009.73675002262</v>
      </c>
      <c r="I19" s="0" t="n">
        <f aca="false">I15+I16+I17+I18</f>
        <v>3039.83411752285</v>
      </c>
      <c r="J19" s="0" t="n">
        <f aca="false">J15+J16+J17+J18</f>
        <v>3070.23245869807</v>
      </c>
      <c r="K19" s="0" t="n">
        <f aca="false">K15+K16+K17+K18</f>
        <v>3100.93478328506</v>
      </c>
      <c r="L19" s="0" t="n">
        <f aca="false">L15+L16+L17+L18</f>
        <v>3131.94413111791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2765.08571428571</v>
      </c>
      <c r="D21" s="0" t="n">
        <f aca="false">D19*D20</f>
        <v>2464.36671494404</v>
      </c>
      <c r="E21" s="0" t="n">
        <f aca="false">E19*E20</f>
        <v>2271.30572805903</v>
      </c>
      <c r="F21" s="0" t="n">
        <f aca="false">F19*F20</f>
        <v>2128.9566133051</v>
      </c>
      <c r="G21" s="0" t="n">
        <f aca="false">G19*G20</f>
        <v>1981.79371376788</v>
      </c>
      <c r="H21" s="0" t="n">
        <f aca="false">H19*H20</f>
        <v>1844.80336488991</v>
      </c>
      <c r="I21" s="0" t="n">
        <f aca="false">I19*I20</f>
        <v>1717.28239496665</v>
      </c>
      <c r="J21" s="0" t="n">
        <f aca="false">J19*J20</f>
        <v>1598.57623863255</v>
      </c>
      <c r="K21" s="0" t="n">
        <f aca="false">K19*K20</f>
        <v>1488.07557697592</v>
      </c>
      <c r="L21" s="0" t="n">
        <f aca="false">L19*L20</f>
        <v>1385.21320990385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19645.4592697306</v>
      </c>
    </row>
    <row r="31" customFormat="false" ht="15" hidden="false" customHeight="false" outlineLevel="0" collapsed="false">
      <c r="A31" s="0" t="s">
        <v>133</v>
      </c>
      <c r="B31" s="0" t="n">
        <f aca="false">L19</f>
        <v>3131.94413111791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42176.8476323878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31319.4413111791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31319.4413111791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13852.1320990385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33497.5913687692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84657.5913687692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8.82125574333325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-0.155052131864632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8.82125574333325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22594.7398030649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7.47388007525184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7.9</v>
      </c>
      <c r="D5" s="4" t="n">
        <f aca="false">Assumptions!D27</f>
        <v>5.6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3286</v>
      </c>
      <c r="C6" s="0" t="n">
        <f aca="false">B6*(1+C5/100)</f>
        <v>3545.594</v>
      </c>
      <c r="D6" s="0" t="n">
        <f aca="false">C6*(1+D5/100)</f>
        <v>3744.147264</v>
      </c>
      <c r="E6" s="0" t="n">
        <f aca="false">D6*(1+E5/100)</f>
        <v>3893.91315456</v>
      </c>
      <c r="F6" s="0" t="n">
        <f aca="false">E6*(1+F5/100)</f>
        <v>4010.7305491968</v>
      </c>
      <c r="G6" s="0" t="n">
        <f aca="false">F6*(1+G5/100)</f>
        <v>4131.05246567271</v>
      </c>
      <c r="H6" s="0" t="n">
        <f aca="false">G6*(1+H5/100)</f>
        <v>4234.32877731452</v>
      </c>
      <c r="I6" s="0" t="n">
        <f aca="false">H6*(1+I5/100)</f>
        <v>4340.18699674739</v>
      </c>
      <c r="J6" s="0" t="n">
        <f aca="false">I6*(1+J5/100)</f>
        <v>4448.69167166607</v>
      </c>
      <c r="K6" s="0" t="n">
        <f aca="false">J6*(1+K5/100)</f>
        <v>4559.90896345772</v>
      </c>
      <c r="L6" s="0" t="n">
        <f aca="false">K6*(1+L5/100)</f>
        <v>4673.90668754416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3545.594</v>
      </c>
      <c r="D8" s="0" t="n">
        <f aca="false">D6*D7/100</f>
        <v>3744.147264</v>
      </c>
      <c r="E8" s="0" t="n">
        <f aca="false">E6*E7/100</f>
        <v>3893.91315456</v>
      </c>
      <c r="F8" s="0" t="n">
        <f aca="false">F6*F7/100</f>
        <v>4010.7305491968</v>
      </c>
      <c r="G8" s="0" t="n">
        <f aca="false">G6*G7/100</f>
        <v>4131.05246567271</v>
      </c>
      <c r="H8" s="0" t="n">
        <f aca="false">H6*H7/100</f>
        <v>4234.32877731452</v>
      </c>
      <c r="I8" s="0" t="n">
        <f aca="false">I6*I7/100</f>
        <v>4340.18699674739</v>
      </c>
      <c r="J8" s="0" t="n">
        <f aca="false">J6*J7/100</f>
        <v>4448.69167166607</v>
      </c>
      <c r="K8" s="0" t="n">
        <f aca="false">K6*K7/100</f>
        <v>4559.90896345772</v>
      </c>
      <c r="L8" s="0" t="n">
        <f aca="false">L6*L7/100</f>
        <v>4673.90668754416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3545.594</v>
      </c>
      <c r="D11" s="0" t="n">
        <f aca="false">D8+D10+D24</f>
        <v>3744.147264</v>
      </c>
      <c r="E11" s="0" t="n">
        <f aca="false">E8+E10+E24</f>
        <v>3893.91315456</v>
      </c>
      <c r="F11" s="0" t="n">
        <f aca="false">F8+F10+F24</f>
        <v>4010.7305491968</v>
      </c>
      <c r="G11" s="0" t="n">
        <f aca="false">G8+G10+G24</f>
        <v>4131.05246567271</v>
      </c>
      <c r="H11" s="0" t="n">
        <f aca="false">H8+H10+H24</f>
        <v>4234.32877731452</v>
      </c>
      <c r="I11" s="0" t="n">
        <f aca="false">I8+I10+I24</f>
        <v>4340.18699674739</v>
      </c>
      <c r="J11" s="0" t="n">
        <f aca="false">J8+J10+J24</f>
        <v>4448.69167166607</v>
      </c>
      <c r="K11" s="0" t="n">
        <f aca="false">K8+K10+K24</f>
        <v>4559.90896345772</v>
      </c>
      <c r="L11" s="0" t="n">
        <f aca="false">L8+L10+L24</f>
        <v>4673.90668754416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3545.594</v>
      </c>
      <c r="D13" s="0" t="n">
        <f aca="false">D11+D12</f>
        <v>3744.147264</v>
      </c>
      <c r="E13" s="0" t="n">
        <f aca="false">E11+E12</f>
        <v>3893.91315456</v>
      </c>
      <c r="F13" s="0" t="n">
        <f aca="false">F11+F12</f>
        <v>4010.7305491968</v>
      </c>
      <c r="G13" s="0" t="n">
        <f aca="false">G11+G12</f>
        <v>4131.05246567271</v>
      </c>
      <c r="H13" s="0" t="n">
        <f aca="false">H11+H12</f>
        <v>4234.32877731452</v>
      </c>
      <c r="I13" s="0" t="n">
        <f aca="false">I11+I12</f>
        <v>4340.18699674739</v>
      </c>
      <c r="J13" s="0" t="n">
        <f aca="false">J11+J12</f>
        <v>4448.69167166607</v>
      </c>
      <c r="K13" s="0" t="n">
        <f aca="false">K11+K12</f>
        <v>4559.90896345772</v>
      </c>
      <c r="L13" s="0" t="n">
        <f aca="false">L11+L12</f>
        <v>4673.90668754416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3545.594</v>
      </c>
      <c r="D15" s="0" t="n">
        <f aca="false">D13-MAX(0,D13)*D14/100</f>
        <v>3744.147264</v>
      </c>
      <c r="E15" s="0" t="n">
        <f aca="false">E13-MAX(0,E13)*E14/100</f>
        <v>3893.91315456</v>
      </c>
      <c r="F15" s="0" t="n">
        <f aca="false">F13-MAX(0,F13)*F14/100</f>
        <v>4010.7305491968</v>
      </c>
      <c r="G15" s="0" t="n">
        <f aca="false">G13-MAX(0,G13)*G14/100</f>
        <v>4131.05246567271</v>
      </c>
      <c r="H15" s="0" t="n">
        <f aca="false">H13-MAX(0,H13)*H14/100</f>
        <v>4234.32877731452</v>
      </c>
      <c r="I15" s="0" t="n">
        <f aca="false">I13-MAX(0,I13)*I14/100</f>
        <v>4340.18699674739</v>
      </c>
      <c r="J15" s="0" t="n">
        <f aca="false">J13-MAX(0,J13)*J14/100</f>
        <v>4448.69167166607</v>
      </c>
      <c r="K15" s="0" t="n">
        <f aca="false">K13-MAX(0,K13)*K14/100</f>
        <v>4559.90896345772</v>
      </c>
      <c r="L15" s="0" t="n">
        <f aca="false">L13-MAX(0,L13)*L14/100</f>
        <v>4673.90668754416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3545.594</v>
      </c>
      <c r="D19" s="0" t="n">
        <f aca="false">D15+D16+D17+D18</f>
        <v>3744.147264</v>
      </c>
      <c r="E19" s="0" t="n">
        <f aca="false">E15+E16+E17+E18</f>
        <v>3893.91315456</v>
      </c>
      <c r="F19" s="0" t="n">
        <f aca="false">F15+F16+F17+F18</f>
        <v>4010.7305491968</v>
      </c>
      <c r="G19" s="0" t="n">
        <f aca="false">G15+G16+G17+G18</f>
        <v>4131.05246567271</v>
      </c>
      <c r="H19" s="0" t="n">
        <f aca="false">H15+H16+H17+H18</f>
        <v>4234.32877731452</v>
      </c>
      <c r="I19" s="0" t="n">
        <f aca="false">I15+I16+I17+I18</f>
        <v>4340.18699674739</v>
      </c>
      <c r="J19" s="0" t="n">
        <f aca="false">J15+J16+J17+J18</f>
        <v>4448.69167166607</v>
      </c>
      <c r="K19" s="0" t="n">
        <f aca="false">K15+K16+K17+K18</f>
        <v>4559.90896345772</v>
      </c>
      <c r="L19" s="0" t="n">
        <f aca="false">L15+L16+L17+L18</f>
        <v>4673.90668754416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3267.82857142857</v>
      </c>
      <c r="D21" s="0" t="n">
        <f aca="false">D19*D20</f>
        <v>3180.4856879526</v>
      </c>
      <c r="E21" s="0" t="n">
        <f aca="false">E19*E20</f>
        <v>3048.57614329097</v>
      </c>
      <c r="F21" s="0" t="n">
        <f aca="false">F19*F20</f>
        <v>2894.0400254283</v>
      </c>
      <c r="G21" s="0" t="n">
        <f aca="false">G19*G20</f>
        <v>2747.33753566004</v>
      </c>
      <c r="H21" s="0" t="n">
        <f aca="false">H19*H20</f>
        <v>2595.41103599221</v>
      </c>
      <c r="I21" s="0" t="n">
        <f aca="false">I19*I20</f>
        <v>2451.88600174379</v>
      </c>
      <c r="J21" s="0" t="n">
        <f aca="false">J19*J20</f>
        <v>2316.29783574874</v>
      </c>
      <c r="K21" s="0" t="n">
        <f aca="false">K19*K20</f>
        <v>2188.20763285019</v>
      </c>
      <c r="L21" s="0" t="n">
        <f aca="false">L19*L20</f>
        <v>2067.20075914419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26757.2712292396</v>
      </c>
    </row>
    <row r="31" customFormat="false" ht="15" hidden="false" customHeight="false" outlineLevel="0" collapsed="false">
      <c r="A31" s="0" t="s">
        <v>133</v>
      </c>
      <c r="B31" s="0" t="n">
        <f aca="false">L19</f>
        <v>4673.90668754416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73344.3818660776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60760.7869380741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60760.7869380741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26873.6098688745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53630.8810981141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104790.881098114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10.9191290088688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0.0458935832249829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10.9191290088688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36672.1909330388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8.37912202731271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18.5</v>
      </c>
      <c r="D5" s="4" t="n">
        <f aca="false">Assumptions!D41</f>
        <v>12.8</v>
      </c>
      <c r="E5" s="4" t="n">
        <f aca="false">Assumptions!E41</f>
        <v>9.1</v>
      </c>
      <c r="F5" s="4" t="n">
        <f aca="false">Assumptions!F41</f>
        <v>4.2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3286</v>
      </c>
      <c r="C6" s="0" t="n">
        <f aca="false">B6*(1+C5/100)</f>
        <v>3893.91</v>
      </c>
      <c r="D6" s="0" t="n">
        <f aca="false">C6*(1+D5/100)</f>
        <v>4392.33048</v>
      </c>
      <c r="E6" s="0" t="n">
        <f aca="false">D6*(1+E5/100)</f>
        <v>4792.03255368</v>
      </c>
      <c r="F6" s="0" t="n">
        <f aca="false">E6*(1+F5/100)</f>
        <v>4993.29792093456</v>
      </c>
      <c r="G6" s="0" t="n">
        <f aca="false">F6*(1+G5/100)</f>
        <v>5168.06334816727</v>
      </c>
      <c r="H6" s="0" t="n">
        <f aca="false">G6*(1+H5/100)</f>
        <v>5348.94556535312</v>
      </c>
      <c r="I6" s="0" t="n">
        <f aca="false">H6*(1+I5/100)</f>
        <v>5536.15866014048</v>
      </c>
      <c r="J6" s="0" t="n">
        <f aca="false">I6*(1+J5/100)</f>
        <v>5729.9242132454</v>
      </c>
      <c r="K6" s="0" t="n">
        <f aca="false">J6*(1+K5/100)</f>
        <v>5930.47156070899</v>
      </c>
      <c r="L6" s="0" t="n">
        <f aca="false">K6*(1+L5/100)</f>
        <v>6138.0380653338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3893.91</v>
      </c>
      <c r="D8" s="0" t="n">
        <f aca="false">D6*D7/100</f>
        <v>4392.33048</v>
      </c>
      <c r="E8" s="0" t="n">
        <f aca="false">E6*E7/100</f>
        <v>4792.03255368</v>
      </c>
      <c r="F8" s="0" t="n">
        <f aca="false">F6*F7/100</f>
        <v>4993.29792093456</v>
      </c>
      <c r="G8" s="0" t="n">
        <f aca="false">G6*G7/100</f>
        <v>5168.06334816727</v>
      </c>
      <c r="H8" s="0" t="n">
        <f aca="false">H6*H7/100</f>
        <v>5348.94556535312</v>
      </c>
      <c r="I8" s="0" t="n">
        <f aca="false">I6*I7/100</f>
        <v>5536.15866014048</v>
      </c>
      <c r="J8" s="0" t="n">
        <f aca="false">J6*J7/100</f>
        <v>5729.9242132454</v>
      </c>
      <c r="K8" s="0" t="n">
        <f aca="false">K6*K7/100</f>
        <v>5930.47156070899</v>
      </c>
      <c r="L8" s="0" t="n">
        <f aca="false">L6*L7/100</f>
        <v>6138.0380653338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3893.91</v>
      </c>
      <c r="D11" s="0" t="n">
        <f aca="false">D8+D10+D24</f>
        <v>4392.33048</v>
      </c>
      <c r="E11" s="0" t="n">
        <f aca="false">E8+E10+E24</f>
        <v>4792.03255368</v>
      </c>
      <c r="F11" s="0" t="n">
        <f aca="false">F8+F10+F24</f>
        <v>4993.29792093456</v>
      </c>
      <c r="G11" s="0" t="n">
        <f aca="false">G8+G10+G24</f>
        <v>5168.06334816727</v>
      </c>
      <c r="H11" s="0" t="n">
        <f aca="false">H8+H10+H24</f>
        <v>5348.94556535312</v>
      </c>
      <c r="I11" s="0" t="n">
        <f aca="false">I8+I10+I24</f>
        <v>5536.15866014048</v>
      </c>
      <c r="J11" s="0" t="n">
        <f aca="false">J8+J10+J24</f>
        <v>5729.9242132454</v>
      </c>
      <c r="K11" s="0" t="n">
        <f aca="false">K8+K10+K24</f>
        <v>5930.47156070899</v>
      </c>
      <c r="L11" s="0" t="n">
        <f aca="false">L8+L10+L24</f>
        <v>6138.0380653338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3893.91</v>
      </c>
      <c r="D13" s="0" t="n">
        <f aca="false">D11+D12</f>
        <v>4392.33048</v>
      </c>
      <c r="E13" s="0" t="n">
        <f aca="false">E11+E12</f>
        <v>4792.03255368</v>
      </c>
      <c r="F13" s="0" t="n">
        <f aca="false">F11+F12</f>
        <v>4993.29792093456</v>
      </c>
      <c r="G13" s="0" t="n">
        <f aca="false">G11+G12</f>
        <v>5168.06334816727</v>
      </c>
      <c r="H13" s="0" t="n">
        <f aca="false">H11+H12</f>
        <v>5348.94556535312</v>
      </c>
      <c r="I13" s="0" t="n">
        <f aca="false">I11+I12</f>
        <v>5536.15866014048</v>
      </c>
      <c r="J13" s="0" t="n">
        <f aca="false">J11+J12</f>
        <v>5729.9242132454</v>
      </c>
      <c r="K13" s="0" t="n">
        <f aca="false">K11+K12</f>
        <v>5930.47156070899</v>
      </c>
      <c r="L13" s="0" t="n">
        <f aca="false">L11+L12</f>
        <v>6138.0380653338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3893.91</v>
      </c>
      <c r="D15" s="0" t="n">
        <f aca="false">D13-MAX(0,D13)*D14/100</f>
        <v>4392.33048</v>
      </c>
      <c r="E15" s="0" t="n">
        <f aca="false">E13-MAX(0,E13)*E14/100</f>
        <v>4792.03255368</v>
      </c>
      <c r="F15" s="0" t="n">
        <f aca="false">F13-MAX(0,F13)*F14/100</f>
        <v>4993.29792093456</v>
      </c>
      <c r="G15" s="0" t="n">
        <f aca="false">G13-MAX(0,G13)*G14/100</f>
        <v>5168.06334816727</v>
      </c>
      <c r="H15" s="0" t="n">
        <f aca="false">H13-MAX(0,H13)*H14/100</f>
        <v>5348.94556535312</v>
      </c>
      <c r="I15" s="0" t="n">
        <f aca="false">I13-MAX(0,I13)*I14/100</f>
        <v>5536.15866014048</v>
      </c>
      <c r="J15" s="0" t="n">
        <f aca="false">J13-MAX(0,J13)*J14/100</f>
        <v>5729.9242132454</v>
      </c>
      <c r="K15" s="0" t="n">
        <f aca="false">K13-MAX(0,K13)*K14/100</f>
        <v>5930.47156070899</v>
      </c>
      <c r="L15" s="0" t="n">
        <f aca="false">L13-MAX(0,L13)*L14/100</f>
        <v>6138.0380653338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3893.91</v>
      </c>
      <c r="D19" s="0" t="n">
        <f aca="false">D15+D16+D17+D18</f>
        <v>4392.33048</v>
      </c>
      <c r="E19" s="0" t="n">
        <f aca="false">E15+E16+E17+E18</f>
        <v>4792.03255368</v>
      </c>
      <c r="F19" s="0" t="n">
        <f aca="false">F15+F16+F17+F18</f>
        <v>4993.29792093456</v>
      </c>
      <c r="G19" s="0" t="n">
        <f aca="false">G15+G16+G17+G18</f>
        <v>5168.06334816727</v>
      </c>
      <c r="H19" s="0" t="n">
        <f aca="false">H15+H16+H17+H18</f>
        <v>5348.94556535312</v>
      </c>
      <c r="I19" s="0" t="n">
        <f aca="false">I15+I16+I17+I18</f>
        <v>5536.15866014048</v>
      </c>
      <c r="J19" s="0" t="n">
        <f aca="false">J15+J16+J17+J18</f>
        <v>5729.9242132454</v>
      </c>
      <c r="K19" s="0" t="n">
        <f aca="false">K15+K16+K17+K18</f>
        <v>5930.47156070899</v>
      </c>
      <c r="L19" s="0" t="n">
        <f aca="false">L15+L16+L17+L18</f>
        <v>6138.0380653338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3588.85714285714</v>
      </c>
      <c r="D21" s="0" t="n">
        <f aca="false">D19*D20</f>
        <v>3731.0883475971</v>
      </c>
      <c r="E21" s="0" t="n">
        <f aca="false">E19*E20</f>
        <v>3751.72109421976</v>
      </c>
      <c r="F21" s="0" t="n">
        <f aca="false">F19*F20</f>
        <v>3603.03537343501</v>
      </c>
      <c r="G21" s="0" t="n">
        <f aca="false">G19*G20</f>
        <v>3436.99687696335</v>
      </c>
      <c r="H21" s="0" t="n">
        <f aca="false">H19*H20</f>
        <v>3278.6099241079</v>
      </c>
      <c r="I21" s="0" t="n">
        <f aca="false">I19*I20</f>
        <v>3127.52190917205</v>
      </c>
      <c r="J21" s="0" t="n">
        <f aca="false">J19*J20</f>
        <v>2983.39647556965</v>
      </c>
      <c r="K21" s="0" t="n">
        <f aca="false">K19*K20</f>
        <v>2845.91276701806</v>
      </c>
      <c r="L21" s="0" t="n">
        <f aca="false">L19*L20</f>
        <v>2714.76471323842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33061.9046241785</v>
      </c>
    </row>
    <row r="31" customFormat="false" ht="15" hidden="false" customHeight="false" outlineLevel="0" collapsed="false">
      <c r="A31" s="0" t="s">
        <v>133</v>
      </c>
      <c r="B31" s="0" t="n">
        <f aca="false">L19</f>
        <v>6138.0380653338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114948.712859888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92070.570980007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92070.570980007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40721.4706985763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73783.3753227548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124943.375322755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13.0190033680061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0.247030973946947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13.0190033680061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52684.8267274485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9.26698394100711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8.82125574333325</v>
      </c>
      <c r="C4" s="0" t="n">
        <f aca="false">B4/Assumptions!$B$2-1</f>
        <v>-0.155052131864632</v>
      </c>
      <c r="D4" s="4" t="n">
        <f aca="false">Assumptions!$B$24</f>
        <v>0.25</v>
      </c>
      <c r="E4" s="4" t="n">
        <f aca="false">DCF_Bear!$B$43</f>
        <v>8.82125574333325</v>
      </c>
      <c r="F4" s="4" t="n">
        <f aca="false">DCF_Bear!$B$47</f>
        <v>7.47388007525184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10.9191290088688</v>
      </c>
      <c r="C5" s="0" t="n">
        <f aca="false">B5/Assumptions!$B$2-1</f>
        <v>0.0458935832249829</v>
      </c>
      <c r="D5" s="4" t="n">
        <f aca="false">Assumptions!$B$38</f>
        <v>0.5</v>
      </c>
      <c r="E5" s="4" t="n">
        <f aca="false">DCF_Base!$B$43</f>
        <v>10.9191290088688</v>
      </c>
      <c r="F5" s="4" t="n">
        <f aca="false">DCF_Base!$B$47</f>
        <v>8.37912202731271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13.0190033680061</v>
      </c>
      <c r="C6" s="0" t="n">
        <f aca="false">B6/Assumptions!$B$2-1</f>
        <v>0.247030973946947</v>
      </c>
      <c r="D6" s="4" t="n">
        <f aca="false">Assumptions!$B$52</f>
        <v>0.25</v>
      </c>
      <c r="E6" s="4" t="n">
        <f aca="false">DCF_Bull!$B$43</f>
        <v>13.0190033680061</v>
      </c>
      <c r="F6" s="4" t="n">
        <f aca="false">DCF_Bull!$B$47</f>
        <v>9.26698394100711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10.9196292822693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10.9196292822693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0.0439235865862271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8.3747770177211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10.9191290088688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10.7292625535933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10.3273494888696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9.76375636691882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9.31325334864429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8.37912202731271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11.7719485182693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11.7719485182693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11.7719485182693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11.7719485182693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11.7719485182693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11.3258721808437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11.3258721808437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11.3258721808437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11.3258721808437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11.3258721808437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10.9191290088688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10.9191290088688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10.9191290088688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10.9191290088688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10.9191290088688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10.3281530551974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10.4863793148766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10.5477913334736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10.5477913334736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10.5477913334736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9.78336919019265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9.89932377635705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10.0289200785408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10.1747159184975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10.2083611123337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2026-10-10T11:51:53Z</dcterms:created>
  <dc:creator>openpyxl</dc:creator>
  <dc:description/>
  <dc:language>en-NZ</dc:language>
  <cp:lastModifiedBy/>
  <dcterms:modified xsi:type="dcterms:W3CDTF">2026-10-10T11:51:53Z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