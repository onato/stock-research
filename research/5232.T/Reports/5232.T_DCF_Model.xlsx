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<sst xmlns="http://schemas.openxmlformats.org/spreadsheetml/2006/main" count="363" uniqueCount="166">
  <si>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</si>
  <si>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5232.T</t>
  </si>
  <si>
    <t xml:space="preserve">Company</t>
  </si>
  <si>
    <t xml:space="preserve">Sumitomo Osaka Cement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</si>
  <si>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</si>
  <si>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</si>
  <si>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</si>
  <si>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</si>
  <si>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post-split quote)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</si>
  <si>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</si>
  <si>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</si>
  <si>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</si>
  <si>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</si>
  <si>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</si>
  <si>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</si>
  <si>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</si>
  <si>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</si>
  <si>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</si>
  <si>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</si>
  <si>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</si>
  <si>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</si>
  <si>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2026-10-31T08:13:24Z</t>
  </si>
  <si>
    <t xml:space="preserve">Drivers file</t>
  </si>
  <si>
    <t xml:space="preserve">5232.T_Drivers.json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</si>
  <si>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</si>
  <si>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</si>
  <si>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</si>
  <si>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consolidated operating flows (operating income + D&amp;A, after cash tax, capex and working capital) at a JPY cost of capital, cap the terminal at 15x FCF because the core is a capex-heavy cement business in secular volume decline, then bridge to equity with borrowings/bonds, NCI and the after-tax cross-shareholding portfolio. SBC is nil, so house and street coincide. The split (3-for-1, 2026-10-01) is reflected in the share count; the price and 52-week range are post-split.
key_risks_to_valuation: Coal/oil and JPY/USD: each $1/t of coal or JPY1/USD moves operating income by ~0.6-1.3bn; a repeat of FY2023 wipes out a year of FCF; Plan execution: FY2029 OP target of 27bn vs base 20bn; the prior plan was missed by 36%; Semiconductor capex cycle for electrostatic chucks, which carry the whole profit-growth story; Capex overrun: 100-110bn planned over three years against ~24bn of D&amp;A; the model assumes capex normalises to 10.5% of sales from FY2032; Sumisho Cement (70%) acquisition is not modelled: purchase price and consolidation effect unknown from filings; Cross-shareholding bridge (34bn after tax) depends on equity-market values and on management continuing to sell policy stock; Pre-split EPS and share figures in the Metrics CSV will produce a wrong P/E if divided into the post-split price</t>
  </si>
  <si>
    <t xml:space="preserve">Data sources</t>
  </si>
  <si>
    <t xml:space="preserve">price: Yahoo Finance chart API at inputs.price_as_of (post-split quote); 52-week range 1206-2172
financials: 5232.T_Metrics.csv / DuckDB metrics_normalized (FY2016-Q1 FY2027); Q1 FY2027 tanshin (2026-08-04) for the 2026-06-30 balance sheet, share counts and the split; FY2026 yuho for the securities note, tax reconciliation and pension; FY2026 and Q1 FY2027 presentations for FY2027 guidance, plan targets, capex and D&amp;A forecasts
qualitative: 5232.T_Analysis.json (2026-10-31)</t>
  </si>
  <si>
    <t xml:space="preserve">Scenario narrative: bear</t>
  </si>
  <si>
    <t xml:space="preserve">Energy costs and yen weakness outrun cement pricing again (the FY2023 pattern) while the semiconductor cycle turns against the just-completed ESC building. Revenue stalls, EBITDA margin falls to the mid-14s before recovering only to FY2025's 15.5%, and the plan's committed capex still goes out the door; FCF is marginal for several years and the debt stack (2.4x EBITDA, with 2.4bn of CP/short-term loans rolling) limits buybacks.</t>
  </si>
  <si>
    <t xml:space="preserve">Scenario narrative: base</t>
  </si>
  <si>
    <t xml:space="preserve">Management's FY2027 guidance is taken at face value and the FY2026-28 plan is discounted by roughly the same margin by which the previous plan was missed: OP reaches ~20bn (not 27bn) in FY2029 on ~248bn of sales. Domestic cement demand keeps falling toward 30Mt and the oligopoly's price increases roughly offset it, so group growth fades to 1% once the ESC capacity ramp is absorbed. Capex stays above D&amp;A through FY2030 and then normalises; the business converts ~3-5% of revenue into owner FCF, which is why the equity is worth far less than its EBITDA multiple suggests.</t>
  </si>
  <si>
    <t xml:space="preserve">Scenario narrative: bull</t>
  </si>
  <si>
    <t xml:space="preserve">The plan is hit: electrostatic chucks (guided +73% profit in FY2027) keep compounding on AI-driven fab capex, the high-functionality segment grows from 9% to ~15% of sales at mid-teens margins, cement pricing stays ahead of energy costs, and policy-stock sales keep funding buybacks. EBITDA margin reaches 20%+ and holds; terminal growth 1.5%.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</si>
  <si>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</si>
  <si>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</si>
  <si>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</si>
  <si>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</si>
  <si>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</si>
  <si>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</si>
  <si>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</si>
  <si>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</si>
  <si>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</si>
  <si>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</si>
  <si>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</si>
  <si>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</si>
  <si>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</si>
  <si>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</si>
  <si>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</si>
  <si>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</si>
  <si>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</si>
  <si>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</si>
  <si>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</si>
  <si>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</si>
  <si>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</si>
  <si>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</si>
  <si>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</si>
  <si>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</si>
  <si>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</si>
  <si>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</si>
  <si>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</si>
  <si>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</si>
  <si>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</si>
  <si>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</si>
  <si>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</si>
  <si>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</si>
  <si>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</si>
  <si>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</si>
  <si>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</si>
  <si>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</si>
  <si>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</si>
  <si>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</si>
  <si>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</si>
  <si>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</si>
  <si>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</si>
  <si>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</si>
  <si>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</si>
  <si>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</si>
  <si>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</si>
  <si>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</si>
  <si>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</si>
  <si>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</si>
  <si>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</si>
  <si>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</si>
  <si>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</si>
  <si>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</si>
  <si>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</si>
  <si>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</si>
  <si>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</si>
  <si>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</si>
  <si>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</si>
  <si>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</si>
  <si>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</si>
  <si>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</si>
  <si>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</si>
  <si>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</si>
  <si>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</si>
  <si>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</si>
  <si>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</si>
  <si>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</si>
  <si>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</si>
  <si>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</si>
  <si>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</si>
  <si>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</si>
  <si>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</si>
  <si>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</si>
  <si>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</si>
  <si>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</si>
  <si>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</si>
  <si>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5232.T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</si>
  <si>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</si>
  <si>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</si>
  <si>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</si>
  <si>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</si>
  <si>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</si>
  <si>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</si>
  <si>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</si>
  <si>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</si>
  <si>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</si>
  <si>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</si>
  <si>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</si>
  <si>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</si>
  <si>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</si>
  <si>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</si>
  <si>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</si>
  <si>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</si>
  <si>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</si>
  <si>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</si>
  <si>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</si>
  <si>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</si>
  <si>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</si>
  <si>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</si>
  <si>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</si>
  <si>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</si>
  <si>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</si>
  <si>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</si>
  <si>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</si>
  <si>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</si>
  <si>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</si>
  <si>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</si>
  <si>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5232.T owner-FCF component DCF: base case (millions, JPY)</t>
  </si>
  <si>
    <t xml:space="preserve">5232.T owner-FCF component DCF: bull case (millions, JPY)</t>
  </si>
  <si>
    <t xml:space="preserve">5232.T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</si>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</sst>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1760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234192</v>
      </c>
      <c r="C2" s="0" t="n">
        <v>175474</v>
      </c>
      <c r="D2" s="0" t="n">
        <v>58717</v>
      </c>
      <c r="E2" s="0" t="n">
        <v>25.1</v>
      </c>
      <c r="F2" s="0" t="n">
        <v>23614</v>
      </c>
      <c r="G2" s="0" t="n">
        <v>10.1</v>
      </c>
      <c r="H2" s="0" t="n">
        <v>40499</v>
      </c>
      <c r="I2" s="0" t="n">
        <v>16110</v>
      </c>
      <c r="J2" s="0" t="n">
        <v>6.9</v>
      </c>
      <c r="K2" s="0" t="n">
        <v>394.3</v>
      </c>
      <c r="L2" s="0" t="n">
        <v>32618</v>
      </c>
      <c r="M2" s="0" t="n">
        <v>17680</v>
      </c>
      <c r="N2" s="0" t="n">
        <v>14938</v>
      </c>
      <c r="O2" s="0" t="n">
        <v>175640</v>
      </c>
      <c r="P2" s="0" t="n">
        <v>325710</v>
      </c>
      <c r="Q2" s="0" t="n">
        <v>148462</v>
      </c>
      <c r="R2" s="0" t="n">
        <v>76506</v>
      </c>
      <c r="S2" s="0" t="n">
        <v>31378</v>
      </c>
      <c r="T2" s="0" t="n">
        <v>40.857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234062</v>
      </c>
      <c r="C3" s="0" t="n">
        <v>176812</v>
      </c>
      <c r="D3" s="0" t="n">
        <v>57250</v>
      </c>
      <c r="E3" s="0" t="n">
        <v>24.5</v>
      </c>
      <c r="F3" s="0" t="n">
        <v>21530</v>
      </c>
      <c r="G3" s="0" t="n">
        <v>9.2</v>
      </c>
      <c r="H3" s="0" t="n">
        <v>38573</v>
      </c>
      <c r="I3" s="0" t="n">
        <v>16210</v>
      </c>
      <c r="J3" s="0" t="n">
        <v>6.9</v>
      </c>
      <c r="K3" s="0" t="n">
        <v>399.34</v>
      </c>
      <c r="L3" s="0" t="n">
        <v>29231</v>
      </c>
      <c r="M3" s="0" t="n">
        <v>20378</v>
      </c>
      <c r="N3" s="0" t="n">
        <v>8853</v>
      </c>
      <c r="O3" s="0" t="n">
        <v>194207</v>
      </c>
      <c r="P3" s="0" t="n">
        <v>336790</v>
      </c>
      <c r="Q3" s="0" t="n">
        <v>140921</v>
      </c>
      <c r="R3" s="0" t="n">
        <v>64216</v>
      </c>
      <c r="S3" s="0" t="n">
        <v>26672</v>
      </c>
      <c r="T3" s="0" t="n">
        <v>40.592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244826</v>
      </c>
      <c r="C4" s="0" t="n">
        <v>190170</v>
      </c>
      <c r="D4" s="0" t="n">
        <v>54655</v>
      </c>
      <c r="E4" s="0" t="n">
        <v>22.3</v>
      </c>
      <c r="F4" s="0" t="n">
        <v>18990</v>
      </c>
      <c r="G4" s="0" t="n">
        <v>7.8</v>
      </c>
      <c r="H4" s="0" t="n">
        <v>36651</v>
      </c>
      <c r="I4" s="0" t="n">
        <v>14659</v>
      </c>
      <c r="J4" s="0" t="n">
        <v>6</v>
      </c>
      <c r="K4" s="0" t="n">
        <v>361.2</v>
      </c>
      <c r="L4" s="0" t="n">
        <v>26470</v>
      </c>
      <c r="M4" s="0" t="n">
        <v>25585</v>
      </c>
      <c r="N4" s="0" t="n">
        <v>885</v>
      </c>
      <c r="O4" s="0" t="n">
        <v>202421</v>
      </c>
      <c r="P4" s="0" t="n">
        <v>340980</v>
      </c>
      <c r="Q4" s="0" t="n">
        <v>136822</v>
      </c>
      <c r="R4" s="0" t="n">
        <v>61806</v>
      </c>
      <c r="S4" s="0" t="n">
        <v>22072</v>
      </c>
      <c r="T4" s="0" t="n">
        <v>40.584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251061</v>
      </c>
      <c r="C5" s="0" t="n">
        <v>200756</v>
      </c>
      <c r="D5" s="0" t="n">
        <v>50305</v>
      </c>
      <c r="E5" s="0" t="n">
        <v>20</v>
      </c>
      <c r="F5" s="0" t="n">
        <v>14178</v>
      </c>
      <c r="G5" s="0" t="n">
        <v>5.6</v>
      </c>
      <c r="H5" s="0" t="n">
        <v>32724</v>
      </c>
      <c r="I5" s="0" t="n">
        <v>7799</v>
      </c>
      <c r="J5" s="0" t="n">
        <v>3.1</v>
      </c>
      <c r="K5" s="0" t="n">
        <v>199.15</v>
      </c>
      <c r="L5" s="0" t="n">
        <v>29252</v>
      </c>
      <c r="M5" s="0" t="n">
        <v>20563</v>
      </c>
      <c r="N5" s="0" t="n">
        <v>8689</v>
      </c>
      <c r="O5" s="0" t="n">
        <v>192297</v>
      </c>
      <c r="P5" s="0" t="n">
        <v>324755</v>
      </c>
      <c r="Q5" s="0" t="n">
        <v>130617</v>
      </c>
      <c r="R5" s="0" t="n">
        <v>61062</v>
      </c>
      <c r="S5" s="0" t="n">
        <v>15270</v>
      </c>
      <c r="T5" s="0" t="n">
        <v>39.161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245159</v>
      </c>
      <c r="C6" s="0" t="n">
        <v>193491</v>
      </c>
      <c r="D6" s="0" t="n">
        <v>51667</v>
      </c>
      <c r="E6" s="0" t="n">
        <v>21.1</v>
      </c>
      <c r="F6" s="0" t="n">
        <v>16128</v>
      </c>
      <c r="G6" s="0" t="n">
        <v>6.6</v>
      </c>
      <c r="H6" s="0" t="n">
        <v>34411</v>
      </c>
      <c r="I6" s="0" t="n">
        <v>10922</v>
      </c>
      <c r="J6" s="0" t="n">
        <v>4.5</v>
      </c>
      <c r="K6" s="0" t="n">
        <v>283.21</v>
      </c>
      <c r="L6" s="0" t="n">
        <v>32305</v>
      </c>
      <c r="M6" s="0" t="n">
        <v>18433</v>
      </c>
      <c r="N6" s="0" t="n">
        <v>13872</v>
      </c>
      <c r="O6" s="0" t="n">
        <v>196724</v>
      </c>
      <c r="P6" s="0" t="n">
        <v>321108</v>
      </c>
      <c r="Q6" s="0" t="n">
        <v>122408</v>
      </c>
      <c r="R6" s="0" t="n">
        <v>52607</v>
      </c>
      <c r="S6" s="0" t="n">
        <v>15799</v>
      </c>
      <c r="T6" s="0" t="n">
        <v>38.568657</v>
      </c>
      <c r="V6" s="0" t="n">
        <v>120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239274</v>
      </c>
      <c r="C7" s="0" t="n">
        <v>188229</v>
      </c>
      <c r="D7" s="0" t="n">
        <v>51045</v>
      </c>
      <c r="E7" s="0" t="n">
        <v>21.3</v>
      </c>
      <c r="F7" s="0" t="n">
        <v>16631</v>
      </c>
      <c r="G7" s="0" t="n">
        <v>7</v>
      </c>
      <c r="H7" s="0" t="n">
        <v>35397</v>
      </c>
      <c r="I7" s="0" t="n">
        <v>11719</v>
      </c>
      <c r="J7" s="0" t="n">
        <v>4.9</v>
      </c>
      <c r="K7" s="0" t="n">
        <v>304.56</v>
      </c>
      <c r="L7" s="0" t="n">
        <v>32797</v>
      </c>
      <c r="M7" s="0" t="n">
        <v>20221</v>
      </c>
      <c r="N7" s="0" t="n">
        <v>12576</v>
      </c>
      <c r="O7" s="0" t="n">
        <v>203731</v>
      </c>
      <c r="P7" s="0" t="n">
        <v>329650</v>
      </c>
      <c r="Q7" s="0" t="n">
        <v>123823</v>
      </c>
      <c r="R7" s="0" t="n">
        <v>51405</v>
      </c>
      <c r="S7" s="0" t="n">
        <v>18600</v>
      </c>
      <c r="T7" s="0" t="n">
        <v>38.480575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184209</v>
      </c>
      <c r="C8" s="0" t="n">
        <v>142113</v>
      </c>
      <c r="D8" s="0" t="n">
        <v>42096</v>
      </c>
      <c r="E8" s="0" t="n">
        <v>22.9</v>
      </c>
      <c r="F8" s="0" t="n">
        <v>6878</v>
      </c>
      <c r="G8" s="0" t="n">
        <v>3.7</v>
      </c>
      <c r="H8" s="0" t="n">
        <v>26214</v>
      </c>
      <c r="I8" s="0" t="n">
        <v>9674</v>
      </c>
      <c r="J8" s="0" t="n">
        <v>5.3</v>
      </c>
      <c r="K8" s="0" t="n">
        <v>262.77</v>
      </c>
      <c r="L8" s="0" t="n">
        <v>18255</v>
      </c>
      <c r="M8" s="0" t="n">
        <v>20921</v>
      </c>
      <c r="N8" s="0" t="n">
        <v>-2666</v>
      </c>
      <c r="O8" s="0" t="n">
        <v>200964</v>
      </c>
      <c r="P8" s="0" t="n">
        <v>331107</v>
      </c>
      <c r="Q8" s="0" t="n">
        <v>127934</v>
      </c>
      <c r="R8" s="0" t="n">
        <v>56640</v>
      </c>
      <c r="S8" s="0" t="n">
        <v>13085</v>
      </c>
      <c r="T8" s="0" t="n">
        <v>36.816557</v>
      </c>
      <c r="V8" s="0" t="n">
        <v>120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204705</v>
      </c>
      <c r="C9" s="0" t="n">
        <v>175841</v>
      </c>
      <c r="D9" s="0" t="n">
        <v>28864</v>
      </c>
      <c r="E9" s="0" t="n">
        <v>14.1</v>
      </c>
      <c r="F9" s="0" t="n">
        <v>-8555</v>
      </c>
      <c r="G9" s="0" t="n">
        <v>-4.2</v>
      </c>
      <c r="H9" s="0" t="n">
        <v>11659</v>
      </c>
      <c r="I9" s="0" t="n">
        <v>-5719</v>
      </c>
      <c r="J9" s="0" t="n">
        <v>-2.8</v>
      </c>
      <c r="K9" s="0" t="n">
        <v>-166.79</v>
      </c>
      <c r="L9" s="0" t="n">
        <v>-16146</v>
      </c>
      <c r="M9" s="0" t="n">
        <v>27913</v>
      </c>
      <c r="N9" s="0" t="n">
        <v>-44059</v>
      </c>
      <c r="O9" s="0" t="n">
        <v>182438</v>
      </c>
      <c r="P9" s="0" t="n">
        <v>356558</v>
      </c>
      <c r="Q9" s="0" t="n">
        <v>171966</v>
      </c>
      <c r="R9" s="0" t="n">
        <v>99719</v>
      </c>
      <c r="S9" s="0" t="n">
        <v>14500</v>
      </c>
      <c r="T9" s="0" t="n">
        <v>34.295232</v>
      </c>
      <c r="V9" s="0" t="n">
        <v>120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222502</v>
      </c>
      <c r="C10" s="0" t="n">
        <v>176364</v>
      </c>
      <c r="D10" s="0" t="n">
        <v>46137</v>
      </c>
      <c r="E10" s="0" t="n">
        <v>20.7</v>
      </c>
      <c r="F10" s="0" t="n">
        <v>7251</v>
      </c>
      <c r="G10" s="0" t="n">
        <v>3.3</v>
      </c>
      <c r="H10" s="0" t="n">
        <v>28911</v>
      </c>
      <c r="I10" s="0" t="n">
        <v>15339</v>
      </c>
      <c r="J10" s="0" t="n">
        <v>6.9</v>
      </c>
      <c r="K10" s="0" t="n">
        <v>447.85</v>
      </c>
      <c r="L10" s="0" t="n">
        <v>43731</v>
      </c>
      <c r="M10" s="0" t="n">
        <v>28882</v>
      </c>
      <c r="N10" s="0" t="n">
        <v>14849</v>
      </c>
      <c r="O10" s="0" t="n">
        <v>194345</v>
      </c>
      <c r="P10" s="0" t="n">
        <v>356283</v>
      </c>
      <c r="Q10" s="0" t="n">
        <v>159508</v>
      </c>
      <c r="R10" s="0" t="n">
        <v>79528</v>
      </c>
      <c r="S10" s="0" t="n">
        <v>18662</v>
      </c>
      <c r="T10" s="0" t="n">
        <v>34.2509</v>
      </c>
      <c r="V10" s="0" t="n">
        <v>120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219465</v>
      </c>
      <c r="C11" s="0" t="n">
        <v>169388</v>
      </c>
      <c r="D11" s="0" t="n">
        <v>50077</v>
      </c>
      <c r="E11" s="0" t="n">
        <v>22.8</v>
      </c>
      <c r="F11" s="0" t="n">
        <v>9351</v>
      </c>
      <c r="G11" s="0" t="n">
        <v>4.3</v>
      </c>
      <c r="H11" s="0" t="n">
        <v>31924</v>
      </c>
      <c r="I11" s="0" t="n">
        <v>9008</v>
      </c>
      <c r="J11" s="0" t="n">
        <v>4.1</v>
      </c>
      <c r="K11" s="0" t="n">
        <v>270.37</v>
      </c>
      <c r="L11" s="0" t="n">
        <v>24885</v>
      </c>
      <c r="M11" s="0" t="n">
        <v>27645</v>
      </c>
      <c r="N11" s="0" t="n">
        <v>-2760</v>
      </c>
      <c r="O11" s="0" t="n">
        <v>191097</v>
      </c>
      <c r="P11" s="0" t="n">
        <v>353029</v>
      </c>
      <c r="Q11" s="0" t="n">
        <v>159369</v>
      </c>
      <c r="R11" s="0" t="n">
        <v>83333</v>
      </c>
      <c r="S11" s="0" t="n">
        <v>16511</v>
      </c>
      <c r="T11" s="0" t="n">
        <v>33.317888</v>
      </c>
      <c r="V11" s="0" t="n">
        <v>120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223686</v>
      </c>
      <c r="C12" s="0" t="n">
        <v>167034</v>
      </c>
      <c r="D12" s="0" t="n">
        <v>56651</v>
      </c>
      <c r="E12" s="0" t="n">
        <v>25.3</v>
      </c>
      <c r="F12" s="0" t="n">
        <v>13648</v>
      </c>
      <c r="G12" s="0" t="n">
        <v>6.1</v>
      </c>
      <c r="H12" s="0" t="n">
        <v>37239</v>
      </c>
      <c r="I12" s="0" t="n">
        <v>11214</v>
      </c>
      <c r="J12" s="0" t="n">
        <v>5</v>
      </c>
      <c r="K12" s="0" t="n">
        <v>349.58</v>
      </c>
      <c r="L12" s="0" t="n">
        <v>34539</v>
      </c>
      <c r="M12" s="0" t="n">
        <v>32661</v>
      </c>
      <c r="N12" s="0" t="n">
        <v>1878</v>
      </c>
      <c r="O12" s="0" t="n">
        <v>195306</v>
      </c>
      <c r="P12" s="0" t="n">
        <v>361980</v>
      </c>
      <c r="Q12" s="0" t="n">
        <v>164031</v>
      </c>
      <c r="R12" s="0" t="n">
        <v>86421</v>
      </c>
      <c r="S12" s="0" t="n">
        <v>16588</v>
      </c>
      <c r="T12" s="0" t="n">
        <v>32.078913</v>
      </c>
      <c r="V12" s="0" t="n">
        <v>120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1760</v>
      </c>
    </row>
    <row r="3" customFormat="false" ht="15" hidden="false" customHeight="false" outlineLevel="0" collapsed="false">
      <c r="A3" s="0" t="s">
        <v>77</v>
      </c>
      <c r="B3" s="3" t="n">
        <v>95.119</v>
      </c>
    </row>
    <row r="4" customFormat="false" ht="15" hidden="false" customHeight="false" outlineLevel="0" collapsed="false">
      <c r="A4" s="0" t="s">
        <v>78</v>
      </c>
      <c r="B4" s="3" t="n">
        <v>73346</v>
      </c>
    </row>
    <row r="5" customFormat="false" ht="15" hidden="false" customHeight="false" outlineLevel="0" collapsed="false">
      <c r="A5" s="0" t="s">
        <v>79</v>
      </c>
      <c r="B5" s="3" t="n">
        <v>31358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223686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</v>
      </c>
      <c r="D13" s="3" t="n">
        <v>0</v>
      </c>
      <c r="E13" s="3" t="n">
        <v>-1</v>
      </c>
      <c r="F13" s="3" t="n">
        <v>0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98</v>
      </c>
      <c r="C14" s="3" t="n">
        <v>16</v>
      </c>
      <c r="D14" s="3" t="n">
        <v>15</v>
      </c>
      <c r="E14" s="3" t="n">
        <v>14.5</v>
      </c>
      <c r="F14" s="3" t="n">
        <v>15</v>
      </c>
      <c r="G14" s="3" t="n">
        <v>15.5</v>
      </c>
      <c r="H14" s="3" t="n">
        <v>15.5</v>
      </c>
      <c r="I14" s="3" t="n">
        <v>15.5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10.4</v>
      </c>
      <c r="D17" s="3" t="n">
        <v>10.6</v>
      </c>
      <c r="E17" s="3" t="n">
        <v>10.8</v>
      </c>
      <c r="F17" s="3" t="n">
        <v>10.8</v>
      </c>
      <c r="G17" s="3" t="n">
        <v>10.7</v>
      </c>
      <c r="H17" s="3" t="n">
        <v>10.6</v>
      </c>
      <c r="I17" s="3" t="n">
        <v>10.5</v>
      </c>
      <c r="J17" s="3" t="n">
        <v>10.5</v>
      </c>
      <c r="K17" s="3" t="n">
        <v>10.5</v>
      </c>
      <c r="L17" s="3" t="n">
        <v>10.5</v>
      </c>
    </row>
    <row r="18" customFormat="false" ht="15" hidden="false" customHeight="false" outlineLevel="0" collapsed="false">
      <c r="A18" s="0" t="s">
        <v>102</v>
      </c>
      <c r="C18" s="3" t="n">
        <v>11.6</v>
      </c>
      <c r="D18" s="3" t="n">
        <v>12.5</v>
      </c>
      <c r="E18" s="3" t="n">
        <v>12</v>
      </c>
      <c r="F18" s="3" t="n">
        <v>11</v>
      </c>
      <c r="G18" s="3" t="n">
        <v>10.5</v>
      </c>
      <c r="H18" s="3" t="n">
        <v>10.5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103</v>
      </c>
      <c r="C19" s="3" t="n">
        <v>27</v>
      </c>
      <c r="D19" s="3" t="n">
        <v>29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0.5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4.8</v>
      </c>
      <c r="D27" s="3" t="n">
        <v>4</v>
      </c>
      <c r="E27" s="3" t="n">
        <v>3.5</v>
      </c>
      <c r="F27" s="3" t="n">
        <v>2</v>
      </c>
      <c r="G27" s="3" t="n">
        <v>1.5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98</v>
      </c>
      <c r="C28" s="3" t="n">
        <v>16.8</v>
      </c>
      <c r="D28" s="3" t="n">
        <v>17.4</v>
      </c>
      <c r="E28" s="3" t="n">
        <v>18</v>
      </c>
      <c r="F28" s="3" t="n">
        <v>18</v>
      </c>
      <c r="G28" s="3" t="n">
        <v>18</v>
      </c>
      <c r="H28" s="3" t="n">
        <v>17.8</v>
      </c>
      <c r="I28" s="3" t="n">
        <v>17.6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10.4</v>
      </c>
      <c r="D31" s="3" t="n">
        <v>10.5</v>
      </c>
      <c r="E31" s="3" t="n">
        <v>10.6</v>
      </c>
      <c r="F31" s="3" t="n">
        <v>10.6</v>
      </c>
      <c r="G31" s="3" t="n">
        <v>10.5</v>
      </c>
      <c r="H31" s="3" t="n">
        <v>10.5</v>
      </c>
      <c r="I31" s="3" t="n">
        <v>10.4</v>
      </c>
      <c r="J31" s="3" t="n">
        <v>10.4</v>
      </c>
      <c r="K31" s="3" t="n">
        <v>10.3</v>
      </c>
      <c r="L31" s="3" t="n">
        <v>10.3</v>
      </c>
    </row>
    <row r="32" customFormat="false" ht="15" hidden="false" customHeight="false" outlineLevel="0" collapsed="false">
      <c r="A32" s="0" t="s">
        <v>102</v>
      </c>
      <c r="C32" s="3" t="n">
        <v>11.6</v>
      </c>
      <c r="D32" s="3" t="n">
        <v>13</v>
      </c>
      <c r="E32" s="3" t="n">
        <v>13</v>
      </c>
      <c r="F32" s="3" t="n">
        <v>12</v>
      </c>
      <c r="G32" s="3" t="n">
        <v>11</v>
      </c>
      <c r="H32" s="3" t="n">
        <v>10.5</v>
      </c>
      <c r="I32" s="3" t="n">
        <v>10.5</v>
      </c>
      <c r="J32" s="3" t="n">
        <v>10.5</v>
      </c>
      <c r="K32" s="3" t="n">
        <v>10.5</v>
      </c>
      <c r="L32" s="3" t="n">
        <v>10.5</v>
      </c>
    </row>
    <row r="33" customFormat="false" ht="15" hidden="false" customHeight="false" outlineLevel="0" collapsed="false">
      <c r="A33" s="0" t="s">
        <v>103</v>
      </c>
      <c r="C33" s="3" t="n">
        <v>27</v>
      </c>
      <c r="D33" s="3" t="n">
        <v>29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4.8</v>
      </c>
      <c r="D41" s="3" t="n">
        <v>4.5</v>
      </c>
      <c r="E41" s="3" t="n">
        <v>4.5</v>
      </c>
      <c r="F41" s="3" t="n">
        <v>3</v>
      </c>
      <c r="G41" s="3" t="n">
        <v>2.5</v>
      </c>
      <c r="H41" s="3" t="n">
        <v>2</v>
      </c>
      <c r="I41" s="3" t="n">
        <v>2</v>
      </c>
      <c r="J41" s="3" t="n">
        <v>1.5</v>
      </c>
      <c r="K41" s="3" t="n">
        <v>1.5</v>
      </c>
      <c r="L41" s="3" t="n">
        <v>1.5</v>
      </c>
    </row>
    <row r="42" customFormat="false" ht="15" hidden="false" customHeight="false" outlineLevel="0" collapsed="false">
      <c r="A42" s="0" t="s">
        <v>98</v>
      </c>
      <c r="C42" s="3" t="n">
        <v>17</v>
      </c>
      <c r="D42" s="3" t="n">
        <v>18.8</v>
      </c>
      <c r="E42" s="3" t="n">
        <v>20.4</v>
      </c>
      <c r="F42" s="3" t="n">
        <v>20.4</v>
      </c>
      <c r="G42" s="3" t="n">
        <v>20.4</v>
      </c>
      <c r="H42" s="3" t="n">
        <v>20.2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10.4</v>
      </c>
      <c r="D45" s="3" t="n">
        <v>10.5</v>
      </c>
      <c r="E45" s="3" t="n">
        <v>10.5</v>
      </c>
      <c r="F45" s="3" t="n">
        <v>10.5</v>
      </c>
      <c r="G45" s="3" t="n">
        <v>10.5</v>
      </c>
      <c r="H45" s="3" t="n">
        <v>10.4</v>
      </c>
      <c r="I45" s="3" t="n">
        <v>10.4</v>
      </c>
      <c r="J45" s="3" t="n">
        <v>10.3</v>
      </c>
      <c r="K45" s="3" t="n">
        <v>10.3</v>
      </c>
      <c r="L45" s="3" t="n">
        <v>10.3</v>
      </c>
    </row>
    <row r="46" customFormat="false" ht="15" hidden="false" customHeight="false" outlineLevel="0" collapsed="false">
      <c r="A46" s="0" t="s">
        <v>102</v>
      </c>
      <c r="C46" s="3" t="n">
        <v>11.6</v>
      </c>
      <c r="D46" s="3" t="n">
        <v>13</v>
      </c>
      <c r="E46" s="3" t="n">
        <v>12.5</v>
      </c>
      <c r="F46" s="3" t="n">
        <v>11.5</v>
      </c>
      <c r="G46" s="3" t="n">
        <v>11</v>
      </c>
      <c r="H46" s="3" t="n">
        <v>10.5</v>
      </c>
      <c r="I46" s="3" t="n">
        <v>10.5</v>
      </c>
      <c r="J46" s="3" t="n">
        <v>10.5</v>
      </c>
      <c r="K46" s="3" t="n">
        <v>10.5</v>
      </c>
      <c r="L46" s="3" t="n">
        <v>10.5</v>
      </c>
    </row>
    <row r="47" customFormat="false" ht="15" hidden="false" customHeight="false" outlineLevel="0" collapsed="false">
      <c r="A47" s="0" t="s">
        <v>103</v>
      </c>
      <c r="C47" s="3" t="n">
        <v>27</v>
      </c>
      <c r="D47" s="3" t="n">
        <v>29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1.5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223686</v>
      </c>
      <c r="C6" s="0" t="n">
        <f aca="false">B6*(1+C5/100)</f>
        <v>230396.58</v>
      </c>
      <c r="D6" s="0" t="n">
        <f aca="false">C6*(1+D5/100)</f>
        <v>230396.58</v>
      </c>
      <c r="E6" s="0" t="n">
        <f aca="false">D6*(1+E5/100)</f>
        <v>228092.6142</v>
      </c>
      <c r="F6" s="0" t="n">
        <f aca="false">E6*(1+F5/100)</f>
        <v>228092.6142</v>
      </c>
      <c r="G6" s="0" t="n">
        <f aca="false">F6*(1+G5/100)</f>
        <v>229233.077271</v>
      </c>
      <c r="H6" s="0" t="n">
        <f aca="false">G6*(1+H5/100)</f>
        <v>230379.242657355</v>
      </c>
      <c r="I6" s="0" t="n">
        <f aca="false">H6*(1+I5/100)</f>
        <v>231531.138870642</v>
      </c>
      <c r="J6" s="0" t="n">
        <f aca="false">I6*(1+J5/100)</f>
        <v>232688.794564995</v>
      </c>
      <c r="K6" s="0" t="n">
        <f aca="false">J6*(1+K5/100)</f>
        <v>233852.23853782</v>
      </c>
      <c r="L6" s="0" t="n">
        <f aca="false">K6*(1+L5/100)</f>
        <v>235021.499730509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16</v>
      </c>
      <c r="D7" s="4" t="n">
        <f aca="false">Assumptions!D14</f>
        <v>15</v>
      </c>
      <c r="E7" s="4" t="n">
        <f aca="false">Assumptions!E14</f>
        <v>14.5</v>
      </c>
      <c r="F7" s="4" t="n">
        <f aca="false">Assumptions!F14</f>
        <v>15</v>
      </c>
      <c r="G7" s="4" t="n">
        <f aca="false">Assumptions!G14</f>
        <v>15.5</v>
      </c>
      <c r="H7" s="4" t="n">
        <f aca="false">Assumptions!H14</f>
        <v>15.5</v>
      </c>
      <c r="I7" s="4" t="n">
        <f aca="false">Assumptions!I14</f>
        <v>15.5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36863.4528</v>
      </c>
      <c r="D8" s="0" t="n">
        <f aca="false">D6*D7/100</f>
        <v>34559.487</v>
      </c>
      <c r="E8" s="0" t="n">
        <f aca="false">E6*E7/100</f>
        <v>33073.429059</v>
      </c>
      <c r="F8" s="0" t="n">
        <f aca="false">F6*F7/100</f>
        <v>34213.89213</v>
      </c>
      <c r="G8" s="0" t="n">
        <f aca="false">G6*G7/100</f>
        <v>35531.126977005</v>
      </c>
      <c r="H8" s="0" t="n">
        <f aca="false">H6*H7/100</f>
        <v>35708.78261189</v>
      </c>
      <c r="I8" s="0" t="n">
        <f aca="false">I6*I7/100</f>
        <v>35887.3265249495</v>
      </c>
      <c r="J8" s="0" t="n">
        <f aca="false">J6*J7/100</f>
        <v>36066.7631575742</v>
      </c>
      <c r="K8" s="0" t="n">
        <f aca="false">K6*K7/100</f>
        <v>36247.0969733621</v>
      </c>
      <c r="L8" s="0" t="n">
        <f aca="false">L6*L7/100</f>
        <v>36428.3324582289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36863.4528</v>
      </c>
      <c r="D11" s="0" t="n">
        <f aca="false">D8+D10+D24</f>
        <v>34559.487</v>
      </c>
      <c r="E11" s="0" t="n">
        <f aca="false">E8+E10+E24</f>
        <v>33073.429059</v>
      </c>
      <c r="F11" s="0" t="n">
        <f aca="false">F8+F10+F24</f>
        <v>34213.89213</v>
      </c>
      <c r="G11" s="0" t="n">
        <f aca="false">G8+G10+G24</f>
        <v>35531.126977005</v>
      </c>
      <c r="H11" s="0" t="n">
        <f aca="false">H8+H10+H24</f>
        <v>35708.78261189</v>
      </c>
      <c r="I11" s="0" t="n">
        <f aca="false">I8+I10+I24</f>
        <v>35887.3265249495</v>
      </c>
      <c r="J11" s="0" t="n">
        <f aca="false">J8+J10+J24</f>
        <v>36066.7631575742</v>
      </c>
      <c r="K11" s="0" t="n">
        <f aca="false">K8+K10+K24</f>
        <v>36247.0969733621</v>
      </c>
      <c r="L11" s="0" t="n">
        <f aca="false">L8+L10+L24</f>
        <v>36428.3324582289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-23961.24432</v>
      </c>
      <c r="D12" s="4" t="n">
        <f aca="false">-D6*Assumptions!D17/100</f>
        <v>-24422.03748</v>
      </c>
      <c r="E12" s="4" t="n">
        <f aca="false">-E6*Assumptions!E17/100</f>
        <v>-24634.0023336</v>
      </c>
      <c r="F12" s="4" t="n">
        <f aca="false">-F6*Assumptions!F17/100</f>
        <v>-24634.0023336</v>
      </c>
      <c r="G12" s="4" t="n">
        <f aca="false">-G6*Assumptions!G17/100</f>
        <v>-24527.939267997</v>
      </c>
      <c r="H12" s="4" t="n">
        <f aca="false">-H6*Assumptions!H17/100</f>
        <v>-24420.1997216796</v>
      </c>
      <c r="I12" s="4" t="n">
        <f aca="false">-I6*Assumptions!I17/100</f>
        <v>-24310.7695814174</v>
      </c>
      <c r="J12" s="4" t="n">
        <f aca="false">-J6*Assumptions!J17/100</f>
        <v>-24432.3234293245</v>
      </c>
      <c r="K12" s="4" t="n">
        <f aca="false">-K6*Assumptions!K17/100</f>
        <v>-24554.4850464711</v>
      </c>
      <c r="L12" s="4" t="n">
        <f aca="false">-L6*Assumptions!L17/100</f>
        <v>-24677.2574717034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12902.20848</v>
      </c>
      <c r="D13" s="0" t="n">
        <f aca="false">D11+D12</f>
        <v>10137.44952</v>
      </c>
      <c r="E13" s="0" t="n">
        <f aca="false">E11+E12</f>
        <v>8439.4267254</v>
      </c>
      <c r="F13" s="0" t="n">
        <f aca="false">F11+F12</f>
        <v>9579.8897964</v>
      </c>
      <c r="G13" s="0" t="n">
        <f aca="false">G11+G12</f>
        <v>11003.187709008</v>
      </c>
      <c r="H13" s="0" t="n">
        <f aca="false">H11+H12</f>
        <v>11288.5828902104</v>
      </c>
      <c r="I13" s="0" t="n">
        <f aca="false">I11+I12</f>
        <v>11576.5569435321</v>
      </c>
      <c r="J13" s="0" t="n">
        <f aca="false">J11+J12</f>
        <v>11634.4397282497</v>
      </c>
      <c r="K13" s="0" t="n">
        <f aca="false">K11+K12</f>
        <v>11692.611926891</v>
      </c>
      <c r="L13" s="0" t="n">
        <f aca="false">L11+L12</f>
        <v>11751.0749865255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27</v>
      </c>
      <c r="D14" s="4" t="n">
        <f aca="false">Assumptions!D19</f>
        <v>29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9418.6121904</v>
      </c>
      <c r="D15" s="0" t="n">
        <f aca="false">D13-MAX(0,D13)*D14/100</f>
        <v>7197.5891592</v>
      </c>
      <c r="E15" s="0" t="n">
        <f aca="false">E13-MAX(0,E13)*E14/100</f>
        <v>5823.204440526</v>
      </c>
      <c r="F15" s="0" t="n">
        <f aca="false">F13-MAX(0,F13)*F14/100</f>
        <v>6610.123959516</v>
      </c>
      <c r="G15" s="0" t="n">
        <f aca="false">G13-MAX(0,G13)*G14/100</f>
        <v>7592.19951921552</v>
      </c>
      <c r="H15" s="0" t="n">
        <f aca="false">H13-MAX(0,H13)*H14/100</f>
        <v>7789.12219424517</v>
      </c>
      <c r="I15" s="0" t="n">
        <f aca="false">I13-MAX(0,I13)*I14/100</f>
        <v>7987.82429103714</v>
      </c>
      <c r="J15" s="0" t="n">
        <f aca="false">J13-MAX(0,J13)*J14/100</f>
        <v>8027.76341249232</v>
      </c>
      <c r="K15" s="0" t="n">
        <f aca="false">K13-MAX(0,K13)*K14/100</f>
        <v>8067.90222955479</v>
      </c>
      <c r="L15" s="0" t="n">
        <f aca="false">L13-MAX(0,L13)*L14/100</f>
        <v>8108.24174070256</v>
      </c>
    </row>
    <row r="16" customFormat="false" ht="15" hidden="false" customHeight="false" outlineLevel="0" collapsed="false">
      <c r="A16" s="0" t="s">
        <v>119</v>
      </c>
      <c r="C16" s="0" t="n">
        <f aca="false">-C12</f>
        <v>23961.24432</v>
      </c>
      <c r="D16" s="0" t="n">
        <f aca="false">-D12</f>
        <v>24422.03748</v>
      </c>
      <c r="E16" s="0" t="n">
        <f aca="false">-E12</f>
        <v>24634.0023336</v>
      </c>
      <c r="F16" s="0" t="n">
        <f aca="false">-F12</f>
        <v>24634.0023336</v>
      </c>
      <c r="G16" s="0" t="n">
        <f aca="false">-G12</f>
        <v>24527.939267997</v>
      </c>
      <c r="H16" s="0" t="n">
        <f aca="false">-H12</f>
        <v>24420.1997216796</v>
      </c>
      <c r="I16" s="0" t="n">
        <f aca="false">-I12</f>
        <v>24310.7695814174</v>
      </c>
      <c r="J16" s="0" t="n">
        <f aca="false">-J12</f>
        <v>24432.3234293245</v>
      </c>
      <c r="K16" s="0" t="n">
        <f aca="false">-K12</f>
        <v>24554.4850464711</v>
      </c>
      <c r="L16" s="0" t="n">
        <f aca="false">-L12</f>
        <v>24677.2574717034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-26726.00328</v>
      </c>
      <c r="D17" s="4" t="n">
        <f aca="false">-D6*Assumptions!D18/100</f>
        <v>-28799.5725</v>
      </c>
      <c r="E17" s="4" t="n">
        <f aca="false">-E6*Assumptions!E18/100</f>
        <v>-27371.113704</v>
      </c>
      <c r="F17" s="4" t="n">
        <f aca="false">-F6*Assumptions!F18/100</f>
        <v>-25090.187562</v>
      </c>
      <c r="G17" s="4" t="n">
        <f aca="false">-G6*Assumptions!G18/100</f>
        <v>-24069.473113455</v>
      </c>
      <c r="H17" s="4" t="n">
        <f aca="false">-H6*Assumptions!H18/100</f>
        <v>-24189.8204790223</v>
      </c>
      <c r="I17" s="4" t="n">
        <f aca="false">-I6*Assumptions!I18/100</f>
        <v>-24310.7695814174</v>
      </c>
      <c r="J17" s="4" t="n">
        <f aca="false">-J6*Assumptions!J18/100</f>
        <v>-24432.3234293245</v>
      </c>
      <c r="K17" s="4" t="n">
        <f aca="false">-K6*Assumptions!K18/100</f>
        <v>-24554.4850464711</v>
      </c>
      <c r="L17" s="4" t="n">
        <f aca="false">-L6*Assumptions!L18/100</f>
        <v>-24677.2574717034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-671.058000000002</v>
      </c>
      <c r="D18" s="4" t="n">
        <f aca="false">(D6-C6)*Assumptions!$B$23/100</f>
        <v>-0</v>
      </c>
      <c r="E18" s="4" t="n">
        <f aca="false">(E6-D6)*Assumptions!$B$23/100</f>
        <v>230.396580000001</v>
      </c>
      <c r="F18" s="4" t="n">
        <f aca="false">(F6-E6)*Assumptions!$B$23/100</f>
        <v>-0</v>
      </c>
      <c r="G18" s="4" t="n">
        <f aca="false">(G6-F6)*Assumptions!$B$23/100</f>
        <v>-114.046307099998</v>
      </c>
      <c r="H18" s="4" t="n">
        <f aca="false">(H6-G6)*Assumptions!$B$23/100</f>
        <v>-114.616538635499</v>
      </c>
      <c r="I18" s="4" t="n">
        <f aca="false">(I6-H6)*Assumptions!$B$23/100</f>
        <v>-115.189621328676</v>
      </c>
      <c r="J18" s="4" t="n">
        <f aca="false">(J6-I6)*Assumptions!$B$23/100</f>
        <v>-115.765569435319</v>
      </c>
      <c r="K18" s="4" t="n">
        <f aca="false">(K6-J6)*Assumptions!$B$23/100</f>
        <v>-116.344397282496</v>
      </c>
      <c r="L18" s="4" t="n">
        <f aca="false">(L6-K6)*Assumptions!$B$23/100</f>
        <v>-116.926119268907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5982.7952304</v>
      </c>
      <c r="D19" s="0" t="n">
        <f aca="false">D15+D16+D17+D18</f>
        <v>2820.05413920001</v>
      </c>
      <c r="E19" s="0" t="n">
        <f aca="false">E15+E16+E17+E18</f>
        <v>3316.489650126</v>
      </c>
      <c r="F19" s="0" t="n">
        <f aca="false">F15+F16+F17+F18</f>
        <v>6153.938731116</v>
      </c>
      <c r="G19" s="0" t="n">
        <f aca="false">G15+G16+G17+G18</f>
        <v>7936.61936665752</v>
      </c>
      <c r="H19" s="0" t="n">
        <f aca="false">H15+H16+H17+H18</f>
        <v>7904.88489826702</v>
      </c>
      <c r="I19" s="0" t="n">
        <f aca="false">I15+I16+I17+I18</f>
        <v>7872.63466970847</v>
      </c>
      <c r="J19" s="0" t="n">
        <f aca="false">J15+J16+J17+J18</f>
        <v>7911.99784305701</v>
      </c>
      <c r="K19" s="0" t="n">
        <f aca="false">K15+K16+K17+K18</f>
        <v>7951.55783227229</v>
      </c>
      <c r="L19" s="0" t="n">
        <f aca="false">L15+L16+L17+L18</f>
        <v>7991.31562143365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5591.39741158878</v>
      </c>
      <c r="D21" s="0" t="n">
        <f aca="false">D19*D20</f>
        <v>2463.14450100446</v>
      </c>
      <c r="E21" s="0" t="n">
        <f aca="false">E19*E20</f>
        <v>2707.24346012834</v>
      </c>
      <c r="F21" s="0" t="n">
        <f aca="false">F19*F20</f>
        <v>4694.81039320222</v>
      </c>
      <c r="G21" s="0" t="n">
        <f aca="false">G19*G20</f>
        <v>5658.69992024924</v>
      </c>
      <c r="H21" s="0" t="n">
        <f aca="false">H19*H20</f>
        <v>5267.35858212481</v>
      </c>
      <c r="I21" s="0" t="n">
        <f aca="false">I19*I20</f>
        <v>4902.68120851263</v>
      </c>
      <c r="J21" s="0" t="n">
        <f aca="false">J19*J20</f>
        <v>4604.85477995812</v>
      </c>
      <c r="K21" s="0" t="n">
        <f aca="false">K19*K20</f>
        <v>4325.12061108216</v>
      </c>
      <c r="L21" s="0" t="n">
        <f aca="false">L19*L20</f>
        <v>4062.37963938091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44277.6905072317</v>
      </c>
    </row>
    <row r="31" customFormat="false" ht="15" hidden="false" customHeight="false" outlineLevel="0" collapsed="false">
      <c r="A31" s="0" t="s">
        <v>128</v>
      </c>
      <c r="B31" s="0" t="n">
        <f aca="false">L19</f>
        <v>7991.31562143365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123558.03383909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119869.734321505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119869.734321505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60935.6945907136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105213.385097945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63225.3850979453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664.697748062378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-0.622330824964558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664.697748062378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55388.0841347643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19.787715827497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4.8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2</v>
      </c>
      <c r="G5" s="4" t="n">
        <f aca="false">Assumptions!G27</f>
        <v>1.5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223686</v>
      </c>
      <c r="C6" s="0" t="n">
        <f aca="false">B6*(1+C5/100)</f>
        <v>234422.928</v>
      </c>
      <c r="D6" s="0" t="n">
        <f aca="false">C6*(1+D5/100)</f>
        <v>243799.84512</v>
      </c>
      <c r="E6" s="0" t="n">
        <f aca="false">D6*(1+E5/100)</f>
        <v>252332.8396992</v>
      </c>
      <c r="F6" s="0" t="n">
        <f aca="false">E6*(1+F5/100)</f>
        <v>257379.496493184</v>
      </c>
      <c r="G6" s="0" t="n">
        <f aca="false">F6*(1+G5/100)</f>
        <v>261240.188940582</v>
      </c>
      <c r="H6" s="0" t="n">
        <f aca="false">G6*(1+H5/100)</f>
        <v>263852.590829988</v>
      </c>
      <c r="I6" s="0" t="n">
        <f aca="false">H6*(1+I5/100)</f>
        <v>266491.116738287</v>
      </c>
      <c r="J6" s="0" t="n">
        <f aca="false">I6*(1+J5/100)</f>
        <v>269156.02790567</v>
      </c>
      <c r="K6" s="0" t="n">
        <f aca="false">J6*(1+K5/100)</f>
        <v>271847.588184727</v>
      </c>
      <c r="L6" s="0" t="n">
        <f aca="false">K6*(1+L5/100)</f>
        <v>274566.064066574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16.8</v>
      </c>
      <c r="D7" s="4" t="n">
        <f aca="false">Assumptions!D28</f>
        <v>17.4</v>
      </c>
      <c r="E7" s="4" t="n">
        <f aca="false">Assumptions!E28</f>
        <v>18</v>
      </c>
      <c r="F7" s="4" t="n">
        <f aca="false">Assumptions!F28</f>
        <v>18</v>
      </c>
      <c r="G7" s="4" t="n">
        <f aca="false">Assumptions!G28</f>
        <v>18</v>
      </c>
      <c r="H7" s="4" t="n">
        <f aca="false">Assumptions!H28</f>
        <v>17.8</v>
      </c>
      <c r="I7" s="4" t="n">
        <f aca="false">Assumptions!I28</f>
        <v>17.6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39383.051904</v>
      </c>
      <c r="D8" s="0" t="n">
        <f aca="false">D6*D7/100</f>
        <v>42421.17305088</v>
      </c>
      <c r="E8" s="0" t="n">
        <f aca="false">E6*E7/100</f>
        <v>45419.911145856</v>
      </c>
      <c r="F8" s="0" t="n">
        <f aca="false">F6*F7/100</f>
        <v>46328.3093687731</v>
      </c>
      <c r="G8" s="0" t="n">
        <f aca="false">G6*G7/100</f>
        <v>47023.2340093047</v>
      </c>
      <c r="H8" s="0" t="n">
        <f aca="false">H6*H7/100</f>
        <v>46965.7611677378</v>
      </c>
      <c r="I8" s="0" t="n">
        <f aca="false">I6*I7/100</f>
        <v>46902.4365459386</v>
      </c>
      <c r="J8" s="0" t="n">
        <f aca="false">J6*J7/100</f>
        <v>47102.3048834923</v>
      </c>
      <c r="K8" s="0" t="n">
        <f aca="false">K6*K7/100</f>
        <v>47573.3279323272</v>
      </c>
      <c r="L8" s="0" t="n">
        <f aca="false">L6*L7/100</f>
        <v>48049.0612116505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39383.051904</v>
      </c>
      <c r="D11" s="0" t="n">
        <f aca="false">D8+D10+D24</f>
        <v>42421.17305088</v>
      </c>
      <c r="E11" s="0" t="n">
        <f aca="false">E8+E10+E24</f>
        <v>45419.911145856</v>
      </c>
      <c r="F11" s="0" t="n">
        <f aca="false">F8+F10+F24</f>
        <v>46328.3093687731</v>
      </c>
      <c r="G11" s="0" t="n">
        <f aca="false">G8+G10+G24</f>
        <v>47023.2340093047</v>
      </c>
      <c r="H11" s="0" t="n">
        <f aca="false">H8+H10+H24</f>
        <v>46965.7611677378</v>
      </c>
      <c r="I11" s="0" t="n">
        <f aca="false">I8+I10+I24</f>
        <v>46902.4365459386</v>
      </c>
      <c r="J11" s="0" t="n">
        <f aca="false">J8+J10+J24</f>
        <v>47102.3048834923</v>
      </c>
      <c r="K11" s="0" t="n">
        <f aca="false">K8+K10+K24</f>
        <v>47573.3279323272</v>
      </c>
      <c r="L11" s="0" t="n">
        <f aca="false">L8+L10+L24</f>
        <v>48049.0612116505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-24379.984512</v>
      </c>
      <c r="D12" s="4" t="n">
        <f aca="false">-D6*Assumptions!D31/100</f>
        <v>-25598.9837376</v>
      </c>
      <c r="E12" s="4" t="n">
        <f aca="false">-E6*Assumptions!E31/100</f>
        <v>-26747.2810081152</v>
      </c>
      <c r="F12" s="4" t="n">
        <f aca="false">-F6*Assumptions!F31/100</f>
        <v>-27282.2266282775</v>
      </c>
      <c r="G12" s="4" t="n">
        <f aca="false">-G6*Assumptions!G31/100</f>
        <v>-27430.2198387611</v>
      </c>
      <c r="H12" s="4" t="n">
        <f aca="false">-H6*Assumptions!H31/100</f>
        <v>-27704.5220371487</v>
      </c>
      <c r="I12" s="4" t="n">
        <f aca="false">-I6*Assumptions!I31/100</f>
        <v>-27715.0761407819</v>
      </c>
      <c r="J12" s="4" t="n">
        <f aca="false">-J6*Assumptions!J31/100</f>
        <v>-27992.2269021897</v>
      </c>
      <c r="K12" s="4" t="n">
        <f aca="false">-K6*Assumptions!K31/100</f>
        <v>-28000.3015830269</v>
      </c>
      <c r="L12" s="4" t="n">
        <f aca="false">-L6*Assumptions!L31/100</f>
        <v>-28280.3045988572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15003.067392</v>
      </c>
      <c r="D13" s="0" t="n">
        <f aca="false">D11+D12</f>
        <v>16822.18931328</v>
      </c>
      <c r="E13" s="0" t="n">
        <f aca="false">E11+E12</f>
        <v>18672.6301377408</v>
      </c>
      <c r="F13" s="0" t="n">
        <f aca="false">F11+F12</f>
        <v>19046.0827404956</v>
      </c>
      <c r="G13" s="0" t="n">
        <f aca="false">G11+G12</f>
        <v>19593.0141705436</v>
      </c>
      <c r="H13" s="0" t="n">
        <f aca="false">H11+H12</f>
        <v>19261.2391305891</v>
      </c>
      <c r="I13" s="0" t="n">
        <f aca="false">I11+I12</f>
        <v>19187.3604051567</v>
      </c>
      <c r="J13" s="0" t="n">
        <f aca="false">J11+J12</f>
        <v>19110.0779813026</v>
      </c>
      <c r="K13" s="0" t="n">
        <f aca="false">K11+K12</f>
        <v>19573.0263493004</v>
      </c>
      <c r="L13" s="0" t="n">
        <f aca="false">L11+L12</f>
        <v>19768.7566127934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27</v>
      </c>
      <c r="D14" s="4" t="n">
        <f aca="false">Assumptions!D33</f>
        <v>29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10952.23919616</v>
      </c>
      <c r="D15" s="0" t="n">
        <f aca="false">D13-MAX(0,D13)*D14/100</f>
        <v>11943.7544124288</v>
      </c>
      <c r="E15" s="0" t="n">
        <f aca="false">E13-MAX(0,E13)*E14/100</f>
        <v>12884.1147950412</v>
      </c>
      <c r="F15" s="0" t="n">
        <f aca="false">F13-MAX(0,F13)*F14/100</f>
        <v>13141.797090942</v>
      </c>
      <c r="G15" s="0" t="n">
        <f aca="false">G13-MAX(0,G13)*G14/100</f>
        <v>13519.1797776751</v>
      </c>
      <c r="H15" s="0" t="n">
        <f aca="false">H13-MAX(0,H13)*H14/100</f>
        <v>13290.2550001065</v>
      </c>
      <c r="I15" s="0" t="n">
        <f aca="false">I13-MAX(0,I13)*I14/100</f>
        <v>13239.2786795581</v>
      </c>
      <c r="J15" s="0" t="n">
        <f aca="false">J13-MAX(0,J13)*J14/100</f>
        <v>13185.9538070988</v>
      </c>
      <c r="K15" s="0" t="n">
        <f aca="false">K13-MAX(0,K13)*K14/100</f>
        <v>13505.3881810172</v>
      </c>
      <c r="L15" s="0" t="n">
        <f aca="false">L13-MAX(0,L13)*L14/100</f>
        <v>13640.4420628274</v>
      </c>
    </row>
    <row r="16" customFormat="false" ht="15" hidden="false" customHeight="false" outlineLevel="0" collapsed="false">
      <c r="A16" s="0" t="s">
        <v>119</v>
      </c>
      <c r="C16" s="0" t="n">
        <f aca="false">-C12</f>
        <v>24379.984512</v>
      </c>
      <c r="D16" s="0" t="n">
        <f aca="false">-D12</f>
        <v>25598.9837376</v>
      </c>
      <c r="E16" s="0" t="n">
        <f aca="false">-E12</f>
        <v>26747.2810081152</v>
      </c>
      <c r="F16" s="0" t="n">
        <f aca="false">-F12</f>
        <v>27282.2266282775</v>
      </c>
      <c r="G16" s="0" t="n">
        <f aca="false">-G12</f>
        <v>27430.2198387611</v>
      </c>
      <c r="H16" s="0" t="n">
        <f aca="false">-H12</f>
        <v>27704.5220371487</v>
      </c>
      <c r="I16" s="0" t="n">
        <f aca="false">-I12</f>
        <v>27715.0761407819</v>
      </c>
      <c r="J16" s="0" t="n">
        <f aca="false">-J12</f>
        <v>27992.2269021897</v>
      </c>
      <c r="K16" s="0" t="n">
        <f aca="false">-K12</f>
        <v>28000.3015830269</v>
      </c>
      <c r="L16" s="0" t="n">
        <f aca="false">-L12</f>
        <v>28280.3045988572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-27193.059648</v>
      </c>
      <c r="D17" s="4" t="n">
        <f aca="false">-D6*Assumptions!D32/100</f>
        <v>-31693.9798656</v>
      </c>
      <c r="E17" s="4" t="n">
        <f aca="false">-E6*Assumptions!E32/100</f>
        <v>-32803.269160896</v>
      </c>
      <c r="F17" s="4" t="n">
        <f aca="false">-F6*Assumptions!F32/100</f>
        <v>-30885.5395791821</v>
      </c>
      <c r="G17" s="4" t="n">
        <f aca="false">-G6*Assumptions!G32/100</f>
        <v>-28736.420783464</v>
      </c>
      <c r="H17" s="4" t="n">
        <f aca="false">-H6*Assumptions!H32/100</f>
        <v>-27704.5220371487</v>
      </c>
      <c r="I17" s="4" t="n">
        <f aca="false">-I6*Assumptions!I32/100</f>
        <v>-27981.5672575202</v>
      </c>
      <c r="J17" s="4" t="n">
        <f aca="false">-J6*Assumptions!J32/100</f>
        <v>-28261.3829300954</v>
      </c>
      <c r="K17" s="4" t="n">
        <f aca="false">-K6*Assumptions!K32/100</f>
        <v>-28543.9967593963</v>
      </c>
      <c r="L17" s="4" t="n">
        <f aca="false">-L6*Assumptions!L32/100</f>
        <v>-28829.4367269903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-1073.6928</v>
      </c>
      <c r="D18" s="4" t="n">
        <f aca="false">(D6-C6)*Assumptions!$B$37/100</f>
        <v>-937.691712</v>
      </c>
      <c r="E18" s="4" t="n">
        <f aca="false">(E6-D6)*Assumptions!$B$37/100</f>
        <v>-853.299457919999</v>
      </c>
      <c r="F18" s="4" t="n">
        <f aca="false">(F6-E6)*Assumptions!$B$37/100</f>
        <v>-504.6656793984</v>
      </c>
      <c r="G18" s="4" t="n">
        <f aca="false">(G6-F6)*Assumptions!$B$37/100</f>
        <v>-386.069244739774</v>
      </c>
      <c r="H18" s="4" t="n">
        <f aca="false">(H6-G6)*Assumptions!$B$37/100</f>
        <v>-261.24018894058</v>
      </c>
      <c r="I18" s="4" t="n">
        <f aca="false">(I6-H6)*Assumptions!$B$37/100</f>
        <v>-263.85259082999</v>
      </c>
      <c r="J18" s="4" t="n">
        <f aca="false">(J6-I6)*Assumptions!$B$37/100</f>
        <v>-266.49111673829</v>
      </c>
      <c r="K18" s="4" t="n">
        <f aca="false">(K6-J6)*Assumptions!$B$37/100</f>
        <v>-269.156027905672</v>
      </c>
      <c r="L18" s="4" t="n">
        <f aca="false">(L6-K6)*Assumptions!$B$37/100</f>
        <v>-271.847588184726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7065.47126016</v>
      </c>
      <c r="D19" s="0" t="n">
        <f aca="false">D15+D16+D17+D18</f>
        <v>4911.06657242879</v>
      </c>
      <c r="E19" s="0" t="n">
        <f aca="false">E15+E16+E17+E18</f>
        <v>5974.82718434035</v>
      </c>
      <c r="F19" s="0" t="n">
        <f aca="false">F15+F16+F17+F18</f>
        <v>9033.818460639</v>
      </c>
      <c r="G19" s="0" t="n">
        <f aca="false">G15+G16+G17+G18</f>
        <v>11826.9095882324</v>
      </c>
      <c r="H19" s="0" t="n">
        <f aca="false">H15+H16+H17+H18</f>
        <v>13029.0148111659</v>
      </c>
      <c r="I19" s="0" t="n">
        <f aca="false">I15+I16+I17+I18</f>
        <v>12708.9349719899</v>
      </c>
      <c r="J19" s="0" t="n">
        <f aca="false">J15+J16+J17+J18</f>
        <v>12650.3066624548</v>
      </c>
      <c r="K19" s="0" t="n">
        <f aca="false">K15+K16+K17+K18</f>
        <v>12692.5369767421</v>
      </c>
      <c r="L19" s="0" t="n">
        <f aca="false">L15+L16+L17+L18</f>
        <v>12819.4623465095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6603.24416837383</v>
      </c>
      <c r="D21" s="0" t="n">
        <f aca="false">D19*D20</f>
        <v>4289.51574148729</v>
      </c>
      <c r="E21" s="0" t="n">
        <f aca="false">E19*E20</f>
        <v>4877.23874536678</v>
      </c>
      <c r="F21" s="0" t="n">
        <f aca="false">F19*F20</f>
        <v>6891.85685012803</v>
      </c>
      <c r="G21" s="0" t="n">
        <f aca="false">G19*G20</f>
        <v>8432.4230824126</v>
      </c>
      <c r="H21" s="0" t="n">
        <f aca="false">H19*H20</f>
        <v>8681.78270341056</v>
      </c>
      <c r="I21" s="0" t="n">
        <f aca="false">I19*I20</f>
        <v>7914.48597343473</v>
      </c>
      <c r="J21" s="0" t="n">
        <f aca="false">J19*J20</f>
        <v>7362.59365308847</v>
      </c>
      <c r="K21" s="0" t="n">
        <f aca="false">K19*K20</f>
        <v>6903.89914064703</v>
      </c>
      <c r="L21" s="0" t="n">
        <f aca="false">L19*L20</f>
        <v>6516.76460939579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68473.8046677451</v>
      </c>
    </row>
    <row r="31" customFormat="false" ht="15" hidden="false" customHeight="false" outlineLevel="0" collapsed="false">
      <c r="A31" s="0" t="s">
        <v>128</v>
      </c>
      <c r="B31" s="0" t="n">
        <f aca="false">L19</f>
        <v>12819.4623465095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215794.282832911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192291.935197643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192291.935197643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97751.4691409369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166225.273808682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124237.273808682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1306.12468390839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-0.257883702324779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1306.12468390839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92483.2640712474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284.131346150091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4.8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3</v>
      </c>
      <c r="G5" s="4" t="n">
        <f aca="false">Assumptions!G41</f>
        <v>2.5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1.5</v>
      </c>
      <c r="K5" s="4" t="n">
        <f aca="false">Assumptions!K41</f>
        <v>1.5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37</v>
      </c>
      <c r="B6" s="3" t="n">
        <v>223686</v>
      </c>
      <c r="C6" s="0" t="n">
        <f aca="false">B6*(1+C5/100)</f>
        <v>234422.928</v>
      </c>
      <c r="D6" s="0" t="n">
        <f aca="false">C6*(1+D5/100)</f>
        <v>244971.95976</v>
      </c>
      <c r="E6" s="0" t="n">
        <f aca="false">D6*(1+E5/100)</f>
        <v>255995.6979492</v>
      </c>
      <c r="F6" s="0" t="n">
        <f aca="false">E6*(1+F5/100)</f>
        <v>263675.568887676</v>
      </c>
      <c r="G6" s="0" t="n">
        <f aca="false">F6*(1+G5/100)</f>
        <v>270267.458109868</v>
      </c>
      <c r="H6" s="0" t="n">
        <f aca="false">G6*(1+H5/100)</f>
        <v>275672.807272065</v>
      </c>
      <c r="I6" s="0" t="n">
        <f aca="false">H6*(1+I5/100)</f>
        <v>281186.263417507</v>
      </c>
      <c r="J6" s="0" t="n">
        <f aca="false">I6*(1+J5/100)</f>
        <v>285404.057368769</v>
      </c>
      <c r="K6" s="0" t="n">
        <f aca="false">J6*(1+K5/100)</f>
        <v>289685.118229301</v>
      </c>
      <c r="L6" s="0" t="n">
        <f aca="false">K6*(1+L5/100)</f>
        <v>294030.39500274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17</v>
      </c>
      <c r="D7" s="4" t="n">
        <f aca="false">Assumptions!D42</f>
        <v>18.8</v>
      </c>
      <c r="E7" s="4" t="n">
        <f aca="false">Assumptions!E42</f>
        <v>20.4</v>
      </c>
      <c r="F7" s="4" t="n">
        <f aca="false">Assumptions!F42</f>
        <v>20.4</v>
      </c>
      <c r="G7" s="4" t="n">
        <f aca="false">Assumptions!G42</f>
        <v>20.4</v>
      </c>
      <c r="H7" s="4" t="n">
        <f aca="false">Assumptions!H42</f>
        <v>20.2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39851.89776</v>
      </c>
      <c r="D8" s="0" t="n">
        <f aca="false">D6*D7/100</f>
        <v>46054.72843488</v>
      </c>
      <c r="E8" s="0" t="n">
        <f aca="false">E6*E7/100</f>
        <v>52223.1223816368</v>
      </c>
      <c r="F8" s="0" t="n">
        <f aca="false">F6*F7/100</f>
        <v>53789.8160530859</v>
      </c>
      <c r="G8" s="0" t="n">
        <f aca="false">G6*G7/100</f>
        <v>55134.561454413</v>
      </c>
      <c r="H8" s="0" t="n">
        <f aca="false">H6*H7/100</f>
        <v>55685.9070689572</v>
      </c>
      <c r="I8" s="0" t="n">
        <f aca="false">I6*I7/100</f>
        <v>56237.2526835013</v>
      </c>
      <c r="J8" s="0" t="n">
        <f aca="false">J6*J7/100</f>
        <v>57080.8114737538</v>
      </c>
      <c r="K8" s="0" t="n">
        <f aca="false">K6*K7/100</f>
        <v>57937.0236458601</v>
      </c>
      <c r="L8" s="0" t="n">
        <f aca="false">L6*L7/100</f>
        <v>58806.079000548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39851.89776</v>
      </c>
      <c r="D11" s="0" t="n">
        <f aca="false">D8+D10+D24</f>
        <v>46054.72843488</v>
      </c>
      <c r="E11" s="0" t="n">
        <f aca="false">E8+E10+E24</f>
        <v>52223.1223816368</v>
      </c>
      <c r="F11" s="0" t="n">
        <f aca="false">F8+F10+F24</f>
        <v>53789.8160530859</v>
      </c>
      <c r="G11" s="0" t="n">
        <f aca="false">G8+G10+G24</f>
        <v>55134.561454413</v>
      </c>
      <c r="H11" s="0" t="n">
        <f aca="false">H8+H10+H24</f>
        <v>55685.9070689572</v>
      </c>
      <c r="I11" s="0" t="n">
        <f aca="false">I8+I10+I24</f>
        <v>56237.2526835013</v>
      </c>
      <c r="J11" s="0" t="n">
        <f aca="false">J8+J10+J24</f>
        <v>57080.8114737538</v>
      </c>
      <c r="K11" s="0" t="n">
        <f aca="false">K8+K10+K24</f>
        <v>57937.0236458601</v>
      </c>
      <c r="L11" s="0" t="n">
        <f aca="false">L8+L10+L24</f>
        <v>58806.079000548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-24379.984512</v>
      </c>
      <c r="D12" s="4" t="n">
        <f aca="false">-D6*Assumptions!D45/100</f>
        <v>-25722.0557748</v>
      </c>
      <c r="E12" s="4" t="n">
        <f aca="false">-E6*Assumptions!E45/100</f>
        <v>-26879.548284666</v>
      </c>
      <c r="F12" s="4" t="n">
        <f aca="false">-F6*Assumptions!F45/100</f>
        <v>-27685.934733206</v>
      </c>
      <c r="G12" s="4" t="n">
        <f aca="false">-G6*Assumptions!G45/100</f>
        <v>-28378.0831015361</v>
      </c>
      <c r="H12" s="4" t="n">
        <f aca="false">-H6*Assumptions!H45/100</f>
        <v>-28669.9719562948</v>
      </c>
      <c r="I12" s="4" t="n">
        <f aca="false">-I6*Assumptions!I45/100</f>
        <v>-29243.3713954207</v>
      </c>
      <c r="J12" s="4" t="n">
        <f aca="false">-J6*Assumptions!J45/100</f>
        <v>-29396.6179089832</v>
      </c>
      <c r="K12" s="4" t="n">
        <f aca="false">-K6*Assumptions!K45/100</f>
        <v>-29837.567177618</v>
      </c>
      <c r="L12" s="4" t="n">
        <f aca="false">-L6*Assumptions!L45/100</f>
        <v>-30285.1306852822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15471.913248</v>
      </c>
      <c r="D13" s="0" t="n">
        <f aca="false">D11+D12</f>
        <v>20332.67266008</v>
      </c>
      <c r="E13" s="0" t="n">
        <f aca="false">E11+E12</f>
        <v>25343.5740969708</v>
      </c>
      <c r="F13" s="0" t="n">
        <f aca="false">F11+F12</f>
        <v>26103.8813198799</v>
      </c>
      <c r="G13" s="0" t="n">
        <f aca="false">G11+G12</f>
        <v>26756.4783528769</v>
      </c>
      <c r="H13" s="0" t="n">
        <f aca="false">H11+H12</f>
        <v>27015.9351126624</v>
      </c>
      <c r="I13" s="0" t="n">
        <f aca="false">I11+I12</f>
        <v>26993.8812880806</v>
      </c>
      <c r="J13" s="0" t="n">
        <f aca="false">J11+J12</f>
        <v>27684.1935647706</v>
      </c>
      <c r="K13" s="0" t="n">
        <f aca="false">K11+K12</f>
        <v>28099.4564682422</v>
      </c>
      <c r="L13" s="0" t="n">
        <f aca="false">L11+L12</f>
        <v>28520.9483152658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27</v>
      </c>
      <c r="D14" s="4" t="n">
        <f aca="false">Assumptions!D47</f>
        <v>29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11294.49667104</v>
      </c>
      <c r="D15" s="0" t="n">
        <f aca="false">D13-MAX(0,D13)*D14/100</f>
        <v>14436.1975886568</v>
      </c>
      <c r="E15" s="0" t="n">
        <f aca="false">E13-MAX(0,E13)*E14/100</f>
        <v>17487.0661269098</v>
      </c>
      <c r="F15" s="0" t="n">
        <f aca="false">F13-MAX(0,F13)*F14/100</f>
        <v>18011.6781107171</v>
      </c>
      <c r="G15" s="0" t="n">
        <f aca="false">G13-MAX(0,G13)*G14/100</f>
        <v>18461.9700634851</v>
      </c>
      <c r="H15" s="0" t="n">
        <f aca="false">H13-MAX(0,H13)*H14/100</f>
        <v>18640.9952277371</v>
      </c>
      <c r="I15" s="0" t="n">
        <f aca="false">I13-MAX(0,I13)*I14/100</f>
        <v>18625.7780887756</v>
      </c>
      <c r="J15" s="0" t="n">
        <f aca="false">J13-MAX(0,J13)*J14/100</f>
        <v>19102.0935596917</v>
      </c>
      <c r="K15" s="0" t="n">
        <f aca="false">K13-MAX(0,K13)*K14/100</f>
        <v>19388.6249630871</v>
      </c>
      <c r="L15" s="0" t="n">
        <f aca="false">L13-MAX(0,L13)*L14/100</f>
        <v>19679.4543375334</v>
      </c>
    </row>
    <row r="16" customFormat="false" ht="15" hidden="false" customHeight="false" outlineLevel="0" collapsed="false">
      <c r="A16" s="0" t="s">
        <v>119</v>
      </c>
      <c r="C16" s="0" t="n">
        <f aca="false">-C12</f>
        <v>24379.984512</v>
      </c>
      <c r="D16" s="0" t="n">
        <f aca="false">-D12</f>
        <v>25722.0557748</v>
      </c>
      <c r="E16" s="0" t="n">
        <f aca="false">-E12</f>
        <v>26879.548284666</v>
      </c>
      <c r="F16" s="0" t="n">
        <f aca="false">-F12</f>
        <v>27685.934733206</v>
      </c>
      <c r="G16" s="0" t="n">
        <f aca="false">-G12</f>
        <v>28378.0831015361</v>
      </c>
      <c r="H16" s="0" t="n">
        <f aca="false">-H12</f>
        <v>28669.9719562948</v>
      </c>
      <c r="I16" s="0" t="n">
        <f aca="false">-I12</f>
        <v>29243.3713954207</v>
      </c>
      <c r="J16" s="0" t="n">
        <f aca="false">-J12</f>
        <v>29396.6179089832</v>
      </c>
      <c r="K16" s="0" t="n">
        <f aca="false">-K12</f>
        <v>29837.567177618</v>
      </c>
      <c r="L16" s="0" t="n">
        <f aca="false">-L12</f>
        <v>30285.1306852822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-27193.059648</v>
      </c>
      <c r="D17" s="4" t="n">
        <f aca="false">-D6*Assumptions!D46/100</f>
        <v>-31846.3547688</v>
      </c>
      <c r="E17" s="4" t="n">
        <f aca="false">-E6*Assumptions!E46/100</f>
        <v>-31999.46224365</v>
      </c>
      <c r="F17" s="4" t="n">
        <f aca="false">-F6*Assumptions!F46/100</f>
        <v>-30322.6904220827</v>
      </c>
      <c r="G17" s="4" t="n">
        <f aca="false">-G6*Assumptions!G46/100</f>
        <v>-29729.4203920855</v>
      </c>
      <c r="H17" s="4" t="n">
        <f aca="false">-H6*Assumptions!H46/100</f>
        <v>-28945.6447635669</v>
      </c>
      <c r="I17" s="4" t="n">
        <f aca="false">-I6*Assumptions!I46/100</f>
        <v>-29524.5576588382</v>
      </c>
      <c r="J17" s="4" t="n">
        <f aca="false">-J6*Assumptions!J46/100</f>
        <v>-29967.4260237208</v>
      </c>
      <c r="K17" s="4" t="n">
        <f aca="false">-K6*Assumptions!K46/100</f>
        <v>-30416.9374140766</v>
      </c>
      <c r="L17" s="4" t="n">
        <f aca="false">-L6*Assumptions!L46/100</f>
        <v>-30873.1914752877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-1073.6928</v>
      </c>
      <c r="D18" s="4" t="n">
        <f aca="false">(D6-C6)*Assumptions!$B$51/100</f>
        <v>-1054.903176</v>
      </c>
      <c r="E18" s="4" t="n">
        <f aca="false">(E6-D6)*Assumptions!$B$51/100</f>
        <v>-1102.37381892</v>
      </c>
      <c r="F18" s="4" t="n">
        <f aca="false">(F6-E6)*Assumptions!$B$51/100</f>
        <v>-767.987093847603</v>
      </c>
      <c r="G18" s="4" t="n">
        <f aca="false">(G6-F6)*Assumptions!$B$51/100</f>
        <v>-659.188922219188</v>
      </c>
      <c r="H18" s="4" t="n">
        <f aca="false">(H6-G6)*Assumptions!$B$51/100</f>
        <v>-540.534916219738</v>
      </c>
      <c r="I18" s="4" t="n">
        <f aca="false">(I6-H6)*Assumptions!$B$51/100</f>
        <v>-551.345614544134</v>
      </c>
      <c r="J18" s="4" t="n">
        <f aca="false">(J6-I6)*Assumptions!$B$51/100</f>
        <v>-421.779395126255</v>
      </c>
      <c r="K18" s="4" t="n">
        <f aca="false">(K6-J6)*Assumptions!$B$51/100</f>
        <v>-428.106086053152</v>
      </c>
      <c r="L18" s="4" t="n">
        <f aca="false">(L6-K6)*Assumptions!$B$51/100</f>
        <v>-434.527677343949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7407.72873504</v>
      </c>
      <c r="D19" s="0" t="n">
        <f aca="false">D15+D16+D17+D18</f>
        <v>7256.99541865681</v>
      </c>
      <c r="E19" s="0" t="n">
        <f aca="false">E15+E16+E17+E18</f>
        <v>11264.7783490058</v>
      </c>
      <c r="F19" s="0" t="n">
        <f aca="false">F15+F16+F17+F18</f>
        <v>14606.9353279928</v>
      </c>
      <c r="G19" s="0" t="n">
        <f aca="false">G15+G16+G17+G18</f>
        <v>16451.4438507165</v>
      </c>
      <c r="H19" s="0" t="n">
        <f aca="false">H15+H16+H17+H18</f>
        <v>17824.7875042453</v>
      </c>
      <c r="I19" s="0" t="n">
        <f aca="false">I15+I16+I17+I18</f>
        <v>17793.246210814</v>
      </c>
      <c r="J19" s="0" t="n">
        <f aca="false">J15+J16+J17+J18</f>
        <v>18109.5060498279</v>
      </c>
      <c r="K19" s="0" t="n">
        <f aca="false">K15+K16+K17+K18</f>
        <v>18381.1486405753</v>
      </c>
      <c r="L19" s="0" t="n">
        <f aca="false">L15+L16+L17+L18</f>
        <v>18656.865870184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6923.1109673271</v>
      </c>
      <c r="D21" s="0" t="n">
        <f aca="false">D19*D20</f>
        <v>6338.54084955612</v>
      </c>
      <c r="E21" s="0" t="n">
        <f aca="false">E19*E20</f>
        <v>9195.41464993951</v>
      </c>
      <c r="F21" s="0" t="n">
        <f aca="false">F19*F20</f>
        <v>11143.5610244135</v>
      </c>
      <c r="G21" s="0" t="n">
        <f aca="false">G19*G20</f>
        <v>11729.6520981125</v>
      </c>
      <c r="H21" s="0" t="n">
        <f aca="false">H19*H20</f>
        <v>11877.4085446356</v>
      </c>
      <c r="I21" s="0" t="n">
        <f aca="false">I19*I20</f>
        <v>11080.7394850734</v>
      </c>
      <c r="J21" s="0" t="n">
        <f aca="false">J19*J20</f>
        <v>10539.8974001755</v>
      </c>
      <c r="K21" s="0" t="n">
        <f aca="false">K19*K20</f>
        <v>9998.12697306367</v>
      </c>
      <c r="L21" s="0" t="n">
        <f aca="false">L19*L20</f>
        <v>9484.2045585604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98310.6565508573</v>
      </c>
    </row>
    <row r="31" customFormat="false" ht="15" hidden="false" customHeight="false" outlineLevel="0" collapsed="false">
      <c r="A31" s="0" t="s">
        <v>128</v>
      </c>
      <c r="B31" s="0" t="n">
        <f aca="false">L19</f>
        <v>18656.865870184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344303.979240668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279852.98805276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279852.98805276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142263.068378406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240573.724929263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198585.724929263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2087.76085670858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0.18622775949351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2087.76085670858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140271.991542494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617.159735459711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664.697748062378</v>
      </c>
      <c r="C4" s="0" t="n">
        <f aca="false">B4/Assumptions!$B$2-1</f>
        <v>-0.622330824964558</v>
      </c>
      <c r="D4" s="4" t="n">
        <f aca="false">Assumptions!$B$24</f>
        <v>0.25</v>
      </c>
      <c r="E4" s="4" t="n">
        <f aca="false">DCF_Bear!$B$43</f>
        <v>664.697748062378</v>
      </c>
      <c r="F4" s="4" t="n">
        <f aca="false">DCF_Bear!$B$47</f>
        <v>19.787715827497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1306.12468390839</v>
      </c>
      <c r="C5" s="0" t="n">
        <f aca="false">B5/Assumptions!$B$2-1</f>
        <v>-0.257883702324779</v>
      </c>
      <c r="D5" s="4" t="n">
        <f aca="false">Assumptions!$B$38</f>
        <v>0.5</v>
      </c>
      <c r="E5" s="4" t="n">
        <f aca="false">DCF_Base!$B$43</f>
        <v>1306.12468390839</v>
      </c>
      <c r="F5" s="4" t="n">
        <f aca="false">DCF_Base!$B$47</f>
        <v>284.131346150091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2087.76085670858</v>
      </c>
      <c r="C6" s="0" t="n">
        <f aca="false">B6/Assumptions!$B$2-1</f>
        <v>0.18622775949351</v>
      </c>
      <c r="D6" s="4" t="n">
        <f aca="false">Assumptions!$B$52</f>
        <v>0.25</v>
      </c>
      <c r="E6" s="4" t="n">
        <f aca="false">DCF_Bull!$B$43</f>
        <v>2087.76085670858</v>
      </c>
      <c r="F6" s="4" t="n">
        <f aca="false">DCF_Bull!$B$47</f>
        <v>617.159735459711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1341.17699314693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1341.17699314693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-0.312280190454462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301.302535896848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1306.12468390839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925.38790639077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757.630431217095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624.000542899625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515.166626430923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284.131346150091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1602.98813451664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1602.98813451664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1602.98813451664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1602.98813451664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1602.98813451664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1447.43142860566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1447.43142860566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1447.43142860566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1447.43142860566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1447.43142860566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1257.1877537067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1306.12468390839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1306.12468390839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1306.12468390839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1306.12468390839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1021.54611734066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1077.72944907969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1141.93897106715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1177.61092772686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1177.61092772686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839.202931914409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879.760566962108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925.38790639077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977.098891076586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1036.19715928895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2026-10-31T08:13:24Z</dcterms:created>
  <dc:creator>openpyxl</dc:creator>
  <dc:description/>
  <dc:language>en-NZ</dc:language>
  <cp:lastModifiedBy/>
  <dcterms:modified xsi:type="dcterms:W3CDTF">2026-10-31T08:13:24Z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