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<sst xmlns="http://schemas.openxmlformats.org/spreadsheetml/2006/main" count="353" uniqueCount="163">
  <si>
    <t xml:space="preserve">Ticker</t>
  </si>
  <si>
    <t xml:space="preserve">1766.HK</t>
  </si>
  <si>
    <t xml:space="preserve">Company</t>
  </si>
  <si>
    <t xml:space="preserve">CRRC Corporation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</si>
  <si>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</si>
  <si>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</si>
  <si>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</si>
  <si>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</si>
  <si>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</si>
  <si>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</si>
  <si>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</si>
  <si>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</si>
  <si>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</si>
  <si>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</si>
  <si>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</si>
  <si>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</si>
  <si>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</si>
  <si>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</si>
  <si>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</si>
  <si>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</si>
  <si>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</si>
  <si>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</si>
  <si>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2026-10-16T16:38:05Z</t>
  </si>
  <si>
    <t xml:space="preserve">Drivers file</t>
  </si>
  <si>
    <t xml:space="preserve">1766.HK_Drivers.json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</si>
  <si>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</si>
  <si>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</si>
  <si>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</si>
  <si>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CRRC is valued as a mature, net-cash, SOE-controlled industrial whose cash flows accrue to shareholders only after a 22% NCI take and a 50% payout to a controlling parent's agenda. The component build strips interest income (cash is in the bridge), charges NCI once through a combined leakage rate, holds the share count flat (no SBC, no buybacks), and caps the terminal value at 12x owner FCF rather than the 15.8x Gordon implies at 9%/2.5%, because the stock's own history (3-6x EV/EBITDA, 8-15x P/E) says no buyer grants a compounder multiple to a single-customer rail supplier. Risk is carried in the flows and in a 30% bear weight, not in the discount rate. The H-share's 27.5% discount to the A-share is treated as the market's governance/SOE discount and is deliberately not modelled as an FX or value difference: the valuation is of the underlying RMB cash flows, converted at spot.
key_risks_to_valuation: Customer concentration: China State Railway Group 43.6% of FY2025 revenue (top 5 = 48.0%); a procurement-policy change (overhaul-cycle extension, price concessions) moves both the growth and margin paths at once; Working-capital drift: H1 FY2026 OCF -RMB16.1bn (vs -9.0bn); if the FY2026 full-year does not recover to the ~RMB20-25bn range the base-case 10% capture is too light; Terminal cap judgment: the 12x cap binds in every scenario; at 15x the base value is materially higher, and the whole gap to the Gordon value is the price of a re-rating that the H-share market has never granted; SOE governance and related-party consolidation (CRRC Zhicheng and Beijing Equipment acquired from parent in 2025) can divert cash to non-economic uses; the 50% payout ratio is policy, not a commitment; Overseas regulatory exclusion: EU Foreign Subsidies Regulation precedent could spread to other Western-aligned tenders, capping the only segment growing above 20%; FX: per-share value converts RMB to HKD at a dated spot rate (CNYHKD 1.1727, 2026-10-16); refresh_price.py moves the price but not the rate; New-energy margin: the wind-turbine price war and PV inverter competition could hold the segment at a structurally lower margin than rail equipment, diluting the group margin as the mix shifts</t>
  </si>
  <si>
    <t xml:space="preserve">Data sources</t>
  </si>
  <si>
    <t xml:space="preserve">price: Yahoo Finance chart API (1766.HK) at inputs.price_as_of; HKEX regular close; 52-week range HK$4.42-6.76. CNYHKD=X from the same API, 2026-10-16. A-share 601766.SS used only as a parity check.
financials: 1766.HK_Metrics.csv (core_metrics, RMB millions) for FY2018-H1 FY2026 history; 1766.HK_Annual_FY2025.txt consolidated income statement (lines 6985-7022), balance sheet (6787-6885), cash-flow supplementary reconciliation (14277-14297) and EBITDA reconciliation (5263-5270); 1766.HK_HalfYear_H1-2026.txt balance sheet (2116-2200), borrowings/bonds/notes disclosure (1049-1055) and Note V.37/V.40 (7301-7303, 7407-7411) for the 30 June 2026 debt, lease and cash anchors.
qualitative: 1766.HK_Analysis.json (2026-10-17): business model, customer concentration, 15th Five-Year Plan outlook, EU FSR actions, management guidance and bull/bear axes.</t>
  </si>
  <si>
    <t xml:space="preserve">Scenario narrative: bear</t>
  </si>
  <si>
    <t xml:space="preserve">The rail upcycle peaks in FY2026: after the plan's early-year deliveries, State Railway throttles new-build and extends overhaul/repair intervals (the policy change the company itself flags), urban-rail orders keep falling, and the wind-turbine price war compresses new-industry margins. Revenue stalls in FY2027 and falls 4% and 3% in FY2028-29 before recovering at 2%. State Railway uses its monopsony pricing leverage, taking the model EBITDA margin to 8.4%. EU Foreign Subsidies Regulation precedent (Bulgaria 2024, Lisbon Metro 2026) spreads to EU-aligned markets, capping overseas growth. Receivables and inventories keep building (15% capture; the H1 FY2026 -16.1bn OCF persists into the full year), and NCI partners in the growing new-energy subsidiaries take a larger profit share (leakage to 35%).</t>
  </si>
  <si>
    <t xml:space="preserve">Scenario narrative: base</t>
  </si>
  <si>
    <t xml:space="preserve">Rail capex stays at the ~RMB900bn/yr level through the 15th Five-Year Plan and CRRC keeps its near-monopoly on mainline equipment for China State Railway Group (43.6% of revenue). Revenue grows 8% in FY2026 on the RMB357bn order book, then decelerates to 2.5% as new-build gives way to overhaul and the urban-rail market keeps shrinking under local-government debt limits. The new-industry segment (wind, PV inverters, storage) grows faster but at thinner margins, so the model EBITDA margin dips to 9.9% near term (management's stated pressure from R&amp;D, pricing and incubation costs) before recovering to 10.4% on aftermarket mix. Overseas stays ~13-15% of revenue: Belt and Road and emerging-market locomotive orders offset exclusion from EU tenders. Working capital absorbs 10% of each year's revenue increase; combined tax + NCI leakage 32-33.5%.</t>
  </si>
  <si>
    <t xml:space="preserve">Scenario narrative: bull</t>
  </si>
  <si>
    <t xml:space="preserve">The 15th Five-Year Plan front-loads high-speed and freight renewal, the CR450 fleet-upgrade cycle starts within the horizon, and State Railway's overhaul-mileage reform lifts aftermarket volumes rather than cutting them. New-industry revenue compounds in the high teens with GW-scale offshore wind and top-3 inverter share, and the 'five-locals' localisation model keeps overseas orders growing at 20%+ outside the EU. Revenue grows 11% in FY2026 and 6%+ through FY2030; EBITDA margin expands to 11.5% on aftermarket and components mix. Working capital stays supplier-funded (6% capture). Requires the rail cycle, the new-energy margin and the overseas pipeline to all hold at once.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</si>
  <si>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</si>
  <si>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</si>
  <si>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</si>
  <si>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</si>
  <si>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</si>
  <si>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</si>
  <si>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</si>
  <si>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</si>
  <si>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</si>
  <si>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</si>
  <si>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</si>
  <si>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</si>
  <si>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</si>
  <si>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</si>
  <si>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</si>
  <si>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</si>
  <si>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</si>
  <si>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</si>
  <si>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</si>
  <si>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</si>
  <si>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</si>
  <si>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</si>
  <si>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</si>
  <si>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</si>
  <si>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</si>
  <si>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</si>
  <si>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</si>
  <si>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</si>
  <si>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</si>
  <si>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</si>
  <si>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</si>
  <si>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</si>
  <si>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</si>
  <si>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</si>
  <si>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</si>
  <si>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</si>
  <si>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</si>
  <si>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</si>
  <si>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</si>
  <si>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</si>
  <si>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</si>
  <si>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</si>
  <si>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</si>
  <si>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</si>
  <si>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</si>
  <si>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</si>
  <si>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</si>
  <si>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</si>
  <si>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</si>
  <si>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</si>
  <si>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</si>
  <si>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</si>
  <si>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</si>
  <si>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</si>
  <si>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</si>
  <si>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</si>
  <si>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</si>
  <si>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</si>
  <si>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</si>
  <si>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</si>
  <si>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</si>
  <si>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</si>
  <si>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</si>
  <si>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</si>
  <si>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</si>
  <si>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</si>
  <si>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</si>
  <si>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</si>
  <si>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</si>
  <si>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</si>
  <si>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</si>
  <si>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</si>
  <si>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1766.HK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</si>
  <si>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</si>
  <si>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</si>
  <si>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</si>
  <si>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</si>
  <si>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</si>
  <si>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</si>
  <si>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</si>
  <si>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</si>
  <si>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</si>
  <si>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</si>
  <si>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</si>
  <si>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</si>
  <si>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</si>
  <si>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</si>
  <si>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</si>
  <si>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</si>
  <si>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</si>
  <si>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</si>
  <si>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</si>
  <si>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</si>
  <si>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</si>
  <si>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</si>
  <si>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</si>
  <si>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</si>
  <si>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</si>
  <si>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</si>
  <si>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</si>
  <si>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</si>
  <si>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</si>
  <si>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</si>
  <si>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1766.HK owner-FCF component DCF: base case (millions, CNY)</t>
  </si>
  <si>
    <t xml:space="preserve">1766.HK owner-FCF component DCF: bull case (millions, CNY)</t>
  </si>
  <si>
    <t xml:space="preserve">1766.HK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</si>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</sst>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5.42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219082.641</v>
      </c>
      <c r="C2" s="0" t="n">
        <v>170526.021</v>
      </c>
      <c r="D2" s="0" t="n">
        <v>48556.62</v>
      </c>
      <c r="E2" s="0" t="n">
        <v>22.2</v>
      </c>
      <c r="F2" s="0" t="n">
        <v>14734.83</v>
      </c>
      <c r="G2" s="0" t="n">
        <v>6.7</v>
      </c>
      <c r="H2" s="0" t="n">
        <v>21729.876</v>
      </c>
      <c r="I2" s="0" t="n">
        <v>11305.044</v>
      </c>
      <c r="J2" s="0" t="n">
        <v>5.2</v>
      </c>
      <c r="K2" s="0" t="n">
        <v>0.39</v>
      </c>
      <c r="L2" s="0" t="n">
        <v>18869.344</v>
      </c>
      <c r="M2" s="0" t="n">
        <v>9041.777</v>
      </c>
      <c r="N2" s="0" t="n">
        <v>9827.567</v>
      </c>
      <c r="O2" s="0" t="n">
        <v>128457.695</v>
      </c>
      <c r="P2" s="0" t="n">
        <v>357523.05</v>
      </c>
      <c r="Q2" s="0" t="n">
        <v>207838.423</v>
      </c>
      <c r="R2" s="0" t="n">
        <v>24110.707</v>
      </c>
      <c r="S2" s="0" t="n">
        <v>38171.008</v>
      </c>
      <c r="T2" s="0" t="n">
        <v>28698.864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229010.833</v>
      </c>
      <c r="C3" s="0" t="n">
        <v>176149.897</v>
      </c>
      <c r="D3" s="0" t="n">
        <v>52860.936</v>
      </c>
      <c r="E3" s="0" t="n">
        <v>23.1</v>
      </c>
      <c r="F3" s="0" t="n">
        <v>15822.704</v>
      </c>
      <c r="G3" s="0" t="n">
        <v>6.9</v>
      </c>
      <c r="H3" s="0" t="n">
        <v>22886.225</v>
      </c>
      <c r="I3" s="0" t="n">
        <v>11794.929</v>
      </c>
      <c r="J3" s="0" t="n">
        <v>5.2</v>
      </c>
      <c r="K3" s="0" t="n">
        <v>0.41</v>
      </c>
      <c r="L3" s="0" t="n">
        <v>22530.536</v>
      </c>
      <c r="M3" s="0" t="n">
        <v>8064.827</v>
      </c>
      <c r="N3" s="0" t="n">
        <v>14465.709</v>
      </c>
      <c r="O3" s="0" t="n">
        <v>135893.631</v>
      </c>
      <c r="P3" s="0" t="n">
        <v>383572.485</v>
      </c>
      <c r="Q3" s="0" t="n">
        <v>224744.003</v>
      </c>
      <c r="R3" s="0" t="n">
        <v>21433.351</v>
      </c>
      <c r="S3" s="0" t="n">
        <v>44904.764</v>
      </c>
      <c r="T3" s="0" t="n">
        <v>28698.864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227656.041</v>
      </c>
      <c r="C4" s="0" t="n">
        <v>176954.601</v>
      </c>
      <c r="D4" s="0" t="n">
        <v>50701.44</v>
      </c>
      <c r="E4" s="0" t="n">
        <v>22.3</v>
      </c>
      <c r="F4" s="0" t="n">
        <v>15318.113</v>
      </c>
      <c r="G4" s="0" t="n">
        <v>6.7</v>
      </c>
      <c r="H4" s="0" t="n">
        <v>24502.407</v>
      </c>
      <c r="I4" s="0" t="n">
        <v>11331.053</v>
      </c>
      <c r="J4" s="0" t="n">
        <v>5</v>
      </c>
      <c r="K4" s="0" t="n">
        <v>0.39</v>
      </c>
      <c r="L4" s="0" t="n">
        <v>-2032.393</v>
      </c>
      <c r="M4" s="0" t="n">
        <v>7775.493</v>
      </c>
      <c r="N4" s="0" t="n">
        <v>-9807.886</v>
      </c>
      <c r="O4" s="0" t="n">
        <v>143021.347</v>
      </c>
      <c r="P4" s="0" t="n">
        <v>392380.368</v>
      </c>
      <c r="Q4" s="0" t="n">
        <v>223238.804</v>
      </c>
      <c r="R4" s="0" t="n">
        <v>26053.911</v>
      </c>
      <c r="S4" s="0" t="n">
        <v>33492.359</v>
      </c>
      <c r="T4" s="0" t="n">
        <v>28698.864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225731.755</v>
      </c>
      <c r="C5" s="0" t="n">
        <v>179303.892</v>
      </c>
      <c r="D5" s="0" t="n">
        <v>46427.863</v>
      </c>
      <c r="E5" s="0" t="n">
        <v>20.6</v>
      </c>
      <c r="F5" s="0" t="n">
        <v>12831.064</v>
      </c>
      <c r="G5" s="0" t="n">
        <v>5.7</v>
      </c>
      <c r="H5" s="0" t="n">
        <v>22687.398</v>
      </c>
      <c r="I5" s="0" t="n">
        <v>10302.605</v>
      </c>
      <c r="J5" s="0" t="n">
        <v>4.6</v>
      </c>
      <c r="K5" s="0" t="n">
        <v>0.36</v>
      </c>
      <c r="L5" s="0" t="n">
        <v>20592.7</v>
      </c>
      <c r="M5" s="0" t="n">
        <v>5906.78</v>
      </c>
      <c r="N5" s="0" t="n">
        <v>14685.92</v>
      </c>
      <c r="O5" s="0" t="n">
        <v>148574.346</v>
      </c>
      <c r="P5" s="0" t="n">
        <v>426826.499</v>
      </c>
      <c r="Q5" s="0" t="n">
        <v>244534.993</v>
      </c>
      <c r="R5" s="0" t="n">
        <v>30382.761</v>
      </c>
      <c r="S5" s="0" t="n">
        <v>48585.115</v>
      </c>
      <c r="T5" s="0" t="n">
        <v>28698.864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222938.637</v>
      </c>
      <c r="C6" s="0" t="n">
        <v>175625.777</v>
      </c>
      <c r="D6" s="0" t="n">
        <v>47312.86</v>
      </c>
      <c r="E6" s="0" t="n">
        <v>21.2</v>
      </c>
      <c r="F6" s="0" t="n">
        <v>15979.702</v>
      </c>
      <c r="G6" s="0" t="n">
        <v>7.2</v>
      </c>
      <c r="H6" s="0" t="n">
        <v>25130.222</v>
      </c>
      <c r="I6" s="0" t="n">
        <v>11653.448</v>
      </c>
      <c r="J6" s="0" t="n">
        <v>5.2</v>
      </c>
      <c r="K6" s="0" t="n">
        <v>0.41</v>
      </c>
      <c r="L6" s="0" t="n">
        <v>23953.216</v>
      </c>
      <c r="M6" s="0" t="n">
        <v>7417.459</v>
      </c>
      <c r="N6" s="0" t="n">
        <v>16535.757</v>
      </c>
      <c r="O6" s="0" t="n">
        <v>155041.322</v>
      </c>
      <c r="P6" s="0" t="n">
        <v>442140.146</v>
      </c>
      <c r="Q6" s="0" t="n">
        <v>251154.23</v>
      </c>
      <c r="R6" s="0" t="n">
        <v>26196.933</v>
      </c>
      <c r="S6" s="0" t="n">
        <v>54861.839</v>
      </c>
      <c r="T6" s="0" t="n">
        <v>28698.864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234261.514</v>
      </c>
      <c r="C7" s="0" t="n">
        <v>182101.404</v>
      </c>
      <c r="D7" s="0" t="n">
        <v>52160.11</v>
      </c>
      <c r="E7" s="0" t="n">
        <v>22.3</v>
      </c>
      <c r="F7" s="0" t="n">
        <v>16025.76</v>
      </c>
      <c r="G7" s="0" t="n">
        <v>6.8</v>
      </c>
      <c r="H7" s="0" t="n">
        <v>25349.303</v>
      </c>
      <c r="I7" s="0" t="n">
        <v>11711.576</v>
      </c>
      <c r="J7" s="0" t="n">
        <v>5</v>
      </c>
      <c r="K7" s="0" t="n">
        <v>0.41</v>
      </c>
      <c r="L7" s="0" t="n">
        <v>14721.616</v>
      </c>
      <c r="M7" s="0" t="n">
        <v>8103.773</v>
      </c>
      <c r="N7" s="0" t="n">
        <v>6617.843</v>
      </c>
      <c r="O7" s="0" t="n">
        <v>160973.373</v>
      </c>
      <c r="P7" s="0" t="n">
        <v>471791.735</v>
      </c>
      <c r="Q7" s="0" t="n">
        <v>275268.42</v>
      </c>
      <c r="R7" s="0" t="n">
        <v>19367.387</v>
      </c>
      <c r="S7" s="0" t="n">
        <v>55929.833</v>
      </c>
      <c r="T7" s="0" t="n">
        <v>28698.864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246456.804</v>
      </c>
      <c r="C8" s="0" t="n">
        <v>193763.279</v>
      </c>
      <c r="D8" s="0" t="n">
        <v>52693.525</v>
      </c>
      <c r="E8" s="0" t="n">
        <v>21.4</v>
      </c>
      <c r="F8" s="0" t="n">
        <v>16934.942</v>
      </c>
      <c r="G8" s="0" t="n">
        <v>6.9</v>
      </c>
      <c r="H8" s="0" t="n">
        <v>27009.847</v>
      </c>
      <c r="I8" s="0" t="n">
        <v>12387.514</v>
      </c>
      <c r="J8" s="0" t="n">
        <v>5</v>
      </c>
      <c r="K8" s="0" t="n">
        <v>0.43</v>
      </c>
      <c r="L8" s="0" t="n">
        <v>27127.503</v>
      </c>
      <c r="M8" s="0" t="n">
        <v>10184.807</v>
      </c>
      <c r="N8" s="0" t="n">
        <v>16942.696</v>
      </c>
      <c r="O8" s="0" t="n">
        <v>168773.774</v>
      </c>
      <c r="P8" s="0" t="n">
        <v>512823.63</v>
      </c>
      <c r="Q8" s="0" t="n">
        <v>302629.036</v>
      </c>
      <c r="R8" s="0" t="n">
        <v>17645.001</v>
      </c>
      <c r="S8" s="0" t="n">
        <v>67512.492</v>
      </c>
      <c r="T8" s="0" t="n">
        <v>28698.864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273063.098</v>
      </c>
      <c r="C9" s="0" t="n">
        <v>214684.021</v>
      </c>
      <c r="D9" s="0" t="n">
        <v>58379.077</v>
      </c>
      <c r="E9" s="0" t="n">
        <v>21.4</v>
      </c>
      <c r="F9" s="0" t="n">
        <v>18721.634</v>
      </c>
      <c r="G9" s="0" t="n">
        <v>6.9</v>
      </c>
      <c r="H9" s="0" t="n">
        <v>29419.668</v>
      </c>
      <c r="I9" s="0" t="n">
        <v>13181.015</v>
      </c>
      <c r="J9" s="0" t="n">
        <v>4.8</v>
      </c>
      <c r="K9" s="0" t="n">
        <v>0.46</v>
      </c>
      <c r="L9" s="0" t="n">
        <v>24185.716</v>
      </c>
      <c r="M9" s="0" t="n">
        <v>9382.515</v>
      </c>
      <c r="N9" s="0" t="n">
        <v>14803.201</v>
      </c>
      <c r="O9" s="0" t="n">
        <v>172120.649</v>
      </c>
      <c r="P9" s="0" t="n">
        <v>550774.434</v>
      </c>
      <c r="Q9" s="0" t="n">
        <v>334695.934</v>
      </c>
      <c r="R9" s="0" t="n">
        <v>19353.878</v>
      </c>
      <c r="S9" s="0" t="n">
        <v>67834.624</v>
      </c>
      <c r="T9" s="0" t="n">
        <v>28698.864</v>
      </c>
      <c r="U9" s="0" t="n">
        <v>0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5.42</v>
      </c>
    </row>
    <row r="3" customFormat="false" ht="15" hidden="false" customHeight="false" outlineLevel="0" collapsed="false">
      <c r="A3" s="0" t="s">
        <v>75</v>
      </c>
      <c r="B3" s="3" t="n">
        <v>28698.864</v>
      </c>
    </row>
    <row r="4" customFormat="false" ht="15" hidden="false" customHeight="false" outlineLevel="0" collapsed="false">
      <c r="A4" s="0" t="s">
        <v>76</v>
      </c>
      <c r="B4" s="3" t="n">
        <v>-21815</v>
      </c>
    </row>
    <row r="5" customFormat="false" ht="15" hidden="false" customHeight="false" outlineLevel="0" collapsed="false">
      <c r="A5" s="0" t="s">
        <v>77</v>
      </c>
      <c r="B5" s="3" t="n">
        <v>0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273063.098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1.1727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4</v>
      </c>
      <c r="D13" s="3" t="n">
        <v>0</v>
      </c>
      <c r="E13" s="3" t="n">
        <v>-4</v>
      </c>
      <c r="F13" s="3" t="n">
        <v>-3</v>
      </c>
      <c r="G13" s="3" t="n">
        <v>0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9.5</v>
      </c>
      <c r="D14" s="3" t="n">
        <v>9.2</v>
      </c>
      <c r="E14" s="3" t="n">
        <v>8.8</v>
      </c>
      <c r="F14" s="3" t="n">
        <v>8.5</v>
      </c>
      <c r="G14" s="3" t="n">
        <v>8.4</v>
      </c>
      <c r="H14" s="3" t="n">
        <v>8.4</v>
      </c>
      <c r="I14" s="3" t="n">
        <v>8.4</v>
      </c>
      <c r="J14" s="3" t="n">
        <v>8.4</v>
      </c>
      <c r="K14" s="3" t="n">
        <v>8.4</v>
      </c>
      <c r="L14" s="3" t="n">
        <v>8.4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3.4</v>
      </c>
      <c r="D17" s="3" t="n">
        <v>3.4</v>
      </c>
      <c r="E17" s="3" t="n">
        <v>3.4</v>
      </c>
      <c r="F17" s="3" t="n">
        <v>3.4</v>
      </c>
      <c r="G17" s="3" t="n">
        <v>3.4</v>
      </c>
      <c r="H17" s="3" t="n">
        <v>3.4</v>
      </c>
      <c r="I17" s="3" t="n">
        <v>3.4</v>
      </c>
      <c r="J17" s="3" t="n">
        <v>3.4</v>
      </c>
      <c r="K17" s="3" t="n">
        <v>3.4</v>
      </c>
      <c r="L17" s="3" t="n">
        <v>3.4</v>
      </c>
    </row>
    <row r="18" customFormat="false" ht="15" hidden="false" customHeight="false" outlineLevel="0" collapsed="false">
      <c r="A18" s="0" t="s">
        <v>100</v>
      </c>
      <c r="C18" s="3" t="n">
        <v>3.5</v>
      </c>
      <c r="D18" s="3" t="n">
        <v>3.3</v>
      </c>
      <c r="E18" s="3" t="n">
        <v>3.1</v>
      </c>
      <c r="F18" s="3" t="n">
        <v>3</v>
      </c>
      <c r="G18" s="3" t="n">
        <v>3</v>
      </c>
      <c r="H18" s="3" t="n">
        <v>3</v>
      </c>
      <c r="I18" s="3" t="n">
        <v>3.1</v>
      </c>
      <c r="J18" s="3" t="n">
        <v>3.2</v>
      </c>
      <c r="K18" s="3" t="n">
        <v>3.2</v>
      </c>
      <c r="L18" s="3" t="n">
        <v>3.2</v>
      </c>
    </row>
    <row r="19" customFormat="false" ht="15" hidden="false" customHeight="false" outlineLevel="0" collapsed="false">
      <c r="A19" s="0" t="s">
        <v>101</v>
      </c>
      <c r="C19" s="3" t="n">
        <v>33</v>
      </c>
      <c r="D19" s="3" t="n">
        <v>33.5</v>
      </c>
      <c r="E19" s="3" t="n">
        <v>34</v>
      </c>
      <c r="F19" s="3" t="n">
        <v>34.5</v>
      </c>
      <c r="G19" s="3" t="n">
        <v>35</v>
      </c>
      <c r="H19" s="3" t="n">
        <v>35</v>
      </c>
      <c r="I19" s="3" t="n">
        <v>35</v>
      </c>
      <c r="J19" s="3" t="n">
        <v>35</v>
      </c>
      <c r="K19" s="3" t="n">
        <v>35</v>
      </c>
      <c r="L19" s="3" t="n">
        <v>35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-15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8</v>
      </c>
      <c r="D27" s="3" t="n">
        <v>6.5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9.9</v>
      </c>
      <c r="D28" s="3" t="n">
        <v>9.9</v>
      </c>
      <c r="E28" s="3" t="n">
        <v>10</v>
      </c>
      <c r="F28" s="3" t="n">
        <v>10.1</v>
      </c>
      <c r="G28" s="3" t="n">
        <v>10.2</v>
      </c>
      <c r="H28" s="3" t="n">
        <v>10.3</v>
      </c>
      <c r="I28" s="3" t="n">
        <v>10.4</v>
      </c>
      <c r="J28" s="3" t="n">
        <v>10.4</v>
      </c>
      <c r="K28" s="3" t="n">
        <v>10.4</v>
      </c>
      <c r="L28" s="3" t="n">
        <v>10.4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3.3</v>
      </c>
      <c r="D31" s="3" t="n">
        <v>3.3</v>
      </c>
      <c r="E31" s="3" t="n">
        <v>3.3</v>
      </c>
      <c r="F31" s="3" t="n">
        <v>3.3</v>
      </c>
      <c r="G31" s="3" t="n">
        <v>3.3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100</v>
      </c>
      <c r="C32" s="3" t="n">
        <v>3.7</v>
      </c>
      <c r="D32" s="3" t="n">
        <v>3.7</v>
      </c>
      <c r="E32" s="3" t="n">
        <v>3.7</v>
      </c>
      <c r="F32" s="3" t="n">
        <v>3.6</v>
      </c>
      <c r="G32" s="3" t="n">
        <v>3.6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101</v>
      </c>
      <c r="C33" s="3" t="n">
        <v>32</v>
      </c>
      <c r="D33" s="3" t="n">
        <v>32</v>
      </c>
      <c r="E33" s="3" t="n">
        <v>32.5</v>
      </c>
      <c r="F33" s="3" t="n">
        <v>32.5</v>
      </c>
      <c r="G33" s="3" t="n">
        <v>33</v>
      </c>
      <c r="H33" s="3" t="n">
        <v>33</v>
      </c>
      <c r="I33" s="3" t="n">
        <v>33.5</v>
      </c>
      <c r="J33" s="3" t="n">
        <v>33.5</v>
      </c>
      <c r="K33" s="3" t="n">
        <v>33.5</v>
      </c>
      <c r="L33" s="3" t="n">
        <v>33.5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-10</v>
      </c>
    </row>
    <row r="38" customFormat="false" ht="15" hidden="false" customHeight="false" outlineLevel="0" collapsed="false">
      <c r="A38" s="0" t="s">
        <v>106</v>
      </c>
      <c r="B38" s="3" t="n">
        <v>0.45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11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10.2</v>
      </c>
      <c r="D42" s="3" t="n">
        <v>10.4</v>
      </c>
      <c r="E42" s="3" t="n">
        <v>10.6</v>
      </c>
      <c r="F42" s="3" t="n">
        <v>10.8</v>
      </c>
      <c r="G42" s="3" t="n">
        <v>11</v>
      </c>
      <c r="H42" s="3" t="n">
        <v>11.2</v>
      </c>
      <c r="I42" s="3" t="n">
        <v>11.3</v>
      </c>
      <c r="J42" s="3" t="n">
        <v>11.4</v>
      </c>
      <c r="K42" s="3" t="n">
        <v>11.5</v>
      </c>
      <c r="L42" s="3" t="n">
        <v>11.5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3.3</v>
      </c>
      <c r="D45" s="3" t="n">
        <v>3.3</v>
      </c>
      <c r="E45" s="3" t="n">
        <v>3.3</v>
      </c>
      <c r="F45" s="3" t="n">
        <v>3.3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100</v>
      </c>
      <c r="C46" s="3" t="n">
        <v>3.9</v>
      </c>
      <c r="D46" s="3" t="n">
        <v>3.9</v>
      </c>
      <c r="E46" s="3" t="n">
        <v>3.8</v>
      </c>
      <c r="F46" s="3" t="n">
        <v>3.8</v>
      </c>
      <c r="G46" s="3" t="n">
        <v>3.7</v>
      </c>
      <c r="H46" s="3" t="n">
        <v>3.7</v>
      </c>
      <c r="I46" s="3" t="n">
        <v>3.6</v>
      </c>
      <c r="J46" s="3" t="n">
        <v>3.6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101</v>
      </c>
      <c r="C47" s="3" t="n">
        <v>31</v>
      </c>
      <c r="D47" s="3" t="n">
        <v>31</v>
      </c>
      <c r="E47" s="3" t="n">
        <v>31.5</v>
      </c>
      <c r="F47" s="3" t="n">
        <v>31.5</v>
      </c>
      <c r="G47" s="3" t="n">
        <v>32</v>
      </c>
      <c r="H47" s="3" t="n">
        <v>32</v>
      </c>
      <c r="I47" s="3" t="n">
        <v>32</v>
      </c>
      <c r="J47" s="3" t="n">
        <v>32</v>
      </c>
      <c r="K47" s="3" t="n">
        <v>32</v>
      </c>
      <c r="L47" s="3" t="n">
        <v>32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-6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4</v>
      </c>
      <c r="D5" s="4" t="n">
        <f aca="false">Assumptions!D13</f>
        <v>0</v>
      </c>
      <c r="E5" s="4" t="n">
        <f aca="false">Assumptions!E13</f>
        <v>-4</v>
      </c>
      <c r="F5" s="4" t="n">
        <f aca="false">Assumptions!F13</f>
        <v>-3</v>
      </c>
      <c r="G5" s="4" t="n">
        <f aca="false">Assumptions!G13</f>
        <v>0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273063.098</v>
      </c>
      <c r="C6" s="0" t="n">
        <f aca="false">B6*(1+C5/100)</f>
        <v>283985.62192</v>
      </c>
      <c r="D6" s="0" t="n">
        <f aca="false">C6*(1+D5/100)</f>
        <v>283985.62192</v>
      </c>
      <c r="E6" s="0" t="n">
        <f aca="false">D6*(1+E5/100)</f>
        <v>272626.1970432</v>
      </c>
      <c r="F6" s="0" t="n">
        <f aca="false">E6*(1+F5/100)</f>
        <v>264447.411131904</v>
      </c>
      <c r="G6" s="0" t="n">
        <f aca="false">F6*(1+G5/100)</f>
        <v>264447.411131904</v>
      </c>
      <c r="H6" s="0" t="n">
        <f aca="false">G6*(1+H5/100)</f>
        <v>268414.122298883</v>
      </c>
      <c r="I6" s="0" t="n">
        <f aca="false">H6*(1+I5/100)</f>
        <v>273782.40474486</v>
      </c>
      <c r="J6" s="0" t="n">
        <f aca="false">I6*(1+J5/100)</f>
        <v>279258.052839757</v>
      </c>
      <c r="K6" s="0" t="n">
        <f aca="false">J6*(1+K5/100)</f>
        <v>284843.213896553</v>
      </c>
      <c r="L6" s="0" t="n">
        <f aca="false">K6*(1+L5/100)</f>
        <v>290540.078174484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9.5</v>
      </c>
      <c r="D7" s="4" t="n">
        <f aca="false">Assumptions!D14</f>
        <v>9.2</v>
      </c>
      <c r="E7" s="4" t="n">
        <f aca="false">Assumptions!E14</f>
        <v>8.8</v>
      </c>
      <c r="F7" s="4" t="n">
        <f aca="false">Assumptions!F14</f>
        <v>8.5</v>
      </c>
      <c r="G7" s="4" t="n">
        <f aca="false">Assumptions!G14</f>
        <v>8.4</v>
      </c>
      <c r="H7" s="4" t="n">
        <f aca="false">Assumptions!H14</f>
        <v>8.4</v>
      </c>
      <c r="I7" s="4" t="n">
        <f aca="false">Assumptions!I14</f>
        <v>8.4</v>
      </c>
      <c r="J7" s="4" t="n">
        <f aca="false">Assumptions!J14</f>
        <v>8.4</v>
      </c>
      <c r="K7" s="4" t="n">
        <f aca="false">Assumptions!K14</f>
        <v>8.4</v>
      </c>
      <c r="L7" s="4" t="n">
        <f aca="false">Assumptions!L14</f>
        <v>8.4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26978.6340824</v>
      </c>
      <c r="D8" s="0" t="n">
        <f aca="false">D6*D7/100</f>
        <v>26126.67721664</v>
      </c>
      <c r="E8" s="0" t="n">
        <f aca="false">E6*E7/100</f>
        <v>23991.1053398016</v>
      </c>
      <c r="F8" s="0" t="n">
        <f aca="false">F6*F7/100</f>
        <v>22478.0299462118</v>
      </c>
      <c r="G8" s="0" t="n">
        <f aca="false">G6*G7/100</f>
        <v>22213.5825350799</v>
      </c>
      <c r="H8" s="0" t="n">
        <f aca="false">H6*H7/100</f>
        <v>22546.7862731061</v>
      </c>
      <c r="I8" s="0" t="n">
        <f aca="false">I6*I7/100</f>
        <v>22997.7219985683</v>
      </c>
      <c r="J8" s="0" t="n">
        <f aca="false">J6*J7/100</f>
        <v>23457.6764385396</v>
      </c>
      <c r="K8" s="0" t="n">
        <f aca="false">K6*K7/100</f>
        <v>23926.8299673104</v>
      </c>
      <c r="L8" s="0" t="n">
        <f aca="false">L6*L7/100</f>
        <v>24405.3665666566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26978.6340824</v>
      </c>
      <c r="D11" s="0" t="n">
        <f aca="false">D8+D10+D24</f>
        <v>26126.67721664</v>
      </c>
      <c r="E11" s="0" t="n">
        <f aca="false">E8+E10+E24</f>
        <v>23991.1053398016</v>
      </c>
      <c r="F11" s="0" t="n">
        <f aca="false">F8+F10+F24</f>
        <v>22478.0299462118</v>
      </c>
      <c r="G11" s="0" t="n">
        <f aca="false">G8+G10+G24</f>
        <v>22213.5825350799</v>
      </c>
      <c r="H11" s="0" t="n">
        <f aca="false">H8+H10+H24</f>
        <v>22546.7862731061</v>
      </c>
      <c r="I11" s="0" t="n">
        <f aca="false">I8+I10+I24</f>
        <v>22997.7219985683</v>
      </c>
      <c r="J11" s="0" t="n">
        <f aca="false">J8+J10+J24</f>
        <v>23457.6764385396</v>
      </c>
      <c r="K11" s="0" t="n">
        <f aca="false">K8+K10+K24</f>
        <v>23926.8299673104</v>
      </c>
      <c r="L11" s="0" t="n">
        <f aca="false">L8+L10+L24</f>
        <v>24405.3665666566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-9655.51114528</v>
      </c>
      <c r="D12" s="4" t="n">
        <f aca="false">-D6*Assumptions!D17/100</f>
        <v>-9655.51114528</v>
      </c>
      <c r="E12" s="4" t="n">
        <f aca="false">-E6*Assumptions!E17/100</f>
        <v>-9269.2906994688</v>
      </c>
      <c r="F12" s="4" t="n">
        <f aca="false">-F6*Assumptions!F17/100</f>
        <v>-8991.21197848474</v>
      </c>
      <c r="G12" s="4" t="n">
        <f aca="false">-G6*Assumptions!G17/100</f>
        <v>-8991.21197848474</v>
      </c>
      <c r="H12" s="4" t="n">
        <f aca="false">-H6*Assumptions!H17/100</f>
        <v>-9126.08015816201</v>
      </c>
      <c r="I12" s="4" t="n">
        <f aca="false">-I6*Assumptions!I17/100</f>
        <v>-9308.60176132525</v>
      </c>
      <c r="J12" s="4" t="n">
        <f aca="false">-J6*Assumptions!J17/100</f>
        <v>-9494.77379655175</v>
      </c>
      <c r="K12" s="4" t="n">
        <f aca="false">-K6*Assumptions!K17/100</f>
        <v>-9684.66927248279</v>
      </c>
      <c r="L12" s="4" t="n">
        <f aca="false">-L6*Assumptions!L17/100</f>
        <v>-9878.36265793244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17323.12293712</v>
      </c>
      <c r="D13" s="0" t="n">
        <f aca="false">D11+D12</f>
        <v>16471.16607136</v>
      </c>
      <c r="E13" s="0" t="n">
        <f aca="false">E11+E12</f>
        <v>14721.8146403328</v>
      </c>
      <c r="F13" s="0" t="n">
        <f aca="false">F11+F12</f>
        <v>13486.8179677271</v>
      </c>
      <c r="G13" s="0" t="n">
        <f aca="false">G11+G12</f>
        <v>13222.3705565952</v>
      </c>
      <c r="H13" s="0" t="n">
        <f aca="false">H11+H12</f>
        <v>13420.7061149441</v>
      </c>
      <c r="I13" s="0" t="n">
        <f aca="false">I11+I12</f>
        <v>13689.120237243</v>
      </c>
      <c r="J13" s="0" t="n">
        <f aca="false">J11+J12</f>
        <v>13962.9026419879</v>
      </c>
      <c r="K13" s="0" t="n">
        <f aca="false">K11+K12</f>
        <v>14242.1606948276</v>
      </c>
      <c r="L13" s="0" t="n">
        <f aca="false">L11+L12</f>
        <v>14527.0039087242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33</v>
      </c>
      <c r="D14" s="4" t="n">
        <f aca="false">Assumptions!D19</f>
        <v>33.5</v>
      </c>
      <c r="E14" s="4" t="n">
        <f aca="false">Assumptions!E19</f>
        <v>34</v>
      </c>
      <c r="F14" s="4" t="n">
        <f aca="false">Assumptions!F19</f>
        <v>34.5</v>
      </c>
      <c r="G14" s="4" t="n">
        <f aca="false">Assumptions!G19</f>
        <v>35</v>
      </c>
      <c r="H14" s="4" t="n">
        <f aca="false">Assumptions!H19</f>
        <v>35</v>
      </c>
      <c r="I14" s="4" t="n">
        <f aca="false">Assumptions!I19</f>
        <v>35</v>
      </c>
      <c r="J14" s="4" t="n">
        <f aca="false">Assumptions!J19</f>
        <v>35</v>
      </c>
      <c r="K14" s="4" t="n">
        <f aca="false">Assumptions!K19</f>
        <v>35</v>
      </c>
      <c r="L14" s="4" t="n">
        <f aca="false">Assumptions!L19</f>
        <v>35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11606.4923678704</v>
      </c>
      <c r="D15" s="0" t="n">
        <f aca="false">D13-MAX(0,D13)*D14/100</f>
        <v>10953.3254374544</v>
      </c>
      <c r="E15" s="0" t="n">
        <f aca="false">E13-MAX(0,E13)*E14/100</f>
        <v>9716.39766261965</v>
      </c>
      <c r="F15" s="0" t="n">
        <f aca="false">F13-MAX(0,F13)*F14/100</f>
        <v>8833.86576886125</v>
      </c>
      <c r="G15" s="0" t="n">
        <f aca="false">G13-MAX(0,G13)*G14/100</f>
        <v>8594.54086178688</v>
      </c>
      <c r="H15" s="0" t="n">
        <f aca="false">H13-MAX(0,H13)*H14/100</f>
        <v>8723.45897471368</v>
      </c>
      <c r="I15" s="0" t="n">
        <f aca="false">I13-MAX(0,I13)*I14/100</f>
        <v>8897.92815420796</v>
      </c>
      <c r="J15" s="0" t="n">
        <f aca="false">J13-MAX(0,J13)*J14/100</f>
        <v>9075.88671729212</v>
      </c>
      <c r="K15" s="0" t="n">
        <f aca="false">K13-MAX(0,K13)*K14/100</f>
        <v>9257.40445163796</v>
      </c>
      <c r="L15" s="0" t="n">
        <f aca="false">L13-MAX(0,L13)*L14/100</f>
        <v>9442.55254067072</v>
      </c>
    </row>
    <row r="16" customFormat="false" ht="15" hidden="false" customHeight="false" outlineLevel="0" collapsed="false">
      <c r="A16" s="0" t="s">
        <v>117</v>
      </c>
      <c r="C16" s="0" t="n">
        <f aca="false">-C12</f>
        <v>9655.51114528</v>
      </c>
      <c r="D16" s="0" t="n">
        <f aca="false">-D12</f>
        <v>9655.51114528</v>
      </c>
      <c r="E16" s="0" t="n">
        <f aca="false">-E12</f>
        <v>9269.2906994688</v>
      </c>
      <c r="F16" s="0" t="n">
        <f aca="false">-F12</f>
        <v>8991.21197848474</v>
      </c>
      <c r="G16" s="0" t="n">
        <f aca="false">-G12</f>
        <v>8991.21197848474</v>
      </c>
      <c r="H16" s="0" t="n">
        <f aca="false">-H12</f>
        <v>9126.08015816201</v>
      </c>
      <c r="I16" s="0" t="n">
        <f aca="false">-I12</f>
        <v>9308.60176132525</v>
      </c>
      <c r="J16" s="0" t="n">
        <f aca="false">-J12</f>
        <v>9494.77379655175</v>
      </c>
      <c r="K16" s="0" t="n">
        <f aca="false">-K12</f>
        <v>9684.66927248279</v>
      </c>
      <c r="L16" s="0" t="n">
        <f aca="false">-L12</f>
        <v>9878.36265793244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-9939.4967672</v>
      </c>
      <c r="D17" s="4" t="n">
        <f aca="false">-D6*Assumptions!D18/100</f>
        <v>-9371.52552336</v>
      </c>
      <c r="E17" s="4" t="n">
        <f aca="false">-E6*Assumptions!E18/100</f>
        <v>-8451.4121083392</v>
      </c>
      <c r="F17" s="4" t="n">
        <f aca="false">-F6*Assumptions!F18/100</f>
        <v>-7933.42233395712</v>
      </c>
      <c r="G17" s="4" t="n">
        <f aca="false">-G6*Assumptions!G18/100</f>
        <v>-7933.42233395712</v>
      </c>
      <c r="H17" s="4" t="n">
        <f aca="false">-H6*Assumptions!H18/100</f>
        <v>-8052.42366896648</v>
      </c>
      <c r="I17" s="4" t="n">
        <f aca="false">-I6*Assumptions!I18/100</f>
        <v>-8487.25454709067</v>
      </c>
      <c r="J17" s="4" t="n">
        <f aca="false">-J6*Assumptions!J18/100</f>
        <v>-8936.25769087224</v>
      </c>
      <c r="K17" s="4" t="n">
        <f aca="false">-K6*Assumptions!K18/100</f>
        <v>-9114.98284468968</v>
      </c>
      <c r="L17" s="4" t="n">
        <f aca="false">-L6*Assumptions!L18/100</f>
        <v>-9297.28250158348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-1638.378588</v>
      </c>
      <c r="D18" s="4" t="n">
        <f aca="false">(D6-C6)*Assumptions!$B$23/100</f>
        <v>-0</v>
      </c>
      <c r="E18" s="4" t="n">
        <f aca="false">(E6-D6)*Assumptions!$B$23/100</f>
        <v>1703.91373152</v>
      </c>
      <c r="F18" s="4" t="n">
        <f aca="false">(F6-E6)*Assumptions!$B$23/100</f>
        <v>1226.8178866944</v>
      </c>
      <c r="G18" s="4" t="n">
        <f aca="false">(G6-F6)*Assumptions!$B$23/100</f>
        <v>-0</v>
      </c>
      <c r="H18" s="4" t="n">
        <f aca="false">(H6-G6)*Assumptions!$B$23/100</f>
        <v>-595.006675046778</v>
      </c>
      <c r="I18" s="4" t="n">
        <f aca="false">(I6-H6)*Assumptions!$B$23/100</f>
        <v>-805.242366896651</v>
      </c>
      <c r="J18" s="4" t="n">
        <f aca="false">(J6-I6)*Assumptions!$B$23/100</f>
        <v>-821.347214234583</v>
      </c>
      <c r="K18" s="4" t="n">
        <f aca="false">(K6-J6)*Assumptions!$B$23/100</f>
        <v>-837.774158519274</v>
      </c>
      <c r="L18" s="4" t="n">
        <f aca="false">(L6-K6)*Assumptions!$B$23/100</f>
        <v>-854.529641689657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9684.1281579504</v>
      </c>
      <c r="D19" s="0" t="n">
        <f aca="false">D15+D16+D17+D18</f>
        <v>11237.3110593744</v>
      </c>
      <c r="E19" s="0" t="n">
        <f aca="false">E15+E16+E17+E18</f>
        <v>12238.1899852692</v>
      </c>
      <c r="F19" s="0" t="n">
        <f aca="false">F15+F16+F17+F18</f>
        <v>11118.4733000833</v>
      </c>
      <c r="G19" s="0" t="n">
        <f aca="false">G15+G16+G17+G18</f>
        <v>9652.3305063145</v>
      </c>
      <c r="H19" s="0" t="n">
        <f aca="false">H15+H16+H17+H18</f>
        <v>9202.10878886244</v>
      </c>
      <c r="I19" s="0" t="n">
        <f aca="false">I15+I16+I17+I18</f>
        <v>8914.03300154589</v>
      </c>
      <c r="J19" s="0" t="n">
        <f aca="false">J15+J16+J17+J18</f>
        <v>8813.05560873705</v>
      </c>
      <c r="K19" s="0" t="n">
        <f aca="false">K15+K16+K17+K18</f>
        <v>8989.31672091179</v>
      </c>
      <c r="L19" s="0" t="n">
        <f aca="false">L15+L16+L17+L18</f>
        <v>9169.10305533002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8884.52124582605</v>
      </c>
      <c r="D21" s="0" t="n">
        <f aca="false">D19*D20</f>
        <v>9458.21989678848</v>
      </c>
      <c r="E21" s="0" t="n">
        <f aca="false">E19*E20</f>
        <v>9450.12813247367</v>
      </c>
      <c r="F21" s="0" t="n">
        <f aca="false">F19*F20</f>
        <v>7876.60679433424</v>
      </c>
      <c r="G21" s="0" t="n">
        <f aca="false">G19*G20</f>
        <v>6273.35254697879</v>
      </c>
      <c r="H21" s="0" t="n">
        <f aca="false">H19*H20</f>
        <v>5486.91680918674</v>
      </c>
      <c r="I21" s="0" t="n">
        <f aca="false">I19*I20</f>
        <v>4876.28131150906</v>
      </c>
      <c r="J21" s="0" t="n">
        <f aca="false">J19*J20</f>
        <v>4422.97543090608</v>
      </c>
      <c r="K21" s="0" t="n">
        <f aca="false">K19*K20</f>
        <v>4138.93113717817</v>
      </c>
      <c r="L21" s="0" t="n">
        <f aca="false">L19*L20</f>
        <v>3873.12822011168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64741.061525293</v>
      </c>
    </row>
    <row r="31" customFormat="false" ht="15" hidden="false" customHeight="false" outlineLevel="0" collapsed="false">
      <c r="A31" s="0" t="s">
        <v>126</v>
      </c>
      <c r="B31" s="0" t="n">
        <f aca="false">L19</f>
        <v>9169.10305533002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133606.930234809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110029.23666396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110029.23666396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46477.5386413402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111218.600166633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133033.600166633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5.43605150766284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0.00296153277912103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5.43605150766284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71942.1932033587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3.70828913236828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8</v>
      </c>
      <c r="D5" s="4" t="n">
        <f aca="false">Assumptions!D27</f>
        <v>6.5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273063.098</v>
      </c>
      <c r="C6" s="0" t="n">
        <f aca="false">B6*(1+C5/100)</f>
        <v>294908.14584</v>
      </c>
      <c r="D6" s="0" t="n">
        <f aca="false">C6*(1+D5/100)</f>
        <v>314077.1753196</v>
      </c>
      <c r="E6" s="0" t="n">
        <f aca="false">D6*(1+E5/100)</f>
        <v>331351.419962178</v>
      </c>
      <c r="F6" s="0" t="n">
        <f aca="false">E6*(1+F5/100)</f>
        <v>347918.990960287</v>
      </c>
      <c r="G6" s="0" t="n">
        <f aca="false">F6*(1+G5/100)</f>
        <v>363575.3455535</v>
      </c>
      <c r="H6" s="0" t="n">
        <f aca="false">G6*(1+H5/100)</f>
        <v>378118.35937564</v>
      </c>
      <c r="I6" s="0" t="n">
        <f aca="false">H6*(1+I5/100)</f>
        <v>391352.501953787</v>
      </c>
      <c r="J6" s="0" t="n">
        <f aca="false">I6*(1+J5/100)</f>
        <v>403093.077012401</v>
      </c>
      <c r="K6" s="0" t="n">
        <f aca="false">J6*(1+K5/100)</f>
        <v>415185.869322773</v>
      </c>
      <c r="L6" s="0" t="n">
        <f aca="false">K6*(1+L5/100)</f>
        <v>425565.516055842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9.9</v>
      </c>
      <c r="D7" s="4" t="n">
        <f aca="false">Assumptions!D28</f>
        <v>9.9</v>
      </c>
      <c r="E7" s="4" t="n">
        <f aca="false">Assumptions!E28</f>
        <v>10</v>
      </c>
      <c r="F7" s="4" t="n">
        <f aca="false">Assumptions!F28</f>
        <v>10.1</v>
      </c>
      <c r="G7" s="4" t="n">
        <f aca="false">Assumptions!G28</f>
        <v>10.2</v>
      </c>
      <c r="H7" s="4" t="n">
        <f aca="false">Assumptions!H28</f>
        <v>10.3</v>
      </c>
      <c r="I7" s="4" t="n">
        <f aca="false">Assumptions!I28</f>
        <v>10.4</v>
      </c>
      <c r="J7" s="4" t="n">
        <f aca="false">Assumptions!J28</f>
        <v>10.4</v>
      </c>
      <c r="K7" s="4" t="n">
        <f aca="false">Assumptions!K28</f>
        <v>10.4</v>
      </c>
      <c r="L7" s="4" t="n">
        <f aca="false">Assumptions!L28</f>
        <v>10.4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29195.90643816</v>
      </c>
      <c r="D8" s="0" t="n">
        <f aca="false">D6*D7/100</f>
        <v>31093.6403566404</v>
      </c>
      <c r="E8" s="0" t="n">
        <f aca="false">E6*E7/100</f>
        <v>33135.1419962178</v>
      </c>
      <c r="F8" s="0" t="n">
        <f aca="false">F6*F7/100</f>
        <v>35139.818086989</v>
      </c>
      <c r="G8" s="0" t="n">
        <f aca="false">G6*G7/100</f>
        <v>37084.685246457</v>
      </c>
      <c r="H8" s="0" t="n">
        <f aca="false">H6*H7/100</f>
        <v>38946.1910156909</v>
      </c>
      <c r="I8" s="0" t="n">
        <f aca="false">I6*I7/100</f>
        <v>40700.6602031939</v>
      </c>
      <c r="J8" s="0" t="n">
        <f aca="false">J6*J7/100</f>
        <v>41921.6800092897</v>
      </c>
      <c r="K8" s="0" t="n">
        <f aca="false">K6*K7/100</f>
        <v>43179.3304095684</v>
      </c>
      <c r="L8" s="0" t="n">
        <f aca="false">L6*L7/100</f>
        <v>44258.8136698076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29195.90643816</v>
      </c>
      <c r="D11" s="0" t="n">
        <f aca="false">D8+D10+D24</f>
        <v>31093.6403566404</v>
      </c>
      <c r="E11" s="0" t="n">
        <f aca="false">E8+E10+E24</f>
        <v>33135.1419962178</v>
      </c>
      <c r="F11" s="0" t="n">
        <f aca="false">F8+F10+F24</f>
        <v>35139.818086989</v>
      </c>
      <c r="G11" s="0" t="n">
        <f aca="false">G8+G10+G24</f>
        <v>37084.685246457</v>
      </c>
      <c r="H11" s="0" t="n">
        <f aca="false">H8+H10+H24</f>
        <v>38946.1910156909</v>
      </c>
      <c r="I11" s="0" t="n">
        <f aca="false">I8+I10+I24</f>
        <v>40700.6602031939</v>
      </c>
      <c r="J11" s="0" t="n">
        <f aca="false">J8+J10+J24</f>
        <v>41921.6800092897</v>
      </c>
      <c r="K11" s="0" t="n">
        <f aca="false">K8+K10+K24</f>
        <v>43179.3304095684</v>
      </c>
      <c r="L11" s="0" t="n">
        <f aca="false">L8+L10+L24</f>
        <v>44258.8136698076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-9731.96881272</v>
      </c>
      <c r="D12" s="4" t="n">
        <f aca="false">-D6*Assumptions!D31/100</f>
        <v>-10364.5467855468</v>
      </c>
      <c r="E12" s="4" t="n">
        <f aca="false">-E6*Assumptions!E31/100</f>
        <v>-10934.5968587519</v>
      </c>
      <c r="F12" s="4" t="n">
        <f aca="false">-F6*Assumptions!F31/100</f>
        <v>-11481.3267016895</v>
      </c>
      <c r="G12" s="4" t="n">
        <f aca="false">-G6*Assumptions!G31/100</f>
        <v>-11997.9864032655</v>
      </c>
      <c r="H12" s="4" t="n">
        <f aca="false">-H6*Assumptions!H31/100</f>
        <v>-12477.9058593961</v>
      </c>
      <c r="I12" s="4" t="n">
        <f aca="false">-I6*Assumptions!I31/100</f>
        <v>-12914.632564475</v>
      </c>
      <c r="J12" s="4" t="n">
        <f aca="false">-J6*Assumptions!J31/100</f>
        <v>-13302.0715414092</v>
      </c>
      <c r="K12" s="4" t="n">
        <f aca="false">-K6*Assumptions!K31/100</f>
        <v>-13701.1336876515</v>
      </c>
      <c r="L12" s="4" t="n">
        <f aca="false">-L6*Assumptions!L31/100</f>
        <v>-14043.6620298428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19463.93762544</v>
      </c>
      <c r="D13" s="0" t="n">
        <f aca="false">D11+D12</f>
        <v>20729.0935710936</v>
      </c>
      <c r="E13" s="0" t="n">
        <f aca="false">E11+E12</f>
        <v>22200.5451374659</v>
      </c>
      <c r="F13" s="0" t="n">
        <f aca="false">F11+F12</f>
        <v>23658.4913852995</v>
      </c>
      <c r="G13" s="0" t="n">
        <f aca="false">G11+G12</f>
        <v>25086.6988431915</v>
      </c>
      <c r="H13" s="0" t="n">
        <f aca="false">H11+H12</f>
        <v>26468.2851562948</v>
      </c>
      <c r="I13" s="0" t="n">
        <f aca="false">I11+I12</f>
        <v>27786.0276387189</v>
      </c>
      <c r="J13" s="0" t="n">
        <f aca="false">J11+J12</f>
        <v>28619.6084678805</v>
      </c>
      <c r="K13" s="0" t="n">
        <f aca="false">K11+K12</f>
        <v>29478.1967219169</v>
      </c>
      <c r="L13" s="0" t="n">
        <f aca="false">L11+L12</f>
        <v>30215.1516399648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32</v>
      </c>
      <c r="D14" s="4" t="n">
        <f aca="false">Assumptions!D33</f>
        <v>32</v>
      </c>
      <c r="E14" s="4" t="n">
        <f aca="false">Assumptions!E33</f>
        <v>32.5</v>
      </c>
      <c r="F14" s="4" t="n">
        <f aca="false">Assumptions!F33</f>
        <v>32.5</v>
      </c>
      <c r="G14" s="4" t="n">
        <f aca="false">Assumptions!G33</f>
        <v>33</v>
      </c>
      <c r="H14" s="4" t="n">
        <f aca="false">Assumptions!H33</f>
        <v>33</v>
      </c>
      <c r="I14" s="4" t="n">
        <f aca="false">Assumptions!I33</f>
        <v>33.5</v>
      </c>
      <c r="J14" s="4" t="n">
        <f aca="false">Assumptions!J33</f>
        <v>33.5</v>
      </c>
      <c r="K14" s="4" t="n">
        <f aca="false">Assumptions!K33</f>
        <v>33.5</v>
      </c>
      <c r="L14" s="4" t="n">
        <f aca="false">Assumptions!L33</f>
        <v>33.5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13235.4775852992</v>
      </c>
      <c r="D15" s="0" t="n">
        <f aca="false">D13-MAX(0,D13)*D14/100</f>
        <v>14095.7836283436</v>
      </c>
      <c r="E15" s="0" t="n">
        <f aca="false">E13-MAX(0,E13)*E14/100</f>
        <v>14985.3679677895</v>
      </c>
      <c r="F15" s="0" t="n">
        <f aca="false">F13-MAX(0,F13)*F14/100</f>
        <v>15969.4816850772</v>
      </c>
      <c r="G15" s="0" t="n">
        <f aca="false">G13-MAX(0,G13)*G14/100</f>
        <v>16808.0882249383</v>
      </c>
      <c r="H15" s="0" t="n">
        <f aca="false">H13-MAX(0,H13)*H14/100</f>
        <v>17733.7510547175</v>
      </c>
      <c r="I15" s="0" t="n">
        <f aca="false">I13-MAX(0,I13)*I14/100</f>
        <v>18477.7083797481</v>
      </c>
      <c r="J15" s="0" t="n">
        <f aca="false">J13-MAX(0,J13)*J14/100</f>
        <v>19032.0396311405</v>
      </c>
      <c r="K15" s="0" t="n">
        <f aca="false">K13-MAX(0,K13)*K14/100</f>
        <v>19603.0008200747</v>
      </c>
      <c r="L15" s="0" t="n">
        <f aca="false">L13-MAX(0,L13)*L14/100</f>
        <v>20093.0758405766</v>
      </c>
    </row>
    <row r="16" customFormat="false" ht="15" hidden="false" customHeight="false" outlineLevel="0" collapsed="false">
      <c r="A16" s="0" t="s">
        <v>117</v>
      </c>
      <c r="C16" s="0" t="n">
        <f aca="false">-C12</f>
        <v>9731.96881272</v>
      </c>
      <c r="D16" s="0" t="n">
        <f aca="false">-D12</f>
        <v>10364.5467855468</v>
      </c>
      <c r="E16" s="0" t="n">
        <f aca="false">-E12</f>
        <v>10934.5968587519</v>
      </c>
      <c r="F16" s="0" t="n">
        <f aca="false">-F12</f>
        <v>11481.3267016895</v>
      </c>
      <c r="G16" s="0" t="n">
        <f aca="false">-G12</f>
        <v>11997.9864032655</v>
      </c>
      <c r="H16" s="0" t="n">
        <f aca="false">-H12</f>
        <v>12477.9058593961</v>
      </c>
      <c r="I16" s="0" t="n">
        <f aca="false">-I12</f>
        <v>12914.632564475</v>
      </c>
      <c r="J16" s="0" t="n">
        <f aca="false">-J12</f>
        <v>13302.0715414092</v>
      </c>
      <c r="K16" s="0" t="n">
        <f aca="false">-K12</f>
        <v>13701.1336876515</v>
      </c>
      <c r="L16" s="0" t="n">
        <f aca="false">-L12</f>
        <v>14043.6620298428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-10911.60139608</v>
      </c>
      <c r="D17" s="4" t="n">
        <f aca="false">-D6*Assumptions!D32/100</f>
        <v>-11620.8554868252</v>
      </c>
      <c r="E17" s="4" t="n">
        <f aca="false">-E6*Assumptions!E32/100</f>
        <v>-12260.0025386006</v>
      </c>
      <c r="F17" s="4" t="n">
        <f aca="false">-F6*Assumptions!F32/100</f>
        <v>-12525.0836745703</v>
      </c>
      <c r="G17" s="4" t="n">
        <f aca="false">-G6*Assumptions!G32/100</f>
        <v>-13088.712439926</v>
      </c>
      <c r="H17" s="4" t="n">
        <f aca="false">-H6*Assumptions!H32/100</f>
        <v>-13234.1425781474</v>
      </c>
      <c r="I17" s="4" t="n">
        <f aca="false">-I6*Assumptions!I32/100</f>
        <v>-13697.3375683825</v>
      </c>
      <c r="J17" s="4" t="n">
        <f aca="false">-J6*Assumptions!J32/100</f>
        <v>-14108.257695434</v>
      </c>
      <c r="K17" s="4" t="n">
        <f aca="false">-K6*Assumptions!K32/100</f>
        <v>-14531.505426297</v>
      </c>
      <c r="L17" s="4" t="n">
        <f aca="false">-L6*Assumptions!L32/100</f>
        <v>-14894.7930619545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-2184.504784</v>
      </c>
      <c r="D18" s="4" t="n">
        <f aca="false">(D6-C6)*Assumptions!$B$37/100</f>
        <v>-1916.90294796</v>
      </c>
      <c r="E18" s="4" t="n">
        <f aca="false">(E6-D6)*Assumptions!$B$37/100</f>
        <v>-1727.4244642578</v>
      </c>
      <c r="F18" s="4" t="n">
        <f aca="false">(F6-E6)*Assumptions!$B$37/100</f>
        <v>-1656.75709981089</v>
      </c>
      <c r="G18" s="4" t="n">
        <f aca="false">(G6-F6)*Assumptions!$B$37/100</f>
        <v>-1565.63545932129</v>
      </c>
      <c r="H18" s="4" t="n">
        <f aca="false">(H6-G6)*Assumptions!$B$37/100</f>
        <v>-1454.301382214</v>
      </c>
      <c r="I18" s="4" t="n">
        <f aca="false">(I6-H6)*Assumptions!$B$37/100</f>
        <v>-1323.41425781474</v>
      </c>
      <c r="J18" s="4" t="n">
        <f aca="false">(J6-I6)*Assumptions!$B$37/100</f>
        <v>-1174.05750586136</v>
      </c>
      <c r="K18" s="4" t="n">
        <f aca="false">(K6-J6)*Assumptions!$B$37/100</f>
        <v>-1209.27923103721</v>
      </c>
      <c r="L18" s="4" t="n">
        <f aca="false">(L6-K6)*Assumptions!$B$37/100</f>
        <v>-1037.96467330693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9871.3402179392</v>
      </c>
      <c r="D19" s="0" t="n">
        <f aca="false">D15+D16+D17+D18</f>
        <v>10922.5719791053</v>
      </c>
      <c r="E19" s="0" t="n">
        <f aca="false">E15+E16+E17+E18</f>
        <v>11932.537823683</v>
      </c>
      <c r="F19" s="0" t="n">
        <f aca="false">F15+F16+F17+F18</f>
        <v>13268.9676123854</v>
      </c>
      <c r="G19" s="0" t="n">
        <f aca="false">G15+G16+G17+G18</f>
        <v>14151.7267289565</v>
      </c>
      <c r="H19" s="0" t="n">
        <f aca="false">H15+H16+H17+H18</f>
        <v>15523.2129537522</v>
      </c>
      <c r="I19" s="0" t="n">
        <f aca="false">I15+I16+I17+I18</f>
        <v>16371.5891180257</v>
      </c>
      <c r="J19" s="0" t="n">
        <f aca="false">J15+J16+J17+J18</f>
        <v>17051.7959712543</v>
      </c>
      <c r="K19" s="0" t="n">
        <f aca="false">K15+K16+K17+K18</f>
        <v>17563.349850392</v>
      </c>
      <c r="L19" s="0" t="n">
        <f aca="false">L15+L16+L17+L18</f>
        <v>18203.980135158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9056.27542930202</v>
      </c>
      <c r="D21" s="0" t="n">
        <f aca="false">D19*D20</f>
        <v>9193.31030982682</v>
      </c>
      <c r="E21" s="0" t="n">
        <f aca="false">E19*E20</f>
        <v>9214.1085826518</v>
      </c>
      <c r="F21" s="0" t="n">
        <f aca="false">F19*F20</f>
        <v>9400.07118142139</v>
      </c>
      <c r="G21" s="0" t="n">
        <f aca="false">G19*G20</f>
        <v>9197.65137146605</v>
      </c>
      <c r="H21" s="0" t="n">
        <f aca="false">H19*H20</f>
        <v>9255.98469251065</v>
      </c>
      <c r="I21" s="0" t="n">
        <f aca="false">I19*I20</f>
        <v>8955.81989006428</v>
      </c>
      <c r="J21" s="0" t="n">
        <f aca="false">J19*J20</f>
        <v>8557.72140583251</v>
      </c>
      <c r="K21" s="0" t="n">
        <f aca="false">K19*K20</f>
        <v>8086.65417248393</v>
      </c>
      <c r="L21" s="0" t="n">
        <f aca="false">L19*L20</f>
        <v>7689.55793760517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88607.1549731646</v>
      </c>
    </row>
    <row r="31" customFormat="false" ht="15" hidden="false" customHeight="false" outlineLevel="0" collapsed="false">
      <c r="A31" s="0" t="s">
        <v>126</v>
      </c>
      <c r="B31" s="0" t="n">
        <f aca="false">L19</f>
        <v>18203.980135158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287062.763669799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218447.761621896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218447.761621896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92274.695251262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180881.850224427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202696.850224427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8.28264826991707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0.528163887438573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8.28264826991707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149272.637108295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5.14686329468737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11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273063.098</v>
      </c>
      <c r="C6" s="0" t="n">
        <f aca="false">B6*(1+C5/100)</f>
        <v>303100.03878</v>
      </c>
      <c r="D6" s="0" t="n">
        <f aca="false">C6*(1+D5/100)</f>
        <v>330379.0422702</v>
      </c>
      <c r="E6" s="0" t="n">
        <f aca="false">D6*(1+E5/100)</f>
        <v>356809.365651816</v>
      </c>
      <c r="F6" s="0" t="n">
        <f aca="false">E6*(1+F5/100)</f>
        <v>381786.021247443</v>
      </c>
      <c r="G6" s="0" t="n">
        <f aca="false">F6*(1+G5/100)</f>
        <v>404693.18252229</v>
      </c>
      <c r="H6" s="0" t="n">
        <f aca="false">G6*(1+H5/100)</f>
        <v>424927.841648404</v>
      </c>
      <c r="I6" s="0" t="n">
        <f aca="false">H6*(1+I5/100)</f>
        <v>444049.594522583</v>
      </c>
      <c r="J6" s="0" t="n">
        <f aca="false">I6*(1+J5/100)</f>
        <v>461811.578303486</v>
      </c>
      <c r="K6" s="0" t="n">
        <f aca="false">J6*(1+K5/100)</f>
        <v>477974.983544108</v>
      </c>
      <c r="L6" s="0" t="n">
        <f aca="false">K6*(1+L5/100)</f>
        <v>492314.233050431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10.2</v>
      </c>
      <c r="D7" s="4" t="n">
        <f aca="false">Assumptions!D42</f>
        <v>10.4</v>
      </c>
      <c r="E7" s="4" t="n">
        <f aca="false">Assumptions!E42</f>
        <v>10.6</v>
      </c>
      <c r="F7" s="4" t="n">
        <f aca="false">Assumptions!F42</f>
        <v>10.8</v>
      </c>
      <c r="G7" s="4" t="n">
        <f aca="false">Assumptions!G42</f>
        <v>11</v>
      </c>
      <c r="H7" s="4" t="n">
        <f aca="false">Assumptions!H42</f>
        <v>11.2</v>
      </c>
      <c r="I7" s="4" t="n">
        <f aca="false">Assumptions!I42</f>
        <v>11.3</v>
      </c>
      <c r="J7" s="4" t="n">
        <f aca="false">Assumptions!J42</f>
        <v>11.4</v>
      </c>
      <c r="K7" s="4" t="n">
        <f aca="false">Assumptions!K42</f>
        <v>11.5</v>
      </c>
      <c r="L7" s="4" t="n">
        <f aca="false">Assumptions!L42</f>
        <v>11.5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30916.20395556</v>
      </c>
      <c r="D8" s="0" t="n">
        <f aca="false">D6*D7/100</f>
        <v>34359.4203961008</v>
      </c>
      <c r="E8" s="0" t="n">
        <f aca="false">E6*E7/100</f>
        <v>37821.7927590925</v>
      </c>
      <c r="F8" s="0" t="n">
        <f aca="false">F6*F7/100</f>
        <v>41232.8902947239</v>
      </c>
      <c r="G8" s="0" t="n">
        <f aca="false">G6*G7/100</f>
        <v>44516.2500774519</v>
      </c>
      <c r="H8" s="0" t="n">
        <f aca="false">H6*H7/100</f>
        <v>47591.9182646213</v>
      </c>
      <c r="I8" s="0" t="n">
        <f aca="false">I6*I7/100</f>
        <v>50177.6041810518</v>
      </c>
      <c r="J8" s="0" t="n">
        <f aca="false">J6*J7/100</f>
        <v>52646.5199265974</v>
      </c>
      <c r="K8" s="0" t="n">
        <f aca="false">K6*K7/100</f>
        <v>54967.1231075724</v>
      </c>
      <c r="L8" s="0" t="n">
        <f aca="false">L6*L7/100</f>
        <v>56616.1368007996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30916.20395556</v>
      </c>
      <c r="D11" s="0" t="n">
        <f aca="false">D8+D10+D24</f>
        <v>34359.4203961008</v>
      </c>
      <c r="E11" s="0" t="n">
        <f aca="false">E8+E10+E24</f>
        <v>37821.7927590925</v>
      </c>
      <c r="F11" s="0" t="n">
        <f aca="false">F8+F10+F24</f>
        <v>41232.8902947239</v>
      </c>
      <c r="G11" s="0" t="n">
        <f aca="false">G8+G10+G24</f>
        <v>44516.2500774519</v>
      </c>
      <c r="H11" s="0" t="n">
        <f aca="false">H8+H10+H24</f>
        <v>47591.9182646213</v>
      </c>
      <c r="I11" s="0" t="n">
        <f aca="false">I8+I10+I24</f>
        <v>50177.6041810518</v>
      </c>
      <c r="J11" s="0" t="n">
        <f aca="false">J8+J10+J24</f>
        <v>52646.5199265974</v>
      </c>
      <c r="K11" s="0" t="n">
        <f aca="false">K8+K10+K24</f>
        <v>54967.1231075724</v>
      </c>
      <c r="L11" s="0" t="n">
        <f aca="false">L8+L10+L24</f>
        <v>56616.1368007996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-10002.30127974</v>
      </c>
      <c r="D12" s="4" t="n">
        <f aca="false">-D6*Assumptions!D45/100</f>
        <v>-10902.5083949166</v>
      </c>
      <c r="E12" s="4" t="n">
        <f aca="false">-E6*Assumptions!E45/100</f>
        <v>-11774.7090665099</v>
      </c>
      <c r="F12" s="4" t="n">
        <f aca="false">-F6*Assumptions!F45/100</f>
        <v>-12598.9387011656</v>
      </c>
      <c r="G12" s="4" t="n">
        <f aca="false">-G6*Assumptions!G45/100</f>
        <v>-13354.8750232356</v>
      </c>
      <c r="H12" s="4" t="n">
        <f aca="false">-H6*Assumptions!H45/100</f>
        <v>-14022.6187743973</v>
      </c>
      <c r="I12" s="4" t="n">
        <f aca="false">-I6*Assumptions!I45/100</f>
        <v>-14653.6366192452</v>
      </c>
      <c r="J12" s="4" t="n">
        <f aca="false">-J6*Assumptions!J45/100</f>
        <v>-15239.782084015</v>
      </c>
      <c r="K12" s="4" t="n">
        <f aca="false">-K6*Assumptions!K45/100</f>
        <v>-15773.1744569556</v>
      </c>
      <c r="L12" s="4" t="n">
        <f aca="false">-L6*Assumptions!L45/100</f>
        <v>-16246.3696906642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20913.90267582</v>
      </c>
      <c r="D13" s="0" t="n">
        <f aca="false">D11+D12</f>
        <v>23456.9120011842</v>
      </c>
      <c r="E13" s="0" t="n">
        <f aca="false">E11+E12</f>
        <v>26047.0836925826</v>
      </c>
      <c r="F13" s="0" t="n">
        <f aca="false">F11+F12</f>
        <v>28633.9515935582</v>
      </c>
      <c r="G13" s="0" t="n">
        <f aca="false">G11+G12</f>
        <v>31161.3750542163</v>
      </c>
      <c r="H13" s="0" t="n">
        <f aca="false">H11+H12</f>
        <v>33569.2994902239</v>
      </c>
      <c r="I13" s="0" t="n">
        <f aca="false">I11+I12</f>
        <v>35523.9675618066</v>
      </c>
      <c r="J13" s="0" t="n">
        <f aca="false">J11+J12</f>
        <v>37406.7378425824</v>
      </c>
      <c r="K13" s="0" t="n">
        <f aca="false">K11+K12</f>
        <v>39193.9486506168</v>
      </c>
      <c r="L13" s="0" t="n">
        <f aca="false">L11+L12</f>
        <v>40369.7671101353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31.5</v>
      </c>
      <c r="F14" s="4" t="n">
        <f aca="false">Assumptions!F47</f>
        <v>31.5</v>
      </c>
      <c r="G14" s="4" t="n">
        <f aca="false">Assumptions!G47</f>
        <v>32</v>
      </c>
      <c r="H14" s="4" t="n">
        <f aca="false">Assumptions!H47</f>
        <v>32</v>
      </c>
      <c r="I14" s="4" t="n">
        <f aca="false">Assumptions!I47</f>
        <v>32</v>
      </c>
      <c r="J14" s="4" t="n">
        <f aca="false">Assumptions!J47</f>
        <v>32</v>
      </c>
      <c r="K14" s="4" t="n">
        <f aca="false">Assumptions!K47</f>
        <v>32</v>
      </c>
      <c r="L14" s="4" t="n">
        <f aca="false">Assumptions!L47</f>
        <v>32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14430.5928463158</v>
      </c>
      <c r="D15" s="0" t="n">
        <f aca="false">D13-MAX(0,D13)*D14/100</f>
        <v>16185.2692808171</v>
      </c>
      <c r="E15" s="0" t="n">
        <f aca="false">E13-MAX(0,E13)*E14/100</f>
        <v>17842.2523294191</v>
      </c>
      <c r="F15" s="0" t="n">
        <f aca="false">F13-MAX(0,F13)*F14/100</f>
        <v>19614.2568415874</v>
      </c>
      <c r="G15" s="0" t="n">
        <f aca="false">G13-MAX(0,G13)*G14/100</f>
        <v>21189.7350368671</v>
      </c>
      <c r="H15" s="0" t="n">
        <f aca="false">H13-MAX(0,H13)*H14/100</f>
        <v>22827.1236533523</v>
      </c>
      <c r="I15" s="0" t="n">
        <f aca="false">I13-MAX(0,I13)*I14/100</f>
        <v>24156.2979420285</v>
      </c>
      <c r="J15" s="0" t="n">
        <f aca="false">J13-MAX(0,J13)*J14/100</f>
        <v>25436.581732956</v>
      </c>
      <c r="K15" s="0" t="n">
        <f aca="false">K13-MAX(0,K13)*K14/100</f>
        <v>26651.8850824194</v>
      </c>
      <c r="L15" s="0" t="n">
        <f aca="false">L13-MAX(0,L13)*L14/100</f>
        <v>27451.441634892</v>
      </c>
    </row>
    <row r="16" customFormat="false" ht="15" hidden="false" customHeight="false" outlineLevel="0" collapsed="false">
      <c r="A16" s="0" t="s">
        <v>117</v>
      </c>
      <c r="C16" s="0" t="n">
        <f aca="false">-C12</f>
        <v>10002.30127974</v>
      </c>
      <c r="D16" s="0" t="n">
        <f aca="false">-D12</f>
        <v>10902.5083949166</v>
      </c>
      <c r="E16" s="0" t="n">
        <f aca="false">-E12</f>
        <v>11774.7090665099</v>
      </c>
      <c r="F16" s="0" t="n">
        <f aca="false">-F12</f>
        <v>12598.9387011656</v>
      </c>
      <c r="G16" s="0" t="n">
        <f aca="false">-G12</f>
        <v>13354.8750232356</v>
      </c>
      <c r="H16" s="0" t="n">
        <f aca="false">-H12</f>
        <v>14022.6187743973</v>
      </c>
      <c r="I16" s="0" t="n">
        <f aca="false">-I12</f>
        <v>14653.6366192452</v>
      </c>
      <c r="J16" s="0" t="n">
        <f aca="false">-J12</f>
        <v>15239.782084015</v>
      </c>
      <c r="K16" s="0" t="n">
        <f aca="false">-K12</f>
        <v>15773.1744569556</v>
      </c>
      <c r="L16" s="0" t="n">
        <f aca="false">-L12</f>
        <v>16246.3696906642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-11820.90151242</v>
      </c>
      <c r="D17" s="4" t="n">
        <f aca="false">-D6*Assumptions!D46/100</f>
        <v>-12884.7826485378</v>
      </c>
      <c r="E17" s="4" t="n">
        <f aca="false">-E6*Assumptions!E46/100</f>
        <v>-13558.755894769</v>
      </c>
      <c r="F17" s="4" t="n">
        <f aca="false">-F6*Assumptions!F46/100</f>
        <v>-14507.8688074028</v>
      </c>
      <c r="G17" s="4" t="n">
        <f aca="false">-G6*Assumptions!G46/100</f>
        <v>-14973.6477533247</v>
      </c>
      <c r="H17" s="4" t="n">
        <f aca="false">-H6*Assumptions!H46/100</f>
        <v>-15722.330140991</v>
      </c>
      <c r="I17" s="4" t="n">
        <f aca="false">-I6*Assumptions!I46/100</f>
        <v>-15985.785402813</v>
      </c>
      <c r="J17" s="4" t="n">
        <f aca="false">-J6*Assumptions!J46/100</f>
        <v>-16625.2168189255</v>
      </c>
      <c r="K17" s="4" t="n">
        <f aca="false">-K6*Assumptions!K46/100</f>
        <v>-16729.1244240438</v>
      </c>
      <c r="L17" s="4" t="n">
        <f aca="false">-L6*Assumptions!L46/100</f>
        <v>-17230.9981567651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-1802.2164468</v>
      </c>
      <c r="D18" s="4" t="n">
        <f aca="false">(D6-C6)*Assumptions!$B$51/100</f>
        <v>-1636.740209412</v>
      </c>
      <c r="E18" s="4" t="n">
        <f aca="false">(E6-D6)*Assumptions!$B$51/100</f>
        <v>-1585.81940289696</v>
      </c>
      <c r="F18" s="4" t="n">
        <f aca="false">(F6-E6)*Assumptions!$B$51/100</f>
        <v>-1498.59933573763</v>
      </c>
      <c r="G18" s="4" t="n">
        <f aca="false">(G6-F6)*Assumptions!$B$51/100</f>
        <v>-1374.4296764908</v>
      </c>
      <c r="H18" s="4" t="n">
        <f aca="false">(H6-G6)*Assumptions!$B$51/100</f>
        <v>-1214.07954756687</v>
      </c>
      <c r="I18" s="4" t="n">
        <f aca="false">(I6-H6)*Assumptions!$B$51/100</f>
        <v>-1147.30517245069</v>
      </c>
      <c r="J18" s="4" t="n">
        <f aca="false">(J6-I6)*Assumptions!$B$51/100</f>
        <v>-1065.7190268542</v>
      </c>
      <c r="K18" s="4" t="n">
        <f aca="false">(K6-J6)*Assumptions!$B$51/100</f>
        <v>-969.804314437317</v>
      </c>
      <c r="L18" s="4" t="n">
        <f aca="false">(L6-K6)*Assumptions!$B$51/100</f>
        <v>-860.354970379395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10809.7761668358</v>
      </c>
      <c r="D19" s="0" t="n">
        <f aca="false">D15+D16+D17+D18</f>
        <v>12566.2548177839</v>
      </c>
      <c r="E19" s="0" t="n">
        <f aca="false">E15+E16+E17+E18</f>
        <v>14472.386098263</v>
      </c>
      <c r="F19" s="0" t="n">
        <f aca="false">F15+F16+F17+F18</f>
        <v>16206.7273996126</v>
      </c>
      <c r="G19" s="0" t="n">
        <f aca="false">G15+G16+G17+G18</f>
        <v>18196.5326302871</v>
      </c>
      <c r="H19" s="0" t="n">
        <f aca="false">H15+H16+H17+H18</f>
        <v>19913.3327391918</v>
      </c>
      <c r="I19" s="0" t="n">
        <f aca="false">I15+I16+I17+I18</f>
        <v>21676.84398601</v>
      </c>
      <c r="J19" s="0" t="n">
        <f aca="false">J15+J16+J17+J18</f>
        <v>22985.4279711913</v>
      </c>
      <c r="K19" s="0" t="n">
        <f aca="false">K15+K16+K17+K18</f>
        <v>24726.1308008939</v>
      </c>
      <c r="L19" s="0" t="n">
        <f aca="false">L15+L16+L17+L18</f>
        <v>25606.4581984118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9917.22584113376</v>
      </c>
      <c r="D21" s="0" t="n">
        <f aca="false">D19*D20</f>
        <v>10576.7652704182</v>
      </c>
      <c r="E21" s="0" t="n">
        <f aca="false">E19*E20</f>
        <v>11175.3374621441</v>
      </c>
      <c r="F21" s="0" t="n">
        <f aca="false">F19*F20</f>
        <v>11481.2542787466</v>
      </c>
      <c r="G21" s="0" t="n">
        <f aca="false">G19*G20</f>
        <v>11826.4976782256</v>
      </c>
      <c r="H21" s="0" t="n">
        <f aca="false">H19*H20</f>
        <v>11873.6696816543</v>
      </c>
      <c r="I21" s="0" t="n">
        <f aca="false">I19*I20</f>
        <v>11857.9759804734</v>
      </c>
      <c r="J21" s="0" t="n">
        <f aca="false">J19*J20</f>
        <v>11535.6112225882</v>
      </c>
      <c r="K21" s="0" t="n">
        <f aca="false">K19*K20</f>
        <v>11384.5975006852</v>
      </c>
      <c r="L21" s="0" t="n">
        <f aca="false">L19*L20</f>
        <v>10816.4446693318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112445.379585401</v>
      </c>
    </row>
    <row r="31" customFormat="false" ht="15" hidden="false" customHeight="false" outlineLevel="0" collapsed="false">
      <c r="A31" s="0" t="s">
        <v>126</v>
      </c>
      <c r="B31" s="0" t="n">
        <f aca="false">L19</f>
        <v>25606.4581984118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439577.532406069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307277.498380941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307277.498380941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129797.336031982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242242.715617383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264057.715617383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10.789990959381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0.990773239738195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10.789990959381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219788.766203034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6.55857474204973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5.43605150766284</v>
      </c>
      <c r="C4" s="0" t="n">
        <f aca="false">B4/Assumptions!$B$2-1</f>
        <v>0.00296153277912103</v>
      </c>
      <c r="D4" s="4" t="n">
        <f aca="false">Assumptions!$B$24</f>
        <v>0.3</v>
      </c>
      <c r="E4" s="4" t="n">
        <f aca="false">DCF_Bear!$B$43</f>
        <v>5.43605150766284</v>
      </c>
      <c r="F4" s="4" t="n">
        <f aca="false">DCF_Bear!$B$47</f>
        <v>3.70828913236828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8.28264826991707</v>
      </c>
      <c r="C5" s="0" t="n">
        <f aca="false">B5/Assumptions!$B$2-1</f>
        <v>0.528163887438573</v>
      </c>
      <c r="D5" s="4" t="n">
        <f aca="false">Assumptions!$B$38</f>
        <v>0.45</v>
      </c>
      <c r="E5" s="4" t="n">
        <f aca="false">DCF_Base!$B$43</f>
        <v>8.28264826991707</v>
      </c>
      <c r="F5" s="4" t="n">
        <f aca="false">DCF_Base!$B$47</f>
        <v>5.14686329468737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10.789990959381</v>
      </c>
      <c r="C6" s="0" t="n">
        <f aca="false">B6/Assumptions!$B$2-1</f>
        <v>0.990773239738195</v>
      </c>
      <c r="D6" s="4" t="n">
        <f aca="false">Assumptions!$B$52</f>
        <v>0.25</v>
      </c>
      <c r="E6" s="4" t="n">
        <f aca="false">DCF_Bull!$B$43</f>
        <v>10.789990959381</v>
      </c>
      <c r="F6" s="4" t="n">
        <f aca="false">DCF_Bull!$B$47</f>
        <v>6.55857474204973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8.05550491360678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8.05550491360678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0.327168183977528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5.06821890783223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8.28264826991707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7.78170233730836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7.32383063163073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6.61491325500914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5.14686329468737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9.43315505112939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9.43315505112939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9.43315505112939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9.43315505112939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9.43315505112939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8.83137276508359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8.83137276508359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8.83137276508359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8.83137276508359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8.83137276508359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8.28264826991707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8.28264826991707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8.28264826991707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8.28264826991707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8.28264826991707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7.76483242601686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7.78170233730836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7.78170233730836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7.78170233730836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7.78170233730836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6.97912752958506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7.14918105992759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7.32383063163073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7.32383063163073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7.32383063163073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2026-10-16T16:38:05Z</dcterms:created>
  <dc:creator>openpyxl</dc:creator>
  <dc:description/>
  <dc:language>en-NZ</dc:language>
  <cp:lastModifiedBy/>
  <dcterms:modified xsi:type="dcterms:W3CDTF">2026-10-16T16:38:05Z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