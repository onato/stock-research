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<sst xmlns="http://schemas.openxmlformats.org/spreadsheetml/2006/main" count="354" uniqueCount="164">
  <si>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</si>
  <si>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ZIP.AX</t>
  </si>
  <si>
    <t xml:space="preserve">Company</t>
  </si>
  <si>
    <t xml:space="preserve">Zip Co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</si>
  <si>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</si>
  <si>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</si>
  <si>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</si>
  <si>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</si>
  <si>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2026-09-25T06:10:08Z (ASX regular close, Yahoo chart API)</t>
  </si>
  <si>
    <t xml:space="preserve">Balance sheet date</t>
  </si>
  <si>
    <t xml:space="preserve">2026-06-30</t>
  </si>
  <si>
    <t xml:space="preserve">Model</t>
  </si>
  <si>
    <t xml:space="preserve">Lender FCFE at cost of equity on cash EBTDA less book-growth equity (engine route)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</si>
  <si>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</si>
  <si>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</si>
  <si>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</si>
  <si>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</si>
  <si>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</si>
  <si>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</si>
  <si>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</si>
  <si>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</si>
  <si>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2026-09-25T06:33:09Z</t>
  </si>
  <si>
    <t xml:space="preserve">Drivers file</t>
  </si>
  <si>
    <t xml:space="preserve">ZIP.AX_Drivers.json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</si>
  <si>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</si>
  <si>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</si>
  <si>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</si>
  <si>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Zip is valued as a specialty lender: equity free cash flow (cash EBTDA after SBC, cash tax, capex, leases and the equity it must retain to fund receivables growth) discounted at a 13% AUD cost of equity, with warehouse/ABS debt treated as operating funding rather than net debt. Statutory history is too distorted by impairments (FY22), discontinued losses (FY23), a convertible extinguishment gain (FY24) and a DTA recognition (FY25) to extrapolate; the projection is anchored to FY27 guidance and decays to mid-cycle margins, with a heavier bear weight for credit-cycle risk.
key_risks_to_valuation: Credit losses on a non-prime US book in a downturn (bear case margin trough ~13%); Warehouse funding cost/renewal risk; ABS spreads widen in stress; Take-rate compression from Afterpay/Block, Klarna, Affirm, PayPal and bank instalment products; Equity-funding share of the book (wc_capture) is estimated, not disclosed; each 5pp moves base IV ~A$0.10-0.15/share; AUD/USD: ~59% of income is USD; a stronger AUD cuts reported cash EBTDA; Capital-allocation risk (history of failed M&amp;A; possible Nasdaq listing)</t>
  </si>
  <si>
    <t xml:space="preserve">Data sources</t>
  </si>
  <si>
    <t xml:space="preserve">price: Yahoo Finance chart API at inputs.price_as_of; 52-week range 1.375-4.93
financials: ZIP.AX_Metrics.csv / core_metrics + kpis (FY2019-FY2026); FY26 Annual Report cash EBTDA reconciliation, available-cash table, EPS note, tax note
qualitative: ZIP.AX_Analysis.json (FY26 results 20-Aug-2026, FY27 guidance)</t>
  </si>
  <si>
    <t xml:space="preserve">Scenario narrative: bear</t>
  </si>
  <si>
    <t xml:space="preserve">A US consumer-credit downturn hits Zip's low-to-middle-income, credit-constrained customer base in FY28: net bad debts break above 2% of TTV, warehouse spreads widen at renewal, management shrinks originations and margin falls to ~13% before recovering only to 17% as Afterpay/Klarna/Affirm and bank-native instalment products compress merchant take rates and the AU NCCP regime lifts compliance cost. Growth settles at 3-6%. Exit at 8x reflects a structurally lower-quality lender.</t>
  </si>
  <si>
    <t xml:space="preserve">Scenario narrative: base</t>
  </si>
  <si>
    <t xml:space="preserve">FY27 lands on guidance (cash EBTDA ~A$340m, 21% operating margin) as US TTV grows ~30% in USD, then growth decays toward nominal GDP by FY36 as the US book matures and Pay-in-2/Stripe/Google distribution is absorbed. Group margin drifts to 23% (US already 25%, ANZ 16% improving; NZ exit removes a sub-scale drag). US net bad debts stay inside the 1.5-2.0% of TTV band and warehouse funding margins hold. Zip retains ~20c of equity per $1 of revenue growth to fund the book and returns the rest via buybacks.</t>
  </si>
  <si>
    <t xml:space="preserve">Scenario narrative: bull</t>
  </si>
  <si>
    <t xml:space="preserve">US embedded-finance distribution (Stripe GA, Google Pay, Visa, agentic commerce) keeps US TTV growth &gt;30% for two more years and above 15% into FY30; scale lowers funding costs further (Nasdaq listing broadens the investor and ABS base) and operating margin climbs to 26% as fixed tech/opex is leveraged. Credit stays benign. Exit at 12x FCFE reflects a re-rating toward US BNPL peers.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</si>
  <si>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</si>
  <si>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</si>
  <si>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</si>
  <si>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</si>
  <si>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</si>
  <si>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</si>
  <si>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</si>
  <si>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</si>
  <si>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</si>
  <si>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</si>
  <si>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</si>
  <si>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</si>
  <si>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</si>
  <si>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</si>
  <si>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</si>
  <si>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</si>
  <si>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</si>
  <si>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</si>
  <si>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</si>
  <si>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</si>
  <si>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</si>
  <si>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</si>
  <si>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</si>
  <si>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</si>
  <si>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</si>
  <si>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</si>
  <si>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</si>
  <si>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FY2019</t>
  </si>
  <si>
    <t xml:space="preserve">thousands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</si>
  <si>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</si>
  <si>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</si>
  <si>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</si>
  <si>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</si>
  <si>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</si>
  <si>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</si>
  <si>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</si>
  <si>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</si>
  <si>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</si>
  <si>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</si>
  <si>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</si>
  <si>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</si>
  <si>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</si>
  <si>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</si>
  <si>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</si>
  <si>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</si>
  <si>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</si>
  <si>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</si>
  <si>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</si>
  <si>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</si>
  <si>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</si>
  <si>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</si>
  <si>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</si>
  <si>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</si>
  <si>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</si>
  <si>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</si>
  <si>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</si>
  <si>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</si>
  <si>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</si>
  <si>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</si>
  <si>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</si>
  <si>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</si>
  <si>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</si>
  <si>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</si>
  <si>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</si>
  <si>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</si>
  <si>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</si>
  <si>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</si>
  <si>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</si>
  <si>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</si>
  <si>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</si>
  <si>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</si>
  <si>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</si>
  <si>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</si>
  <si>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ZIP.AX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</si>
  <si>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</si>
  <si>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</si>
  <si>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</si>
  <si>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</si>
  <si>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</si>
  <si>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</si>
  <si>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</si>
  <si>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</si>
  <si>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</si>
  <si>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</si>
  <si>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</si>
  <si>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</si>
  <si>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</si>
  <si>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</si>
  <si>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</si>
  <si>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</si>
  <si>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</si>
  <si>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</si>
  <si>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</si>
  <si>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</si>
  <si>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</si>
  <si>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</si>
  <si>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</si>
  <si>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</si>
  <si>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</si>
  <si>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</si>
  <si>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</si>
  <si>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</si>
  <si>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</si>
  <si>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</si>
  <si>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ZIP.AX owner-FCF component DCF: base case (millions, AUD)</t>
  </si>
  <si>
    <t xml:space="preserve">ZIP.AX owner-FCF component DCF: bull case (millions, AUD)</t>
  </si>
  <si>
    <t xml:space="preserve">ZIP.AX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</si>
  <si>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</si>
  <si>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</si>
  <si>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</si>
  <si>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</si>
  <si>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</si>
  <si>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</si>
  <si>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</si>
  <si>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</si>
  <si>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</si>
  <si>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</si>
  <si>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</si>
  <si>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</si>
  <si>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</si>
  <si>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</si>
  <si>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</si>
  <si>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</si>
  <si>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</si>
  <si>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</si>
  <si>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13%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</si>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</sst>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1.985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84231</v>
      </c>
      <c r="C2" s="0" t="n">
        <v>51438</v>
      </c>
      <c r="D2" s="0" t="n">
        <v>30743</v>
      </c>
      <c r="E2" s="0" t="n">
        <v>36.5</v>
      </c>
      <c r="F2" s="0" t="n">
        <v>-11133</v>
      </c>
      <c r="G2" s="0" t="n">
        <v>-13.2</v>
      </c>
      <c r="I2" s="0" t="n">
        <v>-11133</v>
      </c>
      <c r="J2" s="0" t="n">
        <v>-13.2</v>
      </c>
      <c r="K2" s="0" t="n">
        <v>-0.0352</v>
      </c>
      <c r="L2" s="0" t="n">
        <v>22592</v>
      </c>
      <c r="M2" s="0" t="n">
        <v>3883</v>
      </c>
      <c r="N2" s="0" t="n">
        <v>18709</v>
      </c>
      <c r="O2" s="0" t="n">
        <v>76300</v>
      </c>
      <c r="P2" s="0" t="n">
        <v>685162</v>
      </c>
      <c r="Q2" s="0" t="n">
        <v>608862</v>
      </c>
      <c r="R2" s="0" t="n">
        <v>587445</v>
      </c>
      <c r="S2" s="0" t="n">
        <v>12611</v>
      </c>
      <c r="T2" s="0" t="n">
        <v>316278</v>
      </c>
      <c r="U2" s="0" t="n">
        <v>3215</v>
      </c>
      <c r="V2" s="0" t="n">
        <v>0</v>
      </c>
      <c r="AA2" s="0" t="s">
        <v>64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161001</v>
      </c>
      <c r="C3" s="0" t="n">
        <v>105334</v>
      </c>
      <c r="D3" s="0" t="n">
        <v>51659</v>
      </c>
      <c r="E3" s="0" t="n">
        <v>32.1</v>
      </c>
      <c r="F3" s="0" t="n">
        <v>-20072</v>
      </c>
      <c r="G3" s="0" t="n">
        <v>-12.5</v>
      </c>
      <c r="I3" s="0" t="n">
        <v>-19941</v>
      </c>
      <c r="J3" s="0" t="n">
        <v>-12.4</v>
      </c>
      <c r="K3" s="0" t="n">
        <v>-0.0531</v>
      </c>
      <c r="L3" s="0" t="n">
        <v>14628</v>
      </c>
      <c r="M3" s="0" t="n">
        <v>19477</v>
      </c>
      <c r="N3" s="0" t="n">
        <v>-4849</v>
      </c>
      <c r="O3" s="0" t="n">
        <v>205400</v>
      </c>
      <c r="P3" s="0" t="n">
        <v>1332033</v>
      </c>
      <c r="Q3" s="0" t="n">
        <v>1126633</v>
      </c>
      <c r="R3" s="0" t="n">
        <v>1081954</v>
      </c>
      <c r="S3" s="0" t="n">
        <v>32712</v>
      </c>
      <c r="T3" s="0" t="n">
        <v>375537</v>
      </c>
      <c r="U3" s="0" t="n">
        <v>20393</v>
      </c>
      <c r="V3" s="0" t="n">
        <v>0</v>
      </c>
      <c r="AA3" s="0" t="s">
        <v>64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394370</v>
      </c>
      <c r="F4" s="0" t="n">
        <v>-732592</v>
      </c>
      <c r="G4" s="0" t="n">
        <v>-185.8</v>
      </c>
      <c r="I4" s="0" t="n">
        <v>-678148</v>
      </c>
      <c r="J4" s="0" t="n">
        <v>-172</v>
      </c>
      <c r="K4" s="0" t="n">
        <v>-1.3193</v>
      </c>
      <c r="L4" s="0" t="n">
        <v>-887915</v>
      </c>
      <c r="M4" s="0" t="n">
        <v>13392</v>
      </c>
      <c r="N4" s="0" t="n">
        <v>-901307</v>
      </c>
      <c r="O4" s="0" t="n">
        <v>1123438</v>
      </c>
      <c r="P4" s="0" t="n">
        <v>3329813</v>
      </c>
      <c r="Q4" s="0" t="n">
        <v>2206375</v>
      </c>
      <c r="R4" s="0" t="n">
        <v>2129198</v>
      </c>
      <c r="S4" s="0" t="n">
        <v>289212</v>
      </c>
      <c r="T4" s="0" t="n">
        <v>514021</v>
      </c>
      <c r="U4" s="0" t="n">
        <v>142843</v>
      </c>
      <c r="V4" s="0" t="n">
        <v>0</v>
      </c>
      <c r="AA4" s="0" t="s">
        <v>64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621403</v>
      </c>
      <c r="F5" s="0" t="n">
        <v>-1074442</v>
      </c>
      <c r="G5" s="0" t="n">
        <v>-172.9</v>
      </c>
      <c r="I5" s="0" t="n">
        <v>-1105093</v>
      </c>
      <c r="J5" s="0" t="n">
        <v>-177.8</v>
      </c>
      <c r="K5" s="0" t="n">
        <v>-1.8126</v>
      </c>
      <c r="L5" s="0" t="n">
        <v>-752418</v>
      </c>
      <c r="M5" s="0" t="n">
        <v>29514</v>
      </c>
      <c r="N5" s="0" t="n">
        <v>-781932</v>
      </c>
      <c r="O5" s="0" t="n">
        <v>437749</v>
      </c>
      <c r="P5" s="0" t="n">
        <v>3379412</v>
      </c>
      <c r="Q5" s="0" t="n">
        <v>2941663</v>
      </c>
      <c r="R5" s="0" t="n">
        <v>2761825</v>
      </c>
      <c r="S5" s="0" t="n">
        <v>241326</v>
      </c>
      <c r="T5" s="0" t="n">
        <v>609676</v>
      </c>
      <c r="U5" s="0" t="n">
        <v>30937</v>
      </c>
      <c r="V5" s="0" t="n">
        <v>0</v>
      </c>
      <c r="AA5" s="0" t="s">
        <v>64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698102</v>
      </c>
      <c r="F6" s="0" t="n">
        <v>-262880</v>
      </c>
      <c r="G6" s="0" t="n">
        <v>-37.7</v>
      </c>
      <c r="I6" s="0" t="n">
        <v>-377015</v>
      </c>
      <c r="J6" s="0" t="n">
        <v>-54</v>
      </c>
      <c r="K6" s="0" t="n">
        <v>-0.5233</v>
      </c>
      <c r="L6" s="0" t="n">
        <v>-225027</v>
      </c>
      <c r="M6" s="0" t="n">
        <v>24568</v>
      </c>
      <c r="N6" s="0" t="n">
        <v>-249595</v>
      </c>
      <c r="O6" s="0" t="n">
        <v>234340</v>
      </c>
      <c r="P6" s="0" t="n">
        <v>3394767</v>
      </c>
      <c r="Q6" s="0" t="n">
        <v>3160427</v>
      </c>
      <c r="R6" s="0" t="n">
        <v>2918376</v>
      </c>
      <c r="S6" s="0" t="n">
        <v>151955</v>
      </c>
      <c r="T6" s="0" t="n">
        <v>720457</v>
      </c>
      <c r="U6" s="0" t="n">
        <v>14250</v>
      </c>
      <c r="V6" s="0" t="n">
        <v>0</v>
      </c>
      <c r="AA6" s="0" t="s">
        <v>64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875070</v>
      </c>
      <c r="F7" s="0" t="n">
        <v>69282</v>
      </c>
      <c r="G7" s="0" t="n">
        <v>7.9</v>
      </c>
      <c r="I7" s="0" t="n">
        <v>3657</v>
      </c>
      <c r="J7" s="0" t="n">
        <v>0.4</v>
      </c>
      <c r="K7" s="0" t="n">
        <v>0.0038</v>
      </c>
      <c r="L7" s="0" t="n">
        <v>272537</v>
      </c>
      <c r="M7" s="0" t="n">
        <v>17482</v>
      </c>
      <c r="N7" s="0" t="n">
        <v>255055</v>
      </c>
      <c r="O7" s="0" t="n">
        <v>398533</v>
      </c>
      <c r="P7" s="0" t="n">
        <v>3182260</v>
      </c>
      <c r="Q7" s="0" t="n">
        <v>2783727</v>
      </c>
      <c r="R7" s="0" t="n">
        <v>2403140</v>
      </c>
      <c r="S7" s="0" t="n">
        <v>121346</v>
      </c>
      <c r="T7" s="0" t="n">
        <v>1126660</v>
      </c>
      <c r="U7" s="0" t="n">
        <v>6620</v>
      </c>
      <c r="V7" s="0" t="n">
        <v>0</v>
      </c>
      <c r="AA7" s="0" t="s">
        <v>64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1081092</v>
      </c>
      <c r="F8" s="0" t="n">
        <v>26704</v>
      </c>
      <c r="G8" s="0" t="n">
        <v>2.5</v>
      </c>
      <c r="I8" s="0" t="n">
        <v>79895</v>
      </c>
      <c r="J8" s="0" t="n">
        <v>7.4</v>
      </c>
      <c r="K8" s="0" t="n">
        <v>0.062</v>
      </c>
      <c r="L8" s="0" t="n">
        <v>-49809</v>
      </c>
      <c r="M8" s="0" t="n">
        <v>19493</v>
      </c>
      <c r="N8" s="0" t="n">
        <v>-69302</v>
      </c>
      <c r="O8" s="0" t="n">
        <v>709520</v>
      </c>
      <c r="P8" s="0" t="n">
        <v>3504668</v>
      </c>
      <c r="Q8" s="0" t="n">
        <v>2795148</v>
      </c>
      <c r="R8" s="0" t="n">
        <v>2410629</v>
      </c>
      <c r="S8" s="0" t="n">
        <v>148964</v>
      </c>
      <c r="T8" s="0" t="n">
        <v>1292156</v>
      </c>
      <c r="U8" s="0" t="n">
        <v>13289</v>
      </c>
      <c r="V8" s="0" t="n">
        <v>0</v>
      </c>
      <c r="AA8" s="0" t="s">
        <v>64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1347358</v>
      </c>
      <c r="F9" s="0" t="n">
        <v>146239</v>
      </c>
      <c r="G9" s="0" t="n">
        <v>10.9</v>
      </c>
      <c r="I9" s="0" t="n">
        <v>116383</v>
      </c>
      <c r="J9" s="0" t="n">
        <v>8.6</v>
      </c>
      <c r="K9" s="0" t="n">
        <v>0.0916</v>
      </c>
      <c r="L9" s="0" t="n">
        <v>-85883</v>
      </c>
      <c r="M9" s="0" t="n">
        <v>23007</v>
      </c>
      <c r="N9" s="0" t="n">
        <v>-108890</v>
      </c>
      <c r="O9" s="0" t="n">
        <v>673420</v>
      </c>
      <c r="P9" s="0" t="n">
        <v>3866847</v>
      </c>
      <c r="Q9" s="0" t="n">
        <v>3193427</v>
      </c>
      <c r="R9" s="0" t="n">
        <v>2746041</v>
      </c>
      <c r="S9" s="0" t="n">
        <v>202741</v>
      </c>
      <c r="T9" s="0" t="n">
        <v>1245922</v>
      </c>
      <c r="U9" s="0" t="n">
        <v>19788</v>
      </c>
      <c r="V9" s="0" t="n">
        <v>0</v>
      </c>
      <c r="AA9" s="0" t="s">
        <v>64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1.985</v>
      </c>
    </row>
    <row r="3" customFormat="false" ht="15" hidden="false" customHeight="false" outlineLevel="0" collapsed="false">
      <c r="A3" s="0" t="s">
        <v>75</v>
      </c>
      <c r="B3" s="3" t="n">
        <v>1259.5</v>
      </c>
    </row>
    <row r="4" customFormat="false" ht="15" hidden="false" customHeight="false" outlineLevel="0" collapsed="false">
      <c r="A4" s="0" t="s">
        <v>76</v>
      </c>
      <c r="B4" s="3" t="n">
        <v>0</v>
      </c>
    </row>
    <row r="5" customFormat="false" ht="15" hidden="false" customHeight="false" outlineLevel="0" collapsed="false">
      <c r="A5" s="0" t="s">
        <v>77</v>
      </c>
      <c r="B5" s="3" t="n">
        <v>100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1347.358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12</v>
      </c>
      <c r="D13" s="3" t="n">
        <v>2</v>
      </c>
      <c r="E13" s="3" t="n">
        <v>5</v>
      </c>
      <c r="F13" s="3" t="n">
        <v>6</v>
      </c>
      <c r="G13" s="3" t="n">
        <v>5</v>
      </c>
      <c r="H13" s="3" t="n">
        <v>4</v>
      </c>
      <c r="I13" s="3" t="n">
        <v>3.5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96</v>
      </c>
      <c r="C14" s="3" t="n">
        <v>19</v>
      </c>
      <c r="D14" s="3" t="n">
        <v>13</v>
      </c>
      <c r="E14" s="3" t="n">
        <v>15</v>
      </c>
      <c r="F14" s="3" t="n">
        <v>16</v>
      </c>
      <c r="G14" s="3" t="n">
        <v>17</v>
      </c>
      <c r="H14" s="3" t="n">
        <v>17</v>
      </c>
      <c r="I14" s="3" t="n">
        <v>17</v>
      </c>
      <c r="J14" s="3" t="n">
        <v>17</v>
      </c>
      <c r="K14" s="3" t="n">
        <v>17</v>
      </c>
      <c r="L14" s="3" t="n">
        <v>17</v>
      </c>
    </row>
    <row r="15" customFormat="false" ht="15" hidden="false" customHeight="false" outlineLevel="0" collapsed="false">
      <c r="A15" s="0" t="s">
        <v>97</v>
      </c>
      <c r="C15" s="3" t="n">
        <v>1.5</v>
      </c>
      <c r="D15" s="3" t="n">
        <v>1.5</v>
      </c>
      <c r="E15" s="3" t="n">
        <v>1.5</v>
      </c>
      <c r="F15" s="3" t="n">
        <v>1.45</v>
      </c>
      <c r="G15" s="3" t="n">
        <v>1.4</v>
      </c>
      <c r="H15" s="3" t="n">
        <v>1.4</v>
      </c>
      <c r="I15" s="3" t="n">
        <v>1.4</v>
      </c>
      <c r="J15" s="3" t="n">
        <v>1.4</v>
      </c>
      <c r="K15" s="3" t="n">
        <v>1.4</v>
      </c>
      <c r="L15" s="3" t="n">
        <v>1.4</v>
      </c>
    </row>
    <row r="16" customFormat="false" ht="15" hidden="false" customHeight="false" outlineLevel="0" collapsed="false">
      <c r="A16" s="0" t="s">
        <v>98</v>
      </c>
      <c r="C16" s="3" t="n">
        <v>0.35</v>
      </c>
      <c r="D16" s="3" t="n">
        <v>0.35</v>
      </c>
      <c r="E16" s="3" t="n">
        <v>0.35</v>
      </c>
      <c r="F16" s="3" t="n">
        <v>0.33</v>
      </c>
      <c r="G16" s="3" t="n">
        <v>0.32</v>
      </c>
      <c r="H16" s="3" t="n">
        <v>0.3</v>
      </c>
      <c r="I16" s="3" t="n">
        <v>0.3</v>
      </c>
      <c r="J16" s="3" t="n">
        <v>0.3</v>
      </c>
      <c r="K16" s="3" t="n">
        <v>0.3</v>
      </c>
      <c r="L16" s="3" t="n">
        <v>0.3</v>
      </c>
    </row>
    <row r="17" customFormat="false" ht="15" hidden="false" customHeight="false" outlineLevel="0" collapsed="false">
      <c r="A17" s="0" t="s">
        <v>99</v>
      </c>
      <c r="C17" s="3" t="n">
        <v>3</v>
      </c>
      <c r="D17" s="3" t="n">
        <v>3</v>
      </c>
      <c r="E17" s="3" t="n">
        <v>2.8</v>
      </c>
      <c r="F17" s="3" t="n">
        <v>2.7</v>
      </c>
      <c r="G17" s="3" t="n">
        <v>2.6</v>
      </c>
      <c r="H17" s="3" t="n">
        <v>2.5</v>
      </c>
      <c r="I17" s="3" t="n">
        <v>2.5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100</v>
      </c>
      <c r="C18" s="3" t="n">
        <v>1.8</v>
      </c>
      <c r="D18" s="3" t="n">
        <v>1.8</v>
      </c>
      <c r="E18" s="3" t="n">
        <v>1.8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101</v>
      </c>
      <c r="C19" s="3" t="n">
        <v>17</v>
      </c>
      <c r="D19" s="3" t="n">
        <v>22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102</v>
      </c>
      <c r="B20" s="3" t="n">
        <v>13</v>
      </c>
    </row>
    <row r="21" customFormat="false" ht="15" hidden="false" customHeight="false" outlineLevel="0" collapsed="false">
      <c r="A21" s="0" t="s">
        <v>103</v>
      </c>
      <c r="B21" s="3" t="n">
        <v>2.5</v>
      </c>
    </row>
    <row r="22" customFormat="false" ht="15" hidden="false" customHeight="false" outlineLevel="0" collapsed="false">
      <c r="A22" s="0" t="s">
        <v>104</v>
      </c>
      <c r="B22" s="3" t="n">
        <v>8</v>
      </c>
    </row>
    <row r="23" customFormat="false" ht="15" hidden="false" customHeight="false" outlineLevel="0" collapsed="false">
      <c r="A23" s="0" t="s">
        <v>105</v>
      </c>
      <c r="B23" s="3" t="n">
        <v>-24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20</v>
      </c>
      <c r="D27" s="3" t="n">
        <v>16</v>
      </c>
      <c r="E27" s="3" t="n">
        <v>13</v>
      </c>
      <c r="F27" s="3" t="n">
        <v>11</v>
      </c>
      <c r="G27" s="3" t="n">
        <v>9</v>
      </c>
      <c r="H27" s="3" t="n">
        <v>7.5</v>
      </c>
      <c r="I27" s="3" t="n">
        <v>6</v>
      </c>
      <c r="J27" s="3" t="n">
        <v>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96</v>
      </c>
      <c r="C28" s="3" t="n">
        <v>21</v>
      </c>
      <c r="D28" s="3" t="n">
        <v>21.5</v>
      </c>
      <c r="E28" s="3" t="n">
        <v>22</v>
      </c>
      <c r="F28" s="3" t="n">
        <v>22.5</v>
      </c>
      <c r="G28" s="3" t="n">
        <v>23</v>
      </c>
      <c r="H28" s="3" t="n">
        <v>23</v>
      </c>
      <c r="I28" s="3" t="n">
        <v>23</v>
      </c>
      <c r="J28" s="3" t="n">
        <v>23</v>
      </c>
      <c r="K28" s="3" t="n">
        <v>23</v>
      </c>
      <c r="L28" s="3" t="n">
        <v>23</v>
      </c>
    </row>
    <row r="29" customFormat="false" ht="15" hidden="false" customHeight="false" outlineLevel="0" collapsed="false">
      <c r="A29" s="0" t="s">
        <v>97</v>
      </c>
      <c r="C29" s="3" t="n">
        <v>1.45</v>
      </c>
      <c r="D29" s="3" t="n">
        <v>1.4</v>
      </c>
      <c r="E29" s="3" t="n">
        <v>1.4</v>
      </c>
      <c r="F29" s="3" t="n">
        <v>1.35</v>
      </c>
      <c r="G29" s="3" t="n">
        <v>1.3</v>
      </c>
      <c r="H29" s="3" t="n">
        <v>1.3</v>
      </c>
      <c r="I29" s="3" t="n">
        <v>1.25</v>
      </c>
      <c r="J29" s="3" t="n">
        <v>1.25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98</v>
      </c>
      <c r="C30" s="3" t="n">
        <v>0.35</v>
      </c>
      <c r="D30" s="3" t="n">
        <v>0.33</v>
      </c>
      <c r="E30" s="3" t="n">
        <v>0.3</v>
      </c>
      <c r="F30" s="3" t="n">
        <v>0.3</v>
      </c>
      <c r="G30" s="3" t="n">
        <v>0.28</v>
      </c>
      <c r="H30" s="3" t="n">
        <v>0.27</v>
      </c>
      <c r="I30" s="3" t="n">
        <v>0.26</v>
      </c>
      <c r="J30" s="3" t="n">
        <v>0.25</v>
      </c>
      <c r="K30" s="3" t="n">
        <v>0.25</v>
      </c>
      <c r="L30" s="3" t="n">
        <v>0.25</v>
      </c>
    </row>
    <row r="31" customFormat="false" ht="15" hidden="false" customHeight="false" outlineLevel="0" collapsed="false">
      <c r="A31" s="0" t="s">
        <v>99</v>
      </c>
      <c r="C31" s="3" t="n">
        <v>3</v>
      </c>
      <c r="D31" s="3" t="n">
        <v>2.8</v>
      </c>
      <c r="E31" s="3" t="n">
        <v>2.6</v>
      </c>
      <c r="F31" s="3" t="n">
        <v>2.5</v>
      </c>
      <c r="G31" s="3" t="n">
        <v>2.4</v>
      </c>
      <c r="H31" s="3" t="n">
        <v>2.3</v>
      </c>
      <c r="I31" s="3" t="n">
        <v>2.2</v>
      </c>
      <c r="J31" s="3" t="n">
        <v>2.2</v>
      </c>
      <c r="K31" s="3" t="n">
        <v>2.2</v>
      </c>
      <c r="L31" s="3" t="n">
        <v>2.2</v>
      </c>
    </row>
    <row r="32" customFormat="false" ht="15" hidden="false" customHeight="false" outlineLevel="0" collapsed="false">
      <c r="A32" s="0" t="s">
        <v>100</v>
      </c>
      <c r="C32" s="3" t="n">
        <v>1.8</v>
      </c>
      <c r="D32" s="3" t="n">
        <v>1.8</v>
      </c>
      <c r="E32" s="3" t="n">
        <v>1.8</v>
      </c>
      <c r="F32" s="3" t="n">
        <v>1.8</v>
      </c>
      <c r="G32" s="3" t="n">
        <v>1.8</v>
      </c>
      <c r="H32" s="3" t="n">
        <v>1.8</v>
      </c>
      <c r="I32" s="3" t="n">
        <v>1.8</v>
      </c>
      <c r="J32" s="3" t="n">
        <v>1.8</v>
      </c>
      <c r="K32" s="3" t="n">
        <v>1.8</v>
      </c>
      <c r="L32" s="3" t="n">
        <v>1.8</v>
      </c>
    </row>
    <row r="33" customFormat="false" ht="15" hidden="false" customHeight="false" outlineLevel="0" collapsed="false">
      <c r="A33" s="0" t="s">
        <v>101</v>
      </c>
      <c r="C33" s="3" t="n">
        <v>17</v>
      </c>
      <c r="D33" s="3" t="n">
        <v>20</v>
      </c>
      <c r="E33" s="3" t="n">
        <v>21</v>
      </c>
      <c r="F33" s="3" t="n">
        <v>21.5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102</v>
      </c>
      <c r="B34" s="3" t="n">
        <v>13</v>
      </c>
    </row>
    <row r="35" customFormat="false" ht="15" hidden="false" customHeight="false" outlineLevel="0" collapsed="false">
      <c r="A35" s="0" t="s">
        <v>103</v>
      </c>
      <c r="B35" s="3" t="n">
        <v>3</v>
      </c>
    </row>
    <row r="36" customFormat="false" ht="15" hidden="false" customHeight="false" outlineLevel="0" collapsed="false">
      <c r="A36" s="0" t="s">
        <v>104</v>
      </c>
      <c r="B36" s="3" t="n">
        <v>10</v>
      </c>
    </row>
    <row r="37" customFormat="false" ht="15" hidden="false" customHeight="false" outlineLevel="0" collapsed="false">
      <c r="A37" s="0" t="s">
        <v>105</v>
      </c>
      <c r="B37" s="3" t="n">
        <v>-20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24</v>
      </c>
      <c r="D41" s="3" t="n">
        <v>20</v>
      </c>
      <c r="E41" s="3" t="n">
        <v>17</v>
      </c>
      <c r="F41" s="3" t="n">
        <v>14</v>
      </c>
      <c r="G41" s="3" t="n">
        <v>12</v>
      </c>
      <c r="H41" s="3" t="n">
        <v>10</v>
      </c>
      <c r="I41" s="3" t="n">
        <v>8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96</v>
      </c>
      <c r="C42" s="3" t="n">
        <v>21.5</v>
      </c>
      <c r="D42" s="3" t="n">
        <v>22.5</v>
      </c>
      <c r="E42" s="3" t="n">
        <v>23.5</v>
      </c>
      <c r="F42" s="3" t="n">
        <v>24.5</v>
      </c>
      <c r="G42" s="3" t="n">
        <v>25</v>
      </c>
      <c r="H42" s="3" t="n">
        <v>25.5</v>
      </c>
      <c r="I42" s="3" t="n">
        <v>26</v>
      </c>
      <c r="J42" s="3" t="n">
        <v>26</v>
      </c>
      <c r="K42" s="3" t="n">
        <v>26</v>
      </c>
      <c r="L42" s="3" t="n">
        <v>26</v>
      </c>
    </row>
    <row r="43" customFormat="false" ht="15" hidden="false" customHeight="false" outlineLevel="0" collapsed="false">
      <c r="A43" s="0" t="s">
        <v>97</v>
      </c>
      <c r="C43" s="3" t="n">
        <v>1.45</v>
      </c>
      <c r="D43" s="3" t="n">
        <v>1.4</v>
      </c>
      <c r="E43" s="3" t="n">
        <v>1.4</v>
      </c>
      <c r="F43" s="3" t="n">
        <v>1.35</v>
      </c>
      <c r="G43" s="3" t="n">
        <v>1.3</v>
      </c>
      <c r="H43" s="3" t="n">
        <v>1.3</v>
      </c>
      <c r="I43" s="3" t="n">
        <v>1.25</v>
      </c>
      <c r="J43" s="3" t="n">
        <v>1.25</v>
      </c>
      <c r="K43" s="3" t="n">
        <v>1.2</v>
      </c>
      <c r="L43" s="3" t="n">
        <v>1.2</v>
      </c>
    </row>
    <row r="44" customFormat="false" ht="15" hidden="false" customHeight="false" outlineLevel="0" collapsed="false">
      <c r="A44" s="0" t="s">
        <v>98</v>
      </c>
      <c r="C44" s="3" t="n">
        <v>0.35</v>
      </c>
      <c r="D44" s="3" t="n">
        <v>0.33</v>
      </c>
      <c r="E44" s="3" t="n">
        <v>0.3</v>
      </c>
      <c r="F44" s="3" t="n">
        <v>0.3</v>
      </c>
      <c r="G44" s="3" t="n">
        <v>0.28</v>
      </c>
      <c r="H44" s="3" t="n">
        <v>0.27</v>
      </c>
      <c r="I44" s="3" t="n">
        <v>0.26</v>
      </c>
      <c r="J44" s="3" t="n">
        <v>0.25</v>
      </c>
      <c r="K44" s="3" t="n">
        <v>0.25</v>
      </c>
      <c r="L44" s="3" t="n">
        <v>0.25</v>
      </c>
    </row>
    <row r="45" customFormat="false" ht="15" hidden="false" customHeight="false" outlineLevel="0" collapsed="false">
      <c r="A45" s="0" t="s">
        <v>99</v>
      </c>
      <c r="C45" s="3" t="n">
        <v>3</v>
      </c>
      <c r="D45" s="3" t="n">
        <v>2.8</v>
      </c>
      <c r="E45" s="3" t="n">
        <v>2.6</v>
      </c>
      <c r="F45" s="3" t="n">
        <v>2.5</v>
      </c>
      <c r="G45" s="3" t="n">
        <v>2.4</v>
      </c>
      <c r="H45" s="3" t="n">
        <v>2.3</v>
      </c>
      <c r="I45" s="3" t="n">
        <v>2.2</v>
      </c>
      <c r="J45" s="3" t="n">
        <v>2.2</v>
      </c>
      <c r="K45" s="3" t="n">
        <v>2.2</v>
      </c>
      <c r="L45" s="3" t="n">
        <v>2.2</v>
      </c>
    </row>
    <row r="46" customFormat="false" ht="15" hidden="false" customHeight="false" outlineLevel="0" collapsed="false">
      <c r="A46" s="0" t="s">
        <v>100</v>
      </c>
      <c r="C46" s="3" t="n">
        <v>1.8</v>
      </c>
      <c r="D46" s="3" t="n">
        <v>1.8</v>
      </c>
      <c r="E46" s="3" t="n">
        <v>1.8</v>
      </c>
      <c r="F46" s="3" t="n">
        <v>1.8</v>
      </c>
      <c r="G46" s="3" t="n">
        <v>1.8</v>
      </c>
      <c r="H46" s="3" t="n">
        <v>1.8</v>
      </c>
      <c r="I46" s="3" t="n">
        <v>1.8</v>
      </c>
      <c r="J46" s="3" t="n">
        <v>1.8</v>
      </c>
      <c r="K46" s="3" t="n">
        <v>1.8</v>
      </c>
      <c r="L46" s="3" t="n">
        <v>1.8</v>
      </c>
    </row>
    <row r="47" customFormat="false" ht="15" hidden="false" customHeight="false" outlineLevel="0" collapsed="false">
      <c r="A47" s="0" t="s">
        <v>101</v>
      </c>
      <c r="C47" s="3" t="n">
        <v>17</v>
      </c>
      <c r="D47" s="3" t="n">
        <v>20</v>
      </c>
      <c r="E47" s="3" t="n">
        <v>21</v>
      </c>
      <c r="F47" s="3" t="n">
        <v>21.5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102</v>
      </c>
      <c r="B48" s="3" t="n">
        <v>13</v>
      </c>
    </row>
    <row r="49" customFormat="false" ht="15" hidden="false" customHeight="false" outlineLevel="0" collapsed="false">
      <c r="A49" s="0" t="s">
        <v>103</v>
      </c>
      <c r="B49" s="3" t="n">
        <v>3.5</v>
      </c>
    </row>
    <row r="50" customFormat="false" ht="15" hidden="false" customHeight="false" outlineLevel="0" collapsed="false">
      <c r="A50" s="0" t="s">
        <v>104</v>
      </c>
      <c r="B50" s="3" t="n">
        <v>12</v>
      </c>
    </row>
    <row r="51" customFormat="false" ht="15" hidden="false" customHeight="false" outlineLevel="0" collapsed="false">
      <c r="A51" s="0" t="s">
        <v>105</v>
      </c>
      <c r="B51" s="3" t="n">
        <v>-17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12</v>
      </c>
      <c r="D5" s="4" t="n">
        <f aca="false">Assumptions!D13</f>
        <v>2</v>
      </c>
      <c r="E5" s="4" t="n">
        <f aca="false">Assumptions!E13</f>
        <v>5</v>
      </c>
      <c r="F5" s="4" t="n">
        <f aca="false">Assumptions!F13</f>
        <v>6</v>
      </c>
      <c r="G5" s="4" t="n">
        <f aca="false">Assumptions!G13</f>
        <v>5</v>
      </c>
      <c r="H5" s="4" t="n">
        <f aca="false">Assumptions!H13</f>
        <v>4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1347.358</v>
      </c>
      <c r="C6" s="0" t="n">
        <f aca="false">B6*(1+C5/100)</f>
        <v>1509.04096</v>
      </c>
      <c r="D6" s="0" t="n">
        <f aca="false">C6*(1+D5/100)</f>
        <v>1539.2217792</v>
      </c>
      <c r="E6" s="0" t="n">
        <f aca="false">D6*(1+E5/100)</f>
        <v>1616.18286816</v>
      </c>
      <c r="F6" s="0" t="n">
        <f aca="false">E6*(1+F5/100)</f>
        <v>1713.1538402496</v>
      </c>
      <c r="G6" s="0" t="n">
        <f aca="false">F6*(1+G5/100)</f>
        <v>1798.81153226208</v>
      </c>
      <c r="H6" s="0" t="n">
        <f aca="false">G6*(1+H5/100)</f>
        <v>1870.76399355256</v>
      </c>
      <c r="I6" s="0" t="n">
        <f aca="false">H6*(1+I5/100)</f>
        <v>1936.2407333269</v>
      </c>
      <c r="J6" s="0" t="n">
        <f aca="false">I6*(1+J5/100)</f>
        <v>1994.32795532671</v>
      </c>
      <c r="K6" s="0" t="n">
        <f aca="false">J6*(1+K5/100)</f>
        <v>2054.15779398651</v>
      </c>
      <c r="L6" s="0" t="n">
        <f aca="false">K6*(1+L5/100)</f>
        <v>2115.78252780611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19</v>
      </c>
      <c r="D7" s="4" t="n">
        <f aca="false">Assumptions!D14</f>
        <v>13</v>
      </c>
      <c r="E7" s="4" t="n">
        <f aca="false">Assumptions!E14</f>
        <v>15</v>
      </c>
      <c r="F7" s="4" t="n">
        <f aca="false">Assumptions!F14</f>
        <v>16</v>
      </c>
      <c r="G7" s="4" t="n">
        <f aca="false">Assumptions!G14</f>
        <v>17</v>
      </c>
      <c r="H7" s="4" t="n">
        <f aca="false">Assumptions!H14</f>
        <v>17</v>
      </c>
      <c r="I7" s="4" t="n">
        <f aca="false">Assumptions!I14</f>
        <v>17</v>
      </c>
      <c r="J7" s="4" t="n">
        <f aca="false">Assumptions!J14</f>
        <v>17</v>
      </c>
      <c r="K7" s="4" t="n">
        <f aca="false">Assumptions!K14</f>
        <v>17</v>
      </c>
      <c r="L7" s="4" t="n">
        <f aca="false">Assumptions!L14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286.7177824</v>
      </c>
      <c r="D8" s="0" t="n">
        <f aca="false">D6*D7/100</f>
        <v>200.098831296</v>
      </c>
      <c r="E8" s="0" t="n">
        <f aca="false">E6*E7/100</f>
        <v>242.427430224</v>
      </c>
      <c r="F8" s="0" t="n">
        <f aca="false">F6*F7/100</f>
        <v>274.104614439936</v>
      </c>
      <c r="G8" s="0" t="n">
        <f aca="false">G6*G7/100</f>
        <v>305.797960484554</v>
      </c>
      <c r="H8" s="0" t="n">
        <f aca="false">H6*H7/100</f>
        <v>318.029878903936</v>
      </c>
      <c r="I8" s="0" t="n">
        <f aca="false">I6*I7/100</f>
        <v>329.160924665574</v>
      </c>
      <c r="J8" s="0" t="n">
        <f aca="false">J6*J7/100</f>
        <v>339.035752405541</v>
      </c>
      <c r="K8" s="0" t="n">
        <f aca="false">K6*K7/100</f>
        <v>349.206824977707</v>
      </c>
      <c r="L8" s="0" t="n">
        <f aca="false">L6*L7/100</f>
        <v>359.683029727038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1.5</v>
      </c>
      <c r="D9" s="4" t="n">
        <f aca="false">Assumptions!D15</f>
        <v>1.5</v>
      </c>
      <c r="E9" s="4" t="n">
        <f aca="false">Assumptions!E15</f>
        <v>1.5</v>
      </c>
      <c r="F9" s="4" t="n">
        <f aca="false">Assumptions!F15</f>
        <v>1.45</v>
      </c>
      <c r="G9" s="4" t="n">
        <f aca="false">Assumptions!G15</f>
        <v>1.4</v>
      </c>
      <c r="H9" s="4" t="n">
        <f aca="false">Assumptions!H15</f>
        <v>1.4</v>
      </c>
      <c r="I9" s="4" t="n">
        <f aca="false">Assumptions!I15</f>
        <v>1.4</v>
      </c>
      <c r="J9" s="4" t="n">
        <f aca="false">Assumptions!J15</f>
        <v>1.4</v>
      </c>
      <c r="K9" s="4" t="n">
        <f aca="false">Assumptions!K15</f>
        <v>1.4</v>
      </c>
      <c r="L9" s="4" t="n">
        <f aca="false">Assumptions!L15</f>
        <v>1.4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-22.6356144</v>
      </c>
      <c r="D10" s="0" t="n">
        <f aca="false">-D6*D9/100</f>
        <v>-23.088326688</v>
      </c>
      <c r="E10" s="0" t="n">
        <f aca="false">-E6*E9/100</f>
        <v>-24.2427430224</v>
      </c>
      <c r="F10" s="0" t="n">
        <f aca="false">-F6*F9/100</f>
        <v>-24.8407306836192</v>
      </c>
      <c r="G10" s="0" t="n">
        <f aca="false">-G6*G9/100</f>
        <v>-25.1833614516691</v>
      </c>
      <c r="H10" s="0" t="n">
        <f aca="false">-H6*H9/100</f>
        <v>-26.1906959097359</v>
      </c>
      <c r="I10" s="0" t="n">
        <f aca="false">-I6*I9/100</f>
        <v>-27.1073702665766</v>
      </c>
      <c r="J10" s="0" t="n">
        <f aca="false">-J6*J9/100</f>
        <v>-27.9205913745739</v>
      </c>
      <c r="K10" s="0" t="n">
        <f aca="false">-K6*K9/100</f>
        <v>-28.7582091158112</v>
      </c>
      <c r="L10" s="0" t="n">
        <f aca="false">-L6*L9/100</f>
        <v>-29.6209553892855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258.80052464</v>
      </c>
      <c r="D11" s="0" t="n">
        <f aca="false">D8+D10+D24</f>
        <v>171.6232283808</v>
      </c>
      <c r="E11" s="0" t="n">
        <f aca="false">E8+E10+E24</f>
        <v>212.52804716304</v>
      </c>
      <c r="F11" s="0" t="n">
        <f aca="false">F8+F10+F24</f>
        <v>243.610476083493</v>
      </c>
      <c r="G11" s="0" t="n">
        <f aca="false">G8+G10+G24</f>
        <v>274.858402129646</v>
      </c>
      <c r="H11" s="0" t="n">
        <f aca="false">H8+H10+H24</f>
        <v>286.226891013542</v>
      </c>
      <c r="I11" s="0" t="n">
        <f aca="false">I8+I10+I24</f>
        <v>296.244832199016</v>
      </c>
      <c r="J11" s="0" t="n">
        <f aca="false">J8+J10+J24</f>
        <v>305.132177164987</v>
      </c>
      <c r="K11" s="0" t="n">
        <f aca="false">K8+K10+K24</f>
        <v>314.286142479936</v>
      </c>
      <c r="L11" s="0" t="n">
        <f aca="false">L8+L10+L24</f>
        <v>323.714726754334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-45.2712288</v>
      </c>
      <c r="D12" s="4" t="n">
        <f aca="false">-D6*Assumptions!D17/100</f>
        <v>-46.176653376</v>
      </c>
      <c r="E12" s="4" t="n">
        <f aca="false">-E6*Assumptions!E17/100</f>
        <v>-45.25312030848</v>
      </c>
      <c r="F12" s="4" t="n">
        <f aca="false">-F6*Assumptions!F17/100</f>
        <v>-46.2551536867392</v>
      </c>
      <c r="G12" s="4" t="n">
        <f aca="false">-G6*Assumptions!G17/100</f>
        <v>-46.7690998388141</v>
      </c>
      <c r="H12" s="4" t="n">
        <f aca="false">-H6*Assumptions!H17/100</f>
        <v>-46.7690998388141</v>
      </c>
      <c r="I12" s="4" t="n">
        <f aca="false">-I6*Assumptions!I17/100</f>
        <v>-48.4060183331726</v>
      </c>
      <c r="J12" s="4" t="n">
        <f aca="false">-J6*Assumptions!J17/100</f>
        <v>-49.8581988831678</v>
      </c>
      <c r="K12" s="4" t="n">
        <f aca="false">-K6*Assumptions!K17/100</f>
        <v>-51.3539448496628</v>
      </c>
      <c r="L12" s="4" t="n">
        <f aca="false">-L6*Assumptions!L17/100</f>
        <v>-52.8945631951527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213.52929584</v>
      </c>
      <c r="D13" s="0" t="n">
        <f aca="false">D11+D12</f>
        <v>125.4465750048</v>
      </c>
      <c r="E13" s="0" t="n">
        <f aca="false">E11+E12</f>
        <v>167.27492685456</v>
      </c>
      <c r="F13" s="0" t="n">
        <f aca="false">F11+F12</f>
        <v>197.355322396754</v>
      </c>
      <c r="G13" s="0" t="n">
        <f aca="false">G11+G12</f>
        <v>228.089302290832</v>
      </c>
      <c r="H13" s="0" t="n">
        <f aca="false">H11+H12</f>
        <v>239.457791174728</v>
      </c>
      <c r="I13" s="0" t="n">
        <f aca="false">I11+I12</f>
        <v>247.838813865844</v>
      </c>
      <c r="J13" s="0" t="n">
        <f aca="false">J11+J12</f>
        <v>255.273978281819</v>
      </c>
      <c r="K13" s="0" t="n">
        <f aca="false">K11+K12</f>
        <v>262.932197630274</v>
      </c>
      <c r="L13" s="0" t="n">
        <f aca="false">L11+L12</f>
        <v>270.820163559182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17</v>
      </c>
      <c r="D14" s="4" t="n">
        <f aca="false">Assumptions!D19</f>
        <v>22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177.2293155472</v>
      </c>
      <c r="D15" s="0" t="n">
        <f aca="false">D13-MAX(0,D13)*D14/100</f>
        <v>97.848328503744</v>
      </c>
      <c r="E15" s="0" t="n">
        <f aca="false">E13-MAX(0,E13)*E14/100</f>
        <v>128.801693678011</v>
      </c>
      <c r="F15" s="0" t="n">
        <f aca="false">F13-MAX(0,F13)*F14/100</f>
        <v>151.963598245501</v>
      </c>
      <c r="G15" s="0" t="n">
        <f aca="false">G13-MAX(0,G13)*G14/100</f>
        <v>175.62876276394</v>
      </c>
      <c r="H15" s="0" t="n">
        <f aca="false">H13-MAX(0,H13)*H14/100</f>
        <v>184.382499204541</v>
      </c>
      <c r="I15" s="0" t="n">
        <f aca="false">I13-MAX(0,I13)*I14/100</f>
        <v>190.8358866767</v>
      </c>
      <c r="J15" s="0" t="n">
        <f aca="false">J13-MAX(0,J13)*J14/100</f>
        <v>196.560963277001</v>
      </c>
      <c r="K15" s="0" t="n">
        <f aca="false">K13-MAX(0,K13)*K14/100</f>
        <v>202.457792175311</v>
      </c>
      <c r="L15" s="0" t="n">
        <f aca="false">L13-MAX(0,L13)*L14/100</f>
        <v>208.53152594057</v>
      </c>
    </row>
    <row r="16" customFormat="false" ht="15" hidden="false" customHeight="false" outlineLevel="0" collapsed="false">
      <c r="A16" s="0" t="s">
        <v>117</v>
      </c>
      <c r="C16" s="0" t="n">
        <f aca="false">-C12</f>
        <v>45.2712288</v>
      </c>
      <c r="D16" s="0" t="n">
        <f aca="false">-D12</f>
        <v>46.176653376</v>
      </c>
      <c r="E16" s="0" t="n">
        <f aca="false">-E12</f>
        <v>45.25312030848</v>
      </c>
      <c r="F16" s="0" t="n">
        <f aca="false">-F12</f>
        <v>46.2551536867392</v>
      </c>
      <c r="G16" s="0" t="n">
        <f aca="false">-G12</f>
        <v>46.7690998388141</v>
      </c>
      <c r="H16" s="0" t="n">
        <f aca="false">-H12</f>
        <v>46.7690998388141</v>
      </c>
      <c r="I16" s="0" t="n">
        <f aca="false">-I12</f>
        <v>48.4060183331726</v>
      </c>
      <c r="J16" s="0" t="n">
        <f aca="false">-J12</f>
        <v>49.8581988831678</v>
      </c>
      <c r="K16" s="0" t="n">
        <f aca="false">-K12</f>
        <v>51.3539448496628</v>
      </c>
      <c r="L16" s="0" t="n">
        <f aca="false">-L12</f>
        <v>52.8945631951527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-27.16273728</v>
      </c>
      <c r="D17" s="4" t="n">
        <f aca="false">-D6*Assumptions!D18/100</f>
        <v>-27.7059920256</v>
      </c>
      <c r="E17" s="4" t="n">
        <f aca="false">-E6*Assumptions!E18/100</f>
        <v>-29.09129162688</v>
      </c>
      <c r="F17" s="4" t="n">
        <f aca="false">-F6*Assumptions!F18/100</f>
        <v>-30.8367691244928</v>
      </c>
      <c r="G17" s="4" t="n">
        <f aca="false">-G6*Assumptions!G18/100</f>
        <v>-32.3786075807175</v>
      </c>
      <c r="H17" s="4" t="n">
        <f aca="false">-H6*Assumptions!H18/100</f>
        <v>-33.6737518839461</v>
      </c>
      <c r="I17" s="4" t="n">
        <f aca="false">-I6*Assumptions!I18/100</f>
        <v>-34.8523331998843</v>
      </c>
      <c r="J17" s="4" t="n">
        <f aca="false">-J6*Assumptions!J18/100</f>
        <v>-35.8979031958808</v>
      </c>
      <c r="K17" s="4" t="n">
        <f aca="false">-K6*Assumptions!K18/100</f>
        <v>-36.9748402917572</v>
      </c>
      <c r="L17" s="4" t="n">
        <f aca="false">-L6*Assumptions!L18/100</f>
        <v>-38.0840855005099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-38.8039104</v>
      </c>
      <c r="D18" s="4" t="n">
        <f aca="false">(D6-C6)*Assumptions!$B$23/100</f>
        <v>-7.24339660800002</v>
      </c>
      <c r="E18" s="4" t="n">
        <f aca="false">(E6-D6)*Assumptions!$B$23/100</f>
        <v>-18.4706613504</v>
      </c>
      <c r="F18" s="4" t="n">
        <f aca="false">(F6-E6)*Assumptions!$B$23/100</f>
        <v>-23.273033301504</v>
      </c>
      <c r="G18" s="4" t="n">
        <f aca="false">(G6-F6)*Assumptions!$B$23/100</f>
        <v>-20.5578460829952</v>
      </c>
      <c r="H18" s="4" t="n">
        <f aca="false">(H6-G6)*Assumptions!$B$23/100</f>
        <v>-17.268590709716</v>
      </c>
      <c r="I18" s="4" t="n">
        <f aca="false">(I6-H6)*Assumptions!$B$23/100</f>
        <v>-15.7144175458415</v>
      </c>
      <c r="J18" s="4" t="n">
        <f aca="false">(J6-I6)*Assumptions!$B$23/100</f>
        <v>-13.9409332799537</v>
      </c>
      <c r="K18" s="4" t="n">
        <f aca="false">(K6-J6)*Assumptions!$B$23/100</f>
        <v>-14.3591612783524</v>
      </c>
      <c r="L18" s="4" t="n">
        <f aca="false">(L6-K6)*Assumptions!$B$23/100</f>
        <v>-14.7899361167029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156.5338966672</v>
      </c>
      <c r="D19" s="0" t="n">
        <f aca="false">D15+D16+D17+D18</f>
        <v>109.075593246144</v>
      </c>
      <c r="E19" s="0" t="n">
        <f aca="false">E15+E16+E17+E18</f>
        <v>126.492861009211</v>
      </c>
      <c r="F19" s="0" t="n">
        <f aca="false">F15+F16+F17+F18</f>
        <v>144.108949506243</v>
      </c>
      <c r="G19" s="0" t="n">
        <f aca="false">G15+G16+G17+G18</f>
        <v>169.461408939042</v>
      </c>
      <c r="H19" s="0" t="n">
        <f aca="false">H15+H16+H17+H18</f>
        <v>180.209256449693</v>
      </c>
      <c r="I19" s="0" t="n">
        <f aca="false">I15+I16+I17+I18</f>
        <v>188.675154264146</v>
      </c>
      <c r="J19" s="0" t="n">
        <f aca="false">J15+J16+J17+J18</f>
        <v>196.580325684334</v>
      </c>
      <c r="K19" s="0" t="n">
        <f aca="false">K15+K16+K17+K18</f>
        <v>202.477735454864</v>
      </c>
      <c r="L19" s="0" t="n">
        <f aca="false">L15+L16+L17+L18</f>
        <v>208.55206751851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0.884955752212389</v>
      </c>
      <c r="D20" s="0" t="n">
        <f aca="false">1/(1+$B$27/100)^D4</f>
        <v>0.783146683373796</v>
      </c>
      <c r="E20" s="0" t="n">
        <f aca="false">1/(1+$B$27/100)^E4</f>
        <v>0.693050162277696</v>
      </c>
      <c r="F20" s="0" t="n">
        <f aca="false">1/(1+$B$27/100)^F4</f>
        <v>0.613318727679377</v>
      </c>
      <c r="G20" s="0" t="n">
        <f aca="false">1/(1+$B$27/100)^G4</f>
        <v>0.542759935999449</v>
      </c>
      <c r="H20" s="0" t="n">
        <f aca="false">1/(1+$B$27/100)^H4</f>
        <v>0.48031852743314</v>
      </c>
      <c r="I20" s="0" t="n">
        <f aca="false">1/(1+$B$27/100)^I4</f>
        <v>0.425060643746142</v>
      </c>
      <c r="J20" s="0" t="n">
        <f aca="false">1/(1+$B$27/100)^J4</f>
        <v>0.37615986172225</v>
      </c>
      <c r="K20" s="0" t="n">
        <f aca="false">1/(1+$B$27/100)^K4</f>
        <v>0.332884833382522</v>
      </c>
      <c r="L20" s="0" t="n">
        <f aca="false">1/(1+$B$27/100)^L4</f>
        <v>0.294588348126126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138.525572271858</v>
      </c>
      <c r="D21" s="0" t="n">
        <f aca="false">D19*D20</f>
        <v>85.4221890877469</v>
      </c>
      <c r="E21" s="0" t="n">
        <f aca="false">E19*E20</f>
        <v>87.6658978494038</v>
      </c>
      <c r="F21" s="0" t="n">
        <f aca="false">F19*F20</f>
        <v>88.3847175583805</v>
      </c>
      <c r="G21" s="0" t="n">
        <f aca="false">G19*G20</f>
        <v>91.9768634701308</v>
      </c>
      <c r="H21" s="0" t="n">
        <f aca="false">H19*H20</f>
        <v>86.5578446877375</v>
      </c>
      <c r="I21" s="0" t="n">
        <f aca="false">I19*I20</f>
        <v>80.1983825304207</v>
      </c>
      <c r="J21" s="0" t="n">
        <f aca="false">J19*J20</f>
        <v>73.9456281267338</v>
      </c>
      <c r="K21" s="0" t="n">
        <f aca="false">K19*K20</f>
        <v>67.4017672305627</v>
      </c>
      <c r="L21" s="0" t="n">
        <f aca="false">L19*L20</f>
        <v>61.437009068566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0.35</v>
      </c>
      <c r="D23" s="4" t="n">
        <f aca="false">Assumptions!D16</f>
        <v>0.35</v>
      </c>
      <c r="E23" s="4" t="n">
        <f aca="false">Assumptions!E16</f>
        <v>0.35</v>
      </c>
      <c r="F23" s="4" t="n">
        <f aca="false">Assumptions!F16</f>
        <v>0.33</v>
      </c>
      <c r="G23" s="4" t="n">
        <f aca="false">Assumptions!G16</f>
        <v>0.32</v>
      </c>
      <c r="H23" s="4" t="n">
        <f aca="false">Assumptions!H16</f>
        <v>0.3</v>
      </c>
      <c r="I23" s="4" t="n">
        <f aca="false">Assumptions!I16</f>
        <v>0.3</v>
      </c>
      <c r="J23" s="4" t="n">
        <f aca="false">Assumptions!J16</f>
        <v>0.3</v>
      </c>
      <c r="K23" s="4" t="n">
        <f aca="false">Assumptions!K16</f>
        <v>0.3</v>
      </c>
      <c r="L23" s="4" t="n">
        <f aca="false">Assumptions!L16</f>
        <v>0.3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-5.28164336</v>
      </c>
      <c r="D24" s="0" t="n">
        <f aca="false">-D6*D23/100</f>
        <v>-5.3872762272</v>
      </c>
      <c r="E24" s="0" t="n">
        <f aca="false">-E6*E23/100</f>
        <v>-5.65664003856</v>
      </c>
      <c r="F24" s="0" t="n">
        <f aca="false">-F6*F23/100</f>
        <v>-5.65340767282368</v>
      </c>
      <c r="G24" s="0" t="n">
        <f aca="false">-G6*G23/100</f>
        <v>-5.75619690323866</v>
      </c>
      <c r="H24" s="0" t="n">
        <f aca="false">-H6*H23/100</f>
        <v>-5.61229198065769</v>
      </c>
      <c r="I24" s="0" t="n">
        <f aca="false">-I6*I23/100</f>
        <v>-5.80872219998071</v>
      </c>
      <c r="J24" s="0" t="n">
        <f aca="false">-J6*J23/100</f>
        <v>-5.98298386598013</v>
      </c>
      <c r="K24" s="0" t="n">
        <f aca="false">-K6*K23/100</f>
        <v>-6.16247338195954</v>
      </c>
      <c r="L24" s="0" t="n">
        <f aca="false">-L6*L23/100</f>
        <v>-6.34734758341832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13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861.515871881541</v>
      </c>
    </row>
    <row r="31" customFormat="false" ht="15" hidden="false" customHeight="false" outlineLevel="0" collapsed="false">
      <c r="A31" s="0" t="s">
        <v>126</v>
      </c>
      <c r="B31" s="0" t="n">
        <f aca="false">L19</f>
        <v>208.55206751851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2035.86542101402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1668.41654014808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1668.41654014808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491.496072548528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1353.01194443007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1453.01194443007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1.15364187727675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-0.418820212958815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136.722224117689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85.182266914271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1.32982646721876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1668.41654014808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1.03455974906903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20</v>
      </c>
      <c r="D5" s="4" t="n">
        <f aca="false">Assumptions!D27</f>
        <v>16</v>
      </c>
      <c r="E5" s="4" t="n">
        <f aca="false">Assumptions!E27</f>
        <v>13</v>
      </c>
      <c r="F5" s="4" t="n">
        <f aca="false">Assumptions!F27</f>
        <v>11</v>
      </c>
      <c r="G5" s="4" t="n">
        <f aca="false">Assumptions!G27</f>
        <v>9</v>
      </c>
      <c r="H5" s="4" t="n">
        <f aca="false">Assumptions!H27</f>
        <v>7.5</v>
      </c>
      <c r="I5" s="4" t="n">
        <f aca="false">Assumptions!I27</f>
        <v>6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1347.358</v>
      </c>
      <c r="C6" s="0" t="n">
        <f aca="false">B6*(1+C5/100)</f>
        <v>1616.8296</v>
      </c>
      <c r="D6" s="0" t="n">
        <f aca="false">C6*(1+D5/100)</f>
        <v>1875.522336</v>
      </c>
      <c r="E6" s="0" t="n">
        <f aca="false">D6*(1+E5/100)</f>
        <v>2119.34023968</v>
      </c>
      <c r="F6" s="0" t="n">
        <f aca="false">E6*(1+F5/100)</f>
        <v>2352.4676660448</v>
      </c>
      <c r="G6" s="0" t="n">
        <f aca="false">F6*(1+G5/100)</f>
        <v>2564.18975598883</v>
      </c>
      <c r="H6" s="0" t="n">
        <f aca="false">G6*(1+H5/100)</f>
        <v>2756.50398768799</v>
      </c>
      <c r="I6" s="0" t="n">
        <f aca="false">H6*(1+I5/100)</f>
        <v>2921.89422694927</v>
      </c>
      <c r="J6" s="0" t="n">
        <f aca="false">I6*(1+J5/100)</f>
        <v>3067.98893829674</v>
      </c>
      <c r="K6" s="0" t="n">
        <f aca="false">J6*(1+K5/100)</f>
        <v>3190.70849582861</v>
      </c>
      <c r="L6" s="0" t="n">
        <f aca="false">K6*(1+L5/100)</f>
        <v>3302.38329318261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21</v>
      </c>
      <c r="D7" s="4" t="n">
        <f aca="false">Assumptions!D28</f>
        <v>21.5</v>
      </c>
      <c r="E7" s="4" t="n">
        <f aca="false">Assumptions!E28</f>
        <v>22</v>
      </c>
      <c r="F7" s="4" t="n">
        <f aca="false">Assumptions!F28</f>
        <v>22.5</v>
      </c>
      <c r="G7" s="4" t="n">
        <f aca="false">Assumptions!G28</f>
        <v>23</v>
      </c>
      <c r="H7" s="4" t="n">
        <f aca="false">Assumptions!H28</f>
        <v>23</v>
      </c>
      <c r="I7" s="4" t="n">
        <f aca="false">Assumptions!I28</f>
        <v>23</v>
      </c>
      <c r="J7" s="4" t="n">
        <f aca="false">Assumptions!J28</f>
        <v>23</v>
      </c>
      <c r="K7" s="4" t="n">
        <f aca="false">Assumptions!K28</f>
        <v>23</v>
      </c>
      <c r="L7" s="4" t="n">
        <f aca="false">Assumptions!L28</f>
        <v>23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339.534216</v>
      </c>
      <c r="D8" s="0" t="n">
        <f aca="false">D6*D7/100</f>
        <v>403.23730224</v>
      </c>
      <c r="E8" s="0" t="n">
        <f aca="false">E6*E7/100</f>
        <v>466.2548527296</v>
      </c>
      <c r="F8" s="0" t="n">
        <f aca="false">F6*F7/100</f>
        <v>529.30522486008</v>
      </c>
      <c r="G8" s="0" t="n">
        <f aca="false">G6*G7/100</f>
        <v>589.763643877431</v>
      </c>
      <c r="H8" s="0" t="n">
        <f aca="false">H6*H7/100</f>
        <v>633.995917168239</v>
      </c>
      <c r="I8" s="0" t="n">
        <f aca="false">I6*I7/100</f>
        <v>672.035672198333</v>
      </c>
      <c r="J8" s="0" t="n">
        <f aca="false">J6*J7/100</f>
        <v>705.63745580825</v>
      </c>
      <c r="K8" s="0" t="n">
        <f aca="false">K6*K7/100</f>
        <v>733.86295404058</v>
      </c>
      <c r="L8" s="0" t="n">
        <f aca="false">L6*L7/100</f>
        <v>759.548157432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1.45</v>
      </c>
      <c r="D9" s="4" t="n">
        <f aca="false">Assumptions!D29</f>
        <v>1.4</v>
      </c>
      <c r="E9" s="4" t="n">
        <f aca="false">Assumptions!E29</f>
        <v>1.4</v>
      </c>
      <c r="F9" s="4" t="n">
        <f aca="false">Assumptions!F29</f>
        <v>1.35</v>
      </c>
      <c r="G9" s="4" t="n">
        <f aca="false">Assumptions!G29</f>
        <v>1.3</v>
      </c>
      <c r="H9" s="4" t="n">
        <f aca="false">Assumptions!H29</f>
        <v>1.3</v>
      </c>
      <c r="I9" s="4" t="n">
        <f aca="false">Assumptions!I29</f>
        <v>1.25</v>
      </c>
      <c r="J9" s="4" t="n">
        <f aca="false">Assumptions!J29</f>
        <v>1.25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-23.4440292</v>
      </c>
      <c r="D10" s="0" t="n">
        <f aca="false">-D6*D9/100</f>
        <v>-26.257312704</v>
      </c>
      <c r="E10" s="0" t="n">
        <f aca="false">-E6*E9/100</f>
        <v>-29.67076335552</v>
      </c>
      <c r="F10" s="0" t="n">
        <f aca="false">-F6*F9/100</f>
        <v>-31.7583134916048</v>
      </c>
      <c r="G10" s="0" t="n">
        <f aca="false">-G6*G9/100</f>
        <v>-33.3344668278548</v>
      </c>
      <c r="H10" s="0" t="n">
        <f aca="false">-H6*H9/100</f>
        <v>-35.8345518399439</v>
      </c>
      <c r="I10" s="0" t="n">
        <f aca="false">-I6*I9/100</f>
        <v>-36.5236778368659</v>
      </c>
      <c r="J10" s="0" t="n">
        <f aca="false">-J6*J9/100</f>
        <v>-38.3498617287092</v>
      </c>
      <c r="K10" s="0" t="n">
        <f aca="false">-K6*K9/100</f>
        <v>-38.2885019499433</v>
      </c>
      <c r="L10" s="0" t="n">
        <f aca="false">-L6*L9/100</f>
        <v>-39.6285995181913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310.4312832</v>
      </c>
      <c r="D11" s="0" t="n">
        <f aca="false">D8+D10+D24</f>
        <v>370.7907658272</v>
      </c>
      <c r="E11" s="0" t="n">
        <f aca="false">E8+E10+E24</f>
        <v>430.22606865504</v>
      </c>
      <c r="F11" s="0" t="n">
        <f aca="false">F8+F10+F24</f>
        <v>490.489508370341</v>
      </c>
      <c r="G11" s="0" t="n">
        <f aca="false">G8+G10+G24</f>
        <v>549.249445732808</v>
      </c>
      <c r="H11" s="0" t="n">
        <f aca="false">H8+H10+H24</f>
        <v>590.718804561537</v>
      </c>
      <c r="I11" s="0" t="n">
        <f aca="false">I8+I10+I24</f>
        <v>627.915069371399</v>
      </c>
      <c r="J11" s="0" t="n">
        <f aca="false">J8+J10+J24</f>
        <v>659.617621733799</v>
      </c>
      <c r="K11" s="0" t="n">
        <f aca="false">K8+K10+K24</f>
        <v>687.597680851065</v>
      </c>
      <c r="L11" s="0" t="n">
        <f aca="false">L8+L10+L24</f>
        <v>711.663599680852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-48.504888</v>
      </c>
      <c r="D12" s="4" t="n">
        <f aca="false">-D6*Assumptions!D31/100</f>
        <v>-52.514625408</v>
      </c>
      <c r="E12" s="4" t="n">
        <f aca="false">-E6*Assumptions!E31/100</f>
        <v>-55.10284623168</v>
      </c>
      <c r="F12" s="4" t="n">
        <f aca="false">-F6*Assumptions!F31/100</f>
        <v>-58.81169165112</v>
      </c>
      <c r="G12" s="4" t="n">
        <f aca="false">-G6*Assumptions!G31/100</f>
        <v>-61.540554143732</v>
      </c>
      <c r="H12" s="4" t="n">
        <f aca="false">-H6*Assumptions!H31/100</f>
        <v>-63.3995917168239</v>
      </c>
      <c r="I12" s="4" t="n">
        <f aca="false">-I6*Assumptions!I31/100</f>
        <v>-64.281672992884</v>
      </c>
      <c r="J12" s="4" t="n">
        <f aca="false">-J6*Assumptions!J31/100</f>
        <v>-67.4957566425282</v>
      </c>
      <c r="K12" s="4" t="n">
        <f aca="false">-K6*Assumptions!K31/100</f>
        <v>-70.1955869082294</v>
      </c>
      <c r="L12" s="4" t="n">
        <f aca="false">-L6*Assumptions!L31/100</f>
        <v>-72.6524324500174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261.9263952</v>
      </c>
      <c r="D13" s="0" t="n">
        <f aca="false">D11+D12</f>
        <v>318.2761404192</v>
      </c>
      <c r="E13" s="0" t="n">
        <f aca="false">E11+E12</f>
        <v>375.12322242336</v>
      </c>
      <c r="F13" s="0" t="n">
        <f aca="false">F11+F12</f>
        <v>431.677816719221</v>
      </c>
      <c r="G13" s="0" t="n">
        <f aca="false">G11+G12</f>
        <v>487.708891589076</v>
      </c>
      <c r="H13" s="0" t="n">
        <f aca="false">H11+H12</f>
        <v>527.319212844713</v>
      </c>
      <c r="I13" s="0" t="n">
        <f aca="false">I11+I12</f>
        <v>563.633396378515</v>
      </c>
      <c r="J13" s="0" t="n">
        <f aca="false">J11+J12</f>
        <v>592.12186509127</v>
      </c>
      <c r="K13" s="0" t="n">
        <f aca="false">K11+K12</f>
        <v>617.402093942836</v>
      </c>
      <c r="L13" s="0" t="n">
        <f aca="false">L11+L12</f>
        <v>639.011167230835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17</v>
      </c>
      <c r="D14" s="4" t="n">
        <f aca="false">Assumptions!D33</f>
        <v>20</v>
      </c>
      <c r="E14" s="4" t="n">
        <f aca="false">Assumptions!E33</f>
        <v>21</v>
      </c>
      <c r="F14" s="4" t="n">
        <f aca="false">Assumptions!F33</f>
        <v>21.5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217.398908016</v>
      </c>
      <c r="D15" s="0" t="n">
        <f aca="false">D13-MAX(0,D13)*D14/100</f>
        <v>254.62091233536</v>
      </c>
      <c r="E15" s="0" t="n">
        <f aca="false">E13-MAX(0,E13)*E14/100</f>
        <v>296.347345714454</v>
      </c>
      <c r="F15" s="0" t="n">
        <f aca="false">F13-MAX(0,F13)*F14/100</f>
        <v>338.867086124588</v>
      </c>
      <c r="G15" s="0" t="n">
        <f aca="false">G13-MAX(0,G13)*G14/100</f>
        <v>380.412935439479</v>
      </c>
      <c r="H15" s="0" t="n">
        <f aca="false">H13-MAX(0,H13)*H14/100</f>
        <v>411.308986018876</v>
      </c>
      <c r="I15" s="0" t="n">
        <f aca="false">I13-MAX(0,I13)*I14/100</f>
        <v>439.634049175242</v>
      </c>
      <c r="J15" s="0" t="n">
        <f aca="false">J13-MAX(0,J13)*J14/100</f>
        <v>461.855054771191</v>
      </c>
      <c r="K15" s="0" t="n">
        <f aca="false">K13-MAX(0,K13)*K14/100</f>
        <v>481.573633275412</v>
      </c>
      <c r="L15" s="0" t="n">
        <f aca="false">L13-MAX(0,L13)*L14/100</f>
        <v>498.428710440051</v>
      </c>
    </row>
    <row r="16" customFormat="false" ht="15" hidden="false" customHeight="false" outlineLevel="0" collapsed="false">
      <c r="A16" s="0" t="s">
        <v>117</v>
      </c>
      <c r="C16" s="0" t="n">
        <f aca="false">-C12</f>
        <v>48.504888</v>
      </c>
      <c r="D16" s="0" t="n">
        <f aca="false">-D12</f>
        <v>52.514625408</v>
      </c>
      <c r="E16" s="0" t="n">
        <f aca="false">-E12</f>
        <v>55.10284623168</v>
      </c>
      <c r="F16" s="0" t="n">
        <f aca="false">-F12</f>
        <v>58.81169165112</v>
      </c>
      <c r="G16" s="0" t="n">
        <f aca="false">-G12</f>
        <v>61.540554143732</v>
      </c>
      <c r="H16" s="0" t="n">
        <f aca="false">-H12</f>
        <v>63.3995917168239</v>
      </c>
      <c r="I16" s="0" t="n">
        <f aca="false">-I12</f>
        <v>64.281672992884</v>
      </c>
      <c r="J16" s="0" t="n">
        <f aca="false">-J12</f>
        <v>67.4957566425282</v>
      </c>
      <c r="K16" s="0" t="n">
        <f aca="false">-K12</f>
        <v>70.1955869082294</v>
      </c>
      <c r="L16" s="0" t="n">
        <f aca="false">-L12</f>
        <v>72.6524324500174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-29.1029328</v>
      </c>
      <c r="D17" s="4" t="n">
        <f aca="false">-D6*Assumptions!D32/100</f>
        <v>-33.759402048</v>
      </c>
      <c r="E17" s="4" t="n">
        <f aca="false">-E6*Assumptions!E32/100</f>
        <v>-38.14812431424</v>
      </c>
      <c r="F17" s="4" t="n">
        <f aca="false">-F6*Assumptions!F32/100</f>
        <v>-42.3444179888064</v>
      </c>
      <c r="G17" s="4" t="n">
        <f aca="false">-G6*Assumptions!G32/100</f>
        <v>-46.155415607799</v>
      </c>
      <c r="H17" s="4" t="n">
        <f aca="false">-H6*Assumptions!H32/100</f>
        <v>-49.6170717783839</v>
      </c>
      <c r="I17" s="4" t="n">
        <f aca="false">-I6*Assumptions!I32/100</f>
        <v>-52.5940960850869</v>
      </c>
      <c r="J17" s="4" t="n">
        <f aca="false">-J6*Assumptions!J32/100</f>
        <v>-55.2238008893413</v>
      </c>
      <c r="K17" s="4" t="n">
        <f aca="false">-K6*Assumptions!K32/100</f>
        <v>-57.4327529249149</v>
      </c>
      <c r="L17" s="4" t="n">
        <f aca="false">-L6*Assumptions!L32/100</f>
        <v>-59.442899277287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-53.89432</v>
      </c>
      <c r="D18" s="4" t="n">
        <f aca="false">(D6-C6)*Assumptions!$B$37/100</f>
        <v>-51.7385472</v>
      </c>
      <c r="E18" s="4" t="n">
        <f aca="false">(E6-D6)*Assumptions!$B$37/100</f>
        <v>-48.763580736</v>
      </c>
      <c r="F18" s="4" t="n">
        <f aca="false">(F6-E6)*Assumptions!$B$37/100</f>
        <v>-46.62548527296</v>
      </c>
      <c r="G18" s="4" t="n">
        <f aca="false">(G6-F6)*Assumptions!$B$37/100</f>
        <v>-42.3444179888064</v>
      </c>
      <c r="H18" s="4" t="n">
        <f aca="false">(H6-G6)*Assumptions!$B$37/100</f>
        <v>-38.4628463398324</v>
      </c>
      <c r="I18" s="4" t="n">
        <f aca="false">(I6-H6)*Assumptions!$B$37/100</f>
        <v>-33.078047852256</v>
      </c>
      <c r="J18" s="4" t="n">
        <f aca="false">(J6-I6)*Assumptions!$B$37/100</f>
        <v>-29.2189422694928</v>
      </c>
      <c r="K18" s="4" t="n">
        <f aca="false">(K6-J6)*Assumptions!$B$37/100</f>
        <v>-24.5439115063739</v>
      </c>
      <c r="L18" s="4" t="n">
        <f aca="false">(L6-K6)*Assumptions!$B$37/100</f>
        <v>-22.3349594708002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182.906543216</v>
      </c>
      <c r="D19" s="0" t="n">
        <f aca="false">D15+D16+D17+D18</f>
        <v>221.63758849536</v>
      </c>
      <c r="E19" s="0" t="n">
        <f aca="false">E15+E16+E17+E18</f>
        <v>264.538486895894</v>
      </c>
      <c r="F19" s="0" t="n">
        <f aca="false">F15+F16+F17+F18</f>
        <v>308.708874513942</v>
      </c>
      <c r="G19" s="0" t="n">
        <f aca="false">G15+G16+G17+G18</f>
        <v>353.453655986606</v>
      </c>
      <c r="H19" s="0" t="n">
        <f aca="false">H15+H16+H17+H18</f>
        <v>386.628659617484</v>
      </c>
      <c r="I19" s="0" t="n">
        <f aca="false">I15+I16+I17+I18</f>
        <v>418.243578230783</v>
      </c>
      <c r="J19" s="0" t="n">
        <f aca="false">J15+J16+J17+J18</f>
        <v>444.908068254885</v>
      </c>
      <c r="K19" s="0" t="n">
        <f aca="false">K15+K16+K17+K18</f>
        <v>469.792555752352</v>
      </c>
      <c r="L19" s="0" t="n">
        <f aca="false">L15+L16+L17+L18</f>
        <v>489.303284141981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0.884955752212389</v>
      </c>
      <c r="D20" s="0" t="n">
        <f aca="false">1/(1+$B$27/100)^D4</f>
        <v>0.783146683373796</v>
      </c>
      <c r="E20" s="0" t="n">
        <f aca="false">1/(1+$B$27/100)^E4</f>
        <v>0.693050162277696</v>
      </c>
      <c r="F20" s="0" t="n">
        <f aca="false">1/(1+$B$27/100)^F4</f>
        <v>0.613318727679377</v>
      </c>
      <c r="G20" s="0" t="n">
        <f aca="false">1/(1+$B$27/100)^G4</f>
        <v>0.542759935999449</v>
      </c>
      <c r="H20" s="0" t="n">
        <f aca="false">1/(1+$B$27/100)^H4</f>
        <v>0.48031852743314</v>
      </c>
      <c r="I20" s="0" t="n">
        <f aca="false">1/(1+$B$27/100)^I4</f>
        <v>0.425060643746142</v>
      </c>
      <c r="J20" s="0" t="n">
        <f aca="false">1/(1+$B$27/100)^J4</f>
        <v>0.37615986172225</v>
      </c>
      <c r="K20" s="0" t="n">
        <f aca="false">1/(1+$B$27/100)^K4</f>
        <v>0.332884833382522</v>
      </c>
      <c r="L20" s="0" t="n">
        <f aca="false">1/(1+$B$27/100)^L4</f>
        <v>0.294588348126126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161.864197536283</v>
      </c>
      <c r="D21" s="0" t="n">
        <f aca="false">D19*D20</f>
        <v>173.574742341107</v>
      </c>
      <c r="E21" s="0" t="n">
        <f aca="false">E19*E20</f>
        <v>183.338441271896</v>
      </c>
      <c r="F21" s="0" t="n">
        <f aca="false">F19*F20</f>
        <v>189.336934140223</v>
      </c>
      <c r="G21" s="0" t="n">
        <f aca="false">G19*G20</f>
        <v>191.840483702061</v>
      </c>
      <c r="H21" s="0" t="n">
        <f aca="false">H19*H20</f>
        <v>185.704908450919</v>
      </c>
      <c r="I21" s="0" t="n">
        <f aca="false">I19*I20</f>
        <v>177.778884605466</v>
      </c>
      <c r="J21" s="0" t="n">
        <f aca="false">J19*J20</f>
        <v>167.356557433871</v>
      </c>
      <c r="K21" s="0" t="n">
        <f aca="false">K19*K20</f>
        <v>156.386816645971</v>
      </c>
      <c r="L21" s="0" t="n">
        <f aca="false">L19*L20</f>
        <v>144.143046208074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0.35</v>
      </c>
      <c r="D23" s="4" t="n">
        <f aca="false">Assumptions!D30</f>
        <v>0.33</v>
      </c>
      <c r="E23" s="4" t="n">
        <f aca="false">Assumptions!E30</f>
        <v>0.3</v>
      </c>
      <c r="F23" s="4" t="n">
        <f aca="false">Assumptions!F30</f>
        <v>0.3</v>
      </c>
      <c r="G23" s="4" t="n">
        <f aca="false">Assumptions!G30</f>
        <v>0.28</v>
      </c>
      <c r="H23" s="4" t="n">
        <f aca="false">Assumptions!H30</f>
        <v>0.27</v>
      </c>
      <c r="I23" s="4" t="n">
        <f aca="false">Assumptions!I30</f>
        <v>0.26</v>
      </c>
      <c r="J23" s="4" t="n">
        <f aca="false">Assumptions!J30</f>
        <v>0.25</v>
      </c>
      <c r="K23" s="4" t="n">
        <f aca="false">Assumptions!K30</f>
        <v>0.25</v>
      </c>
      <c r="L23" s="4" t="n">
        <f aca="false">Assumptions!L30</f>
        <v>0.25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-5.6589036</v>
      </c>
      <c r="D24" s="0" t="n">
        <f aca="false">-D6*D23/100</f>
        <v>-6.1892237088</v>
      </c>
      <c r="E24" s="0" t="n">
        <f aca="false">-E6*E23/100</f>
        <v>-6.35802071904</v>
      </c>
      <c r="F24" s="0" t="n">
        <f aca="false">-F6*F23/100</f>
        <v>-7.0574029981344</v>
      </c>
      <c r="G24" s="0" t="n">
        <f aca="false">-G6*G23/100</f>
        <v>-7.17973131676873</v>
      </c>
      <c r="H24" s="0" t="n">
        <f aca="false">-H6*H23/100</f>
        <v>-7.44256076675758</v>
      </c>
      <c r="I24" s="0" t="n">
        <f aca="false">-I6*I23/100</f>
        <v>-7.59692499006811</v>
      </c>
      <c r="J24" s="0" t="n">
        <f aca="false">-J6*J23/100</f>
        <v>-7.66997234574184</v>
      </c>
      <c r="K24" s="0" t="n">
        <f aca="false">-K6*K23/100</f>
        <v>-7.97677123957152</v>
      </c>
      <c r="L24" s="0" t="n">
        <f aca="false">-L6*L23/100</f>
        <v>-8.25595823295652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13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1731.32501233587</v>
      </c>
    </row>
    <row r="31" customFormat="false" ht="15" hidden="false" customHeight="false" outlineLevel="0" collapsed="false">
      <c r="A31" s="0" t="s">
        <v>126</v>
      </c>
      <c r="B31" s="0" t="n">
        <f aca="false">L19</f>
        <v>489.303284141981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5039.82382666241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4893.03284141981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4893.03284141981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1441.43046208074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3172.75547441662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3272.75547441662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2.59845611307393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0.309045900792912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171.026405850375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120.243473807342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2.82971445341352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4199.85318888534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2.1558304645798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24</v>
      </c>
      <c r="D5" s="4" t="n">
        <f aca="false">Assumptions!D41</f>
        <v>20</v>
      </c>
      <c r="E5" s="4" t="n">
        <f aca="false">Assumptions!E41</f>
        <v>17</v>
      </c>
      <c r="F5" s="4" t="n">
        <f aca="false">Assumptions!F41</f>
        <v>14</v>
      </c>
      <c r="G5" s="4" t="n">
        <f aca="false">Assumptions!G41</f>
        <v>12</v>
      </c>
      <c r="H5" s="4" t="n">
        <f aca="false">Assumptions!H41</f>
        <v>10</v>
      </c>
      <c r="I5" s="4" t="n">
        <f aca="false">Assumptions!I41</f>
        <v>8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1347.358</v>
      </c>
      <c r="C6" s="0" t="n">
        <f aca="false">B6*(1+C5/100)</f>
        <v>1670.72392</v>
      </c>
      <c r="D6" s="0" t="n">
        <f aca="false">C6*(1+D5/100)</f>
        <v>2004.868704</v>
      </c>
      <c r="E6" s="0" t="n">
        <f aca="false">D6*(1+E5/100)</f>
        <v>2345.69638368</v>
      </c>
      <c r="F6" s="0" t="n">
        <f aca="false">E6*(1+F5/100)</f>
        <v>2674.0938773952</v>
      </c>
      <c r="G6" s="0" t="n">
        <f aca="false">F6*(1+G5/100)</f>
        <v>2994.98514268262</v>
      </c>
      <c r="H6" s="0" t="n">
        <f aca="false">G6*(1+H5/100)</f>
        <v>3294.48365695089</v>
      </c>
      <c r="I6" s="0" t="n">
        <f aca="false">H6*(1+I5/100)</f>
        <v>3558.04234950696</v>
      </c>
      <c r="J6" s="0" t="n">
        <f aca="false">I6*(1+J5/100)</f>
        <v>3771.52489047738</v>
      </c>
      <c r="K6" s="0" t="n">
        <f aca="false">J6*(1+K5/100)</f>
        <v>3960.10113500124</v>
      </c>
      <c r="L6" s="0" t="n">
        <f aca="false">K6*(1+L5/100)</f>
        <v>4118.50518040129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21.5</v>
      </c>
      <c r="D7" s="4" t="n">
        <f aca="false">Assumptions!D42</f>
        <v>22.5</v>
      </c>
      <c r="E7" s="4" t="n">
        <f aca="false">Assumptions!E42</f>
        <v>23.5</v>
      </c>
      <c r="F7" s="4" t="n">
        <f aca="false">Assumptions!F42</f>
        <v>24.5</v>
      </c>
      <c r="G7" s="4" t="n">
        <f aca="false">Assumptions!G42</f>
        <v>25</v>
      </c>
      <c r="H7" s="4" t="n">
        <f aca="false">Assumptions!H42</f>
        <v>25.5</v>
      </c>
      <c r="I7" s="4" t="n">
        <f aca="false">Assumptions!I42</f>
        <v>26</v>
      </c>
      <c r="J7" s="4" t="n">
        <f aca="false">Assumptions!J42</f>
        <v>26</v>
      </c>
      <c r="K7" s="4" t="n">
        <f aca="false">Assumptions!K42</f>
        <v>26</v>
      </c>
      <c r="L7" s="4" t="n">
        <f aca="false">Assumptions!L42</f>
        <v>26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359.2056428</v>
      </c>
      <c r="D8" s="0" t="n">
        <f aca="false">D6*D7/100</f>
        <v>451.0954584</v>
      </c>
      <c r="E8" s="0" t="n">
        <f aca="false">E6*E7/100</f>
        <v>551.2386501648</v>
      </c>
      <c r="F8" s="0" t="n">
        <f aca="false">F6*F7/100</f>
        <v>655.152999961824</v>
      </c>
      <c r="G8" s="0" t="n">
        <f aca="false">G6*G7/100</f>
        <v>748.746285670656</v>
      </c>
      <c r="H8" s="0" t="n">
        <f aca="false">H6*H7/100</f>
        <v>840.093332522476</v>
      </c>
      <c r="I8" s="0" t="n">
        <f aca="false">I6*I7/100</f>
        <v>925.091010871809</v>
      </c>
      <c r="J8" s="0" t="n">
        <f aca="false">J6*J7/100</f>
        <v>980.596471524118</v>
      </c>
      <c r="K8" s="0" t="n">
        <f aca="false">K6*K7/100</f>
        <v>1029.62629510032</v>
      </c>
      <c r="L8" s="0" t="n">
        <f aca="false">L6*L7/100</f>
        <v>1070.81134690434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1.45</v>
      </c>
      <c r="D9" s="4" t="n">
        <f aca="false">Assumptions!D43</f>
        <v>1.4</v>
      </c>
      <c r="E9" s="4" t="n">
        <f aca="false">Assumptions!E43</f>
        <v>1.4</v>
      </c>
      <c r="F9" s="4" t="n">
        <f aca="false">Assumptions!F43</f>
        <v>1.35</v>
      </c>
      <c r="G9" s="4" t="n">
        <f aca="false">Assumptions!G43</f>
        <v>1.3</v>
      </c>
      <c r="H9" s="4" t="n">
        <f aca="false">Assumptions!H43</f>
        <v>1.3</v>
      </c>
      <c r="I9" s="4" t="n">
        <f aca="false">Assumptions!I43</f>
        <v>1.25</v>
      </c>
      <c r="J9" s="4" t="n">
        <f aca="false">Assumptions!J43</f>
        <v>1.25</v>
      </c>
      <c r="K9" s="4" t="n">
        <f aca="false">Assumptions!K43</f>
        <v>1.2</v>
      </c>
      <c r="L9" s="4" t="n">
        <f aca="false">Assumptions!L43</f>
        <v>1.2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-24.22549684</v>
      </c>
      <c r="D10" s="0" t="n">
        <f aca="false">-D6*D9/100</f>
        <v>-28.068161856</v>
      </c>
      <c r="E10" s="0" t="n">
        <f aca="false">-E6*E9/100</f>
        <v>-32.83974937152</v>
      </c>
      <c r="F10" s="0" t="n">
        <f aca="false">-F6*F9/100</f>
        <v>-36.1002673448352</v>
      </c>
      <c r="G10" s="0" t="n">
        <f aca="false">-G6*G9/100</f>
        <v>-38.9348068548741</v>
      </c>
      <c r="H10" s="0" t="n">
        <f aca="false">-H6*H9/100</f>
        <v>-42.8282875403615</v>
      </c>
      <c r="I10" s="0" t="n">
        <f aca="false">-I6*I9/100</f>
        <v>-44.475529368837</v>
      </c>
      <c r="J10" s="0" t="n">
        <f aca="false">-J6*J9/100</f>
        <v>-47.1440611309672</v>
      </c>
      <c r="K10" s="0" t="n">
        <f aca="false">-K6*K9/100</f>
        <v>-47.5212136200149</v>
      </c>
      <c r="L10" s="0" t="n">
        <f aca="false">-L6*L9/100</f>
        <v>-49.4220621648155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329.13261224</v>
      </c>
      <c r="D11" s="0" t="n">
        <f aca="false">D8+D10+D24</f>
        <v>416.4112298208</v>
      </c>
      <c r="E11" s="0" t="n">
        <f aca="false">E8+E10+E24</f>
        <v>511.36181164224</v>
      </c>
      <c r="F11" s="0" t="n">
        <f aca="false">F8+F10+F24</f>
        <v>611.030450984803</v>
      </c>
      <c r="G11" s="0" t="n">
        <f aca="false">G8+G10+G24</f>
        <v>701.425520416271</v>
      </c>
      <c r="H11" s="0" t="n">
        <f aca="false">H8+H10+H24</f>
        <v>788.369939108347</v>
      </c>
      <c r="I11" s="0" t="n">
        <f aca="false">I8+I10+I24</f>
        <v>871.364571394254</v>
      </c>
      <c r="J11" s="0" t="n">
        <f aca="false">J8+J10+J24</f>
        <v>924.023598166957</v>
      </c>
      <c r="K11" s="0" t="n">
        <f aca="false">K8+K10+K24</f>
        <v>972.204828642805</v>
      </c>
      <c r="L11" s="0" t="n">
        <f aca="false">L8+L10+L24</f>
        <v>1011.09302178852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-50.1217176</v>
      </c>
      <c r="D12" s="4" t="n">
        <f aca="false">-D6*Assumptions!D45/100</f>
        <v>-56.136323712</v>
      </c>
      <c r="E12" s="4" t="n">
        <f aca="false">-E6*Assumptions!E45/100</f>
        <v>-60.98810597568</v>
      </c>
      <c r="F12" s="4" t="n">
        <f aca="false">-F6*Assumptions!F45/100</f>
        <v>-66.85234693488</v>
      </c>
      <c r="G12" s="4" t="n">
        <f aca="false">-G6*Assumptions!G45/100</f>
        <v>-71.879643424383</v>
      </c>
      <c r="H12" s="4" t="n">
        <f aca="false">-H6*Assumptions!H45/100</f>
        <v>-75.7731241098704</v>
      </c>
      <c r="I12" s="4" t="n">
        <f aca="false">-I6*Assumptions!I45/100</f>
        <v>-78.2769316891531</v>
      </c>
      <c r="J12" s="4" t="n">
        <f aca="false">-J6*Assumptions!J45/100</f>
        <v>-82.9735475905023</v>
      </c>
      <c r="K12" s="4" t="n">
        <f aca="false">-K6*Assumptions!K45/100</f>
        <v>-87.1222249700274</v>
      </c>
      <c r="L12" s="4" t="n">
        <f aca="false">-L6*Assumptions!L45/100</f>
        <v>-90.6071139688285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279.01089464</v>
      </c>
      <c r="D13" s="0" t="n">
        <f aca="false">D11+D12</f>
        <v>360.2749061088</v>
      </c>
      <c r="E13" s="0" t="n">
        <f aca="false">E11+E12</f>
        <v>450.37370566656</v>
      </c>
      <c r="F13" s="0" t="n">
        <f aca="false">F11+F12</f>
        <v>544.178104049923</v>
      </c>
      <c r="G13" s="0" t="n">
        <f aca="false">G11+G12</f>
        <v>629.545876991888</v>
      </c>
      <c r="H13" s="0" t="n">
        <f aca="false">H11+H12</f>
        <v>712.596814998477</v>
      </c>
      <c r="I13" s="0" t="n">
        <f aca="false">I11+I12</f>
        <v>793.087639705101</v>
      </c>
      <c r="J13" s="0" t="n">
        <f aca="false">J11+J12</f>
        <v>841.050050576455</v>
      </c>
      <c r="K13" s="0" t="n">
        <f aca="false">K11+K12</f>
        <v>885.082603672778</v>
      </c>
      <c r="L13" s="0" t="n">
        <f aca="false">L11+L12</f>
        <v>920.485907819689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17</v>
      </c>
      <c r="D14" s="4" t="n">
        <f aca="false">Assumptions!D47</f>
        <v>20</v>
      </c>
      <c r="E14" s="4" t="n">
        <f aca="false">Assumptions!E47</f>
        <v>21</v>
      </c>
      <c r="F14" s="4" t="n">
        <f aca="false">Assumptions!F47</f>
        <v>21.5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231.5790425512</v>
      </c>
      <c r="D15" s="0" t="n">
        <f aca="false">D13-MAX(0,D13)*D14/100</f>
        <v>288.21992488704</v>
      </c>
      <c r="E15" s="0" t="n">
        <f aca="false">E13-MAX(0,E13)*E14/100</f>
        <v>355.795227476582</v>
      </c>
      <c r="F15" s="0" t="n">
        <f aca="false">F13-MAX(0,F13)*F14/100</f>
        <v>427.17981167919</v>
      </c>
      <c r="G15" s="0" t="n">
        <f aca="false">G13-MAX(0,G13)*G14/100</f>
        <v>491.045784053672</v>
      </c>
      <c r="H15" s="0" t="n">
        <f aca="false">H13-MAX(0,H13)*H14/100</f>
        <v>555.825515698812</v>
      </c>
      <c r="I15" s="0" t="n">
        <f aca="false">I13-MAX(0,I13)*I14/100</f>
        <v>618.608358969979</v>
      </c>
      <c r="J15" s="0" t="n">
        <f aca="false">J13-MAX(0,J13)*J14/100</f>
        <v>656.019039449635</v>
      </c>
      <c r="K15" s="0" t="n">
        <f aca="false">K13-MAX(0,K13)*K14/100</f>
        <v>690.364430864767</v>
      </c>
      <c r="L15" s="0" t="n">
        <f aca="false">L13-MAX(0,L13)*L14/100</f>
        <v>717.979008099358</v>
      </c>
    </row>
    <row r="16" customFormat="false" ht="15" hidden="false" customHeight="false" outlineLevel="0" collapsed="false">
      <c r="A16" s="0" t="s">
        <v>117</v>
      </c>
      <c r="C16" s="0" t="n">
        <f aca="false">-C12</f>
        <v>50.1217176</v>
      </c>
      <c r="D16" s="0" t="n">
        <f aca="false">-D12</f>
        <v>56.136323712</v>
      </c>
      <c r="E16" s="0" t="n">
        <f aca="false">-E12</f>
        <v>60.98810597568</v>
      </c>
      <c r="F16" s="0" t="n">
        <f aca="false">-F12</f>
        <v>66.85234693488</v>
      </c>
      <c r="G16" s="0" t="n">
        <f aca="false">-G12</f>
        <v>71.879643424383</v>
      </c>
      <c r="H16" s="0" t="n">
        <f aca="false">-H12</f>
        <v>75.7731241098704</v>
      </c>
      <c r="I16" s="0" t="n">
        <f aca="false">-I12</f>
        <v>78.2769316891531</v>
      </c>
      <c r="J16" s="0" t="n">
        <f aca="false">-J12</f>
        <v>82.9735475905023</v>
      </c>
      <c r="K16" s="0" t="n">
        <f aca="false">-K12</f>
        <v>87.1222249700274</v>
      </c>
      <c r="L16" s="0" t="n">
        <f aca="false">-L12</f>
        <v>90.6071139688285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-30.07303056</v>
      </c>
      <c r="D17" s="4" t="n">
        <f aca="false">-D6*Assumptions!D46/100</f>
        <v>-36.087636672</v>
      </c>
      <c r="E17" s="4" t="n">
        <f aca="false">-E6*Assumptions!E46/100</f>
        <v>-42.22253490624</v>
      </c>
      <c r="F17" s="4" t="n">
        <f aca="false">-F6*Assumptions!F46/100</f>
        <v>-48.1336897931136</v>
      </c>
      <c r="G17" s="4" t="n">
        <f aca="false">-G6*Assumptions!G46/100</f>
        <v>-53.9097325682872</v>
      </c>
      <c r="H17" s="4" t="n">
        <f aca="false">-H6*Assumptions!H46/100</f>
        <v>-59.300705825116</v>
      </c>
      <c r="I17" s="4" t="n">
        <f aca="false">-I6*Assumptions!I46/100</f>
        <v>-64.0447622911252</v>
      </c>
      <c r="J17" s="4" t="n">
        <f aca="false">-J6*Assumptions!J46/100</f>
        <v>-67.8874480285928</v>
      </c>
      <c r="K17" s="4" t="n">
        <f aca="false">-K6*Assumptions!K46/100</f>
        <v>-71.2818204300224</v>
      </c>
      <c r="L17" s="4" t="n">
        <f aca="false">-L6*Assumptions!L46/100</f>
        <v>-74.1330932472233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-54.9722064</v>
      </c>
      <c r="D18" s="4" t="n">
        <f aca="false">(D6-C6)*Assumptions!$B$51/100</f>
        <v>-56.80461328</v>
      </c>
      <c r="E18" s="4" t="n">
        <f aca="false">(E6-D6)*Assumptions!$B$51/100</f>
        <v>-57.9407055456</v>
      </c>
      <c r="F18" s="4" t="n">
        <f aca="false">(F6-E6)*Assumptions!$B$51/100</f>
        <v>-55.827573931584</v>
      </c>
      <c r="G18" s="4" t="n">
        <f aca="false">(G6-F6)*Assumptions!$B$51/100</f>
        <v>-54.5515150988621</v>
      </c>
      <c r="H18" s="4" t="n">
        <f aca="false">(H6-G6)*Assumptions!$B$51/100</f>
        <v>-50.9147474256046</v>
      </c>
      <c r="I18" s="4" t="n">
        <f aca="false">(I6-H6)*Assumptions!$B$51/100</f>
        <v>-44.8049777345321</v>
      </c>
      <c r="J18" s="4" t="n">
        <f aca="false">(J6-I6)*Assumptions!$B$51/100</f>
        <v>-36.292031964971</v>
      </c>
      <c r="K18" s="4" t="n">
        <f aca="false">(K6-J6)*Assumptions!$B$51/100</f>
        <v>-32.0579615690577</v>
      </c>
      <c r="L18" s="4" t="n">
        <f aca="false">(L6-K6)*Assumptions!$B$51/100</f>
        <v>-26.9286877180084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196.6555231912</v>
      </c>
      <c r="D19" s="0" t="n">
        <f aca="false">D15+D16+D17+D18</f>
        <v>251.46399864704</v>
      </c>
      <c r="E19" s="0" t="n">
        <f aca="false">E15+E16+E17+E18</f>
        <v>316.620093000422</v>
      </c>
      <c r="F19" s="0" t="n">
        <f aca="false">F15+F16+F17+F18</f>
        <v>390.070894889372</v>
      </c>
      <c r="G19" s="0" t="n">
        <f aca="false">G15+G16+G17+G18</f>
        <v>454.464179810906</v>
      </c>
      <c r="H19" s="0" t="n">
        <f aca="false">H15+H16+H17+H18</f>
        <v>521.383186557962</v>
      </c>
      <c r="I19" s="0" t="n">
        <f aca="false">I15+I16+I17+I18</f>
        <v>588.035550633474</v>
      </c>
      <c r="J19" s="0" t="n">
        <f aca="false">J15+J16+J17+J18</f>
        <v>634.813107046573</v>
      </c>
      <c r="K19" s="0" t="n">
        <f aca="false">K15+K16+K17+K18</f>
        <v>674.146873835714</v>
      </c>
      <c r="L19" s="0" t="n">
        <f aca="false">L15+L16+L17+L18</f>
        <v>707.524341102954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0.884955752212389</v>
      </c>
      <c r="D20" s="0" t="n">
        <f aca="false">1/(1+$B$27/100)^D4</f>
        <v>0.783146683373796</v>
      </c>
      <c r="E20" s="0" t="n">
        <f aca="false">1/(1+$B$27/100)^E4</f>
        <v>0.693050162277696</v>
      </c>
      <c r="F20" s="0" t="n">
        <f aca="false">1/(1+$B$27/100)^F4</f>
        <v>0.613318727679377</v>
      </c>
      <c r="G20" s="0" t="n">
        <f aca="false">1/(1+$B$27/100)^G4</f>
        <v>0.542759935999449</v>
      </c>
      <c r="H20" s="0" t="n">
        <f aca="false">1/(1+$B$27/100)^H4</f>
        <v>0.48031852743314</v>
      </c>
      <c r="I20" s="0" t="n">
        <f aca="false">1/(1+$B$27/100)^I4</f>
        <v>0.425060643746142</v>
      </c>
      <c r="J20" s="0" t="n">
        <f aca="false">1/(1+$B$27/100)^J4</f>
        <v>0.37615986172225</v>
      </c>
      <c r="K20" s="0" t="n">
        <f aca="false">1/(1+$B$27/100)^K4</f>
        <v>0.332884833382522</v>
      </c>
      <c r="L20" s="0" t="n">
        <f aca="false">1/(1+$B$27/100)^L4</f>
        <v>0.294588348126126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174.031436452389</v>
      </c>
      <c r="D21" s="0" t="n">
        <f aca="false">D19*D20</f>
        <v>196.933196528342</v>
      </c>
      <c r="E21" s="0" t="n">
        <f aca="false">E19*E20</f>
        <v>219.433606834322</v>
      </c>
      <c r="F21" s="0" t="n">
        <f aca="false">F19*F20</f>
        <v>239.237784958306</v>
      </c>
      <c r="G21" s="0" t="n">
        <f aca="false">G19*G20</f>
        <v>246.664949148209</v>
      </c>
      <c r="H21" s="0" t="n">
        <f aca="false">H19*H20</f>
        <v>250.430004395918</v>
      </c>
      <c r="I21" s="0" t="n">
        <f aca="false">I19*I20</f>
        <v>249.950769697882</v>
      </c>
      <c r="J21" s="0" t="n">
        <f aca="false">J19*J20</f>
        <v>238.791210566111</v>
      </c>
      <c r="K21" s="0" t="n">
        <f aca="false">K19*K20</f>
        <v>224.41326977215</v>
      </c>
      <c r="L21" s="0" t="n">
        <f aca="false">L19*L20</f>
        <v>208.428426904545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0.35</v>
      </c>
      <c r="D23" s="4" t="n">
        <f aca="false">Assumptions!D44</f>
        <v>0.33</v>
      </c>
      <c r="E23" s="4" t="n">
        <f aca="false">Assumptions!E44</f>
        <v>0.3</v>
      </c>
      <c r="F23" s="4" t="n">
        <f aca="false">Assumptions!F44</f>
        <v>0.3</v>
      </c>
      <c r="G23" s="4" t="n">
        <f aca="false">Assumptions!G44</f>
        <v>0.28</v>
      </c>
      <c r="H23" s="4" t="n">
        <f aca="false">Assumptions!H44</f>
        <v>0.27</v>
      </c>
      <c r="I23" s="4" t="n">
        <f aca="false">Assumptions!I44</f>
        <v>0.26</v>
      </c>
      <c r="J23" s="4" t="n">
        <f aca="false">Assumptions!J44</f>
        <v>0.25</v>
      </c>
      <c r="K23" s="4" t="n">
        <f aca="false">Assumptions!K44</f>
        <v>0.25</v>
      </c>
      <c r="L23" s="4" t="n">
        <f aca="false">Assumptions!L44</f>
        <v>0.25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-5.84753372</v>
      </c>
      <c r="D24" s="0" t="n">
        <f aca="false">-D6*D23/100</f>
        <v>-6.6160667232</v>
      </c>
      <c r="E24" s="0" t="n">
        <f aca="false">-E6*E23/100</f>
        <v>-7.03708915104</v>
      </c>
      <c r="F24" s="0" t="n">
        <f aca="false">-F6*F23/100</f>
        <v>-8.0222816321856</v>
      </c>
      <c r="G24" s="0" t="n">
        <f aca="false">-G6*G23/100</f>
        <v>-8.38595839951135</v>
      </c>
      <c r="H24" s="0" t="n">
        <f aca="false">-H6*H23/100</f>
        <v>-8.89510587376739</v>
      </c>
      <c r="I24" s="0" t="n">
        <f aca="false">-I6*I23/100</f>
        <v>-9.25091010871809</v>
      </c>
      <c r="J24" s="0" t="n">
        <f aca="false">-J6*J23/100</f>
        <v>-9.42881222619344</v>
      </c>
      <c r="K24" s="0" t="n">
        <f aca="false">-K6*K23/100</f>
        <v>-9.90025283750311</v>
      </c>
      <c r="L24" s="0" t="n">
        <f aca="false">-L6*L23/100</f>
        <v>-10.2962629510032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13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2248.31465525817</v>
      </c>
    </row>
    <row r="31" customFormat="false" ht="15" hidden="false" customHeight="false" outlineLevel="0" collapsed="false">
      <c r="A31" s="0" t="s">
        <v>126</v>
      </c>
      <c r="B31" s="0" t="n">
        <f aca="false">L19</f>
        <v>707.524341102954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7708.29150570061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8490.29209323545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7708.29150570061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2270.77286153899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4519.08751679716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4619.08751679716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3.66739779023196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0.847555561829705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197.040773185841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158.618256652778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3.94977891753535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6367.71906992659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2.94785603438184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1.15364187727675</v>
      </c>
      <c r="C4" s="0" t="n">
        <f aca="false">B4/Assumptions!$B$2-1</f>
        <v>-0.418820212958815</v>
      </c>
      <c r="D4" s="4" t="n">
        <f aca="false">Assumptions!$B$24</f>
        <v>0.3</v>
      </c>
      <c r="E4" s="4" t="n">
        <f aca="false">DCF_Bear!$B$43</f>
        <v>1.32982646721876</v>
      </c>
      <c r="F4" s="4" t="n">
        <f aca="false">DCF_Bear!$B$47</f>
        <v>1.03455974906903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2.59845611307393</v>
      </c>
      <c r="C5" s="0" t="n">
        <f aca="false">B5/Assumptions!$B$2-1</f>
        <v>0.309045900792912</v>
      </c>
      <c r="D5" s="4" t="n">
        <f aca="false">Assumptions!$B$38</f>
        <v>0.5</v>
      </c>
      <c r="E5" s="4" t="n">
        <f aca="false">DCF_Base!$B$43</f>
        <v>2.82971445341352</v>
      </c>
      <c r="F5" s="4" t="n">
        <f aca="false">DCF_Base!$B$47</f>
        <v>2.1558304645798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3.66739779023196</v>
      </c>
      <c r="C6" s="0" t="n">
        <f aca="false">B6/Assumptions!$B$2-1</f>
        <v>0.847555561829705</v>
      </c>
      <c r="D6" s="4" t="n">
        <f aca="false">Assumptions!$B$52</f>
        <v>0.2</v>
      </c>
      <c r="E6" s="4" t="n">
        <f aca="false">DCF_Bull!$B$43</f>
        <v>3.94977891753535</v>
      </c>
      <c r="F6" s="4" t="n">
        <f aca="false">DCF_Bull!$B$47</f>
        <v>2.94785603438184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2.37880017776638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2.60376095037946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0.165545715628855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-175.05282062829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1.97785436388698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3.3977900429773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3.17054577719685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2.96280492738351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2.77267267950089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2.59845611307393</v>
      </c>
      <c r="C19" s="3" t="n">
        <v>13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2.1558304645798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11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2.96280492738351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2.96280492738351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2.96280492738351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2.96280492738351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2.96280492738351</v>
      </c>
    </row>
    <row r="25" customFormat="false" ht="15" hidden="false" customHeight="false" outlineLevel="0" collapsed="false">
      <c r="A25" s="3" t="n">
        <v>12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2.77267267950089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2.77267267950089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2.77267267950089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2.77267267950089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2.77267267950089</v>
      </c>
    </row>
    <row r="26" customFormat="false" ht="15" hidden="false" customHeight="false" outlineLevel="0" collapsed="false">
      <c r="A26" s="3" t="n">
        <v>13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2.51522363484198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2.57120738508133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2.59845611307393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2.59845611307393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2.59845611307393</v>
      </c>
    </row>
    <row r="27" customFormat="false" ht="15" hidden="false" customHeight="false" outlineLevel="0" collapsed="false">
      <c r="A27" s="3" t="n">
        <v>14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2.28145176942724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2.32473575212598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2.37195464234278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2.42367056972309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2.43864096975424</v>
      </c>
    </row>
    <row r="28" customFormat="false" ht="15" hidden="false" customHeight="false" outlineLevel="0" collapsed="false">
      <c r="A28" s="3" t="n">
        <v>15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2.08503999432331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2.11901942004643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2.1558304645798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2.19584246950739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2.23949192942839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2026-09-25T06:33:09Z</dcterms:created>
  <dc:creator>openpyxl</dc:creator>
  <dc:description/>
  <dc:language>en-NZ</dc:language>
  <cp:lastModifiedBy/>
  <dcterms:modified xsi:type="dcterms:W3CDTF">2026-09-25T06:33:09Z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