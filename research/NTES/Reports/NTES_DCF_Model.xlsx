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<sst xmlns="http://schemas.openxmlformats.org/spreadsheetml/2006/main" count="387" uniqueCount="176">
  <si>
    <t xml:space="preserve">Ticker</t>
  </si>
  <si>
    <t xml:space="preserve">NTES</t>
  </si>
  <si>
    <t xml:space="preserve">Company</t>
  </si>
  <si>
    <t xml:space="preserve">NetEase, Inc. (NASDAQ ADS; 1 ADS = 5 ordinary shares; primary listing HKEX 9999.HK)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</si>
  <si>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</si>
  <si>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</si>
  <si>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</si>
  <si>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</si>
  <si>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2026-10-02T20:00:00Z NASDAQ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</si>
  <si>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</si>
  <si>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</si>
  <si>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</si>
  <si>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</si>
  <si>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</si>
  <si>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</si>
  <si>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</si>
  <si>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</si>
  <si>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</si>
  <si>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</si>
  <si>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</si>
  <si>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</si>
  <si>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</si>
  <si>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2026-10-03T23:45:27Z</t>
  </si>
  <si>
    <t xml:space="preserve">Drivers file</t>
  </si>
  <si>
    <t xml:space="preserve">NTES_Drivers.json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</si>
  <si>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</si>
  <si>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</si>
  <si>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</si>
  <si>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Ten years of OWNER free cash flow (reported FCF less SBC less interest income) built from components (adjusted EBITDA, SBC as % of revenue, D&amp;A, a structurally higher cash tax rate, capex, working capital on the CHANGE in revenue), discounted at a 10.5% CNY-built WACC, plus a terminal value capped at 18x; add a HAIRCUT BROAD net cash of RMB150.1bn; divide by 644.32M ADS-equivalents (3,221.6M diluted ordinary / 5) and convert at USD/CNY 6.6987 to US$ per NTES ADS. NET CASH: the broad company definition (cash + current and non-current time deposits + restricted cash + short-term investments - loans = RMB167.5bn at 2026-06-30) is the right starting point because time deposits (RMB102bn) and short-term investments (RMB51bn) ARE the treasury; the narrow XBRL cash line (RMB22.8bn) omits ~85% of it and would understate value by ~US$32/ADS. The 10.4% haircut excludes restricted cash, marks short-term investments at 90% and takes 5% repatriation friction. Net cash is ~US$34/ADS, about 29% of the price.
key_risks_to_valuation: China gaming regulation: discretionary policy over ~70-75% of revenue; the December 2023 draft rule is the reference shock.; Margin reversal: the gaming gross-margin step from 70% to 76% rests on lower platform revenue-sharing; the bear case reverses it and that is the largest swing factor.; Tax: the jump to ~22% effective is treated as structural; a further loss of preferential status toward 25% is in the bear case.; FX: value is earned in CNY; a 5% RMB depreciation lowers the USD per-ADS value 5% one-for-one.; VIE and HFCAA: structural legal risk on the operating contracts and ADS delisting risk; the HKEX primary listing gives ADS holders a conversion path.; NCI leakage: Cloud Music (9899.HK) and Youdao (DAO) are consolidated with public minorities; rising subsidiary profits leak a growing share outside NetEase holders, not deducted separately here.; Net cash haircut is a judgment: full stated net cash adds ~US$4/ADS; a larger trapped-cash view subtracts.</t>
  </si>
  <si>
    <t xml:space="preserve">Data sources</t>
  </si>
  <si>
    <t xml:space="preserve">price: Yahoo Finance chart API (NTES) at inputs.price_as_of; 52-week range 106.06-156.44. FX Yahoo USDCNY=X, CNH=X, HKD=X, CNYHKD=X 2026-10-03; cross-listing 9999.HK same API.
financials: NTES_Metrics.csv (SEC XBRL companyfacts, CNY millions, currency label corrected 2026-10-03); Q2-2026 6-K (research/9999.HK/Extracted/9999.HK_6K_Q2-2026.txt line 651 net cash; balance sheet lines 1457-1882) for the 2026-06-30 balance sheet, TTM SBC, interest income and diluted share count; FY2025 20-F for NCI.
qualitative: NTES_Analysis.json (2026-10-04); 9999.HK_DCF.json (2026-08-29) for the adopted driver judgments; MEMORY 9999-netease note.</t>
  </si>
  <si>
    <t xml:space="preserve">Scenario narrative: bear</t>
  </si>
  <si>
    <t xml:space="preserve">The China policy tail bites again (a December-2023-style draft rule cut the stock 28% in one session) or the China consumer slows; Marvel Rivals churns like most hero-shooters; Sea of Remnants' rocky launch proves representative of the pipeline; Tencent's and miHoYo's far larger AI/R&amp;D budgets erode NetEase's development edge; and the platform revenue-share gain reverses, taking margins back to FY2022-23 levels. Cloud Music's rising profits leak more to its minority holders.</t>
  </si>
  <si>
    <t xml:space="preserve">Scenario narrative: base</t>
  </si>
  <si>
    <t xml:space="preserve">NetEase compounds its evergreen domestic franchise base (Fantasy Westward Journey, Identity V, Eggy Party) at mid-single digits while the international titles add a few points of growth that fade as they mature. The Q2-2026 operating-leverage step (gaming gross margin 76.1%, operating margin 40.2%, opex +1.5%) holds roughly in place but does not extend. The tax step-up to ~22-24% is permanent. The treasury is returned steadily via buybacks and dividends, keeping the ADS count flat.</t>
  </si>
  <si>
    <t xml:space="preserve">Scenario narrative: bull</t>
  </si>
  <si>
    <t xml:space="preserve">NetEase becomes a genuinely global publisher: Where Winds Meet (100m+ cumulative players, on Game Pass since June 2026) and Marvel Rivals settle as multi-year evergreens, the Ananta / Blood Message pipeline delivers another worldwide hit, NPPA approvals keep running ahead of prior-year pace, and the direct-distribution margin gain proves structural as self-published international mix grows.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</si>
  <si>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</si>
  <si>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</si>
  <si>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</si>
  <si>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</si>
  <si>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</si>
  <si>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</si>
  <si>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</si>
  <si>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</si>
  <si>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</si>
  <si>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</si>
  <si>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</si>
  <si>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</si>
  <si>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</si>
  <si>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</si>
  <si>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</si>
  <si>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</si>
  <si>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</si>
  <si>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</si>
  <si>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</si>
  <si>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</si>
  <si>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</si>
  <si>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</si>
  <si>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</si>
  <si>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</si>
  <si>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</si>
  <si>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</si>
  <si>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</si>
  <si>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</si>
  <si>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</si>
  <si>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</si>
  <si>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</si>
  <si>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</si>
  <si>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</si>
  <si>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</si>
  <si>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</si>
  <si>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</si>
  <si>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</si>
  <si>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</si>
  <si>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</si>
  <si>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</si>
  <si>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</si>
  <si>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</si>
  <si>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</si>
  <si>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</si>
  <si>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</si>
  <si>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</si>
  <si>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</si>
  <si>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</si>
  <si>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</si>
  <si>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</si>
  <si>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</si>
  <si>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</si>
  <si>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</si>
  <si>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</si>
  <si>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</si>
  <si>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</si>
  <si>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</si>
  <si>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</si>
  <si>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</si>
  <si>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</si>
  <si>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</si>
  <si>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</si>
  <si>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</si>
  <si>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</si>
  <si>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</si>
  <si>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</si>
  <si>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</si>
  <si>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</si>
  <si>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</si>
  <si>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</si>
  <si>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</si>
  <si>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</si>
  <si>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</si>
  <si>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</si>
  <si>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</si>
  <si>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</si>
  <si>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</si>
  <si>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</si>
  <si>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</si>
  <si>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</si>
  <si>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</si>
  <si>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</si>
  <si>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</si>
  <si>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</si>
  <si>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NTES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</si>
  <si>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</si>
  <si>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</si>
  <si>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</si>
  <si>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</si>
  <si>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</si>
  <si>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</si>
  <si>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</si>
  <si>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</si>
  <si>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</si>
  <si>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</si>
  <si>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</si>
  <si>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</si>
  <si>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</si>
  <si>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</si>
  <si>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</si>
  <si>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</si>
  <si>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</si>
  <si>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</si>
  <si>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</si>
  <si>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</si>
  <si>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</si>
  <si>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</si>
  <si>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</si>
  <si>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</si>
  <si>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</si>
  <si>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</si>
  <si>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</si>
  <si>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</si>
  <si>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</si>
  <si>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</si>
  <si>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NTES owner-FCF component DCF: base case (millions, CNY)</t>
  </si>
  <si>
    <t xml:space="preserve">NTES owner-FCF component DCF: bull case (millions, CNY)</t>
  </si>
  <si>
    <t xml:space="preserve">NTES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</si>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</sst>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117.21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3398.633</v>
      </c>
      <c r="S2" s="0" t="n">
        <v>2482.821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C3" s="0" t="n">
        <v>578.69</v>
      </c>
      <c r="D3" s="0" t="n">
        <v>2505.894</v>
      </c>
      <c r="F3" s="0" t="n">
        <v>1914.563</v>
      </c>
      <c r="H3" s="0" t="n">
        <v>2005.525</v>
      </c>
      <c r="I3" s="0" t="n">
        <v>1596.688</v>
      </c>
      <c r="K3" s="0" t="n">
        <v>0.51</v>
      </c>
      <c r="L3" s="0" t="n">
        <v>2017.799</v>
      </c>
      <c r="M3" s="0" t="n">
        <v>133.329</v>
      </c>
      <c r="N3" s="0" t="n">
        <v>1884.47</v>
      </c>
      <c r="O3" s="0" t="n">
        <v>5516.645</v>
      </c>
      <c r="S3" s="0" t="n">
        <v>793.408</v>
      </c>
      <c r="T3" s="0" t="n">
        <v>3234.214</v>
      </c>
      <c r="U3" s="0" t="n">
        <v>67.949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3823.451</v>
      </c>
      <c r="C4" s="0" t="n">
        <v>972.374</v>
      </c>
      <c r="D4" s="0" t="n">
        <v>2784.573</v>
      </c>
      <c r="E4" s="0" t="n">
        <v>72.8287873965169</v>
      </c>
      <c r="F4" s="0" t="n">
        <v>2023.435</v>
      </c>
      <c r="G4" s="0" t="n">
        <v>52.921692994104</v>
      </c>
      <c r="H4" s="0" t="n">
        <v>2167.015</v>
      </c>
      <c r="I4" s="0" t="n">
        <v>1850.436</v>
      </c>
      <c r="J4" s="0" t="n">
        <v>48.3970109725481</v>
      </c>
      <c r="K4" s="0" t="n">
        <v>0.57</v>
      </c>
      <c r="L4" s="0" t="n">
        <v>2094.495</v>
      </c>
      <c r="M4" s="0" t="n">
        <v>407.727</v>
      </c>
      <c r="N4" s="0" t="n">
        <v>1686.768</v>
      </c>
      <c r="O4" s="0" t="n">
        <v>7425.344</v>
      </c>
      <c r="P4" s="0" t="n">
        <v>8803.469</v>
      </c>
      <c r="Q4" s="0" t="n">
        <v>1378.125</v>
      </c>
      <c r="S4" s="0" t="n">
        <v>1041.29</v>
      </c>
      <c r="T4" s="0" t="n">
        <v>3248.983</v>
      </c>
      <c r="U4" s="0" t="n">
        <v>31.385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5659.789</v>
      </c>
      <c r="C5" s="0" t="n">
        <v>1798.841</v>
      </c>
      <c r="D5" s="0" t="n">
        <v>3708.828</v>
      </c>
      <c r="E5" s="0" t="n">
        <v>65.5294393483573</v>
      </c>
      <c r="F5" s="0" t="n">
        <v>2544.302</v>
      </c>
      <c r="G5" s="0" t="n">
        <v>44.9540080027718</v>
      </c>
      <c r="H5" s="0" t="n">
        <v>2776.473</v>
      </c>
      <c r="I5" s="0" t="n">
        <v>2235.772</v>
      </c>
      <c r="J5" s="0" t="n">
        <v>39.502744713628</v>
      </c>
      <c r="K5" s="0" t="n">
        <v>0.69</v>
      </c>
      <c r="L5" s="0" t="n">
        <v>2854.954</v>
      </c>
      <c r="M5" s="0" t="n">
        <v>297.98</v>
      </c>
      <c r="N5" s="0" t="n">
        <v>2556.974</v>
      </c>
      <c r="O5" s="0" t="n">
        <v>9723.638</v>
      </c>
      <c r="P5" s="0" t="n">
        <v>11586.662</v>
      </c>
      <c r="Q5" s="0" t="n">
        <v>1863.024</v>
      </c>
      <c r="S5" s="0" t="n">
        <v>1285.137</v>
      </c>
      <c r="T5" s="0" t="n">
        <v>3261.886</v>
      </c>
      <c r="U5" s="0" t="n">
        <v>102.406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7472.751</v>
      </c>
      <c r="C6" s="0" t="n">
        <v>2372.288</v>
      </c>
      <c r="D6" s="0" t="n">
        <v>4918.364</v>
      </c>
      <c r="E6" s="0" t="n">
        <v>65.8173141323724</v>
      </c>
      <c r="F6" s="0" t="n">
        <v>3323.442</v>
      </c>
      <c r="G6" s="0" t="n">
        <v>44.4741434580117</v>
      </c>
      <c r="H6" s="0" t="n">
        <v>3616.681</v>
      </c>
      <c r="I6" s="0" t="n">
        <v>3234.264</v>
      </c>
      <c r="J6" s="0" t="n">
        <v>43.2807676851537</v>
      </c>
      <c r="K6" s="0" t="n">
        <v>0.99</v>
      </c>
      <c r="M6" s="0" t="n">
        <v>410.12</v>
      </c>
      <c r="O6" s="0" t="n">
        <v>13098.464</v>
      </c>
      <c r="P6" s="0" t="n">
        <v>15444.931</v>
      </c>
      <c r="Q6" s="0" t="n">
        <v>2346.467</v>
      </c>
      <c r="S6" s="0" t="n">
        <v>2214.618</v>
      </c>
      <c r="T6" s="0" t="n">
        <v>3276.704</v>
      </c>
      <c r="U6" s="0" t="n">
        <v>122.032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8379.961</v>
      </c>
      <c r="C7" s="0" t="n">
        <v>2578.067</v>
      </c>
      <c r="D7" s="0" t="n">
        <v>5622.889</v>
      </c>
      <c r="E7" s="0" t="n">
        <v>67.0992263567814</v>
      </c>
      <c r="F7" s="0" t="n">
        <v>3711.644</v>
      </c>
      <c r="G7" s="0" t="n">
        <v>44.291900642497</v>
      </c>
      <c r="H7" s="0" t="n">
        <v>3945.153</v>
      </c>
      <c r="I7" s="0" t="n">
        <v>3637.452</v>
      </c>
      <c r="J7" s="0" t="n">
        <v>43.4065504600797</v>
      </c>
      <c r="K7" s="0" t="n">
        <v>1.11</v>
      </c>
      <c r="M7" s="0" t="n">
        <v>178.654</v>
      </c>
      <c r="O7" s="0" t="n">
        <v>15601.486</v>
      </c>
      <c r="P7" s="0" t="n">
        <v>19277.956</v>
      </c>
      <c r="Q7" s="0" t="n">
        <v>3676.47</v>
      </c>
      <c r="S7" s="0" t="n">
        <v>1590.769</v>
      </c>
      <c r="T7" s="0" t="n">
        <v>3288.33</v>
      </c>
      <c r="U7" s="0" t="n">
        <v>203.018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9771.255</v>
      </c>
      <c r="C8" s="0" t="n">
        <v>2478.516</v>
      </c>
      <c r="D8" s="0" t="n">
        <v>6717.659</v>
      </c>
      <c r="E8" s="0" t="n">
        <v>68.7491934250002</v>
      </c>
      <c r="F8" s="0" t="n">
        <v>4352.597</v>
      </c>
      <c r="G8" s="0" t="n">
        <v>44.5449126033452</v>
      </c>
      <c r="H8" s="0" t="n">
        <v>4510.96</v>
      </c>
      <c r="I8" s="0" t="n">
        <v>4445.218</v>
      </c>
      <c r="J8" s="0" t="n">
        <v>45.4928051719047</v>
      </c>
      <c r="K8" s="0" t="n">
        <v>1.37</v>
      </c>
      <c r="M8" s="0" t="n">
        <v>218.936</v>
      </c>
      <c r="O8" s="0" t="n">
        <v>20168.263</v>
      </c>
      <c r="P8" s="0" t="n">
        <v>24546.33</v>
      </c>
      <c r="Q8" s="0" t="n">
        <v>4378.067</v>
      </c>
      <c r="S8" s="0" t="n">
        <v>1458.298</v>
      </c>
      <c r="T8" s="0" t="n">
        <v>3256.297</v>
      </c>
      <c r="U8" s="0" t="n">
        <v>306.308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11712.834</v>
      </c>
      <c r="C9" s="0" t="n">
        <v>3261.544</v>
      </c>
      <c r="D9" s="0" t="n">
        <v>8451.29</v>
      </c>
      <c r="E9" s="0" t="n">
        <v>72.1541003654624</v>
      </c>
      <c r="F9" s="0" t="n">
        <v>4765.125</v>
      </c>
      <c r="G9" s="0" t="n">
        <v>40.6829380489811</v>
      </c>
      <c r="H9" s="0" t="n">
        <v>4939.587</v>
      </c>
      <c r="I9" s="0" t="n">
        <v>4795.705</v>
      </c>
      <c r="J9" s="0" t="n">
        <v>40.9440191844263</v>
      </c>
      <c r="K9" s="0" t="n">
        <v>1.46</v>
      </c>
      <c r="M9" s="0" t="n">
        <v>537.376</v>
      </c>
      <c r="O9" s="0" t="n">
        <v>23358.16</v>
      </c>
      <c r="P9" s="0" t="n">
        <v>30354.671</v>
      </c>
      <c r="Q9" s="0" t="n">
        <v>6862.877</v>
      </c>
      <c r="S9" s="0" t="n">
        <v>2021.453</v>
      </c>
      <c r="T9" s="0" t="n">
        <v>3277.049</v>
      </c>
      <c r="U9" s="0" t="n">
        <v>349.277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22802.895</v>
      </c>
      <c r="C10" s="0" t="n">
        <v>9399.26</v>
      </c>
      <c r="D10" s="0" t="n">
        <v>13403.635</v>
      </c>
      <c r="E10" s="0" t="n">
        <v>58.7804092418967</v>
      </c>
      <c r="F10" s="0" t="n">
        <v>7272.123</v>
      </c>
      <c r="G10" s="0" t="n">
        <v>31.8912269692072</v>
      </c>
      <c r="H10" s="0" t="n">
        <v>7454.573</v>
      </c>
      <c r="I10" s="0" t="n">
        <v>6836.9</v>
      </c>
      <c r="J10" s="0" t="n">
        <v>29.9825965080311</v>
      </c>
      <c r="K10" s="0" t="n">
        <v>2.05</v>
      </c>
      <c r="L10" s="0" t="n">
        <v>8076.92</v>
      </c>
      <c r="M10" s="0" t="n">
        <v>866.314</v>
      </c>
      <c r="N10" s="0" t="n">
        <v>7210.606</v>
      </c>
      <c r="O10" s="0" t="n">
        <v>29323.599</v>
      </c>
      <c r="P10" s="0" t="n">
        <v>41157.43</v>
      </c>
      <c r="Q10" s="0" t="n">
        <v>11833.831</v>
      </c>
      <c r="S10" s="0" t="n">
        <v>6071.487</v>
      </c>
      <c r="T10" s="0" t="n">
        <v>3305.213</v>
      </c>
      <c r="U10" s="0" t="n">
        <v>684.467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38178.844</v>
      </c>
      <c r="C11" s="0" t="n">
        <v>16515.032</v>
      </c>
      <c r="D11" s="0" t="n">
        <v>21663.812</v>
      </c>
      <c r="E11" s="0" t="n">
        <v>56.7429752456622</v>
      </c>
      <c r="F11" s="0" t="n">
        <v>12628.864</v>
      </c>
      <c r="G11" s="0" t="n">
        <v>33.078172822624</v>
      </c>
      <c r="H11" s="0" t="n">
        <v>12956.379</v>
      </c>
      <c r="I11" s="0" t="n">
        <v>11792.863</v>
      </c>
      <c r="J11" s="0" t="n">
        <v>30.8884758270837</v>
      </c>
      <c r="K11" s="0" t="n">
        <v>3.54</v>
      </c>
      <c r="L11" s="0" t="n">
        <v>15488.266</v>
      </c>
      <c r="M11" s="0" t="n">
        <v>1135.533</v>
      </c>
      <c r="N11" s="0" t="n">
        <v>14352.733</v>
      </c>
      <c r="O11" s="0" t="n">
        <v>38462.941</v>
      </c>
      <c r="P11" s="0" t="n">
        <v>58031.86</v>
      </c>
      <c r="Q11" s="0" t="n">
        <v>19568.919</v>
      </c>
      <c r="S11" s="0" t="n">
        <v>5439.499</v>
      </c>
      <c r="T11" s="0" t="n">
        <v>3307.109</v>
      </c>
      <c r="U11" s="0" t="n">
        <v>990.131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44437.355</v>
      </c>
      <c r="C12" s="0" t="n">
        <v>19394.314</v>
      </c>
      <c r="D12" s="0" t="n">
        <v>25043.041</v>
      </c>
      <c r="E12" s="0" t="n">
        <v>56.3558317096056</v>
      </c>
      <c r="F12" s="0" t="n">
        <v>12994.913</v>
      </c>
      <c r="G12" s="0" t="n">
        <v>29.2432189089562</v>
      </c>
      <c r="H12" s="0" t="n">
        <v>13786.691</v>
      </c>
      <c r="I12" s="0" t="n">
        <v>10849.137</v>
      </c>
      <c r="J12" s="0" t="n">
        <v>24.41445266038</v>
      </c>
      <c r="K12" s="0" t="n">
        <v>3.25</v>
      </c>
      <c r="L12" s="0" t="n">
        <v>11889.238</v>
      </c>
      <c r="M12" s="0" t="n">
        <v>1654.486</v>
      </c>
      <c r="N12" s="0" t="n">
        <v>10234.752</v>
      </c>
      <c r="O12" s="0" t="n">
        <v>46435.14</v>
      </c>
      <c r="P12" s="0" t="n">
        <v>71031.415</v>
      </c>
      <c r="Q12" s="0" t="n">
        <v>23981.579</v>
      </c>
      <c r="S12" s="0" t="n">
        <v>2764.14</v>
      </c>
      <c r="T12" s="0" t="n">
        <v>3315.478</v>
      </c>
      <c r="U12" s="0" t="n">
        <v>1984.851</v>
      </c>
      <c r="AA12" s="0" t="s">
        <v>18</v>
      </c>
      <c r="AB12" s="0" t="s">
        <v>14</v>
      </c>
    </row>
    <row r="13" customFormat="false" ht="15" hidden="false" customHeight="false" outlineLevel="0" collapsed="false">
      <c r="A13" s="0" t="s">
        <v>75</v>
      </c>
      <c r="B13" s="0" t="n">
        <v>51178.575</v>
      </c>
      <c r="C13" s="0" t="n">
        <v>23832.426</v>
      </c>
      <c r="D13" s="0" t="n">
        <v>27346.149</v>
      </c>
      <c r="E13" s="0" t="n">
        <v>53.4328065992459</v>
      </c>
      <c r="F13" s="0" t="n">
        <v>9977.344</v>
      </c>
      <c r="G13" s="0" t="n">
        <v>19.4951578858927</v>
      </c>
      <c r="H13" s="0" t="n">
        <v>12037.479</v>
      </c>
      <c r="I13" s="0" t="n">
        <v>6477.417</v>
      </c>
      <c r="J13" s="0" t="n">
        <v>12.6565012800767</v>
      </c>
      <c r="K13" s="0" t="n">
        <v>1.9</v>
      </c>
      <c r="L13" s="0" t="n">
        <v>13415.877</v>
      </c>
      <c r="M13" s="0" t="n">
        <v>2169.404</v>
      </c>
      <c r="N13" s="0" t="n">
        <v>11246.473</v>
      </c>
      <c r="O13" s="0" t="n">
        <v>46025.845</v>
      </c>
      <c r="P13" s="0" t="n">
        <v>86967.928</v>
      </c>
      <c r="Q13" s="0" t="n">
        <v>35556.347</v>
      </c>
      <c r="S13" s="0" t="n">
        <v>4977.432</v>
      </c>
      <c r="T13" s="0" t="n">
        <v>3254.689</v>
      </c>
      <c r="U13" s="0" t="n">
        <v>2471.731</v>
      </c>
      <c r="AA13" s="0" t="s">
        <v>18</v>
      </c>
      <c r="AB13" s="0" t="s">
        <v>14</v>
      </c>
    </row>
    <row r="14" customFormat="false" ht="15" hidden="false" customHeight="false" outlineLevel="0" collapsed="false">
      <c r="A14" s="0" t="s">
        <v>76</v>
      </c>
      <c r="B14" s="0" t="n">
        <v>59241.145</v>
      </c>
      <c r="C14" s="0" t="n">
        <v>27685.845</v>
      </c>
      <c r="D14" s="0" t="n">
        <v>31555.3</v>
      </c>
      <c r="E14" s="0" t="n">
        <v>53.2658509554466</v>
      </c>
      <c r="F14" s="0" t="n">
        <v>13790.651</v>
      </c>
      <c r="G14" s="0" t="n">
        <v>23.2788393944783</v>
      </c>
      <c r="H14" s="0" t="n">
        <v>16404.433</v>
      </c>
      <c r="I14" s="0" t="n">
        <v>21431.126</v>
      </c>
      <c r="J14" s="0" t="n">
        <v>36.176083362332</v>
      </c>
      <c r="K14" s="0" t="n">
        <v>6.59</v>
      </c>
      <c r="L14" s="0" t="n">
        <v>17216.458</v>
      </c>
      <c r="M14" s="0" t="n">
        <v>1209.477</v>
      </c>
      <c r="N14" s="0" t="n">
        <v>16006.981</v>
      </c>
      <c r="O14" s="0" t="n">
        <v>62592.855</v>
      </c>
      <c r="P14" s="0" t="n">
        <v>112124.371</v>
      </c>
      <c r="Q14" s="0" t="n">
        <v>39082.916</v>
      </c>
      <c r="S14" s="0" t="n">
        <v>3246.373</v>
      </c>
      <c r="T14" s="0" t="n">
        <v>3249.972</v>
      </c>
      <c r="U14" s="0" t="n">
        <v>2404.089</v>
      </c>
      <c r="AA14" s="0" t="s">
        <v>18</v>
      </c>
      <c r="AB14" s="0" t="s">
        <v>14</v>
      </c>
    </row>
    <row r="15" customFormat="false" ht="15" hidden="false" customHeight="false" outlineLevel="0" collapsed="false">
      <c r="A15" s="0" t="s">
        <v>77</v>
      </c>
      <c r="B15" s="0" t="n">
        <v>73667.133</v>
      </c>
      <c r="C15" s="0" t="n">
        <v>34683.731</v>
      </c>
      <c r="D15" s="0" t="n">
        <v>38983.402</v>
      </c>
      <c r="E15" s="0" t="n">
        <v>52.9183102592034</v>
      </c>
      <c r="F15" s="0" t="n">
        <v>14538.405</v>
      </c>
      <c r="G15" s="0" t="n">
        <v>19.7352664722272</v>
      </c>
      <c r="H15" s="0" t="n">
        <v>17996.187</v>
      </c>
      <c r="I15" s="0" t="n">
        <v>12330.235</v>
      </c>
      <c r="J15" s="0" t="n">
        <v>16.7377696102277</v>
      </c>
      <c r="K15" s="0" t="n">
        <v>3.65</v>
      </c>
      <c r="L15" s="0" t="n">
        <v>24888.171</v>
      </c>
      <c r="M15" s="0" t="n">
        <v>1055.572</v>
      </c>
      <c r="N15" s="0" t="n">
        <v>23832.599</v>
      </c>
      <c r="O15" s="0" t="n">
        <v>82997.804</v>
      </c>
      <c r="P15" s="0" t="n">
        <v>141874.582</v>
      </c>
      <c r="Q15" s="0" t="n">
        <v>48080.658</v>
      </c>
      <c r="S15" s="0" t="n">
        <v>9117.219</v>
      </c>
      <c r="T15" s="0" t="n">
        <v>3349.759</v>
      </c>
      <c r="U15" s="0" t="n">
        <v>2663.489</v>
      </c>
      <c r="AA15" s="0" t="s">
        <v>18</v>
      </c>
      <c r="AB15" s="0" t="s">
        <v>14</v>
      </c>
    </row>
    <row r="16" customFormat="false" ht="15" hidden="false" customHeight="false" outlineLevel="0" collapsed="false">
      <c r="A16" s="0" t="s">
        <v>78</v>
      </c>
      <c r="B16" s="0" t="n">
        <v>87606.026</v>
      </c>
      <c r="C16" s="0" t="n">
        <v>40635.225</v>
      </c>
      <c r="D16" s="0" t="n">
        <v>46970.801</v>
      </c>
      <c r="E16" s="0" t="n">
        <v>53.6159476061613</v>
      </c>
      <c r="F16" s="0" t="n">
        <v>16417.07</v>
      </c>
      <c r="G16" s="0" t="n">
        <v>18.7396583883396</v>
      </c>
      <c r="H16" s="0" t="n">
        <v>19692.797</v>
      </c>
      <c r="I16" s="0" t="n">
        <v>16976.19</v>
      </c>
      <c r="J16" s="0" t="n">
        <v>19.3778793253332</v>
      </c>
      <c r="K16" s="0" t="n">
        <v>5.07</v>
      </c>
      <c r="L16" s="0" t="n">
        <v>24926.727</v>
      </c>
      <c r="M16" s="0" t="n">
        <v>1601.83</v>
      </c>
      <c r="N16" s="0" t="n">
        <v>23324.897</v>
      </c>
      <c r="O16" s="0" t="n">
        <v>99278.638</v>
      </c>
      <c r="P16" s="0" t="n">
        <v>153643.924</v>
      </c>
      <c r="Q16" s="0" t="n">
        <v>54220.048</v>
      </c>
      <c r="R16" s="0" t="n">
        <v>1275.14</v>
      </c>
      <c r="S16" s="0" t="n">
        <v>14498.157</v>
      </c>
      <c r="T16" s="0" t="n">
        <v>3367.478</v>
      </c>
      <c r="U16" s="0" t="n">
        <v>3041.492</v>
      </c>
      <c r="AA16" s="0" t="s">
        <v>18</v>
      </c>
      <c r="AB16" s="0" t="s">
        <v>14</v>
      </c>
    </row>
    <row r="17" customFormat="false" ht="15" hidden="false" customHeight="false" outlineLevel="0" collapsed="false">
      <c r="A17" s="0" t="s">
        <v>79</v>
      </c>
      <c r="B17" s="0" t="n">
        <v>96495.809</v>
      </c>
      <c r="C17" s="0" t="n">
        <v>43729.683</v>
      </c>
      <c r="D17" s="0" t="n">
        <v>52766.126</v>
      </c>
      <c r="E17" s="0" t="n">
        <v>54.682298171105</v>
      </c>
      <c r="F17" s="0" t="n">
        <v>19628.593</v>
      </c>
      <c r="G17" s="0" t="n">
        <v>20.3413943086378</v>
      </c>
      <c r="H17" s="0" t="n">
        <v>22486.802</v>
      </c>
      <c r="I17" s="0" t="n">
        <v>19843.29</v>
      </c>
      <c r="J17" s="0" t="n">
        <v>20.5638879093702</v>
      </c>
      <c r="K17" s="0" t="n">
        <v>6.23</v>
      </c>
      <c r="L17" s="0" t="n">
        <v>27709.233</v>
      </c>
      <c r="M17" s="0" t="n">
        <v>2100.264</v>
      </c>
      <c r="N17" s="0" t="n">
        <v>25608.969</v>
      </c>
      <c r="O17" s="0" t="n">
        <v>108737.04</v>
      </c>
      <c r="P17" s="0" t="n">
        <v>172760.985</v>
      </c>
      <c r="Q17" s="0" t="n">
        <v>63887.505</v>
      </c>
      <c r="R17" s="0" t="n">
        <v>3654.964</v>
      </c>
      <c r="S17" s="0" t="n">
        <v>24889</v>
      </c>
      <c r="T17" s="0" t="n">
        <v>3296.014</v>
      </c>
      <c r="U17" s="0" t="n">
        <v>3174.16</v>
      </c>
      <c r="AA17" s="0" t="s">
        <v>18</v>
      </c>
      <c r="AB17" s="0" t="s">
        <v>14</v>
      </c>
    </row>
    <row r="18" customFormat="false" ht="15" hidden="false" customHeight="false" outlineLevel="0" collapsed="false">
      <c r="A18" s="0" t="s">
        <v>80</v>
      </c>
      <c r="B18" s="0" t="n">
        <v>103468.159</v>
      </c>
      <c r="C18" s="0" t="n">
        <v>40404.765</v>
      </c>
      <c r="D18" s="0" t="n">
        <v>63063.394</v>
      </c>
      <c r="E18" s="0" t="n">
        <v>60.9495661365735</v>
      </c>
      <c r="F18" s="0" t="n">
        <v>27709.144</v>
      </c>
      <c r="G18" s="0" t="n">
        <v>26.7803585835523</v>
      </c>
      <c r="H18" s="0" t="n">
        <v>30764.404</v>
      </c>
      <c r="I18" s="0" t="n">
        <v>29357.223</v>
      </c>
      <c r="J18" s="0" t="n">
        <v>28.373195467796</v>
      </c>
      <c r="K18" s="0" t="n">
        <v>9.15</v>
      </c>
      <c r="L18" s="0" t="n">
        <v>35331.275</v>
      </c>
      <c r="M18" s="0" t="n">
        <v>2301.554</v>
      </c>
      <c r="N18" s="0" t="n">
        <v>33029.721</v>
      </c>
      <c r="O18" s="0" t="n">
        <v>127968.322</v>
      </c>
      <c r="P18" s="0" t="n">
        <v>185924.978</v>
      </c>
      <c r="Q18" s="0" t="n">
        <v>57840.897</v>
      </c>
      <c r="R18" s="0" t="n">
        <v>427.997</v>
      </c>
      <c r="S18" s="0" t="n">
        <v>21428.902</v>
      </c>
      <c r="T18" s="0" t="n">
        <v>3252.029</v>
      </c>
      <c r="U18" s="0" t="n">
        <v>3242.81</v>
      </c>
      <c r="AA18" s="0" t="s">
        <v>18</v>
      </c>
      <c r="AB18" s="0" t="s">
        <v>14</v>
      </c>
    </row>
    <row r="19" customFormat="false" ht="15" hidden="false" customHeight="false" outlineLevel="0" collapsed="false">
      <c r="A19" s="0" t="s">
        <v>81</v>
      </c>
      <c r="B19" s="0" t="n">
        <v>105295.236</v>
      </c>
      <c r="C19" s="0" t="n">
        <v>39488.152</v>
      </c>
      <c r="D19" s="0" t="n">
        <v>65807.084</v>
      </c>
      <c r="E19" s="0" t="n">
        <v>62.4976841307426</v>
      </c>
      <c r="F19" s="0" t="n">
        <v>29583.99</v>
      </c>
      <c r="G19" s="0" t="n">
        <v>28.0962283991652</v>
      </c>
      <c r="H19" s="0" t="n">
        <v>32001.884</v>
      </c>
      <c r="I19" s="0" t="n">
        <v>30256.347</v>
      </c>
      <c r="J19" s="0" t="n">
        <v>28.7347729578193</v>
      </c>
      <c r="K19" s="0" t="n">
        <v>9.28</v>
      </c>
      <c r="L19" s="0" t="n">
        <v>39676.813</v>
      </c>
      <c r="M19" s="0" t="n">
        <v>1275.4</v>
      </c>
      <c r="N19" s="0" t="n">
        <v>38401.413</v>
      </c>
      <c r="O19" s="0" t="n">
        <v>142409.866</v>
      </c>
      <c r="P19" s="0" t="n">
        <v>195991.55</v>
      </c>
      <c r="Q19" s="0" t="n">
        <v>53497.412</v>
      </c>
      <c r="R19" s="0" t="n">
        <v>427.997</v>
      </c>
      <c r="S19" s="0" t="n">
        <v>51383.31</v>
      </c>
      <c r="T19" s="0" t="n">
        <v>3230.602</v>
      </c>
      <c r="U19" s="0" t="n">
        <v>3882.939</v>
      </c>
      <c r="AA19" s="0" t="s">
        <v>18</v>
      </c>
      <c r="AB19" s="0" t="s">
        <v>14</v>
      </c>
    </row>
    <row r="20" customFormat="false" ht="15" hidden="false" customHeight="false" outlineLevel="0" collapsed="false">
      <c r="A20" s="0" t="s">
        <v>82</v>
      </c>
      <c r="B20" s="0" t="n">
        <v>112625.807</v>
      </c>
      <c r="C20" s="0" t="n">
        <v>40223.939</v>
      </c>
      <c r="D20" s="0" t="n">
        <v>72401.868</v>
      </c>
      <c r="E20" s="0" t="n">
        <v>64.285326719124</v>
      </c>
      <c r="F20" s="0" t="n">
        <v>35834.867</v>
      </c>
      <c r="G20" s="0" t="n">
        <v>31.8176339460103</v>
      </c>
      <c r="H20" s="0" t="n">
        <v>38082.294</v>
      </c>
      <c r="I20" s="0" t="n">
        <v>34797.784</v>
      </c>
      <c r="J20" s="0" t="n">
        <v>30.8968121311664</v>
      </c>
      <c r="K20" s="0" t="n">
        <v>10.59</v>
      </c>
      <c r="L20" s="0" t="n">
        <v>50739.8</v>
      </c>
      <c r="M20" s="0" t="n">
        <v>1065.376</v>
      </c>
      <c r="N20" s="0" t="n">
        <v>49674.424</v>
      </c>
      <c r="O20" s="0" t="n">
        <v>165012.69</v>
      </c>
      <c r="P20" s="0" t="n">
        <v>221415.06</v>
      </c>
      <c r="Q20" s="0" t="n">
        <v>56311.051</v>
      </c>
      <c r="S20" s="0" t="n">
        <v>47167.904</v>
      </c>
      <c r="T20" s="0" t="n">
        <v>3218.174</v>
      </c>
      <c r="U20" s="0" t="n">
        <v>3647.662</v>
      </c>
      <c r="AA20" s="0" t="s">
        <v>18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117.21</v>
      </c>
    </row>
    <row r="3" customFormat="false" ht="15" hidden="false" customHeight="false" outlineLevel="0" collapsed="false">
      <c r="A3" s="0" t="s">
        <v>86</v>
      </c>
      <c r="B3" s="3" t="n">
        <v>644.32</v>
      </c>
    </row>
    <row r="4" customFormat="false" ht="15" hidden="false" customHeight="false" outlineLevel="0" collapsed="false">
      <c r="A4" s="0" t="s">
        <v>87</v>
      </c>
      <c r="B4" s="3" t="n">
        <v>-150089.1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116582.5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0.149283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5</v>
      </c>
      <c r="D13" s="3" t="n">
        <v>4</v>
      </c>
      <c r="E13" s="3" t="n">
        <v>3.5</v>
      </c>
      <c r="F13" s="3" t="n">
        <v>3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39</v>
      </c>
      <c r="D14" s="3" t="n">
        <v>38.33</v>
      </c>
      <c r="E14" s="3" t="n">
        <v>37.67</v>
      </c>
      <c r="F14" s="3" t="n">
        <v>37</v>
      </c>
      <c r="G14" s="3" t="n">
        <v>36.33</v>
      </c>
      <c r="H14" s="3" t="n">
        <v>35.67</v>
      </c>
      <c r="I14" s="3" t="n">
        <v>35</v>
      </c>
      <c r="J14" s="3" t="n">
        <v>34.33</v>
      </c>
      <c r="K14" s="3" t="n">
        <v>33.67</v>
      </c>
      <c r="L14" s="3" t="n">
        <v>33</v>
      </c>
    </row>
    <row r="15" customFormat="false" ht="15" hidden="false" customHeight="false" outlineLevel="0" collapsed="false">
      <c r="A15" s="0" t="s">
        <v>109</v>
      </c>
      <c r="C15" s="3" t="n">
        <v>3</v>
      </c>
      <c r="D15" s="3" t="n">
        <v>3.2</v>
      </c>
      <c r="E15" s="3" t="n">
        <v>3.4</v>
      </c>
      <c r="F15" s="3" t="n">
        <v>3.6</v>
      </c>
      <c r="G15" s="3" t="n">
        <v>3.8</v>
      </c>
      <c r="H15" s="3" t="n">
        <v>4</v>
      </c>
      <c r="I15" s="3" t="n">
        <v>4</v>
      </c>
      <c r="J15" s="3" t="n">
        <v>4</v>
      </c>
      <c r="K15" s="3" t="n">
        <v>4</v>
      </c>
      <c r="L15" s="3" t="n">
        <v>4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1.7</v>
      </c>
      <c r="D17" s="3" t="n">
        <v>1.7</v>
      </c>
      <c r="E17" s="3" t="n">
        <v>1.7</v>
      </c>
      <c r="F17" s="3" t="n">
        <v>1.7</v>
      </c>
      <c r="G17" s="3" t="n">
        <v>1.7</v>
      </c>
      <c r="H17" s="3" t="n">
        <v>1.7</v>
      </c>
      <c r="I17" s="3" t="n">
        <v>1.7</v>
      </c>
      <c r="J17" s="3" t="n">
        <v>1.7</v>
      </c>
      <c r="K17" s="3" t="n">
        <v>1.7</v>
      </c>
      <c r="L17" s="3" t="n">
        <v>1.7</v>
      </c>
    </row>
    <row r="18" customFormat="false" ht="15" hidden="false" customHeight="false" outlineLevel="0" collapsed="false">
      <c r="A18" s="0" t="s">
        <v>112</v>
      </c>
      <c r="C18" s="3" t="n">
        <v>1.2</v>
      </c>
      <c r="D18" s="3" t="n">
        <v>1.2</v>
      </c>
      <c r="E18" s="3" t="n">
        <v>1.2</v>
      </c>
      <c r="F18" s="3" t="n">
        <v>1.2</v>
      </c>
      <c r="G18" s="3" t="n">
        <v>1.2</v>
      </c>
      <c r="H18" s="3" t="n">
        <v>1.2</v>
      </c>
      <c r="I18" s="3" t="n">
        <v>1.2</v>
      </c>
      <c r="J18" s="3" t="n">
        <v>1.2</v>
      </c>
      <c r="K18" s="3" t="n">
        <v>1.2</v>
      </c>
      <c r="L18" s="3" t="n">
        <v>1.2</v>
      </c>
    </row>
    <row r="19" customFormat="false" ht="15" hidden="false" customHeight="false" outlineLevel="0" collapsed="false">
      <c r="A19" s="0" t="s">
        <v>113</v>
      </c>
      <c r="C19" s="3" t="n">
        <v>24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114</v>
      </c>
      <c r="B20" s="3" t="n">
        <v>10.5</v>
      </c>
    </row>
    <row r="21" customFormat="false" ht="15" hidden="false" customHeight="false" outlineLevel="0" collapsed="false">
      <c r="A21" s="0" t="s">
        <v>115</v>
      </c>
      <c r="B21" s="3" t="n">
        <v>1.5</v>
      </c>
    </row>
    <row r="22" customFormat="false" ht="15" hidden="false" customHeight="false" outlineLevel="0" collapsed="false">
      <c r="A22" s="0" t="s">
        <v>116</v>
      </c>
      <c r="B22" s="3" t="n">
        <v>18</v>
      </c>
    </row>
    <row r="23" customFormat="false" ht="15" hidden="false" customHeight="false" outlineLevel="0" collapsed="false">
      <c r="A23" s="0" t="s">
        <v>117</v>
      </c>
      <c r="B23" s="3" t="n">
        <v>10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7.5</v>
      </c>
      <c r="D27" s="3" t="n">
        <v>7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41</v>
      </c>
      <c r="D28" s="3" t="n">
        <v>40.89</v>
      </c>
      <c r="E28" s="3" t="n">
        <v>40.78</v>
      </c>
      <c r="F28" s="3" t="n">
        <v>40.67</v>
      </c>
      <c r="G28" s="3" t="n">
        <v>40.56</v>
      </c>
      <c r="H28" s="3" t="n">
        <v>40.44</v>
      </c>
      <c r="I28" s="3" t="n">
        <v>40.33</v>
      </c>
      <c r="J28" s="3" t="n">
        <v>40.22</v>
      </c>
      <c r="K28" s="3" t="n">
        <v>40.11</v>
      </c>
      <c r="L28" s="3" t="n">
        <v>40</v>
      </c>
    </row>
    <row r="29" customFormat="false" ht="15" hidden="false" customHeight="false" outlineLevel="0" collapsed="false">
      <c r="A29" s="0" t="s">
        <v>109</v>
      </c>
      <c r="C29" s="3" t="n">
        <v>2.8</v>
      </c>
      <c r="D29" s="3" t="n">
        <v>2.8</v>
      </c>
      <c r="E29" s="3" t="n">
        <v>2.9</v>
      </c>
      <c r="F29" s="3" t="n">
        <v>2.9</v>
      </c>
      <c r="G29" s="3" t="n">
        <v>3</v>
      </c>
      <c r="H29" s="3" t="n">
        <v>3</v>
      </c>
      <c r="I29" s="3" t="n">
        <v>3</v>
      </c>
      <c r="J29" s="3" t="n">
        <v>3</v>
      </c>
      <c r="K29" s="3" t="n">
        <v>3</v>
      </c>
      <c r="L29" s="3" t="n">
        <v>3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1.6</v>
      </c>
      <c r="D31" s="3" t="n">
        <v>1.6</v>
      </c>
      <c r="E31" s="3" t="n">
        <v>1.6</v>
      </c>
      <c r="F31" s="3" t="n">
        <v>1.6</v>
      </c>
      <c r="G31" s="3" t="n">
        <v>1.6</v>
      </c>
      <c r="H31" s="3" t="n">
        <v>1.6</v>
      </c>
      <c r="I31" s="3" t="n">
        <v>1.6</v>
      </c>
      <c r="J31" s="3" t="n">
        <v>1.6</v>
      </c>
      <c r="K31" s="3" t="n">
        <v>1.6</v>
      </c>
      <c r="L31" s="3" t="n">
        <v>1.6</v>
      </c>
    </row>
    <row r="32" customFormat="false" ht="15" hidden="false" customHeight="false" outlineLevel="0" collapsed="false">
      <c r="A32" s="0" t="s">
        <v>112</v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1</v>
      </c>
    </row>
    <row r="33" customFormat="false" ht="15" hidden="false" customHeight="false" outlineLevel="0" collapsed="false">
      <c r="A33" s="0" t="s">
        <v>113</v>
      </c>
      <c r="C33" s="3" t="n">
        <v>22</v>
      </c>
      <c r="D33" s="3" t="n">
        <v>22.5</v>
      </c>
      <c r="E33" s="3" t="n">
        <v>23</v>
      </c>
      <c r="F33" s="3" t="n">
        <v>23.5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114</v>
      </c>
      <c r="B34" s="3" t="n">
        <v>10.5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18</v>
      </c>
    </row>
    <row r="37" customFormat="false" ht="15" hidden="false" customHeight="false" outlineLevel="0" collapsed="false">
      <c r="A37" s="0" t="s">
        <v>117</v>
      </c>
      <c r="B37" s="3" t="n">
        <v>35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10</v>
      </c>
      <c r="D41" s="3" t="n">
        <v>9.5</v>
      </c>
      <c r="E41" s="3" t="n">
        <v>9</v>
      </c>
      <c r="F41" s="3" t="n">
        <v>8.5</v>
      </c>
      <c r="G41" s="3" t="n">
        <v>8</v>
      </c>
      <c r="H41" s="3" t="n">
        <v>7</v>
      </c>
      <c r="I41" s="3" t="n">
        <v>6</v>
      </c>
      <c r="J41" s="3" t="n">
        <v>5.5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108</v>
      </c>
      <c r="C42" s="3" t="n">
        <v>42</v>
      </c>
      <c r="D42" s="3" t="n">
        <v>42.17</v>
      </c>
      <c r="E42" s="3" t="n">
        <v>42.33</v>
      </c>
      <c r="F42" s="3" t="n">
        <v>42.5</v>
      </c>
      <c r="G42" s="3" t="n">
        <v>42.67</v>
      </c>
      <c r="H42" s="3" t="n">
        <v>42.83</v>
      </c>
      <c r="I42" s="3" t="n">
        <v>43</v>
      </c>
      <c r="J42" s="3" t="n">
        <v>43.17</v>
      </c>
      <c r="K42" s="3" t="n">
        <v>43.33</v>
      </c>
      <c r="L42" s="3" t="n">
        <v>43.5</v>
      </c>
    </row>
    <row r="43" customFormat="false" ht="15" hidden="false" customHeight="false" outlineLevel="0" collapsed="false">
      <c r="A43" s="0" t="s">
        <v>109</v>
      </c>
      <c r="C43" s="3" t="n">
        <v>2.8</v>
      </c>
      <c r="D43" s="3" t="n">
        <v>2.8</v>
      </c>
      <c r="E43" s="3" t="n">
        <v>2.8</v>
      </c>
      <c r="F43" s="3" t="n">
        <v>2.8</v>
      </c>
      <c r="G43" s="3" t="n">
        <v>2.8</v>
      </c>
      <c r="H43" s="3" t="n">
        <v>2.8</v>
      </c>
      <c r="I43" s="3" t="n">
        <v>2.8</v>
      </c>
      <c r="J43" s="3" t="n">
        <v>2.8</v>
      </c>
      <c r="K43" s="3" t="n">
        <v>2.8</v>
      </c>
      <c r="L43" s="3" t="n">
        <v>2.8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1.6</v>
      </c>
      <c r="D45" s="3" t="n">
        <v>1.6</v>
      </c>
      <c r="E45" s="3" t="n">
        <v>1.6</v>
      </c>
      <c r="F45" s="3" t="n">
        <v>1.6</v>
      </c>
      <c r="G45" s="3" t="n">
        <v>1.6</v>
      </c>
      <c r="H45" s="3" t="n">
        <v>1.6</v>
      </c>
      <c r="I45" s="3" t="n">
        <v>1.6</v>
      </c>
      <c r="J45" s="3" t="n">
        <v>1.6</v>
      </c>
      <c r="K45" s="3" t="n">
        <v>1.6</v>
      </c>
      <c r="L45" s="3" t="n">
        <v>1.6</v>
      </c>
    </row>
    <row r="46" customFormat="false" ht="15" hidden="false" customHeight="false" outlineLevel="0" collapsed="false">
      <c r="A46" s="0" t="s">
        <v>112</v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1</v>
      </c>
      <c r="H46" s="3" t="n">
        <v>1</v>
      </c>
      <c r="I46" s="3" t="n">
        <v>1</v>
      </c>
      <c r="J46" s="3" t="n">
        <v>1</v>
      </c>
      <c r="K46" s="3" t="n">
        <v>1</v>
      </c>
      <c r="L46" s="3" t="n">
        <v>1</v>
      </c>
    </row>
    <row r="47" customFormat="false" ht="15" hidden="false" customHeight="false" outlineLevel="0" collapsed="false">
      <c r="A47" s="0" t="s">
        <v>113</v>
      </c>
      <c r="C47" s="3" t="n">
        <v>21.5</v>
      </c>
      <c r="D47" s="3" t="n">
        <v>21.5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114</v>
      </c>
      <c r="B48" s="3" t="n">
        <v>10.5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18</v>
      </c>
    </row>
    <row r="51" customFormat="false" ht="15" hidden="false" customHeight="false" outlineLevel="0" collapsed="false">
      <c r="A51" s="0" t="s">
        <v>117</v>
      </c>
      <c r="B51" s="3" t="n">
        <v>45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5</v>
      </c>
      <c r="D5" s="4" t="n">
        <f aca="false">Assumptions!D13</f>
        <v>4</v>
      </c>
      <c r="E5" s="4" t="n">
        <f aca="false">Assumptions!E13</f>
        <v>3.5</v>
      </c>
      <c r="F5" s="4" t="n">
        <f aca="false">Assumptions!F13</f>
        <v>3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116582.5</v>
      </c>
      <c r="C6" s="0" t="n">
        <f aca="false">B6*(1+C5/100)</f>
        <v>122411.625</v>
      </c>
      <c r="D6" s="0" t="n">
        <f aca="false">C6*(1+D5/100)</f>
        <v>127308.09</v>
      </c>
      <c r="E6" s="0" t="n">
        <f aca="false">D6*(1+E5/100)</f>
        <v>131763.87315</v>
      </c>
      <c r="F6" s="0" t="n">
        <f aca="false">E6*(1+F5/100)</f>
        <v>135716.7893445</v>
      </c>
      <c r="G6" s="0" t="n">
        <f aca="false">F6*(1+G5/100)</f>
        <v>139109.709078112</v>
      </c>
      <c r="H6" s="0" t="n">
        <f aca="false">G6*(1+H5/100)</f>
        <v>142587.451805065</v>
      </c>
      <c r="I6" s="0" t="n">
        <f aca="false">H6*(1+I5/100)</f>
        <v>145439.200841167</v>
      </c>
      <c r="J6" s="0" t="n">
        <f aca="false">I6*(1+J5/100)</f>
        <v>148347.98485799</v>
      </c>
      <c r="K6" s="0" t="n">
        <f aca="false">J6*(1+K5/100)</f>
        <v>151314.94455515</v>
      </c>
      <c r="L6" s="0" t="n">
        <f aca="false">K6*(1+L5/100)</f>
        <v>154341.243446253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39</v>
      </c>
      <c r="D7" s="4" t="n">
        <f aca="false">Assumptions!D14</f>
        <v>38.33</v>
      </c>
      <c r="E7" s="4" t="n">
        <f aca="false">Assumptions!E14</f>
        <v>37.67</v>
      </c>
      <c r="F7" s="4" t="n">
        <f aca="false">Assumptions!F14</f>
        <v>37</v>
      </c>
      <c r="G7" s="4" t="n">
        <f aca="false">Assumptions!G14</f>
        <v>36.33</v>
      </c>
      <c r="H7" s="4" t="n">
        <f aca="false">Assumptions!H14</f>
        <v>35.67</v>
      </c>
      <c r="I7" s="4" t="n">
        <f aca="false">Assumptions!I14</f>
        <v>35</v>
      </c>
      <c r="J7" s="4" t="n">
        <f aca="false">Assumptions!J14</f>
        <v>34.33</v>
      </c>
      <c r="K7" s="4" t="n">
        <f aca="false">Assumptions!K14</f>
        <v>33.67</v>
      </c>
      <c r="L7" s="4" t="n">
        <f aca="false">Assumptions!L14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47740.53375</v>
      </c>
      <c r="D8" s="0" t="n">
        <f aca="false">D6*D7/100</f>
        <v>48797.190897</v>
      </c>
      <c r="E8" s="0" t="n">
        <f aca="false">E6*E7/100</f>
        <v>49635.451015605</v>
      </c>
      <c r="F8" s="0" t="n">
        <f aca="false">F6*F7/100</f>
        <v>50215.212057465</v>
      </c>
      <c r="G8" s="0" t="n">
        <f aca="false">G6*G7/100</f>
        <v>50538.5573080783</v>
      </c>
      <c r="H8" s="0" t="n">
        <f aca="false">H6*H7/100</f>
        <v>50860.9440588668</v>
      </c>
      <c r="I8" s="0" t="n">
        <f aca="false">I6*I7/100</f>
        <v>50903.7202944083</v>
      </c>
      <c r="J8" s="0" t="n">
        <f aca="false">J6*J7/100</f>
        <v>50927.8632017479</v>
      </c>
      <c r="K8" s="0" t="n">
        <f aca="false">K6*K7/100</f>
        <v>50947.7418317189</v>
      </c>
      <c r="L8" s="0" t="n">
        <f aca="false">L6*L7/100</f>
        <v>50932.6103372634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3</v>
      </c>
      <c r="D9" s="4" t="n">
        <f aca="false">Assumptions!D15</f>
        <v>3.2</v>
      </c>
      <c r="E9" s="4" t="n">
        <f aca="false">Assumptions!E15</f>
        <v>3.4</v>
      </c>
      <c r="F9" s="4" t="n">
        <f aca="false">Assumptions!F15</f>
        <v>3.6</v>
      </c>
      <c r="G9" s="4" t="n">
        <f aca="false">Assumptions!G15</f>
        <v>3.8</v>
      </c>
      <c r="H9" s="4" t="n">
        <f aca="false">Assumptions!H15</f>
        <v>4</v>
      </c>
      <c r="I9" s="4" t="n">
        <f aca="false">Assumptions!I15</f>
        <v>4</v>
      </c>
      <c r="J9" s="4" t="n">
        <f aca="false">Assumptions!J15</f>
        <v>4</v>
      </c>
      <c r="K9" s="4" t="n">
        <f aca="false">Assumptions!K15</f>
        <v>4</v>
      </c>
      <c r="L9" s="4" t="n">
        <f aca="false">Assumptions!L15</f>
        <v>4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-3672.34875</v>
      </c>
      <c r="D10" s="0" t="n">
        <f aca="false">-D6*D9/100</f>
        <v>-4073.85888</v>
      </c>
      <c r="E10" s="0" t="n">
        <f aca="false">-E6*E9/100</f>
        <v>-4479.9716871</v>
      </c>
      <c r="F10" s="0" t="n">
        <f aca="false">-F6*F9/100</f>
        <v>-4885.804416402</v>
      </c>
      <c r="G10" s="0" t="n">
        <f aca="false">-G6*G9/100</f>
        <v>-5286.16894496827</v>
      </c>
      <c r="H10" s="0" t="n">
        <f aca="false">-H6*H9/100</f>
        <v>-5703.49807220261</v>
      </c>
      <c r="I10" s="0" t="n">
        <f aca="false">-I6*I9/100</f>
        <v>-5817.56803364666</v>
      </c>
      <c r="J10" s="0" t="n">
        <f aca="false">-J6*J9/100</f>
        <v>-5933.9193943196</v>
      </c>
      <c r="K10" s="0" t="n">
        <f aca="false">-K6*K9/100</f>
        <v>-6052.59778220599</v>
      </c>
      <c r="L10" s="0" t="n">
        <f aca="false">-L6*L9/100</f>
        <v>-6173.64973785011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44068.185</v>
      </c>
      <c r="D11" s="0" t="n">
        <f aca="false">D8+D10+D24</f>
        <v>44723.332017</v>
      </c>
      <c r="E11" s="0" t="n">
        <f aca="false">E8+E10+E24</f>
        <v>45155.479328505</v>
      </c>
      <c r="F11" s="0" t="n">
        <f aca="false">F8+F10+F24</f>
        <v>45329.407641063</v>
      </c>
      <c r="G11" s="0" t="n">
        <f aca="false">G8+G10+G24</f>
        <v>45252.38836311</v>
      </c>
      <c r="H11" s="0" t="n">
        <f aca="false">H8+H10+H24</f>
        <v>45157.4459866642</v>
      </c>
      <c r="I11" s="0" t="n">
        <f aca="false">I8+I10+I24</f>
        <v>45086.1522607616</v>
      </c>
      <c r="J11" s="0" t="n">
        <f aca="false">J8+J10+J24</f>
        <v>44993.9438074283</v>
      </c>
      <c r="K11" s="0" t="n">
        <f aca="false">K8+K10+K24</f>
        <v>44895.1440495129</v>
      </c>
      <c r="L11" s="0" t="n">
        <f aca="false">L8+L10+L24</f>
        <v>44758.9605994133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-2080.997625</v>
      </c>
      <c r="D12" s="4" t="n">
        <f aca="false">-D6*Assumptions!D17/100</f>
        <v>-2164.23753</v>
      </c>
      <c r="E12" s="4" t="n">
        <f aca="false">-E6*Assumptions!E17/100</f>
        <v>-2239.98584355</v>
      </c>
      <c r="F12" s="4" t="n">
        <f aca="false">-F6*Assumptions!F17/100</f>
        <v>-2307.1854188565</v>
      </c>
      <c r="G12" s="4" t="n">
        <f aca="false">-G6*Assumptions!G17/100</f>
        <v>-2364.86505432791</v>
      </c>
      <c r="H12" s="4" t="n">
        <f aca="false">-H6*Assumptions!H17/100</f>
        <v>-2423.98668068611</v>
      </c>
      <c r="I12" s="4" t="n">
        <f aca="false">-I6*Assumptions!I17/100</f>
        <v>-2472.46641429983</v>
      </c>
      <c r="J12" s="4" t="n">
        <f aca="false">-J6*Assumptions!J17/100</f>
        <v>-2521.91574258583</v>
      </c>
      <c r="K12" s="4" t="n">
        <f aca="false">-K6*Assumptions!K17/100</f>
        <v>-2572.35405743755</v>
      </c>
      <c r="L12" s="4" t="n">
        <f aca="false">-L6*Assumptions!L17/100</f>
        <v>-2623.8011385863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41987.187375</v>
      </c>
      <c r="D13" s="0" t="n">
        <f aca="false">D11+D12</f>
        <v>42559.094487</v>
      </c>
      <c r="E13" s="0" t="n">
        <f aca="false">E11+E12</f>
        <v>42915.493484955</v>
      </c>
      <c r="F13" s="0" t="n">
        <f aca="false">F11+F12</f>
        <v>43022.2222222065</v>
      </c>
      <c r="G13" s="0" t="n">
        <f aca="false">G11+G12</f>
        <v>42887.5233087821</v>
      </c>
      <c r="H13" s="0" t="n">
        <f aca="false">H11+H12</f>
        <v>42733.4593059781</v>
      </c>
      <c r="I13" s="0" t="n">
        <f aca="false">I11+I12</f>
        <v>42613.6858464618</v>
      </c>
      <c r="J13" s="0" t="n">
        <f aca="false">J11+J12</f>
        <v>42472.0280648425</v>
      </c>
      <c r="K13" s="0" t="n">
        <f aca="false">K11+K12</f>
        <v>42322.7899920754</v>
      </c>
      <c r="L13" s="0" t="n">
        <f aca="false">L11+L12</f>
        <v>42135.159460827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24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31910.262405</v>
      </c>
      <c r="D15" s="0" t="n">
        <f aca="false">D13-MAX(0,D13)*D14/100</f>
        <v>31919.32086525</v>
      </c>
      <c r="E15" s="0" t="n">
        <f aca="false">E13-MAX(0,E13)*E14/100</f>
        <v>32186.6201137163</v>
      </c>
      <c r="F15" s="0" t="n">
        <f aca="false">F13-MAX(0,F13)*F14/100</f>
        <v>32266.6666666549</v>
      </c>
      <c r="G15" s="0" t="n">
        <f aca="false">G13-MAX(0,G13)*G14/100</f>
        <v>32165.6424815866</v>
      </c>
      <c r="H15" s="0" t="n">
        <f aca="false">H13-MAX(0,H13)*H14/100</f>
        <v>32050.0944794835</v>
      </c>
      <c r="I15" s="0" t="n">
        <f aca="false">I13-MAX(0,I13)*I14/100</f>
        <v>31960.2643848464</v>
      </c>
      <c r="J15" s="0" t="n">
        <f aca="false">J13-MAX(0,J13)*J14/100</f>
        <v>31854.0210486319</v>
      </c>
      <c r="K15" s="0" t="n">
        <f aca="false">K13-MAX(0,K13)*K14/100</f>
        <v>31742.0924940565</v>
      </c>
      <c r="L15" s="0" t="n">
        <f aca="false">L13-MAX(0,L13)*L14/100</f>
        <v>31601.3695956202</v>
      </c>
    </row>
    <row r="16" customFormat="false" ht="15" hidden="false" customHeight="false" outlineLevel="0" collapsed="false">
      <c r="A16" s="0" t="s">
        <v>129</v>
      </c>
      <c r="C16" s="0" t="n">
        <f aca="false">-C12</f>
        <v>2080.997625</v>
      </c>
      <c r="D16" s="0" t="n">
        <f aca="false">-D12</f>
        <v>2164.23753</v>
      </c>
      <c r="E16" s="0" t="n">
        <f aca="false">-E12</f>
        <v>2239.98584355</v>
      </c>
      <c r="F16" s="0" t="n">
        <f aca="false">-F12</f>
        <v>2307.1854188565</v>
      </c>
      <c r="G16" s="0" t="n">
        <f aca="false">-G12</f>
        <v>2364.86505432791</v>
      </c>
      <c r="H16" s="0" t="n">
        <f aca="false">-H12</f>
        <v>2423.98668068611</v>
      </c>
      <c r="I16" s="0" t="n">
        <f aca="false">-I12</f>
        <v>2472.46641429983</v>
      </c>
      <c r="J16" s="0" t="n">
        <f aca="false">-J12</f>
        <v>2521.91574258583</v>
      </c>
      <c r="K16" s="0" t="n">
        <f aca="false">-K12</f>
        <v>2572.35405743755</v>
      </c>
      <c r="L16" s="0" t="n">
        <f aca="false">-L12</f>
        <v>2623.8011385863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-1468.9395</v>
      </c>
      <c r="D17" s="4" t="n">
        <f aca="false">-D6*Assumptions!D18/100</f>
        <v>-1527.69708</v>
      </c>
      <c r="E17" s="4" t="n">
        <f aca="false">-E6*Assumptions!E18/100</f>
        <v>-1581.1664778</v>
      </c>
      <c r="F17" s="4" t="n">
        <f aca="false">-F6*Assumptions!F18/100</f>
        <v>-1628.601472134</v>
      </c>
      <c r="G17" s="4" t="n">
        <f aca="false">-G6*Assumptions!G18/100</f>
        <v>-1669.31650893735</v>
      </c>
      <c r="H17" s="4" t="n">
        <f aca="false">-H6*Assumptions!H18/100</f>
        <v>-1711.04942166078</v>
      </c>
      <c r="I17" s="4" t="n">
        <f aca="false">-I6*Assumptions!I18/100</f>
        <v>-1745.270410094</v>
      </c>
      <c r="J17" s="4" t="n">
        <f aca="false">-J6*Assumptions!J18/100</f>
        <v>-1780.17581829588</v>
      </c>
      <c r="K17" s="4" t="n">
        <f aca="false">-K6*Assumptions!K18/100</f>
        <v>-1815.7793346618</v>
      </c>
      <c r="L17" s="4" t="n">
        <f aca="false">-L6*Assumptions!L18/100</f>
        <v>-1852.09492135503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582.9125</v>
      </c>
      <c r="D18" s="4" t="n">
        <f aca="false">(D6-C6)*Assumptions!$B$23/100</f>
        <v>489.646500000001</v>
      </c>
      <c r="E18" s="4" t="n">
        <f aca="false">(E6-D6)*Assumptions!$B$23/100</f>
        <v>445.578314999999</v>
      </c>
      <c r="F18" s="4" t="n">
        <f aca="false">(F6-E6)*Assumptions!$B$23/100</f>
        <v>395.291619449999</v>
      </c>
      <c r="G18" s="4" t="n">
        <f aca="false">(G6-F6)*Assumptions!$B$23/100</f>
        <v>339.291973361248</v>
      </c>
      <c r="H18" s="4" t="n">
        <f aca="false">(H6-G6)*Assumptions!$B$23/100</f>
        <v>347.77427269528</v>
      </c>
      <c r="I18" s="4" t="n">
        <f aca="false">(I6-H6)*Assumptions!$B$23/100</f>
        <v>285.17490361013</v>
      </c>
      <c r="J18" s="4" t="n">
        <f aca="false">(J6-I6)*Assumptions!$B$23/100</f>
        <v>290.878401682334</v>
      </c>
      <c r="K18" s="4" t="n">
        <f aca="false">(K6-J6)*Assumptions!$B$23/100</f>
        <v>296.695969715979</v>
      </c>
      <c r="L18" s="4" t="n">
        <f aca="false">(L6-K6)*Assumptions!$B$23/100</f>
        <v>302.629889110298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33105.23303</v>
      </c>
      <c r="D19" s="0" t="n">
        <f aca="false">D15+D16+D17+D18</f>
        <v>33045.50781525</v>
      </c>
      <c r="E19" s="0" t="n">
        <f aca="false">E15+E16+E17+E18</f>
        <v>33291.0177944663</v>
      </c>
      <c r="F19" s="0" t="n">
        <f aca="false">F15+F16+F17+F18</f>
        <v>33340.5422328274</v>
      </c>
      <c r="G19" s="0" t="n">
        <f aca="false">G15+G16+G17+G18</f>
        <v>33200.4830003384</v>
      </c>
      <c r="H19" s="0" t="n">
        <f aca="false">H15+H16+H17+H18</f>
        <v>33110.8060112042</v>
      </c>
      <c r="I19" s="0" t="n">
        <f aca="false">I15+I16+I17+I18</f>
        <v>32972.6352926623</v>
      </c>
      <c r="J19" s="0" t="n">
        <f aca="false">J15+J16+J17+J18</f>
        <v>32886.6393746042</v>
      </c>
      <c r="K19" s="0" t="n">
        <f aca="false">K15+K16+K17+K18</f>
        <v>32795.3631865483</v>
      </c>
      <c r="L19" s="0" t="n">
        <f aca="false">L15+L16+L17+L18</f>
        <v>32675.7057019618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29959.4869049774</v>
      </c>
      <c r="D21" s="0" t="n">
        <f aca="false">D19*D20</f>
        <v>27063.7438342786</v>
      </c>
      <c r="E21" s="0" t="n">
        <f aca="false">E19*E20</f>
        <v>24674.038544292</v>
      </c>
      <c r="F21" s="0" t="n">
        <f aca="false">F19*F20</f>
        <v>22362.664414373</v>
      </c>
      <c r="G21" s="0" t="n">
        <f aca="false">G19*G20</f>
        <v>20152.6894141446</v>
      </c>
      <c r="H21" s="0" t="n">
        <f aca="false">H19*H20</f>
        <v>18188.4665085206</v>
      </c>
      <c r="I21" s="0" t="n">
        <f aca="false">I19*I20</f>
        <v>16391.4628131592</v>
      </c>
      <c r="J21" s="0" t="n">
        <f aca="false">J19*J20</f>
        <v>14795.2147013447</v>
      </c>
      <c r="K21" s="0" t="n">
        <f aca="false">K19*K20</f>
        <v>13352.1727499103</v>
      </c>
      <c r="L21" s="0" t="n">
        <f aca="false">L19*L20</f>
        <v>12039.3265892564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198979.266474257</v>
      </c>
    </row>
    <row r="31" customFormat="false" ht="15" hidden="false" customHeight="false" outlineLevel="0" collapsed="false">
      <c r="A31" s="0" t="s">
        <v>138</v>
      </c>
      <c r="B31" s="0" t="n">
        <f aca="false">L19</f>
        <v>32675.7057019618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368509.347638791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588162.702635313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368509.347638791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135776.849867725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334756.116341981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484845.216341981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112.334163817948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-0.0415991483836914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29899.5742385119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25653.2703910864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125.205245430873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245672.898425861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87.3263206126278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7.5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116582.5</v>
      </c>
      <c r="C6" s="0" t="n">
        <f aca="false">B6*(1+C5/100)</f>
        <v>125326.1875</v>
      </c>
      <c r="D6" s="0" t="n">
        <f aca="false">C6*(1+D5/100)</f>
        <v>134099.020625</v>
      </c>
      <c r="E6" s="0" t="n">
        <f aca="false">D6*(1+E5/100)</f>
        <v>142815.456965625</v>
      </c>
      <c r="F6" s="0" t="n">
        <f aca="false">E6*(1+F5/100)</f>
        <v>151384.384383563</v>
      </c>
      <c r="G6" s="0" t="n">
        <f aca="false">F6*(1+G5/100)</f>
        <v>159710.525524658</v>
      </c>
      <c r="H6" s="0" t="n">
        <f aca="false">G6*(1+H5/100)</f>
        <v>167696.051800891</v>
      </c>
      <c r="I6" s="0" t="n">
        <f aca="false">H6*(1+I5/100)</f>
        <v>175242.374131932</v>
      </c>
      <c r="J6" s="0" t="n">
        <f aca="false">I6*(1+J5/100)</f>
        <v>182252.069097209</v>
      </c>
      <c r="K6" s="0" t="n">
        <f aca="false">J6*(1+K5/100)</f>
        <v>188630.891515611</v>
      </c>
      <c r="L6" s="0" t="n">
        <f aca="false">K6*(1+L5/100)</f>
        <v>194289.818261079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41</v>
      </c>
      <c r="D7" s="4" t="n">
        <f aca="false">Assumptions!D28</f>
        <v>40.89</v>
      </c>
      <c r="E7" s="4" t="n">
        <f aca="false">Assumptions!E28</f>
        <v>40.78</v>
      </c>
      <c r="F7" s="4" t="n">
        <f aca="false">Assumptions!F28</f>
        <v>40.67</v>
      </c>
      <c r="G7" s="4" t="n">
        <f aca="false">Assumptions!G28</f>
        <v>40.56</v>
      </c>
      <c r="H7" s="4" t="n">
        <f aca="false">Assumptions!H28</f>
        <v>40.44</v>
      </c>
      <c r="I7" s="4" t="n">
        <f aca="false">Assumptions!I28</f>
        <v>40.33</v>
      </c>
      <c r="J7" s="4" t="n">
        <f aca="false">Assumptions!J28</f>
        <v>40.22</v>
      </c>
      <c r="K7" s="4" t="n">
        <f aca="false">Assumptions!K28</f>
        <v>40.11</v>
      </c>
      <c r="L7" s="4" t="n">
        <f aca="false">Assumptions!L28</f>
        <v>40</v>
      </c>
    </row>
    <row r="8" customFormat="false" ht="15" hidden="false" customHeight="false" outlineLevel="0" collapsed="false">
      <c r="A8" s="0" t="s">
        <v>44</v>
      </c>
      <c r="C8" s="0" t="n">
        <f aca="false">C6*C7/100</f>
        <v>51383.736875</v>
      </c>
      <c r="D8" s="0" t="n">
        <f aca="false">D6*D7/100</f>
        <v>54833.0895335625</v>
      </c>
      <c r="E8" s="0" t="n">
        <f aca="false">E6*E7/100</f>
        <v>58240.1433505819</v>
      </c>
      <c r="F8" s="0" t="n">
        <f aca="false">F6*F7/100</f>
        <v>61568.0291287949</v>
      </c>
      <c r="G8" s="0" t="n">
        <f aca="false">G6*G7/100</f>
        <v>64778.5891528015</v>
      </c>
      <c r="H8" s="0" t="n">
        <f aca="false">H6*H7/100</f>
        <v>67816.2833482805</v>
      </c>
      <c r="I8" s="0" t="n">
        <f aca="false">I6*I7/100</f>
        <v>70675.249487408</v>
      </c>
      <c r="J8" s="0" t="n">
        <f aca="false">J6*J7/100</f>
        <v>73301.7821908974</v>
      </c>
      <c r="K8" s="0" t="n">
        <f aca="false">K6*K7/100</f>
        <v>75659.8505869116</v>
      </c>
      <c r="L8" s="0" t="n">
        <f aca="false">L6*L7/100</f>
        <v>77715.9273044318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2.8</v>
      </c>
      <c r="D9" s="4" t="n">
        <f aca="false">Assumptions!D29</f>
        <v>2.8</v>
      </c>
      <c r="E9" s="4" t="n">
        <f aca="false">Assumptions!E29</f>
        <v>2.9</v>
      </c>
      <c r="F9" s="4" t="n">
        <f aca="false">Assumptions!F29</f>
        <v>2.9</v>
      </c>
      <c r="G9" s="4" t="n">
        <f aca="false">Assumptions!G29</f>
        <v>3</v>
      </c>
      <c r="H9" s="4" t="n">
        <f aca="false">Assumptions!H29</f>
        <v>3</v>
      </c>
      <c r="I9" s="4" t="n">
        <f aca="false">Assumptions!I29</f>
        <v>3</v>
      </c>
      <c r="J9" s="4" t="n">
        <f aca="false">Assumptions!J29</f>
        <v>3</v>
      </c>
      <c r="K9" s="4" t="n">
        <f aca="false">Assumptions!K29</f>
        <v>3</v>
      </c>
      <c r="L9" s="4" t="n">
        <f aca="false">Assumptions!L29</f>
        <v>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-3509.13325</v>
      </c>
      <c r="D10" s="0" t="n">
        <f aca="false">-D6*D9/100</f>
        <v>-3754.7725775</v>
      </c>
      <c r="E10" s="0" t="n">
        <f aca="false">-E6*E9/100</f>
        <v>-4141.64825200313</v>
      </c>
      <c r="F10" s="0" t="n">
        <f aca="false">-F6*F9/100</f>
        <v>-4390.14714712331</v>
      </c>
      <c r="G10" s="0" t="n">
        <f aca="false">-G6*G9/100</f>
        <v>-4791.31576573975</v>
      </c>
      <c r="H10" s="0" t="n">
        <f aca="false">-H6*H9/100</f>
        <v>-5030.88155402674</v>
      </c>
      <c r="I10" s="0" t="n">
        <f aca="false">-I6*I9/100</f>
        <v>-5257.27122395795</v>
      </c>
      <c r="J10" s="0" t="n">
        <f aca="false">-J6*J9/100</f>
        <v>-5467.56207291626</v>
      </c>
      <c r="K10" s="0" t="n">
        <f aca="false">-K6*K9/100</f>
        <v>-5658.92674546833</v>
      </c>
      <c r="L10" s="0" t="n">
        <f aca="false">-L6*L9/100</f>
        <v>-5828.69454783238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47874.603625</v>
      </c>
      <c r="D11" s="0" t="n">
        <f aca="false">D8+D10+D24</f>
        <v>51078.3169560625</v>
      </c>
      <c r="E11" s="0" t="n">
        <f aca="false">E8+E10+E24</f>
        <v>54098.4950985787</v>
      </c>
      <c r="F11" s="0" t="n">
        <f aca="false">F8+F10+F24</f>
        <v>57177.8819816716</v>
      </c>
      <c r="G11" s="0" t="n">
        <f aca="false">G8+G10+G24</f>
        <v>59987.2733870617</v>
      </c>
      <c r="H11" s="0" t="n">
        <f aca="false">H8+H10+H24</f>
        <v>62785.4017942537</v>
      </c>
      <c r="I11" s="0" t="n">
        <f aca="false">I8+I10+I24</f>
        <v>65417.97826345</v>
      </c>
      <c r="J11" s="0" t="n">
        <f aca="false">J8+J10+J24</f>
        <v>67834.2201179811</v>
      </c>
      <c r="K11" s="0" t="n">
        <f aca="false">K8+K10+K24</f>
        <v>70000.9238414433</v>
      </c>
      <c r="L11" s="0" t="n">
        <f aca="false">L8+L10+L24</f>
        <v>71887.2327565994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-2005.219</v>
      </c>
      <c r="D12" s="4" t="n">
        <f aca="false">-D6*Assumptions!D31/100</f>
        <v>-2145.58433</v>
      </c>
      <c r="E12" s="4" t="n">
        <f aca="false">-E6*Assumptions!E31/100</f>
        <v>-2285.04731145</v>
      </c>
      <c r="F12" s="4" t="n">
        <f aca="false">-F6*Assumptions!F31/100</f>
        <v>-2422.150150137</v>
      </c>
      <c r="G12" s="4" t="n">
        <f aca="false">-G6*Assumptions!G31/100</f>
        <v>-2555.36840839454</v>
      </c>
      <c r="H12" s="4" t="n">
        <f aca="false">-H6*Assumptions!H31/100</f>
        <v>-2683.13682881426</v>
      </c>
      <c r="I12" s="4" t="n">
        <f aca="false">-I6*Assumptions!I31/100</f>
        <v>-2803.8779861109</v>
      </c>
      <c r="J12" s="4" t="n">
        <f aca="false">-J6*Assumptions!J31/100</f>
        <v>-2916.03310555534</v>
      </c>
      <c r="K12" s="4" t="n">
        <f aca="false">-K6*Assumptions!K31/100</f>
        <v>-3018.09426424978</v>
      </c>
      <c r="L12" s="4" t="n">
        <f aca="false">-L6*Assumptions!L31/100</f>
        <v>-3108.63709217727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45869.384625</v>
      </c>
      <c r="D13" s="0" t="n">
        <f aca="false">D11+D12</f>
        <v>48932.7326260625</v>
      </c>
      <c r="E13" s="0" t="n">
        <f aca="false">E11+E12</f>
        <v>51813.4477871287</v>
      </c>
      <c r="F13" s="0" t="n">
        <f aca="false">F11+F12</f>
        <v>54755.7318315346</v>
      </c>
      <c r="G13" s="0" t="n">
        <f aca="false">G11+G12</f>
        <v>57431.9049786672</v>
      </c>
      <c r="H13" s="0" t="n">
        <f aca="false">H11+H12</f>
        <v>60102.2649654395</v>
      </c>
      <c r="I13" s="0" t="n">
        <f aca="false">I11+I12</f>
        <v>62614.1002773391</v>
      </c>
      <c r="J13" s="0" t="n">
        <f aca="false">J11+J12</f>
        <v>64918.1870124258</v>
      </c>
      <c r="K13" s="0" t="n">
        <f aca="false">K11+K12</f>
        <v>66982.8295771935</v>
      </c>
      <c r="L13" s="0" t="n">
        <f aca="false">L11+L12</f>
        <v>68778.5956644221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22</v>
      </c>
      <c r="D14" s="4" t="n">
        <f aca="false">Assumptions!D33</f>
        <v>22.5</v>
      </c>
      <c r="E14" s="4" t="n">
        <f aca="false">Assumptions!E33</f>
        <v>23</v>
      </c>
      <c r="F14" s="4" t="n">
        <f aca="false">Assumptions!F33</f>
        <v>23.5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35778.1200075</v>
      </c>
      <c r="D15" s="0" t="n">
        <f aca="false">D13-MAX(0,D13)*D14/100</f>
        <v>37922.8677851984</v>
      </c>
      <c r="E15" s="0" t="n">
        <f aca="false">E13-MAX(0,E13)*E14/100</f>
        <v>39896.3547960891</v>
      </c>
      <c r="F15" s="0" t="n">
        <f aca="false">F13-MAX(0,F13)*F14/100</f>
        <v>41888.134851124</v>
      </c>
      <c r="G15" s="0" t="n">
        <f aca="false">G13-MAX(0,G13)*G14/100</f>
        <v>43648.2477837871</v>
      </c>
      <c r="H15" s="0" t="n">
        <f aca="false">H13-MAX(0,H13)*H14/100</f>
        <v>45677.721373734</v>
      </c>
      <c r="I15" s="0" t="n">
        <f aca="false">I13-MAX(0,I13)*I14/100</f>
        <v>47586.7162107777</v>
      </c>
      <c r="J15" s="0" t="n">
        <f aca="false">J13-MAX(0,J13)*J14/100</f>
        <v>49337.8221294436</v>
      </c>
      <c r="K15" s="0" t="n">
        <f aca="false">K13-MAX(0,K13)*K14/100</f>
        <v>50906.9504786671</v>
      </c>
      <c r="L15" s="0" t="n">
        <f aca="false">L13-MAX(0,L13)*L14/100</f>
        <v>52271.7327049608</v>
      </c>
    </row>
    <row r="16" customFormat="false" ht="15" hidden="false" customHeight="false" outlineLevel="0" collapsed="false">
      <c r="A16" s="0" t="s">
        <v>129</v>
      </c>
      <c r="C16" s="0" t="n">
        <f aca="false">-C12</f>
        <v>2005.219</v>
      </c>
      <c r="D16" s="0" t="n">
        <f aca="false">-D12</f>
        <v>2145.58433</v>
      </c>
      <c r="E16" s="0" t="n">
        <f aca="false">-E12</f>
        <v>2285.04731145</v>
      </c>
      <c r="F16" s="0" t="n">
        <f aca="false">-F12</f>
        <v>2422.150150137</v>
      </c>
      <c r="G16" s="0" t="n">
        <f aca="false">-G12</f>
        <v>2555.36840839454</v>
      </c>
      <c r="H16" s="0" t="n">
        <f aca="false">-H12</f>
        <v>2683.13682881426</v>
      </c>
      <c r="I16" s="0" t="n">
        <f aca="false">-I12</f>
        <v>2803.8779861109</v>
      </c>
      <c r="J16" s="0" t="n">
        <f aca="false">-J12</f>
        <v>2916.03310555534</v>
      </c>
      <c r="K16" s="0" t="n">
        <f aca="false">-K12</f>
        <v>3018.09426424978</v>
      </c>
      <c r="L16" s="0" t="n">
        <f aca="false">-L12</f>
        <v>3108.63709217727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-1253.261875</v>
      </c>
      <c r="D17" s="4" t="n">
        <f aca="false">-D6*Assumptions!D32/100</f>
        <v>-1340.99020625</v>
      </c>
      <c r="E17" s="4" t="n">
        <f aca="false">-E6*Assumptions!E32/100</f>
        <v>-1428.15456965625</v>
      </c>
      <c r="F17" s="4" t="n">
        <f aca="false">-F6*Assumptions!F32/100</f>
        <v>-1513.84384383563</v>
      </c>
      <c r="G17" s="4" t="n">
        <f aca="false">-G6*Assumptions!G32/100</f>
        <v>-1597.10525524658</v>
      </c>
      <c r="H17" s="4" t="n">
        <f aca="false">-H6*Assumptions!H32/100</f>
        <v>-1676.96051800891</v>
      </c>
      <c r="I17" s="4" t="n">
        <f aca="false">-I6*Assumptions!I32/100</f>
        <v>-1752.42374131931</v>
      </c>
      <c r="J17" s="4" t="n">
        <f aca="false">-J6*Assumptions!J32/100</f>
        <v>-1822.52069097209</v>
      </c>
      <c r="K17" s="4" t="n">
        <f aca="false">-K6*Assumptions!K32/100</f>
        <v>-1886.30891515611</v>
      </c>
      <c r="L17" s="4" t="n">
        <f aca="false">-L6*Assumptions!L32/100</f>
        <v>-1942.89818261079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3060.290625</v>
      </c>
      <c r="D18" s="4" t="n">
        <f aca="false">(D6-C6)*Assumptions!$B$37/100</f>
        <v>3070.49159375</v>
      </c>
      <c r="E18" s="4" t="n">
        <f aca="false">(E6-D6)*Assumptions!$B$37/100</f>
        <v>3050.75271921875</v>
      </c>
      <c r="F18" s="4" t="n">
        <f aca="false">(F6-E6)*Assumptions!$B$37/100</f>
        <v>2999.12459627813</v>
      </c>
      <c r="G18" s="4" t="n">
        <f aca="false">(G6-F6)*Assumptions!$B$37/100</f>
        <v>2914.14939938357</v>
      </c>
      <c r="H18" s="4" t="n">
        <f aca="false">(H6-G6)*Assumptions!$B$37/100</f>
        <v>2794.93419668153</v>
      </c>
      <c r="I18" s="4" t="n">
        <f aca="false">(I6-H6)*Assumptions!$B$37/100</f>
        <v>2641.21281586404</v>
      </c>
      <c r="J18" s="4" t="n">
        <f aca="false">(J6-I6)*Assumptions!$B$37/100</f>
        <v>2453.39323784705</v>
      </c>
      <c r="K18" s="4" t="n">
        <f aca="false">(K6-J6)*Assumptions!$B$37/100</f>
        <v>2232.5878464408</v>
      </c>
      <c r="L18" s="4" t="n">
        <f aca="false">(L6-K6)*Assumptions!$B$37/100</f>
        <v>1980.62436091392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39590.3677575</v>
      </c>
      <c r="D19" s="0" t="n">
        <f aca="false">D15+D16+D17+D18</f>
        <v>41797.9535026984</v>
      </c>
      <c r="E19" s="0" t="n">
        <f aca="false">E15+E16+E17+E18</f>
        <v>43804.0002571016</v>
      </c>
      <c r="F19" s="0" t="n">
        <f aca="false">F15+F16+F17+F18</f>
        <v>45795.5657537035</v>
      </c>
      <c r="G19" s="0" t="n">
        <f aca="false">G15+G16+G17+G18</f>
        <v>47520.6603363186</v>
      </c>
      <c r="H19" s="0" t="n">
        <f aca="false">H15+H16+H17+H18</f>
        <v>49478.8318812209</v>
      </c>
      <c r="I19" s="0" t="n">
        <f aca="false">I15+I16+I17+I18</f>
        <v>51279.3832714334</v>
      </c>
      <c r="J19" s="0" t="n">
        <f aca="false">J15+J16+J17+J18</f>
        <v>52884.7277818739</v>
      </c>
      <c r="K19" s="0" t="n">
        <f aca="false">K15+K16+K17+K18</f>
        <v>54271.3236742015</v>
      </c>
      <c r="L19" s="0" t="n">
        <f aca="false">L15+L16+L17+L18</f>
        <v>55418.0959754412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35828.3871108597</v>
      </c>
      <c r="D21" s="0" t="n">
        <f aca="false">D19*D20</f>
        <v>34231.85725329</v>
      </c>
      <c r="E21" s="0" t="n">
        <f aca="false">E19*E20</f>
        <v>32465.8620355416</v>
      </c>
      <c r="F21" s="0" t="n">
        <f aca="false">F19*F20</f>
        <v>30716.6830540648</v>
      </c>
      <c r="G21" s="0" t="n">
        <f aca="false">G19*G20</f>
        <v>28845.0354322595</v>
      </c>
      <c r="H21" s="0" t="n">
        <f aca="false">H19*H20</f>
        <v>27179.7695365006</v>
      </c>
      <c r="I21" s="0" t="n">
        <f aca="false">I19*I20</f>
        <v>25492.172418578</v>
      </c>
      <c r="J21" s="0" t="n">
        <f aca="false">J19*J20</f>
        <v>23792.0601446195</v>
      </c>
      <c r="K21" s="0" t="n">
        <f aca="false">K19*K20</f>
        <v>22095.8092442002</v>
      </c>
      <c r="L21" s="0" t="n">
        <f aca="false">L19*L20</f>
        <v>20418.7344104716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281066.370640386</v>
      </c>
    </row>
    <row r="31" customFormat="false" ht="15" hidden="false" customHeight="false" outlineLevel="0" collapsed="false">
      <c r="A31" s="0" t="s">
        <v>138</v>
      </c>
      <c r="B31" s="0" t="n">
        <f aca="false">L19</f>
        <v>55418.0959754412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710044.35468534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997525.727557942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710044.35468534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261615.034634167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542681.405274553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692770.505274553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160.508535105074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0.369409906194639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27461.7560528333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27515.8158930416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173.246331344203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454428.386998618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114.488393440072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10</v>
      </c>
      <c r="D5" s="4" t="n">
        <f aca="false">Assumptions!D41</f>
        <v>9.5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5.5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38</v>
      </c>
      <c r="B6" s="3" t="n">
        <v>116582.5</v>
      </c>
      <c r="C6" s="0" t="n">
        <f aca="false">B6*(1+C5/100)</f>
        <v>128240.75</v>
      </c>
      <c r="D6" s="0" t="n">
        <f aca="false">C6*(1+D5/100)</f>
        <v>140423.62125</v>
      </c>
      <c r="E6" s="0" t="n">
        <f aca="false">D6*(1+E5/100)</f>
        <v>153061.7471625</v>
      </c>
      <c r="F6" s="0" t="n">
        <f aca="false">E6*(1+F5/100)</f>
        <v>166071.995671313</v>
      </c>
      <c r="G6" s="0" t="n">
        <f aca="false">F6*(1+G5/100)</f>
        <v>179357.755325018</v>
      </c>
      <c r="H6" s="0" t="n">
        <f aca="false">G6*(1+H5/100)</f>
        <v>191912.798197769</v>
      </c>
      <c r="I6" s="0" t="n">
        <f aca="false">H6*(1+I5/100)</f>
        <v>203427.566089635</v>
      </c>
      <c r="J6" s="0" t="n">
        <f aca="false">I6*(1+J5/100)</f>
        <v>214616.082224565</v>
      </c>
      <c r="K6" s="0" t="n">
        <f aca="false">J6*(1+K5/100)</f>
        <v>225346.886335793</v>
      </c>
      <c r="L6" s="0" t="n">
        <f aca="false">K6*(1+L5/100)</f>
        <v>235487.496220904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42</v>
      </c>
      <c r="D7" s="4" t="n">
        <f aca="false">Assumptions!D42</f>
        <v>42.17</v>
      </c>
      <c r="E7" s="4" t="n">
        <f aca="false">Assumptions!E42</f>
        <v>42.33</v>
      </c>
      <c r="F7" s="4" t="n">
        <f aca="false">Assumptions!F42</f>
        <v>42.5</v>
      </c>
      <c r="G7" s="4" t="n">
        <f aca="false">Assumptions!G42</f>
        <v>42.67</v>
      </c>
      <c r="H7" s="4" t="n">
        <f aca="false">Assumptions!H42</f>
        <v>42.83</v>
      </c>
      <c r="I7" s="4" t="n">
        <f aca="false">Assumptions!I42</f>
        <v>43</v>
      </c>
      <c r="J7" s="4" t="n">
        <f aca="false">Assumptions!J42</f>
        <v>43.17</v>
      </c>
      <c r="K7" s="4" t="n">
        <f aca="false">Assumptions!K42</f>
        <v>43.33</v>
      </c>
      <c r="L7" s="4" t="n">
        <f aca="false">Assumptions!L42</f>
        <v>43.5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53861.115</v>
      </c>
      <c r="D8" s="0" t="n">
        <f aca="false">D6*D7/100</f>
        <v>59216.641081125</v>
      </c>
      <c r="E8" s="0" t="n">
        <f aca="false">E6*E7/100</f>
        <v>64791.0375738863</v>
      </c>
      <c r="F8" s="0" t="n">
        <f aca="false">F6*F7/100</f>
        <v>70580.5981603078</v>
      </c>
      <c r="G8" s="0" t="n">
        <f aca="false">G6*G7/100</f>
        <v>76531.954197185</v>
      </c>
      <c r="H8" s="0" t="n">
        <f aca="false">H6*H7/100</f>
        <v>82196.2514681044</v>
      </c>
      <c r="I8" s="0" t="n">
        <f aca="false">I6*I7/100</f>
        <v>87473.8534185431</v>
      </c>
      <c r="J8" s="0" t="n">
        <f aca="false">J6*J7/100</f>
        <v>92649.7626963447</v>
      </c>
      <c r="K8" s="0" t="n">
        <f aca="false">K6*K7/100</f>
        <v>97642.8058492992</v>
      </c>
      <c r="L8" s="0" t="n">
        <f aca="false">L6*L7/100</f>
        <v>102437.060856093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2.8</v>
      </c>
      <c r="D9" s="4" t="n">
        <f aca="false">Assumptions!D43</f>
        <v>2.8</v>
      </c>
      <c r="E9" s="4" t="n">
        <f aca="false">Assumptions!E43</f>
        <v>2.8</v>
      </c>
      <c r="F9" s="4" t="n">
        <f aca="false">Assumptions!F43</f>
        <v>2.8</v>
      </c>
      <c r="G9" s="4" t="n">
        <f aca="false">Assumptions!G43</f>
        <v>2.8</v>
      </c>
      <c r="H9" s="4" t="n">
        <f aca="false">Assumptions!H43</f>
        <v>2.8</v>
      </c>
      <c r="I9" s="4" t="n">
        <f aca="false">Assumptions!I43</f>
        <v>2.8</v>
      </c>
      <c r="J9" s="4" t="n">
        <f aca="false">Assumptions!J43</f>
        <v>2.8</v>
      </c>
      <c r="K9" s="4" t="n">
        <f aca="false">Assumptions!K43</f>
        <v>2.8</v>
      </c>
      <c r="L9" s="4" t="n">
        <f aca="false">Assumptions!L43</f>
        <v>2.8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-3590.741</v>
      </c>
      <c r="D10" s="0" t="n">
        <f aca="false">-D6*D9/100</f>
        <v>-3931.861395</v>
      </c>
      <c r="E10" s="0" t="n">
        <f aca="false">-E6*E9/100</f>
        <v>-4285.72892055</v>
      </c>
      <c r="F10" s="0" t="n">
        <f aca="false">-F6*F9/100</f>
        <v>-4650.01587879675</v>
      </c>
      <c r="G10" s="0" t="n">
        <f aca="false">-G6*G9/100</f>
        <v>-5022.01714910049</v>
      </c>
      <c r="H10" s="0" t="n">
        <f aca="false">-H6*H9/100</f>
        <v>-5373.55834953753</v>
      </c>
      <c r="I10" s="0" t="n">
        <f aca="false">-I6*I9/100</f>
        <v>-5695.97185050978</v>
      </c>
      <c r="J10" s="0" t="n">
        <f aca="false">-J6*J9/100</f>
        <v>-6009.25030228782</v>
      </c>
      <c r="K10" s="0" t="n">
        <f aca="false">-K6*K9/100</f>
        <v>-6309.71281740221</v>
      </c>
      <c r="L10" s="0" t="n">
        <f aca="false">-L6*L9/100</f>
        <v>-6593.64989418531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50270.374</v>
      </c>
      <c r="D11" s="0" t="n">
        <f aca="false">D8+D10+D24</f>
        <v>55284.779686125</v>
      </c>
      <c r="E11" s="0" t="n">
        <f aca="false">E8+E10+E24</f>
        <v>60505.3086533363</v>
      </c>
      <c r="F11" s="0" t="n">
        <f aca="false">F8+F10+F24</f>
        <v>65930.5822815111</v>
      </c>
      <c r="G11" s="0" t="n">
        <f aca="false">G8+G10+G24</f>
        <v>71509.9370480845</v>
      </c>
      <c r="H11" s="0" t="n">
        <f aca="false">H8+H10+H24</f>
        <v>76822.6931185669</v>
      </c>
      <c r="I11" s="0" t="n">
        <f aca="false">I8+I10+I24</f>
        <v>81777.8815680333</v>
      </c>
      <c r="J11" s="0" t="n">
        <f aca="false">J8+J10+J24</f>
        <v>86640.5123940568</v>
      </c>
      <c r="K11" s="0" t="n">
        <f aca="false">K8+K10+K24</f>
        <v>91333.093031897</v>
      </c>
      <c r="L11" s="0" t="n">
        <f aca="false">L8+L10+L24</f>
        <v>95843.4109619078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-2051.852</v>
      </c>
      <c r="D12" s="4" t="n">
        <f aca="false">-D6*Assumptions!D45/100</f>
        <v>-2246.77794</v>
      </c>
      <c r="E12" s="4" t="n">
        <f aca="false">-E6*Assumptions!E45/100</f>
        <v>-2448.9879546</v>
      </c>
      <c r="F12" s="4" t="n">
        <f aca="false">-F6*Assumptions!F45/100</f>
        <v>-2657.151930741</v>
      </c>
      <c r="G12" s="4" t="n">
        <f aca="false">-G6*Assumptions!G45/100</f>
        <v>-2869.72408520028</v>
      </c>
      <c r="H12" s="4" t="n">
        <f aca="false">-H6*Assumptions!H45/100</f>
        <v>-3070.6047711643</v>
      </c>
      <c r="I12" s="4" t="n">
        <f aca="false">-I6*Assumptions!I45/100</f>
        <v>-3254.84105743416</v>
      </c>
      <c r="J12" s="4" t="n">
        <f aca="false">-J6*Assumptions!J45/100</f>
        <v>-3433.85731559304</v>
      </c>
      <c r="K12" s="4" t="n">
        <f aca="false">-K6*Assumptions!K45/100</f>
        <v>-3605.55018137269</v>
      </c>
      <c r="L12" s="4" t="n">
        <f aca="false">-L6*Assumptions!L45/100</f>
        <v>-3767.79993953446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48218.522</v>
      </c>
      <c r="D13" s="0" t="n">
        <f aca="false">D11+D12</f>
        <v>53038.001746125</v>
      </c>
      <c r="E13" s="0" t="n">
        <f aca="false">E11+E12</f>
        <v>58056.3206987363</v>
      </c>
      <c r="F13" s="0" t="n">
        <f aca="false">F11+F12</f>
        <v>63273.4303507701</v>
      </c>
      <c r="G13" s="0" t="n">
        <f aca="false">G11+G12</f>
        <v>68640.2129628842</v>
      </c>
      <c r="H13" s="0" t="n">
        <f aca="false">H11+H12</f>
        <v>73752.0883474026</v>
      </c>
      <c r="I13" s="0" t="n">
        <f aca="false">I11+I12</f>
        <v>78523.0405105991</v>
      </c>
      <c r="J13" s="0" t="n">
        <f aca="false">J11+J12</f>
        <v>83206.6550784638</v>
      </c>
      <c r="K13" s="0" t="n">
        <f aca="false">K11+K12</f>
        <v>87727.5428505243</v>
      </c>
      <c r="L13" s="0" t="n">
        <f aca="false">L11+L12</f>
        <v>92075.6110223734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21.5</v>
      </c>
      <c r="D14" s="4" t="n">
        <f aca="false">Assumptions!D47</f>
        <v>21.5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37851.53977</v>
      </c>
      <c r="D15" s="0" t="n">
        <f aca="false">D13-MAX(0,D13)*D14/100</f>
        <v>41634.8313707081</v>
      </c>
      <c r="E15" s="0" t="n">
        <f aca="false">E13-MAX(0,E13)*E14/100</f>
        <v>45283.9301450143</v>
      </c>
      <c r="F15" s="0" t="n">
        <f aca="false">F13-MAX(0,F13)*F14/100</f>
        <v>49353.2756736007</v>
      </c>
      <c r="G15" s="0" t="n">
        <f aca="false">G13-MAX(0,G13)*G14/100</f>
        <v>53539.3661110497</v>
      </c>
      <c r="H15" s="0" t="n">
        <f aca="false">H13-MAX(0,H13)*H14/100</f>
        <v>57526.628910974</v>
      </c>
      <c r="I15" s="0" t="n">
        <f aca="false">I13-MAX(0,I13)*I14/100</f>
        <v>61247.9715982673</v>
      </c>
      <c r="J15" s="0" t="n">
        <f aca="false">J13-MAX(0,J13)*J14/100</f>
        <v>64901.1909612018</v>
      </c>
      <c r="K15" s="0" t="n">
        <f aca="false">K13-MAX(0,K13)*K14/100</f>
        <v>68427.4834234089</v>
      </c>
      <c r="L15" s="0" t="n">
        <f aca="false">L13-MAX(0,L13)*L14/100</f>
        <v>71818.9765974512</v>
      </c>
    </row>
    <row r="16" customFormat="false" ht="15" hidden="false" customHeight="false" outlineLevel="0" collapsed="false">
      <c r="A16" s="0" t="s">
        <v>129</v>
      </c>
      <c r="C16" s="0" t="n">
        <f aca="false">-C12</f>
        <v>2051.852</v>
      </c>
      <c r="D16" s="0" t="n">
        <f aca="false">-D12</f>
        <v>2246.77794</v>
      </c>
      <c r="E16" s="0" t="n">
        <f aca="false">-E12</f>
        <v>2448.9879546</v>
      </c>
      <c r="F16" s="0" t="n">
        <f aca="false">-F12</f>
        <v>2657.151930741</v>
      </c>
      <c r="G16" s="0" t="n">
        <f aca="false">-G12</f>
        <v>2869.72408520028</v>
      </c>
      <c r="H16" s="0" t="n">
        <f aca="false">-H12</f>
        <v>3070.6047711643</v>
      </c>
      <c r="I16" s="0" t="n">
        <f aca="false">-I12</f>
        <v>3254.84105743416</v>
      </c>
      <c r="J16" s="0" t="n">
        <f aca="false">-J12</f>
        <v>3433.85731559304</v>
      </c>
      <c r="K16" s="0" t="n">
        <f aca="false">-K12</f>
        <v>3605.55018137269</v>
      </c>
      <c r="L16" s="0" t="n">
        <f aca="false">-L12</f>
        <v>3767.79993953446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-1282.4075</v>
      </c>
      <c r="D17" s="4" t="n">
        <f aca="false">-D6*Assumptions!D46/100</f>
        <v>-1404.2362125</v>
      </c>
      <c r="E17" s="4" t="n">
        <f aca="false">-E6*Assumptions!E46/100</f>
        <v>-1530.617471625</v>
      </c>
      <c r="F17" s="4" t="n">
        <f aca="false">-F6*Assumptions!F46/100</f>
        <v>-1660.71995671313</v>
      </c>
      <c r="G17" s="4" t="n">
        <f aca="false">-G6*Assumptions!G46/100</f>
        <v>-1793.57755325018</v>
      </c>
      <c r="H17" s="4" t="n">
        <f aca="false">-H6*Assumptions!H46/100</f>
        <v>-1919.12798197769</v>
      </c>
      <c r="I17" s="4" t="n">
        <f aca="false">-I6*Assumptions!I46/100</f>
        <v>-2034.27566089635</v>
      </c>
      <c r="J17" s="4" t="n">
        <f aca="false">-J6*Assumptions!J46/100</f>
        <v>-2146.16082224565</v>
      </c>
      <c r="K17" s="4" t="n">
        <f aca="false">-K6*Assumptions!K46/100</f>
        <v>-2253.46886335793</v>
      </c>
      <c r="L17" s="4" t="n">
        <f aca="false">-L6*Assumptions!L46/100</f>
        <v>-2354.87496220904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5246.21250000001</v>
      </c>
      <c r="D18" s="4" t="n">
        <f aca="false">(D6-C6)*Assumptions!$B$51/100</f>
        <v>5482.29206250001</v>
      </c>
      <c r="E18" s="4" t="n">
        <f aca="false">(E6-D6)*Assumptions!$B$51/100</f>
        <v>5687.15666062501</v>
      </c>
      <c r="F18" s="4" t="n">
        <f aca="false">(F6-E6)*Assumptions!$B$51/100</f>
        <v>5854.61182896563</v>
      </c>
      <c r="G18" s="4" t="n">
        <f aca="false">(G6-F6)*Assumptions!$B$51/100</f>
        <v>5978.59184416726</v>
      </c>
      <c r="H18" s="4" t="n">
        <f aca="false">(H6-G6)*Assumptions!$B$51/100</f>
        <v>5649.76929273806</v>
      </c>
      <c r="I18" s="4" t="n">
        <f aca="false">(I6-H6)*Assumptions!$B$51/100</f>
        <v>5181.64555133976</v>
      </c>
      <c r="J18" s="4" t="n">
        <f aca="false">(J6-I6)*Assumptions!$B$51/100</f>
        <v>5034.83226071846</v>
      </c>
      <c r="K18" s="4" t="n">
        <f aca="false">(K6-J6)*Assumptions!$B$51/100</f>
        <v>4828.86185005272</v>
      </c>
      <c r="L18" s="4" t="n">
        <f aca="false">(L6-K6)*Assumptions!$B$51/100</f>
        <v>4563.2744482998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43867.19677</v>
      </c>
      <c r="D19" s="0" t="n">
        <f aca="false">D15+D16+D17+D18</f>
        <v>47959.6651607081</v>
      </c>
      <c r="E19" s="0" t="n">
        <f aca="false">E15+E16+E17+E18</f>
        <v>51889.4572886143</v>
      </c>
      <c r="F19" s="0" t="n">
        <f aca="false">F15+F16+F17+F18</f>
        <v>56204.3194765942</v>
      </c>
      <c r="G19" s="0" t="n">
        <f aca="false">G15+G16+G17+G18</f>
        <v>60594.1044871671</v>
      </c>
      <c r="H19" s="0" t="n">
        <f aca="false">H15+H16+H17+H18</f>
        <v>64327.8749928987</v>
      </c>
      <c r="I19" s="0" t="n">
        <f aca="false">I15+I16+I17+I18</f>
        <v>67650.1825461449</v>
      </c>
      <c r="J19" s="0" t="n">
        <f aca="false">J15+J16+J17+J18</f>
        <v>71223.7197152676</v>
      </c>
      <c r="K19" s="0" t="n">
        <f aca="false">K15+K16+K17+K18</f>
        <v>74608.4265914764</v>
      </c>
      <c r="L19" s="0" t="n">
        <f aca="false">L15+L16+L17+L18</f>
        <v>77795.1760230765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39698.8206063349</v>
      </c>
      <c r="D21" s="0" t="n">
        <f aca="false">D19*D20</f>
        <v>39278.2008236589</v>
      </c>
      <c r="E21" s="0" t="n">
        <f aca="false">E19*E20</f>
        <v>38458.4958347078</v>
      </c>
      <c r="F21" s="0" t="n">
        <f aca="false">F19*F20</f>
        <v>37698.1971773617</v>
      </c>
      <c r="G21" s="0" t="n">
        <f aca="false">G19*G20</f>
        <v>36780.6145484588</v>
      </c>
      <c r="H21" s="0" t="n">
        <f aca="false">H19*H20</f>
        <v>35336.6631871395</v>
      </c>
      <c r="I21" s="0" t="n">
        <f aca="false">I19*I20</f>
        <v>33630.4769596423</v>
      </c>
      <c r="J21" s="0" t="n">
        <f aca="false">J19*J20</f>
        <v>32042.502519413</v>
      </c>
      <c r="K21" s="0" t="n">
        <f aca="false">K19*K20</f>
        <v>30375.7758309261</v>
      </c>
      <c r="L21" s="0" t="n">
        <f aca="false">L19*L20</f>
        <v>28663.5440946045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351963.291582247</v>
      </c>
    </row>
    <row r="31" customFormat="false" ht="15" hidden="false" customHeight="false" outlineLevel="0" collapsed="false">
      <c r="A31" s="0" t="s">
        <v>138</v>
      </c>
      <c r="B31" s="0" t="n">
        <f aca="false">L19</f>
        <v>77795.1760230765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1068387.08405025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1400313.16841538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1068387.08405025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393646.005565902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745609.29714815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895698.39714815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207.525055595771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0.770540530635364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29298.5987974526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33364.0731422236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222.043418606652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667741.927531406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139.685870798677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112.334163817948</v>
      </c>
      <c r="C4" s="0" t="n">
        <f aca="false">B4/Assumptions!$B$2-1</f>
        <v>-0.0415991483836914</v>
      </c>
      <c r="D4" s="4" t="n">
        <f aca="false">Assumptions!$B$24</f>
        <v>0.25</v>
      </c>
      <c r="E4" s="4" t="n">
        <f aca="false">DCF_Bear!$B$43</f>
        <v>125.205245430873</v>
      </c>
      <c r="F4" s="4" t="n">
        <f aca="false">DCF_Bear!$B$47</f>
        <v>87.3263206126278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160.508535105074</v>
      </c>
      <c r="C5" s="0" t="n">
        <f aca="false">B5/Assumptions!$B$2-1</f>
        <v>0.369409906194639</v>
      </c>
      <c r="D5" s="4" t="n">
        <f aca="false">Assumptions!$B$38</f>
        <v>0.5</v>
      </c>
      <c r="E5" s="4" t="n">
        <f aca="false">DCF_Base!$B$43</f>
        <v>173.246331344203</v>
      </c>
      <c r="F5" s="4" t="n">
        <f aca="false">DCF_Base!$B$47</f>
        <v>114.488393440072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207.525055595771</v>
      </c>
      <c r="C6" s="0" t="n">
        <f aca="false">B6/Assumptions!$B$2-1</f>
        <v>0.770540530635364</v>
      </c>
      <c r="D6" s="4" t="n">
        <f aca="false">Assumptions!$B$52</f>
        <v>0.25</v>
      </c>
      <c r="E6" s="4" t="n">
        <f aca="false">DCF_Bull!$B$43</f>
        <v>222.043418606652</v>
      </c>
      <c r="F6" s="4" t="n">
        <f aca="false">DCF_Bull!$B$47</f>
        <v>139.685870798677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160.219072405966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173.435331681483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0.268439154965204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-325.425458969635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113.997244572862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190.074770707518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169.046403098536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160.508535105074</v>
      </c>
      <c r="C17" s="3" t="n">
        <v>10.5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152.978086188643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140.302888565435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114.488393440072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188.553846813273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195.324823310266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203.224295890093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208.4299391109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208.4299391109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168.676834048546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173.404557055037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178.807669062456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185.042029071016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192.315449081003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153.248021498258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156.664733783818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160.508535105074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164.864843269163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169.843481170979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140.931032744398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143.468105577213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146.287075391452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149.437688713249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152.98212870027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130.87558735723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132.801229847801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134.919436587428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137.260612457543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139.861918979892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2026-10-03T23:45:27Z</dcterms:created>
  <dc:creator>openpyxl</dc:creator>
  <dc:description/>
  <dc:language>en-NZ</dc:language>
  <cp:lastModifiedBy/>
  <dcterms:modified xsi:type="dcterms:W3CDTF">2026-10-03T23:45:27Z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