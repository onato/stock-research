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<sst xmlns="http://schemas.openxmlformats.org/spreadsheetml/2006/main" count="373" uniqueCount="171">
  <si>
    <t xml:space="preserve">Ticker</t>
  </si>
  <si>
    <t xml:space="preserve">RIO</t>
  </si>
  <si>
    <t xml:space="preserve">Company</t>
  </si>
  <si>
    <t xml:space="preserve">Rio Tinto plc (NYSE ADR, 1 ADR = 1 plc ordinary share)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</si>
  <si>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</si>
  <si>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</si>
  <si>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</si>
  <si>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</si>
  <si>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NYSE regular close (Friday session; Saturday valuation date, not an after-hours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</si>
  <si>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</si>
  <si>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</si>
  <si>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</si>
  <si>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</si>
  <si>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</si>
  <si>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</si>
  <si>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</si>
  <si>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</si>
  <si>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</si>
  <si>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</si>
  <si>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</si>
  <si>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</si>
  <si>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2026-10-04T07:56:33Z</t>
  </si>
  <si>
    <t xml:space="preserve">Drivers file</t>
  </si>
  <si>
    <t xml:space="preserve">RIO_Drivers.json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</si>
  <si>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</si>
  <si>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</si>
  <si>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</si>
  <si>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price-taking diversified miner is valued on what its asset base earns through the cycle, not on the deck at the top of it. The build starts from a TTM that includes the strongest half-year since 2021, pulls FY2027 back to a mid-cycle deck Rio actually earned FY2025's margin on, lets guided volumes (Simandou, Oyu Tolgoi, lithium) carry the growth, charges the US$11bn capex cycle and the ~US$1bn/yr rehabilitation outflow explicitly, hands the NCI partners their share through a leakage rate rather than a book-value deduction, and caps the exit at the bottom of Rio's own historical EV/EBITDA range. Risk is charged once, in the scenario flows and a 25% bear weight, not in the discount rate. At US$94 the market is paying for something close to the H1 2026 deck; the value here is what is left if it reverts.
key_risks_to_valuation: Commodity deck: every US$10/t on iron ore is ~US$3bn of EBITDA on ~300Mt attributable shipments (~US$1.2bn of owner FCF after tax/NCI, ~US$9/share at 15x); every US$1,000/t on copper ~US$0.9bn EBITDA at ~900kt and rising. The base/bull/bear spread is almost entirely this.; Simandou execution and iron ore oversupply: Rio is adding the supply that pressures its own Pilbara price; a slower ramp protects price but delays the volume growth in the base path.; Oyu Tolgoi fiscal terms: a larger Mongolian economic share (tax assessments, Investment Agreement renegotiation) would raise the leakage rate above the 38% assumed from FY2031.; Capex overrun or extension beyond ~US$10bn real from 2028: each US$1bn/yr of extra capex in perpetuity is ~US$8/share.; Terminal cap: 15x terminal FCF (~5.1x EBITDA) binds; at 14x the base falls ~US$3/share, at Gordon (15.7x) it rises ~US$2.; Closure provisions: charged as ~US$1.0bn/yr in perpetuity; the US$18.9bn stock implies the run-rate could rise as legacy sites (ERA Ranger, Gove, Argyle) move into active rehabilitation.; Corporate action: the abandoned Glencore merger shows appetite for transformative deals; a renewed approach would break the three-scenario frame.; FX: costs are AUD/CAD-heavy against USD revenue; a weaker USD was a ~US$0.7bn EBITDA headwind in H1 2026 alone.</t>
  </si>
  <si>
    <t xml:space="preserve">Data sources</t>
  </si>
  <si>
    <t xml:space="preserve">price: Yahoo Finance chart API (query1.finance.yahoo.com, RIO) at inputs.price_as_of; 52-week range 65.35-112.58.
financials: RIO_Metrics.csv / core_metrics (FY2012-H1 2026) and the FY2025 Annual Report on Form 20-F (consolidated income statement, cash flow statement, underlying-EBITDA reconciliation, note 14 closure provisions, note 13 PP&amp;E); H1 2026 results release (29 July 2026): net-debt table, share-count note, 'Rio Tinto share of capital investment' reconciliation, income statement and NCI lines.
qualitative: RIO_Analysis.json (2026-10-04): segments, guidance (shipments 343-366Mt, capex ~US$11bn 2026-27 and ~US$10bn from 2028, US$1.8bn productivity run-rate, US$5-10bn divestments, Oyu Tolgoi 500kt 2028-36, lithium ~200ktpa LCE by 2028), bull/bear cases, Glencore talks, Mongolia tax dispute, Kennecott furnace breach.</t>
  </si>
  <si>
    <t xml:space="preserve">Scenario narrative: bear</t>
  </si>
  <si>
    <t xml:space="preserve">China rolls over as Simandou floods the market: steel output declines, Simandou plus Pilbara create a 100Mt+ seaborne surplus and iron ore settles at US$70-80/t, cannibalising Rio's own Pilbara economics; copper softens to ~US$8,000/t and lithium relapses; Mongolia renegotiates Oyu Tolgoi's fiscal terms and the Guinea partnership frictions slow the ramp; the committed capex program is sticky while revenue falls 15%, margins sit in the high-30s and the exit multiple compresses to ~4.3x EBITDA. Weighted at 25%.</t>
  </si>
  <si>
    <t xml:space="preserve">Scenario narrative: base</t>
  </si>
  <si>
    <t xml:space="preserve">Mid-cycle: commodity prices revert from H1 2026's copper-, gold- and aluminium-led record toward a deck Rio actually earned FY2025's 44% margin on (iron ore ~US$95/t, copper ~US$9,500-10,000/t, aluminium ~US$2,600/t); Simandou ramps to 60Mtpa Simfer share by 2028-29, Oyu Tolgoi climbs toward 500kt/yr, the three Argentine lithium projects reach ~200ktpa LCE and turn EBITDA-positive; Pilbara is a flat ~325-335Mt cash engine on a ~1bn t China steel plateau; the ~US$11bn capex cycle steps down to ~US$10bn real from 2028 and ~US$1bn/yr of rehabilitation cash keeps flowing out below EBITDA; the US$1.8bn productivity run-rate roughly offsets cost inflation. Weighted at 50%.</t>
  </si>
  <si>
    <t xml:space="preserve">Scenario narrative: bull</t>
  </si>
  <si>
    <t xml:space="preserve">Copper supercycle: structural electrification, grid and AI data-centre demand hold copper at US$11-12k/t and lithium above US$20k/t, China steel stays resilient enough for iron ore to hold US$100+/t with Simandou's 65% Fe earning its grade premium, aluminium stays tight; Oyu Tolgoi, Simandou and Rincon all deliver on schedule and the US$5-10bn divestment program recycles capital into Resolution/Winu/La Granja; margins settle around 50% and the market pays ~5.5x EBITDA at exit. Weighted at 25%.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</si>
  <si>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</si>
  <si>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</si>
  <si>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</si>
  <si>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</si>
  <si>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</si>
  <si>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</si>
  <si>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</si>
  <si>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</si>
  <si>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</si>
  <si>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</si>
  <si>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</si>
  <si>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</si>
  <si>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</si>
  <si>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</si>
  <si>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</si>
  <si>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</si>
  <si>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</si>
  <si>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</si>
  <si>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</si>
  <si>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</si>
  <si>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</si>
  <si>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</si>
  <si>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</si>
  <si>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</si>
  <si>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</si>
  <si>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</si>
  <si>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</si>
  <si>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UnderlyingEBITDA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</si>
  <si>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</si>
  <si>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</si>
  <si>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</si>
  <si>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</si>
  <si>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</si>
  <si>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</si>
  <si>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</si>
  <si>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</si>
  <si>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</si>
  <si>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</si>
  <si>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</si>
  <si>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</si>
  <si>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</si>
  <si>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</si>
  <si>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</si>
  <si>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</si>
  <si>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</si>
  <si>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</si>
  <si>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</si>
  <si>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</si>
  <si>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</si>
  <si>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</si>
  <si>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</si>
  <si>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</si>
  <si>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</si>
  <si>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</si>
  <si>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</si>
  <si>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</si>
  <si>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</si>
  <si>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</si>
  <si>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</si>
  <si>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</si>
  <si>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</si>
  <si>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</si>
  <si>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</si>
  <si>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</si>
  <si>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</si>
  <si>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</si>
  <si>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</si>
  <si>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</si>
  <si>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</si>
  <si>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</si>
  <si>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</si>
  <si>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</si>
  <si>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</si>
  <si>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</si>
  <si>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</si>
  <si>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</si>
  <si>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</si>
  <si>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</si>
  <si>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</si>
  <si>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</si>
  <si>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RIO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</si>
  <si>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</si>
  <si>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</si>
  <si>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</si>
  <si>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</si>
  <si>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</si>
  <si>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</si>
  <si>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</si>
  <si>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</si>
  <si>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</si>
  <si>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</si>
  <si>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</si>
  <si>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</si>
  <si>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</si>
  <si>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</si>
  <si>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</si>
  <si>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</si>
  <si>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</si>
  <si>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</si>
  <si>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</si>
  <si>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</si>
  <si>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</si>
  <si>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</si>
  <si>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</si>
  <si>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</si>
  <si>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</si>
  <si>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</si>
  <si>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</si>
  <si>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</si>
  <si>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</si>
  <si>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</si>
  <si>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RIO owner-FCF component DCF: base case (millions, USD)</t>
  </si>
  <si>
    <t xml:space="preserve">RIO owner-FCF component DCF: bull case (millions, USD)</t>
  </si>
  <si>
    <t xml:space="preserve">RIO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</si>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</sst>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94.21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50942</v>
      </c>
      <c r="F2" s="0" t="n">
        <v>-1925</v>
      </c>
      <c r="G2" s="0" t="n">
        <v>-3.8</v>
      </c>
      <c r="K2" s="0" t="n">
        <v>-1.638</v>
      </c>
      <c r="O2" s="0" t="n">
        <v>46553</v>
      </c>
      <c r="P2" s="0" t="n">
        <v>118437</v>
      </c>
      <c r="T2" s="0" t="n">
        <v>1849.1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51171</v>
      </c>
      <c r="F3" s="0" t="n">
        <v>7430</v>
      </c>
      <c r="G3" s="0" t="n">
        <v>14.5</v>
      </c>
      <c r="K3" s="0" t="n">
        <v>1.973</v>
      </c>
      <c r="O3" s="0" t="n">
        <v>45886</v>
      </c>
      <c r="P3" s="0" t="n">
        <v>111025</v>
      </c>
      <c r="T3" s="0" t="n">
        <v>1857.7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47664</v>
      </c>
      <c r="F4" s="0" t="n">
        <v>11346</v>
      </c>
      <c r="G4" s="0" t="n">
        <v>23.8</v>
      </c>
      <c r="H4" s="0" t="n">
        <v>19665</v>
      </c>
      <c r="I4" s="0" t="n">
        <v>6527</v>
      </c>
      <c r="J4" s="0" t="n">
        <v>13.7</v>
      </c>
      <c r="K4" s="0" t="n">
        <v>3.512</v>
      </c>
      <c r="L4" s="0" t="n">
        <v>14286</v>
      </c>
      <c r="M4" s="0" t="n">
        <v>8162</v>
      </c>
      <c r="N4" s="0" t="n">
        <v>6124</v>
      </c>
      <c r="O4" s="0" t="n">
        <v>46285</v>
      </c>
      <c r="P4" s="0" t="n">
        <v>107827</v>
      </c>
      <c r="T4" s="0" t="n">
        <v>1858.7</v>
      </c>
      <c r="U4" s="0" t="n">
        <v>152</v>
      </c>
      <c r="AA4" s="0" t="s">
        <v>17</v>
      </c>
      <c r="AB4" s="0" t="s">
        <v>14</v>
      </c>
      <c r="AC4" s="0" t="n">
        <v>19665</v>
      </c>
    </row>
    <row r="5" customFormat="false" ht="15" hidden="false" customHeight="false" outlineLevel="0" collapsed="false">
      <c r="A5" s="0" t="s">
        <v>67</v>
      </c>
      <c r="B5" s="0" t="n">
        <v>34829</v>
      </c>
      <c r="F5" s="0" t="n">
        <v>3615</v>
      </c>
      <c r="G5" s="0" t="n">
        <v>10.4</v>
      </c>
      <c r="H5" s="0" t="n">
        <v>12621</v>
      </c>
      <c r="I5" s="0" t="n">
        <v>-866</v>
      </c>
      <c r="J5" s="0" t="n">
        <v>-2.5</v>
      </c>
      <c r="K5" s="0" t="n">
        <v>-0.475</v>
      </c>
      <c r="L5" s="0" t="n">
        <v>9383</v>
      </c>
      <c r="M5" s="0" t="n">
        <v>4685</v>
      </c>
      <c r="N5" s="0" t="n">
        <v>4698</v>
      </c>
      <c r="O5" s="0" t="n">
        <v>37349</v>
      </c>
      <c r="P5" s="0" t="n">
        <v>91564</v>
      </c>
      <c r="Q5" s="0" t="n">
        <v>47436</v>
      </c>
      <c r="R5" s="0" t="n">
        <v>23063</v>
      </c>
      <c r="S5" s="0" t="n">
        <v>9366</v>
      </c>
      <c r="T5" s="0" t="n">
        <v>1824.7</v>
      </c>
      <c r="U5" s="0" t="n">
        <v>128</v>
      </c>
      <c r="AA5" s="0" t="s">
        <v>17</v>
      </c>
      <c r="AB5" s="0" t="s">
        <v>14</v>
      </c>
      <c r="AC5" s="0" t="n">
        <v>12621</v>
      </c>
    </row>
    <row r="6" customFormat="false" ht="15" hidden="false" customHeight="false" outlineLevel="0" collapsed="false">
      <c r="A6" s="0" t="s">
        <v>68</v>
      </c>
      <c r="B6" s="0" t="n">
        <v>33781</v>
      </c>
      <c r="F6" s="0" t="n">
        <v>6795</v>
      </c>
      <c r="G6" s="0" t="n">
        <v>20.1</v>
      </c>
      <c r="H6" s="0" t="n">
        <v>13510</v>
      </c>
      <c r="I6" s="0" t="n">
        <v>4617</v>
      </c>
      <c r="J6" s="0" t="n">
        <v>13.7</v>
      </c>
      <c r="K6" s="0" t="n">
        <v>2.553</v>
      </c>
      <c r="L6" s="0" t="n">
        <v>8465</v>
      </c>
      <c r="M6" s="0" t="n">
        <v>3012</v>
      </c>
      <c r="N6" s="0" t="n">
        <v>5453</v>
      </c>
      <c r="O6" s="0" t="n">
        <v>39290</v>
      </c>
      <c r="P6" s="0" t="n">
        <v>89263</v>
      </c>
      <c r="Q6" s="0" t="n">
        <v>43533</v>
      </c>
      <c r="R6" s="0" t="n">
        <v>17630</v>
      </c>
      <c r="S6" s="0" t="n">
        <v>8201</v>
      </c>
      <c r="T6" s="0" t="n">
        <v>1808.6</v>
      </c>
      <c r="U6" s="0" t="n">
        <v>116</v>
      </c>
      <c r="AA6" s="0" t="s">
        <v>17</v>
      </c>
      <c r="AB6" s="0" t="s">
        <v>14</v>
      </c>
      <c r="AC6" s="0" t="n">
        <v>13510</v>
      </c>
    </row>
    <row r="7" customFormat="false" ht="15" hidden="false" customHeight="false" outlineLevel="0" collapsed="false">
      <c r="A7" s="0" t="s">
        <v>69</v>
      </c>
      <c r="B7" s="0" t="n">
        <v>40030</v>
      </c>
      <c r="F7" s="0" t="n">
        <v>14135</v>
      </c>
      <c r="G7" s="0" t="n">
        <v>35.3</v>
      </c>
      <c r="H7" s="0" t="n">
        <v>18580</v>
      </c>
      <c r="I7" s="0" t="n">
        <v>8762</v>
      </c>
      <c r="J7" s="0" t="n">
        <v>21.9</v>
      </c>
      <c r="K7" s="0" t="n">
        <v>4.869</v>
      </c>
      <c r="L7" s="0" t="n">
        <v>13884</v>
      </c>
      <c r="M7" s="0" t="n">
        <v>4482</v>
      </c>
      <c r="N7" s="0" t="n">
        <v>9402</v>
      </c>
      <c r="O7" s="0" t="n">
        <v>44711</v>
      </c>
      <c r="P7" s="0" t="n">
        <v>95726</v>
      </c>
      <c r="Q7" s="0" t="n">
        <v>44611</v>
      </c>
      <c r="R7" s="0" t="n">
        <v>15176</v>
      </c>
      <c r="S7" s="0" t="n">
        <v>10550</v>
      </c>
      <c r="T7" s="0" t="n">
        <v>1799.5</v>
      </c>
      <c r="U7" s="0" t="n">
        <v>91</v>
      </c>
      <c r="AA7" s="0" t="s">
        <v>17</v>
      </c>
      <c r="AB7" s="0" t="s">
        <v>14</v>
      </c>
      <c r="AC7" s="0" t="n">
        <v>18580</v>
      </c>
    </row>
    <row r="8" customFormat="false" ht="15" hidden="false" customHeight="false" outlineLevel="0" collapsed="false">
      <c r="A8" s="0" t="s">
        <v>70</v>
      </c>
      <c r="B8" s="0" t="n">
        <v>40522</v>
      </c>
      <c r="F8" s="0" t="n">
        <v>17687</v>
      </c>
      <c r="G8" s="0" t="n">
        <v>43.6</v>
      </c>
      <c r="H8" s="0" t="n">
        <v>18136</v>
      </c>
      <c r="I8" s="0" t="n">
        <v>13638</v>
      </c>
      <c r="J8" s="0" t="n">
        <v>33.7</v>
      </c>
      <c r="K8" s="0" t="n">
        <v>7.876</v>
      </c>
      <c r="L8" s="0" t="n">
        <v>11821</v>
      </c>
      <c r="M8" s="0" t="n">
        <v>5430</v>
      </c>
      <c r="N8" s="0" t="n">
        <v>6391</v>
      </c>
      <c r="O8" s="0" t="n">
        <v>43686</v>
      </c>
      <c r="P8" s="0" t="n">
        <v>90949</v>
      </c>
      <c r="Q8" s="0" t="n">
        <v>41126</v>
      </c>
      <c r="R8" s="0" t="n">
        <v>12752</v>
      </c>
      <c r="S8" s="0" t="n">
        <v>10773</v>
      </c>
      <c r="T8" s="0" t="n">
        <v>1731.7</v>
      </c>
      <c r="U8" s="0" t="n">
        <v>122</v>
      </c>
      <c r="AA8" s="0" t="s">
        <v>17</v>
      </c>
      <c r="AB8" s="0" t="s">
        <v>14</v>
      </c>
      <c r="AC8" s="0" t="n">
        <v>18136</v>
      </c>
    </row>
    <row r="9" customFormat="false" ht="15" hidden="false" customHeight="false" outlineLevel="0" collapsed="false">
      <c r="A9" s="0" t="s">
        <v>71</v>
      </c>
      <c r="B9" s="0" t="n">
        <v>43165</v>
      </c>
      <c r="F9" s="0" t="n">
        <v>11466</v>
      </c>
      <c r="G9" s="0" t="n">
        <v>26.6</v>
      </c>
      <c r="H9" s="0" t="n">
        <v>21197</v>
      </c>
      <c r="I9" s="0" t="n">
        <v>8010</v>
      </c>
      <c r="J9" s="0" t="n">
        <v>18.6</v>
      </c>
      <c r="K9" s="0" t="n">
        <v>4.878</v>
      </c>
      <c r="L9" s="0" t="n">
        <v>14912</v>
      </c>
      <c r="M9" s="0" t="n">
        <v>5488</v>
      </c>
      <c r="N9" s="0" t="n">
        <v>9424</v>
      </c>
      <c r="O9" s="0" t="n">
        <v>40532</v>
      </c>
      <c r="P9" s="0" t="n">
        <v>87802</v>
      </c>
      <c r="Q9" s="0" t="n">
        <v>42560</v>
      </c>
      <c r="R9" s="0" t="n">
        <v>14115</v>
      </c>
      <c r="S9" s="0" t="n">
        <v>8027</v>
      </c>
      <c r="T9" s="0" t="n">
        <v>1642.1</v>
      </c>
      <c r="U9" s="0" t="n">
        <v>123</v>
      </c>
      <c r="AA9" s="0" t="s">
        <v>17</v>
      </c>
      <c r="AB9" s="0" t="s">
        <v>14</v>
      </c>
      <c r="AC9" s="0" t="n">
        <v>21197</v>
      </c>
    </row>
    <row r="10" customFormat="false" ht="15" hidden="false" customHeight="false" outlineLevel="0" collapsed="false">
      <c r="A10" s="0" t="s">
        <v>72</v>
      </c>
      <c r="B10" s="0" t="n">
        <v>44611</v>
      </c>
      <c r="F10" s="0" t="n">
        <v>16829</v>
      </c>
      <c r="G10" s="0" t="n">
        <v>37.7</v>
      </c>
      <c r="H10" s="0" t="n">
        <v>23902</v>
      </c>
      <c r="I10" s="0" t="n">
        <v>9769</v>
      </c>
      <c r="J10" s="0" t="n">
        <v>21.9</v>
      </c>
      <c r="K10" s="0" t="n">
        <v>5.998</v>
      </c>
      <c r="L10" s="0" t="n">
        <v>15875</v>
      </c>
      <c r="M10" s="0" t="n">
        <v>6189</v>
      </c>
      <c r="N10" s="0" t="n">
        <v>9686</v>
      </c>
      <c r="O10" s="0" t="n">
        <v>47054</v>
      </c>
      <c r="P10" s="0" t="n">
        <v>97390</v>
      </c>
      <c r="Q10" s="0" t="n">
        <v>45487</v>
      </c>
      <c r="R10" s="0" t="n">
        <v>13831</v>
      </c>
      <c r="S10" s="0" t="n">
        <v>10381</v>
      </c>
      <c r="T10" s="0" t="n">
        <v>1628.6</v>
      </c>
      <c r="U10" s="0" t="n">
        <v>138</v>
      </c>
      <c r="AA10" s="0" t="s">
        <v>17</v>
      </c>
      <c r="AB10" s="0" t="s">
        <v>14</v>
      </c>
      <c r="AC10" s="0" t="n">
        <v>23902</v>
      </c>
    </row>
    <row r="11" customFormat="false" ht="15" hidden="false" customHeight="false" outlineLevel="0" collapsed="false">
      <c r="A11" s="0" t="s">
        <v>73</v>
      </c>
      <c r="B11" s="0" t="n">
        <v>63495</v>
      </c>
      <c r="F11" s="0" t="n">
        <v>29817</v>
      </c>
      <c r="G11" s="0" t="n">
        <v>47</v>
      </c>
      <c r="H11" s="0" t="n">
        <v>37720</v>
      </c>
      <c r="I11" s="0" t="n">
        <v>21094</v>
      </c>
      <c r="J11" s="0" t="n">
        <v>33.2</v>
      </c>
      <c r="K11" s="0" t="n">
        <v>12.95</v>
      </c>
      <c r="L11" s="0" t="n">
        <v>25345</v>
      </c>
      <c r="M11" s="0" t="n">
        <v>7384</v>
      </c>
      <c r="N11" s="0" t="n">
        <v>17961</v>
      </c>
      <c r="O11" s="0" t="n">
        <v>51432</v>
      </c>
      <c r="P11" s="0" t="n">
        <v>102896</v>
      </c>
      <c r="Q11" s="0" t="n">
        <v>46306</v>
      </c>
      <c r="R11" s="0" t="n">
        <v>13531</v>
      </c>
      <c r="S11" s="0" t="n">
        <v>12807</v>
      </c>
      <c r="T11" s="0" t="n">
        <v>1628.9</v>
      </c>
      <c r="U11" s="0" t="n">
        <v>126</v>
      </c>
      <c r="AA11" s="0" t="s">
        <v>17</v>
      </c>
      <c r="AB11" s="0" t="s">
        <v>14</v>
      </c>
      <c r="AC11" s="0" t="n">
        <v>37720</v>
      </c>
    </row>
    <row r="12" customFormat="false" ht="15" hidden="false" customHeight="false" outlineLevel="0" collapsed="false">
      <c r="A12" s="0" t="s">
        <v>74</v>
      </c>
      <c r="B12" s="0" t="n">
        <v>55554</v>
      </c>
      <c r="F12" s="0" t="n">
        <v>19933</v>
      </c>
      <c r="G12" s="0" t="n">
        <v>35.9</v>
      </c>
      <c r="H12" s="0" t="n">
        <v>26272</v>
      </c>
      <c r="I12" s="0" t="n">
        <v>12420</v>
      </c>
      <c r="J12" s="0" t="n">
        <v>22.4</v>
      </c>
      <c r="K12" s="0" t="n">
        <v>7.621</v>
      </c>
      <c r="L12" s="0" t="n">
        <v>16134</v>
      </c>
      <c r="M12" s="0" t="n">
        <v>6750</v>
      </c>
      <c r="N12" s="0" t="n">
        <v>9384</v>
      </c>
      <c r="O12" s="0" t="n">
        <v>50175</v>
      </c>
      <c r="P12" s="0" t="n">
        <v>96744</v>
      </c>
      <c r="Q12" s="0" t="n">
        <v>44470</v>
      </c>
      <c r="R12" s="0" t="n">
        <v>12271</v>
      </c>
      <c r="S12" s="0" t="n">
        <v>6775</v>
      </c>
      <c r="T12" s="0" t="n">
        <v>1629.6</v>
      </c>
      <c r="U12" s="0" t="n">
        <v>122</v>
      </c>
      <c r="AA12" s="0" t="s">
        <v>17</v>
      </c>
      <c r="AB12" s="0" t="s">
        <v>14</v>
      </c>
      <c r="AC12" s="0" t="n">
        <v>26272</v>
      </c>
    </row>
    <row r="13" customFormat="false" ht="15" hidden="false" customHeight="false" outlineLevel="0" collapsed="false">
      <c r="A13" s="0" t="s">
        <v>75</v>
      </c>
      <c r="B13" s="0" t="n">
        <v>54041</v>
      </c>
      <c r="F13" s="0" t="n">
        <v>14823</v>
      </c>
      <c r="G13" s="0" t="n">
        <v>27.4</v>
      </c>
      <c r="H13" s="0" t="n">
        <v>23892</v>
      </c>
      <c r="I13" s="0" t="n">
        <v>10058</v>
      </c>
      <c r="J13" s="0" t="n">
        <v>18.6</v>
      </c>
      <c r="K13" s="0" t="n">
        <v>6.165</v>
      </c>
      <c r="L13" s="0" t="n">
        <v>15160</v>
      </c>
      <c r="M13" s="0" t="n">
        <v>7086</v>
      </c>
      <c r="N13" s="0" t="n">
        <v>8074</v>
      </c>
      <c r="O13" s="0" t="n">
        <v>54586</v>
      </c>
      <c r="P13" s="0" t="n">
        <v>103549</v>
      </c>
      <c r="Q13" s="0" t="n">
        <v>47208</v>
      </c>
      <c r="R13" s="0" t="n">
        <v>14352</v>
      </c>
      <c r="S13" s="0" t="n">
        <v>9673</v>
      </c>
      <c r="T13" s="0" t="n">
        <v>1631.5</v>
      </c>
      <c r="U13" s="0" t="n">
        <v>144</v>
      </c>
      <c r="AA13" s="0" t="s">
        <v>17</v>
      </c>
      <c r="AB13" s="0" t="s">
        <v>14</v>
      </c>
      <c r="AC13" s="0" t="n">
        <v>23892</v>
      </c>
    </row>
    <row r="14" customFormat="false" ht="15" hidden="false" customHeight="false" outlineLevel="0" collapsed="false">
      <c r="A14" s="0" t="s">
        <v>76</v>
      </c>
      <c r="B14" s="0" t="n">
        <v>53658</v>
      </c>
      <c r="F14" s="0" t="n">
        <v>15653</v>
      </c>
      <c r="G14" s="0" t="n">
        <v>29.2</v>
      </c>
      <c r="H14" s="0" t="n">
        <v>23314</v>
      </c>
      <c r="I14" s="0" t="n">
        <v>11552</v>
      </c>
      <c r="J14" s="0" t="n">
        <v>21.5</v>
      </c>
      <c r="K14" s="0" t="n">
        <v>7.072</v>
      </c>
      <c r="L14" s="0" t="n">
        <v>15599</v>
      </c>
      <c r="M14" s="0" t="n">
        <v>9621</v>
      </c>
      <c r="N14" s="0" t="n">
        <v>5978</v>
      </c>
      <c r="O14" s="0" t="n">
        <v>55246</v>
      </c>
      <c r="P14" s="0" t="n">
        <v>102786</v>
      </c>
      <c r="Q14" s="0" t="n">
        <v>44821</v>
      </c>
      <c r="R14" s="0" t="n">
        <v>13855</v>
      </c>
      <c r="S14" s="0" t="n">
        <v>8495</v>
      </c>
      <c r="T14" s="0" t="n">
        <v>1633.4</v>
      </c>
      <c r="U14" s="0" t="n">
        <v>172</v>
      </c>
      <c r="AA14" s="0" t="s">
        <v>17</v>
      </c>
      <c r="AB14" s="0" t="s">
        <v>14</v>
      </c>
      <c r="AC14" s="0" t="n">
        <v>23314</v>
      </c>
    </row>
    <row r="15" customFormat="false" ht="15" hidden="false" customHeight="false" outlineLevel="0" collapsed="false">
      <c r="A15" s="0" t="s">
        <v>77</v>
      </c>
      <c r="B15" s="0" t="n">
        <v>57638</v>
      </c>
      <c r="F15" s="0" t="n">
        <v>14936</v>
      </c>
      <c r="G15" s="0" t="n">
        <v>25.9</v>
      </c>
      <c r="H15" s="0" t="n">
        <v>25363</v>
      </c>
      <c r="I15" s="0" t="n">
        <v>9966</v>
      </c>
      <c r="J15" s="0" t="n">
        <v>17.3</v>
      </c>
      <c r="K15" s="0" t="n">
        <v>6.084</v>
      </c>
      <c r="L15" s="0" t="n">
        <v>16832</v>
      </c>
      <c r="M15" s="0" t="n">
        <v>12335</v>
      </c>
      <c r="N15" s="0" t="n">
        <v>4497</v>
      </c>
      <c r="O15" s="0" t="n">
        <v>62203</v>
      </c>
      <c r="P15" s="0" t="n">
        <v>128102</v>
      </c>
      <c r="Q15" s="0" t="n">
        <v>61078</v>
      </c>
      <c r="R15" s="0" t="n">
        <v>23517</v>
      </c>
      <c r="S15" s="0" t="n">
        <v>8872</v>
      </c>
      <c r="T15" s="0" t="n">
        <v>1638</v>
      </c>
      <c r="U15" s="0" t="n">
        <v>237</v>
      </c>
      <c r="AA15" s="0" t="s">
        <v>17</v>
      </c>
      <c r="AB15" s="0" t="s">
        <v>14</v>
      </c>
      <c r="AC15" s="0" t="n">
        <v>25363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94.21</v>
      </c>
    </row>
    <row r="3" customFormat="false" ht="15" hidden="false" customHeight="false" outlineLevel="0" collapsed="false">
      <c r="A3" s="0" t="s">
        <v>81</v>
      </c>
      <c r="B3" s="3" t="n">
        <v>1641</v>
      </c>
    </row>
    <row r="4" customFormat="false" ht="15" hidden="false" customHeight="false" outlineLevel="0" collapsed="false">
      <c r="A4" s="0" t="s">
        <v>82</v>
      </c>
      <c r="B4" s="3" t="n">
        <v>12623</v>
      </c>
    </row>
    <row r="5" customFormat="false" ht="15" hidden="false" customHeight="false" outlineLevel="0" collapsed="false">
      <c r="A5" s="0" t="s">
        <v>83</v>
      </c>
      <c r="B5" s="3" t="n">
        <v>0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61793</v>
      </c>
    </row>
    <row r="8" customFormat="false" ht="15" hidden="false" customHeight="false" outlineLevel="0" collapsed="false">
      <c r="A8" s="0" t="s">
        <v>86</v>
      </c>
      <c r="B8" s="3" t="s">
        <v>87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-15</v>
      </c>
      <c r="D13" s="3" t="n">
        <v>-3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103</v>
      </c>
      <c r="C14" s="3" t="n">
        <v>37</v>
      </c>
      <c r="D14" s="3" t="n">
        <v>37.5</v>
      </c>
      <c r="E14" s="3" t="n">
        <v>38</v>
      </c>
      <c r="F14" s="3" t="n">
        <v>38.5</v>
      </c>
      <c r="G14" s="3" t="n">
        <v>38.5</v>
      </c>
      <c r="H14" s="3" t="n">
        <v>38.5</v>
      </c>
      <c r="I14" s="3" t="n">
        <v>38.5</v>
      </c>
      <c r="J14" s="3" t="n">
        <v>38.5</v>
      </c>
      <c r="K14" s="3" t="n">
        <v>38.5</v>
      </c>
      <c r="L14" s="3" t="n">
        <v>38.5</v>
      </c>
    </row>
    <row r="15" customFormat="false" ht="15" hidden="false" customHeight="false" outlineLevel="0" collapsed="false">
      <c r="A15" s="0" t="s">
        <v>104</v>
      </c>
      <c r="C15" s="3" t="n">
        <v>0.4</v>
      </c>
      <c r="D15" s="3" t="n">
        <v>0.4</v>
      </c>
      <c r="E15" s="3" t="n">
        <v>0.4</v>
      </c>
      <c r="F15" s="3" t="n">
        <v>0.4</v>
      </c>
      <c r="G15" s="3" t="n">
        <v>0.4</v>
      </c>
      <c r="H15" s="3" t="n">
        <v>0.4</v>
      </c>
      <c r="I15" s="3" t="n">
        <v>0.4</v>
      </c>
      <c r="J15" s="3" t="n">
        <v>0.4</v>
      </c>
      <c r="K15" s="3" t="n">
        <v>0.4</v>
      </c>
      <c r="L15" s="3" t="n">
        <v>0.4</v>
      </c>
    </row>
    <row r="16" customFormat="false" ht="15" hidden="false" customHeight="false" outlineLevel="0" collapsed="false">
      <c r="A16" s="0" t="s">
        <v>105</v>
      </c>
      <c r="C16" s="3" t="n">
        <v>1.3</v>
      </c>
      <c r="D16" s="3" t="n">
        <v>1.3</v>
      </c>
      <c r="E16" s="3" t="n">
        <v>1.3</v>
      </c>
      <c r="F16" s="3" t="n">
        <v>1.3</v>
      </c>
      <c r="G16" s="3" t="n">
        <v>1.3</v>
      </c>
      <c r="H16" s="3" t="n">
        <v>1.3</v>
      </c>
      <c r="I16" s="3" t="n">
        <v>1.3</v>
      </c>
      <c r="J16" s="3" t="n">
        <v>1.3</v>
      </c>
      <c r="K16" s="3" t="n">
        <v>1.3</v>
      </c>
      <c r="L16" s="3" t="n">
        <v>1.3</v>
      </c>
    </row>
    <row r="17" customFormat="false" ht="15" hidden="false" customHeight="false" outlineLevel="0" collapsed="false">
      <c r="A17" s="0" t="s">
        <v>106</v>
      </c>
      <c r="C17" s="3" t="n">
        <v>14</v>
      </c>
      <c r="D17" s="3" t="n">
        <v>14.5</v>
      </c>
      <c r="E17" s="3" t="n">
        <v>14.5</v>
      </c>
      <c r="F17" s="3" t="n">
        <v>14.5</v>
      </c>
      <c r="G17" s="3" t="n">
        <v>14.5</v>
      </c>
      <c r="H17" s="3" t="n">
        <v>14.5</v>
      </c>
      <c r="I17" s="3" t="n">
        <v>14.5</v>
      </c>
      <c r="J17" s="3" t="n">
        <v>14.5</v>
      </c>
      <c r="K17" s="3" t="n">
        <v>14.5</v>
      </c>
      <c r="L17" s="3" t="n">
        <v>14.5</v>
      </c>
    </row>
    <row r="18" customFormat="false" ht="15" hidden="false" customHeight="false" outlineLevel="0" collapsed="false">
      <c r="A18" s="0" t="s">
        <v>107</v>
      </c>
      <c r="C18" s="3" t="n">
        <v>21</v>
      </c>
      <c r="D18" s="3" t="n">
        <v>19.6</v>
      </c>
      <c r="E18" s="3" t="n">
        <v>19</v>
      </c>
      <c r="F18" s="3" t="n">
        <v>18.5</v>
      </c>
      <c r="G18" s="3" t="n">
        <v>18</v>
      </c>
      <c r="H18" s="3" t="n">
        <v>17.5</v>
      </c>
      <c r="I18" s="3" t="n">
        <v>17</v>
      </c>
      <c r="J18" s="3" t="n">
        <v>17</v>
      </c>
      <c r="K18" s="3" t="n">
        <v>16.5</v>
      </c>
      <c r="L18" s="3" t="n">
        <v>16.5</v>
      </c>
    </row>
    <row r="19" customFormat="false" ht="15" hidden="false" customHeight="false" outlineLevel="0" collapsed="false">
      <c r="A19" s="0" t="s">
        <v>108</v>
      </c>
      <c r="C19" s="3" t="n">
        <v>33.5</v>
      </c>
      <c r="D19" s="3" t="n">
        <v>34.5</v>
      </c>
      <c r="E19" s="3" t="n">
        <v>35.5</v>
      </c>
      <c r="F19" s="3" t="n">
        <v>36</v>
      </c>
      <c r="G19" s="3" t="n">
        <v>36</v>
      </c>
      <c r="H19" s="3" t="n">
        <v>36</v>
      </c>
      <c r="I19" s="3" t="n">
        <v>36</v>
      </c>
      <c r="J19" s="3" t="n">
        <v>36</v>
      </c>
      <c r="K19" s="3" t="n">
        <v>36</v>
      </c>
      <c r="L19" s="3" t="n">
        <v>36</v>
      </c>
    </row>
    <row r="20" customFormat="false" ht="15" hidden="false" customHeight="false" outlineLevel="0" collapsed="false">
      <c r="A20" s="0" t="s">
        <v>109</v>
      </c>
      <c r="B20" s="3" t="n">
        <v>8.5</v>
      </c>
    </row>
    <row r="21" customFormat="false" ht="15" hidden="false" customHeight="false" outlineLevel="0" collapsed="false">
      <c r="A21" s="0" t="s">
        <v>110</v>
      </c>
      <c r="B21" s="3" t="n">
        <v>1.5</v>
      </c>
    </row>
    <row r="22" customFormat="false" ht="15" hidden="false" customHeight="false" outlineLevel="0" collapsed="false">
      <c r="A22" s="0" t="s">
        <v>111</v>
      </c>
      <c r="B22" s="3" t="n">
        <v>12</v>
      </c>
    </row>
    <row r="23" customFormat="false" ht="15" hidden="false" customHeight="false" outlineLevel="0" collapsed="false">
      <c r="A23" s="0" t="s">
        <v>112</v>
      </c>
      <c r="B23" s="3" t="n">
        <v>-10</v>
      </c>
    </row>
    <row r="24" customFormat="false" ht="15" hidden="false" customHeight="false" outlineLevel="0" collapsed="false">
      <c r="A24" s="0" t="s">
        <v>113</v>
      </c>
      <c r="B24" s="3" t="n">
        <v>0.25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-5</v>
      </c>
      <c r="D27" s="3" t="n">
        <v>4</v>
      </c>
      <c r="E27" s="3" t="n">
        <v>4</v>
      </c>
      <c r="F27" s="3" t="n">
        <v>4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103</v>
      </c>
      <c r="C28" s="3" t="n">
        <v>42.7</v>
      </c>
      <c r="D28" s="3" t="n">
        <v>43.2</v>
      </c>
      <c r="E28" s="3" t="n">
        <v>43.7</v>
      </c>
      <c r="F28" s="3" t="n">
        <v>43.7</v>
      </c>
      <c r="G28" s="3" t="n">
        <v>43.7</v>
      </c>
      <c r="H28" s="3" t="n">
        <v>43.7</v>
      </c>
      <c r="I28" s="3" t="n">
        <v>43.7</v>
      </c>
      <c r="J28" s="3" t="n">
        <v>43.7</v>
      </c>
      <c r="K28" s="3" t="n">
        <v>43.7</v>
      </c>
      <c r="L28" s="3" t="n">
        <v>43.7</v>
      </c>
    </row>
    <row r="29" customFormat="false" ht="15" hidden="false" customHeight="false" outlineLevel="0" collapsed="false">
      <c r="A29" s="0" t="s">
        <v>104</v>
      </c>
      <c r="C29" s="3" t="n">
        <v>0.4</v>
      </c>
      <c r="D29" s="3" t="n">
        <v>0.4</v>
      </c>
      <c r="E29" s="3" t="n">
        <v>0.4</v>
      </c>
      <c r="F29" s="3" t="n">
        <v>0.4</v>
      </c>
      <c r="G29" s="3" t="n">
        <v>0.4</v>
      </c>
      <c r="H29" s="3" t="n">
        <v>0.4</v>
      </c>
      <c r="I29" s="3" t="n">
        <v>0.4</v>
      </c>
      <c r="J29" s="3" t="n">
        <v>0.4</v>
      </c>
      <c r="K29" s="3" t="n">
        <v>0.4</v>
      </c>
      <c r="L29" s="3" t="n">
        <v>0.4</v>
      </c>
    </row>
    <row r="30" customFormat="false" ht="15" hidden="false" customHeight="false" outlineLevel="0" collapsed="false">
      <c r="A30" s="0" t="s">
        <v>105</v>
      </c>
      <c r="C30" s="3" t="n">
        <v>1.1</v>
      </c>
      <c r="D30" s="3" t="n">
        <v>1.1</v>
      </c>
      <c r="E30" s="3" t="n">
        <v>1.1</v>
      </c>
      <c r="F30" s="3" t="n">
        <v>1.1</v>
      </c>
      <c r="G30" s="3" t="n">
        <v>1.1</v>
      </c>
      <c r="H30" s="3" t="n">
        <v>1.1</v>
      </c>
      <c r="I30" s="3" t="n">
        <v>1.1</v>
      </c>
      <c r="J30" s="3" t="n">
        <v>1.1</v>
      </c>
      <c r="K30" s="3" t="n">
        <v>1.1</v>
      </c>
      <c r="L30" s="3" t="n">
        <v>1.1</v>
      </c>
    </row>
    <row r="31" customFormat="false" ht="15" hidden="false" customHeight="false" outlineLevel="0" collapsed="false">
      <c r="A31" s="0" t="s">
        <v>106</v>
      </c>
      <c r="C31" s="3" t="n">
        <v>12.6</v>
      </c>
      <c r="D31" s="3" t="n">
        <v>12.8</v>
      </c>
      <c r="E31" s="3" t="n">
        <v>13</v>
      </c>
      <c r="F31" s="3" t="n">
        <v>13</v>
      </c>
      <c r="G31" s="3" t="n">
        <v>13</v>
      </c>
      <c r="H31" s="3" t="n">
        <v>13</v>
      </c>
      <c r="I31" s="3" t="n">
        <v>13</v>
      </c>
      <c r="J31" s="3" t="n">
        <v>13</v>
      </c>
      <c r="K31" s="3" t="n">
        <v>13</v>
      </c>
      <c r="L31" s="3" t="n">
        <v>13</v>
      </c>
    </row>
    <row r="32" customFormat="false" ht="15" hidden="false" customHeight="false" outlineLevel="0" collapsed="false">
      <c r="A32" s="0" t="s">
        <v>107</v>
      </c>
      <c r="C32" s="3" t="n">
        <v>19.7</v>
      </c>
      <c r="D32" s="3" t="n">
        <v>18.2</v>
      </c>
      <c r="E32" s="3" t="n">
        <v>17.9</v>
      </c>
      <c r="F32" s="3" t="n">
        <v>17.5</v>
      </c>
      <c r="G32" s="3" t="n">
        <v>17.1</v>
      </c>
      <c r="H32" s="3" t="n">
        <v>16.8</v>
      </c>
      <c r="I32" s="3" t="n">
        <v>16.5</v>
      </c>
      <c r="J32" s="3" t="n">
        <v>16.2</v>
      </c>
      <c r="K32" s="3" t="n">
        <v>16</v>
      </c>
      <c r="L32" s="3" t="n">
        <v>16</v>
      </c>
    </row>
    <row r="33" customFormat="false" ht="15" hidden="false" customHeight="false" outlineLevel="0" collapsed="false">
      <c r="A33" s="0" t="s">
        <v>108</v>
      </c>
      <c r="C33" s="3" t="n">
        <v>34.5</v>
      </c>
      <c r="D33" s="3" t="n">
        <v>35.5</v>
      </c>
      <c r="E33" s="3" t="n">
        <v>36.5</v>
      </c>
      <c r="F33" s="3" t="n">
        <v>37.5</v>
      </c>
      <c r="G33" s="3" t="n">
        <v>38</v>
      </c>
      <c r="H33" s="3" t="n">
        <v>38</v>
      </c>
      <c r="I33" s="3" t="n">
        <v>38</v>
      </c>
      <c r="J33" s="3" t="n">
        <v>38</v>
      </c>
      <c r="K33" s="3" t="n">
        <v>38</v>
      </c>
      <c r="L33" s="3" t="n">
        <v>38</v>
      </c>
    </row>
    <row r="34" customFormat="false" ht="15" hidden="false" customHeight="false" outlineLevel="0" collapsed="false">
      <c r="A34" s="0" t="s">
        <v>109</v>
      </c>
      <c r="B34" s="3" t="n">
        <v>8.5</v>
      </c>
    </row>
    <row r="35" customFormat="false" ht="15" hidden="false" customHeight="false" outlineLevel="0" collapsed="false">
      <c r="A35" s="0" t="s">
        <v>110</v>
      </c>
      <c r="B35" s="3" t="n">
        <v>2</v>
      </c>
    </row>
    <row r="36" customFormat="false" ht="15" hidden="false" customHeight="false" outlineLevel="0" collapsed="false">
      <c r="A36" s="0" t="s">
        <v>111</v>
      </c>
      <c r="B36" s="3" t="n">
        <v>15</v>
      </c>
    </row>
    <row r="37" customFormat="false" ht="15" hidden="false" customHeight="false" outlineLevel="0" collapsed="false">
      <c r="A37" s="0" t="s">
        <v>112</v>
      </c>
      <c r="B37" s="3" t="n">
        <v>-10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0</v>
      </c>
      <c r="D41" s="3" t="n">
        <v>5</v>
      </c>
      <c r="E41" s="3" t="n">
        <v>6</v>
      </c>
      <c r="F41" s="3" t="n">
        <v>6</v>
      </c>
      <c r="G41" s="3" t="n">
        <v>5</v>
      </c>
      <c r="H41" s="3" t="n">
        <v>5</v>
      </c>
      <c r="I41" s="3" t="n">
        <v>4</v>
      </c>
      <c r="J41" s="3" t="n">
        <v>4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103</v>
      </c>
      <c r="C42" s="3" t="n">
        <v>48</v>
      </c>
      <c r="D42" s="3" t="n">
        <v>48.5</v>
      </c>
      <c r="E42" s="3" t="n">
        <v>49</v>
      </c>
      <c r="F42" s="3" t="n">
        <v>49</v>
      </c>
      <c r="G42" s="3" t="n">
        <v>49</v>
      </c>
      <c r="H42" s="3" t="n">
        <v>49</v>
      </c>
      <c r="I42" s="3" t="n">
        <v>49</v>
      </c>
      <c r="J42" s="3" t="n">
        <v>49</v>
      </c>
      <c r="K42" s="3" t="n">
        <v>49</v>
      </c>
      <c r="L42" s="3" t="n">
        <v>49</v>
      </c>
    </row>
    <row r="43" customFormat="false" ht="15" hidden="false" customHeight="false" outlineLevel="0" collapsed="false">
      <c r="A43" s="0" t="s">
        <v>104</v>
      </c>
      <c r="C43" s="3" t="n">
        <v>0.4</v>
      </c>
      <c r="D43" s="3" t="n">
        <v>0.4</v>
      </c>
      <c r="E43" s="3" t="n">
        <v>0.4</v>
      </c>
      <c r="F43" s="3" t="n">
        <v>0.4</v>
      </c>
      <c r="G43" s="3" t="n">
        <v>0.4</v>
      </c>
      <c r="H43" s="3" t="n">
        <v>0.4</v>
      </c>
      <c r="I43" s="3" t="n">
        <v>0.4</v>
      </c>
      <c r="J43" s="3" t="n">
        <v>0.4</v>
      </c>
      <c r="K43" s="3" t="n">
        <v>0.4</v>
      </c>
      <c r="L43" s="3" t="n">
        <v>0.4</v>
      </c>
    </row>
    <row r="44" customFormat="false" ht="15" hidden="false" customHeight="false" outlineLevel="0" collapsed="false">
      <c r="A44" s="0" t="s">
        <v>105</v>
      </c>
      <c r="C44" s="3" t="n">
        <v>1</v>
      </c>
      <c r="D44" s="3" t="n">
        <v>1</v>
      </c>
      <c r="E44" s="3" t="n">
        <v>1</v>
      </c>
      <c r="F44" s="3" t="n">
        <v>1</v>
      </c>
      <c r="G44" s="3" t="n">
        <v>1</v>
      </c>
      <c r="H44" s="3" t="n">
        <v>1</v>
      </c>
      <c r="I44" s="3" t="n">
        <v>1</v>
      </c>
      <c r="J44" s="3" t="n">
        <v>1</v>
      </c>
      <c r="K44" s="3" t="n">
        <v>1</v>
      </c>
      <c r="L44" s="3" t="n">
        <v>1</v>
      </c>
    </row>
    <row r="45" customFormat="false" ht="15" hidden="false" customHeight="false" outlineLevel="0" collapsed="false">
      <c r="A45" s="0" t="s">
        <v>106</v>
      </c>
      <c r="C45" s="3" t="n">
        <v>12</v>
      </c>
      <c r="D45" s="3" t="n">
        <v>12.2</v>
      </c>
      <c r="E45" s="3" t="n">
        <v>12.4</v>
      </c>
      <c r="F45" s="3" t="n">
        <v>12.4</v>
      </c>
      <c r="G45" s="3" t="n">
        <v>12.4</v>
      </c>
      <c r="H45" s="3" t="n">
        <v>12.4</v>
      </c>
      <c r="I45" s="3" t="n">
        <v>12.4</v>
      </c>
      <c r="J45" s="3" t="n">
        <v>12.4</v>
      </c>
      <c r="K45" s="3" t="n">
        <v>12.4</v>
      </c>
      <c r="L45" s="3" t="n">
        <v>12.4</v>
      </c>
    </row>
    <row r="46" customFormat="false" ht="15" hidden="false" customHeight="false" outlineLevel="0" collapsed="false">
      <c r="A46" s="0" t="s">
        <v>107</v>
      </c>
      <c r="C46" s="3" t="n">
        <v>18.5</v>
      </c>
      <c r="D46" s="3" t="n">
        <v>17</v>
      </c>
      <c r="E46" s="3" t="n">
        <v>16.5</v>
      </c>
      <c r="F46" s="3" t="n">
        <v>16</v>
      </c>
      <c r="G46" s="3" t="n">
        <v>15.5</v>
      </c>
      <c r="H46" s="3" t="n">
        <v>15.3</v>
      </c>
      <c r="I46" s="3" t="n">
        <v>15</v>
      </c>
      <c r="J46" s="3" t="n">
        <v>15</v>
      </c>
      <c r="K46" s="3" t="n">
        <v>15</v>
      </c>
      <c r="L46" s="3" t="n">
        <v>15</v>
      </c>
    </row>
    <row r="47" customFormat="false" ht="15" hidden="false" customHeight="false" outlineLevel="0" collapsed="false">
      <c r="A47" s="0" t="s">
        <v>108</v>
      </c>
      <c r="C47" s="3" t="n">
        <v>35</v>
      </c>
      <c r="D47" s="3" t="n">
        <v>36</v>
      </c>
      <c r="E47" s="3" t="n">
        <v>37</v>
      </c>
      <c r="F47" s="3" t="n">
        <v>38</v>
      </c>
      <c r="G47" s="3" t="n">
        <v>38.5</v>
      </c>
      <c r="H47" s="3" t="n">
        <v>38.5</v>
      </c>
      <c r="I47" s="3" t="n">
        <v>38.5</v>
      </c>
      <c r="J47" s="3" t="n">
        <v>38.5</v>
      </c>
      <c r="K47" s="3" t="n">
        <v>38.5</v>
      </c>
      <c r="L47" s="3" t="n">
        <v>38.5</v>
      </c>
    </row>
    <row r="48" customFormat="false" ht="15" hidden="false" customHeight="false" outlineLevel="0" collapsed="false">
      <c r="A48" s="0" t="s">
        <v>109</v>
      </c>
      <c r="B48" s="3" t="n">
        <v>8.5</v>
      </c>
    </row>
    <row r="49" customFormat="false" ht="15" hidden="false" customHeight="false" outlineLevel="0" collapsed="false">
      <c r="A49" s="0" t="s">
        <v>110</v>
      </c>
      <c r="B49" s="3" t="n">
        <v>2.5</v>
      </c>
    </row>
    <row r="50" customFormat="false" ht="15" hidden="false" customHeight="false" outlineLevel="0" collapsed="false">
      <c r="A50" s="0" t="s">
        <v>111</v>
      </c>
      <c r="B50" s="3" t="n">
        <v>16</v>
      </c>
    </row>
    <row r="51" customFormat="false" ht="15" hidden="false" customHeight="false" outlineLevel="0" collapsed="false">
      <c r="A51" s="0" t="s">
        <v>112</v>
      </c>
      <c r="B51" s="3" t="n">
        <v>-10</v>
      </c>
    </row>
    <row r="52" customFormat="false" ht="15" hidden="false" customHeight="false" outlineLevel="0" collapsed="false">
      <c r="A52" s="0" t="s">
        <v>113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-15</v>
      </c>
      <c r="D5" s="4" t="n">
        <f aca="false">Assumptions!D13</f>
        <v>-3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61793</v>
      </c>
      <c r="C6" s="0" t="n">
        <f aca="false">B6*(1+C5/100)</f>
        <v>52524.05</v>
      </c>
      <c r="D6" s="0" t="n">
        <f aca="false">C6*(1+D5/100)</f>
        <v>50948.3285</v>
      </c>
      <c r="E6" s="0" t="n">
        <f aca="false">D6*(1+E5/100)</f>
        <v>51967.29507</v>
      </c>
      <c r="F6" s="0" t="n">
        <f aca="false">E6*(1+F5/100)</f>
        <v>53526.3139221</v>
      </c>
      <c r="G6" s="0" t="n">
        <f aca="false">F6*(1+G5/100)</f>
        <v>55132.103339763</v>
      </c>
      <c r="H6" s="0" t="n">
        <f aca="false">G6*(1+H5/100)</f>
        <v>56786.0664399559</v>
      </c>
      <c r="I6" s="0" t="n">
        <f aca="false">H6*(1+I5/100)</f>
        <v>58205.7181009548</v>
      </c>
      <c r="J6" s="0" t="n">
        <f aca="false">I6*(1+J5/100)</f>
        <v>59660.8610534787</v>
      </c>
      <c r="K6" s="0" t="n">
        <f aca="false">J6*(1+K5/100)</f>
        <v>60854.0782745482</v>
      </c>
      <c r="L6" s="0" t="n">
        <f aca="false">K6*(1+L5/100)</f>
        <v>62071.1598400392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37</v>
      </c>
      <c r="D7" s="4" t="n">
        <f aca="false">Assumptions!D14</f>
        <v>37.5</v>
      </c>
      <c r="E7" s="4" t="n">
        <f aca="false">Assumptions!E14</f>
        <v>38</v>
      </c>
      <c r="F7" s="4" t="n">
        <f aca="false">Assumptions!F14</f>
        <v>38.5</v>
      </c>
      <c r="G7" s="4" t="n">
        <f aca="false">Assumptions!G14</f>
        <v>38.5</v>
      </c>
      <c r="H7" s="4" t="n">
        <f aca="false">Assumptions!H14</f>
        <v>38.5</v>
      </c>
      <c r="I7" s="4" t="n">
        <f aca="false">Assumptions!I14</f>
        <v>38.5</v>
      </c>
      <c r="J7" s="4" t="n">
        <f aca="false">Assumptions!J14</f>
        <v>38.5</v>
      </c>
      <c r="K7" s="4" t="n">
        <f aca="false">Assumptions!K14</f>
        <v>38.5</v>
      </c>
      <c r="L7" s="4" t="n">
        <f aca="false">Assumptions!L14</f>
        <v>38.5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19433.8985</v>
      </c>
      <c r="D8" s="0" t="n">
        <f aca="false">D6*D7/100</f>
        <v>19105.6231875</v>
      </c>
      <c r="E8" s="0" t="n">
        <f aca="false">E6*E7/100</f>
        <v>19747.5721266</v>
      </c>
      <c r="F8" s="0" t="n">
        <f aca="false">F6*F7/100</f>
        <v>20607.6308600085</v>
      </c>
      <c r="G8" s="0" t="n">
        <f aca="false">G6*G7/100</f>
        <v>21225.8597858088</v>
      </c>
      <c r="H8" s="0" t="n">
        <f aca="false">H6*H7/100</f>
        <v>21862.635579383</v>
      </c>
      <c r="I8" s="0" t="n">
        <f aca="false">I6*I7/100</f>
        <v>22409.2014688676</v>
      </c>
      <c r="J8" s="0" t="n">
        <f aca="false">J6*J7/100</f>
        <v>22969.4315055893</v>
      </c>
      <c r="K8" s="0" t="n">
        <f aca="false">K6*K7/100</f>
        <v>23428.8201357011</v>
      </c>
      <c r="L8" s="0" t="n">
        <f aca="false">L6*L7/100</f>
        <v>23897.3965384151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0.4</v>
      </c>
      <c r="D9" s="4" t="n">
        <f aca="false">Assumptions!D15</f>
        <v>0.4</v>
      </c>
      <c r="E9" s="4" t="n">
        <f aca="false">Assumptions!E15</f>
        <v>0.4</v>
      </c>
      <c r="F9" s="4" t="n">
        <f aca="false">Assumptions!F15</f>
        <v>0.4</v>
      </c>
      <c r="G9" s="4" t="n">
        <f aca="false">Assumptions!G15</f>
        <v>0.4</v>
      </c>
      <c r="H9" s="4" t="n">
        <f aca="false">Assumptions!H15</f>
        <v>0.4</v>
      </c>
      <c r="I9" s="4" t="n">
        <f aca="false">Assumptions!I15</f>
        <v>0.4</v>
      </c>
      <c r="J9" s="4" t="n">
        <f aca="false">Assumptions!J15</f>
        <v>0.4</v>
      </c>
      <c r="K9" s="4" t="n">
        <f aca="false">Assumptions!K15</f>
        <v>0.4</v>
      </c>
      <c r="L9" s="4" t="n">
        <f aca="false">Assumptions!L15</f>
        <v>0.4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-210.0962</v>
      </c>
      <c r="D10" s="0" t="n">
        <f aca="false">-D6*D9/100</f>
        <v>-203.793314</v>
      </c>
      <c r="E10" s="0" t="n">
        <f aca="false">-E6*E9/100</f>
        <v>-207.86918028</v>
      </c>
      <c r="F10" s="0" t="n">
        <f aca="false">-F6*F9/100</f>
        <v>-214.1052556884</v>
      </c>
      <c r="G10" s="0" t="n">
        <f aca="false">-G6*G9/100</f>
        <v>-220.528413359052</v>
      </c>
      <c r="H10" s="0" t="n">
        <f aca="false">-H6*H9/100</f>
        <v>-227.144265759824</v>
      </c>
      <c r="I10" s="0" t="n">
        <f aca="false">-I6*I9/100</f>
        <v>-232.822872403819</v>
      </c>
      <c r="J10" s="0" t="n">
        <f aca="false">-J6*J9/100</f>
        <v>-238.643444213915</v>
      </c>
      <c r="K10" s="0" t="n">
        <f aca="false">-K6*K9/100</f>
        <v>-243.416313098193</v>
      </c>
      <c r="L10" s="0" t="n">
        <f aca="false">-L6*L9/100</f>
        <v>-248.284639360157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18540.98965</v>
      </c>
      <c r="D11" s="0" t="n">
        <f aca="false">D8+D10+D24</f>
        <v>18239.501603</v>
      </c>
      <c r="E11" s="0" t="n">
        <f aca="false">E8+E10+E24</f>
        <v>18864.12811041</v>
      </c>
      <c r="F11" s="0" t="n">
        <f aca="false">F8+F10+F24</f>
        <v>19697.6835233328</v>
      </c>
      <c r="G11" s="0" t="n">
        <f aca="false">G8+G10+G24</f>
        <v>20288.6140290328</v>
      </c>
      <c r="H11" s="0" t="n">
        <f aca="false">H8+H10+H24</f>
        <v>20897.2724499038</v>
      </c>
      <c r="I11" s="0" t="n">
        <f aca="false">I8+I10+I24</f>
        <v>21419.7042611514</v>
      </c>
      <c r="J11" s="0" t="n">
        <f aca="false">J8+J10+J24</f>
        <v>21955.1968676801</v>
      </c>
      <c r="K11" s="0" t="n">
        <f aca="false">K8+K10+K24</f>
        <v>22394.3008050337</v>
      </c>
      <c r="L11" s="0" t="n">
        <f aca="false">L8+L10+L24</f>
        <v>22842.1868211344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-7353.367</v>
      </c>
      <c r="D12" s="4" t="n">
        <f aca="false">-D6*Assumptions!D17/100</f>
        <v>-7387.5076325</v>
      </c>
      <c r="E12" s="4" t="n">
        <f aca="false">-E6*Assumptions!E17/100</f>
        <v>-7535.25778515</v>
      </c>
      <c r="F12" s="4" t="n">
        <f aca="false">-F6*Assumptions!F17/100</f>
        <v>-7761.3155187045</v>
      </c>
      <c r="G12" s="4" t="n">
        <f aca="false">-G6*Assumptions!G17/100</f>
        <v>-7994.15498426564</v>
      </c>
      <c r="H12" s="4" t="n">
        <f aca="false">-H6*Assumptions!H17/100</f>
        <v>-8233.97963379361</v>
      </c>
      <c r="I12" s="4" t="n">
        <f aca="false">-I6*Assumptions!I17/100</f>
        <v>-8439.82912463844</v>
      </c>
      <c r="J12" s="4" t="n">
        <f aca="false">-J6*Assumptions!J17/100</f>
        <v>-8650.8248527544</v>
      </c>
      <c r="K12" s="4" t="n">
        <f aca="false">-K6*Assumptions!K17/100</f>
        <v>-8823.84134980949</v>
      </c>
      <c r="L12" s="4" t="n">
        <f aca="false">-L6*Assumptions!L17/100</f>
        <v>-9000.31817680568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11187.62265</v>
      </c>
      <c r="D13" s="0" t="n">
        <f aca="false">D11+D12</f>
        <v>10851.9939705</v>
      </c>
      <c r="E13" s="0" t="n">
        <f aca="false">E11+E12</f>
        <v>11328.87032526</v>
      </c>
      <c r="F13" s="0" t="n">
        <f aca="false">F11+F12</f>
        <v>11936.3680046283</v>
      </c>
      <c r="G13" s="0" t="n">
        <f aca="false">G11+G12</f>
        <v>12294.4590447672</v>
      </c>
      <c r="H13" s="0" t="n">
        <f aca="false">H11+H12</f>
        <v>12663.2928161102</v>
      </c>
      <c r="I13" s="0" t="n">
        <f aca="false">I11+I12</f>
        <v>12979.8751365129</v>
      </c>
      <c r="J13" s="0" t="n">
        <f aca="false">J11+J12</f>
        <v>13304.3720149257</v>
      </c>
      <c r="K13" s="0" t="n">
        <f aca="false">K11+K12</f>
        <v>13570.4594552243</v>
      </c>
      <c r="L13" s="0" t="n">
        <f aca="false">L11+L12</f>
        <v>13841.8686443287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33.5</v>
      </c>
      <c r="D14" s="4" t="n">
        <f aca="false">Assumptions!D19</f>
        <v>34.5</v>
      </c>
      <c r="E14" s="4" t="n">
        <f aca="false">Assumptions!E19</f>
        <v>35.5</v>
      </c>
      <c r="F14" s="4" t="n">
        <f aca="false">Assumptions!F19</f>
        <v>36</v>
      </c>
      <c r="G14" s="4" t="n">
        <f aca="false">Assumptions!G19</f>
        <v>36</v>
      </c>
      <c r="H14" s="4" t="n">
        <f aca="false">Assumptions!H19</f>
        <v>36</v>
      </c>
      <c r="I14" s="4" t="n">
        <f aca="false">Assumptions!I19</f>
        <v>36</v>
      </c>
      <c r="J14" s="4" t="n">
        <f aca="false">Assumptions!J19</f>
        <v>36</v>
      </c>
      <c r="K14" s="4" t="n">
        <f aca="false">Assumptions!K19</f>
        <v>36</v>
      </c>
      <c r="L14" s="4" t="n">
        <f aca="false">Assumptions!L19</f>
        <v>36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7439.76906225</v>
      </c>
      <c r="D15" s="0" t="n">
        <f aca="false">D13-MAX(0,D13)*D14/100</f>
        <v>7108.0560506775</v>
      </c>
      <c r="E15" s="0" t="n">
        <f aca="false">E13-MAX(0,E13)*E14/100</f>
        <v>7307.1213597927</v>
      </c>
      <c r="F15" s="0" t="n">
        <f aca="false">F13-MAX(0,F13)*F14/100</f>
        <v>7639.27552296211</v>
      </c>
      <c r="G15" s="0" t="n">
        <f aca="false">G13-MAX(0,G13)*G14/100</f>
        <v>7868.45378865098</v>
      </c>
      <c r="H15" s="0" t="n">
        <f aca="false">H13-MAX(0,H13)*H14/100</f>
        <v>8104.5074023105</v>
      </c>
      <c r="I15" s="0" t="n">
        <f aca="false">I13-MAX(0,I13)*I14/100</f>
        <v>8307.12008736827</v>
      </c>
      <c r="J15" s="0" t="n">
        <f aca="false">J13-MAX(0,J13)*J14/100</f>
        <v>8514.79808955247</v>
      </c>
      <c r="K15" s="0" t="n">
        <f aca="false">K13-MAX(0,K13)*K14/100</f>
        <v>8685.09405134352</v>
      </c>
      <c r="L15" s="0" t="n">
        <f aca="false">L13-MAX(0,L13)*L14/100</f>
        <v>8858.79593237039</v>
      </c>
    </row>
    <row r="16" customFormat="false" ht="15" hidden="false" customHeight="false" outlineLevel="0" collapsed="false">
      <c r="A16" s="0" t="s">
        <v>124</v>
      </c>
      <c r="C16" s="0" t="n">
        <f aca="false">-C12</f>
        <v>7353.367</v>
      </c>
      <c r="D16" s="0" t="n">
        <f aca="false">-D12</f>
        <v>7387.5076325</v>
      </c>
      <c r="E16" s="0" t="n">
        <f aca="false">-E12</f>
        <v>7535.25778515</v>
      </c>
      <c r="F16" s="0" t="n">
        <f aca="false">-F12</f>
        <v>7761.3155187045</v>
      </c>
      <c r="G16" s="0" t="n">
        <f aca="false">-G12</f>
        <v>7994.15498426564</v>
      </c>
      <c r="H16" s="0" t="n">
        <f aca="false">-H12</f>
        <v>8233.97963379361</v>
      </c>
      <c r="I16" s="0" t="n">
        <f aca="false">-I12</f>
        <v>8439.82912463844</v>
      </c>
      <c r="J16" s="0" t="n">
        <f aca="false">-J12</f>
        <v>8650.8248527544</v>
      </c>
      <c r="K16" s="0" t="n">
        <f aca="false">-K12</f>
        <v>8823.84134980949</v>
      </c>
      <c r="L16" s="0" t="n">
        <f aca="false">-L12</f>
        <v>9000.31817680568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-11030.0505</v>
      </c>
      <c r="D17" s="4" t="n">
        <f aca="false">-D6*Assumptions!D18/100</f>
        <v>-9985.872386</v>
      </c>
      <c r="E17" s="4" t="n">
        <f aca="false">-E6*Assumptions!E18/100</f>
        <v>-9873.7860633</v>
      </c>
      <c r="F17" s="4" t="n">
        <f aca="false">-F6*Assumptions!F18/100</f>
        <v>-9902.3680755885</v>
      </c>
      <c r="G17" s="4" t="n">
        <f aca="false">-G6*Assumptions!G18/100</f>
        <v>-9923.77860115734</v>
      </c>
      <c r="H17" s="4" t="n">
        <f aca="false">-H6*Assumptions!H18/100</f>
        <v>-9937.56162699228</v>
      </c>
      <c r="I17" s="4" t="n">
        <f aca="false">-I6*Assumptions!I18/100</f>
        <v>-9894.97207716231</v>
      </c>
      <c r="J17" s="4" t="n">
        <f aca="false">-J6*Assumptions!J18/100</f>
        <v>-10142.3463790914</v>
      </c>
      <c r="K17" s="4" t="n">
        <f aca="false">-K6*Assumptions!K18/100</f>
        <v>-10040.9229153005</v>
      </c>
      <c r="L17" s="4" t="n">
        <f aca="false">-L6*Assumptions!L18/100</f>
        <v>-10241.7413736065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926.895</v>
      </c>
      <c r="D18" s="4" t="n">
        <f aca="false">(D6-C6)*Assumptions!$B$23/100</f>
        <v>157.57215</v>
      </c>
      <c r="E18" s="4" t="n">
        <f aca="false">(E6-D6)*Assumptions!$B$23/100</f>
        <v>-101.896657</v>
      </c>
      <c r="F18" s="4" t="n">
        <f aca="false">(F6-E6)*Assumptions!$B$23/100</f>
        <v>-155.90188521</v>
      </c>
      <c r="G18" s="4" t="n">
        <f aca="false">(G6-F6)*Assumptions!$B$23/100</f>
        <v>-160.5789417663</v>
      </c>
      <c r="H18" s="4" t="n">
        <f aca="false">(H6-G6)*Assumptions!$B$23/100</f>
        <v>-165.396310019289</v>
      </c>
      <c r="I18" s="4" t="n">
        <f aca="false">(I6-H6)*Assumptions!$B$23/100</f>
        <v>-141.965166099889</v>
      </c>
      <c r="J18" s="4" t="n">
        <f aca="false">(J6-I6)*Assumptions!$B$23/100</f>
        <v>-145.514295252386</v>
      </c>
      <c r="K18" s="4" t="n">
        <f aca="false">(K6-J6)*Assumptions!$B$23/100</f>
        <v>-119.321722106957</v>
      </c>
      <c r="L18" s="4" t="n">
        <f aca="false">(L6-K6)*Assumptions!$B$23/100</f>
        <v>-121.708156549097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4689.98056225</v>
      </c>
      <c r="D19" s="0" t="n">
        <f aca="false">D15+D16+D17+D18</f>
        <v>4667.2634471775</v>
      </c>
      <c r="E19" s="0" t="n">
        <f aca="false">E15+E16+E17+E18</f>
        <v>4866.6964246427</v>
      </c>
      <c r="F19" s="0" t="n">
        <f aca="false">F15+F16+F17+F18</f>
        <v>5342.32108086811</v>
      </c>
      <c r="G19" s="0" t="n">
        <f aca="false">G15+G16+G17+G18</f>
        <v>5778.25122999297</v>
      </c>
      <c r="H19" s="0" t="n">
        <f aca="false">H15+H16+H17+H18</f>
        <v>6235.52909909254</v>
      </c>
      <c r="I19" s="0" t="n">
        <f aca="false">I15+I16+I17+I18</f>
        <v>6710.01196874451</v>
      </c>
      <c r="J19" s="0" t="n">
        <f aca="false">J15+J16+J17+J18</f>
        <v>6877.76226796312</v>
      </c>
      <c r="K19" s="0" t="n">
        <f aca="false">K15+K16+K17+K18</f>
        <v>7348.6907637456</v>
      </c>
      <c r="L19" s="0" t="n">
        <f aca="false">L15+L16+L17+L18</f>
        <v>7495.66457902051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4322.56273018433</v>
      </c>
      <c r="D21" s="0" t="n">
        <f aca="false">D19*D20</f>
        <v>3964.63161008091</v>
      </c>
      <c r="E21" s="0" t="n">
        <f aca="false">E19*E20</f>
        <v>3810.17604345665</v>
      </c>
      <c r="F21" s="0" t="n">
        <f aca="false">F19*F20</f>
        <v>3854.88151025701</v>
      </c>
      <c r="G21" s="0" t="n">
        <f aca="false">G19*G20</f>
        <v>3842.7995351176</v>
      </c>
      <c r="H21" s="0" t="n">
        <f aca="false">H19*H20</f>
        <v>3822.03694851001</v>
      </c>
      <c r="I21" s="0" t="n">
        <f aca="false">I19*I20</f>
        <v>3790.66257514423</v>
      </c>
      <c r="J21" s="0" t="n">
        <f aca="false">J19*J20</f>
        <v>3581.04068158787</v>
      </c>
      <c r="K21" s="0" t="n">
        <f aca="false">K19*K20</f>
        <v>3526.48733769681</v>
      </c>
      <c r="L21" s="0" t="n">
        <f aca="false">L19*L20</f>
        <v>3315.22311930944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1.3</v>
      </c>
      <c r="D23" s="4" t="n">
        <f aca="false">Assumptions!D16</f>
        <v>1.3</v>
      </c>
      <c r="E23" s="4" t="n">
        <f aca="false">Assumptions!E16</f>
        <v>1.3</v>
      </c>
      <c r="F23" s="4" t="n">
        <f aca="false">Assumptions!F16</f>
        <v>1.3</v>
      </c>
      <c r="G23" s="4" t="n">
        <f aca="false">Assumptions!G16</f>
        <v>1.3</v>
      </c>
      <c r="H23" s="4" t="n">
        <f aca="false">Assumptions!H16</f>
        <v>1.3</v>
      </c>
      <c r="I23" s="4" t="n">
        <f aca="false">Assumptions!I16</f>
        <v>1.3</v>
      </c>
      <c r="J23" s="4" t="n">
        <f aca="false">Assumptions!J16</f>
        <v>1.3</v>
      </c>
      <c r="K23" s="4" t="n">
        <f aca="false">Assumptions!K16</f>
        <v>1.3</v>
      </c>
      <c r="L23" s="4" t="n">
        <f aca="false">Assumptions!L16</f>
        <v>1.3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-682.81265</v>
      </c>
      <c r="D24" s="0" t="n">
        <f aca="false">-D6*D23/100</f>
        <v>-662.3282705</v>
      </c>
      <c r="E24" s="0" t="n">
        <f aca="false">-E6*E23/100</f>
        <v>-675.57483591</v>
      </c>
      <c r="F24" s="0" t="n">
        <f aca="false">-F6*F23/100</f>
        <v>-695.8420809873</v>
      </c>
      <c r="G24" s="0" t="n">
        <f aca="false">-G6*G23/100</f>
        <v>-716.717343416919</v>
      </c>
      <c r="H24" s="0" t="n">
        <f aca="false">-H6*H23/100</f>
        <v>-738.218863719427</v>
      </c>
      <c r="I24" s="0" t="n">
        <f aca="false">-I6*I23/100</f>
        <v>-756.674335312412</v>
      </c>
      <c r="J24" s="0" t="n">
        <f aca="false">-J6*J23/100</f>
        <v>-775.591193695223</v>
      </c>
      <c r="K24" s="0" t="n">
        <f aca="false">-K6*K23/100</f>
        <v>-791.103017569127</v>
      </c>
      <c r="L24" s="0" t="n">
        <f aca="false">-L6*L23/100</f>
        <v>-806.92507792051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37830.5020913449</v>
      </c>
    </row>
    <row r="31" customFormat="false" ht="15" hidden="false" customHeight="false" outlineLevel="0" collapsed="false">
      <c r="A31" s="0" t="s">
        <v>133</v>
      </c>
      <c r="B31" s="0" t="n">
        <f aca="false">L19</f>
        <v>7495.66457902051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108687.136395797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89947.9749482461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89947.9749482461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39782.6774317133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77613.1795230582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64990.1795230582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39.6040094595114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-0.579619897468301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1452.27938657777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1592.28378411705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41.4593191308671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56356.292945969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17.9466599686817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-5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61793</v>
      </c>
      <c r="C6" s="0" t="n">
        <f aca="false">B6*(1+C5/100)</f>
        <v>58703.35</v>
      </c>
      <c r="D6" s="0" t="n">
        <f aca="false">C6*(1+D5/100)</f>
        <v>61051.484</v>
      </c>
      <c r="E6" s="0" t="n">
        <f aca="false">D6*(1+E5/100)</f>
        <v>63493.54336</v>
      </c>
      <c r="F6" s="0" t="n">
        <f aca="false">E6*(1+F5/100)</f>
        <v>66033.2850944</v>
      </c>
      <c r="G6" s="0" t="n">
        <f aca="false">F6*(1+G5/100)</f>
        <v>68344.450072704</v>
      </c>
      <c r="H6" s="0" t="n">
        <f aca="false">G6*(1+H5/100)</f>
        <v>70394.7835748851</v>
      </c>
      <c r="I6" s="0" t="n">
        <f aca="false">H6*(1+I5/100)</f>
        <v>72506.6270821317</v>
      </c>
      <c r="J6" s="0" t="n">
        <f aca="false">I6*(1+J5/100)</f>
        <v>74319.292759185</v>
      </c>
      <c r="K6" s="0" t="n">
        <f aca="false">J6*(1+K5/100)</f>
        <v>76177.2750781646</v>
      </c>
      <c r="L6" s="0" t="n">
        <f aca="false">K6*(1+L5/100)</f>
        <v>78081.7069551187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42.7</v>
      </c>
      <c r="D7" s="4" t="n">
        <f aca="false">Assumptions!D28</f>
        <v>43.2</v>
      </c>
      <c r="E7" s="4" t="n">
        <f aca="false">Assumptions!E28</f>
        <v>43.7</v>
      </c>
      <c r="F7" s="4" t="n">
        <f aca="false">Assumptions!F28</f>
        <v>43.7</v>
      </c>
      <c r="G7" s="4" t="n">
        <f aca="false">Assumptions!G28</f>
        <v>43.7</v>
      </c>
      <c r="H7" s="4" t="n">
        <f aca="false">Assumptions!H28</f>
        <v>43.7</v>
      </c>
      <c r="I7" s="4" t="n">
        <f aca="false">Assumptions!I28</f>
        <v>43.7</v>
      </c>
      <c r="J7" s="4" t="n">
        <f aca="false">Assumptions!J28</f>
        <v>43.7</v>
      </c>
      <c r="K7" s="4" t="n">
        <f aca="false">Assumptions!K28</f>
        <v>43.7</v>
      </c>
      <c r="L7" s="4" t="n">
        <f aca="false">Assumptions!L28</f>
        <v>43.7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25066.33045</v>
      </c>
      <c r="D8" s="0" t="n">
        <f aca="false">D6*D7/100</f>
        <v>26374.241088</v>
      </c>
      <c r="E8" s="0" t="n">
        <f aca="false">E6*E7/100</f>
        <v>27746.67844832</v>
      </c>
      <c r="F8" s="0" t="n">
        <f aca="false">F6*F7/100</f>
        <v>28856.5455862528</v>
      </c>
      <c r="G8" s="0" t="n">
        <f aca="false">G6*G7/100</f>
        <v>29866.5246817717</v>
      </c>
      <c r="H8" s="0" t="n">
        <f aca="false">H6*H7/100</f>
        <v>30762.5204222248</v>
      </c>
      <c r="I8" s="0" t="n">
        <f aca="false">I6*I7/100</f>
        <v>31685.3960348915</v>
      </c>
      <c r="J8" s="0" t="n">
        <f aca="false">J6*J7/100</f>
        <v>32477.5309357638</v>
      </c>
      <c r="K8" s="0" t="n">
        <f aca="false">K6*K7/100</f>
        <v>33289.4692091579</v>
      </c>
      <c r="L8" s="0" t="n">
        <f aca="false">L6*L7/100</f>
        <v>34121.7059393869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0.4</v>
      </c>
      <c r="D9" s="4" t="n">
        <f aca="false">Assumptions!D29</f>
        <v>0.4</v>
      </c>
      <c r="E9" s="4" t="n">
        <f aca="false">Assumptions!E29</f>
        <v>0.4</v>
      </c>
      <c r="F9" s="4" t="n">
        <f aca="false">Assumptions!F29</f>
        <v>0.4</v>
      </c>
      <c r="G9" s="4" t="n">
        <f aca="false">Assumptions!G29</f>
        <v>0.4</v>
      </c>
      <c r="H9" s="4" t="n">
        <f aca="false">Assumptions!H29</f>
        <v>0.4</v>
      </c>
      <c r="I9" s="4" t="n">
        <f aca="false">Assumptions!I29</f>
        <v>0.4</v>
      </c>
      <c r="J9" s="4" t="n">
        <f aca="false">Assumptions!J29</f>
        <v>0.4</v>
      </c>
      <c r="K9" s="4" t="n">
        <f aca="false">Assumptions!K29</f>
        <v>0.4</v>
      </c>
      <c r="L9" s="4" t="n">
        <f aca="false">Assumptions!L29</f>
        <v>0.4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-234.8134</v>
      </c>
      <c r="D10" s="0" t="n">
        <f aca="false">-D6*D9/100</f>
        <v>-244.205936</v>
      </c>
      <c r="E10" s="0" t="n">
        <f aca="false">-E6*E9/100</f>
        <v>-253.97417344</v>
      </c>
      <c r="F10" s="0" t="n">
        <f aca="false">-F6*F9/100</f>
        <v>-264.1331403776</v>
      </c>
      <c r="G10" s="0" t="n">
        <f aca="false">-G6*G9/100</f>
        <v>-273.377800290816</v>
      </c>
      <c r="H10" s="0" t="n">
        <f aca="false">-H6*H9/100</f>
        <v>-281.579134299541</v>
      </c>
      <c r="I10" s="0" t="n">
        <f aca="false">-I6*I9/100</f>
        <v>-290.026508328527</v>
      </c>
      <c r="J10" s="0" t="n">
        <f aca="false">-J6*J9/100</f>
        <v>-297.27717103674</v>
      </c>
      <c r="K10" s="0" t="n">
        <f aca="false">-K6*K9/100</f>
        <v>-304.709100312658</v>
      </c>
      <c r="L10" s="0" t="n">
        <f aca="false">-L6*L9/100</f>
        <v>-312.326827820475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24185.7802</v>
      </c>
      <c r="D11" s="0" t="n">
        <f aca="false">D8+D10+D24</f>
        <v>25458.468828</v>
      </c>
      <c r="E11" s="0" t="n">
        <f aca="false">E8+E10+E24</f>
        <v>26794.27529792</v>
      </c>
      <c r="F11" s="0" t="n">
        <f aca="false">F8+F10+F24</f>
        <v>27866.0463098368</v>
      </c>
      <c r="G11" s="0" t="n">
        <f aca="false">G8+G10+G24</f>
        <v>28841.3579306811</v>
      </c>
      <c r="H11" s="0" t="n">
        <f aca="false">H8+H10+H24</f>
        <v>29706.5986686015</v>
      </c>
      <c r="I11" s="0" t="n">
        <f aca="false">I8+I10+I24</f>
        <v>30597.7966286596</v>
      </c>
      <c r="J11" s="0" t="n">
        <f aca="false">J8+J10+J24</f>
        <v>31362.7415443761</v>
      </c>
      <c r="K11" s="0" t="n">
        <f aca="false">K8+K10+K24</f>
        <v>32146.8100829855</v>
      </c>
      <c r="L11" s="0" t="n">
        <f aca="false">L8+L10+L24</f>
        <v>32950.4803350601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-7396.6221</v>
      </c>
      <c r="D12" s="4" t="n">
        <f aca="false">-D6*Assumptions!D31/100</f>
        <v>-7814.589952</v>
      </c>
      <c r="E12" s="4" t="n">
        <f aca="false">-E6*Assumptions!E31/100</f>
        <v>-8254.1606368</v>
      </c>
      <c r="F12" s="4" t="n">
        <f aca="false">-F6*Assumptions!F31/100</f>
        <v>-8584.327062272</v>
      </c>
      <c r="G12" s="4" t="n">
        <f aca="false">-G6*Assumptions!G31/100</f>
        <v>-8884.77850945152</v>
      </c>
      <c r="H12" s="4" t="n">
        <f aca="false">-H6*Assumptions!H31/100</f>
        <v>-9151.32186473507</v>
      </c>
      <c r="I12" s="4" t="n">
        <f aca="false">-I6*Assumptions!I31/100</f>
        <v>-9425.86152067712</v>
      </c>
      <c r="J12" s="4" t="n">
        <f aca="false">-J6*Assumptions!J31/100</f>
        <v>-9661.50805869404</v>
      </c>
      <c r="K12" s="4" t="n">
        <f aca="false">-K6*Assumptions!K31/100</f>
        <v>-9903.04576016139</v>
      </c>
      <c r="L12" s="4" t="n">
        <f aca="false">-L6*Assumptions!L31/100</f>
        <v>-10150.6219041654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16789.1581</v>
      </c>
      <c r="D13" s="0" t="n">
        <f aca="false">D11+D12</f>
        <v>17643.878876</v>
      </c>
      <c r="E13" s="0" t="n">
        <f aca="false">E11+E12</f>
        <v>18540.11466112</v>
      </c>
      <c r="F13" s="0" t="n">
        <f aca="false">F11+F12</f>
        <v>19281.7192475648</v>
      </c>
      <c r="G13" s="0" t="n">
        <f aca="false">G11+G12</f>
        <v>19956.5794212296</v>
      </c>
      <c r="H13" s="0" t="n">
        <f aca="false">H11+H12</f>
        <v>20555.2768038665</v>
      </c>
      <c r="I13" s="0" t="n">
        <f aca="false">I11+I12</f>
        <v>21171.9351079825</v>
      </c>
      <c r="J13" s="0" t="n">
        <f aca="false">J11+J12</f>
        <v>21701.233485682</v>
      </c>
      <c r="K13" s="0" t="n">
        <f aca="false">K11+K12</f>
        <v>22243.7643228241</v>
      </c>
      <c r="L13" s="0" t="n">
        <f aca="false">L11+L12</f>
        <v>22799.8584308947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34.5</v>
      </c>
      <c r="D14" s="4" t="n">
        <f aca="false">Assumptions!D33</f>
        <v>35.5</v>
      </c>
      <c r="E14" s="4" t="n">
        <f aca="false">Assumptions!E33</f>
        <v>36.5</v>
      </c>
      <c r="F14" s="4" t="n">
        <f aca="false">Assumptions!F33</f>
        <v>37.5</v>
      </c>
      <c r="G14" s="4" t="n">
        <f aca="false">Assumptions!G33</f>
        <v>38</v>
      </c>
      <c r="H14" s="4" t="n">
        <f aca="false">Assumptions!H33</f>
        <v>38</v>
      </c>
      <c r="I14" s="4" t="n">
        <f aca="false">Assumptions!I33</f>
        <v>38</v>
      </c>
      <c r="J14" s="4" t="n">
        <f aca="false">Assumptions!J33</f>
        <v>38</v>
      </c>
      <c r="K14" s="4" t="n">
        <f aca="false">Assumptions!K33</f>
        <v>38</v>
      </c>
      <c r="L14" s="4" t="n">
        <f aca="false">Assumptions!L33</f>
        <v>38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10996.8985555</v>
      </c>
      <c r="D15" s="0" t="n">
        <f aca="false">D13-MAX(0,D13)*D14/100</f>
        <v>11380.30187502</v>
      </c>
      <c r="E15" s="0" t="n">
        <f aca="false">E13-MAX(0,E13)*E14/100</f>
        <v>11772.9728098112</v>
      </c>
      <c r="F15" s="0" t="n">
        <f aca="false">F13-MAX(0,F13)*F14/100</f>
        <v>12051.074529728</v>
      </c>
      <c r="G15" s="0" t="n">
        <f aca="false">G13-MAX(0,G13)*G14/100</f>
        <v>12373.0792411623</v>
      </c>
      <c r="H15" s="0" t="n">
        <f aca="false">H13-MAX(0,H13)*H14/100</f>
        <v>12744.2716183972</v>
      </c>
      <c r="I15" s="0" t="n">
        <f aca="false">I13-MAX(0,I13)*I14/100</f>
        <v>13126.5997669491</v>
      </c>
      <c r="J15" s="0" t="n">
        <f aca="false">J13-MAX(0,J13)*J14/100</f>
        <v>13454.7647611228</v>
      </c>
      <c r="K15" s="0" t="n">
        <f aca="false">K13-MAX(0,K13)*K14/100</f>
        <v>13791.1338801509</v>
      </c>
      <c r="L15" s="0" t="n">
        <f aca="false">L13-MAX(0,L13)*L14/100</f>
        <v>14135.9122271547</v>
      </c>
    </row>
    <row r="16" customFormat="false" ht="15" hidden="false" customHeight="false" outlineLevel="0" collapsed="false">
      <c r="A16" s="0" t="s">
        <v>124</v>
      </c>
      <c r="C16" s="0" t="n">
        <f aca="false">-C12</f>
        <v>7396.6221</v>
      </c>
      <c r="D16" s="0" t="n">
        <f aca="false">-D12</f>
        <v>7814.589952</v>
      </c>
      <c r="E16" s="0" t="n">
        <f aca="false">-E12</f>
        <v>8254.1606368</v>
      </c>
      <c r="F16" s="0" t="n">
        <f aca="false">-F12</f>
        <v>8584.327062272</v>
      </c>
      <c r="G16" s="0" t="n">
        <f aca="false">-G12</f>
        <v>8884.77850945152</v>
      </c>
      <c r="H16" s="0" t="n">
        <f aca="false">-H12</f>
        <v>9151.32186473507</v>
      </c>
      <c r="I16" s="0" t="n">
        <f aca="false">-I12</f>
        <v>9425.86152067712</v>
      </c>
      <c r="J16" s="0" t="n">
        <f aca="false">-J12</f>
        <v>9661.50805869404</v>
      </c>
      <c r="K16" s="0" t="n">
        <f aca="false">-K12</f>
        <v>9903.04576016139</v>
      </c>
      <c r="L16" s="0" t="n">
        <f aca="false">-L12</f>
        <v>10150.6219041654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-11564.55995</v>
      </c>
      <c r="D17" s="4" t="n">
        <f aca="false">-D6*Assumptions!D32/100</f>
        <v>-11111.370088</v>
      </c>
      <c r="E17" s="4" t="n">
        <f aca="false">-E6*Assumptions!E32/100</f>
        <v>-11365.34426144</v>
      </c>
      <c r="F17" s="4" t="n">
        <f aca="false">-F6*Assumptions!F32/100</f>
        <v>-11555.82489152</v>
      </c>
      <c r="G17" s="4" t="n">
        <f aca="false">-G6*Assumptions!G32/100</f>
        <v>-11686.9009624324</v>
      </c>
      <c r="H17" s="4" t="n">
        <f aca="false">-H6*Assumptions!H32/100</f>
        <v>-11826.3236405807</v>
      </c>
      <c r="I17" s="4" t="n">
        <f aca="false">-I6*Assumptions!I32/100</f>
        <v>-11963.5934685517</v>
      </c>
      <c r="J17" s="4" t="n">
        <f aca="false">-J6*Assumptions!J32/100</f>
        <v>-12039.725426988</v>
      </c>
      <c r="K17" s="4" t="n">
        <f aca="false">-K6*Assumptions!K32/100</f>
        <v>-12188.3640125063</v>
      </c>
      <c r="L17" s="4" t="n">
        <f aca="false">-L6*Assumptions!L32/100</f>
        <v>-12493.073112819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308.965</v>
      </c>
      <c r="D18" s="4" t="n">
        <f aca="false">(D6-C6)*Assumptions!$B$37/100</f>
        <v>-234.813400000001</v>
      </c>
      <c r="E18" s="4" t="n">
        <f aca="false">(E6-D6)*Assumptions!$B$37/100</f>
        <v>-244.205936</v>
      </c>
      <c r="F18" s="4" t="n">
        <f aca="false">(F6-E6)*Assumptions!$B$37/100</f>
        <v>-253.974173440001</v>
      </c>
      <c r="G18" s="4" t="n">
        <f aca="false">(G6-F6)*Assumptions!$B$37/100</f>
        <v>-231.116497830399</v>
      </c>
      <c r="H18" s="4" t="n">
        <f aca="false">(H6-G6)*Assumptions!$B$37/100</f>
        <v>-205.033350218112</v>
      </c>
      <c r="I18" s="4" t="n">
        <f aca="false">(I6-H6)*Assumptions!$B$37/100</f>
        <v>-211.184350724655</v>
      </c>
      <c r="J18" s="4" t="n">
        <f aca="false">(J6-I6)*Assumptions!$B$37/100</f>
        <v>-181.266567705329</v>
      </c>
      <c r="K18" s="4" t="n">
        <f aca="false">(K6-J6)*Assumptions!$B$37/100</f>
        <v>-185.798231897962</v>
      </c>
      <c r="L18" s="4" t="n">
        <f aca="false">(L6-K6)*Assumptions!$B$37/100</f>
        <v>-190.443187695411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7137.9257055</v>
      </c>
      <c r="D19" s="0" t="n">
        <f aca="false">D15+D16+D17+D18</f>
        <v>7848.70833902</v>
      </c>
      <c r="E19" s="0" t="n">
        <f aca="false">E15+E16+E17+E18</f>
        <v>8417.5832491712</v>
      </c>
      <c r="F19" s="0" t="n">
        <f aca="false">F15+F16+F17+F18</f>
        <v>8825.60252704</v>
      </c>
      <c r="G19" s="0" t="n">
        <f aca="false">G15+G16+G17+G18</f>
        <v>9339.84029035107</v>
      </c>
      <c r="H19" s="0" t="n">
        <f aca="false">H15+H16+H17+H18</f>
        <v>9864.23649233346</v>
      </c>
      <c r="I19" s="0" t="n">
        <f aca="false">I15+I16+I17+I18</f>
        <v>10377.6834683499</v>
      </c>
      <c r="J19" s="0" t="n">
        <f aca="false">J15+J16+J17+J18</f>
        <v>10895.2808251236</v>
      </c>
      <c r="K19" s="0" t="n">
        <f aca="false">K15+K16+K17+K18</f>
        <v>11320.017395908</v>
      </c>
      <c r="L19" s="0" t="n">
        <f aca="false">L15+L16+L17+L18</f>
        <v>11603.0178308057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6578.73336912442</v>
      </c>
      <c r="D21" s="0" t="n">
        <f aca="false">D19*D20</f>
        <v>6667.12679311092</v>
      </c>
      <c r="E21" s="0" t="n">
        <f aca="false">E19*E20</f>
        <v>6590.19409499099</v>
      </c>
      <c r="F21" s="0" t="n">
        <f aca="false">F19*F20</f>
        <v>6368.32782668233</v>
      </c>
      <c r="G21" s="0" t="n">
        <f aca="false">G19*G20</f>
        <v>6211.41803934292</v>
      </c>
      <c r="H21" s="0" t="n">
        <f aca="false">H19*H20</f>
        <v>6046.23533037893</v>
      </c>
      <c r="I21" s="0" t="n">
        <f aca="false">I19*I20</f>
        <v>5862.62685124945</v>
      </c>
      <c r="J21" s="0" t="n">
        <f aca="false">J19*J20</f>
        <v>5672.83984993664</v>
      </c>
      <c r="K21" s="0" t="n">
        <f aca="false">K19*K20</f>
        <v>5432.24627250885</v>
      </c>
      <c r="L21" s="0" t="n">
        <f aca="false">L19*L20</f>
        <v>5131.8455569784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1.1</v>
      </c>
      <c r="D23" s="4" t="n">
        <f aca="false">Assumptions!D30</f>
        <v>1.1</v>
      </c>
      <c r="E23" s="4" t="n">
        <f aca="false">Assumptions!E30</f>
        <v>1.1</v>
      </c>
      <c r="F23" s="4" t="n">
        <f aca="false">Assumptions!F30</f>
        <v>1.1</v>
      </c>
      <c r="G23" s="4" t="n">
        <f aca="false">Assumptions!G30</f>
        <v>1.1</v>
      </c>
      <c r="H23" s="4" t="n">
        <f aca="false">Assumptions!H30</f>
        <v>1.1</v>
      </c>
      <c r="I23" s="4" t="n">
        <f aca="false">Assumptions!I30</f>
        <v>1.1</v>
      </c>
      <c r="J23" s="4" t="n">
        <f aca="false">Assumptions!J30</f>
        <v>1.1</v>
      </c>
      <c r="K23" s="4" t="n">
        <f aca="false">Assumptions!K30</f>
        <v>1.1</v>
      </c>
      <c r="L23" s="4" t="n">
        <f aca="false">Assumptions!L30</f>
        <v>1.1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-645.73685</v>
      </c>
      <c r="D24" s="0" t="n">
        <f aca="false">-D6*D23/100</f>
        <v>-671.566324</v>
      </c>
      <c r="E24" s="0" t="n">
        <f aca="false">-E6*E23/100</f>
        <v>-698.42897696</v>
      </c>
      <c r="F24" s="0" t="n">
        <f aca="false">-F6*F23/100</f>
        <v>-726.3661360384</v>
      </c>
      <c r="G24" s="0" t="n">
        <f aca="false">-G6*G23/100</f>
        <v>-751.788950799744</v>
      </c>
      <c r="H24" s="0" t="n">
        <f aca="false">-H6*H23/100</f>
        <v>-774.342619323737</v>
      </c>
      <c r="I24" s="0" t="n">
        <f aca="false">-I6*I23/100</f>
        <v>-797.572897903449</v>
      </c>
      <c r="J24" s="0" t="n">
        <f aca="false">-J6*J23/100</f>
        <v>-817.512220351035</v>
      </c>
      <c r="K24" s="0" t="n">
        <f aca="false">-K6*K23/100</f>
        <v>-837.950025859811</v>
      </c>
      <c r="L24" s="0" t="n">
        <f aca="false">-L6*L23/100</f>
        <v>-858.898776506306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60561.5939843039</v>
      </c>
    </row>
    <row r="31" customFormat="false" ht="15" hidden="false" customHeight="false" outlineLevel="0" collapsed="false">
      <c r="A31" s="0" t="s">
        <v>133</v>
      </c>
      <c r="B31" s="0" t="n">
        <f aca="false">L19</f>
        <v>11603.0178308057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182078.125960336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174045.267462086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174045.267462086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76977.683354676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137539.27733898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124916.27733898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76.1220459104082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-0.191996116013075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1770.67928761099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2167.69773358662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78.5220319074817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91039.0629801679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33.5527061261974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87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0</v>
      </c>
      <c r="D5" s="4" t="n">
        <f aca="false">Assumptions!D41</f>
        <v>5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4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61793</v>
      </c>
      <c r="C6" s="0" t="n">
        <f aca="false">B6*(1+C5/100)</f>
        <v>61793</v>
      </c>
      <c r="D6" s="0" t="n">
        <f aca="false">C6*(1+D5/100)</f>
        <v>64882.65</v>
      </c>
      <c r="E6" s="0" t="n">
        <f aca="false">D6*(1+E5/100)</f>
        <v>68775.609</v>
      </c>
      <c r="F6" s="0" t="n">
        <f aca="false">E6*(1+F5/100)</f>
        <v>72902.14554</v>
      </c>
      <c r="G6" s="0" t="n">
        <f aca="false">F6*(1+G5/100)</f>
        <v>76547.252817</v>
      </c>
      <c r="H6" s="0" t="n">
        <f aca="false">G6*(1+H5/100)</f>
        <v>80374.61545785</v>
      </c>
      <c r="I6" s="0" t="n">
        <f aca="false">H6*(1+I5/100)</f>
        <v>83589.600076164</v>
      </c>
      <c r="J6" s="0" t="n">
        <f aca="false">I6*(1+J5/100)</f>
        <v>86933.1840792106</v>
      </c>
      <c r="K6" s="0" t="n">
        <f aca="false">J6*(1+K5/100)</f>
        <v>89541.1796015869</v>
      </c>
      <c r="L6" s="0" t="n">
        <f aca="false">K6*(1+L5/100)</f>
        <v>92227.4149896345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48</v>
      </c>
      <c r="D7" s="4" t="n">
        <f aca="false">Assumptions!D42</f>
        <v>48.5</v>
      </c>
      <c r="E7" s="4" t="n">
        <f aca="false">Assumptions!E42</f>
        <v>49</v>
      </c>
      <c r="F7" s="4" t="n">
        <f aca="false">Assumptions!F42</f>
        <v>49</v>
      </c>
      <c r="G7" s="4" t="n">
        <f aca="false">Assumptions!G42</f>
        <v>49</v>
      </c>
      <c r="H7" s="4" t="n">
        <f aca="false">Assumptions!H42</f>
        <v>49</v>
      </c>
      <c r="I7" s="4" t="n">
        <f aca="false">Assumptions!I42</f>
        <v>49</v>
      </c>
      <c r="J7" s="4" t="n">
        <f aca="false">Assumptions!J42</f>
        <v>49</v>
      </c>
      <c r="K7" s="4" t="n">
        <f aca="false">Assumptions!K42</f>
        <v>49</v>
      </c>
      <c r="L7" s="4" t="n">
        <f aca="false">Assumptions!L42</f>
        <v>49</v>
      </c>
    </row>
    <row r="8" customFormat="false" ht="15" hidden="false" customHeight="false" outlineLevel="0" collapsed="false">
      <c r="A8" s="0" t="s">
        <v>43</v>
      </c>
      <c r="C8" s="0" t="n">
        <f aca="false">C6*C7/100</f>
        <v>29660.64</v>
      </c>
      <c r="D8" s="0" t="n">
        <f aca="false">D6*D7/100</f>
        <v>31468.08525</v>
      </c>
      <c r="E8" s="0" t="n">
        <f aca="false">E6*E7/100</f>
        <v>33700.04841</v>
      </c>
      <c r="F8" s="0" t="n">
        <f aca="false">F6*F7/100</f>
        <v>35722.0513146</v>
      </c>
      <c r="G8" s="0" t="n">
        <f aca="false">G6*G7/100</f>
        <v>37508.15388033</v>
      </c>
      <c r="H8" s="0" t="n">
        <f aca="false">H6*H7/100</f>
        <v>39383.5615743465</v>
      </c>
      <c r="I8" s="0" t="n">
        <f aca="false">I6*I7/100</f>
        <v>40958.9040373204</v>
      </c>
      <c r="J8" s="0" t="n">
        <f aca="false">J6*J7/100</f>
        <v>42597.2601988132</v>
      </c>
      <c r="K8" s="0" t="n">
        <f aca="false">K6*K7/100</f>
        <v>43875.1780047776</v>
      </c>
      <c r="L8" s="0" t="n">
        <f aca="false">L6*L7/100</f>
        <v>45191.4333449209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0.4</v>
      </c>
      <c r="D9" s="4" t="n">
        <f aca="false">Assumptions!D43</f>
        <v>0.4</v>
      </c>
      <c r="E9" s="4" t="n">
        <f aca="false">Assumptions!E43</f>
        <v>0.4</v>
      </c>
      <c r="F9" s="4" t="n">
        <f aca="false">Assumptions!F43</f>
        <v>0.4</v>
      </c>
      <c r="G9" s="4" t="n">
        <f aca="false">Assumptions!G43</f>
        <v>0.4</v>
      </c>
      <c r="H9" s="4" t="n">
        <f aca="false">Assumptions!H43</f>
        <v>0.4</v>
      </c>
      <c r="I9" s="4" t="n">
        <f aca="false">Assumptions!I43</f>
        <v>0.4</v>
      </c>
      <c r="J9" s="4" t="n">
        <f aca="false">Assumptions!J43</f>
        <v>0.4</v>
      </c>
      <c r="K9" s="4" t="n">
        <f aca="false">Assumptions!K43</f>
        <v>0.4</v>
      </c>
      <c r="L9" s="4" t="n">
        <f aca="false">Assumptions!L43</f>
        <v>0.4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-247.172</v>
      </c>
      <c r="D10" s="0" t="n">
        <f aca="false">-D6*D9/100</f>
        <v>-259.5306</v>
      </c>
      <c r="E10" s="0" t="n">
        <f aca="false">-E6*E9/100</f>
        <v>-275.102436</v>
      </c>
      <c r="F10" s="0" t="n">
        <f aca="false">-F6*F9/100</f>
        <v>-291.60858216</v>
      </c>
      <c r="G10" s="0" t="n">
        <f aca="false">-G6*G9/100</f>
        <v>-306.189011268</v>
      </c>
      <c r="H10" s="0" t="n">
        <f aca="false">-H6*H9/100</f>
        <v>-321.4984618314</v>
      </c>
      <c r="I10" s="0" t="n">
        <f aca="false">-I6*I9/100</f>
        <v>-334.358400304656</v>
      </c>
      <c r="J10" s="0" t="n">
        <f aca="false">-J6*J9/100</f>
        <v>-347.732736316842</v>
      </c>
      <c r="K10" s="0" t="n">
        <f aca="false">-K6*K9/100</f>
        <v>-358.164718406348</v>
      </c>
      <c r="L10" s="0" t="n">
        <f aca="false">-L6*L9/100</f>
        <v>-368.909659958538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28795.538</v>
      </c>
      <c r="D11" s="0" t="n">
        <f aca="false">D8+D10+D24</f>
        <v>30559.72815</v>
      </c>
      <c r="E11" s="0" t="n">
        <f aca="false">E8+E10+E24</f>
        <v>32737.189884</v>
      </c>
      <c r="F11" s="0" t="n">
        <f aca="false">F8+F10+F24</f>
        <v>34701.42127704</v>
      </c>
      <c r="G11" s="0" t="n">
        <f aca="false">G8+G10+G24</f>
        <v>36436.492340892</v>
      </c>
      <c r="H11" s="0" t="n">
        <f aca="false">H8+H10+H24</f>
        <v>38258.3169579366</v>
      </c>
      <c r="I11" s="0" t="n">
        <f aca="false">I8+I10+I24</f>
        <v>39788.6496362541</v>
      </c>
      <c r="J11" s="0" t="n">
        <f aca="false">J8+J10+J24</f>
        <v>41380.1956217042</v>
      </c>
      <c r="K11" s="0" t="n">
        <f aca="false">K8+K10+K24</f>
        <v>42621.6014903554</v>
      </c>
      <c r="L11" s="0" t="n">
        <f aca="false">L8+L10+L24</f>
        <v>43900.249535066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-7415.16</v>
      </c>
      <c r="D12" s="4" t="n">
        <f aca="false">-D6*Assumptions!D45/100</f>
        <v>-7915.6833</v>
      </c>
      <c r="E12" s="4" t="n">
        <f aca="false">-E6*Assumptions!E45/100</f>
        <v>-8528.175516</v>
      </c>
      <c r="F12" s="4" t="n">
        <f aca="false">-F6*Assumptions!F45/100</f>
        <v>-9039.86604696</v>
      </c>
      <c r="G12" s="4" t="n">
        <f aca="false">-G6*Assumptions!G45/100</f>
        <v>-9491.859349308</v>
      </c>
      <c r="H12" s="4" t="n">
        <f aca="false">-H6*Assumptions!H45/100</f>
        <v>-9966.4523167734</v>
      </c>
      <c r="I12" s="4" t="n">
        <f aca="false">-I6*Assumptions!I45/100</f>
        <v>-10365.1104094443</v>
      </c>
      <c r="J12" s="4" t="n">
        <f aca="false">-J6*Assumptions!J45/100</f>
        <v>-10779.7148258221</v>
      </c>
      <c r="K12" s="4" t="n">
        <f aca="false">-K6*Assumptions!K45/100</f>
        <v>-11103.1062705968</v>
      </c>
      <c r="L12" s="4" t="n">
        <f aca="false">-L6*Assumptions!L45/100</f>
        <v>-11436.1994587147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21380.378</v>
      </c>
      <c r="D13" s="0" t="n">
        <f aca="false">D11+D12</f>
        <v>22644.04485</v>
      </c>
      <c r="E13" s="0" t="n">
        <f aca="false">E11+E12</f>
        <v>24209.014368</v>
      </c>
      <c r="F13" s="0" t="n">
        <f aca="false">F11+F12</f>
        <v>25661.55523008</v>
      </c>
      <c r="G13" s="0" t="n">
        <f aca="false">G11+G12</f>
        <v>26944.632991584</v>
      </c>
      <c r="H13" s="0" t="n">
        <f aca="false">H11+H12</f>
        <v>28291.8646411632</v>
      </c>
      <c r="I13" s="0" t="n">
        <f aca="false">I11+I12</f>
        <v>29423.5392268097</v>
      </c>
      <c r="J13" s="0" t="n">
        <f aca="false">J11+J12</f>
        <v>30600.4807958821</v>
      </c>
      <c r="K13" s="0" t="n">
        <f aca="false">K11+K12</f>
        <v>31518.4952197586</v>
      </c>
      <c r="L13" s="0" t="n">
        <f aca="false">L11+L12</f>
        <v>32464.0500763513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35</v>
      </c>
      <c r="D14" s="4" t="n">
        <f aca="false">Assumptions!D47</f>
        <v>36</v>
      </c>
      <c r="E14" s="4" t="n">
        <f aca="false">Assumptions!E47</f>
        <v>37</v>
      </c>
      <c r="F14" s="4" t="n">
        <f aca="false">Assumptions!F47</f>
        <v>38</v>
      </c>
      <c r="G14" s="4" t="n">
        <f aca="false">Assumptions!G47</f>
        <v>38.5</v>
      </c>
      <c r="H14" s="4" t="n">
        <f aca="false">Assumptions!H47</f>
        <v>38.5</v>
      </c>
      <c r="I14" s="4" t="n">
        <f aca="false">Assumptions!I47</f>
        <v>38.5</v>
      </c>
      <c r="J14" s="4" t="n">
        <f aca="false">Assumptions!J47</f>
        <v>38.5</v>
      </c>
      <c r="K14" s="4" t="n">
        <f aca="false">Assumptions!K47</f>
        <v>38.5</v>
      </c>
      <c r="L14" s="4" t="n">
        <f aca="false">Assumptions!L47</f>
        <v>38.5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13897.2457</v>
      </c>
      <c r="D15" s="0" t="n">
        <f aca="false">D13-MAX(0,D13)*D14/100</f>
        <v>14492.188704</v>
      </c>
      <c r="E15" s="0" t="n">
        <f aca="false">E13-MAX(0,E13)*E14/100</f>
        <v>15251.67905184</v>
      </c>
      <c r="F15" s="0" t="n">
        <f aca="false">F13-MAX(0,F13)*F14/100</f>
        <v>15910.1642426496</v>
      </c>
      <c r="G15" s="0" t="n">
        <f aca="false">G13-MAX(0,G13)*G14/100</f>
        <v>16570.9492898242</v>
      </c>
      <c r="H15" s="0" t="n">
        <f aca="false">H13-MAX(0,H13)*H14/100</f>
        <v>17399.4967543154</v>
      </c>
      <c r="I15" s="0" t="n">
        <f aca="false">I13-MAX(0,I13)*I14/100</f>
        <v>18095.476624488</v>
      </c>
      <c r="J15" s="0" t="n">
        <f aca="false">J13-MAX(0,J13)*J14/100</f>
        <v>18819.2956894675</v>
      </c>
      <c r="K15" s="0" t="n">
        <f aca="false">K13-MAX(0,K13)*K14/100</f>
        <v>19383.8745601515</v>
      </c>
      <c r="L15" s="0" t="n">
        <f aca="false">L13-MAX(0,L13)*L14/100</f>
        <v>19965.3907969561</v>
      </c>
    </row>
    <row r="16" customFormat="false" ht="15" hidden="false" customHeight="false" outlineLevel="0" collapsed="false">
      <c r="A16" s="0" t="s">
        <v>124</v>
      </c>
      <c r="C16" s="0" t="n">
        <f aca="false">-C12</f>
        <v>7415.16</v>
      </c>
      <c r="D16" s="0" t="n">
        <f aca="false">-D12</f>
        <v>7915.6833</v>
      </c>
      <c r="E16" s="0" t="n">
        <f aca="false">-E12</f>
        <v>8528.175516</v>
      </c>
      <c r="F16" s="0" t="n">
        <f aca="false">-F12</f>
        <v>9039.86604696</v>
      </c>
      <c r="G16" s="0" t="n">
        <f aca="false">-G12</f>
        <v>9491.859349308</v>
      </c>
      <c r="H16" s="0" t="n">
        <f aca="false">-H12</f>
        <v>9966.4523167734</v>
      </c>
      <c r="I16" s="0" t="n">
        <f aca="false">-I12</f>
        <v>10365.1104094443</v>
      </c>
      <c r="J16" s="0" t="n">
        <f aca="false">-J12</f>
        <v>10779.7148258221</v>
      </c>
      <c r="K16" s="0" t="n">
        <f aca="false">-K12</f>
        <v>11103.1062705968</v>
      </c>
      <c r="L16" s="0" t="n">
        <f aca="false">-L12</f>
        <v>11436.1994587147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-11431.705</v>
      </c>
      <c r="D17" s="4" t="n">
        <f aca="false">-D6*Assumptions!D46/100</f>
        <v>-11030.0505</v>
      </c>
      <c r="E17" s="4" t="n">
        <f aca="false">-E6*Assumptions!E46/100</f>
        <v>-11347.975485</v>
      </c>
      <c r="F17" s="4" t="n">
        <f aca="false">-F6*Assumptions!F46/100</f>
        <v>-11664.3432864</v>
      </c>
      <c r="G17" s="4" t="n">
        <f aca="false">-G6*Assumptions!G46/100</f>
        <v>-11864.824186635</v>
      </c>
      <c r="H17" s="4" t="n">
        <f aca="false">-H6*Assumptions!H46/100</f>
        <v>-12297.3161650511</v>
      </c>
      <c r="I17" s="4" t="n">
        <f aca="false">-I6*Assumptions!I46/100</f>
        <v>-12538.4400114246</v>
      </c>
      <c r="J17" s="4" t="n">
        <f aca="false">-J6*Assumptions!J46/100</f>
        <v>-13039.9776118816</v>
      </c>
      <c r="K17" s="4" t="n">
        <f aca="false">-K6*Assumptions!K46/100</f>
        <v>-13431.176940238</v>
      </c>
      <c r="L17" s="4" t="n">
        <f aca="false">-L6*Assumptions!L46/100</f>
        <v>-13834.1122484452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-0</v>
      </c>
      <c r="D18" s="4" t="n">
        <f aca="false">(D6-C6)*Assumptions!$B$51/100</f>
        <v>-308.965</v>
      </c>
      <c r="E18" s="4" t="n">
        <f aca="false">(E6-D6)*Assumptions!$B$51/100</f>
        <v>-389.295900000001</v>
      </c>
      <c r="F18" s="4" t="n">
        <f aca="false">(F6-E6)*Assumptions!$B$51/100</f>
        <v>-412.653654</v>
      </c>
      <c r="G18" s="4" t="n">
        <f aca="false">(G6-F6)*Assumptions!$B$51/100</f>
        <v>-364.5107277</v>
      </c>
      <c r="H18" s="4" t="n">
        <f aca="false">(H6-G6)*Assumptions!$B$51/100</f>
        <v>-382.736264085</v>
      </c>
      <c r="I18" s="4" t="n">
        <f aca="false">(I6-H6)*Assumptions!$B$51/100</f>
        <v>-321.4984618314</v>
      </c>
      <c r="J18" s="4" t="n">
        <f aca="false">(J6-I6)*Assumptions!$B$51/100</f>
        <v>-334.358400304656</v>
      </c>
      <c r="K18" s="4" t="n">
        <f aca="false">(K6-J6)*Assumptions!$B$51/100</f>
        <v>-260.799552237632</v>
      </c>
      <c r="L18" s="4" t="n">
        <f aca="false">(L6-K6)*Assumptions!$B$51/100</f>
        <v>-268.623538804762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9880.7007</v>
      </c>
      <c r="D19" s="0" t="n">
        <f aca="false">D15+D16+D17+D18</f>
        <v>11068.856504</v>
      </c>
      <c r="E19" s="0" t="n">
        <f aca="false">E15+E16+E17+E18</f>
        <v>12042.58318284</v>
      </c>
      <c r="F19" s="0" t="n">
        <f aca="false">F15+F16+F17+F18</f>
        <v>12873.0333492096</v>
      </c>
      <c r="G19" s="0" t="n">
        <f aca="false">G15+G16+G17+G18</f>
        <v>13833.4737247972</v>
      </c>
      <c r="H19" s="0" t="n">
        <f aca="false">H15+H16+H17+H18</f>
        <v>14685.8966419527</v>
      </c>
      <c r="I19" s="0" t="n">
        <f aca="false">I15+I16+I17+I18</f>
        <v>15600.6485606763</v>
      </c>
      <c r="J19" s="0" t="n">
        <f aca="false">J15+J16+J17+J18</f>
        <v>16224.6745031034</v>
      </c>
      <c r="K19" s="0" t="n">
        <f aca="false">K15+K16+K17+K18</f>
        <v>16795.0043382726</v>
      </c>
      <c r="L19" s="0" t="n">
        <f aca="false">L15+L16+L17+L18</f>
        <v>17298.8544684208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9106.63658986175</v>
      </c>
      <c r="D21" s="0" t="n">
        <f aca="false">D19*D20</f>
        <v>9402.49867612394</v>
      </c>
      <c r="E21" s="0" t="n">
        <f aca="false">E19*E20</f>
        <v>9428.23589987115</v>
      </c>
      <c r="F21" s="0" t="n">
        <f aca="false">F19*F20</f>
        <v>9288.84982531342</v>
      </c>
      <c r="G21" s="0" t="n">
        <f aca="false">G19*G20</f>
        <v>9199.88838885719</v>
      </c>
      <c r="H21" s="0" t="n">
        <f aca="false">H19*H20</f>
        <v>9001.64824757389</v>
      </c>
      <c r="I21" s="0" t="n">
        <f aca="false">I19*I20</f>
        <v>8813.21746107084</v>
      </c>
      <c r="J21" s="0" t="n">
        <f aca="false">J19*J20</f>
        <v>8447.69231291583</v>
      </c>
      <c r="K21" s="0" t="n">
        <f aca="false">K19*K20</f>
        <v>8059.58122876482</v>
      </c>
      <c r="L21" s="0" t="n">
        <f aca="false">L19*L20</f>
        <v>7651.03102822836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1</v>
      </c>
      <c r="D23" s="4" t="n">
        <f aca="false">Assumptions!D44</f>
        <v>1</v>
      </c>
      <c r="E23" s="4" t="n">
        <f aca="false">Assumptions!E44</f>
        <v>1</v>
      </c>
      <c r="F23" s="4" t="n">
        <f aca="false">Assumptions!F44</f>
        <v>1</v>
      </c>
      <c r="G23" s="4" t="n">
        <f aca="false">Assumptions!G44</f>
        <v>1</v>
      </c>
      <c r="H23" s="4" t="n">
        <f aca="false">Assumptions!H44</f>
        <v>1</v>
      </c>
      <c r="I23" s="4" t="n">
        <f aca="false">Assumptions!I44</f>
        <v>1</v>
      </c>
      <c r="J23" s="4" t="n">
        <f aca="false">Assumptions!J44</f>
        <v>1</v>
      </c>
      <c r="K23" s="4" t="n">
        <f aca="false">Assumptions!K44</f>
        <v>1</v>
      </c>
      <c r="L23" s="4" t="n">
        <f aca="false">Assumptions!L44</f>
        <v>1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-617.93</v>
      </c>
      <c r="D24" s="0" t="n">
        <f aca="false">-D6*D23/100</f>
        <v>-648.8265</v>
      </c>
      <c r="E24" s="0" t="n">
        <f aca="false">-E6*E23/100</f>
        <v>-687.75609</v>
      </c>
      <c r="F24" s="0" t="n">
        <f aca="false">-F6*F23/100</f>
        <v>-729.0214554</v>
      </c>
      <c r="G24" s="0" t="n">
        <f aca="false">-G6*G23/100</f>
        <v>-765.47252817</v>
      </c>
      <c r="H24" s="0" t="n">
        <f aca="false">-H6*H23/100</f>
        <v>-803.7461545785</v>
      </c>
      <c r="I24" s="0" t="n">
        <f aca="false">-I6*I23/100</f>
        <v>-835.89600076164</v>
      </c>
      <c r="J24" s="0" t="n">
        <f aca="false">-J6*J23/100</f>
        <v>-869.331840792106</v>
      </c>
      <c r="K24" s="0" t="n">
        <f aca="false">-K6*K23/100</f>
        <v>-895.411796015869</v>
      </c>
      <c r="L24" s="0" t="n">
        <f aca="false">-L6*L23/100</f>
        <v>-922.274149896345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88399.2796585812</v>
      </c>
    </row>
    <row r="31" customFormat="false" ht="15" hidden="false" customHeight="false" outlineLevel="0" collapsed="false">
      <c r="A31" s="0" t="s">
        <v>133</v>
      </c>
      <c r="B31" s="0" t="n">
        <f aca="false">L19</f>
        <v>17298.8544684208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295522.097168856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276781.671494733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276781.671494733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122416.496451654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210815.776110235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198192.776110235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120.775610061082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0.281982911167409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1979.73663215324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2787.37410195882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123.680613555361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141850.606641051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53.7026138632242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39.6040094595114</v>
      </c>
      <c r="C4" s="0" t="n">
        <f aca="false">B4/Assumptions!$B$2-1</f>
        <v>-0.579619897468301</v>
      </c>
      <c r="D4" s="4" t="n">
        <f aca="false">Assumptions!$B$24</f>
        <v>0.25</v>
      </c>
      <c r="E4" s="4" t="n">
        <f aca="false">DCF_Bear!$B$43</f>
        <v>41.4593191308671</v>
      </c>
      <c r="F4" s="4" t="n">
        <f aca="false">DCF_Bear!$B$47</f>
        <v>17.9466599686817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76.1220459104082</v>
      </c>
      <c r="C5" s="0" t="n">
        <f aca="false">B5/Assumptions!$B$2-1</f>
        <v>-0.191996116013075</v>
      </c>
      <c r="D5" s="4" t="n">
        <f aca="false">Assumptions!$B$38</f>
        <v>0.5</v>
      </c>
      <c r="E5" s="4" t="n">
        <f aca="false">DCF_Base!$B$43</f>
        <v>78.5220319074817</v>
      </c>
      <c r="F5" s="4" t="n">
        <f aca="false">DCF_Base!$B$47</f>
        <v>33.5527061261974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120.775610061082</v>
      </c>
      <c r="C6" s="0" t="n">
        <f aca="false">B6/Assumptions!$B$2-1</f>
        <v>0.281982911167409</v>
      </c>
      <c r="D6" s="4" t="n">
        <f aca="false">Assumptions!$B$52</f>
        <v>0.25</v>
      </c>
      <c r="E6" s="4" t="n">
        <f aca="false">DCF_Bull!$B$43</f>
        <v>123.680613555361</v>
      </c>
      <c r="F6" s="4" t="n">
        <f aca="false">DCF_Bull!$B$47</f>
        <v>53.7026138632242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78.1559278353523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80.5459991252978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-0.205410806438995</v>
      </c>
    </row>
    <row r="11" customFormat="false" ht="15" hidden="false" customHeight="false" outlineLevel="0" collapsed="false">
      <c r="A11" s="0" t="s">
        <v>160</v>
      </c>
      <c r="B11" s="0" t="n">
        <f aca="false">IF(ABS(B9-B8)&gt;0.01*ABS(B8),(Assumptions!$B$2-B8)/(B9-B8)*100,"n/a")</f>
        <v>671.698464902854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34.6886715210752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76.1220459104082</v>
      </c>
      <c r="C15" s="3" t="n">
        <v>8.5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71.8538178440134</v>
      </c>
      <c r="C16" s="3" t="n">
        <v>9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61.4206559284061</v>
      </c>
      <c r="C17" s="3" t="n">
        <v>10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53.3292932865851</v>
      </c>
      <c r="C18" s="3" t="n">
        <v>11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46.8757528676369</v>
      </c>
      <c r="C19" s="3" t="n">
        <v>12</v>
      </c>
    </row>
    <row r="20" customFormat="false" ht="15" hidden="false" customHeight="false" outlineLevel="0" collapsed="false">
      <c r="A20" s="0" t="s">
        <v>169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33.5527061261974</v>
      </c>
      <c r="C20" s="3" t="n">
        <v>15</v>
      </c>
    </row>
    <row r="22" customFormat="false" ht="15" hidden="false" customHeight="false" outlineLevel="0" collapsed="false">
      <c r="A22" s="2" t="s">
        <v>170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89.5726761048924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89.5726761048924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89.5726761048924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89.5726761048924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89.5726761048924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82.5316680930605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82.5316680930605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82.5316680930605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82.5316680930605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82.5316680930605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71.3269027939953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74.558412285491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76.1220459104082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76.1220459104082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76.1220459104082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61.385174644773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63.6823618972439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66.2858407833775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69.2612452246731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70.2802193484044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53.5690176099152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55.2524891003135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57.1340160601704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59.2507338900094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61.649680763827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2026-10-04T07:56:33Z</dcterms:created>
  <dc:creator>openpyxl</dc:creator>
  <dc:description/>
  <dc:language>en-NZ</dc:language>
  <cp:lastModifiedBy/>
  <dcterms:modified xsi:type="dcterms:W3CDTF">2026-10-04T07:56:33Z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