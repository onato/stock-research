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<sst xmlns="http://schemas.openxmlformats.org/spreadsheetml/2006/main" count="362" uniqueCount="172">
  <si>
    <t xml:space="preserve">Ticker</t>
  </si>
  <si>
    <t xml:space="preserve">ADM.L</t>
  </si>
  <si>
    <t xml:space="preserve">Company</t>
  </si>
  <si>
    <t xml:space="preserve">Admiral Group plc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</si>
  <si>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</si>
  <si>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</si>
  <si>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</si>
  <si>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</si>
  <si>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2026-10-02T15:36:22Z</t>
  </si>
  <si>
    <t xml:space="preserve">Balance sheet date</t>
  </si>
  <si>
    <t xml:space="preserve">2025-12-31</t>
  </si>
  <si>
    <t xml:space="preserve">Model</t>
  </si>
  <si>
    <t xml:space="preserve">General insurer FCFE at cost of equity on insurance revenue (engine route)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</si>
  <si>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</si>
  <si>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</si>
  <si>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</si>
  <si>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</si>
  <si>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</si>
  <si>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</si>
  <si>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</si>
  <si>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</si>
  <si>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</si>
  <si>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2026-10-04T10:24:11Z</t>
  </si>
  <si>
    <t xml:space="preserve">Drivers file</t>
  </si>
  <si>
    <t xml:space="preserve">ADM.L_Drivers.json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</si>
  <si>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</si>
  <si>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</si>
  <si>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</si>
  <si>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Admiral is valued as an earnings stream, not a book. A capital-light, quota-share-reinsured personal-lines insurer that earns 45-57% ROE and distributes ~90% of it has no compounding book to multiply; its worth is the probability-weighted present value of the distributable profit the UK motor cycle lets it earn, discounted at a 9% GBP cost of equity. FY2025 is treated as near the top of that cycle (combined ratio 80%, Ogden tailwind, written premiums already shrinking) and H1 2026 as the turn, so year one steps down and the mid-cycle margin is set below FY2025 rather than extrapolated from it. The house basis expenses the GBP75m/yr employee free-share scheme; the street basis treats it as non-cash, and the gap between the two is what the price is paying for that scheme.
key_risks_to_valuation: UK motor pricing cycle: a delayed or shallow 2026 price recovery (the Group's own primary ORSA stress) pushes FY2027-28 towards the bear path; Admiral Money: gross loans +39% YoY to GBP1.88bn; a UK consumer-credit downturn would hit a book that has not been through a recession at this size; Claims inflation re-accelerating (repair costs, bodily injury, Ogden rate review) ahead of repricing; FCA intervention on pricing practices, premium finance or claims handling compressing UK personal-lines margins; Reinsurance/co-insurance terms: Admiral retains ~40-50% of UK motor risk and earns profit commission on the rest; harder quota-share terms reduce the structural margin edge; Investment income: the ~4% portfolio yield is ~GBP215m of FY2025 profit and falls with gilt yields; Capital policy: the new 65% normal dividend + buyback framework is untested; solvency 190% leaves buffer but a sustained soft market cuts distributions one-for-one; Europe (Italy/France/Spain) and the Flock commercial-motor acquisition: small today but have been loss-making before; Anchors: equity and diluted share count are 31 Dec 2025 vintage (the H1 2026 extraction is the announcement only) and should be refreshed when the full interim report is extracted</t>
  </si>
  <si>
    <t xml:space="preserve">Data sources</t>
  </si>
  <si>
    <t xml:space="preserve">price: Yahoo Finance chart API at inputs.price_as_of (LSE regular close, GBp); 52-week range 2624-4128
financials: ADM.L_Metrics.csv / core_metrics (FY2018-FY2025 annual + H1 FY2024-H1 FY2026) via make dcf-context; ADM.L_Annual_FY2025.txt lines 1586-1612 (results table), 1845-1872 (UK Insurance segment), 3018-3040 (capital return policy), 18915-18920 (share counts), 6621 (ORSA stress); ADM.L_HalfYear_H1-2026.txt (6 Aug 2026 interim announcement)
qualitative: ADM.L_Analysis.json was not yet present at build time (being produced in parallel); scenario axes drawn from the FY2025 annual report strategic review and the H1 2026 announcement</t>
  </si>
  <si>
    <t xml:space="preserve">Scenario narrative: bear</t>
  </si>
  <si>
    <t xml:space="preserve">The 2026 UK motor price recovery is delayed (the stress the Group itself models in its ORSA) and Admiral, holding rate, sheds volume: insurance revenue -3% then flat. A prolonged soft market pushes the combined ratio to the high-80s and PBT to a FY2023-like ~GBP600m in FY2027-28. Admiral Money, having grown gross loans 39% in a year to GBP1.9bn, takes elevated consumer-credit impairments; FCA pricing and claims-handling intervention compresses UK personal-lines margins; Europe and Flock remain small drags. Mature pre-SBC PBT margin 15%, terminal growth 2%, cap 14x. Dividends fall with profits under the 65% payout policy; buybacks are the first lever cut.</t>
  </si>
  <si>
    <t xml:space="preserve">Scenario narrative: base</t>
  </si>
  <si>
    <t xml:space="preserve">UK motor follows a normal cycle. FY2025 was close to the top (combined ratio 80%, written premiums already falling as prices reduced) and H1 2026 confirmed the turn (PBT -18%, insurance revenue -1%, dividend -39% on the new 65%-payout policy). Admiral raised rates in early 2026 ahead of the market; written premiums bottom in 2026 and earned revenue grows 4-5% from 2027 as pricing and 5%/yr customer growth earn through. Pre-SBC PBT margin settles at 17% of insurance revenue (PBT margin 15.5%, between the FY2023 trough and FY2025 peak), with the structural expense-ratio advantage, quota-share profit commissions and ~4% investment yields intact. About 90% of profit is distributed (65% normal dividend plus buybacks), 10% retained to keep solvency near 190%. Discounted at a 9% GBP cost of equity, Gordon at 2.5% binds below the 16x cap.</t>
  </si>
  <si>
    <t xml:space="preserve">Scenario narrative: bull</t>
  </si>
  <si>
    <t xml:space="preserve">Admiral does what it did in 2018 and 2023-24: having moved on price before the market, it takes share as competitors reprice, growing UK vehicles 6-8% and insurance revenue 6-7% for three years. UK Household, Travel and Pet keep compounding ~20% off a small base, Europe stays profitable after the 2025 turnaround, Flock scales Admiral into commercial motor, and Admiral Money reaches ~GBP50m PBT without a credit event. Claims inflation keeps easing so the combined ratio holds in the low-80s and the pre-SBC PBT margin stays ~18.5%. Terminal growth 3%; the 16x cap binds.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</si>
  <si>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</si>
  <si>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</si>
  <si>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</si>
  <si>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</si>
  <si>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</si>
  <si>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</si>
  <si>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</si>
  <si>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</si>
  <si>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</si>
  <si>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</si>
  <si>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</si>
  <si>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</si>
  <si>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</si>
  <si>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</si>
  <si>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</si>
  <si>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</si>
  <si>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</si>
  <si>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</si>
  <si>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</si>
  <si>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</si>
  <si>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</si>
  <si>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</si>
  <si>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</si>
  <si>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</si>
  <si>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</si>
  <si>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</si>
  <si>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</si>
  <si>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Customers</t>
  </si>
  <si>
    <t xml:space="preserve">GrossLoansAndAdvances</t>
  </si>
  <si>
    <t xml:space="preserve">InsuranceServiceResult</t>
  </si>
  <si>
    <t xml:space="preserve">NetIncomeContinuing</t>
  </si>
  <si>
    <t xml:space="preserve">NetInterestIncome</t>
  </si>
  <si>
    <t xml:space="preserve">NetLoansAndAdvances</t>
  </si>
  <si>
    <t xml:space="preserve">NetRevenue</t>
  </si>
  <si>
    <t xml:space="preserve">ReturnOnEquity</t>
  </si>
  <si>
    <t xml:space="preserve">ShareAwardSettlement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</si>
  <si>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</si>
  <si>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</si>
  <si>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</si>
  <si>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</si>
  <si>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</si>
  <si>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</si>
  <si>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</si>
  <si>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</si>
  <si>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</si>
  <si>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</si>
  <si>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</si>
  <si>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</si>
  <si>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</si>
  <si>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</si>
  <si>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</si>
  <si>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</si>
  <si>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</si>
  <si>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</si>
  <si>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</si>
  <si>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</si>
  <si>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</si>
  <si>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</si>
  <si>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</si>
  <si>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</si>
  <si>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</si>
  <si>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</si>
  <si>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</si>
  <si>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</si>
  <si>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</si>
  <si>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</si>
  <si>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</si>
  <si>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</si>
  <si>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</si>
  <si>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</si>
  <si>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</si>
  <si>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</si>
  <si>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</si>
  <si>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</si>
  <si>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</si>
  <si>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</si>
  <si>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</si>
  <si>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</si>
  <si>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</si>
  <si>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</si>
  <si>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</si>
  <si>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ADM.L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</si>
  <si>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</si>
  <si>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</si>
  <si>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</si>
  <si>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</si>
  <si>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</si>
  <si>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</si>
  <si>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</si>
  <si>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</si>
  <si>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</si>
  <si>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</si>
  <si>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</si>
  <si>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</si>
  <si>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</si>
  <si>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</si>
  <si>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</si>
  <si>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</si>
  <si>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</si>
  <si>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</si>
  <si>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</si>
  <si>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</si>
  <si>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</si>
  <si>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</si>
  <si>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</si>
  <si>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</si>
  <si>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</si>
  <si>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</si>
  <si>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</si>
  <si>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</si>
  <si>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</si>
  <si>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</si>
  <si>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ADM.L owner-FCF component DCF: base case (millions, GBP)</t>
  </si>
  <si>
    <t xml:space="preserve">ADM.L owner-FCF component DCF: bull case (millions, GBP)</t>
  </si>
  <si>
    <t xml:space="preserve">ADM.L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</si>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</sst>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</row>
    <row r="2" customFormat="false" ht="15" hidden="false" customHeight="false" outlineLevel="0" collapsed="false">
      <c r="A2" s="0" t="s">
        <v>73</v>
      </c>
      <c r="B2" s="0" t="n">
        <v>2079.6</v>
      </c>
      <c r="F2" s="0" t="n">
        <v>487.5</v>
      </c>
      <c r="G2" s="0" t="n">
        <v>23.4</v>
      </c>
      <c r="I2" s="0" t="n">
        <v>395.1</v>
      </c>
      <c r="J2" s="0" t="n">
        <v>19</v>
      </c>
      <c r="K2" s="0" t="n">
        <v>1.371</v>
      </c>
      <c r="L2" s="0" t="n">
        <v>184.1</v>
      </c>
      <c r="M2" s="0" t="n">
        <v>23.9</v>
      </c>
      <c r="N2" s="0" t="n">
        <v>160.2</v>
      </c>
      <c r="O2" s="0" t="n">
        <v>758.3</v>
      </c>
      <c r="P2" s="0" t="n">
        <v>6802.5</v>
      </c>
      <c r="Q2" s="0" t="n">
        <v>6031.4</v>
      </c>
      <c r="R2" s="0" t="n">
        <v>444.2</v>
      </c>
      <c r="S2" s="0" t="n">
        <v>376.8</v>
      </c>
      <c r="T2" s="0" t="n">
        <v>288.8</v>
      </c>
      <c r="U2" s="0" t="n">
        <v>49.8</v>
      </c>
      <c r="V2" s="0" t="n">
        <v>1.26</v>
      </c>
      <c r="AA2" s="0" t="s">
        <v>18</v>
      </c>
      <c r="AB2" s="0" t="s">
        <v>14</v>
      </c>
      <c r="AC2" s="0" t="n">
        <v>6.51</v>
      </c>
      <c r="AG2" s="0" t="n">
        <v>11.4</v>
      </c>
      <c r="AH2" s="0" t="n">
        <v>300.2</v>
      </c>
      <c r="AI2" s="0" t="n">
        <v>1261.6</v>
      </c>
      <c r="AJ2" s="0" t="n">
        <v>56</v>
      </c>
      <c r="AK2" s="0" t="n">
        <v>0</v>
      </c>
    </row>
    <row r="3" customFormat="false" ht="15" hidden="false" customHeight="false" outlineLevel="0" collapsed="false">
      <c r="A3" s="0" t="s">
        <v>74</v>
      </c>
      <c r="B3" s="0" t="n">
        <v>2198.4</v>
      </c>
      <c r="F3" s="0" t="n">
        <v>535.2</v>
      </c>
      <c r="G3" s="0" t="n">
        <v>24.3</v>
      </c>
      <c r="I3" s="0" t="n">
        <v>432.4</v>
      </c>
      <c r="J3" s="0" t="n">
        <v>19.7</v>
      </c>
      <c r="K3" s="0" t="n">
        <v>1.483</v>
      </c>
      <c r="L3" s="0" t="n">
        <v>236.6</v>
      </c>
      <c r="M3" s="0" t="n">
        <v>33.6</v>
      </c>
      <c r="N3" s="0" t="n">
        <v>203</v>
      </c>
      <c r="O3" s="0" t="n">
        <v>909.4</v>
      </c>
      <c r="P3" s="0" t="n">
        <v>7585.4</v>
      </c>
      <c r="Q3" s="0" t="n">
        <v>6666.8</v>
      </c>
      <c r="R3" s="0" t="n">
        <v>530.1</v>
      </c>
      <c r="S3" s="0" t="n">
        <v>281.7</v>
      </c>
      <c r="T3" s="0" t="n">
        <v>292.2</v>
      </c>
      <c r="U3" s="0" t="n">
        <v>53.4</v>
      </c>
      <c r="V3" s="0" t="n">
        <v>1.4</v>
      </c>
      <c r="AA3" s="0" t="s">
        <v>18</v>
      </c>
      <c r="AB3" s="0" t="s">
        <v>14</v>
      </c>
      <c r="AC3" s="0" t="n">
        <v>6.98</v>
      </c>
      <c r="AG3" s="0" t="n">
        <v>24.5</v>
      </c>
      <c r="AH3" s="0" t="n">
        <v>455.1</v>
      </c>
      <c r="AI3" s="0" t="n">
        <v>1354</v>
      </c>
      <c r="AJ3" s="0" t="n">
        <v>52</v>
      </c>
      <c r="AK3" s="0" t="n">
        <v>0</v>
      </c>
    </row>
    <row r="4" customFormat="false" ht="15" hidden="false" customHeight="false" outlineLevel="0" collapsed="false">
      <c r="A4" s="0" t="s">
        <v>75</v>
      </c>
      <c r="B4" s="0" t="n">
        <v>2265.3</v>
      </c>
      <c r="F4" s="0" t="n">
        <v>620.5</v>
      </c>
      <c r="G4" s="0" t="n">
        <v>27.4</v>
      </c>
      <c r="I4" s="0" t="n">
        <v>528.8</v>
      </c>
      <c r="J4" s="0" t="n">
        <v>23.3</v>
      </c>
      <c r="K4" s="0" t="n">
        <v>1.795</v>
      </c>
      <c r="L4" s="0" t="n">
        <v>608.8</v>
      </c>
      <c r="M4" s="0" t="n">
        <v>43.1</v>
      </c>
      <c r="N4" s="0" t="n">
        <v>565.7</v>
      </c>
      <c r="O4" s="0" t="n">
        <v>1112.7</v>
      </c>
      <c r="P4" s="0" t="n">
        <v>7842.2</v>
      </c>
      <c r="Q4" s="0" t="n">
        <v>6718.8</v>
      </c>
      <c r="R4" s="0" t="n">
        <v>488.6</v>
      </c>
      <c r="S4" s="0" t="n">
        <v>298.2</v>
      </c>
      <c r="T4" s="0" t="n">
        <v>295.1</v>
      </c>
      <c r="U4" s="0" t="n">
        <v>54</v>
      </c>
      <c r="V4" s="0" t="n">
        <v>1.565</v>
      </c>
      <c r="AA4" s="0" t="s">
        <v>18</v>
      </c>
      <c r="AB4" s="0" t="s">
        <v>14</v>
      </c>
      <c r="AC4" s="0" t="n">
        <v>7.66</v>
      </c>
      <c r="AF4" s="0" t="n">
        <v>502</v>
      </c>
      <c r="AG4" s="0" t="n">
        <v>29.6</v>
      </c>
      <c r="AH4" s="0" t="n">
        <v>359.8</v>
      </c>
      <c r="AI4" s="0" t="n">
        <v>1305.3</v>
      </c>
      <c r="AJ4" s="0" t="n">
        <v>52</v>
      </c>
      <c r="AK4" s="0" t="n">
        <v>0</v>
      </c>
    </row>
    <row r="5" customFormat="false" ht="15" hidden="false" customHeight="false" outlineLevel="0" collapsed="false">
      <c r="A5" s="0" t="s">
        <v>76</v>
      </c>
      <c r="B5" s="0" t="n">
        <v>2492.3</v>
      </c>
      <c r="F5" s="0" t="n">
        <v>725.4</v>
      </c>
      <c r="G5" s="0" t="n">
        <v>29.1</v>
      </c>
      <c r="I5" s="0" t="n">
        <v>997.9</v>
      </c>
      <c r="J5" s="0" t="n">
        <v>40</v>
      </c>
      <c r="K5" s="0" t="n">
        <v>3.355</v>
      </c>
      <c r="L5" s="0" t="n">
        <v>244.6</v>
      </c>
      <c r="M5" s="0" t="n">
        <v>69.2</v>
      </c>
      <c r="N5" s="0" t="n">
        <v>175.4</v>
      </c>
      <c r="O5" s="0" t="n">
        <v>1406.2</v>
      </c>
      <c r="P5" s="0" t="n">
        <v>8359.7</v>
      </c>
      <c r="Q5" s="0" t="n">
        <v>6951.2</v>
      </c>
      <c r="R5" s="0" t="n">
        <v>670.9</v>
      </c>
      <c r="S5" s="0" t="n">
        <v>372.7</v>
      </c>
      <c r="T5" s="0" t="n">
        <v>298.3</v>
      </c>
      <c r="U5" s="0" t="n">
        <v>65.2</v>
      </c>
      <c r="V5" s="0" t="n">
        <v>1.87</v>
      </c>
      <c r="AA5" s="0" t="s">
        <v>18</v>
      </c>
      <c r="AB5" s="0" t="s">
        <v>14</v>
      </c>
      <c r="AC5" s="0" t="n">
        <v>8.36</v>
      </c>
      <c r="AF5" s="0" t="n">
        <v>583.3</v>
      </c>
      <c r="AG5" s="0" t="n">
        <v>30.5</v>
      </c>
      <c r="AH5" s="0" t="n">
        <v>556.8</v>
      </c>
      <c r="AI5" s="0" t="n">
        <v>1550</v>
      </c>
      <c r="AJ5" s="0" t="n">
        <v>56</v>
      </c>
      <c r="AK5" s="0" t="n">
        <v>0</v>
      </c>
    </row>
    <row r="6" customFormat="false" ht="15" hidden="false" customHeight="false" outlineLevel="0" collapsed="false">
      <c r="A6" s="0" t="s">
        <v>77</v>
      </c>
      <c r="B6" s="0" t="n">
        <v>2956.9</v>
      </c>
      <c r="F6" s="0" t="n">
        <v>373.2</v>
      </c>
      <c r="G6" s="0" t="n">
        <v>12.6</v>
      </c>
      <c r="I6" s="0" t="n">
        <v>286.5</v>
      </c>
      <c r="J6" s="0" t="n">
        <v>9.7</v>
      </c>
      <c r="K6" s="0" t="n">
        <v>0.954</v>
      </c>
      <c r="L6" s="0" t="n">
        <v>476.9</v>
      </c>
      <c r="M6" s="0" t="n">
        <v>98.6</v>
      </c>
      <c r="N6" s="0" t="n">
        <v>378.3</v>
      </c>
      <c r="O6" s="0" t="n">
        <v>885.8</v>
      </c>
      <c r="P6" s="0" t="n">
        <v>6208.8</v>
      </c>
      <c r="Q6" s="0" t="n">
        <v>5321.8</v>
      </c>
      <c r="R6" s="0" t="n">
        <v>939.1</v>
      </c>
      <c r="S6" s="0" t="n">
        <v>297</v>
      </c>
      <c r="T6" s="0" t="n">
        <v>301.6</v>
      </c>
      <c r="U6" s="0" t="n">
        <v>57.3</v>
      </c>
      <c r="V6" s="0" t="n">
        <v>1.12</v>
      </c>
      <c r="AA6" s="0" t="s">
        <v>18</v>
      </c>
      <c r="AB6" s="0" t="s">
        <v>14</v>
      </c>
      <c r="AC6" s="0" t="n">
        <v>9.2</v>
      </c>
      <c r="AE6" s="0" t="n">
        <v>181.3</v>
      </c>
      <c r="AG6" s="0" t="n">
        <v>46.1</v>
      </c>
      <c r="AH6" s="0" t="n">
        <v>823.9</v>
      </c>
      <c r="AJ6" s="0" t="n">
        <v>29</v>
      </c>
      <c r="AK6" s="0" t="n">
        <v>0</v>
      </c>
    </row>
    <row r="7" customFormat="false" ht="15" hidden="false" customHeight="false" outlineLevel="0" collapsed="false">
      <c r="A7" s="0" t="s">
        <v>78</v>
      </c>
      <c r="B7" s="0" t="n">
        <v>3486.1</v>
      </c>
      <c r="F7" s="0" t="n">
        <v>462.9</v>
      </c>
      <c r="G7" s="0" t="n">
        <v>13.3</v>
      </c>
      <c r="I7" s="0" t="n">
        <v>338</v>
      </c>
      <c r="J7" s="0" t="n">
        <v>9.7</v>
      </c>
      <c r="K7" s="0" t="n">
        <v>1.112</v>
      </c>
      <c r="L7" s="0" t="n">
        <v>279</v>
      </c>
      <c r="M7" s="0" t="n">
        <v>75.9</v>
      </c>
      <c r="N7" s="0" t="n">
        <v>203.1</v>
      </c>
      <c r="O7" s="0" t="n">
        <v>991.8</v>
      </c>
      <c r="P7" s="0" t="n">
        <v>7096.2</v>
      </c>
      <c r="Q7" s="0" t="n">
        <v>6103.4</v>
      </c>
      <c r="R7" s="0" t="n">
        <v>1129.8</v>
      </c>
      <c r="S7" s="0" t="n">
        <v>353.1</v>
      </c>
      <c r="T7" s="0" t="n">
        <v>305.1</v>
      </c>
      <c r="U7" s="0" t="n">
        <v>63.3</v>
      </c>
      <c r="V7" s="0" t="n">
        <v>1.03</v>
      </c>
      <c r="AA7" s="0" t="s">
        <v>18</v>
      </c>
      <c r="AB7" s="0" t="s">
        <v>14</v>
      </c>
      <c r="AC7" s="0" t="n">
        <v>9.7</v>
      </c>
      <c r="AE7" s="0" t="n">
        <v>305.8</v>
      </c>
      <c r="AG7" s="0" t="n">
        <v>68.1</v>
      </c>
      <c r="AH7" s="0" t="n">
        <v>879.4</v>
      </c>
      <c r="AJ7" s="0" t="n">
        <v>36</v>
      </c>
      <c r="AK7" s="0" t="n">
        <v>0</v>
      </c>
    </row>
    <row r="8" customFormat="false" ht="15" hidden="false" customHeight="false" outlineLevel="0" collapsed="false">
      <c r="A8" s="0" t="s">
        <v>79</v>
      </c>
      <c r="B8" s="0" t="n">
        <v>4776.2</v>
      </c>
      <c r="F8" s="0" t="n">
        <v>865.7</v>
      </c>
      <c r="G8" s="0" t="n">
        <v>18.1</v>
      </c>
      <c r="I8" s="0" t="n">
        <v>663.3</v>
      </c>
      <c r="J8" s="0" t="n">
        <v>13.9</v>
      </c>
      <c r="K8" s="0" t="n">
        <v>2.166</v>
      </c>
      <c r="L8" s="0" t="n">
        <v>369</v>
      </c>
      <c r="M8" s="0" t="n">
        <v>61.7</v>
      </c>
      <c r="N8" s="0" t="n">
        <v>307.3</v>
      </c>
      <c r="O8" s="0" t="n">
        <v>1370.1</v>
      </c>
      <c r="P8" s="0" t="n">
        <v>7944.2</v>
      </c>
      <c r="Q8" s="0" t="n">
        <v>6573.5</v>
      </c>
      <c r="R8" s="0" t="n">
        <v>1322.2</v>
      </c>
      <c r="S8" s="0" t="n">
        <v>313.6</v>
      </c>
      <c r="T8" s="0" t="n">
        <v>306.2</v>
      </c>
      <c r="U8" s="0" t="n">
        <v>67.8</v>
      </c>
      <c r="V8" s="0" t="n">
        <v>1.92</v>
      </c>
      <c r="AA8" s="0" t="s">
        <v>18</v>
      </c>
      <c r="AB8" s="0" t="s">
        <v>14</v>
      </c>
      <c r="AC8" s="0" t="n">
        <v>11</v>
      </c>
      <c r="AE8" s="0" t="n">
        <v>710.3</v>
      </c>
      <c r="AG8" s="0" t="n">
        <v>76.3</v>
      </c>
      <c r="AH8" s="0" t="n">
        <v>1106.9</v>
      </c>
      <c r="AJ8" s="0" t="n">
        <v>56</v>
      </c>
      <c r="AK8" s="0" t="n">
        <v>0</v>
      </c>
    </row>
    <row r="9" customFormat="false" ht="15" hidden="false" customHeight="false" outlineLevel="0" collapsed="false">
      <c r="A9" s="0" t="s">
        <v>80</v>
      </c>
      <c r="B9" s="0" t="n">
        <v>4979.3</v>
      </c>
      <c r="F9" s="0" t="n">
        <v>981.9</v>
      </c>
      <c r="G9" s="0" t="n">
        <v>19.7</v>
      </c>
      <c r="I9" s="0" t="n">
        <v>742.6</v>
      </c>
      <c r="J9" s="0" t="n">
        <v>14.9</v>
      </c>
      <c r="K9" s="0" t="n">
        <v>2.464</v>
      </c>
      <c r="L9" s="0" t="n">
        <v>436.5</v>
      </c>
      <c r="M9" s="0" t="n">
        <v>74.3</v>
      </c>
      <c r="N9" s="0" t="n">
        <v>362.2</v>
      </c>
      <c r="O9" s="0" t="n">
        <v>1443.3</v>
      </c>
      <c r="P9" s="0" t="n">
        <v>9022.8</v>
      </c>
      <c r="Q9" s="0" t="n">
        <v>7579.2</v>
      </c>
      <c r="R9" s="0" t="n">
        <v>1819.9</v>
      </c>
      <c r="S9" s="0" t="n">
        <v>301.1</v>
      </c>
      <c r="T9" s="0" t="n">
        <v>307.2</v>
      </c>
      <c r="U9" s="0" t="n">
        <v>75</v>
      </c>
      <c r="V9" s="0" t="n">
        <v>2.05</v>
      </c>
      <c r="AA9" s="0" t="s">
        <v>18</v>
      </c>
      <c r="AB9" s="0" t="s">
        <v>14</v>
      </c>
      <c r="AC9" s="0" t="n">
        <v>11.8</v>
      </c>
      <c r="AE9" s="0" t="n">
        <v>786.3</v>
      </c>
      <c r="AF9" s="0" t="n">
        <v>745.3</v>
      </c>
      <c r="AG9" s="0" t="n">
        <v>89</v>
      </c>
      <c r="AH9" s="0" t="n">
        <v>1628.7</v>
      </c>
      <c r="AJ9" s="0" t="n">
        <v>53</v>
      </c>
      <c r="AK9" s="0" t="n">
        <v>35.3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3588</v>
      </c>
    </row>
    <row r="3" customFormat="false" ht="15" hidden="false" customHeight="false" outlineLevel="0" collapsed="false">
      <c r="A3" s="0" t="s">
        <v>84</v>
      </c>
      <c r="B3" s="3" t="n">
        <v>307.2</v>
      </c>
    </row>
    <row r="4" customFormat="false" ht="15" hidden="false" customHeight="false" outlineLevel="0" collapsed="false">
      <c r="A4" s="0" t="s">
        <v>85</v>
      </c>
      <c r="B4" s="3" t="n">
        <v>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4979.3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100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-3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16.5</v>
      </c>
      <c r="D14" s="3" t="n">
        <v>14</v>
      </c>
      <c r="E14" s="3" t="n">
        <v>13.5</v>
      </c>
      <c r="F14" s="3" t="n">
        <v>14</v>
      </c>
      <c r="G14" s="3" t="n">
        <v>14.5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106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</row>
    <row r="19" customFormat="false" ht="15" hidden="false" customHeight="false" outlineLevel="0" collapsed="false">
      <c r="A19" s="0" t="s">
        <v>110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14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-1.5</v>
      </c>
      <c r="D27" s="3" t="n">
        <v>4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18</v>
      </c>
      <c r="D28" s="3" t="n">
        <v>17</v>
      </c>
      <c r="E28" s="3" t="n">
        <v>16.5</v>
      </c>
      <c r="F28" s="3" t="n">
        <v>16.5</v>
      </c>
      <c r="G28" s="3" t="n">
        <v>17</v>
      </c>
      <c r="H28" s="3" t="n">
        <v>17</v>
      </c>
      <c r="I28" s="3" t="n">
        <v>17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106</v>
      </c>
      <c r="C29" s="3" t="n">
        <v>1.5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1.5</v>
      </c>
      <c r="D32" s="3" t="n">
        <v>1.5</v>
      </c>
      <c r="E32" s="3" t="n">
        <v>1.5</v>
      </c>
      <c r="F32" s="3" t="n">
        <v>1.5</v>
      </c>
      <c r="G32" s="3" t="n">
        <v>1.5</v>
      </c>
      <c r="H32" s="3" t="n">
        <v>1.5</v>
      </c>
      <c r="I32" s="3" t="n">
        <v>1.5</v>
      </c>
      <c r="J32" s="3" t="n">
        <v>1.5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110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16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-0.5</v>
      </c>
      <c r="D41" s="3" t="n">
        <v>7</v>
      </c>
      <c r="E41" s="3" t="n">
        <v>7</v>
      </c>
      <c r="F41" s="3" t="n">
        <v>6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19</v>
      </c>
      <c r="D42" s="3" t="n">
        <v>19</v>
      </c>
      <c r="E42" s="3" t="n">
        <v>18.5</v>
      </c>
      <c r="F42" s="3" t="n">
        <v>18.5</v>
      </c>
      <c r="G42" s="3" t="n">
        <v>18.5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106</v>
      </c>
      <c r="C43" s="3" t="n">
        <v>1.5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1.75</v>
      </c>
      <c r="D46" s="3" t="n">
        <v>1.75</v>
      </c>
      <c r="E46" s="3" t="n">
        <v>1.75</v>
      </c>
      <c r="F46" s="3" t="n">
        <v>1.75</v>
      </c>
      <c r="G46" s="3" t="n">
        <v>1.75</v>
      </c>
      <c r="H46" s="3" t="n">
        <v>1.75</v>
      </c>
      <c r="I46" s="3" t="n">
        <v>1.75</v>
      </c>
      <c r="J46" s="3" t="n">
        <v>1.75</v>
      </c>
      <c r="K46" s="3" t="n">
        <v>1.75</v>
      </c>
      <c r="L46" s="3" t="n">
        <v>1.75</v>
      </c>
    </row>
    <row r="47" customFormat="false" ht="15" hidden="false" customHeight="false" outlineLevel="0" collapsed="false">
      <c r="A47" s="0" t="s">
        <v>110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16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-3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4979.3</v>
      </c>
      <c r="C6" s="0" t="n">
        <f aca="false">B6*(1+C5/100)</f>
        <v>4829.921</v>
      </c>
      <c r="D6" s="0" t="n">
        <f aca="false">C6*(1+D5/100)</f>
        <v>4829.921</v>
      </c>
      <c r="E6" s="0" t="n">
        <f aca="false">D6*(1+E5/100)</f>
        <v>4926.51942</v>
      </c>
      <c r="F6" s="0" t="n">
        <f aca="false">E6*(1+F5/100)</f>
        <v>5074.3150026</v>
      </c>
      <c r="G6" s="0" t="n">
        <f aca="false">F6*(1+G5/100)</f>
        <v>5226.544452678</v>
      </c>
      <c r="H6" s="0" t="n">
        <f aca="false">G6*(1+H5/100)</f>
        <v>5383.34078625834</v>
      </c>
      <c r="I6" s="0" t="n">
        <f aca="false">H6*(1+I5/100)</f>
        <v>5544.84100984609</v>
      </c>
      <c r="J6" s="0" t="n">
        <f aca="false">I6*(1+J5/100)</f>
        <v>5683.46203509224</v>
      </c>
      <c r="K6" s="0" t="n">
        <f aca="false">J6*(1+K5/100)</f>
        <v>5825.54858596955</v>
      </c>
      <c r="L6" s="0" t="n">
        <f aca="false">K6*(1+L5/100)</f>
        <v>5971.18730061879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16.5</v>
      </c>
      <c r="D7" s="4" t="n">
        <f aca="false">Assumptions!D14</f>
        <v>14</v>
      </c>
      <c r="E7" s="4" t="n">
        <f aca="false">Assumptions!E14</f>
        <v>13.5</v>
      </c>
      <c r="F7" s="4" t="n">
        <f aca="false">Assumptions!F14</f>
        <v>14</v>
      </c>
      <c r="G7" s="4" t="n">
        <f aca="false">Assumptions!G14</f>
        <v>14.5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796.936965</v>
      </c>
      <c r="D8" s="0" t="n">
        <f aca="false">D6*D7/100</f>
        <v>676.18894</v>
      </c>
      <c r="E8" s="0" t="n">
        <f aca="false">E6*E7/100</f>
        <v>665.0801217</v>
      </c>
      <c r="F8" s="0" t="n">
        <f aca="false">F6*F7/100</f>
        <v>710.404100364</v>
      </c>
      <c r="G8" s="0" t="n">
        <f aca="false">G6*G7/100</f>
        <v>757.84894563831</v>
      </c>
      <c r="H8" s="0" t="n">
        <f aca="false">H6*H7/100</f>
        <v>807.501117938751</v>
      </c>
      <c r="I8" s="0" t="n">
        <f aca="false">I6*I7/100</f>
        <v>831.726151476914</v>
      </c>
      <c r="J8" s="0" t="n">
        <f aca="false">J6*J7/100</f>
        <v>852.519305263836</v>
      </c>
      <c r="K8" s="0" t="n">
        <f aca="false">K6*K7/100</f>
        <v>873.832287895432</v>
      </c>
      <c r="L8" s="0" t="n">
        <f aca="false">L6*L7/100</f>
        <v>895.678095092818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-72.448815</v>
      </c>
      <c r="D10" s="0" t="n">
        <f aca="false">-D6*D9/100</f>
        <v>-72.448815</v>
      </c>
      <c r="E10" s="0" t="n">
        <f aca="false">-E6*E9/100</f>
        <v>-73.8977913</v>
      </c>
      <c r="F10" s="0" t="n">
        <f aca="false">-F6*F9/100</f>
        <v>-76.114725039</v>
      </c>
      <c r="G10" s="0" t="n">
        <f aca="false">-G6*G9/100</f>
        <v>-78.39816679017</v>
      </c>
      <c r="H10" s="0" t="n">
        <f aca="false">-H6*H9/100</f>
        <v>-80.7501117938751</v>
      </c>
      <c r="I10" s="0" t="n">
        <f aca="false">-I6*I9/100</f>
        <v>-83.1726151476914</v>
      </c>
      <c r="J10" s="0" t="n">
        <f aca="false">-J6*J9/100</f>
        <v>-85.2519305263836</v>
      </c>
      <c r="K10" s="0" t="n">
        <f aca="false">-K6*K9/100</f>
        <v>-87.3832287895432</v>
      </c>
      <c r="L10" s="0" t="n">
        <f aca="false">-L6*L9/100</f>
        <v>-89.5678095092818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724.48815</v>
      </c>
      <c r="D11" s="0" t="n">
        <f aca="false">D8+D10+D24</f>
        <v>603.740125</v>
      </c>
      <c r="E11" s="0" t="n">
        <f aca="false">E8+E10+E24</f>
        <v>591.1823304</v>
      </c>
      <c r="F11" s="0" t="n">
        <f aca="false">F8+F10+F24</f>
        <v>634.289375325</v>
      </c>
      <c r="G11" s="0" t="n">
        <f aca="false">G8+G10+G24</f>
        <v>679.45077884814</v>
      </c>
      <c r="H11" s="0" t="n">
        <f aca="false">H8+H10+H24</f>
        <v>726.751006144876</v>
      </c>
      <c r="I11" s="0" t="n">
        <f aca="false">I8+I10+I24</f>
        <v>748.553536329222</v>
      </c>
      <c r="J11" s="0" t="n">
        <f aca="false">J8+J10+J24</f>
        <v>767.267374737453</v>
      </c>
      <c r="K11" s="0" t="n">
        <f aca="false">K8+K10+K24</f>
        <v>786.449059105889</v>
      </c>
      <c r="L11" s="0" t="n">
        <f aca="false">L8+L10+L24</f>
        <v>806.110285583536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724.48815</v>
      </c>
      <c r="D13" s="0" t="n">
        <f aca="false">D11+D12</f>
        <v>603.740125</v>
      </c>
      <c r="E13" s="0" t="n">
        <f aca="false">E11+E12</f>
        <v>591.1823304</v>
      </c>
      <c r="F13" s="0" t="n">
        <f aca="false">F11+F12</f>
        <v>634.289375325</v>
      </c>
      <c r="G13" s="0" t="n">
        <f aca="false">G11+G12</f>
        <v>679.45077884814</v>
      </c>
      <c r="H13" s="0" t="n">
        <f aca="false">H11+H12</f>
        <v>726.751006144876</v>
      </c>
      <c r="I13" s="0" t="n">
        <f aca="false">I11+I12</f>
        <v>748.553536329222</v>
      </c>
      <c r="J13" s="0" t="n">
        <f aca="false">J11+J12</f>
        <v>767.267374737453</v>
      </c>
      <c r="K13" s="0" t="n">
        <f aca="false">K11+K12</f>
        <v>786.449059105889</v>
      </c>
      <c r="L13" s="0" t="n">
        <f aca="false">L11+L12</f>
        <v>806.110285583536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557.8558755</v>
      </c>
      <c r="D15" s="0" t="n">
        <f aca="false">D13-MAX(0,D13)*D14/100</f>
        <v>464.87989625</v>
      </c>
      <c r="E15" s="0" t="n">
        <f aca="false">E13-MAX(0,E13)*E14/100</f>
        <v>455.210394408</v>
      </c>
      <c r="F15" s="0" t="n">
        <f aca="false">F13-MAX(0,F13)*F14/100</f>
        <v>488.40281900025</v>
      </c>
      <c r="G15" s="0" t="n">
        <f aca="false">G13-MAX(0,G13)*G14/100</f>
        <v>523.177099713068</v>
      </c>
      <c r="H15" s="0" t="n">
        <f aca="false">H13-MAX(0,H13)*H14/100</f>
        <v>559.598274731554</v>
      </c>
      <c r="I15" s="0" t="n">
        <f aca="false">I13-MAX(0,I13)*I14/100</f>
        <v>576.386222973501</v>
      </c>
      <c r="J15" s="0" t="n">
        <f aca="false">J13-MAX(0,J13)*J14/100</f>
        <v>590.795878547839</v>
      </c>
      <c r="K15" s="0" t="n">
        <f aca="false">K13-MAX(0,K13)*K14/100</f>
        <v>605.565775511534</v>
      </c>
      <c r="L15" s="0" t="n">
        <f aca="false">L13-MAX(0,L13)*L14/100</f>
        <v>620.704919899323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-48.29921</v>
      </c>
      <c r="D17" s="4" t="n">
        <f aca="false">-D6*Assumptions!D18/100</f>
        <v>-48.29921</v>
      </c>
      <c r="E17" s="4" t="n">
        <f aca="false">-E6*Assumptions!E18/100</f>
        <v>-49.2651942</v>
      </c>
      <c r="F17" s="4" t="n">
        <f aca="false">-F6*Assumptions!F18/100</f>
        <v>-50.743150026</v>
      </c>
      <c r="G17" s="4" t="n">
        <f aca="false">-G6*Assumptions!G18/100</f>
        <v>-52.26544452678</v>
      </c>
      <c r="H17" s="4" t="n">
        <f aca="false">-H6*Assumptions!H18/100</f>
        <v>-53.8334078625834</v>
      </c>
      <c r="I17" s="4" t="n">
        <f aca="false">-I6*Assumptions!I18/100</f>
        <v>-55.4484100984609</v>
      </c>
      <c r="J17" s="4" t="n">
        <f aca="false">-J6*Assumptions!J18/100</f>
        <v>-56.8346203509224</v>
      </c>
      <c r="K17" s="4" t="n">
        <f aca="false">-K6*Assumptions!K18/100</f>
        <v>-58.2554858596955</v>
      </c>
      <c r="L17" s="4" t="n">
        <f aca="false">-L6*Assumptions!L18/100</f>
        <v>-59.7118730061879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509.5566655</v>
      </c>
      <c r="D19" s="0" t="n">
        <f aca="false">D15+D16+D17+D18</f>
        <v>416.58068625</v>
      </c>
      <c r="E19" s="0" t="n">
        <f aca="false">E15+E16+E17+E18</f>
        <v>405.945200208</v>
      </c>
      <c r="F19" s="0" t="n">
        <f aca="false">F15+F16+F17+F18</f>
        <v>437.65966897425</v>
      </c>
      <c r="G19" s="0" t="n">
        <f aca="false">G15+G16+G17+G18</f>
        <v>470.911655186288</v>
      </c>
      <c r="H19" s="0" t="n">
        <f aca="false">H15+H16+H17+H18</f>
        <v>505.764866868971</v>
      </c>
      <c r="I19" s="0" t="n">
        <f aca="false">I15+I16+I17+I18</f>
        <v>520.93781287504</v>
      </c>
      <c r="J19" s="0" t="n">
        <f aca="false">J15+J16+J17+J18</f>
        <v>533.961258196916</v>
      </c>
      <c r="K19" s="0" t="n">
        <f aca="false">K15+K16+K17+K18</f>
        <v>547.310289651839</v>
      </c>
      <c r="L19" s="0" t="n">
        <f aca="false">L15+L16+L17+L18</f>
        <v>560.993046893135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467.483179357798</v>
      </c>
      <c r="D21" s="0" t="n">
        <f aca="false">D19*D20</f>
        <v>350.627629197879</v>
      </c>
      <c r="E21" s="0" t="n">
        <f aca="false">E19*E20</f>
        <v>313.464177410699</v>
      </c>
      <c r="F21" s="0" t="n">
        <f aca="false">F19*F20</f>
        <v>310.049143367807</v>
      </c>
      <c r="G21" s="0" t="n">
        <f aca="false">G19*G20</f>
        <v>306.060264879272</v>
      </c>
      <c r="H21" s="0" t="n">
        <f aca="false">H19*H20</f>
        <v>301.571065197384</v>
      </c>
      <c r="I21" s="0" t="n">
        <f aca="false">I19*I20</f>
        <v>284.970823076427</v>
      </c>
      <c r="J21" s="0" t="n">
        <f aca="false">J19*J20</f>
        <v>267.977150140677</v>
      </c>
      <c r="K21" s="0" t="n">
        <f aca="false">K19*K20</f>
        <v>251.99686137082</v>
      </c>
      <c r="L21" s="0" t="n">
        <f aca="false">L19*L20</f>
        <v>236.969525601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3091.16981959976</v>
      </c>
    </row>
    <row r="31" customFormat="false" ht="15" hidden="false" customHeight="false" outlineLevel="0" collapsed="false">
      <c r="A31" s="0" t="s">
        <v>135</v>
      </c>
      <c r="B31" s="0" t="n">
        <f aca="false">L19</f>
        <v>560.993046893135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8174.47011187139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7853.90265650389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7853.90265650389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3317.573358414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6408.74317801376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6408.74317801376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2086.17941992636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-0.418567608716177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503.883261821551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551.301412863271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2429.66401455032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4401.63775254614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1133.03313939698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-1.5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4979.3</v>
      </c>
      <c r="C6" s="0" t="n">
        <f aca="false">B6*(1+C5/100)</f>
        <v>4904.6105</v>
      </c>
      <c r="D6" s="0" t="n">
        <f aca="false">C6*(1+D5/100)</f>
        <v>5100.79492</v>
      </c>
      <c r="E6" s="0" t="n">
        <f aca="false">D6*(1+E5/100)</f>
        <v>5355.834666</v>
      </c>
      <c r="F6" s="0" t="n">
        <f aca="false">E6*(1+F5/100)</f>
        <v>5623.6263993</v>
      </c>
      <c r="G6" s="0" t="n">
        <f aca="false">F6*(1+G5/100)</f>
        <v>5876.6895872685</v>
      </c>
      <c r="H6" s="0" t="n">
        <f aca="false">G6*(1+H5/100)</f>
        <v>6111.75717075924</v>
      </c>
      <c r="I6" s="0" t="n">
        <f aca="false">H6*(1+I5/100)</f>
        <v>6325.66867173581</v>
      </c>
      <c r="J6" s="0" t="n">
        <f aca="false">I6*(1+J5/100)</f>
        <v>6515.43873188789</v>
      </c>
      <c r="K6" s="0" t="n">
        <f aca="false">J6*(1+K5/100)</f>
        <v>6710.90189384453</v>
      </c>
      <c r="L6" s="0" t="n">
        <f aca="false">K6*(1+L5/100)</f>
        <v>6878.67444119064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18</v>
      </c>
      <c r="D7" s="4" t="n">
        <f aca="false">Assumptions!D28</f>
        <v>17</v>
      </c>
      <c r="E7" s="4" t="n">
        <f aca="false">Assumptions!E28</f>
        <v>16.5</v>
      </c>
      <c r="F7" s="4" t="n">
        <f aca="false">Assumptions!F28</f>
        <v>16.5</v>
      </c>
      <c r="G7" s="4" t="n">
        <f aca="false">Assumptions!G28</f>
        <v>17</v>
      </c>
      <c r="H7" s="4" t="n">
        <f aca="false">Assumptions!H28</f>
        <v>17</v>
      </c>
      <c r="I7" s="4" t="n">
        <f aca="false">Assumptions!I28</f>
        <v>17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882.82989</v>
      </c>
      <c r="D8" s="0" t="n">
        <f aca="false">D6*D7/100</f>
        <v>867.1351364</v>
      </c>
      <c r="E8" s="0" t="n">
        <f aca="false">E6*E7/100</f>
        <v>883.71271989</v>
      </c>
      <c r="F8" s="0" t="n">
        <f aca="false">F6*F7/100</f>
        <v>927.8983558845</v>
      </c>
      <c r="G8" s="0" t="n">
        <f aca="false">G6*G7/100</f>
        <v>999.037229835645</v>
      </c>
      <c r="H8" s="0" t="n">
        <f aca="false">H6*H7/100</f>
        <v>1038.99871902907</v>
      </c>
      <c r="I8" s="0" t="n">
        <f aca="false">I6*I7/100</f>
        <v>1075.36367419509</v>
      </c>
      <c r="J8" s="0" t="n">
        <f aca="false">J6*J7/100</f>
        <v>1107.62458442094</v>
      </c>
      <c r="K8" s="0" t="n">
        <f aca="false">K6*K7/100</f>
        <v>1140.85332195357</v>
      </c>
      <c r="L8" s="0" t="n">
        <f aca="false">L6*L7/100</f>
        <v>1169.37465500241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-73.5691575</v>
      </c>
      <c r="D10" s="0" t="n">
        <f aca="false">-D6*D9/100</f>
        <v>-76.5119238</v>
      </c>
      <c r="E10" s="0" t="n">
        <f aca="false">-E6*E9/100</f>
        <v>-80.33751999</v>
      </c>
      <c r="F10" s="0" t="n">
        <f aca="false">-F6*F9/100</f>
        <v>-84.3543959895</v>
      </c>
      <c r="G10" s="0" t="n">
        <f aca="false">-G6*G9/100</f>
        <v>-88.1503438090275</v>
      </c>
      <c r="H10" s="0" t="n">
        <f aca="false">-H6*H9/100</f>
        <v>-91.6763575613886</v>
      </c>
      <c r="I10" s="0" t="n">
        <f aca="false">-I6*I9/100</f>
        <v>-94.8850300760372</v>
      </c>
      <c r="J10" s="0" t="n">
        <f aca="false">-J6*J9/100</f>
        <v>-97.7315809783184</v>
      </c>
      <c r="K10" s="0" t="n">
        <f aca="false">-K6*K9/100</f>
        <v>-100.663528407668</v>
      </c>
      <c r="L10" s="0" t="n">
        <f aca="false">-L6*L9/100</f>
        <v>-103.18011661786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809.2607325</v>
      </c>
      <c r="D11" s="0" t="n">
        <f aca="false">D8+D10+D24</f>
        <v>790.6232126</v>
      </c>
      <c r="E11" s="0" t="n">
        <f aca="false">E8+E10+E24</f>
        <v>803.3751999</v>
      </c>
      <c r="F11" s="0" t="n">
        <f aca="false">F8+F10+F24</f>
        <v>843.543959895</v>
      </c>
      <c r="G11" s="0" t="n">
        <f aca="false">G8+G10+G24</f>
        <v>910.886886026618</v>
      </c>
      <c r="H11" s="0" t="n">
        <f aca="false">H8+H10+H24</f>
        <v>947.322361467682</v>
      </c>
      <c r="I11" s="0" t="n">
        <f aca="false">I8+I10+I24</f>
        <v>980.478644119051</v>
      </c>
      <c r="J11" s="0" t="n">
        <f aca="false">J8+J10+J24</f>
        <v>1009.89300344262</v>
      </c>
      <c r="K11" s="0" t="n">
        <f aca="false">K8+K10+K24</f>
        <v>1040.1897935459</v>
      </c>
      <c r="L11" s="0" t="n">
        <f aca="false">L8+L10+L24</f>
        <v>1066.19453838455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809.2607325</v>
      </c>
      <c r="D13" s="0" t="n">
        <f aca="false">D11+D12</f>
        <v>790.6232126</v>
      </c>
      <c r="E13" s="0" t="n">
        <f aca="false">E11+E12</f>
        <v>803.3751999</v>
      </c>
      <c r="F13" s="0" t="n">
        <f aca="false">F11+F12</f>
        <v>843.543959895</v>
      </c>
      <c r="G13" s="0" t="n">
        <f aca="false">G11+G12</f>
        <v>910.886886026618</v>
      </c>
      <c r="H13" s="0" t="n">
        <f aca="false">H11+H12</f>
        <v>947.322361467682</v>
      </c>
      <c r="I13" s="0" t="n">
        <f aca="false">I11+I12</f>
        <v>980.478644119051</v>
      </c>
      <c r="J13" s="0" t="n">
        <f aca="false">J11+J12</f>
        <v>1009.89300344262</v>
      </c>
      <c r="K13" s="0" t="n">
        <f aca="false">K11+K12</f>
        <v>1040.1897935459</v>
      </c>
      <c r="L13" s="0" t="n">
        <f aca="false">L11+L12</f>
        <v>1066.19453838455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623.130764025</v>
      </c>
      <c r="D15" s="0" t="n">
        <f aca="false">D13-MAX(0,D13)*D14/100</f>
        <v>608.779873702</v>
      </c>
      <c r="E15" s="0" t="n">
        <f aca="false">E13-MAX(0,E13)*E14/100</f>
        <v>618.598903923</v>
      </c>
      <c r="F15" s="0" t="n">
        <f aca="false">F13-MAX(0,F13)*F14/100</f>
        <v>649.52884911915</v>
      </c>
      <c r="G15" s="0" t="n">
        <f aca="false">G13-MAX(0,G13)*G14/100</f>
        <v>701.382902240496</v>
      </c>
      <c r="H15" s="0" t="n">
        <f aca="false">H13-MAX(0,H13)*H14/100</f>
        <v>729.438218330115</v>
      </c>
      <c r="I15" s="0" t="n">
        <f aca="false">I13-MAX(0,I13)*I14/100</f>
        <v>754.968555971669</v>
      </c>
      <c r="J15" s="0" t="n">
        <f aca="false">J13-MAX(0,J13)*J14/100</f>
        <v>777.61761265082</v>
      </c>
      <c r="K15" s="0" t="n">
        <f aca="false">K13-MAX(0,K13)*K14/100</f>
        <v>800.946141030344</v>
      </c>
      <c r="L15" s="0" t="n">
        <f aca="false">L13-MAX(0,L13)*L14/100</f>
        <v>820.969794556103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-73.5691575</v>
      </c>
      <c r="D17" s="4" t="n">
        <f aca="false">-D6*Assumptions!D32/100</f>
        <v>-76.5119238</v>
      </c>
      <c r="E17" s="4" t="n">
        <f aca="false">-E6*Assumptions!E32/100</f>
        <v>-80.33751999</v>
      </c>
      <c r="F17" s="4" t="n">
        <f aca="false">-F6*Assumptions!F32/100</f>
        <v>-84.3543959895</v>
      </c>
      <c r="G17" s="4" t="n">
        <f aca="false">-G6*Assumptions!G32/100</f>
        <v>-88.1503438090275</v>
      </c>
      <c r="H17" s="4" t="n">
        <f aca="false">-H6*Assumptions!H32/100</f>
        <v>-91.6763575613886</v>
      </c>
      <c r="I17" s="4" t="n">
        <f aca="false">-I6*Assumptions!I32/100</f>
        <v>-94.8850300760372</v>
      </c>
      <c r="J17" s="4" t="n">
        <f aca="false">-J6*Assumptions!J32/100</f>
        <v>-97.7315809783184</v>
      </c>
      <c r="K17" s="4" t="n">
        <f aca="false">-K6*Assumptions!K32/100</f>
        <v>-100.663528407668</v>
      </c>
      <c r="L17" s="4" t="n">
        <f aca="false">-L6*Assumptions!L32/100</f>
        <v>-103.18011661786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549.561606525</v>
      </c>
      <c r="D19" s="0" t="n">
        <f aca="false">D15+D16+D17+D18</f>
        <v>532.267949902</v>
      </c>
      <c r="E19" s="0" t="n">
        <f aca="false">E15+E16+E17+E18</f>
        <v>538.261383933</v>
      </c>
      <c r="F19" s="0" t="n">
        <f aca="false">F15+F16+F17+F18</f>
        <v>565.17445312965</v>
      </c>
      <c r="G19" s="0" t="n">
        <f aca="false">G15+G16+G17+G18</f>
        <v>613.232558431468</v>
      </c>
      <c r="H19" s="0" t="n">
        <f aca="false">H15+H16+H17+H18</f>
        <v>637.761860768727</v>
      </c>
      <c r="I19" s="0" t="n">
        <f aca="false">I15+I16+I17+I18</f>
        <v>660.083525895632</v>
      </c>
      <c r="J19" s="0" t="n">
        <f aca="false">J15+J16+J17+J18</f>
        <v>679.886031672501</v>
      </c>
      <c r="K19" s="0" t="n">
        <f aca="false">K15+K16+K17+K18</f>
        <v>700.282612622676</v>
      </c>
      <c r="L19" s="0" t="n">
        <f aca="false">L15+L16+L17+L18</f>
        <v>717.789677938243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504.184960114679</v>
      </c>
      <c r="D21" s="0" t="n">
        <f aca="false">D19*D20</f>
        <v>447.999284489521</v>
      </c>
      <c r="E21" s="0" t="n">
        <f aca="false">E19*E20</f>
        <v>415.636548627869</v>
      </c>
      <c r="F21" s="0" t="n">
        <f aca="false">F19*F20</f>
        <v>400.383831247029</v>
      </c>
      <c r="G21" s="0" t="n">
        <f aca="false">G19*G20</f>
        <v>398.559086824645</v>
      </c>
      <c r="H21" s="0" t="n">
        <f aca="false">H19*H20</f>
        <v>380.276559906083</v>
      </c>
      <c r="I21" s="0" t="n">
        <f aca="false">I19*I20</f>
        <v>361.088293121831</v>
      </c>
      <c r="J21" s="0" t="n">
        <f aca="false">J19*J20</f>
        <v>341.21187331696</v>
      </c>
      <c r="K21" s="0" t="n">
        <f aca="false">K19*K20</f>
        <v>322.429568363733</v>
      </c>
      <c r="L21" s="0" t="n">
        <f aca="false">L19*L20</f>
        <v>303.20211703929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3874.97212305164</v>
      </c>
    </row>
    <row r="31" customFormat="false" ht="15" hidden="false" customHeight="false" outlineLevel="0" collapsed="false">
      <c r="A31" s="0" t="s">
        <v>135</v>
      </c>
      <c r="B31" s="0" t="n">
        <f aca="false">L19</f>
        <v>717.789677938243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11318.99107518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11484.6348470119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11318.99107518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4781.26415331188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8656.23627636352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8656.23627636352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2817.78524621208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-0.214664089684481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556.528800687041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687.292403446844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3222.67496109942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5885.87535909359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1445.25014931168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-0.5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4979.3</v>
      </c>
      <c r="C6" s="0" t="n">
        <f aca="false">B6*(1+C5/100)</f>
        <v>4954.4035</v>
      </c>
      <c r="D6" s="0" t="n">
        <f aca="false">C6*(1+D5/100)</f>
        <v>5301.211745</v>
      </c>
      <c r="E6" s="0" t="n">
        <f aca="false">D6*(1+E5/100)</f>
        <v>5672.29656715</v>
      </c>
      <c r="F6" s="0" t="n">
        <f aca="false">E6*(1+F5/100)</f>
        <v>6012.634361179</v>
      </c>
      <c r="G6" s="0" t="n">
        <f aca="false">F6*(1+G5/100)</f>
        <v>6373.39242284974</v>
      </c>
      <c r="H6" s="0" t="n">
        <f aca="false">G6*(1+H5/100)</f>
        <v>6692.06204399223</v>
      </c>
      <c r="I6" s="0" t="n">
        <f aca="false">H6*(1+I5/100)</f>
        <v>6993.20483597188</v>
      </c>
      <c r="J6" s="0" t="n">
        <f aca="false">I6*(1+J5/100)</f>
        <v>7272.93302941075</v>
      </c>
      <c r="K6" s="0" t="n">
        <f aca="false">J6*(1+K5/100)</f>
        <v>7527.48568544013</v>
      </c>
      <c r="L6" s="0" t="n">
        <f aca="false">K6*(1+L5/100)</f>
        <v>7753.31025600333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19</v>
      </c>
      <c r="D7" s="4" t="n">
        <f aca="false">Assumptions!D42</f>
        <v>19</v>
      </c>
      <c r="E7" s="4" t="n">
        <f aca="false">Assumptions!E42</f>
        <v>18.5</v>
      </c>
      <c r="F7" s="4" t="n">
        <f aca="false">Assumptions!F42</f>
        <v>18.5</v>
      </c>
      <c r="G7" s="4" t="n">
        <f aca="false">Assumptions!G42</f>
        <v>18.5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941.336665</v>
      </c>
      <c r="D8" s="0" t="n">
        <f aca="false">D6*D7/100</f>
        <v>1007.23023155</v>
      </c>
      <c r="E8" s="0" t="n">
        <f aca="false">E6*E7/100</f>
        <v>1049.37486492275</v>
      </c>
      <c r="F8" s="0" t="n">
        <f aca="false">F6*F7/100</f>
        <v>1112.33735681812</v>
      </c>
      <c r="G8" s="0" t="n">
        <f aca="false">G6*G7/100</f>
        <v>1179.0775982272</v>
      </c>
      <c r="H8" s="0" t="n">
        <f aca="false">H6*H7/100</f>
        <v>1238.03147813856</v>
      </c>
      <c r="I8" s="0" t="n">
        <f aca="false">I6*I7/100</f>
        <v>1293.7428946548</v>
      </c>
      <c r="J8" s="0" t="n">
        <f aca="false">J6*J7/100</f>
        <v>1345.49261044099</v>
      </c>
      <c r="K8" s="0" t="n">
        <f aca="false">K6*K7/100</f>
        <v>1392.58485180642</v>
      </c>
      <c r="L8" s="0" t="n">
        <f aca="false">L6*L7/100</f>
        <v>1434.36239736062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-74.3160525</v>
      </c>
      <c r="D10" s="0" t="n">
        <f aca="false">-D6*D9/100</f>
        <v>-79.518176175</v>
      </c>
      <c r="E10" s="0" t="n">
        <f aca="false">-E6*E9/100</f>
        <v>-85.08444850725</v>
      </c>
      <c r="F10" s="0" t="n">
        <f aca="false">-F6*F9/100</f>
        <v>-90.189515417685</v>
      </c>
      <c r="G10" s="0" t="n">
        <f aca="false">-G6*G9/100</f>
        <v>-95.6008863427461</v>
      </c>
      <c r="H10" s="0" t="n">
        <f aca="false">-H6*H9/100</f>
        <v>-100.380930659883</v>
      </c>
      <c r="I10" s="0" t="n">
        <f aca="false">-I6*I9/100</f>
        <v>-104.898072539578</v>
      </c>
      <c r="J10" s="0" t="n">
        <f aca="false">-J6*J9/100</f>
        <v>-109.093995441161</v>
      </c>
      <c r="K10" s="0" t="n">
        <f aca="false">-K6*K9/100</f>
        <v>-112.912285281602</v>
      </c>
      <c r="L10" s="0" t="n">
        <f aca="false">-L6*L9/100</f>
        <v>-116.29965384005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867.0206125</v>
      </c>
      <c r="D11" s="0" t="n">
        <f aca="false">D8+D10+D24</f>
        <v>927.712055375</v>
      </c>
      <c r="E11" s="0" t="n">
        <f aca="false">E8+E10+E24</f>
        <v>964.2904164155</v>
      </c>
      <c r="F11" s="0" t="n">
        <f aca="false">F8+F10+F24</f>
        <v>1022.14784140043</v>
      </c>
      <c r="G11" s="0" t="n">
        <f aca="false">G8+G10+G24</f>
        <v>1083.47671188446</v>
      </c>
      <c r="H11" s="0" t="n">
        <f aca="false">H8+H10+H24</f>
        <v>1137.65054747868</v>
      </c>
      <c r="I11" s="0" t="n">
        <f aca="false">I8+I10+I24</f>
        <v>1188.84482211522</v>
      </c>
      <c r="J11" s="0" t="n">
        <f aca="false">J8+J10+J24</f>
        <v>1236.39861499983</v>
      </c>
      <c r="K11" s="0" t="n">
        <f aca="false">K8+K10+K24</f>
        <v>1279.67256652482</v>
      </c>
      <c r="L11" s="0" t="n">
        <f aca="false">L8+L10+L24</f>
        <v>1318.06274352057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867.0206125</v>
      </c>
      <c r="D13" s="0" t="n">
        <f aca="false">D11+D12</f>
        <v>927.712055375</v>
      </c>
      <c r="E13" s="0" t="n">
        <f aca="false">E11+E12</f>
        <v>964.2904164155</v>
      </c>
      <c r="F13" s="0" t="n">
        <f aca="false">F11+F12</f>
        <v>1022.14784140043</v>
      </c>
      <c r="G13" s="0" t="n">
        <f aca="false">G11+G12</f>
        <v>1083.47671188446</v>
      </c>
      <c r="H13" s="0" t="n">
        <f aca="false">H11+H12</f>
        <v>1137.65054747868</v>
      </c>
      <c r="I13" s="0" t="n">
        <f aca="false">I11+I12</f>
        <v>1188.84482211522</v>
      </c>
      <c r="J13" s="0" t="n">
        <f aca="false">J11+J12</f>
        <v>1236.39861499983</v>
      </c>
      <c r="K13" s="0" t="n">
        <f aca="false">K11+K12</f>
        <v>1279.67256652482</v>
      </c>
      <c r="L13" s="0" t="n">
        <f aca="false">L11+L12</f>
        <v>1318.06274352057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667.605871625</v>
      </c>
      <c r="D15" s="0" t="n">
        <f aca="false">D13-MAX(0,D13)*D14/100</f>
        <v>714.33828263875</v>
      </c>
      <c r="E15" s="0" t="n">
        <f aca="false">E13-MAX(0,E13)*E14/100</f>
        <v>742.503620639935</v>
      </c>
      <c r="F15" s="0" t="n">
        <f aca="false">F13-MAX(0,F13)*F14/100</f>
        <v>787.053837878331</v>
      </c>
      <c r="G15" s="0" t="n">
        <f aca="false">G13-MAX(0,G13)*G14/100</f>
        <v>834.277068151031</v>
      </c>
      <c r="H15" s="0" t="n">
        <f aca="false">H13-MAX(0,H13)*H14/100</f>
        <v>875.990921558583</v>
      </c>
      <c r="I15" s="0" t="n">
        <f aca="false">I13-MAX(0,I13)*I14/100</f>
        <v>915.410513028719</v>
      </c>
      <c r="J15" s="0" t="n">
        <f aca="false">J13-MAX(0,J13)*J14/100</f>
        <v>952.026933549868</v>
      </c>
      <c r="K15" s="0" t="n">
        <f aca="false">K13-MAX(0,K13)*K14/100</f>
        <v>985.347876224113</v>
      </c>
      <c r="L15" s="0" t="n">
        <f aca="false">L13-MAX(0,L13)*L14/100</f>
        <v>1014.90831251084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-86.70206125</v>
      </c>
      <c r="D17" s="4" t="n">
        <f aca="false">-D6*Assumptions!D46/100</f>
        <v>-92.7712055375</v>
      </c>
      <c r="E17" s="4" t="n">
        <f aca="false">-E6*Assumptions!E46/100</f>
        <v>-99.265189925125</v>
      </c>
      <c r="F17" s="4" t="n">
        <f aca="false">-F6*Assumptions!F46/100</f>
        <v>-105.221101320633</v>
      </c>
      <c r="G17" s="4" t="n">
        <f aca="false">-G6*Assumptions!G46/100</f>
        <v>-111.53436739987</v>
      </c>
      <c r="H17" s="4" t="n">
        <f aca="false">-H6*Assumptions!H46/100</f>
        <v>-117.111085769864</v>
      </c>
      <c r="I17" s="4" t="n">
        <f aca="false">-I6*Assumptions!I46/100</f>
        <v>-122.381084629508</v>
      </c>
      <c r="J17" s="4" t="n">
        <f aca="false">-J6*Assumptions!J46/100</f>
        <v>-127.276328014688</v>
      </c>
      <c r="K17" s="4" t="n">
        <f aca="false">-K6*Assumptions!K46/100</f>
        <v>-131.730999495202</v>
      </c>
      <c r="L17" s="4" t="n">
        <f aca="false">-L6*Assumptions!L46/100</f>
        <v>-135.682929480058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580.903810375</v>
      </c>
      <c r="D19" s="0" t="n">
        <f aca="false">D15+D16+D17+D18</f>
        <v>621.56707710125</v>
      </c>
      <c r="E19" s="0" t="n">
        <f aca="false">E15+E16+E17+E18</f>
        <v>643.23843071481</v>
      </c>
      <c r="F19" s="0" t="n">
        <f aca="false">F15+F16+F17+F18</f>
        <v>681.832736557699</v>
      </c>
      <c r="G19" s="0" t="n">
        <f aca="false">G15+G16+G17+G18</f>
        <v>722.742700751161</v>
      </c>
      <c r="H19" s="0" t="n">
        <f aca="false">H15+H16+H17+H18</f>
        <v>758.879835788719</v>
      </c>
      <c r="I19" s="0" t="n">
        <f aca="false">I15+I16+I17+I18</f>
        <v>793.029428399211</v>
      </c>
      <c r="J19" s="0" t="n">
        <f aca="false">J15+J16+J17+J18</f>
        <v>824.75060553518</v>
      </c>
      <c r="K19" s="0" t="n">
        <f aca="false">K15+K16+K17+K18</f>
        <v>853.616876728911</v>
      </c>
      <c r="L19" s="0" t="n">
        <f aca="false">L15+L16+L17+L18</f>
        <v>879.225383030778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532.939275573394</v>
      </c>
      <c r="D21" s="0" t="n">
        <f aca="false">D19*D20</f>
        <v>523.160573269296</v>
      </c>
      <c r="E21" s="0" t="n">
        <f aca="false">E19*E20</f>
        <v>496.69808993838</v>
      </c>
      <c r="F21" s="0" t="n">
        <f aca="false">F19*F20</f>
        <v>483.027500307048</v>
      </c>
      <c r="G21" s="0" t="n">
        <f aca="false">G19*G20</f>
        <v>469.733165436212</v>
      </c>
      <c r="H21" s="0" t="n">
        <f aca="false">H19*H20</f>
        <v>452.495251108278</v>
      </c>
      <c r="I21" s="0" t="n">
        <f aca="false">I19*I20</f>
        <v>433.81425450289</v>
      </c>
      <c r="J21" s="0" t="n">
        <f aca="false">J19*J20</f>
        <v>413.914518057803</v>
      </c>
      <c r="K21" s="0" t="n">
        <f aca="false">K19*K20</f>
        <v>393.028923109932</v>
      </c>
      <c r="L21" s="0" t="n">
        <f aca="false">L19*L20</f>
        <v>371.394303489202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4570.20585479243</v>
      </c>
    </row>
    <row r="31" customFormat="false" ht="15" hidden="false" customHeight="false" outlineLevel="0" collapsed="false">
      <c r="A31" s="0" t="s">
        <v>135</v>
      </c>
      <c r="B31" s="0" t="n">
        <f aca="false">L19</f>
        <v>879.225383030778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15093.3690753617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14067.6061284924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14067.6061284924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5942.30885582723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10512.5147106197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10512.5147106197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3422.04254902984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-0.0462534701700559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599.937559432281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843.333625647879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3891.85738792312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7546.68453768085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1747.54945638815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2086.17941992636</v>
      </c>
      <c r="C4" s="0" t="n">
        <f aca="false">B4/Assumptions!$B$2-1</f>
        <v>-0.418567608716177</v>
      </c>
      <c r="D4" s="4" t="n">
        <f aca="false">Assumptions!$B$24</f>
        <v>0.25</v>
      </c>
      <c r="E4" s="4" t="n">
        <f aca="false">DCF_Bear!$B$43</f>
        <v>2429.66401455032</v>
      </c>
      <c r="F4" s="4" t="n">
        <f aca="false">DCF_Bear!$B$47</f>
        <v>1133.03313939698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2817.78524621208</v>
      </c>
      <c r="C5" s="0" t="n">
        <f aca="false">B5/Assumptions!$B$2-1</f>
        <v>-0.214664089684481</v>
      </c>
      <c r="D5" s="4" t="n">
        <f aca="false">Assumptions!$B$38</f>
        <v>0.5</v>
      </c>
      <c r="E5" s="4" t="n">
        <f aca="false">DCF_Base!$B$43</f>
        <v>3222.67496109942</v>
      </c>
      <c r="F5" s="4" t="n">
        <f aca="false">DCF_Base!$B$47</f>
        <v>1445.25014931168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3422.04254902984</v>
      </c>
      <c r="C6" s="0" t="n">
        <f aca="false">B6/Assumptions!$B$2-1</f>
        <v>-0.0462534701700559</v>
      </c>
      <c r="D6" s="4" t="n">
        <f aca="false">Assumptions!$B$52</f>
        <v>0.25</v>
      </c>
      <c r="E6" s="4" t="n">
        <f aca="false">DCF_Bull!$B$43</f>
        <v>3891.85738792312</v>
      </c>
      <c r="F6" s="4" t="n">
        <f aca="false">DCF_Bull!$B$47</f>
        <v>1747.54945638815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2785.94811534509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3191.71783116807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-0.287891895845864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197.661839555521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1442.77072360212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2817.78524621208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2435.681242212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2143.80819636578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1913.65358051479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1445.25014931168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3288.41954487492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3288.41954487492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3288.41954487492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3288.41954487492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3288.41954487492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3012.4180612269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3054.04410096991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3054.04410096991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3054.04410096991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3054.04410096991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2597.10528656143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2699.56383925637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2817.78524621208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2840.56184755217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2840.56184755217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2280.24165228861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2353.1039600652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2435.681242212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2530.0552789512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2638.94839826566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2030.69151446524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2084.10772536271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2143.80819636578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2210.97122624422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2287.08932677313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2026-10-04T10:24:11Z</dcterms:created>
  <dc:creator>openpyxl</dc:creator>
  <dc:description/>
  <dc:language>en-NZ</dc:language>
  <cp:lastModifiedBy/>
  <dcterms:modified xsi:type="dcterms:W3CDTF">2026-10-04T10:24:11Z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