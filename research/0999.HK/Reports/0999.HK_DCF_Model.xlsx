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<sst xmlns="http://schemas.openxmlformats.org/spreadsheetml/2006/main" count="351" uniqueCount="169">
  <si>
    <t xml:space="preserve">Ticker</t>
  </si>
  <si>
    <t xml:space="preserve">0999.HK</t>
  </si>
  <si>
    <t xml:space="preserve">Company</t>
  </si>
  <si>
    <t xml:space="preserve">Xiaocaiyuan International Holding Ltd.</t>
  </si>
  <si>
    <t xml:space="preserve">Valuation date</t>
  </si>
  <si>
    <t xml:space="preserve">2026-10-12</t>
  </si>
  <si>
    <t xml:space="preserve">Current price</t>
  </si>
  <si>
    <t xml:space="preserve">Price as of</t>
  </si>
  <si>
    <t xml:space="preserve">2026-10-09T08:08:06Z (HKEX regular close Fri 9 Oct; 5-day bars live, not a frozen quote)</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</si>
  <si>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</si>
  <si>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</si>
  <si>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</si>
  <si>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</si>
  <si>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</si>
  <si>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</si>
  <si>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</si>
  <si>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</si>
  <si>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</si>
  <si>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</si>
  <si>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</si>
  <si>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</si>
  <si>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</si>
  <si>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2026-10-11T13:22:48Z</t>
  </si>
  <si>
    <t xml:space="preserve">Drivers file</t>
  </si>
  <si>
    <t xml:space="preserve">0999.HK_Drivers.json</t>
  </si>
  <si>
    <t xml:space="preserve">Convention</t>
  </si>
  <si>
    <t xml:space="preserve">Percents stored as percents; formulas divide by 100. Blue = input, green = link, black = formula.</t>
  </si>
  <si>
    <t xml:space="preserve">Methodology</t>
  </si>
  <si>
    <t xml:space="preserve">summary: Owner-FCF DCF on a lease-adjusted basis: the only cash flow a shareholder can take out of a restaurant chain is what remains after rent, so lease principal and interest are charged against EBITDA and lease liabilities are left out of net debt. RMB flows, RMB WACC, converted to HKD once at the end. Net cash is counted at the balance-sheet value of cash, time deposits and bank WMPs with their income stripped from the flows. The margin path deliberately capitalises a level below the FY2025 peak, because that peak preceded a self-inflicted price reset whose durability is unknown.
key_risks_to_valuation: Same-store sales: H1 FY2026 -12.5%; if the price reset does not restore traffic, the base margin recovery to 25.5% does not happen (bear = 22%).; Rollout pace: net adds fell from +140 in FY2025 to +17 in H1 FY2026; the base assumes 100-150/yr resumes.; Rent and labour leverage: lease cash rose from 4.4% to 5.4% of revenue FY2023-25 and staff costs 24.6% -&gt; 28.5% of revenue H1-on-H1; both ratchet in a weak-SSS world.; Capital allocation: RMB 1.5bn net cash parked in bank wealth-management products, funded partly by RMB 560m of short-term bank loans; valued at book, with the carry stripped from the flows.; Short history: two full post-IPO years; FY2022 is a summary row; no Analysis JSON was available when the scenarios were drawn.; FX: HKD values move with CNY/HKD; the rate is dated and will not be refreshed by a price-only update.</t>
  </si>
  <si>
    <t xml:space="preserve">Data sources</t>
  </si>
  <si>
    <t xml:space="preserve">price: Yahoo Finance chart API at inputs.price_as_of (HKEX regular close); 52-week range 6.21-12.32 HKD; CNYHKD=X from the same API for fx_rate.
financials: research/0999.HK/Reports/0999.HK_Metrics.csv and the kpis table (metrics_normalized, CNY millions); 0999.HK_Annual_FY2025.txt (P&amp;L p.6055-6090, staff costs note 6(b) p.7617, lease cash in the financing reconciliation p.8540-8565); 0999.HK_HalfYear_H1-2026.txt (P&amp;L p.1575-1612, balance sheet p.1690-1745, same-store table p.370-460, interim dividend and buyback p.855-895).
qualitative: FY2025 annual report chairman's statement and MD&amp;A, H1 FY2026 interim MD&amp;A and Future Outlook (p.811-850); 0999.HK_Analysis.json (growth_drivers, risks, guidance, bull_case, bear_case) read before finalising -- it confirmed the axes (SSS reset, stalled net adds vs the ~1,000-store ambition, staff/raw-material cost ratchet, dividend-withholding tax drag, Ma'anshan central factory as the margin lever).</t>
  </si>
  <si>
    <t xml:space="preserve">Scenario narrative: bear</t>
  </si>
  <si>
    <t xml:space="preserve">China catering deflation persists and competitors match the price cuts, so the SSS decline (already -9.4% in FY2025 before the -12.5% in H1 FY2026, with average dine-in spend down from RMB 57.1 to 50.5) is structural rather than a one-year reset: revenue growth stalls at 2-3% with openings offset by closures, the margin settles at 21.5-22% (H1 FY2026 was 22.7% and falling), rent ratchets to 5.8% of revenue as weaker stores de-leverage their leases, and capex collapses to maintenance. Terminal growth 2% and a 12x cap. Not a solvency case -- net cash and a 3.3x table turn keep it profitable -- but a value trap in which the owner-FCF margin is permanently ~6-7%.</t>
  </si>
  <si>
    <t xml:space="preserve">Scenario narrative: base</t>
  </si>
  <si>
    <t xml:space="preserve">FY2026 is a reset year the company chose: it cut prices ('passing on benefits to consumers') to defend traffic in a deflationary mass-market, so same-store sales fell 12.5% in H1 even as table turns rose to 3.3x, and staff costs rose 24% on 7% revenue. The base case has the price reset annualising by mid-FY2027, store openings resuming at 100-150 a year from 824 (the H1 FY2026 net add of 17 is treated as a pause, not the new pace), delivery continuing to shrink as a share of sales by design, and the IFRS-16 EBITDA margin recovering only to 25.5% -- not the FY2025 27.8% peak. Lease cash stays at ~5.2% of revenue; capex tapers from 6.5% to 4.5% as the rollout matures. The RMB 1.5bn net cash (mostly bank WMPs) and the near-full payout are the balance-sheet backstop.</t>
  </si>
  <si>
    <t xml:space="preserve">Scenario narrative: bull</t>
  </si>
  <si>
    <t xml:space="preserve">Value-for-money positioning wins share through the downturn: traffic gains outlast the price cuts, SSS turns positive in FY2027 on the lower base, openings return to the prospectus pace (~180-200/yr) including the Southeast Asia pilot and a second brand, and procurement/central-kitchen scale takes the margin back to 27.5%. Lease cost per store falls as landlords concede rent in a soft property market. Growth compounds at 8-11% for four years and the terminal growth is 3%.</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</si>
  <si>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</si>
  <si>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</si>
  <si>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</si>
  <si>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</si>
  <si>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</si>
  <si>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</si>
  <si>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</si>
  <si>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</si>
  <si>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</si>
  <si>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</si>
  <si>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</si>
  <si>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</si>
  <si>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</si>
  <si>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</si>
  <si>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</si>
  <si>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</si>
  <si>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</si>
  <si>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</si>
  <si>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</si>
  <si>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</si>
  <si>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</si>
  <si>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</si>
  <si>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</si>
  <si>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</si>
  <si>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</si>
  <si>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</si>
  <si>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</si>
  <si>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AdjustedEBITDA</t>
  </si>
  <si>
    <t xml:space="preserve">AdjustedNetProfit</t>
  </si>
  <si>
    <t xml:space="preserve">FVTPLFinancialAssets</t>
  </si>
  <si>
    <t xml:space="preserve">LeasePrincipalPaid</t>
  </si>
  <si>
    <t xml:space="preserve">NetIncomeInclNCI</t>
  </si>
  <si>
    <t xml:space="preserve">ShareIssuanceProceeds</t>
  </si>
  <si>
    <t xml:space="preserve">SharesDiluted</t>
  </si>
  <si>
    <t xml:space="preserve">SharesInIssuePeriodEnd</t>
  </si>
  <si>
    <t xml:space="preserve">TimeDeposits</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</si>
  <si>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</si>
  <si>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</si>
  <si>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</si>
  <si>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</si>
  <si>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</si>
  <si>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</si>
  <si>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</si>
  <si>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</si>
  <si>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</si>
  <si>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</si>
  <si>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</si>
  <si>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</si>
  <si>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</si>
  <si>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</si>
  <si>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</si>
  <si>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</si>
  <si>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</si>
  <si>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</si>
  <si>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</si>
  <si>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</si>
  <si>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</si>
  <si>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</si>
  <si>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</si>
  <si>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</si>
  <si>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</si>
  <si>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</si>
  <si>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</si>
  <si>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</si>
  <si>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</si>
  <si>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</si>
  <si>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</si>
  <si>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</si>
  <si>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</si>
  <si>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</si>
  <si>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</si>
  <si>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</si>
  <si>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</si>
  <si>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</si>
  <si>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</si>
  <si>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</si>
  <si>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</si>
  <si>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0999.HK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</si>
  <si>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</si>
  <si>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</si>
  <si>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</si>
  <si>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</si>
  <si>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</si>
  <si>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</si>
  <si>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</si>
  <si>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</si>
  <si>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</si>
  <si>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</si>
  <si>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</si>
  <si>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</si>
  <si>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</si>
  <si>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</si>
  <si>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</si>
  <si>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</si>
  <si>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</si>
  <si>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</si>
  <si>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</si>
  <si>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</si>
  <si>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</si>
  <si>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</si>
  <si>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</si>
  <si>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</si>
  <si>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</si>
  <si>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</si>
  <si>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</si>
  <si>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</si>
  <si>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</si>
  <si>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</si>
  <si>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0999.HK owner-FCF component DCF: base case (millions, CNY)</t>
  </si>
  <si>
    <t xml:space="preserve">0999.HK owner-FCF component DCF: bull case (millions, CNY)</t>
  </si>
  <si>
    <t xml:space="preserve">0999.HK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</si>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</sst>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9.08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c r="AK1" s="2" t="s">
        <v>72</v>
      </c>
    </row>
    <row r="2" customFormat="false" ht="15" hidden="false" customHeight="false" outlineLevel="0" collapsed="false">
      <c r="A2" s="0" t="s">
        <v>73</v>
      </c>
      <c r="B2" s="0" t="n">
        <v>3213.42</v>
      </c>
      <c r="I2" s="0" t="n">
        <v>237.574</v>
      </c>
      <c r="J2" s="0" t="n">
        <v>7.4</v>
      </c>
      <c r="O2" s="0" t="n">
        <v>324.89</v>
      </c>
      <c r="P2" s="0" t="n">
        <v>1303.136</v>
      </c>
      <c r="Q2" s="0" t="n">
        <v>978.246</v>
      </c>
      <c r="AA2" s="0" t="s">
        <v>18</v>
      </c>
      <c r="AB2" s="0" t="s">
        <v>14</v>
      </c>
    </row>
    <row r="3" customFormat="false" ht="15" hidden="false" customHeight="false" outlineLevel="0" collapsed="false">
      <c r="A3" s="0" t="s">
        <v>74</v>
      </c>
      <c r="B3" s="0" t="n">
        <v>4549.415</v>
      </c>
      <c r="F3" s="0" t="n">
        <v>775.673</v>
      </c>
      <c r="G3" s="0" t="n">
        <v>17</v>
      </c>
      <c r="H3" s="0" t="n">
        <v>1105.89</v>
      </c>
      <c r="I3" s="0" t="n">
        <v>532.059</v>
      </c>
      <c r="J3" s="0" t="n">
        <v>11.7</v>
      </c>
      <c r="K3" s="0" t="n">
        <v>0.53</v>
      </c>
      <c r="L3" s="0" t="n">
        <v>866.339</v>
      </c>
      <c r="M3" s="0" t="n">
        <v>310.518</v>
      </c>
      <c r="N3" s="0" t="n">
        <v>555.821</v>
      </c>
      <c r="O3" s="0" t="n">
        <v>623.092</v>
      </c>
      <c r="P3" s="0" t="n">
        <v>2340.077</v>
      </c>
      <c r="Q3" s="0" t="n">
        <v>1716.985</v>
      </c>
      <c r="R3" s="0" t="n">
        <v>50</v>
      </c>
      <c r="S3" s="0" t="n">
        <v>620.153</v>
      </c>
      <c r="T3" s="0" t="n">
        <v>1021.919</v>
      </c>
      <c r="AA3" s="0" t="s">
        <v>18</v>
      </c>
      <c r="AB3" s="0" t="s">
        <v>14</v>
      </c>
      <c r="AC3" s="0" t="n">
        <v>914.523</v>
      </c>
      <c r="AD3" s="0" t="n">
        <v>545.984</v>
      </c>
      <c r="AF3" s="0" t="n">
        <v>172.068</v>
      </c>
      <c r="AI3" s="0" t="n">
        <v>1021.919</v>
      </c>
    </row>
    <row r="4" customFormat="false" ht="15" hidden="false" customHeight="false" outlineLevel="0" collapsed="false">
      <c r="A4" s="0" t="s">
        <v>75</v>
      </c>
      <c r="B4" s="0" t="n">
        <v>5209.874</v>
      </c>
      <c r="F4" s="0" t="n">
        <v>812.376</v>
      </c>
      <c r="G4" s="0" t="n">
        <v>15.6</v>
      </c>
      <c r="H4" s="0" t="n">
        <v>1244.386</v>
      </c>
      <c r="I4" s="0" t="n">
        <v>580.622</v>
      </c>
      <c r="J4" s="0" t="n">
        <v>11.1</v>
      </c>
      <c r="K4" s="0" t="n">
        <v>0.56</v>
      </c>
      <c r="L4" s="0" t="n">
        <v>902.854</v>
      </c>
      <c r="M4" s="0" t="n">
        <v>318.72</v>
      </c>
      <c r="N4" s="0" t="n">
        <v>584.134</v>
      </c>
      <c r="O4" s="0" t="n">
        <v>2365.415</v>
      </c>
      <c r="P4" s="0" t="n">
        <v>3587.9</v>
      </c>
      <c r="Q4" s="0" t="n">
        <v>1222.485</v>
      </c>
      <c r="R4" s="0" t="n">
        <v>0</v>
      </c>
      <c r="S4" s="0" t="n">
        <v>616.661</v>
      </c>
      <c r="T4" s="0" t="n">
        <v>1005.803</v>
      </c>
      <c r="AA4" s="0" t="s">
        <v>18</v>
      </c>
      <c r="AB4" s="0" t="s">
        <v>14</v>
      </c>
      <c r="AC4" s="0" t="n">
        <v>968.856</v>
      </c>
      <c r="AD4" s="0" t="n">
        <v>586.189</v>
      </c>
      <c r="AE4" s="0" t="n">
        <v>788.28</v>
      </c>
      <c r="AF4" s="0" t="n">
        <v>225.718</v>
      </c>
      <c r="AH4" s="0" t="n">
        <v>779.623</v>
      </c>
      <c r="AI4" s="0" t="n">
        <v>1005.803</v>
      </c>
      <c r="AJ4" s="0" t="n">
        <v>1176.519</v>
      </c>
      <c r="AK4" s="0" t="n">
        <v>223.356</v>
      </c>
    </row>
    <row r="5" customFormat="false" ht="15" hidden="false" customHeight="false" outlineLevel="0" collapsed="false">
      <c r="A5" s="0" t="s">
        <v>76</v>
      </c>
      <c r="B5" s="0" t="n">
        <v>5345.091</v>
      </c>
      <c r="F5" s="0" t="n">
        <v>1028.668</v>
      </c>
      <c r="G5" s="0" t="n">
        <v>19.2</v>
      </c>
      <c r="H5" s="0" t="n">
        <v>1486.106</v>
      </c>
      <c r="I5" s="0" t="n">
        <v>715.092</v>
      </c>
      <c r="J5" s="0" t="n">
        <v>13.4</v>
      </c>
      <c r="K5" s="0" t="n">
        <v>0.61</v>
      </c>
      <c r="L5" s="0" t="n">
        <v>1162.214</v>
      </c>
      <c r="M5" s="0" t="n">
        <v>401.146</v>
      </c>
      <c r="N5" s="0" t="n">
        <v>761.068</v>
      </c>
      <c r="O5" s="0" t="n">
        <v>2440.239</v>
      </c>
      <c r="P5" s="0" t="n">
        <v>3797.723</v>
      </c>
      <c r="Q5" s="0" t="n">
        <v>1357.484</v>
      </c>
      <c r="R5" s="0" t="n">
        <v>100</v>
      </c>
      <c r="S5" s="0" t="n">
        <v>297.786</v>
      </c>
      <c r="T5" s="0" t="n">
        <v>1176.519</v>
      </c>
      <c r="AA5" s="0" t="s">
        <v>18</v>
      </c>
      <c r="AB5" s="0" t="s">
        <v>14</v>
      </c>
      <c r="AC5" s="0" t="n">
        <v>1207.698</v>
      </c>
      <c r="AE5" s="0" t="n">
        <v>1169.696</v>
      </c>
      <c r="AF5" s="0" t="n">
        <v>248.578</v>
      </c>
      <c r="AI5" s="0" t="n">
        <v>1176.519</v>
      </c>
      <c r="AJ5" s="0" t="n">
        <v>1176.519</v>
      </c>
      <c r="AK5" s="0" t="n">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9.08</v>
      </c>
    </row>
    <row r="3" customFormat="false" ht="15" hidden="false" customHeight="false" outlineLevel="0" collapsed="false">
      <c r="A3" s="0" t="s">
        <v>80</v>
      </c>
      <c r="B3" s="3" t="n">
        <v>1176.519</v>
      </c>
    </row>
    <row r="4" customFormat="false" ht="15" hidden="false" customHeight="false" outlineLevel="0" collapsed="false">
      <c r="A4" s="0" t="s">
        <v>81</v>
      </c>
      <c r="B4" s="3" t="n">
        <v>-1499.535</v>
      </c>
    </row>
    <row r="5" customFormat="false" ht="15" hidden="false" customHeight="false" outlineLevel="0" collapsed="false">
      <c r="A5" s="0" t="s">
        <v>82</v>
      </c>
      <c r="B5" s="3" t="n">
        <v>-250</v>
      </c>
    </row>
    <row r="6" customFormat="false" ht="15" hidden="false" customHeight="false" outlineLevel="0" collapsed="false">
      <c r="A6" s="0" t="s">
        <v>83</v>
      </c>
      <c r="B6" s="3" t="n">
        <v>15</v>
      </c>
    </row>
    <row r="7" customFormat="false" ht="15" hidden="false" customHeight="false" outlineLevel="0" collapsed="false">
      <c r="A7" s="0" t="s">
        <v>84</v>
      </c>
      <c r="B7" s="3" t="n">
        <v>5345.091</v>
      </c>
    </row>
    <row r="8" customFormat="false" ht="15" hidden="false" customHeight="false" outlineLevel="0" collapsed="false">
      <c r="A8" s="0" t="s">
        <v>85</v>
      </c>
      <c r="B8" s="3" t="s">
        <v>76</v>
      </c>
    </row>
    <row r="9" customFormat="false" ht="15" hidden="false" customHeight="false" outlineLevel="0" collapsed="false">
      <c r="A9" s="0" t="s">
        <v>86</v>
      </c>
      <c r="B9" s="3" t="s">
        <v>87</v>
      </c>
    </row>
    <row r="10" customFormat="false" ht="15" hidden="false" customHeight="false" outlineLevel="0" collapsed="false">
      <c r="A10" s="0" t="s">
        <v>88</v>
      </c>
      <c r="B10" s="3" t="n">
        <v>1.1721</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4</v>
      </c>
      <c r="D13" s="3" t="n">
        <v>2</v>
      </c>
      <c r="E13" s="3" t="n">
        <v>2</v>
      </c>
      <c r="F13" s="3" t="n">
        <v>3</v>
      </c>
      <c r="G13" s="3" t="n">
        <v>3</v>
      </c>
      <c r="H13" s="3" t="n">
        <v>3</v>
      </c>
      <c r="I13" s="3" t="n">
        <v>3</v>
      </c>
      <c r="J13" s="3" t="n">
        <v>2.5</v>
      </c>
      <c r="K13" s="3" t="n">
        <v>2.5</v>
      </c>
      <c r="L13" s="3" t="n">
        <v>2</v>
      </c>
    </row>
    <row r="14" customFormat="false" ht="15" hidden="false" customHeight="false" outlineLevel="0" collapsed="false">
      <c r="A14" s="0" t="s">
        <v>101</v>
      </c>
      <c r="C14" s="3" t="n">
        <v>22</v>
      </c>
      <c r="D14" s="3" t="n">
        <v>21.5</v>
      </c>
      <c r="E14" s="3" t="n">
        <v>21.5</v>
      </c>
      <c r="F14" s="3" t="n">
        <v>22</v>
      </c>
      <c r="G14" s="3" t="n">
        <v>22</v>
      </c>
      <c r="H14" s="3" t="n">
        <v>22</v>
      </c>
      <c r="I14" s="3" t="n">
        <v>22</v>
      </c>
      <c r="J14" s="3" t="n">
        <v>22</v>
      </c>
      <c r="K14" s="3" t="n">
        <v>22</v>
      </c>
      <c r="L14" s="3" t="n">
        <v>22</v>
      </c>
    </row>
    <row r="15" customFormat="false" ht="15" hidden="false" customHeight="false" outlineLevel="0" collapsed="false">
      <c r="A15" s="0" t="s">
        <v>102</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103</v>
      </c>
      <c r="C16" s="3" t="n">
        <v>5.5</v>
      </c>
      <c r="D16" s="3" t="n">
        <v>5.6</v>
      </c>
      <c r="E16" s="3" t="n">
        <v>5.7</v>
      </c>
      <c r="F16" s="3" t="n">
        <v>5.8</v>
      </c>
      <c r="G16" s="3" t="n">
        <v>5.8</v>
      </c>
      <c r="H16" s="3" t="n">
        <v>5.8</v>
      </c>
      <c r="I16" s="3" t="n">
        <v>5.8</v>
      </c>
      <c r="J16" s="3" t="n">
        <v>5.8</v>
      </c>
      <c r="K16" s="3" t="n">
        <v>5.8</v>
      </c>
      <c r="L16" s="3" t="n">
        <v>5.8</v>
      </c>
    </row>
    <row r="17" customFormat="false" ht="15" hidden="false" customHeight="false" outlineLevel="0" collapsed="false">
      <c r="A17" s="0" t="s">
        <v>104</v>
      </c>
      <c r="C17" s="3" t="n">
        <v>3.7</v>
      </c>
      <c r="D17" s="3" t="n">
        <v>3.7</v>
      </c>
      <c r="E17" s="3" t="n">
        <v>3.7</v>
      </c>
      <c r="F17" s="3" t="n">
        <v>3.7</v>
      </c>
      <c r="G17" s="3" t="n">
        <v>3.7</v>
      </c>
      <c r="H17" s="3" t="n">
        <v>3.7</v>
      </c>
      <c r="I17" s="3" t="n">
        <v>3.7</v>
      </c>
      <c r="J17" s="3" t="n">
        <v>3.7</v>
      </c>
      <c r="K17" s="3" t="n">
        <v>3.7</v>
      </c>
      <c r="L17" s="3" t="n">
        <v>3.7</v>
      </c>
    </row>
    <row r="18" customFormat="false" ht="15" hidden="false" customHeight="false" outlineLevel="0" collapsed="false">
      <c r="A18" s="0" t="s">
        <v>105</v>
      </c>
      <c r="C18" s="3" t="n">
        <v>6</v>
      </c>
      <c r="D18" s="3" t="n">
        <v>5</v>
      </c>
      <c r="E18" s="3" t="n">
        <v>4.5</v>
      </c>
      <c r="F18" s="3" t="n">
        <v>4.2</v>
      </c>
      <c r="G18" s="3" t="n">
        <v>4</v>
      </c>
      <c r="H18" s="3" t="n">
        <v>4</v>
      </c>
      <c r="I18" s="3" t="n">
        <v>4</v>
      </c>
      <c r="J18" s="3" t="n">
        <v>4</v>
      </c>
      <c r="K18" s="3" t="n">
        <v>4</v>
      </c>
      <c r="L18" s="3" t="n">
        <v>4</v>
      </c>
    </row>
    <row r="19" customFormat="false" ht="15" hidden="false" customHeight="false" outlineLevel="0" collapsed="false">
      <c r="A19" s="0" t="s">
        <v>106</v>
      </c>
      <c r="C19" s="3" t="n">
        <v>28</v>
      </c>
      <c r="D19" s="3" t="n">
        <v>28</v>
      </c>
      <c r="E19" s="3" t="n">
        <v>28</v>
      </c>
      <c r="F19" s="3" t="n">
        <v>28</v>
      </c>
      <c r="G19" s="3" t="n">
        <v>28</v>
      </c>
      <c r="H19" s="3" t="n">
        <v>28</v>
      </c>
      <c r="I19" s="3" t="n">
        <v>28</v>
      </c>
      <c r="J19" s="3" t="n">
        <v>28</v>
      </c>
      <c r="K19" s="3" t="n">
        <v>28</v>
      </c>
      <c r="L19" s="3" t="n">
        <v>28</v>
      </c>
    </row>
    <row r="20" customFormat="false" ht="15" hidden="false" customHeight="false" outlineLevel="0" collapsed="false">
      <c r="A20" s="0" t="s">
        <v>107</v>
      </c>
      <c r="B20" s="3" t="n">
        <v>10.5</v>
      </c>
    </row>
    <row r="21" customFormat="false" ht="15" hidden="false" customHeight="false" outlineLevel="0" collapsed="false">
      <c r="A21" s="0" t="s">
        <v>108</v>
      </c>
      <c r="B21" s="3" t="n">
        <v>2</v>
      </c>
    </row>
    <row r="22" customFormat="false" ht="15" hidden="false" customHeight="false" outlineLevel="0" collapsed="false">
      <c r="A22" s="0" t="s">
        <v>109</v>
      </c>
      <c r="B22" s="3" t="n">
        <v>12</v>
      </c>
    </row>
    <row r="23" customFormat="false" ht="15" hidden="false" customHeight="false" outlineLevel="0" collapsed="false">
      <c r="A23" s="0" t="s">
        <v>110</v>
      </c>
      <c r="B23" s="3" t="n">
        <v>3</v>
      </c>
    </row>
    <row r="24" customFormat="false" ht="15" hidden="false" customHeight="false" outlineLevel="0" collapsed="false">
      <c r="A24" s="0" t="s">
        <v>111</v>
      </c>
      <c r="B24" s="3" t="n">
        <v>0.25</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6</v>
      </c>
      <c r="D27" s="3" t="n">
        <v>8</v>
      </c>
      <c r="E27" s="3" t="n">
        <v>8</v>
      </c>
      <c r="F27" s="3" t="n">
        <v>7</v>
      </c>
      <c r="G27" s="3" t="n">
        <v>6</v>
      </c>
      <c r="H27" s="3" t="n">
        <v>5</v>
      </c>
      <c r="I27" s="3" t="n">
        <v>4.5</v>
      </c>
      <c r="J27" s="3" t="n">
        <v>4</v>
      </c>
      <c r="K27" s="3" t="n">
        <v>3.5</v>
      </c>
      <c r="L27" s="3" t="n">
        <v>3</v>
      </c>
    </row>
    <row r="28" customFormat="false" ht="15" hidden="false" customHeight="false" outlineLevel="0" collapsed="false">
      <c r="A28" s="0" t="s">
        <v>101</v>
      </c>
      <c r="C28" s="3" t="n">
        <v>23</v>
      </c>
      <c r="D28" s="3" t="n">
        <v>24</v>
      </c>
      <c r="E28" s="3" t="n">
        <v>24.8</v>
      </c>
      <c r="F28" s="3" t="n">
        <v>25.2</v>
      </c>
      <c r="G28" s="3" t="n">
        <v>25.5</v>
      </c>
      <c r="H28" s="3" t="n">
        <v>25.5</v>
      </c>
      <c r="I28" s="3" t="n">
        <v>25.5</v>
      </c>
      <c r="J28" s="3" t="n">
        <v>25.5</v>
      </c>
      <c r="K28" s="3" t="n">
        <v>25.5</v>
      </c>
      <c r="L28" s="3" t="n">
        <v>25.5</v>
      </c>
    </row>
    <row r="29" customFormat="false" ht="15" hidden="false" customHeight="false" outlineLevel="0" collapsed="false">
      <c r="A29" s="0" t="s">
        <v>102</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103</v>
      </c>
      <c r="C30" s="3" t="n">
        <v>5.3</v>
      </c>
      <c r="D30" s="3" t="n">
        <v>5.3</v>
      </c>
      <c r="E30" s="3" t="n">
        <v>5.2</v>
      </c>
      <c r="F30" s="3" t="n">
        <v>5.2</v>
      </c>
      <c r="G30" s="3" t="n">
        <v>5.2</v>
      </c>
      <c r="H30" s="3" t="n">
        <v>5.2</v>
      </c>
      <c r="I30" s="3" t="n">
        <v>5.2</v>
      </c>
      <c r="J30" s="3" t="n">
        <v>5.2</v>
      </c>
      <c r="K30" s="3" t="n">
        <v>5.2</v>
      </c>
      <c r="L30" s="3" t="n">
        <v>5.2</v>
      </c>
    </row>
    <row r="31" customFormat="false" ht="15" hidden="false" customHeight="false" outlineLevel="0" collapsed="false">
      <c r="A31" s="0" t="s">
        <v>104</v>
      </c>
      <c r="C31" s="3" t="n">
        <v>3.6</v>
      </c>
      <c r="D31" s="3" t="n">
        <v>3.6</v>
      </c>
      <c r="E31" s="3" t="n">
        <v>3.6</v>
      </c>
      <c r="F31" s="3" t="n">
        <v>3.6</v>
      </c>
      <c r="G31" s="3" t="n">
        <v>3.6</v>
      </c>
      <c r="H31" s="3" t="n">
        <v>3.6</v>
      </c>
      <c r="I31" s="3" t="n">
        <v>3.6</v>
      </c>
      <c r="J31" s="3" t="n">
        <v>3.6</v>
      </c>
      <c r="K31" s="3" t="n">
        <v>3.6</v>
      </c>
      <c r="L31" s="3" t="n">
        <v>3.6</v>
      </c>
    </row>
    <row r="32" customFormat="false" ht="15" hidden="false" customHeight="false" outlineLevel="0" collapsed="false">
      <c r="A32" s="0" t="s">
        <v>105</v>
      </c>
      <c r="C32" s="3" t="n">
        <v>6.5</v>
      </c>
      <c r="D32" s="3" t="n">
        <v>6.5</v>
      </c>
      <c r="E32" s="3" t="n">
        <v>6</v>
      </c>
      <c r="F32" s="3" t="n">
        <v>5.5</v>
      </c>
      <c r="G32" s="3" t="n">
        <v>5</v>
      </c>
      <c r="H32" s="3" t="n">
        <v>4.8</v>
      </c>
      <c r="I32" s="3" t="n">
        <v>4.6</v>
      </c>
      <c r="J32" s="3" t="n">
        <v>4.5</v>
      </c>
      <c r="K32" s="3" t="n">
        <v>4.5</v>
      </c>
      <c r="L32" s="3" t="n">
        <v>4.5</v>
      </c>
    </row>
    <row r="33" customFormat="false" ht="15" hidden="false" customHeight="false" outlineLevel="0" collapsed="false">
      <c r="A33" s="0" t="s">
        <v>106</v>
      </c>
      <c r="C33" s="3" t="n">
        <v>27</v>
      </c>
      <c r="D33" s="3" t="n">
        <v>27</v>
      </c>
      <c r="E33" s="3" t="n">
        <v>27</v>
      </c>
      <c r="F33" s="3" t="n">
        <v>27</v>
      </c>
      <c r="G33" s="3" t="n">
        <v>27</v>
      </c>
      <c r="H33" s="3" t="n">
        <v>27</v>
      </c>
      <c r="I33" s="3" t="n">
        <v>27</v>
      </c>
      <c r="J33" s="3" t="n">
        <v>27</v>
      </c>
      <c r="K33" s="3" t="n">
        <v>27</v>
      </c>
      <c r="L33" s="3" t="n">
        <v>27</v>
      </c>
    </row>
    <row r="34" customFormat="false" ht="15" hidden="false" customHeight="false" outlineLevel="0" collapsed="false">
      <c r="A34" s="0" t="s">
        <v>107</v>
      </c>
      <c r="B34" s="3" t="n">
        <v>10.5</v>
      </c>
    </row>
    <row r="35" customFormat="false" ht="15" hidden="false" customHeight="false" outlineLevel="0" collapsed="false">
      <c r="A35" s="0" t="s">
        <v>108</v>
      </c>
      <c r="B35" s="3" t="n">
        <v>2.5</v>
      </c>
    </row>
    <row r="36" customFormat="false" ht="15" hidden="false" customHeight="false" outlineLevel="0" collapsed="false">
      <c r="A36" s="0" t="s">
        <v>109</v>
      </c>
      <c r="B36" s="3" t="n">
        <v>15</v>
      </c>
    </row>
    <row r="37" customFormat="false" ht="15" hidden="false" customHeight="false" outlineLevel="0" collapsed="false">
      <c r="A37" s="0" t="s">
        <v>110</v>
      </c>
      <c r="B37" s="3" t="n">
        <v>3</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8</v>
      </c>
      <c r="D41" s="3" t="n">
        <v>11</v>
      </c>
      <c r="E41" s="3" t="n">
        <v>11</v>
      </c>
      <c r="F41" s="3" t="n">
        <v>10</v>
      </c>
      <c r="G41" s="3" t="n">
        <v>8</v>
      </c>
      <c r="H41" s="3" t="n">
        <v>7</v>
      </c>
      <c r="I41" s="3" t="n">
        <v>6</v>
      </c>
      <c r="J41" s="3" t="n">
        <v>5</v>
      </c>
      <c r="K41" s="3" t="n">
        <v>4</v>
      </c>
      <c r="L41" s="3" t="n">
        <v>3.5</v>
      </c>
    </row>
    <row r="42" customFormat="false" ht="15" hidden="false" customHeight="false" outlineLevel="0" collapsed="false">
      <c r="A42" s="0" t="s">
        <v>101</v>
      </c>
      <c r="C42" s="3" t="n">
        <v>24</v>
      </c>
      <c r="D42" s="3" t="n">
        <v>25.5</v>
      </c>
      <c r="E42" s="3" t="n">
        <v>26.5</v>
      </c>
      <c r="F42" s="3" t="n">
        <v>27</v>
      </c>
      <c r="G42" s="3" t="n">
        <v>27.5</v>
      </c>
      <c r="H42" s="3" t="n">
        <v>27.5</v>
      </c>
      <c r="I42" s="3" t="n">
        <v>27.5</v>
      </c>
      <c r="J42" s="3" t="n">
        <v>27.5</v>
      </c>
      <c r="K42" s="3" t="n">
        <v>27.5</v>
      </c>
      <c r="L42" s="3" t="n">
        <v>27.5</v>
      </c>
    </row>
    <row r="43" customFormat="false" ht="15" hidden="false" customHeight="false" outlineLevel="0" collapsed="false">
      <c r="A43" s="0" t="s">
        <v>102</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103</v>
      </c>
      <c r="C44" s="3" t="n">
        <v>5.2</v>
      </c>
      <c r="D44" s="3" t="n">
        <v>5.1</v>
      </c>
      <c r="E44" s="3" t="n">
        <v>5</v>
      </c>
      <c r="F44" s="3" t="n">
        <v>5</v>
      </c>
      <c r="G44" s="3" t="n">
        <v>5</v>
      </c>
      <c r="H44" s="3" t="n">
        <v>5</v>
      </c>
      <c r="I44" s="3" t="n">
        <v>5</v>
      </c>
      <c r="J44" s="3" t="n">
        <v>5</v>
      </c>
      <c r="K44" s="3" t="n">
        <v>5</v>
      </c>
      <c r="L44" s="3" t="n">
        <v>5</v>
      </c>
    </row>
    <row r="45" customFormat="false" ht="15" hidden="false" customHeight="false" outlineLevel="0" collapsed="false">
      <c r="A45" s="0" t="s">
        <v>104</v>
      </c>
      <c r="C45" s="3" t="n">
        <v>3.6</v>
      </c>
      <c r="D45" s="3" t="n">
        <v>3.6</v>
      </c>
      <c r="E45" s="3" t="n">
        <v>3.6</v>
      </c>
      <c r="F45" s="3" t="n">
        <v>3.6</v>
      </c>
      <c r="G45" s="3" t="n">
        <v>3.6</v>
      </c>
      <c r="H45" s="3" t="n">
        <v>3.6</v>
      </c>
      <c r="I45" s="3" t="n">
        <v>3.6</v>
      </c>
      <c r="J45" s="3" t="n">
        <v>3.6</v>
      </c>
      <c r="K45" s="3" t="n">
        <v>3.6</v>
      </c>
      <c r="L45" s="3" t="n">
        <v>3.6</v>
      </c>
    </row>
    <row r="46" customFormat="false" ht="15" hidden="false" customHeight="false" outlineLevel="0" collapsed="false">
      <c r="A46" s="0" t="s">
        <v>105</v>
      </c>
      <c r="C46" s="3" t="n">
        <v>7</v>
      </c>
      <c r="D46" s="3" t="n">
        <v>7</v>
      </c>
      <c r="E46" s="3" t="n">
        <v>6.5</v>
      </c>
      <c r="F46" s="3" t="n">
        <v>6</v>
      </c>
      <c r="G46" s="3" t="n">
        <v>5.5</v>
      </c>
      <c r="H46" s="3" t="n">
        <v>5</v>
      </c>
      <c r="I46" s="3" t="n">
        <v>5</v>
      </c>
      <c r="J46" s="3" t="n">
        <v>4.8</v>
      </c>
      <c r="K46" s="3" t="n">
        <v>4.5</v>
      </c>
      <c r="L46" s="3" t="n">
        <v>4.5</v>
      </c>
    </row>
    <row r="47" customFormat="false" ht="15" hidden="false" customHeight="false" outlineLevel="0" collapsed="false">
      <c r="A47" s="0" t="s">
        <v>106</v>
      </c>
      <c r="C47" s="3" t="n">
        <v>26</v>
      </c>
      <c r="D47" s="3" t="n">
        <v>26</v>
      </c>
      <c r="E47" s="3" t="n">
        <v>26</v>
      </c>
      <c r="F47" s="3" t="n">
        <v>26</v>
      </c>
      <c r="G47" s="3" t="n">
        <v>26</v>
      </c>
      <c r="H47" s="3" t="n">
        <v>26</v>
      </c>
      <c r="I47" s="3" t="n">
        <v>26</v>
      </c>
      <c r="J47" s="3" t="n">
        <v>26</v>
      </c>
      <c r="K47" s="3" t="n">
        <v>26</v>
      </c>
      <c r="L47" s="3" t="n">
        <v>26</v>
      </c>
    </row>
    <row r="48" customFormat="false" ht="15" hidden="false" customHeight="false" outlineLevel="0" collapsed="false">
      <c r="A48" s="0" t="s">
        <v>107</v>
      </c>
      <c r="B48" s="3" t="n">
        <v>10.5</v>
      </c>
    </row>
    <row r="49" customFormat="false" ht="15" hidden="false" customHeight="false" outlineLevel="0" collapsed="false">
      <c r="A49" s="0" t="s">
        <v>108</v>
      </c>
      <c r="B49" s="3" t="n">
        <v>3</v>
      </c>
    </row>
    <row r="50" customFormat="false" ht="15" hidden="false" customHeight="false" outlineLevel="0" collapsed="false">
      <c r="A50" s="0" t="s">
        <v>109</v>
      </c>
      <c r="B50" s="3" t="n">
        <v>15</v>
      </c>
    </row>
    <row r="51" customFormat="false" ht="15" hidden="false" customHeight="false" outlineLevel="0" collapsed="false">
      <c r="A51" s="0" t="s">
        <v>110</v>
      </c>
      <c r="B51" s="3" t="n">
        <v>3</v>
      </c>
    </row>
    <row r="52" customFormat="false" ht="15" hidden="false" customHeight="false" outlineLevel="0" collapsed="false">
      <c r="A52" s="0" t="s">
        <v>111</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4</v>
      </c>
      <c r="D5" s="4" t="n">
        <f aca="false">Assumptions!D13</f>
        <v>2</v>
      </c>
      <c r="E5" s="4" t="n">
        <f aca="false">Assumptions!E13</f>
        <v>2</v>
      </c>
      <c r="F5" s="4" t="n">
        <f aca="false">Assumptions!F13</f>
        <v>3</v>
      </c>
      <c r="G5" s="4" t="n">
        <f aca="false">Assumptions!G13</f>
        <v>3</v>
      </c>
      <c r="H5" s="4" t="n">
        <f aca="false">Assumptions!H13</f>
        <v>3</v>
      </c>
      <c r="I5" s="4" t="n">
        <f aca="false">Assumptions!I13</f>
        <v>3</v>
      </c>
      <c r="J5" s="4" t="n">
        <f aca="false">Assumptions!J13</f>
        <v>2.5</v>
      </c>
      <c r="K5" s="4" t="n">
        <f aca="false">Assumptions!K13</f>
        <v>2.5</v>
      </c>
      <c r="L5" s="4" t="n">
        <f aca="false">Assumptions!L13</f>
        <v>2</v>
      </c>
    </row>
    <row r="6" customFormat="false" ht="15" hidden="false" customHeight="false" outlineLevel="0" collapsed="false">
      <c r="A6" s="0" t="s">
        <v>38</v>
      </c>
      <c r="B6" s="3" t="n">
        <v>5345.091</v>
      </c>
      <c r="C6" s="0" t="n">
        <f aca="false">B6*(1+C5/100)</f>
        <v>5558.89464</v>
      </c>
      <c r="D6" s="0" t="n">
        <f aca="false">C6*(1+D5/100)</f>
        <v>5670.0725328</v>
      </c>
      <c r="E6" s="0" t="n">
        <f aca="false">D6*(1+E5/100)</f>
        <v>5783.473983456</v>
      </c>
      <c r="F6" s="0" t="n">
        <f aca="false">E6*(1+F5/100)</f>
        <v>5956.97820295968</v>
      </c>
      <c r="G6" s="0" t="n">
        <f aca="false">F6*(1+G5/100)</f>
        <v>6135.68754904847</v>
      </c>
      <c r="H6" s="0" t="n">
        <f aca="false">G6*(1+H5/100)</f>
        <v>6319.75817551993</v>
      </c>
      <c r="I6" s="0" t="n">
        <f aca="false">H6*(1+I5/100)</f>
        <v>6509.35092078552</v>
      </c>
      <c r="J6" s="0" t="n">
        <f aca="false">I6*(1+J5/100)</f>
        <v>6672.08469380516</v>
      </c>
      <c r="K6" s="0" t="n">
        <f aca="false">J6*(1+K5/100)</f>
        <v>6838.88681115029</v>
      </c>
      <c r="L6" s="0" t="n">
        <f aca="false">K6*(1+L5/100)</f>
        <v>6975.6645473733</v>
      </c>
    </row>
    <row r="7" customFormat="false" ht="15" hidden="false" customHeight="false" outlineLevel="0" collapsed="false">
      <c r="A7" s="0" t="s">
        <v>101</v>
      </c>
      <c r="C7" s="4" t="n">
        <f aca="false">Assumptions!C14</f>
        <v>22</v>
      </c>
      <c r="D7" s="4" t="n">
        <f aca="false">Assumptions!D14</f>
        <v>21.5</v>
      </c>
      <c r="E7" s="4" t="n">
        <f aca="false">Assumptions!E14</f>
        <v>21.5</v>
      </c>
      <c r="F7" s="4" t="n">
        <f aca="false">Assumptions!F14</f>
        <v>22</v>
      </c>
      <c r="G7" s="4" t="n">
        <f aca="false">Assumptions!G14</f>
        <v>22</v>
      </c>
      <c r="H7" s="4" t="n">
        <f aca="false">Assumptions!H14</f>
        <v>22</v>
      </c>
      <c r="I7" s="4" t="n">
        <f aca="false">Assumptions!I14</f>
        <v>22</v>
      </c>
      <c r="J7" s="4" t="n">
        <f aca="false">Assumptions!J14</f>
        <v>22</v>
      </c>
      <c r="K7" s="4" t="n">
        <f aca="false">Assumptions!K14</f>
        <v>22</v>
      </c>
      <c r="L7" s="4" t="n">
        <f aca="false">Assumptions!L14</f>
        <v>22</v>
      </c>
    </row>
    <row r="8" customFormat="false" ht="15" hidden="false" customHeight="false" outlineLevel="0" collapsed="false">
      <c r="A8" s="0" t="s">
        <v>44</v>
      </c>
      <c r="C8" s="0" t="n">
        <f aca="false">C6*C7/100</f>
        <v>1222.9568208</v>
      </c>
      <c r="D8" s="0" t="n">
        <f aca="false">D6*D7/100</f>
        <v>1219.065594552</v>
      </c>
      <c r="E8" s="0" t="n">
        <f aca="false">E6*E7/100</f>
        <v>1243.44690644304</v>
      </c>
      <c r="F8" s="0" t="n">
        <f aca="false">F6*F7/100</f>
        <v>1310.53520465113</v>
      </c>
      <c r="G8" s="0" t="n">
        <f aca="false">G6*G7/100</f>
        <v>1349.85126079066</v>
      </c>
      <c r="H8" s="0" t="n">
        <f aca="false">H6*H7/100</f>
        <v>1390.34679861438</v>
      </c>
      <c r="I8" s="0" t="n">
        <f aca="false">I6*I7/100</f>
        <v>1432.05720257282</v>
      </c>
      <c r="J8" s="0" t="n">
        <f aca="false">J6*J7/100</f>
        <v>1467.85863263714</v>
      </c>
      <c r="K8" s="0" t="n">
        <f aca="false">K6*K7/100</f>
        <v>1504.55509845306</v>
      </c>
      <c r="L8" s="0" t="n">
        <f aca="false">L6*L7/100</f>
        <v>1534.64620042213</v>
      </c>
    </row>
    <row r="9" customFormat="false" ht="15" hidden="false" customHeight="false" outlineLevel="0" collapsed="false">
      <c r="A9" s="0" t="s">
        <v>102</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117</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118</v>
      </c>
      <c r="C11" s="0" t="n">
        <f aca="false">C8+C10+C24</f>
        <v>917.2176156</v>
      </c>
      <c r="D11" s="0" t="n">
        <f aca="false">D8+D10+D24</f>
        <v>901.5415327152</v>
      </c>
      <c r="E11" s="0" t="n">
        <f aca="false">E8+E10+E24</f>
        <v>913.788889386048</v>
      </c>
      <c r="F11" s="0" t="n">
        <f aca="false">F8+F10+F24</f>
        <v>965.030468879468</v>
      </c>
      <c r="G11" s="0" t="n">
        <f aca="false">G8+G10+G24</f>
        <v>993.981382945852</v>
      </c>
      <c r="H11" s="0" t="n">
        <f aca="false">H8+H10+H24</f>
        <v>1023.80082443423</v>
      </c>
      <c r="I11" s="0" t="n">
        <f aca="false">I8+I10+I24</f>
        <v>1054.51484916725</v>
      </c>
      <c r="J11" s="0" t="n">
        <f aca="false">J8+J10+J24</f>
        <v>1080.87772039644</v>
      </c>
      <c r="K11" s="0" t="n">
        <f aca="false">K8+K10+K24</f>
        <v>1107.89966340635</v>
      </c>
      <c r="L11" s="0" t="n">
        <f aca="false">L8+L10+L24</f>
        <v>1130.05765667447</v>
      </c>
    </row>
    <row r="12" customFormat="false" ht="15" hidden="false" customHeight="false" outlineLevel="0" collapsed="false">
      <c r="A12" s="0" t="s">
        <v>119</v>
      </c>
      <c r="C12" s="4" t="n">
        <f aca="false">-C6*Assumptions!C17/100</f>
        <v>-205.67910168</v>
      </c>
      <c r="D12" s="4" t="n">
        <f aca="false">-D6*Assumptions!D17/100</f>
        <v>-209.7926837136</v>
      </c>
      <c r="E12" s="4" t="n">
        <f aca="false">-E6*Assumptions!E17/100</f>
        <v>-213.988537387872</v>
      </c>
      <c r="F12" s="4" t="n">
        <f aca="false">-F6*Assumptions!F17/100</f>
        <v>-220.408193509508</v>
      </c>
      <c r="G12" s="4" t="n">
        <f aca="false">-G6*Assumptions!G17/100</f>
        <v>-227.020439314793</v>
      </c>
      <c r="H12" s="4" t="n">
        <f aca="false">-H6*Assumptions!H17/100</f>
        <v>-233.831052494237</v>
      </c>
      <c r="I12" s="4" t="n">
        <f aca="false">-I6*Assumptions!I17/100</f>
        <v>-240.845984069064</v>
      </c>
      <c r="J12" s="4" t="n">
        <f aca="false">-J6*Assumptions!J17/100</f>
        <v>-246.867133670791</v>
      </c>
      <c r="K12" s="4" t="n">
        <f aca="false">-K6*Assumptions!K17/100</f>
        <v>-253.038812012561</v>
      </c>
      <c r="L12" s="4" t="n">
        <f aca="false">-L6*Assumptions!L17/100</f>
        <v>-258.099588252812</v>
      </c>
    </row>
    <row r="13" customFormat="false" ht="15" hidden="false" customHeight="false" outlineLevel="0" collapsed="false">
      <c r="A13" s="0" t="s">
        <v>120</v>
      </c>
      <c r="C13" s="0" t="n">
        <f aca="false">C11+C12</f>
        <v>711.53851392</v>
      </c>
      <c r="D13" s="0" t="n">
        <f aca="false">D11+D12</f>
        <v>691.7488490016</v>
      </c>
      <c r="E13" s="0" t="n">
        <f aca="false">E11+E12</f>
        <v>699.800351998176</v>
      </c>
      <c r="F13" s="0" t="n">
        <f aca="false">F11+F12</f>
        <v>744.62227536996</v>
      </c>
      <c r="G13" s="0" t="n">
        <f aca="false">G11+G12</f>
        <v>766.960943631059</v>
      </c>
      <c r="H13" s="0" t="n">
        <f aca="false">H11+H12</f>
        <v>789.969771939991</v>
      </c>
      <c r="I13" s="0" t="n">
        <f aca="false">I11+I12</f>
        <v>813.668865098191</v>
      </c>
      <c r="J13" s="0" t="n">
        <f aca="false">J11+J12</f>
        <v>834.010586725645</v>
      </c>
      <c r="K13" s="0" t="n">
        <f aca="false">K11+K12</f>
        <v>854.860851393786</v>
      </c>
      <c r="L13" s="0" t="n">
        <f aca="false">L11+L12</f>
        <v>871.958068421662</v>
      </c>
    </row>
    <row r="14" customFormat="false" ht="15" hidden="false" customHeight="false" outlineLevel="0" collapsed="false">
      <c r="A14" s="0" t="s">
        <v>106</v>
      </c>
      <c r="C14" s="4" t="n">
        <f aca="false">Assumptions!C19</f>
        <v>28</v>
      </c>
      <c r="D14" s="4" t="n">
        <f aca="false">Assumptions!D19</f>
        <v>28</v>
      </c>
      <c r="E14" s="4" t="n">
        <f aca="false">Assumptions!E19</f>
        <v>28</v>
      </c>
      <c r="F14" s="4" t="n">
        <f aca="false">Assumptions!F19</f>
        <v>28</v>
      </c>
      <c r="G14" s="4" t="n">
        <f aca="false">Assumptions!G19</f>
        <v>28</v>
      </c>
      <c r="H14" s="4" t="n">
        <f aca="false">Assumptions!H19</f>
        <v>28</v>
      </c>
      <c r="I14" s="4" t="n">
        <f aca="false">Assumptions!I19</f>
        <v>28</v>
      </c>
      <c r="J14" s="4" t="n">
        <f aca="false">Assumptions!J19</f>
        <v>28</v>
      </c>
      <c r="K14" s="4" t="n">
        <f aca="false">Assumptions!K19</f>
        <v>28</v>
      </c>
      <c r="L14" s="4" t="n">
        <f aca="false">Assumptions!L19</f>
        <v>28</v>
      </c>
    </row>
    <row r="15" customFormat="false" ht="15" hidden="false" customHeight="false" outlineLevel="0" collapsed="false">
      <c r="A15" s="0" t="s">
        <v>121</v>
      </c>
      <c r="C15" s="0" t="n">
        <f aca="false">C13-MAX(0,C13)*C14/100</f>
        <v>512.3077300224</v>
      </c>
      <c r="D15" s="0" t="n">
        <f aca="false">D13-MAX(0,D13)*D14/100</f>
        <v>498.059171281152</v>
      </c>
      <c r="E15" s="0" t="n">
        <f aca="false">E13-MAX(0,E13)*E14/100</f>
        <v>503.856253438687</v>
      </c>
      <c r="F15" s="0" t="n">
        <f aca="false">F13-MAX(0,F13)*F14/100</f>
        <v>536.128038266371</v>
      </c>
      <c r="G15" s="0" t="n">
        <f aca="false">G13-MAX(0,G13)*G14/100</f>
        <v>552.211879414362</v>
      </c>
      <c r="H15" s="0" t="n">
        <f aca="false">H13-MAX(0,H13)*H14/100</f>
        <v>568.778235796793</v>
      </c>
      <c r="I15" s="0" t="n">
        <f aca="false">I13-MAX(0,I13)*I14/100</f>
        <v>585.841582870697</v>
      </c>
      <c r="J15" s="0" t="n">
        <f aca="false">J13-MAX(0,J13)*J14/100</f>
        <v>600.487622442465</v>
      </c>
      <c r="K15" s="0" t="n">
        <f aca="false">K13-MAX(0,K13)*K14/100</f>
        <v>615.499813003526</v>
      </c>
      <c r="L15" s="0" t="n">
        <f aca="false">L13-MAX(0,L13)*L14/100</f>
        <v>627.809809263597</v>
      </c>
    </row>
    <row r="16" customFormat="false" ht="15" hidden="false" customHeight="false" outlineLevel="0" collapsed="false">
      <c r="A16" s="0" t="s">
        <v>122</v>
      </c>
      <c r="C16" s="0" t="n">
        <f aca="false">-C12</f>
        <v>205.67910168</v>
      </c>
      <c r="D16" s="0" t="n">
        <f aca="false">-D12</f>
        <v>209.7926837136</v>
      </c>
      <c r="E16" s="0" t="n">
        <f aca="false">-E12</f>
        <v>213.988537387872</v>
      </c>
      <c r="F16" s="0" t="n">
        <f aca="false">-F12</f>
        <v>220.408193509508</v>
      </c>
      <c r="G16" s="0" t="n">
        <f aca="false">-G12</f>
        <v>227.020439314793</v>
      </c>
      <c r="H16" s="0" t="n">
        <f aca="false">-H12</f>
        <v>233.831052494237</v>
      </c>
      <c r="I16" s="0" t="n">
        <f aca="false">-I12</f>
        <v>240.845984069064</v>
      </c>
      <c r="J16" s="0" t="n">
        <f aca="false">-J12</f>
        <v>246.867133670791</v>
      </c>
      <c r="K16" s="0" t="n">
        <f aca="false">-K12</f>
        <v>253.038812012561</v>
      </c>
      <c r="L16" s="0" t="n">
        <f aca="false">-L12</f>
        <v>258.099588252812</v>
      </c>
    </row>
    <row r="17" customFormat="false" ht="15" hidden="false" customHeight="false" outlineLevel="0" collapsed="false">
      <c r="A17" s="0" t="s">
        <v>123</v>
      </c>
      <c r="C17" s="4" t="n">
        <f aca="false">-C6*Assumptions!C18/100</f>
        <v>-333.5336784</v>
      </c>
      <c r="D17" s="4" t="n">
        <f aca="false">-D6*Assumptions!D18/100</f>
        <v>-283.50362664</v>
      </c>
      <c r="E17" s="4" t="n">
        <f aca="false">-E6*Assumptions!E18/100</f>
        <v>-260.25632925552</v>
      </c>
      <c r="F17" s="4" t="n">
        <f aca="false">-F6*Assumptions!F18/100</f>
        <v>-250.193084524307</v>
      </c>
      <c r="G17" s="4" t="n">
        <f aca="false">-G6*Assumptions!G18/100</f>
        <v>-245.427501961939</v>
      </c>
      <c r="H17" s="4" t="n">
        <f aca="false">-H6*Assumptions!H18/100</f>
        <v>-252.790327020797</v>
      </c>
      <c r="I17" s="4" t="n">
        <f aca="false">-I6*Assumptions!I18/100</f>
        <v>-260.374036831421</v>
      </c>
      <c r="J17" s="4" t="n">
        <f aca="false">-J6*Assumptions!J18/100</f>
        <v>-266.883387752207</v>
      </c>
      <c r="K17" s="4" t="n">
        <f aca="false">-K6*Assumptions!K18/100</f>
        <v>-273.555472446012</v>
      </c>
      <c r="L17" s="4" t="n">
        <f aca="false">-L6*Assumptions!L18/100</f>
        <v>-279.026581894932</v>
      </c>
    </row>
    <row r="18" customFormat="false" ht="15" hidden="false" customHeight="false" outlineLevel="0" collapsed="false">
      <c r="A18" s="0" t="s">
        <v>124</v>
      </c>
      <c r="C18" s="4" t="n">
        <f aca="false">(C6-B6)*Assumptions!$B$23/100</f>
        <v>6.4141092</v>
      </c>
      <c r="D18" s="4" t="n">
        <f aca="false">(D6-C6)*Assumptions!$B$23/100</f>
        <v>3.33533678400001</v>
      </c>
      <c r="E18" s="4" t="n">
        <f aca="false">(E6-D6)*Assumptions!$B$23/100</f>
        <v>3.40204351967999</v>
      </c>
      <c r="F18" s="4" t="n">
        <f aca="false">(F6-E6)*Assumptions!$B$23/100</f>
        <v>5.20512658511041</v>
      </c>
      <c r="G18" s="4" t="n">
        <f aca="false">(G6-F6)*Assumptions!$B$23/100</f>
        <v>5.36128038266373</v>
      </c>
      <c r="H18" s="4" t="n">
        <f aca="false">(H6-G6)*Assumptions!$B$23/100</f>
        <v>5.52211879414363</v>
      </c>
      <c r="I18" s="4" t="n">
        <f aca="false">(I6-H6)*Assumptions!$B$23/100</f>
        <v>5.68778235796794</v>
      </c>
      <c r="J18" s="4" t="n">
        <f aca="false">(J6-I6)*Assumptions!$B$23/100</f>
        <v>4.88201319058913</v>
      </c>
      <c r="K18" s="4" t="n">
        <f aca="false">(K6-J6)*Assumptions!$B$23/100</f>
        <v>5.00406352035387</v>
      </c>
      <c r="L18" s="4" t="n">
        <f aca="false">(L6-K6)*Assumptions!$B$23/100</f>
        <v>4.10333208669019</v>
      </c>
    </row>
    <row r="19" customFormat="false" ht="15" hidden="false" customHeight="false" outlineLevel="0" collapsed="false">
      <c r="A19" s="0" t="s">
        <v>125</v>
      </c>
      <c r="C19" s="0" t="n">
        <f aca="false">C15+C16+C17+C18</f>
        <v>390.8672625024</v>
      </c>
      <c r="D19" s="0" t="n">
        <f aca="false">D15+D16+D17+D18</f>
        <v>427.683565138752</v>
      </c>
      <c r="E19" s="0" t="n">
        <f aca="false">E15+E16+E17+E18</f>
        <v>460.990505090719</v>
      </c>
      <c r="F19" s="0" t="n">
        <f aca="false">F15+F16+F17+F18</f>
        <v>511.548273836683</v>
      </c>
      <c r="G19" s="0" t="n">
        <f aca="false">G15+G16+G17+G18</f>
        <v>539.166097149881</v>
      </c>
      <c r="H19" s="0" t="n">
        <f aca="false">H15+H16+H17+H18</f>
        <v>555.341080064377</v>
      </c>
      <c r="I19" s="0" t="n">
        <f aca="false">I15+I16+I17+I18</f>
        <v>572.001312466309</v>
      </c>
      <c r="J19" s="0" t="n">
        <f aca="false">J15+J16+J17+J18</f>
        <v>585.353381551638</v>
      </c>
      <c r="K19" s="0" t="n">
        <f aca="false">K15+K16+K17+K18</f>
        <v>599.987216090429</v>
      </c>
      <c r="L19" s="0" t="n">
        <f aca="false">L15+L16+L17+L18</f>
        <v>610.986147708167</v>
      </c>
    </row>
    <row r="20" customFormat="false" ht="15" hidden="false" customHeight="false" outlineLevel="0" collapsed="false">
      <c r="A20" s="0" t="s">
        <v>126</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127</v>
      </c>
      <c r="C21" s="0" t="n">
        <f aca="false">C19*C20</f>
        <v>353.726029413937</v>
      </c>
      <c r="D21" s="0" t="n">
        <f aca="false">D19*D20</f>
        <v>350.266018417929</v>
      </c>
      <c r="E21" s="0" t="n">
        <f aca="false">E19*E20</f>
        <v>341.668661540643</v>
      </c>
      <c r="F21" s="0" t="n">
        <f aca="false">F19*F20</f>
        <v>343.113267315071</v>
      </c>
      <c r="G21" s="0" t="n">
        <f aca="false">G19*G20</f>
        <v>327.273759794016</v>
      </c>
      <c r="H21" s="0" t="n">
        <f aca="false">H19*H20</f>
        <v>305.060608676775</v>
      </c>
      <c r="I21" s="0" t="n">
        <f aca="false">I19*I20</f>
        <v>284.355137499619</v>
      </c>
      <c r="J21" s="0" t="n">
        <f aca="false">J19*J20</f>
        <v>263.34186529568</v>
      </c>
      <c r="K21" s="0" t="n">
        <f aca="false">K19*K20</f>
        <v>244.276390885133</v>
      </c>
      <c r="L21" s="0" t="n">
        <f aca="false">L19*L20</f>
        <v>225.11715097644</v>
      </c>
    </row>
    <row r="23" customFormat="false" ht="15" hidden="false" customHeight="false" outlineLevel="0" collapsed="false">
      <c r="A23" s="0" t="s">
        <v>103</v>
      </c>
      <c r="C23" s="4" t="n">
        <f aca="false">Assumptions!C16</f>
        <v>5.5</v>
      </c>
      <c r="D23" s="4" t="n">
        <f aca="false">Assumptions!D16</f>
        <v>5.6</v>
      </c>
      <c r="E23" s="4" t="n">
        <f aca="false">Assumptions!E16</f>
        <v>5.7</v>
      </c>
      <c r="F23" s="4" t="n">
        <f aca="false">Assumptions!F16</f>
        <v>5.8</v>
      </c>
      <c r="G23" s="4" t="n">
        <f aca="false">Assumptions!G16</f>
        <v>5.8</v>
      </c>
      <c r="H23" s="4" t="n">
        <f aca="false">Assumptions!H16</f>
        <v>5.8</v>
      </c>
      <c r="I23" s="4" t="n">
        <f aca="false">Assumptions!I16</f>
        <v>5.8</v>
      </c>
      <c r="J23" s="4" t="n">
        <f aca="false">Assumptions!J16</f>
        <v>5.8</v>
      </c>
      <c r="K23" s="4" t="n">
        <f aca="false">Assumptions!K16</f>
        <v>5.8</v>
      </c>
      <c r="L23" s="4" t="n">
        <f aca="false">Assumptions!L16</f>
        <v>5.8</v>
      </c>
    </row>
    <row r="24" customFormat="false" ht="15" hidden="false" customHeight="false" outlineLevel="0" collapsed="false">
      <c r="A24" s="0" t="s">
        <v>128</v>
      </c>
      <c r="C24" s="0" t="n">
        <f aca="false">-C6*C23/100</f>
        <v>-305.7392052</v>
      </c>
      <c r="D24" s="0" t="n">
        <f aca="false">-D6*D23/100</f>
        <v>-317.5240618368</v>
      </c>
      <c r="E24" s="0" t="n">
        <f aca="false">-E6*E23/100</f>
        <v>-329.658017056992</v>
      </c>
      <c r="F24" s="0" t="n">
        <f aca="false">-F6*F23/100</f>
        <v>-345.504735771662</v>
      </c>
      <c r="G24" s="0" t="n">
        <f aca="false">-G6*G23/100</f>
        <v>-355.869877844811</v>
      </c>
      <c r="H24" s="0" t="n">
        <f aca="false">-H6*H23/100</f>
        <v>-366.545974180156</v>
      </c>
      <c r="I24" s="0" t="n">
        <f aca="false">-I6*I23/100</f>
        <v>-377.54235340556</v>
      </c>
      <c r="J24" s="0" t="n">
        <f aca="false">-J6*J23/100</f>
        <v>-386.980912240699</v>
      </c>
      <c r="K24" s="0" t="n">
        <f aca="false">-K6*K23/100</f>
        <v>-396.655435046717</v>
      </c>
      <c r="L24" s="0" t="n">
        <f aca="false">-L6*L23/100</f>
        <v>-404.588543747651</v>
      </c>
    </row>
    <row r="26" customFormat="false" ht="15" hidden="false" customHeight="false" outlineLevel="0" collapsed="false">
      <c r="A26" s="2" t="s">
        <v>129</v>
      </c>
    </row>
    <row r="27" customFormat="false" ht="15" hidden="false" customHeight="false" outlineLevel="0" collapsed="false">
      <c r="A27" s="0" t="s">
        <v>107</v>
      </c>
      <c r="B27" s="4" t="n">
        <f aca="false">Assumptions!$B$20</f>
        <v>10.5</v>
      </c>
    </row>
    <row r="28" customFormat="false" ht="15" hidden="false" customHeight="false" outlineLevel="0" collapsed="false">
      <c r="A28" s="0" t="s">
        <v>108</v>
      </c>
      <c r="B28" s="4" t="n">
        <f aca="false">Assumptions!$B$21</f>
        <v>2</v>
      </c>
    </row>
    <row r="29" customFormat="false" ht="15" hidden="false" customHeight="false" outlineLevel="0" collapsed="false">
      <c r="A29" s="0" t="s">
        <v>109</v>
      </c>
      <c r="B29" s="4" t="n">
        <f aca="false">Assumptions!$B$22</f>
        <v>12</v>
      </c>
    </row>
    <row r="30" customFormat="false" ht="15" hidden="false" customHeight="false" outlineLevel="0" collapsed="false">
      <c r="A30" s="0" t="s">
        <v>130</v>
      </c>
      <c r="B30" s="0" t="n">
        <f aca="false">SUM(C21:L21)</f>
        <v>3038.19888981524</v>
      </c>
    </row>
    <row r="31" customFormat="false" ht="15" hidden="false" customHeight="false" outlineLevel="0" collapsed="false">
      <c r="A31" s="0" t="s">
        <v>131</v>
      </c>
      <c r="B31" s="0" t="n">
        <f aca="false">L19</f>
        <v>610.986147708167</v>
      </c>
    </row>
    <row r="32" customFormat="false" ht="15" hidden="false" customHeight="false" outlineLevel="0" collapsed="false">
      <c r="A32" s="0" t="s">
        <v>132</v>
      </c>
      <c r="B32" s="0" t="n">
        <f aca="false">IF(B27&gt;B28,B31*(1+B28/100)/((B27-B28)/100),B31*B29)</f>
        <v>7331.83377249801</v>
      </c>
    </row>
    <row r="33" customFormat="false" ht="15" hidden="false" customHeight="false" outlineLevel="0" collapsed="false">
      <c r="A33" s="0" t="s">
        <v>133</v>
      </c>
      <c r="B33" s="0" t="n">
        <f aca="false">B31*B29</f>
        <v>7331.83377249801</v>
      </c>
    </row>
    <row r="34" customFormat="false" ht="15" hidden="false" customHeight="false" outlineLevel="0" collapsed="false">
      <c r="A34" s="0" t="s">
        <v>134</v>
      </c>
      <c r="B34" s="0" t="n">
        <f aca="false">MAX(0,MIN(B32,B33))</f>
        <v>7331.83377249801</v>
      </c>
    </row>
    <row r="35" customFormat="false" ht="15" hidden="false" customHeight="false" outlineLevel="0" collapsed="false">
      <c r="A35" s="0" t="s">
        <v>135</v>
      </c>
      <c r="B35" s="0" t="n">
        <f aca="false">B34/(1+B27/100)^L4</f>
        <v>2701.40581171728</v>
      </c>
    </row>
    <row r="36" customFormat="false" ht="15" hidden="false" customHeight="false" outlineLevel="0" collapsed="false">
      <c r="A36" s="0" t="s">
        <v>136</v>
      </c>
      <c r="B36" s="0" t="n">
        <f aca="false">B30+B35</f>
        <v>5739.60470153252</v>
      </c>
    </row>
    <row r="37" customFormat="false" ht="15" hidden="false" customHeight="false" outlineLevel="0" collapsed="false">
      <c r="A37" s="0" t="s">
        <v>137</v>
      </c>
      <c r="B37" s="0" t="n">
        <f aca="false">B36+Assumptions!$B$5-Assumptions!$B$4</f>
        <v>6989.13970153252</v>
      </c>
    </row>
    <row r="38" customFormat="false" ht="15" hidden="false" customHeight="false" outlineLevel="0" collapsed="false">
      <c r="A38" s="0" t="s">
        <v>138</v>
      </c>
      <c r="B38" s="0" t="n">
        <f aca="false">B37/Assumptions!$B$3*Assumptions!$B$10</f>
        <v>6.96288852467854</v>
      </c>
    </row>
    <row r="39" customFormat="false" ht="15" hidden="false" customHeight="false" outlineLevel="0" collapsed="false">
      <c r="A39" s="0" t="s">
        <v>139</v>
      </c>
      <c r="B39" s="4" t="n">
        <f aca="false">B38/Assumptions!$B$2-1</f>
        <v>-0.233162056753465</v>
      </c>
    </row>
    <row r="41" customFormat="false" ht="15" hidden="false" customHeight="false" outlineLevel="0" collapsed="false">
      <c r="A41" s="0" t="s">
        <v>140</v>
      </c>
      <c r="B41" s="0" t="n">
        <f aca="false">SUMPRODUCT(-C10:L10/(1+$B$27/100)^C4:L4)</f>
        <v>0</v>
      </c>
    </row>
    <row r="42" customFormat="false" ht="15" hidden="false" customHeight="false" outlineLevel="0" collapsed="false">
      <c r="A42" s="0" t="s">
        <v>141</v>
      </c>
      <c r="B42" s="0" t="n">
        <f aca="false">IF(B27&gt;B28,-L10*(1+B28/100)/((B27-B28)/100),-L10*20)/(1+B27/100)^L4</f>
        <v>0</v>
      </c>
    </row>
    <row r="43" customFormat="false" ht="15" hidden="false" customHeight="false" outlineLevel="0" collapsed="false">
      <c r="A43" s="0" t="s">
        <v>142</v>
      </c>
      <c r="B43" s="0" t="n">
        <f aca="false">(B37+B41+B42)/Assumptions!$B$3*Assumptions!$B$10</f>
        <v>6.96288852467854</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4793.89131278716</v>
      </c>
    </row>
    <row r="47" customFormat="false" ht="15" hidden="false" customHeight="false" outlineLevel="0" collapsed="false">
      <c r="A47" s="0" t="s">
        <v>144</v>
      </c>
      <c r="B47" s="0" t="n">
        <f aca="false">(SUMPRODUCT(C19:L19/(1+B45/100)^C4:L4)+B46/(1+B45/100)^L4+Assumptions!$B$5-Assumptions!$B$4)/Assumptions!$B$3*Assumptions!$B$10</f>
        <v>4.91097927574536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6</v>
      </c>
      <c r="D5" s="4" t="n">
        <f aca="false">Assumptions!D27</f>
        <v>8</v>
      </c>
      <c r="E5" s="4" t="n">
        <f aca="false">Assumptions!E27</f>
        <v>8</v>
      </c>
      <c r="F5" s="4" t="n">
        <f aca="false">Assumptions!F27</f>
        <v>7</v>
      </c>
      <c r="G5" s="4" t="n">
        <f aca="false">Assumptions!G27</f>
        <v>6</v>
      </c>
      <c r="H5" s="4" t="n">
        <f aca="false">Assumptions!H27</f>
        <v>5</v>
      </c>
      <c r="I5" s="4" t="n">
        <f aca="false">Assumptions!I27</f>
        <v>4.5</v>
      </c>
      <c r="J5" s="4" t="n">
        <f aca="false">Assumptions!J27</f>
        <v>4</v>
      </c>
      <c r="K5" s="4" t="n">
        <f aca="false">Assumptions!K27</f>
        <v>3.5</v>
      </c>
      <c r="L5" s="4" t="n">
        <f aca="false">Assumptions!L27</f>
        <v>3</v>
      </c>
    </row>
    <row r="6" customFormat="false" ht="15" hidden="false" customHeight="false" outlineLevel="0" collapsed="false">
      <c r="A6" s="0" t="s">
        <v>38</v>
      </c>
      <c r="B6" s="3" t="n">
        <v>5345.091</v>
      </c>
      <c r="C6" s="0" t="n">
        <f aca="false">B6*(1+C5/100)</f>
        <v>5665.79646</v>
      </c>
      <c r="D6" s="0" t="n">
        <f aca="false">C6*(1+D5/100)</f>
        <v>6119.0601768</v>
      </c>
      <c r="E6" s="0" t="n">
        <f aca="false">D6*(1+E5/100)</f>
        <v>6608.584990944</v>
      </c>
      <c r="F6" s="0" t="n">
        <f aca="false">E6*(1+F5/100)</f>
        <v>7071.18594031008</v>
      </c>
      <c r="G6" s="0" t="n">
        <f aca="false">F6*(1+G5/100)</f>
        <v>7495.45709672869</v>
      </c>
      <c r="H6" s="0" t="n">
        <f aca="false">G6*(1+H5/100)</f>
        <v>7870.22995156512</v>
      </c>
      <c r="I6" s="0" t="n">
        <f aca="false">H6*(1+I5/100)</f>
        <v>8224.39029938555</v>
      </c>
      <c r="J6" s="0" t="n">
        <f aca="false">I6*(1+J5/100)</f>
        <v>8553.36591136097</v>
      </c>
      <c r="K6" s="0" t="n">
        <f aca="false">J6*(1+K5/100)</f>
        <v>8852.73371825861</v>
      </c>
      <c r="L6" s="0" t="n">
        <f aca="false">K6*(1+L5/100)</f>
        <v>9118.31572980637</v>
      </c>
    </row>
    <row r="7" customFormat="false" ht="15" hidden="false" customHeight="false" outlineLevel="0" collapsed="false">
      <c r="A7" s="0" t="s">
        <v>101</v>
      </c>
      <c r="C7" s="4" t="n">
        <f aca="false">Assumptions!C28</f>
        <v>23</v>
      </c>
      <c r="D7" s="4" t="n">
        <f aca="false">Assumptions!D28</f>
        <v>24</v>
      </c>
      <c r="E7" s="4" t="n">
        <f aca="false">Assumptions!E28</f>
        <v>24.8</v>
      </c>
      <c r="F7" s="4" t="n">
        <f aca="false">Assumptions!F28</f>
        <v>25.2</v>
      </c>
      <c r="G7" s="4" t="n">
        <f aca="false">Assumptions!G28</f>
        <v>25.5</v>
      </c>
      <c r="H7" s="4" t="n">
        <f aca="false">Assumptions!H28</f>
        <v>25.5</v>
      </c>
      <c r="I7" s="4" t="n">
        <f aca="false">Assumptions!I28</f>
        <v>25.5</v>
      </c>
      <c r="J7" s="4" t="n">
        <f aca="false">Assumptions!J28</f>
        <v>25.5</v>
      </c>
      <c r="K7" s="4" t="n">
        <f aca="false">Assumptions!K28</f>
        <v>25.5</v>
      </c>
      <c r="L7" s="4" t="n">
        <f aca="false">Assumptions!L28</f>
        <v>25.5</v>
      </c>
    </row>
    <row r="8" customFormat="false" ht="15" hidden="false" customHeight="false" outlineLevel="0" collapsed="false">
      <c r="A8" s="0" t="s">
        <v>44</v>
      </c>
      <c r="C8" s="0" t="n">
        <f aca="false">C6*C7/100</f>
        <v>1303.1331858</v>
      </c>
      <c r="D8" s="0" t="n">
        <f aca="false">D6*D7/100</f>
        <v>1468.574442432</v>
      </c>
      <c r="E8" s="0" t="n">
        <f aca="false">E6*E7/100</f>
        <v>1638.92907775411</v>
      </c>
      <c r="F8" s="0" t="n">
        <f aca="false">F6*F7/100</f>
        <v>1781.93885695814</v>
      </c>
      <c r="G8" s="0" t="n">
        <f aca="false">G6*G7/100</f>
        <v>1911.34155966582</v>
      </c>
      <c r="H8" s="0" t="n">
        <f aca="false">H6*H7/100</f>
        <v>2006.90863764911</v>
      </c>
      <c r="I8" s="0" t="n">
        <f aca="false">I6*I7/100</f>
        <v>2097.21952634332</v>
      </c>
      <c r="J8" s="0" t="n">
        <f aca="false">J6*J7/100</f>
        <v>2181.10830739705</v>
      </c>
      <c r="K8" s="0" t="n">
        <f aca="false">K6*K7/100</f>
        <v>2257.44709815595</v>
      </c>
      <c r="L8" s="0" t="n">
        <f aca="false">L6*L7/100</f>
        <v>2325.17051110062</v>
      </c>
    </row>
    <row r="9" customFormat="false" ht="15" hidden="false" customHeight="false" outlineLevel="0" collapsed="false">
      <c r="A9" s="0" t="s">
        <v>102</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117</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118</v>
      </c>
      <c r="C11" s="0" t="n">
        <f aca="false">C8+C10+C24</f>
        <v>1002.84597342</v>
      </c>
      <c r="D11" s="0" t="n">
        <f aca="false">D8+D10+D24</f>
        <v>1144.2642530616</v>
      </c>
      <c r="E11" s="0" t="n">
        <f aca="false">E8+E10+E24</f>
        <v>1295.28265822502</v>
      </c>
      <c r="F11" s="0" t="n">
        <f aca="false">F8+F10+F24</f>
        <v>1414.23718806202</v>
      </c>
      <c r="G11" s="0" t="n">
        <f aca="false">G8+G10+G24</f>
        <v>1521.57779063592</v>
      </c>
      <c r="H11" s="0" t="n">
        <f aca="false">H8+H10+H24</f>
        <v>1597.65668016772</v>
      </c>
      <c r="I11" s="0" t="n">
        <f aca="false">I8+I10+I24</f>
        <v>1669.55123077527</v>
      </c>
      <c r="J11" s="0" t="n">
        <f aca="false">J8+J10+J24</f>
        <v>1736.33328000628</v>
      </c>
      <c r="K11" s="0" t="n">
        <f aca="false">K8+K10+K24</f>
        <v>1797.1049448065</v>
      </c>
      <c r="L11" s="0" t="n">
        <f aca="false">L8+L10+L24</f>
        <v>1851.01809315069</v>
      </c>
    </row>
    <row r="12" customFormat="false" ht="15" hidden="false" customHeight="false" outlineLevel="0" collapsed="false">
      <c r="A12" s="0" t="s">
        <v>119</v>
      </c>
      <c r="C12" s="4" t="n">
        <f aca="false">-C6*Assumptions!C31/100</f>
        <v>-203.96867256</v>
      </c>
      <c r="D12" s="4" t="n">
        <f aca="false">-D6*Assumptions!D31/100</f>
        <v>-220.2861663648</v>
      </c>
      <c r="E12" s="4" t="n">
        <f aca="false">-E6*Assumptions!E31/100</f>
        <v>-237.909059673984</v>
      </c>
      <c r="F12" s="4" t="n">
        <f aca="false">-F6*Assumptions!F31/100</f>
        <v>-254.562693851163</v>
      </c>
      <c r="G12" s="4" t="n">
        <f aca="false">-G6*Assumptions!G31/100</f>
        <v>-269.836455482233</v>
      </c>
      <c r="H12" s="4" t="n">
        <f aca="false">-H6*Assumptions!H31/100</f>
        <v>-283.328278256344</v>
      </c>
      <c r="I12" s="4" t="n">
        <f aca="false">-I6*Assumptions!I31/100</f>
        <v>-296.07805077788</v>
      </c>
      <c r="J12" s="4" t="n">
        <f aca="false">-J6*Assumptions!J31/100</f>
        <v>-307.921172808995</v>
      </c>
      <c r="K12" s="4" t="n">
        <f aca="false">-K6*Assumptions!K31/100</f>
        <v>-318.69841385731</v>
      </c>
      <c r="L12" s="4" t="n">
        <f aca="false">-L6*Assumptions!L31/100</f>
        <v>-328.259366273029</v>
      </c>
    </row>
    <row r="13" customFormat="false" ht="15" hidden="false" customHeight="false" outlineLevel="0" collapsed="false">
      <c r="A13" s="0" t="s">
        <v>120</v>
      </c>
      <c r="C13" s="0" t="n">
        <f aca="false">C11+C12</f>
        <v>798.87730086</v>
      </c>
      <c r="D13" s="0" t="n">
        <f aca="false">D11+D12</f>
        <v>923.9780866968</v>
      </c>
      <c r="E13" s="0" t="n">
        <f aca="false">E11+E12</f>
        <v>1057.37359855104</v>
      </c>
      <c r="F13" s="0" t="n">
        <f aca="false">F11+F12</f>
        <v>1159.67449421085</v>
      </c>
      <c r="G13" s="0" t="n">
        <f aca="false">G11+G12</f>
        <v>1251.74133515369</v>
      </c>
      <c r="H13" s="0" t="n">
        <f aca="false">H11+H12</f>
        <v>1314.32840191138</v>
      </c>
      <c r="I13" s="0" t="n">
        <f aca="false">I11+I12</f>
        <v>1373.47317999739</v>
      </c>
      <c r="J13" s="0" t="n">
        <f aca="false">J11+J12</f>
        <v>1428.41210719728</v>
      </c>
      <c r="K13" s="0" t="n">
        <f aca="false">K11+K12</f>
        <v>1478.40653094919</v>
      </c>
      <c r="L13" s="0" t="n">
        <f aca="false">L11+L12</f>
        <v>1522.75872687766</v>
      </c>
    </row>
    <row r="14" customFormat="false" ht="15" hidden="false" customHeight="false" outlineLevel="0" collapsed="false">
      <c r="A14" s="0" t="s">
        <v>106</v>
      </c>
      <c r="C14" s="4" t="n">
        <f aca="false">Assumptions!C33</f>
        <v>27</v>
      </c>
      <c r="D14" s="4" t="n">
        <f aca="false">Assumptions!D33</f>
        <v>27</v>
      </c>
      <c r="E14" s="4" t="n">
        <f aca="false">Assumptions!E33</f>
        <v>27</v>
      </c>
      <c r="F14" s="4" t="n">
        <f aca="false">Assumptions!F33</f>
        <v>27</v>
      </c>
      <c r="G14" s="4" t="n">
        <f aca="false">Assumptions!G33</f>
        <v>27</v>
      </c>
      <c r="H14" s="4" t="n">
        <f aca="false">Assumptions!H33</f>
        <v>27</v>
      </c>
      <c r="I14" s="4" t="n">
        <f aca="false">Assumptions!I33</f>
        <v>27</v>
      </c>
      <c r="J14" s="4" t="n">
        <f aca="false">Assumptions!J33</f>
        <v>27</v>
      </c>
      <c r="K14" s="4" t="n">
        <f aca="false">Assumptions!K33</f>
        <v>27</v>
      </c>
      <c r="L14" s="4" t="n">
        <f aca="false">Assumptions!L33</f>
        <v>27</v>
      </c>
    </row>
    <row r="15" customFormat="false" ht="15" hidden="false" customHeight="false" outlineLevel="0" collapsed="false">
      <c r="A15" s="0" t="s">
        <v>121</v>
      </c>
      <c r="C15" s="0" t="n">
        <f aca="false">C13-MAX(0,C13)*C14/100</f>
        <v>583.1804296278</v>
      </c>
      <c r="D15" s="0" t="n">
        <f aca="false">D13-MAX(0,D13)*D14/100</f>
        <v>674.504003288664</v>
      </c>
      <c r="E15" s="0" t="n">
        <f aca="false">E13-MAX(0,E13)*E14/100</f>
        <v>771.882726942259</v>
      </c>
      <c r="F15" s="0" t="n">
        <f aca="false">F13-MAX(0,F13)*F14/100</f>
        <v>846.562380773923</v>
      </c>
      <c r="G15" s="0" t="n">
        <f aca="false">G13-MAX(0,G13)*G14/100</f>
        <v>913.771174662194</v>
      </c>
      <c r="H15" s="0" t="n">
        <f aca="false">H13-MAX(0,H13)*H14/100</f>
        <v>959.459733395304</v>
      </c>
      <c r="I15" s="0" t="n">
        <f aca="false">I13-MAX(0,I13)*I14/100</f>
        <v>1002.63542139809</v>
      </c>
      <c r="J15" s="0" t="n">
        <f aca="false">J13-MAX(0,J13)*J14/100</f>
        <v>1042.74083825402</v>
      </c>
      <c r="K15" s="0" t="n">
        <f aca="false">K13-MAX(0,K13)*K14/100</f>
        <v>1079.23676759291</v>
      </c>
      <c r="L15" s="0" t="n">
        <f aca="false">L13-MAX(0,L13)*L14/100</f>
        <v>1111.61387062069</v>
      </c>
    </row>
    <row r="16" customFormat="false" ht="15" hidden="false" customHeight="false" outlineLevel="0" collapsed="false">
      <c r="A16" s="0" t="s">
        <v>122</v>
      </c>
      <c r="C16" s="0" t="n">
        <f aca="false">-C12</f>
        <v>203.96867256</v>
      </c>
      <c r="D16" s="0" t="n">
        <f aca="false">-D12</f>
        <v>220.2861663648</v>
      </c>
      <c r="E16" s="0" t="n">
        <f aca="false">-E12</f>
        <v>237.909059673984</v>
      </c>
      <c r="F16" s="0" t="n">
        <f aca="false">-F12</f>
        <v>254.562693851163</v>
      </c>
      <c r="G16" s="0" t="n">
        <f aca="false">-G12</f>
        <v>269.836455482233</v>
      </c>
      <c r="H16" s="0" t="n">
        <f aca="false">-H12</f>
        <v>283.328278256344</v>
      </c>
      <c r="I16" s="0" t="n">
        <f aca="false">-I12</f>
        <v>296.07805077788</v>
      </c>
      <c r="J16" s="0" t="n">
        <f aca="false">-J12</f>
        <v>307.921172808995</v>
      </c>
      <c r="K16" s="0" t="n">
        <f aca="false">-K12</f>
        <v>318.69841385731</v>
      </c>
      <c r="L16" s="0" t="n">
        <f aca="false">-L12</f>
        <v>328.259366273029</v>
      </c>
    </row>
    <row r="17" customFormat="false" ht="15" hidden="false" customHeight="false" outlineLevel="0" collapsed="false">
      <c r="A17" s="0" t="s">
        <v>123</v>
      </c>
      <c r="C17" s="4" t="n">
        <f aca="false">-C6*Assumptions!C32/100</f>
        <v>-368.2767699</v>
      </c>
      <c r="D17" s="4" t="n">
        <f aca="false">-D6*Assumptions!D32/100</f>
        <v>-397.738911492</v>
      </c>
      <c r="E17" s="4" t="n">
        <f aca="false">-E6*Assumptions!E32/100</f>
        <v>-396.51509945664</v>
      </c>
      <c r="F17" s="4" t="n">
        <f aca="false">-F6*Assumptions!F32/100</f>
        <v>-388.915226717054</v>
      </c>
      <c r="G17" s="4" t="n">
        <f aca="false">-G6*Assumptions!G32/100</f>
        <v>-374.772854836434</v>
      </c>
      <c r="H17" s="4" t="n">
        <f aca="false">-H6*Assumptions!H32/100</f>
        <v>-377.771037675126</v>
      </c>
      <c r="I17" s="4" t="n">
        <f aca="false">-I6*Assumptions!I32/100</f>
        <v>-378.321953771735</v>
      </c>
      <c r="J17" s="4" t="n">
        <f aca="false">-J6*Assumptions!J32/100</f>
        <v>-384.901466011244</v>
      </c>
      <c r="K17" s="4" t="n">
        <f aca="false">-K6*Assumptions!K32/100</f>
        <v>-398.373017321637</v>
      </c>
      <c r="L17" s="4" t="n">
        <f aca="false">-L6*Assumptions!L32/100</f>
        <v>-410.324207841286</v>
      </c>
    </row>
    <row r="18" customFormat="false" ht="15" hidden="false" customHeight="false" outlineLevel="0" collapsed="false">
      <c r="A18" s="0" t="s">
        <v>124</v>
      </c>
      <c r="C18" s="4" t="n">
        <f aca="false">(C6-B6)*Assumptions!$B$37/100</f>
        <v>9.6211638</v>
      </c>
      <c r="D18" s="4" t="n">
        <f aca="false">(D6-C6)*Assumptions!$B$37/100</f>
        <v>13.597911504</v>
      </c>
      <c r="E18" s="4" t="n">
        <f aca="false">(E6-D6)*Assumptions!$B$37/100</f>
        <v>14.68574442432</v>
      </c>
      <c r="F18" s="4" t="n">
        <f aca="false">(F6-E6)*Assumptions!$B$37/100</f>
        <v>13.8780284809824</v>
      </c>
      <c r="G18" s="4" t="n">
        <f aca="false">(G6-F6)*Assumptions!$B$37/100</f>
        <v>12.7281346925582</v>
      </c>
      <c r="H18" s="4" t="n">
        <f aca="false">(H6-G6)*Assumptions!$B$37/100</f>
        <v>11.243185645093</v>
      </c>
      <c r="I18" s="4" t="n">
        <f aca="false">(I6-H6)*Assumptions!$B$37/100</f>
        <v>10.6248104346129</v>
      </c>
      <c r="J18" s="4" t="n">
        <f aca="false">(J6-I6)*Assumptions!$B$37/100</f>
        <v>9.86926835926266</v>
      </c>
      <c r="K18" s="4" t="n">
        <f aca="false">(K6-J6)*Assumptions!$B$37/100</f>
        <v>8.981034206929</v>
      </c>
      <c r="L18" s="4" t="n">
        <f aca="false">(L6-K6)*Assumptions!$B$37/100</f>
        <v>7.96746034643275</v>
      </c>
    </row>
    <row r="19" customFormat="false" ht="15" hidden="false" customHeight="false" outlineLevel="0" collapsed="false">
      <c r="A19" s="0" t="s">
        <v>125</v>
      </c>
      <c r="C19" s="0" t="n">
        <f aca="false">C15+C16+C17+C18</f>
        <v>428.4934960878</v>
      </c>
      <c r="D19" s="0" t="n">
        <f aca="false">D15+D16+D17+D18</f>
        <v>510.649169665464</v>
      </c>
      <c r="E19" s="0" t="n">
        <f aca="false">E15+E16+E17+E18</f>
        <v>627.962431583923</v>
      </c>
      <c r="F19" s="0" t="n">
        <f aca="false">F15+F16+F17+F18</f>
        <v>726.087876389014</v>
      </c>
      <c r="G19" s="0" t="n">
        <f aca="false">G15+G16+G17+G18</f>
        <v>821.562910000551</v>
      </c>
      <c r="H19" s="0" t="n">
        <f aca="false">H15+H16+H17+H18</f>
        <v>876.260159621616</v>
      </c>
      <c r="I19" s="0" t="n">
        <f aca="false">I15+I16+I17+I18</f>
        <v>931.01632883885</v>
      </c>
      <c r="J19" s="0" t="n">
        <f aca="false">J15+J16+J17+J18</f>
        <v>975.62981341103</v>
      </c>
      <c r="K19" s="0" t="n">
        <f aca="false">K15+K16+K17+K18</f>
        <v>1008.54319833551</v>
      </c>
      <c r="L19" s="0" t="n">
        <f aca="false">L15+L16+L17+L18</f>
        <v>1037.51648939887</v>
      </c>
    </row>
    <row r="20" customFormat="false" ht="15" hidden="false" customHeight="false" outlineLevel="0" collapsed="false">
      <c r="A20" s="0" t="s">
        <v>126</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127</v>
      </c>
      <c r="C21" s="0" t="n">
        <f aca="false">C19*C20</f>
        <v>387.776919536471</v>
      </c>
      <c r="D21" s="0" t="n">
        <f aca="false">D19*D20</f>
        <v>418.213525247611</v>
      </c>
      <c r="E21" s="0" t="n">
        <f aca="false">E19*E20</f>
        <v>465.421914611591</v>
      </c>
      <c r="F21" s="0" t="n">
        <f aca="false">F19*F20</f>
        <v>487.012460734514</v>
      </c>
      <c r="G21" s="0" t="n">
        <f aca="false">G19*G20</f>
        <v>498.688593152491</v>
      </c>
      <c r="H21" s="0" t="n">
        <f aca="false">H19*H20</f>
        <v>481.34825110073</v>
      </c>
      <c r="I21" s="0" t="n">
        <f aca="false">I19*I20</f>
        <v>462.829840476904</v>
      </c>
      <c r="J21" s="0" t="n">
        <f aca="false">J19*J20</f>
        <v>438.921484011402</v>
      </c>
      <c r="K21" s="0" t="n">
        <f aca="false">K19*K20</f>
        <v>410.614236327355</v>
      </c>
      <c r="L21" s="0" t="n">
        <f aca="false">L19*L20</f>
        <v>382.271770089476</v>
      </c>
    </row>
    <row r="23" customFormat="false" ht="15" hidden="false" customHeight="false" outlineLevel="0" collapsed="false">
      <c r="A23" s="0" t="s">
        <v>103</v>
      </c>
      <c r="C23" s="4" t="n">
        <f aca="false">Assumptions!C30</f>
        <v>5.3</v>
      </c>
      <c r="D23" s="4" t="n">
        <f aca="false">Assumptions!D30</f>
        <v>5.3</v>
      </c>
      <c r="E23" s="4" t="n">
        <f aca="false">Assumptions!E30</f>
        <v>5.2</v>
      </c>
      <c r="F23" s="4" t="n">
        <f aca="false">Assumptions!F30</f>
        <v>5.2</v>
      </c>
      <c r="G23" s="4" t="n">
        <f aca="false">Assumptions!G30</f>
        <v>5.2</v>
      </c>
      <c r="H23" s="4" t="n">
        <f aca="false">Assumptions!H30</f>
        <v>5.2</v>
      </c>
      <c r="I23" s="4" t="n">
        <f aca="false">Assumptions!I30</f>
        <v>5.2</v>
      </c>
      <c r="J23" s="4" t="n">
        <f aca="false">Assumptions!J30</f>
        <v>5.2</v>
      </c>
      <c r="K23" s="4" t="n">
        <f aca="false">Assumptions!K30</f>
        <v>5.2</v>
      </c>
      <c r="L23" s="4" t="n">
        <f aca="false">Assumptions!L30</f>
        <v>5.2</v>
      </c>
    </row>
    <row r="24" customFormat="false" ht="15" hidden="false" customHeight="false" outlineLevel="0" collapsed="false">
      <c r="A24" s="0" t="s">
        <v>128</v>
      </c>
      <c r="C24" s="0" t="n">
        <f aca="false">-C6*C23/100</f>
        <v>-300.28721238</v>
      </c>
      <c r="D24" s="0" t="n">
        <f aca="false">-D6*D23/100</f>
        <v>-324.3101893704</v>
      </c>
      <c r="E24" s="0" t="n">
        <f aca="false">-E6*E23/100</f>
        <v>-343.646419529088</v>
      </c>
      <c r="F24" s="0" t="n">
        <f aca="false">-F6*F23/100</f>
        <v>-367.701668896124</v>
      </c>
      <c r="G24" s="0" t="n">
        <f aca="false">-G6*G23/100</f>
        <v>-389.763769029892</v>
      </c>
      <c r="H24" s="0" t="n">
        <f aca="false">-H6*H23/100</f>
        <v>-409.251957481386</v>
      </c>
      <c r="I24" s="0" t="n">
        <f aca="false">-I6*I23/100</f>
        <v>-427.668295568049</v>
      </c>
      <c r="J24" s="0" t="n">
        <f aca="false">-J6*J23/100</f>
        <v>-444.775027390771</v>
      </c>
      <c r="K24" s="0" t="n">
        <f aca="false">-K6*K23/100</f>
        <v>-460.342153349448</v>
      </c>
      <c r="L24" s="0" t="n">
        <f aca="false">-L6*L23/100</f>
        <v>-474.152417949931</v>
      </c>
    </row>
    <row r="26" customFormat="false" ht="15" hidden="false" customHeight="false" outlineLevel="0" collapsed="false">
      <c r="A26" s="2" t="s">
        <v>129</v>
      </c>
    </row>
    <row r="27" customFormat="false" ht="15" hidden="false" customHeight="false" outlineLevel="0" collapsed="false">
      <c r="A27" s="0" t="s">
        <v>107</v>
      </c>
      <c r="B27" s="4" t="n">
        <f aca="false">Assumptions!$B$34</f>
        <v>10.5</v>
      </c>
    </row>
    <row r="28" customFormat="false" ht="15" hidden="false" customHeight="false" outlineLevel="0" collapsed="false">
      <c r="A28" s="0" t="s">
        <v>108</v>
      </c>
      <c r="B28" s="4" t="n">
        <f aca="false">Assumptions!$B$35</f>
        <v>2.5</v>
      </c>
    </row>
    <row r="29" customFormat="false" ht="15" hidden="false" customHeight="false" outlineLevel="0" collapsed="false">
      <c r="A29" s="0" t="s">
        <v>109</v>
      </c>
      <c r="B29" s="4" t="n">
        <f aca="false">Assumptions!$B$36</f>
        <v>15</v>
      </c>
    </row>
    <row r="30" customFormat="false" ht="15" hidden="false" customHeight="false" outlineLevel="0" collapsed="false">
      <c r="A30" s="0" t="s">
        <v>130</v>
      </c>
      <c r="B30" s="0" t="n">
        <f aca="false">SUM(C21:L21)</f>
        <v>4433.09899528854</v>
      </c>
    </row>
    <row r="31" customFormat="false" ht="15" hidden="false" customHeight="false" outlineLevel="0" collapsed="false">
      <c r="A31" s="0" t="s">
        <v>131</v>
      </c>
      <c r="B31" s="0" t="n">
        <f aca="false">L19</f>
        <v>1037.51648939887</v>
      </c>
    </row>
    <row r="32" customFormat="false" ht="15" hidden="false" customHeight="false" outlineLevel="0" collapsed="false">
      <c r="A32" s="0" t="s">
        <v>132</v>
      </c>
      <c r="B32" s="0" t="n">
        <f aca="false">IF(B27&gt;B28,B31*(1+B28/100)/((B27-B28)/100),B31*B29)</f>
        <v>13293.180020423</v>
      </c>
    </row>
    <row r="33" customFormat="false" ht="15" hidden="false" customHeight="false" outlineLevel="0" collapsed="false">
      <c r="A33" s="0" t="s">
        <v>133</v>
      </c>
      <c r="B33" s="0" t="n">
        <f aca="false">B31*B29</f>
        <v>15562.747340983</v>
      </c>
    </row>
    <row r="34" customFormat="false" ht="15" hidden="false" customHeight="false" outlineLevel="0" collapsed="false">
      <c r="A34" s="0" t="s">
        <v>134</v>
      </c>
      <c r="B34" s="0" t="n">
        <f aca="false">MAX(0,MIN(B32,B33))</f>
        <v>13293.180020423</v>
      </c>
    </row>
    <row r="35" customFormat="false" ht="15" hidden="false" customHeight="false" outlineLevel="0" collapsed="false">
      <c r="A35" s="0" t="s">
        <v>135</v>
      </c>
      <c r="B35" s="0" t="n">
        <f aca="false">B34/(1+B27/100)^L4</f>
        <v>4897.85705427141</v>
      </c>
    </row>
    <row r="36" customFormat="false" ht="15" hidden="false" customHeight="false" outlineLevel="0" collapsed="false">
      <c r="A36" s="0" t="s">
        <v>136</v>
      </c>
      <c r="B36" s="0" t="n">
        <f aca="false">B30+B35</f>
        <v>9330.95604955995</v>
      </c>
    </row>
    <row r="37" customFormat="false" ht="15" hidden="false" customHeight="false" outlineLevel="0" collapsed="false">
      <c r="A37" s="0" t="s">
        <v>137</v>
      </c>
      <c r="B37" s="0" t="n">
        <f aca="false">B36+Assumptions!$B$5-Assumptions!$B$4</f>
        <v>10580.49104956</v>
      </c>
    </row>
    <row r="38" customFormat="false" ht="15" hidden="false" customHeight="false" outlineLevel="0" collapsed="false">
      <c r="A38" s="0" t="s">
        <v>138</v>
      </c>
      <c r="B38" s="0" t="n">
        <f aca="false">B37/Assumptions!$B$3*Assumptions!$B$10</f>
        <v>10.5407507734165</v>
      </c>
    </row>
    <row r="39" customFormat="false" ht="15" hidden="false" customHeight="false" outlineLevel="0" collapsed="false">
      <c r="A39" s="0" t="s">
        <v>139</v>
      </c>
      <c r="B39" s="4" t="n">
        <f aca="false">B38/Assumptions!$B$2-1</f>
        <v>0.160875635838823</v>
      </c>
    </row>
    <row r="41" customFormat="false" ht="15" hidden="false" customHeight="false" outlineLevel="0" collapsed="false">
      <c r="A41" s="0" t="s">
        <v>140</v>
      </c>
      <c r="B41" s="0" t="n">
        <f aca="false">SUMPRODUCT(-C10:L10/(1+$B$27/100)^C4:L4)</f>
        <v>0</v>
      </c>
    </row>
    <row r="42" customFormat="false" ht="15" hidden="false" customHeight="false" outlineLevel="0" collapsed="false">
      <c r="A42" s="0" t="s">
        <v>141</v>
      </c>
      <c r="B42" s="0" t="n">
        <f aca="false">IF(B27&gt;B28,-L10*(1+B28/100)/((B27-B28)/100),-L10*20)/(1+B27/100)^L4</f>
        <v>0</v>
      </c>
    </row>
    <row r="43" customFormat="false" ht="15" hidden="false" customHeight="false" outlineLevel="0" collapsed="false">
      <c r="A43" s="0" t="s">
        <v>142</v>
      </c>
      <c r="B43" s="0" t="n">
        <f aca="false">(B37+B41+B42)/Assumptions!$B$3*Assumptions!$B$10</f>
        <v>10.5407507734165</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8507.63521307073</v>
      </c>
    </row>
    <row r="47" customFormat="false" ht="15" hidden="false" customHeight="false" outlineLevel="0" collapsed="false">
      <c r="A47" s="0" t="s">
        <v>144</v>
      </c>
      <c r="B47" s="0" t="n">
        <f aca="false">(SUMPRODUCT(C19:L19/(1+B45/100)^C4:L4)+B46/(1+B45/100)^L4+Assumptions!$B$5-Assumptions!$B$4)/Assumptions!$B$3*Assumptions!$B$10</f>
        <v>6.91257776424483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8</v>
      </c>
      <c r="D5" s="4" t="n">
        <f aca="false">Assumptions!D41</f>
        <v>11</v>
      </c>
      <c r="E5" s="4" t="n">
        <f aca="false">Assumptions!E41</f>
        <v>11</v>
      </c>
      <c r="F5" s="4" t="n">
        <f aca="false">Assumptions!F41</f>
        <v>10</v>
      </c>
      <c r="G5" s="4" t="n">
        <f aca="false">Assumptions!G41</f>
        <v>8</v>
      </c>
      <c r="H5" s="4" t="n">
        <f aca="false">Assumptions!H41</f>
        <v>7</v>
      </c>
      <c r="I5" s="4" t="n">
        <f aca="false">Assumptions!I41</f>
        <v>6</v>
      </c>
      <c r="J5" s="4" t="n">
        <f aca="false">Assumptions!J41</f>
        <v>5</v>
      </c>
      <c r="K5" s="4" t="n">
        <f aca="false">Assumptions!K41</f>
        <v>4</v>
      </c>
      <c r="L5" s="4" t="n">
        <f aca="false">Assumptions!L41</f>
        <v>3.5</v>
      </c>
    </row>
    <row r="6" customFormat="false" ht="15" hidden="false" customHeight="false" outlineLevel="0" collapsed="false">
      <c r="A6" s="0" t="s">
        <v>38</v>
      </c>
      <c r="B6" s="3" t="n">
        <v>5345.091</v>
      </c>
      <c r="C6" s="0" t="n">
        <f aca="false">B6*(1+C5/100)</f>
        <v>5772.69828</v>
      </c>
      <c r="D6" s="0" t="n">
        <f aca="false">C6*(1+D5/100)</f>
        <v>6407.6950908</v>
      </c>
      <c r="E6" s="0" t="n">
        <f aca="false">D6*(1+E5/100)</f>
        <v>7112.541550788</v>
      </c>
      <c r="F6" s="0" t="n">
        <f aca="false">E6*(1+F5/100)</f>
        <v>7823.7957058668</v>
      </c>
      <c r="G6" s="0" t="n">
        <f aca="false">F6*(1+G5/100)</f>
        <v>8449.69936233615</v>
      </c>
      <c r="H6" s="0" t="n">
        <f aca="false">G6*(1+H5/100)</f>
        <v>9041.17831769968</v>
      </c>
      <c r="I6" s="0" t="n">
        <f aca="false">H6*(1+I5/100)</f>
        <v>9583.64901676166</v>
      </c>
      <c r="J6" s="0" t="n">
        <f aca="false">I6*(1+J5/100)</f>
        <v>10062.8314675997</v>
      </c>
      <c r="K6" s="0" t="n">
        <f aca="false">J6*(1+K5/100)</f>
        <v>10465.3447263037</v>
      </c>
      <c r="L6" s="0" t="n">
        <f aca="false">K6*(1+L5/100)</f>
        <v>10831.6317917244</v>
      </c>
    </row>
    <row r="7" customFormat="false" ht="15" hidden="false" customHeight="false" outlineLevel="0" collapsed="false">
      <c r="A7" s="0" t="s">
        <v>101</v>
      </c>
      <c r="C7" s="4" t="n">
        <f aca="false">Assumptions!C42</f>
        <v>24</v>
      </c>
      <c r="D7" s="4" t="n">
        <f aca="false">Assumptions!D42</f>
        <v>25.5</v>
      </c>
      <c r="E7" s="4" t="n">
        <f aca="false">Assumptions!E42</f>
        <v>26.5</v>
      </c>
      <c r="F7" s="4" t="n">
        <f aca="false">Assumptions!F42</f>
        <v>27</v>
      </c>
      <c r="G7" s="4" t="n">
        <f aca="false">Assumptions!G42</f>
        <v>27.5</v>
      </c>
      <c r="H7" s="4" t="n">
        <f aca="false">Assumptions!H42</f>
        <v>27.5</v>
      </c>
      <c r="I7" s="4" t="n">
        <f aca="false">Assumptions!I42</f>
        <v>27.5</v>
      </c>
      <c r="J7" s="4" t="n">
        <f aca="false">Assumptions!J42</f>
        <v>27.5</v>
      </c>
      <c r="K7" s="4" t="n">
        <f aca="false">Assumptions!K42</f>
        <v>27.5</v>
      </c>
      <c r="L7" s="4" t="n">
        <f aca="false">Assumptions!L42</f>
        <v>27.5</v>
      </c>
    </row>
    <row r="8" customFormat="false" ht="15" hidden="false" customHeight="false" outlineLevel="0" collapsed="false">
      <c r="A8" s="0" t="s">
        <v>44</v>
      </c>
      <c r="C8" s="0" t="n">
        <f aca="false">C6*C7/100</f>
        <v>1385.4475872</v>
      </c>
      <c r="D8" s="0" t="n">
        <f aca="false">D6*D7/100</f>
        <v>1633.962248154</v>
      </c>
      <c r="E8" s="0" t="n">
        <f aca="false">E6*E7/100</f>
        <v>1884.82351095882</v>
      </c>
      <c r="F8" s="0" t="n">
        <f aca="false">F6*F7/100</f>
        <v>2112.42484058404</v>
      </c>
      <c r="G8" s="0" t="n">
        <f aca="false">G6*G7/100</f>
        <v>2323.66732464244</v>
      </c>
      <c r="H8" s="0" t="n">
        <f aca="false">H6*H7/100</f>
        <v>2486.32403736741</v>
      </c>
      <c r="I8" s="0" t="n">
        <f aca="false">I6*I7/100</f>
        <v>2635.50347960946</v>
      </c>
      <c r="J8" s="0" t="n">
        <f aca="false">J6*J7/100</f>
        <v>2767.27865358993</v>
      </c>
      <c r="K8" s="0" t="n">
        <f aca="false">K6*K7/100</f>
        <v>2877.96979973353</v>
      </c>
      <c r="L8" s="0" t="n">
        <f aca="false">L6*L7/100</f>
        <v>2978.6987427242</v>
      </c>
    </row>
    <row r="9" customFormat="false" ht="15" hidden="false" customHeight="false" outlineLevel="0" collapsed="false">
      <c r="A9" s="0" t="s">
        <v>102</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117</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118</v>
      </c>
      <c r="C11" s="0" t="n">
        <f aca="false">C8+C10+C24</f>
        <v>1085.26727664</v>
      </c>
      <c r="D11" s="0" t="n">
        <f aca="false">D8+D10+D24</f>
        <v>1307.1697985232</v>
      </c>
      <c r="E11" s="0" t="n">
        <f aca="false">E8+E10+E24</f>
        <v>1529.19643341942</v>
      </c>
      <c r="F11" s="0" t="n">
        <f aca="false">F8+F10+F24</f>
        <v>1721.2350552907</v>
      </c>
      <c r="G11" s="0" t="n">
        <f aca="false">G8+G10+G24</f>
        <v>1901.18235652563</v>
      </c>
      <c r="H11" s="0" t="n">
        <f aca="false">H8+H10+H24</f>
        <v>2034.26512148243</v>
      </c>
      <c r="I11" s="0" t="n">
        <f aca="false">I8+I10+I24</f>
        <v>2156.32102877137</v>
      </c>
      <c r="J11" s="0" t="n">
        <f aca="false">J8+J10+J24</f>
        <v>2264.13708020994</v>
      </c>
      <c r="K11" s="0" t="n">
        <f aca="false">K8+K10+K24</f>
        <v>2354.70256341834</v>
      </c>
      <c r="L11" s="0" t="n">
        <f aca="false">L8+L10+L24</f>
        <v>2437.11715313798</v>
      </c>
    </row>
    <row r="12" customFormat="false" ht="15" hidden="false" customHeight="false" outlineLevel="0" collapsed="false">
      <c r="A12" s="0" t="s">
        <v>119</v>
      </c>
      <c r="C12" s="4" t="n">
        <f aca="false">-C6*Assumptions!C45/100</f>
        <v>-207.81713808</v>
      </c>
      <c r="D12" s="4" t="n">
        <f aca="false">-D6*Assumptions!D45/100</f>
        <v>-230.6770232688</v>
      </c>
      <c r="E12" s="4" t="n">
        <f aca="false">-E6*Assumptions!E45/100</f>
        <v>-256.051495828368</v>
      </c>
      <c r="F12" s="4" t="n">
        <f aca="false">-F6*Assumptions!F45/100</f>
        <v>-281.656645411205</v>
      </c>
      <c r="G12" s="4" t="n">
        <f aca="false">-G6*Assumptions!G45/100</f>
        <v>-304.189177044101</v>
      </c>
      <c r="H12" s="4" t="n">
        <f aca="false">-H6*Assumptions!H45/100</f>
        <v>-325.482419437188</v>
      </c>
      <c r="I12" s="4" t="n">
        <f aca="false">-I6*Assumptions!I45/100</f>
        <v>-345.01136460342</v>
      </c>
      <c r="J12" s="4" t="n">
        <f aca="false">-J6*Assumptions!J45/100</f>
        <v>-362.261932833591</v>
      </c>
      <c r="K12" s="4" t="n">
        <f aca="false">-K6*Assumptions!K45/100</f>
        <v>-376.752410146934</v>
      </c>
      <c r="L12" s="4" t="n">
        <f aca="false">-L6*Assumptions!L45/100</f>
        <v>-389.938744502077</v>
      </c>
    </row>
    <row r="13" customFormat="false" ht="15" hidden="false" customHeight="false" outlineLevel="0" collapsed="false">
      <c r="A13" s="0" t="s">
        <v>120</v>
      </c>
      <c r="C13" s="0" t="n">
        <f aca="false">C11+C12</f>
        <v>877.45013856</v>
      </c>
      <c r="D13" s="0" t="n">
        <f aca="false">D11+D12</f>
        <v>1076.4927752544</v>
      </c>
      <c r="E13" s="0" t="n">
        <f aca="false">E11+E12</f>
        <v>1273.14493759105</v>
      </c>
      <c r="F13" s="0" t="n">
        <f aca="false">F11+F12</f>
        <v>1439.57840987949</v>
      </c>
      <c r="G13" s="0" t="n">
        <f aca="false">G11+G12</f>
        <v>1596.99317948153</v>
      </c>
      <c r="H13" s="0" t="n">
        <f aca="false">H11+H12</f>
        <v>1708.78270204524</v>
      </c>
      <c r="I13" s="0" t="n">
        <f aca="false">I11+I12</f>
        <v>1811.30966416795</v>
      </c>
      <c r="J13" s="0" t="n">
        <f aca="false">J11+J12</f>
        <v>1901.87514737635</v>
      </c>
      <c r="K13" s="0" t="n">
        <f aca="false">K11+K12</f>
        <v>1977.95015327141</v>
      </c>
      <c r="L13" s="0" t="n">
        <f aca="false">L11+L12</f>
        <v>2047.1784086359</v>
      </c>
    </row>
    <row r="14" customFormat="false" ht="15" hidden="false" customHeight="false" outlineLevel="0" collapsed="false">
      <c r="A14" s="0" t="s">
        <v>106</v>
      </c>
      <c r="C14" s="4" t="n">
        <f aca="false">Assumptions!C47</f>
        <v>26</v>
      </c>
      <c r="D14" s="4" t="n">
        <f aca="false">Assumptions!D47</f>
        <v>26</v>
      </c>
      <c r="E14" s="4" t="n">
        <f aca="false">Assumptions!E47</f>
        <v>26</v>
      </c>
      <c r="F14" s="4" t="n">
        <f aca="false">Assumptions!F47</f>
        <v>26</v>
      </c>
      <c r="G14" s="4" t="n">
        <f aca="false">Assumptions!G47</f>
        <v>26</v>
      </c>
      <c r="H14" s="4" t="n">
        <f aca="false">Assumptions!H47</f>
        <v>26</v>
      </c>
      <c r="I14" s="4" t="n">
        <f aca="false">Assumptions!I47</f>
        <v>26</v>
      </c>
      <c r="J14" s="4" t="n">
        <f aca="false">Assumptions!J47</f>
        <v>26</v>
      </c>
      <c r="K14" s="4" t="n">
        <f aca="false">Assumptions!K47</f>
        <v>26</v>
      </c>
      <c r="L14" s="4" t="n">
        <f aca="false">Assumptions!L47</f>
        <v>26</v>
      </c>
    </row>
    <row r="15" customFormat="false" ht="15" hidden="false" customHeight="false" outlineLevel="0" collapsed="false">
      <c r="A15" s="0" t="s">
        <v>121</v>
      </c>
      <c r="C15" s="0" t="n">
        <f aca="false">C13-MAX(0,C13)*C14/100</f>
        <v>649.3131025344</v>
      </c>
      <c r="D15" s="0" t="n">
        <f aca="false">D13-MAX(0,D13)*D14/100</f>
        <v>796.604653688256</v>
      </c>
      <c r="E15" s="0" t="n">
        <f aca="false">E13-MAX(0,E13)*E14/100</f>
        <v>942.127253817379</v>
      </c>
      <c r="F15" s="0" t="n">
        <f aca="false">F13-MAX(0,F13)*F14/100</f>
        <v>1065.28802331082</v>
      </c>
      <c r="G15" s="0" t="n">
        <f aca="false">G13-MAX(0,G13)*G14/100</f>
        <v>1181.77495281633</v>
      </c>
      <c r="H15" s="0" t="n">
        <f aca="false">H13-MAX(0,H13)*H14/100</f>
        <v>1264.49919951348</v>
      </c>
      <c r="I15" s="0" t="n">
        <f aca="false">I13-MAX(0,I13)*I14/100</f>
        <v>1340.36915148429</v>
      </c>
      <c r="J15" s="0" t="n">
        <f aca="false">J13-MAX(0,J13)*J14/100</f>
        <v>1407.3876090585</v>
      </c>
      <c r="K15" s="0" t="n">
        <f aca="false">K13-MAX(0,K13)*K14/100</f>
        <v>1463.68311342084</v>
      </c>
      <c r="L15" s="0" t="n">
        <f aca="false">L13-MAX(0,L13)*L14/100</f>
        <v>1514.91202239057</v>
      </c>
    </row>
    <row r="16" customFormat="false" ht="15" hidden="false" customHeight="false" outlineLevel="0" collapsed="false">
      <c r="A16" s="0" t="s">
        <v>122</v>
      </c>
      <c r="C16" s="0" t="n">
        <f aca="false">-C12</f>
        <v>207.81713808</v>
      </c>
      <c r="D16" s="0" t="n">
        <f aca="false">-D12</f>
        <v>230.6770232688</v>
      </c>
      <c r="E16" s="0" t="n">
        <f aca="false">-E12</f>
        <v>256.051495828368</v>
      </c>
      <c r="F16" s="0" t="n">
        <f aca="false">-F12</f>
        <v>281.656645411205</v>
      </c>
      <c r="G16" s="0" t="n">
        <f aca="false">-G12</f>
        <v>304.189177044101</v>
      </c>
      <c r="H16" s="0" t="n">
        <f aca="false">-H12</f>
        <v>325.482419437188</v>
      </c>
      <c r="I16" s="0" t="n">
        <f aca="false">-I12</f>
        <v>345.01136460342</v>
      </c>
      <c r="J16" s="0" t="n">
        <f aca="false">-J12</f>
        <v>362.261932833591</v>
      </c>
      <c r="K16" s="0" t="n">
        <f aca="false">-K12</f>
        <v>376.752410146934</v>
      </c>
      <c r="L16" s="0" t="n">
        <f aca="false">-L12</f>
        <v>389.938744502077</v>
      </c>
    </row>
    <row r="17" customFormat="false" ht="15" hidden="false" customHeight="false" outlineLevel="0" collapsed="false">
      <c r="A17" s="0" t="s">
        <v>123</v>
      </c>
      <c r="C17" s="4" t="n">
        <f aca="false">-C6*Assumptions!C46/100</f>
        <v>-404.0888796</v>
      </c>
      <c r="D17" s="4" t="n">
        <f aca="false">-D6*Assumptions!D46/100</f>
        <v>-448.538656356</v>
      </c>
      <c r="E17" s="4" t="n">
        <f aca="false">-E6*Assumptions!E46/100</f>
        <v>-462.31520080122</v>
      </c>
      <c r="F17" s="4" t="n">
        <f aca="false">-F6*Assumptions!F46/100</f>
        <v>-469.427742352008</v>
      </c>
      <c r="G17" s="4" t="n">
        <f aca="false">-G6*Assumptions!G46/100</f>
        <v>-464.733464928488</v>
      </c>
      <c r="H17" s="4" t="n">
        <f aca="false">-H6*Assumptions!H46/100</f>
        <v>-452.058915884984</v>
      </c>
      <c r="I17" s="4" t="n">
        <f aca="false">-I6*Assumptions!I46/100</f>
        <v>-479.182450838083</v>
      </c>
      <c r="J17" s="4" t="n">
        <f aca="false">-J6*Assumptions!J46/100</f>
        <v>-483.015910444788</v>
      </c>
      <c r="K17" s="4" t="n">
        <f aca="false">-K6*Assumptions!K46/100</f>
        <v>-470.940512683668</v>
      </c>
      <c r="L17" s="4" t="n">
        <f aca="false">-L6*Assumptions!L46/100</f>
        <v>-487.423430627596</v>
      </c>
    </row>
    <row r="18" customFormat="false" ht="15" hidden="false" customHeight="false" outlineLevel="0" collapsed="false">
      <c r="A18" s="0" t="s">
        <v>124</v>
      </c>
      <c r="C18" s="4" t="n">
        <f aca="false">(C6-B6)*Assumptions!$B$51/100</f>
        <v>12.8282184</v>
      </c>
      <c r="D18" s="4" t="n">
        <f aca="false">(D6-C6)*Assumptions!$B$51/100</f>
        <v>19.049904324</v>
      </c>
      <c r="E18" s="4" t="n">
        <f aca="false">(E6-D6)*Assumptions!$B$51/100</f>
        <v>21.14539379964</v>
      </c>
      <c r="F18" s="4" t="n">
        <f aca="false">(F6-E6)*Assumptions!$B$51/100</f>
        <v>21.337624652364</v>
      </c>
      <c r="G18" s="4" t="n">
        <f aca="false">(G6-F6)*Assumptions!$B$51/100</f>
        <v>18.7771096940803</v>
      </c>
      <c r="H18" s="4" t="n">
        <f aca="false">(H6-G6)*Assumptions!$B$51/100</f>
        <v>17.7443686609059</v>
      </c>
      <c r="I18" s="4" t="n">
        <f aca="false">(I6-H6)*Assumptions!$B$51/100</f>
        <v>16.2741209718594</v>
      </c>
      <c r="J18" s="4" t="n">
        <f aca="false">(J6-I6)*Assumptions!$B$51/100</f>
        <v>14.3754735251425</v>
      </c>
      <c r="K18" s="4" t="n">
        <f aca="false">(K6-J6)*Assumptions!$B$51/100</f>
        <v>12.0753977611197</v>
      </c>
      <c r="L18" s="4" t="n">
        <f aca="false">(L6-K6)*Assumptions!$B$51/100</f>
        <v>10.9886119626189</v>
      </c>
    </row>
    <row r="19" customFormat="false" ht="15" hidden="false" customHeight="false" outlineLevel="0" collapsed="false">
      <c r="A19" s="0" t="s">
        <v>125</v>
      </c>
      <c r="C19" s="0" t="n">
        <f aca="false">C15+C16+C17+C18</f>
        <v>465.8695794144</v>
      </c>
      <c r="D19" s="0" t="n">
        <f aca="false">D15+D16+D17+D18</f>
        <v>597.792924925056</v>
      </c>
      <c r="E19" s="0" t="n">
        <f aca="false">E15+E16+E17+E18</f>
        <v>757.008942644167</v>
      </c>
      <c r="F19" s="0" t="n">
        <f aca="false">F15+F16+F17+F18</f>
        <v>898.854551022385</v>
      </c>
      <c r="G19" s="0" t="n">
        <f aca="false">G15+G16+G17+G18</f>
        <v>1040.00777462603</v>
      </c>
      <c r="H19" s="0" t="n">
        <f aca="false">H15+H16+H17+H18</f>
        <v>1155.66707172659</v>
      </c>
      <c r="I19" s="0" t="n">
        <f aca="false">I15+I16+I17+I18</f>
        <v>1222.47218622148</v>
      </c>
      <c r="J19" s="0" t="n">
        <f aca="false">J15+J16+J17+J18</f>
        <v>1301.00910497245</v>
      </c>
      <c r="K19" s="0" t="n">
        <f aca="false">K15+K16+K17+K18</f>
        <v>1381.57040864523</v>
      </c>
      <c r="L19" s="0" t="n">
        <f aca="false">L15+L16+L17+L18</f>
        <v>1428.41594822767</v>
      </c>
    </row>
    <row r="20" customFormat="false" ht="15" hidden="false" customHeight="false" outlineLevel="0" collapsed="false">
      <c r="A20" s="0" t="s">
        <v>126</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127</v>
      </c>
      <c r="C21" s="0" t="n">
        <f aca="false">C19*C20</f>
        <v>421.601429334299</v>
      </c>
      <c r="D21" s="0" t="n">
        <f aca="false">D19*D20</f>
        <v>489.582870887211</v>
      </c>
      <c r="E21" s="0" t="n">
        <f aca="false">E19*E20</f>
        <v>561.066289546747</v>
      </c>
      <c r="F21" s="0" t="n">
        <f aca="false">F19*F20</f>
        <v>602.893094583629</v>
      </c>
      <c r="G21" s="0" t="n">
        <f aca="false">G19*G20</f>
        <v>631.284601194519</v>
      </c>
      <c r="H21" s="0" t="n">
        <f aca="false">H19*H20</f>
        <v>634.832381367772</v>
      </c>
      <c r="I21" s="0" t="n">
        <f aca="false">I19*I20</f>
        <v>607.719316418428</v>
      </c>
      <c r="J21" s="0" t="n">
        <f aca="false">J19*J20</f>
        <v>585.304835109906</v>
      </c>
      <c r="K21" s="0" t="n">
        <f aca="false">K19*K20</f>
        <v>562.487039935013</v>
      </c>
      <c r="L21" s="0" t="n">
        <f aca="false">L19*L20</f>
        <v>526.298230950915</v>
      </c>
    </row>
    <row r="23" customFormat="false" ht="15" hidden="false" customHeight="false" outlineLevel="0" collapsed="false">
      <c r="A23" s="0" t="s">
        <v>103</v>
      </c>
      <c r="C23" s="4" t="n">
        <f aca="false">Assumptions!C44</f>
        <v>5.2</v>
      </c>
      <c r="D23" s="4" t="n">
        <f aca="false">Assumptions!D44</f>
        <v>5.1</v>
      </c>
      <c r="E23" s="4" t="n">
        <f aca="false">Assumptions!E44</f>
        <v>5</v>
      </c>
      <c r="F23" s="4" t="n">
        <f aca="false">Assumptions!F44</f>
        <v>5</v>
      </c>
      <c r="G23" s="4" t="n">
        <f aca="false">Assumptions!G44</f>
        <v>5</v>
      </c>
      <c r="H23" s="4" t="n">
        <f aca="false">Assumptions!H44</f>
        <v>5</v>
      </c>
      <c r="I23" s="4" t="n">
        <f aca="false">Assumptions!I44</f>
        <v>5</v>
      </c>
      <c r="J23" s="4" t="n">
        <f aca="false">Assumptions!J44</f>
        <v>5</v>
      </c>
      <c r="K23" s="4" t="n">
        <f aca="false">Assumptions!K44</f>
        <v>5</v>
      </c>
      <c r="L23" s="4" t="n">
        <f aca="false">Assumptions!L44</f>
        <v>5</v>
      </c>
    </row>
    <row r="24" customFormat="false" ht="15" hidden="false" customHeight="false" outlineLevel="0" collapsed="false">
      <c r="A24" s="0" t="s">
        <v>128</v>
      </c>
      <c r="C24" s="0" t="n">
        <f aca="false">-C6*C23/100</f>
        <v>-300.18031056</v>
      </c>
      <c r="D24" s="0" t="n">
        <f aca="false">-D6*D23/100</f>
        <v>-326.7924496308</v>
      </c>
      <c r="E24" s="0" t="n">
        <f aca="false">-E6*E23/100</f>
        <v>-355.6270775394</v>
      </c>
      <c r="F24" s="0" t="n">
        <f aca="false">-F6*F23/100</f>
        <v>-391.18978529334</v>
      </c>
      <c r="G24" s="0" t="n">
        <f aca="false">-G6*G23/100</f>
        <v>-422.484968116807</v>
      </c>
      <c r="H24" s="0" t="n">
        <f aca="false">-H6*H23/100</f>
        <v>-452.058915884984</v>
      </c>
      <c r="I24" s="0" t="n">
        <f aca="false">-I6*I23/100</f>
        <v>-479.182450838083</v>
      </c>
      <c r="J24" s="0" t="n">
        <f aca="false">-J6*J23/100</f>
        <v>-503.141573379987</v>
      </c>
      <c r="K24" s="0" t="n">
        <f aca="false">-K6*K23/100</f>
        <v>-523.267236315187</v>
      </c>
      <c r="L24" s="0" t="n">
        <f aca="false">-L6*L23/100</f>
        <v>-541.581589586218</v>
      </c>
    </row>
    <row r="26" customFormat="false" ht="15" hidden="false" customHeight="false" outlineLevel="0" collapsed="false">
      <c r="A26" s="2" t="s">
        <v>129</v>
      </c>
    </row>
    <row r="27" customFormat="false" ht="15" hidden="false" customHeight="false" outlineLevel="0" collapsed="false">
      <c r="A27" s="0" t="s">
        <v>107</v>
      </c>
      <c r="B27" s="4" t="n">
        <f aca="false">Assumptions!$B$48</f>
        <v>10.5</v>
      </c>
    </row>
    <row r="28" customFormat="false" ht="15" hidden="false" customHeight="false" outlineLevel="0" collapsed="false">
      <c r="A28" s="0" t="s">
        <v>108</v>
      </c>
      <c r="B28" s="4" t="n">
        <f aca="false">Assumptions!$B$49</f>
        <v>3</v>
      </c>
    </row>
    <row r="29" customFormat="false" ht="15" hidden="false" customHeight="false" outlineLevel="0" collapsed="false">
      <c r="A29" s="0" t="s">
        <v>109</v>
      </c>
      <c r="B29" s="4" t="n">
        <f aca="false">Assumptions!$B$50</f>
        <v>15</v>
      </c>
    </row>
    <row r="30" customFormat="false" ht="15" hidden="false" customHeight="false" outlineLevel="0" collapsed="false">
      <c r="A30" s="0" t="s">
        <v>130</v>
      </c>
      <c r="B30" s="0" t="n">
        <f aca="false">SUM(C21:L21)</f>
        <v>5623.07008932844</v>
      </c>
    </row>
    <row r="31" customFormat="false" ht="15" hidden="false" customHeight="false" outlineLevel="0" collapsed="false">
      <c r="A31" s="0" t="s">
        <v>131</v>
      </c>
      <c r="B31" s="0" t="n">
        <f aca="false">L19</f>
        <v>1428.41594822767</v>
      </c>
    </row>
    <row r="32" customFormat="false" ht="15" hidden="false" customHeight="false" outlineLevel="0" collapsed="false">
      <c r="A32" s="0" t="s">
        <v>132</v>
      </c>
      <c r="B32" s="0" t="n">
        <f aca="false">IF(B27&gt;B28,B31*(1+B28/100)/((B27-B28)/100),B31*B29)</f>
        <v>19616.91235566</v>
      </c>
    </row>
    <row r="33" customFormat="false" ht="15" hidden="false" customHeight="false" outlineLevel="0" collapsed="false">
      <c r="A33" s="0" t="s">
        <v>133</v>
      </c>
      <c r="B33" s="0" t="n">
        <f aca="false">B31*B29</f>
        <v>21426.239223415</v>
      </c>
    </row>
    <row r="34" customFormat="false" ht="15" hidden="false" customHeight="false" outlineLevel="0" collapsed="false">
      <c r="A34" s="0" t="s">
        <v>134</v>
      </c>
      <c r="B34" s="0" t="n">
        <f aca="false">MAX(0,MIN(B32,B33))</f>
        <v>19616.91235566</v>
      </c>
    </row>
    <row r="35" customFormat="false" ht="15" hidden="false" customHeight="false" outlineLevel="0" collapsed="false">
      <c r="A35" s="0" t="s">
        <v>135</v>
      </c>
      <c r="B35" s="0" t="n">
        <f aca="false">B34/(1+B27/100)^L4</f>
        <v>7227.82903839257</v>
      </c>
    </row>
    <row r="36" customFormat="false" ht="15" hidden="false" customHeight="false" outlineLevel="0" collapsed="false">
      <c r="A36" s="0" t="s">
        <v>136</v>
      </c>
      <c r="B36" s="0" t="n">
        <f aca="false">B30+B35</f>
        <v>12850.899127721</v>
      </c>
    </row>
    <row r="37" customFormat="false" ht="15" hidden="false" customHeight="false" outlineLevel="0" collapsed="false">
      <c r="A37" s="0" t="s">
        <v>137</v>
      </c>
      <c r="B37" s="0" t="n">
        <f aca="false">B36+Assumptions!$B$5-Assumptions!$B$4</f>
        <v>14100.434127721</v>
      </c>
    </row>
    <row r="38" customFormat="false" ht="15" hidden="false" customHeight="false" outlineLevel="0" collapsed="false">
      <c r="A38" s="0" t="s">
        <v>138</v>
      </c>
      <c r="B38" s="0" t="n">
        <f aca="false">B37/Assumptions!$B$3*Assumptions!$B$10</f>
        <v>14.0474729614242</v>
      </c>
    </row>
    <row r="39" customFormat="false" ht="15" hidden="false" customHeight="false" outlineLevel="0" collapsed="false">
      <c r="A39" s="0" t="s">
        <v>139</v>
      </c>
      <c r="B39" s="4" t="n">
        <f aca="false">B38/Assumptions!$B$2-1</f>
        <v>0.547078519980634</v>
      </c>
    </row>
    <row r="41" customFormat="false" ht="15" hidden="false" customHeight="false" outlineLevel="0" collapsed="false">
      <c r="A41" s="0" t="s">
        <v>140</v>
      </c>
      <c r="B41" s="0" t="n">
        <f aca="false">SUMPRODUCT(-C10:L10/(1+$B$27/100)^C4:L4)</f>
        <v>0</v>
      </c>
    </row>
    <row r="42" customFormat="false" ht="15" hidden="false" customHeight="false" outlineLevel="0" collapsed="false">
      <c r="A42" s="0" t="s">
        <v>141</v>
      </c>
      <c r="B42" s="0" t="n">
        <f aca="false">IF(B27&gt;B28,-L10*(1+B28/100)/((B27-B28)/100),-L10*20)/(1+B27/100)^L4</f>
        <v>0</v>
      </c>
    </row>
    <row r="43" customFormat="false" ht="15" hidden="false" customHeight="false" outlineLevel="0" collapsed="false">
      <c r="A43" s="0" t="s">
        <v>142</v>
      </c>
      <c r="B43" s="0" t="n">
        <f aca="false">(B37+B41+B42)/Assumptions!$B$3*Assumptions!$B$10</f>
        <v>14.0474729614242</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12260.5702222875</v>
      </c>
    </row>
    <row r="47" customFormat="false" ht="15" hidden="false" customHeight="false" outlineLevel="0" collapsed="false">
      <c r="A47" s="0" t="s">
        <v>144</v>
      </c>
      <c r="B47" s="0" t="n">
        <f aca="false">(SUMPRODUCT(C19:L19/(1+B45/100)^C4:L4)+B46/(1+B45/100)^L4+Assumptions!$B$5-Assumptions!$B$4)/Assumptions!$B$3*Assumptions!$B$10</f>
        <v>8.7632917697781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6.96288852467854</v>
      </c>
      <c r="C4" s="0" t="n">
        <f aca="false">B4/Assumptions!$B$2-1</f>
        <v>-0.233162056753465</v>
      </c>
      <c r="D4" s="4" t="n">
        <f aca="false">Assumptions!$B$24</f>
        <v>0.25</v>
      </c>
      <c r="E4" s="4" t="n">
        <f aca="false">DCF_Bear!$B$43</f>
        <v>6.96288852467854</v>
      </c>
      <c r="F4" s="4" t="n">
        <f aca="false">DCF_Bear!$B$47</f>
        <v>4.91097927574536</v>
      </c>
    </row>
    <row r="5" customFormat="false" ht="15" hidden="false" customHeight="false" outlineLevel="0" collapsed="false">
      <c r="A5" s="0" t="s">
        <v>153</v>
      </c>
      <c r="B5" s="4" t="n">
        <f aca="false">DCF_Base!$B$38</f>
        <v>10.5407507734165</v>
      </c>
      <c r="C5" s="0" t="n">
        <f aca="false">B5/Assumptions!$B$2-1</f>
        <v>0.160875635838823</v>
      </c>
      <c r="D5" s="4" t="n">
        <f aca="false">Assumptions!$B$38</f>
        <v>0.5</v>
      </c>
      <c r="E5" s="4" t="n">
        <f aca="false">DCF_Base!$B$43</f>
        <v>10.5407507734165</v>
      </c>
      <c r="F5" s="4" t="n">
        <f aca="false">DCF_Base!$B$47</f>
        <v>6.91257776424483</v>
      </c>
    </row>
    <row r="6" customFormat="false" ht="15" hidden="false" customHeight="false" outlineLevel="0" collapsed="false">
      <c r="A6" s="0" t="s">
        <v>154</v>
      </c>
      <c r="B6" s="4" t="n">
        <f aca="false">DCF_Bull!$B$38</f>
        <v>14.0474729614242</v>
      </c>
      <c r="C6" s="0" t="n">
        <f aca="false">B6/Assumptions!$B$2-1</f>
        <v>0.547078519980634</v>
      </c>
      <c r="D6" s="4" t="n">
        <f aca="false">Assumptions!$B$52</f>
        <v>0.25</v>
      </c>
      <c r="E6" s="4" t="n">
        <f aca="false">DCF_Bull!$B$43</f>
        <v>14.0474729614242</v>
      </c>
      <c r="F6" s="4" t="n">
        <f aca="false">DCF_Bull!$B$47</f>
        <v>8.7632917697781</v>
      </c>
    </row>
    <row r="8" customFormat="false" ht="15" hidden="false" customHeight="false" outlineLevel="0" collapsed="false">
      <c r="A8" s="0" t="s">
        <v>155</v>
      </c>
      <c r="B8" s="0" t="n">
        <f aca="false">SUMPRODUCT(B4:B6,D4:D6)</f>
        <v>10.5229657582339</v>
      </c>
    </row>
    <row r="9" customFormat="false" ht="15" hidden="false" customHeight="false" outlineLevel="0" collapsed="false">
      <c r="A9" s="0" t="s">
        <v>156</v>
      </c>
      <c r="B9" s="0" t="n">
        <f aca="false">SUMPRODUCT(E4:E6,D4:D6)</f>
        <v>10.5229657582339</v>
      </c>
    </row>
    <row r="10" customFormat="false" ht="15" hidden="false" customHeight="false" outlineLevel="0" collapsed="false">
      <c r="A10" s="0" t="s">
        <v>157</v>
      </c>
      <c r="B10" s="0" t="n">
        <f aca="false">1-Assumptions!$B$2/B8</f>
        <v>0.137125387593783</v>
      </c>
    </row>
    <row r="11" customFormat="false" ht="15" hidden="false" customHeight="false" outlineLevel="0" collapsed="false">
      <c r="A11" s="0" t="s">
        <v>158</v>
      </c>
      <c r="B11" s="0" t="str">
        <f aca="false">IF(ABS(B9-B8)&gt;0.01*ABS(B8),(Assumptions!$B$2-B8)/(B9-B8)*100,"n/a")</f>
        <v>n/a</v>
      </c>
    </row>
    <row r="12" customFormat="false" ht="15" hidden="false" customHeight="false" outlineLevel="0" collapsed="false">
      <c r="A12" s="0" t="s">
        <v>159</v>
      </c>
      <c r="B12" s="0" t="n">
        <f aca="false">SUMPRODUCT(F4:F6,D4:D6)</f>
        <v>6.87485664350328</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12.556264073595</v>
      </c>
      <c r="C15" s="3" t="n">
        <v>9</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11.2186745246925</v>
      </c>
      <c r="C16" s="3" t="n">
        <v>10</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10.5407507734165</v>
      </c>
      <c r="C17" s="3" t="n">
        <v>10.5</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9.94373501807778</v>
      </c>
      <c r="C18" s="3" t="n">
        <v>11</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8.94120534960167</v>
      </c>
      <c r="C19" s="3" t="n">
        <v>12</v>
      </c>
    </row>
    <row r="20" customFormat="false" ht="15" hidden="false" customHeight="false" outlineLevel="0" collapsed="false">
      <c r="A20" s="0" t="s">
        <v>167</v>
      </c>
      <c r="B20" s="0" t="n">
        <f aca="false">(SUMPRODUCT(DCF_Base!$C$19:$L$19/(1+$C$20/100)^DCF_Base!$C$4:$L$4)+MAX(0,MIN(IF($C$20&gt;DCF_Base!$B$28,DCF_Base!$L$19*(1+DCF_Base!$B$28/100)/(($C$20-DCF_Base!$B$28)/100),DCF_Base!$L$19*DCF_Base!$B$29),DCF_Base!$L$19*DCF_Base!$B$29))/(1+$C$20/100)^DCF_Base!$L$4+Assumptions!$B$5-Assumptions!$B$4)/Assumptions!$B$3*Assumptions!$B$10</f>
        <v>6.91257776424483</v>
      </c>
      <c r="C20" s="3" t="n">
        <v>15</v>
      </c>
    </row>
    <row r="22" customFormat="false" ht="15" hidden="false" customHeight="false" outlineLevel="0" collapsed="false">
      <c r="A22" s="2" t="s">
        <v>168</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12.7596977426978</v>
      </c>
      <c r="C24" s="0" t="n">
        <f aca="false">(SUMPRODUCT(DCF_Base!$C$19:$L$19/(1+$A$24/100)^DCF_Base!$C$4:$L$4)+MAX(0,MIN(IF($A$24&gt;$C$23,DCF_Base!$L$19*(1+$C$23/100)/(($A$24-$C$23)/100),DCF_Base!$L$19*DCF_Base!$B$29),DCF_Base!$L$19*DCF_Base!$B$29))/(1+$A$24/100)^DCF_Base!$L$4+Assumptions!$B$5-Assumptions!$B$4)/Assumptions!$B$3*Assumptions!$B$10</f>
        <v>12.9882751756484</v>
      </c>
      <c r="D24" s="0" t="n">
        <f aca="false">(SUMPRODUCT(DCF_Base!$C$19:$L$19/(1+$A$24/100)^DCF_Base!$C$4:$L$4)+MAX(0,MIN(IF($A$24&gt;$D$23,DCF_Base!$L$19*(1+$D$23/100)/(($A$24-$D$23)/100),DCF_Base!$L$19*DCF_Base!$B$29),DCF_Base!$L$19*DCF_Base!$B$29))/(1+$A$24/100)^DCF_Base!$L$4+Assumptions!$B$5-Assumptions!$B$4)/Assumptions!$B$3*Assumptions!$B$10</f>
        <v>12.9882751756484</v>
      </c>
      <c r="E24" s="0" t="n">
        <f aca="false">(SUMPRODUCT(DCF_Base!$C$19:$L$19/(1+$A$24/100)^DCF_Base!$C$4:$L$4)+MAX(0,MIN(IF($A$24&gt;$E$23,DCF_Base!$L$19*(1+$E$23/100)/(($A$24-$E$23)/100),DCF_Base!$L$19*DCF_Base!$B$29),DCF_Base!$L$19*DCF_Base!$B$29))/(1+$A$24/100)^DCF_Base!$L$4+Assumptions!$B$5-Assumptions!$B$4)/Assumptions!$B$3*Assumptions!$B$10</f>
        <v>12.9882751756484</v>
      </c>
      <c r="F24" s="0" t="n">
        <f aca="false">(SUMPRODUCT(DCF_Base!$C$19:$L$19/(1+$A$24/100)^DCF_Base!$C$4:$L$4)+MAX(0,MIN(IF($A$24&gt;$F$23,DCF_Base!$L$19*(1+$F$23/100)/(($A$24-$F$23)/100),DCF_Base!$L$19*DCF_Base!$B$29),DCF_Base!$L$19*DCF_Base!$B$29))/(1+$A$24/100)^DCF_Base!$L$4+Assumptions!$B$5-Assumptions!$B$4)/Assumptions!$B$3*Assumptions!$B$10</f>
        <v>12.9882751756484</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11.1793465223122</v>
      </c>
      <c r="C25" s="0" t="n">
        <f aca="false">(SUMPRODUCT(DCF_Base!$C$19:$L$19/(1+$A$25/100)^DCF_Base!$C$4:$L$4)+MAX(0,MIN(IF($A$25&gt;$C$23,DCF_Base!$L$19*(1+$C$23/100)/(($A$25-$C$23)/100),DCF_Base!$L$19*DCF_Base!$B$29),DCF_Base!$L$19*DCF_Base!$B$29))/(1+$A$25/100)^DCF_Base!$L$4+Assumptions!$B$5-Assumptions!$B$4)/Assumptions!$B$3*Assumptions!$B$10</f>
        <v>11.5599321729727</v>
      </c>
      <c r="D25" s="0" t="n">
        <f aca="false">(SUMPRODUCT(DCF_Base!$C$19:$L$19/(1+$A$25/100)^DCF_Base!$C$4:$L$4)+MAX(0,MIN(IF($A$25&gt;$D$23,DCF_Base!$L$19*(1+$D$23/100)/(($A$25-$D$23)/100),DCF_Base!$L$19*DCF_Base!$B$29),DCF_Base!$L$19*DCF_Base!$B$29))/(1+$A$25/100)^DCF_Base!$L$4+Assumptions!$B$5-Assumptions!$B$4)/Assumptions!$B$3*Assumptions!$B$10</f>
        <v>11.9948872022989</v>
      </c>
      <c r="E25" s="0" t="n">
        <f aca="false">(SUMPRODUCT(DCF_Base!$C$19:$L$19/(1+$A$25/100)^DCF_Base!$C$4:$L$4)+MAX(0,MIN(IF($A$25&gt;$E$23,DCF_Base!$L$19*(1+$E$23/100)/(($A$25-$E$23)/100),DCF_Base!$L$19*DCF_Base!$B$29),DCF_Base!$L$19*DCF_Base!$B$29))/(1+$A$25/100)^DCF_Base!$L$4+Assumptions!$B$5-Assumptions!$B$4)/Assumptions!$B$3*Assumptions!$B$10</f>
        <v>12.143844404123</v>
      </c>
      <c r="F25" s="0" t="n">
        <f aca="false">(SUMPRODUCT(DCF_Base!$C$19:$L$19/(1+$A$25/100)^DCF_Base!$C$4:$L$4)+MAX(0,MIN(IF($A$25&gt;$F$23,DCF_Base!$L$19*(1+$F$23/100)/(($A$25-$F$23)/100),DCF_Base!$L$19*DCF_Base!$B$29),DCF_Base!$L$19*DCF_Base!$B$29))/(1+$A$25/100)^DCF_Base!$L$4+Assumptions!$B$5-Assumptions!$B$4)/Assumptions!$B$3*Assumptions!$B$10</f>
        <v>12.143844404123</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9.95627336401986</v>
      </c>
      <c r="C26" s="0" t="n">
        <f aca="false">(SUMPRODUCT(DCF_Base!$C$19:$L$19/(1+$A$26/100)^DCF_Base!$C$4:$L$4)+MAX(0,MIN(IF($A$26&gt;$C$23,DCF_Base!$L$19*(1+$C$23/100)/(($A$26-$C$23)/100),DCF_Base!$L$19*DCF_Base!$B$29),DCF_Base!$L$19*DCF_Base!$B$29))/(1+$A$26/100)^DCF_Base!$L$4+Assumptions!$B$5-Assumptions!$B$4)/Assumptions!$B$3*Assumptions!$B$10</f>
        <v>10.2313215566771</v>
      </c>
      <c r="D26" s="0" t="n">
        <f aca="false">(SUMPRODUCT(DCF_Base!$C$19:$L$19/(1+$A$26/100)^DCF_Base!$C$4:$L$4)+MAX(0,MIN(IF($A$26&gt;$D$23,DCF_Base!$L$19*(1+$D$23/100)/(($A$26-$D$23)/100),DCF_Base!$L$19*DCF_Base!$B$29),DCF_Base!$L$19*DCF_Base!$B$29))/(1+$A$26/100)^DCF_Base!$L$4+Assumptions!$B$5-Assumptions!$B$4)/Assumptions!$B$3*Assumptions!$B$10</f>
        <v>10.5407507734165</v>
      </c>
      <c r="E26" s="0" t="n">
        <f aca="false">(SUMPRODUCT(DCF_Base!$C$19:$L$19/(1+$A$26/100)^DCF_Base!$C$4:$L$4)+MAX(0,MIN(IF($A$26&gt;$E$23,DCF_Base!$L$19*(1+$E$23/100)/(($A$26-$E$23)/100),DCF_Base!$L$19*DCF_Base!$B$29),DCF_Base!$L$19*DCF_Base!$B$29))/(1+$A$26/100)^DCF_Base!$L$4+Assumptions!$B$5-Assumptions!$B$4)/Assumptions!$B$3*Assumptions!$B$10</f>
        <v>10.8914372190545</v>
      </c>
      <c r="F26" s="0" t="n">
        <f aca="false">(SUMPRODUCT(DCF_Base!$C$19:$L$19/(1+$A$26/100)^DCF_Base!$C$4:$L$4)+MAX(0,MIN(IF($A$26&gt;$F$23,DCF_Base!$L$19*(1+$F$23/100)/(($A$26-$F$23)/100),DCF_Base!$L$19*DCF_Base!$B$29),DCF_Base!$L$19*DCF_Base!$B$29))/(1+$A$26/100)^DCF_Base!$L$4+Assumptions!$B$5-Assumptions!$B$4)/Assumptions!$B$3*Assumptions!$B$10</f>
        <v>11.2922217283551</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8.98294409855158</v>
      </c>
      <c r="C27" s="0" t="n">
        <f aca="false">(SUMPRODUCT(DCF_Base!$C$19:$L$19/(1+$A$27/100)^DCF_Base!$C$4:$L$4)+MAX(0,MIN(IF($A$27&gt;$C$23,DCF_Base!$L$19*(1+$C$23/100)/(($A$27-$C$23)/100),DCF_Base!$L$19*DCF_Base!$B$29),DCF_Base!$L$19*DCF_Base!$B$29))/(1+$A$27/100)^DCF_Base!$L$4+Assumptions!$B$5-Assumptions!$B$4)/Assumptions!$B$3*Assumptions!$B$10</f>
        <v>9.18718058057985</v>
      </c>
      <c r="D27" s="0" t="n">
        <f aca="false">(SUMPRODUCT(DCF_Base!$C$19:$L$19/(1+$A$27/100)^DCF_Base!$C$4:$L$4)+MAX(0,MIN(IF($A$27&gt;$D$23,DCF_Base!$L$19*(1+$D$23/100)/(($A$27-$D$23)/100),DCF_Base!$L$19*DCF_Base!$B$29),DCF_Base!$L$19*DCF_Base!$B$29))/(1+$A$27/100)^DCF_Base!$L$4+Assumptions!$B$5-Assumptions!$B$4)/Assumptions!$B$3*Assumptions!$B$10</f>
        <v>9.41411000505571</v>
      </c>
      <c r="E27" s="0" t="n">
        <f aca="false">(SUMPRODUCT(DCF_Base!$C$19:$L$19/(1+$A$27/100)^DCF_Base!$C$4:$L$4)+MAX(0,MIN(IF($A$27&gt;$E$23,DCF_Base!$L$19*(1+$E$23/100)/(($A$27-$E$23)/100),DCF_Base!$L$19*DCF_Base!$B$29),DCF_Base!$L$19*DCF_Base!$B$29))/(1+$A$27/100)^DCF_Base!$L$4+Assumptions!$B$5-Assumptions!$B$4)/Assumptions!$B$3*Assumptions!$B$10</f>
        <v>9.66773700888167</v>
      </c>
      <c r="F27" s="0" t="n">
        <f aca="false">(SUMPRODUCT(DCF_Base!$C$19:$L$19/(1+$A$27/100)^DCF_Base!$C$4:$L$4)+MAX(0,MIN(IF($A$27&gt;$F$23,DCF_Base!$L$19*(1+$F$23/100)/(($A$27-$F$23)/100),DCF_Base!$L$19*DCF_Base!$B$29),DCF_Base!$L$19*DCF_Base!$B$29))/(1+$A$27/100)^DCF_Base!$L$4+Assumptions!$B$5-Assumptions!$B$4)/Assumptions!$B$3*Assumptions!$B$10</f>
        <v>9.95306738818588</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8.19095253217162</v>
      </c>
      <c r="C28" s="0" t="n">
        <f aca="false">(SUMPRODUCT(DCF_Base!$C$19:$L$19/(1+$A$28/100)^DCF_Base!$C$4:$L$4)+MAX(0,MIN(IF($A$28&gt;$C$23,DCF_Base!$L$19*(1+$C$23/100)/(($A$28-$C$23)/100),DCF_Base!$L$19*DCF_Base!$B$29),DCF_Base!$L$19*DCF_Base!$B$29))/(1+$A$28/100)^DCF_Base!$L$4+Assumptions!$B$5-Assumptions!$B$4)/Assumptions!$B$3*Assumptions!$B$10</f>
        <v>8.34596836097692</v>
      </c>
      <c r="D28" s="0" t="n">
        <f aca="false">(SUMPRODUCT(DCF_Base!$C$19:$L$19/(1+$A$28/100)^DCF_Base!$C$4:$L$4)+MAX(0,MIN(IF($A$28&gt;$D$23,DCF_Base!$L$19*(1+$D$23/100)/(($A$28-$D$23)/100),DCF_Base!$L$19*DCF_Base!$B$29),DCF_Base!$L$19*DCF_Base!$B$29))/(1+$A$28/100)^DCF_Base!$L$4+Assumptions!$B$5-Assumptions!$B$4)/Assumptions!$B$3*Assumptions!$B$10</f>
        <v>8.51648577266276</v>
      </c>
      <c r="E28" s="0" t="n">
        <f aca="false">(SUMPRODUCT(DCF_Base!$C$19:$L$19/(1+$A$28/100)^DCF_Base!$C$4:$L$4)+MAX(0,MIN(IF($A$28&gt;$E$23,DCF_Base!$L$19*(1+$E$23/100)/(($A$28-$E$23)/100),DCF_Base!$L$19*DCF_Base!$B$29),DCF_Base!$L$19*DCF_Base!$B$29))/(1+$A$28/100)^DCF_Base!$L$4+Assumptions!$B$5-Assumptions!$B$4)/Assumptions!$B$3*Assumptions!$B$10</f>
        <v>8.70495238557868</v>
      </c>
      <c r="F28" s="0" t="n">
        <f aca="false">(SUMPRODUCT(DCF_Base!$C$19:$L$19/(1+$A$28/100)^DCF_Base!$C$4:$L$4)+MAX(0,MIN(IF($A$28&gt;$F$23,DCF_Base!$L$19*(1+$F$23/100)/(($A$28-$F$23)/100),DCF_Base!$L$19*DCF_Base!$B$29),DCF_Base!$L$19*DCF_Base!$B$29))/(1+$A$28/100)^DCF_Base!$L$4+Assumptions!$B$5-Assumptions!$B$4)/Assumptions!$B$3*Assumptions!$B$10</f>
        <v>8.91435973326304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2026-10-11T13:22:48Z</dcterms:created>
  <dc:creator>openpyxl</dc:creator>
  <dc:description/>
  <dc:language>en-NZ</dc:language>
  <cp:lastModifiedBy/>
  <dcterms:modified xsi:type="dcterms:W3CDTF">2026-10-11T13:22:48Z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