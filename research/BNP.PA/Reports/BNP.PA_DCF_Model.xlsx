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<sst xmlns="http://schemas.openxmlformats.org/spreadsheetml/2006/main" count="373" uniqueCount="175">
  <si>
    <t xml:space="preserve">Ticker</t>
  </si>
  <si>
    <t xml:space="preserve">BNP.PA</t>
  </si>
  <si>
    <t xml:space="preserve">Company</t>
  </si>
  <si>
    <t xml:space="preserve">BNP Paribas SA</t>
  </si>
  <si>
    <t xml:space="preserve">Valuation date</t>
  </si>
  <si>
    <t xml:space="preserve">2026-10-25</t>
  </si>
  <si>
    <t xml:space="preserve">Current price</t>
  </si>
  <si>
    <t xml:space="preserve">Price as of</t>
  </si>
  <si>
    <t xml:space="preserve">2026-10-23T15:37:24Z Euronext Paris regular close (Friday 17:37 CEST); not an after-hours print</t>
  </si>
  <si>
    <t xml:space="preserve">Balance sheet date</t>
  </si>
  <si>
    <t xml:space="preserve">2026-06-30</t>
  </si>
  <si>
    <t xml:space="preserve">Model</t>
  </si>
  <si>
    <t xml:space="preserve">Bank residual income on tangible book, run as FCFE at cost of equity (engine route; distributable earnings to ordinary shareholders after AT1 coupons less CET1 retention on RWA growth, net debt zero)</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</si>
  <si>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</si>
  <si>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</si>
  <si>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</si>
  <si>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</si>
  <si>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</si>
  <si>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</si>
  <si>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</si>
  <si>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</si>
  <si>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2026-10-25T10:19:35Z</t>
  </si>
  <si>
    <t xml:space="preserve">Drivers file</t>
  </si>
  <si>
    <t xml:space="preserve">BNP.PA_Drivers.json</t>
  </si>
  <si>
    <t xml:space="preserve">Convention</t>
  </si>
  <si>
    <t xml:space="preserve">Percents stored as percents; formulas divide by 100. Blue = input, green = link, black = formula.</t>
  </si>
  <si>
    <t xml:space="preserve">Methodology</t>
  </si>
  <si>
    <t xml:space="preserve">summary: A universal bank is valued on what it can distribute after funding its regulatory capital, discounted at a cost of equity in the currency of its earnings - never on statutory operating cash flow (deposit and trading-book movement) and never with deposits or debt securities treated as net debt. Net income to ordinary shareholders after AT1 coupons is the flow; CET1 retention on RWA growth is the reinvestment; 10% is the return an owner of EUR bank equity requires. This is the residual-income answer in FCFE form: value = tangible book + PV of the spread between ROTE and the cost of equity. BNP earns ~12% on EUR 98/share of tangible book and trades at 0.85x it; the model says that discount prices in either a sustained French funding shock or a cost of equity in the mid-teens, and the weighted value sits well above the price even with the bear case at 30%. The result is not a call on when the European bank discount closes.
key_risks_to_valuation: French sovereign spread: BNP is one of the largest wholesale issuers in the EU; a sustained OAT-Bund spread &gt;150bp lifts funding costs and MREL issuance costs and would push cost/income and capital-ratio volatility toward the bear path; Cost of risk: every 10bp on ~EUR 940bn of customer loans is ~EUR 0.94bn pre-tax (~5% of pre-tax income); 1H26 ran at 39bp against &lt;40bp guidance, 2020 ran at 66bp; Cost/income delivery: the base assumes ~58% by 2029 against management's &lt;56% by 2028; each point of cost/income is ~EUR 0.55bn pre-tax (~3%); Regulatory capital: the CRR3 output floor (65% in 2026 -&gt; 72.5% in 2028), FRTB and any SREP add-on raise retention above the modelled 0.13 x delta-RWA; SRT/credit-insurance savings (EUR 63bn RWA) depend on market capacity; Share count: the ~1,100m count is derived (issued less treasury, carried through the 1H26 cancellation), not read from an interim report; the FY2026 URD (March 2027) will print the year-end count and the 2026 buyback tranche; Integration: AXA IM (EUR 5.4bn), HSBC Germany private banking and the Ageas/AG Insurance restructuring are being absorbed at once; 1H26 IPS opex +33.7% YoY shows the cost base is still moving; Rates: eurozone deposit reinvestment is a tailwind that fades as the ECB cycle ends; 5bp of NIM on ~EUR 1.1tn of deposits/loans is ~EUR 0.5bn of NBI (~1%)</t>
  </si>
  <si>
    <t xml:space="preserve">Data sources</t>
  </si>
  <si>
    <t xml:space="preserve">price: Yahoo Finance chart API at inputs.price_as_of (Euronext Paris regular close); 52-week range 65.12-113.82.
financials: BNP.PA_Metrics.csv (core_metrics, EUR millions, FY2014-FY2025 annual plus quarters/halves to Q2 2026) exported from BNP.PA.duckdb; kpis table for CET1Ratio, CostOfRisk, CostToIncomeRatio, GrossOperatingIncome, OperatingExpenses, CustomerDeposits, NetLoans, ROTE; Q4-2025 press release (BNP.PA_Quarterly_Q4-2025.txt) FY2025 P&amp;L (906-928), distribution policy and 2028 trajectory (222-290); Q2-2026 press release (BNP.PA_Quarterly_Q2-2026.txt) 2Q26/1H26 P&amp;L (835-930), exceptional items (146-156), interim dividend and CET1 (215-260), balance sheet goodwill/intangibles (1005-1006), statement of changes in equity incl. TSSDI and coupons (1060-1160); FY2025 Universal Registration Document (BNP.PA_Annual_FY2025.txt) key figures incl. NBV per share (1766-1790), ROTE/TNBV (10160-10196), share capital and treasury shares (20020-20048), RWA and CET1 capital (26020, 26711).
qualitative: BNP.PA_Analysis.json (2026-10-25): integrated three-division model, AXA IM / HSBC Germany / Ageas transactions, 2025-28 targets (ROTE 12% 2026, &gt;13% 2028; cost/income ~60% then &lt;56%; net income &gt;10%/yr), French political risk and OAT-Bund spread, Arval downcycle, CRR3 output floor, 2027-2030 plan due February 2027, analyst target cuts (Kepler, Alphavalue) in October 2026.</t>
  </si>
  <si>
    <t xml:space="preserve">Scenario narrative: bear</t>
  </si>
  <si>
    <t xml:space="preserve">A French sovereign-spread shock around the 2027 election raises funding costs, the eurozone slips into recession, cost of risk runs at 60bp for two years, CIB and Arval revenues fall, integration costs overrun and the ECB leans on distributions while the output floor inflates RWA. Revenue stalls for two years, cost/income sticks above 60%, ROTE settles ~9.5% - at the cost of equity - and the franchise is worth roughly tangible book, with the 2020-style dividend suspension as the template for how shareholders experience it.</t>
  </si>
  <si>
    <t xml:space="preserve">Scenario narrative: base</t>
  </si>
  <si>
    <t xml:space="preserve">BNP Paribas compounds net banking income at 4% fading to 2.5%, lifts pre-tax margin from 33% to 35% as cost/income drifts toward 58% and cost of risk normalises to ~40bp, and holds CET1 at 13% while RWA grows a point slower than revenue. Distributable earnings to ordinary shareholders (after ~EUR 0.9bn of AT1 coupons) rise from ~EUR 12.0bn in FY2026 to ~EUR 12.8bn in FY2027 and ~EUR 19bn by FY2036, of which two-thirds to four-fifths is paid out. At a 10% EUR cost of equity and a ~12-12.7% return on tangible equity the franchise is worth ~1.35x tangible book of EUR 98/share; the market pays 0.85x, which is consistent with a ~13.5% cost of equity or a belief that ROTE reverts to single digits.</t>
  </si>
  <si>
    <t xml:space="preserve">Scenario narrative: bull</t>
  </si>
  <si>
    <t xml:space="preserve">The 2025-28 plan lands in full: cost/income below 56% by 2028, cost of risk ~35bp, CIB share gains and the AXA IM platform push IPS to high-single-digit growth, net income to ordinary compounds &gt;10% a year to 2028 and ROTE reaches ~14%. Surplus CET1 above 13% is returned annually from 2027 on top of the 60% payout. Worth ~1.7-1.8x tangible book at a 10% cost of equity.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</si>
  <si>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</si>
  <si>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</si>
  <si>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</si>
  <si>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</si>
  <si>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</si>
  <si>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</si>
  <si>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</si>
  <si>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</si>
  <si>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</si>
  <si>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</si>
  <si>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</si>
  <si>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</si>
  <si>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</si>
  <si>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</si>
  <si>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</si>
  <si>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</si>
  <si>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</si>
  <si>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</si>
  <si>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</si>
  <si>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</si>
  <si>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</si>
  <si>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</si>
  <si>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</si>
  <si>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</si>
  <si>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</si>
  <si>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</si>
  <si>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</si>
  <si>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CET1Ratio</t>
  </si>
  <si>
    <t xml:space="preserve">CostToIncomeRatio</t>
  </si>
  <si>
    <t xml:space="preserve">CustomerDeposits</t>
  </si>
  <si>
    <t xml:space="preserve">LoanToDepositRatio</t>
  </si>
  <si>
    <t xml:space="preserve">NetLoans</t>
  </si>
  <si>
    <t xml:space="preserve">OperatingExpenses</t>
  </si>
  <si>
    <t xml:space="preserve">ROE</t>
  </si>
  <si>
    <t xml:space="preserve">ROTE</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</si>
  <si>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</si>
  <si>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</si>
  <si>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</si>
  <si>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</si>
  <si>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</si>
  <si>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</si>
  <si>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</si>
  <si>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</si>
  <si>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</si>
  <si>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</si>
  <si>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</si>
  <si>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</si>
  <si>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</si>
  <si>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</si>
  <si>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</si>
  <si>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</si>
  <si>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</si>
  <si>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</si>
  <si>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</si>
  <si>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</si>
  <si>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</si>
  <si>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</si>
  <si>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</si>
  <si>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EUR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</si>
  <si>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</si>
  <si>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</si>
  <si>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</si>
  <si>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</si>
  <si>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</si>
  <si>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</si>
  <si>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</si>
  <si>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</si>
  <si>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</si>
  <si>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</si>
  <si>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</si>
  <si>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</si>
  <si>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</si>
  <si>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</si>
  <si>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</si>
  <si>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</si>
  <si>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</si>
  <si>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</si>
  <si>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</si>
  <si>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</si>
  <si>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</si>
  <si>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</si>
  <si>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</si>
  <si>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</si>
  <si>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</si>
  <si>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</si>
  <si>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BNP.PA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</si>
  <si>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</si>
  <si>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</si>
  <si>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</si>
  <si>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</si>
  <si>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</si>
  <si>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</si>
  <si>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</si>
  <si>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</si>
  <si>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</si>
  <si>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</si>
  <si>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</si>
  <si>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</si>
  <si>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</si>
  <si>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</si>
  <si>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</si>
  <si>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</si>
  <si>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</si>
  <si>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</si>
  <si>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</si>
  <si>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</si>
  <si>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</si>
  <si>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</si>
  <si>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</si>
  <si>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</si>
  <si>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</si>
  <si>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</si>
  <si>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</si>
  <si>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</si>
  <si>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</si>
  <si>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</si>
  <si>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BNP.PA owner-FCF component DCF: base case (millions, EUR)</t>
  </si>
  <si>
    <t xml:space="preserve">BNP.PA owner-FCF component DCF: bull case (millions, EUR)</t>
  </si>
  <si>
    <t xml:space="preserve">BNP.PA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</si>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</sst>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83.52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39168</v>
      </c>
      <c r="F2" s="0" t="n">
        <v>2939</v>
      </c>
      <c r="G2" s="0" t="n">
        <v>7.5</v>
      </c>
      <c r="I2" s="0" t="n">
        <v>157</v>
      </c>
      <c r="J2" s="0" t="n">
        <v>0.4</v>
      </c>
      <c r="K2" s="0" t="n">
        <v>-0.07</v>
      </c>
      <c r="O2" s="0" t="n">
        <v>89410</v>
      </c>
      <c r="P2" s="0" t="n">
        <v>2077759</v>
      </c>
      <c r="Q2" s="0" t="n">
        <v>1984118</v>
      </c>
      <c r="S2" s="0" t="n">
        <v>117473</v>
      </c>
      <c r="T2" s="0" t="n">
        <v>1243.69</v>
      </c>
      <c r="V2" s="0" t="n">
        <v>1.5</v>
      </c>
      <c r="AA2" s="0" t="s">
        <v>17</v>
      </c>
      <c r="AB2" s="0" t="s">
        <v>14</v>
      </c>
      <c r="AC2" s="0" t="n">
        <v>10.3</v>
      </c>
      <c r="AD2" s="0" t="n">
        <v>67.7</v>
      </c>
      <c r="AE2" s="0" t="n">
        <v>641549</v>
      </c>
      <c r="AF2" s="0" t="n">
        <v>102.5</v>
      </c>
      <c r="AG2" s="0" t="n">
        <v>657403</v>
      </c>
      <c r="AH2" s="0" t="n">
        <v>-26524</v>
      </c>
    </row>
    <row r="3" customFormat="false" ht="15" hidden="false" customHeight="false" outlineLevel="0" collapsed="false">
      <c r="A3" s="0" t="s">
        <v>72</v>
      </c>
      <c r="B3" s="0" t="n">
        <v>42938</v>
      </c>
      <c r="F3" s="0" t="n">
        <v>9787</v>
      </c>
      <c r="G3" s="0" t="n">
        <v>22.8</v>
      </c>
      <c r="I3" s="0" t="n">
        <v>6694</v>
      </c>
      <c r="J3" s="0" t="n">
        <v>15.6</v>
      </c>
      <c r="K3" s="0" t="n">
        <v>5.14</v>
      </c>
      <c r="O3" s="0" t="n">
        <v>96269</v>
      </c>
      <c r="P3" s="0" t="n">
        <v>1994193</v>
      </c>
      <c r="Q3" s="0" t="n">
        <v>1894116</v>
      </c>
      <c r="S3" s="0" t="n">
        <v>134547</v>
      </c>
      <c r="T3" s="0" t="n">
        <v>1244.01</v>
      </c>
      <c r="V3" s="0" t="n">
        <v>2.31</v>
      </c>
      <c r="AA3" s="0" t="s">
        <v>17</v>
      </c>
      <c r="AB3" s="0" t="s">
        <v>14</v>
      </c>
      <c r="AC3" s="0" t="n">
        <v>10.9</v>
      </c>
      <c r="AD3" s="0" t="n">
        <v>68.1</v>
      </c>
      <c r="AE3" s="0" t="n">
        <v>700309</v>
      </c>
      <c r="AF3" s="0" t="n">
        <v>97.5</v>
      </c>
      <c r="AG3" s="0" t="n">
        <v>682497</v>
      </c>
      <c r="AH3" s="0" t="n">
        <v>-29254</v>
      </c>
      <c r="AI3" s="0" t="n">
        <v>8.3</v>
      </c>
      <c r="AJ3" s="0" t="n">
        <v>10.1</v>
      </c>
    </row>
    <row r="4" customFormat="false" ht="15" hidden="false" customHeight="false" outlineLevel="0" collapsed="false">
      <c r="A4" s="0" t="s">
        <v>73</v>
      </c>
      <c r="B4" s="0" t="n">
        <v>43411</v>
      </c>
      <c r="F4" s="0" t="n">
        <v>10771</v>
      </c>
      <c r="G4" s="0" t="n">
        <v>24.8</v>
      </c>
      <c r="I4" s="0" t="n">
        <v>7702</v>
      </c>
      <c r="J4" s="0" t="n">
        <v>17.7</v>
      </c>
      <c r="K4" s="0" t="n">
        <v>6</v>
      </c>
      <c r="O4" s="0" t="n">
        <v>100665</v>
      </c>
      <c r="P4" s="0" t="n">
        <v>2076959</v>
      </c>
      <c r="Q4" s="0" t="n">
        <v>1971739</v>
      </c>
      <c r="S4" s="0" t="n">
        <v>160400</v>
      </c>
      <c r="T4" s="0" t="n">
        <v>1245.17</v>
      </c>
      <c r="V4" s="0" t="n">
        <v>2.7</v>
      </c>
      <c r="AA4" s="0" t="s">
        <v>17</v>
      </c>
      <c r="AB4" s="0" t="s">
        <v>14</v>
      </c>
      <c r="AC4" s="0" t="n">
        <v>11.5</v>
      </c>
      <c r="AD4" s="0" t="n">
        <v>67.7</v>
      </c>
      <c r="AE4" s="0" t="n">
        <v>765953</v>
      </c>
      <c r="AF4" s="0" t="n">
        <v>93</v>
      </c>
      <c r="AG4" s="0" t="n">
        <v>712233</v>
      </c>
      <c r="AH4" s="0" t="n">
        <v>-29378</v>
      </c>
      <c r="AI4" s="0" t="n">
        <v>9.3</v>
      </c>
      <c r="AJ4" s="0" t="n">
        <v>11.1</v>
      </c>
    </row>
    <row r="5" customFormat="false" ht="15" hidden="false" customHeight="false" outlineLevel="0" collapsed="false">
      <c r="A5" s="0" t="s">
        <v>74</v>
      </c>
      <c r="B5" s="0" t="n">
        <v>43161</v>
      </c>
      <c r="F5" s="0" t="n">
        <v>10310</v>
      </c>
      <c r="G5" s="0" t="n">
        <v>23.9</v>
      </c>
      <c r="I5" s="0" t="n">
        <v>7759</v>
      </c>
      <c r="J5" s="0" t="n">
        <v>18</v>
      </c>
      <c r="K5" s="0" t="n">
        <v>6.05</v>
      </c>
      <c r="O5" s="0" t="n">
        <v>101983</v>
      </c>
      <c r="P5" s="0" t="n">
        <v>1960252</v>
      </c>
      <c r="Q5" s="0" t="n">
        <v>1853043</v>
      </c>
      <c r="S5" s="0" t="n">
        <v>178446</v>
      </c>
      <c r="T5" s="0" t="n">
        <v>1247.21</v>
      </c>
      <c r="V5" s="0" t="n">
        <v>3.02</v>
      </c>
      <c r="AA5" s="0" t="s">
        <v>17</v>
      </c>
      <c r="AB5" s="0" t="s">
        <v>14</v>
      </c>
      <c r="AC5" s="0" t="n">
        <v>11.8</v>
      </c>
      <c r="AD5" s="0" t="n">
        <v>69.4</v>
      </c>
      <c r="AE5" s="0" t="n">
        <v>766890</v>
      </c>
      <c r="AF5" s="0" t="n">
        <v>94.9</v>
      </c>
      <c r="AG5" s="0" t="n">
        <v>727675</v>
      </c>
      <c r="AH5" s="0" t="n">
        <v>-29944</v>
      </c>
      <c r="AI5" s="0" t="n">
        <v>8.9</v>
      </c>
      <c r="AJ5" s="0" t="n">
        <v>10.5</v>
      </c>
    </row>
    <row r="6" customFormat="false" ht="15" hidden="false" customHeight="false" outlineLevel="0" collapsed="false">
      <c r="A6" s="0" t="s">
        <v>75</v>
      </c>
      <c r="B6" s="0" t="n">
        <v>42516</v>
      </c>
      <c r="F6" s="0" t="n">
        <v>9169</v>
      </c>
      <c r="G6" s="0" t="n">
        <v>21.6</v>
      </c>
      <c r="I6" s="0" t="n">
        <v>7526</v>
      </c>
      <c r="J6" s="0" t="n">
        <v>17.7</v>
      </c>
      <c r="K6" s="0" t="n">
        <v>5.73</v>
      </c>
      <c r="O6" s="0" t="n">
        <v>101467</v>
      </c>
      <c r="P6" s="0" t="n">
        <v>2040836</v>
      </c>
      <c r="Q6" s="0" t="n">
        <v>1935110</v>
      </c>
      <c r="S6" s="0" t="n">
        <v>185119</v>
      </c>
      <c r="T6" s="0" t="n">
        <v>1248.55</v>
      </c>
      <c r="V6" s="0" t="n">
        <v>3.02</v>
      </c>
      <c r="AA6" s="0" t="s">
        <v>17</v>
      </c>
      <c r="AB6" s="0" t="s">
        <v>14</v>
      </c>
      <c r="AC6" s="0" t="n">
        <v>11.8</v>
      </c>
      <c r="AD6" s="0" t="n">
        <v>71.9</v>
      </c>
      <c r="AE6" s="0" t="n">
        <v>796548</v>
      </c>
      <c r="AF6" s="0" t="n">
        <v>96.1</v>
      </c>
      <c r="AG6" s="0" t="n">
        <v>765871</v>
      </c>
      <c r="AH6" s="0" t="n">
        <v>-30583</v>
      </c>
      <c r="AI6" s="0" t="n">
        <v>8.2</v>
      </c>
      <c r="AJ6" s="0" t="n">
        <v>9.6</v>
      </c>
    </row>
    <row r="7" customFormat="false" ht="15" hidden="false" customHeight="false" outlineLevel="0" collapsed="false">
      <c r="A7" s="0" t="s">
        <v>76</v>
      </c>
      <c r="B7" s="0" t="n">
        <v>44597</v>
      </c>
      <c r="F7" s="0" t="n">
        <v>10057</v>
      </c>
      <c r="G7" s="0" t="n">
        <v>22.6</v>
      </c>
      <c r="I7" s="0" t="n">
        <v>8173</v>
      </c>
      <c r="J7" s="0" t="n">
        <v>18.3</v>
      </c>
      <c r="K7" s="0" t="n">
        <v>6.21</v>
      </c>
      <c r="O7" s="0" t="n">
        <v>107453</v>
      </c>
      <c r="P7" s="0" t="n">
        <v>2164713</v>
      </c>
      <c r="Q7" s="0" t="n">
        <v>2052868</v>
      </c>
      <c r="S7" s="0" t="n">
        <v>155135</v>
      </c>
      <c r="T7" s="0" t="n">
        <v>1248.64</v>
      </c>
      <c r="AA7" s="0" t="s">
        <v>17</v>
      </c>
      <c r="AB7" s="0" t="s">
        <v>14</v>
      </c>
      <c r="AC7" s="0" t="n">
        <v>12.1</v>
      </c>
      <c r="AD7" s="0" t="n">
        <v>70.3</v>
      </c>
      <c r="AE7" s="0" t="n">
        <v>834667</v>
      </c>
      <c r="AF7" s="0" t="n">
        <v>96.5</v>
      </c>
      <c r="AG7" s="0" t="n">
        <v>805777</v>
      </c>
      <c r="AH7" s="0" t="n">
        <v>-31337</v>
      </c>
      <c r="AJ7" s="0" t="n">
        <v>9.8</v>
      </c>
    </row>
    <row r="8" customFormat="false" ht="15" hidden="false" customHeight="false" outlineLevel="0" collapsed="false">
      <c r="A8" s="0" t="s">
        <v>77</v>
      </c>
      <c r="B8" s="0" t="n">
        <v>44275</v>
      </c>
      <c r="F8" s="0" t="n">
        <v>8364</v>
      </c>
      <c r="G8" s="0" t="n">
        <v>18.9</v>
      </c>
      <c r="I8" s="0" t="n">
        <v>7067</v>
      </c>
      <c r="J8" s="0" t="n">
        <v>16</v>
      </c>
      <c r="K8" s="0" t="n">
        <v>5.31</v>
      </c>
      <c r="O8" s="0" t="n">
        <v>112799</v>
      </c>
      <c r="P8" s="0" t="n">
        <v>2488491</v>
      </c>
      <c r="Q8" s="0" t="n">
        <v>2371142</v>
      </c>
      <c r="S8" s="0" t="n">
        <v>308703</v>
      </c>
      <c r="T8" s="0" t="n">
        <v>1248.48</v>
      </c>
      <c r="V8" s="0" t="n">
        <v>1.11</v>
      </c>
      <c r="AA8" s="0" t="s">
        <v>17</v>
      </c>
      <c r="AB8" s="0" t="s">
        <v>14</v>
      </c>
      <c r="AC8" s="0" t="n">
        <v>12.8</v>
      </c>
      <c r="AD8" s="0" t="n">
        <v>68.2</v>
      </c>
      <c r="AE8" s="0" t="n">
        <v>940991</v>
      </c>
      <c r="AF8" s="0" t="n">
        <v>86</v>
      </c>
      <c r="AG8" s="0" t="n">
        <v>809533</v>
      </c>
      <c r="AH8" s="0" t="n">
        <v>-30194</v>
      </c>
      <c r="AJ8" s="0" t="n">
        <v>7.6</v>
      </c>
    </row>
    <row r="9" customFormat="false" ht="15" hidden="false" customHeight="false" outlineLevel="0" collapsed="false">
      <c r="A9" s="0" t="s">
        <v>78</v>
      </c>
      <c r="B9" s="0" t="n">
        <v>46235</v>
      </c>
      <c r="F9" s="0" t="n">
        <v>12199</v>
      </c>
      <c r="G9" s="0" t="n">
        <v>26.4</v>
      </c>
      <c r="I9" s="0" t="n">
        <v>9488</v>
      </c>
      <c r="J9" s="0" t="n">
        <v>20.5</v>
      </c>
      <c r="K9" s="0" t="n">
        <v>7.26</v>
      </c>
      <c r="O9" s="0" t="n">
        <v>117886</v>
      </c>
      <c r="P9" s="0" t="n">
        <v>2634444</v>
      </c>
      <c r="Q9" s="0" t="n">
        <v>2511937</v>
      </c>
      <c r="S9" s="0" t="n">
        <v>347883</v>
      </c>
      <c r="T9" s="0" t="n">
        <v>1248.55</v>
      </c>
      <c r="V9" s="0" t="n">
        <v>3.67</v>
      </c>
      <c r="AA9" s="0" t="s">
        <v>17</v>
      </c>
      <c r="AB9" s="0" t="s">
        <v>14</v>
      </c>
      <c r="AC9" s="0" t="n">
        <v>12.9</v>
      </c>
      <c r="AD9" s="0" t="n">
        <v>67.3</v>
      </c>
      <c r="AE9" s="0" t="n">
        <v>957684</v>
      </c>
      <c r="AF9" s="0" t="n">
        <v>85</v>
      </c>
      <c r="AG9" s="0" t="n">
        <v>814000</v>
      </c>
      <c r="AH9" s="0" t="n">
        <v>-31111</v>
      </c>
      <c r="AJ9" s="0" t="n">
        <v>10</v>
      </c>
    </row>
    <row r="10" customFormat="false" ht="15" hidden="false" customHeight="false" outlineLevel="0" collapsed="false">
      <c r="A10" s="0" t="s">
        <v>79</v>
      </c>
      <c r="B10" s="0" t="n">
        <v>50419</v>
      </c>
      <c r="F10" s="0" t="n">
        <v>13752</v>
      </c>
      <c r="G10" s="0" t="n">
        <v>27.3</v>
      </c>
      <c r="I10" s="0" t="n">
        <v>10196</v>
      </c>
      <c r="J10" s="0" t="n">
        <v>20.2</v>
      </c>
      <c r="K10" s="0" t="n">
        <v>7.8</v>
      </c>
      <c r="O10" s="0" t="n">
        <v>121792</v>
      </c>
      <c r="P10" s="0" t="n">
        <v>2666376</v>
      </c>
      <c r="Q10" s="0" t="n">
        <v>2539821</v>
      </c>
      <c r="S10" s="0" t="n">
        <v>318560</v>
      </c>
      <c r="T10" s="0" t="n">
        <v>1232.97</v>
      </c>
      <c r="V10" s="0" t="n">
        <v>3.9</v>
      </c>
      <c r="AA10" s="0" t="s">
        <v>17</v>
      </c>
      <c r="AB10" s="0" t="s">
        <v>14</v>
      </c>
      <c r="AC10" s="0" t="n">
        <v>12.3</v>
      </c>
      <c r="AD10" s="0" t="n">
        <v>66.8</v>
      </c>
      <c r="AE10" s="0" t="n">
        <v>1008054</v>
      </c>
      <c r="AF10" s="0" t="n">
        <v>85</v>
      </c>
      <c r="AG10" s="0" t="n">
        <v>857020</v>
      </c>
      <c r="AH10" s="0" t="n">
        <v>-33702</v>
      </c>
      <c r="AJ10" s="0" t="n">
        <v>10.2</v>
      </c>
    </row>
    <row r="11" customFormat="false" ht="15" hidden="false" customHeight="false" outlineLevel="0" collapsed="false">
      <c r="A11" s="0" t="s">
        <v>80</v>
      </c>
      <c r="B11" s="0" t="n">
        <v>45874</v>
      </c>
      <c r="F11" s="0" t="n">
        <v>11236</v>
      </c>
      <c r="G11" s="0" t="n">
        <v>24.5</v>
      </c>
      <c r="I11" s="0" t="n">
        <v>10975</v>
      </c>
      <c r="J11" s="0" t="n">
        <v>23.9</v>
      </c>
      <c r="K11" s="0" t="n">
        <v>8.58</v>
      </c>
      <c r="O11" s="0" t="n">
        <v>123742</v>
      </c>
      <c r="P11" s="0" t="n">
        <v>2591499</v>
      </c>
      <c r="Q11" s="0" t="n">
        <v>2462632</v>
      </c>
      <c r="S11" s="0" t="n">
        <v>288259</v>
      </c>
      <c r="T11" s="0" t="n">
        <v>1218.5</v>
      </c>
      <c r="V11" s="0" t="n">
        <v>4.6</v>
      </c>
      <c r="AA11" s="0" t="s">
        <v>17</v>
      </c>
      <c r="AB11" s="0" t="s">
        <v>14</v>
      </c>
      <c r="AC11" s="0" t="n">
        <v>13.2</v>
      </c>
      <c r="AD11" s="0" t="n">
        <v>67.5</v>
      </c>
      <c r="AE11" s="0" t="n">
        <v>988549</v>
      </c>
      <c r="AF11" s="0" t="n">
        <v>86.9</v>
      </c>
      <c r="AG11" s="0" t="n">
        <v>859200</v>
      </c>
      <c r="AH11" s="0" t="n">
        <v>-30956</v>
      </c>
    </row>
    <row r="12" customFormat="false" ht="15" hidden="false" customHeight="false" outlineLevel="0" collapsed="false">
      <c r="A12" s="0" t="s">
        <v>81</v>
      </c>
      <c r="B12" s="0" t="n">
        <v>48831</v>
      </c>
      <c r="F12" s="0" t="n">
        <v>15437</v>
      </c>
      <c r="G12" s="0" t="n">
        <v>31.6</v>
      </c>
      <c r="I12" s="0" t="n">
        <v>11688</v>
      </c>
      <c r="J12" s="0" t="n">
        <v>23.9</v>
      </c>
      <c r="K12" s="0" t="n">
        <v>9.57</v>
      </c>
      <c r="O12" s="0" t="n">
        <v>128137</v>
      </c>
      <c r="P12" s="0" t="n">
        <v>2704908</v>
      </c>
      <c r="Q12" s="0" t="n">
        <v>2570767</v>
      </c>
      <c r="S12" s="0" t="n">
        <v>182496</v>
      </c>
      <c r="T12" s="0" t="n">
        <v>1129.26</v>
      </c>
      <c r="V12" s="0" t="n">
        <v>4.79</v>
      </c>
      <c r="AA12" s="0" t="s">
        <v>17</v>
      </c>
      <c r="AB12" s="0" t="s">
        <v>14</v>
      </c>
      <c r="AC12" s="0" t="n">
        <v>12.9</v>
      </c>
      <c r="AD12" s="0" t="n">
        <v>61.8</v>
      </c>
      <c r="AE12" s="0" t="n">
        <v>1034857</v>
      </c>
      <c r="AF12" s="0" t="n">
        <v>87</v>
      </c>
      <c r="AG12" s="0" t="n">
        <v>900141</v>
      </c>
      <c r="AH12" s="0" t="n">
        <v>-30193</v>
      </c>
      <c r="AJ12" s="0" t="n">
        <v>10.9</v>
      </c>
    </row>
    <row r="13" customFormat="false" ht="15" hidden="false" customHeight="false" outlineLevel="0" collapsed="false">
      <c r="A13" s="0" t="s">
        <v>82</v>
      </c>
      <c r="B13" s="0" t="n">
        <v>51223</v>
      </c>
      <c r="F13" s="0" t="n">
        <v>16296</v>
      </c>
      <c r="G13" s="0" t="n">
        <v>31.8</v>
      </c>
      <c r="I13" s="0" t="n">
        <v>12225</v>
      </c>
      <c r="J13" s="0" t="n">
        <v>23.9</v>
      </c>
      <c r="K13" s="0" t="n">
        <v>10.29</v>
      </c>
      <c r="O13" s="0" t="n">
        <v>125513</v>
      </c>
      <c r="P13" s="0" t="n">
        <v>2792981</v>
      </c>
      <c r="Q13" s="0" t="n">
        <v>2660808</v>
      </c>
      <c r="S13" s="0" t="n">
        <v>211330</v>
      </c>
      <c r="T13" s="0" t="n">
        <v>1129.35</v>
      </c>
      <c r="V13" s="0" t="n">
        <v>5.16</v>
      </c>
      <c r="AA13" s="0" t="s">
        <v>17</v>
      </c>
      <c r="AB13" s="0" t="s">
        <v>14</v>
      </c>
      <c r="AC13" s="0" t="n">
        <v>12.6</v>
      </c>
      <c r="AD13" s="0" t="n">
        <v>61.2</v>
      </c>
      <c r="AE13" s="0" t="n">
        <v>1075564</v>
      </c>
      <c r="AF13" s="0" t="n">
        <v>83.4</v>
      </c>
      <c r="AG13" s="0" t="n">
        <v>897358</v>
      </c>
      <c r="AH13" s="0" t="n">
        <v>-31374</v>
      </c>
      <c r="AJ13" s="0" t="n">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83.52</v>
      </c>
    </row>
    <row r="3" customFormat="false" ht="15" hidden="false" customHeight="false" outlineLevel="0" collapsed="false">
      <c r="A3" s="0" t="s">
        <v>86</v>
      </c>
      <c r="B3" s="3" t="n">
        <v>1100</v>
      </c>
    </row>
    <row r="4" customFormat="false" ht="15" hidden="false" customHeight="false" outlineLevel="0" collapsed="false">
      <c r="A4" s="0" t="s">
        <v>87</v>
      </c>
      <c r="B4" s="3" t="n">
        <v>0</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55000</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0</v>
      </c>
      <c r="D13" s="3" t="n">
        <v>1</v>
      </c>
      <c r="E13" s="3" t="n">
        <v>2</v>
      </c>
      <c r="F13" s="3" t="n">
        <v>2</v>
      </c>
      <c r="G13" s="3" t="n">
        <v>2</v>
      </c>
      <c r="H13" s="3" t="n">
        <v>2</v>
      </c>
      <c r="I13" s="3" t="n">
        <v>2</v>
      </c>
      <c r="J13" s="3" t="n">
        <v>2</v>
      </c>
      <c r="K13" s="3" t="n">
        <v>2</v>
      </c>
      <c r="L13" s="3" t="n">
        <v>2</v>
      </c>
    </row>
    <row r="14" customFormat="false" ht="15" hidden="false" customHeight="false" outlineLevel="0" collapsed="false">
      <c r="A14" s="0" t="s">
        <v>108</v>
      </c>
      <c r="C14" s="3" t="n">
        <v>27</v>
      </c>
      <c r="D14" s="3" t="n">
        <v>28</v>
      </c>
      <c r="E14" s="3" t="n">
        <v>30</v>
      </c>
      <c r="F14" s="3" t="n">
        <v>31</v>
      </c>
      <c r="G14" s="3" t="n">
        <v>31.5</v>
      </c>
      <c r="H14" s="3" t="n">
        <v>31.5</v>
      </c>
      <c r="I14" s="3" t="n">
        <v>31.5</v>
      </c>
      <c r="J14" s="3" t="n">
        <v>31.5</v>
      </c>
      <c r="K14" s="3" t="n">
        <v>31.5</v>
      </c>
      <c r="L14" s="3" t="n">
        <v>31.5</v>
      </c>
    </row>
    <row r="15" customFormat="false" ht="15" hidden="false" customHeight="false" outlineLevel="0" collapsed="false">
      <c r="A15" s="0" t="s">
        <v>109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6</v>
      </c>
      <c r="D18" s="3" t="n">
        <v>6</v>
      </c>
      <c r="E18" s="3" t="n">
        <v>4.5</v>
      </c>
      <c r="F18" s="3" t="n">
        <v>4</v>
      </c>
      <c r="G18" s="3" t="n">
        <v>3.8</v>
      </c>
      <c r="H18" s="3" t="n">
        <v>3.8</v>
      </c>
      <c r="I18" s="3" t="n">
        <v>3.8</v>
      </c>
      <c r="J18" s="3" t="n">
        <v>3.8</v>
      </c>
      <c r="K18" s="3" t="n">
        <v>3.8</v>
      </c>
      <c r="L18" s="3" t="n">
        <v>3.8</v>
      </c>
    </row>
    <row r="19" customFormat="false" ht="15" hidden="false" customHeight="false" outlineLevel="0" collapsed="false">
      <c r="A19" s="0" t="s">
        <v>113</v>
      </c>
      <c r="C19" s="3" t="n">
        <v>36</v>
      </c>
      <c r="D19" s="3" t="n">
        <v>36</v>
      </c>
      <c r="E19" s="3" t="n">
        <v>36</v>
      </c>
      <c r="F19" s="3" t="n">
        <v>36</v>
      </c>
      <c r="G19" s="3" t="n">
        <v>36</v>
      </c>
      <c r="H19" s="3" t="n">
        <v>36</v>
      </c>
      <c r="I19" s="3" t="n">
        <v>36</v>
      </c>
      <c r="J19" s="3" t="n">
        <v>36</v>
      </c>
      <c r="K19" s="3" t="n">
        <v>36</v>
      </c>
      <c r="L19" s="3" t="n">
        <v>36</v>
      </c>
    </row>
    <row r="20" customFormat="false" ht="15" hidden="false" customHeight="false" outlineLevel="0" collapsed="false">
      <c r="A20" s="0" t="s">
        <v>114</v>
      </c>
      <c r="B20" s="3" t="n">
        <v>10</v>
      </c>
    </row>
    <row r="21" customFormat="false" ht="15" hidden="false" customHeight="false" outlineLevel="0" collapsed="false">
      <c r="A21" s="0" t="s">
        <v>115</v>
      </c>
      <c r="B21" s="3" t="n">
        <v>2</v>
      </c>
    </row>
    <row r="22" customFormat="false" ht="15" hidden="false" customHeight="false" outlineLevel="0" collapsed="false">
      <c r="A22" s="0" t="s">
        <v>116</v>
      </c>
      <c r="B22" s="3" t="n">
        <v>15</v>
      </c>
    </row>
    <row r="23" customFormat="false" ht="15" hidden="false" customHeight="false" outlineLevel="0" collapsed="false">
      <c r="A23" s="0" t="s">
        <v>117</v>
      </c>
      <c r="B23" s="3" t="n">
        <v>0</v>
      </c>
    </row>
    <row r="24" customFormat="false" ht="15" hidden="false" customHeight="false" outlineLevel="0" collapsed="false">
      <c r="A24" s="0" t="s">
        <v>118</v>
      </c>
      <c r="B24" s="3" t="n">
        <v>0.3</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4</v>
      </c>
      <c r="D27" s="3" t="n">
        <v>4</v>
      </c>
      <c r="E27" s="3" t="n">
        <v>3.5</v>
      </c>
      <c r="F27" s="3" t="n">
        <v>3.5</v>
      </c>
      <c r="G27" s="3" t="n">
        <v>3</v>
      </c>
      <c r="H27" s="3" t="n">
        <v>3</v>
      </c>
      <c r="I27" s="3" t="n">
        <v>3</v>
      </c>
      <c r="J27" s="3" t="n">
        <v>2.5</v>
      </c>
      <c r="K27" s="3" t="n">
        <v>2.5</v>
      </c>
      <c r="L27" s="3" t="n">
        <v>2.5</v>
      </c>
    </row>
    <row r="28" customFormat="false" ht="15" hidden="false" customHeight="false" outlineLevel="0" collapsed="false">
      <c r="A28" s="0" t="s">
        <v>108</v>
      </c>
      <c r="C28" s="3" t="n">
        <v>33.8</v>
      </c>
      <c r="D28" s="3" t="n">
        <v>34.5</v>
      </c>
      <c r="E28" s="3" t="n">
        <v>35</v>
      </c>
      <c r="F28" s="3" t="n">
        <v>35.2</v>
      </c>
      <c r="G28" s="3" t="n">
        <v>35.2</v>
      </c>
      <c r="H28" s="3" t="n">
        <v>35.2</v>
      </c>
      <c r="I28" s="3" t="n">
        <v>35</v>
      </c>
      <c r="J28" s="3" t="n">
        <v>35</v>
      </c>
      <c r="K28" s="3" t="n">
        <v>35</v>
      </c>
      <c r="L28" s="3" t="n">
        <v>35</v>
      </c>
    </row>
    <row r="29" customFormat="false" ht="15" hidden="false" customHeight="false" outlineLevel="0" collapsed="false">
      <c r="A29" s="0" t="s">
        <v>109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7.5</v>
      </c>
      <c r="D32" s="3" t="n">
        <v>7.5</v>
      </c>
      <c r="E32" s="3" t="n">
        <v>4.8</v>
      </c>
      <c r="F32" s="3" t="n">
        <v>4.5</v>
      </c>
      <c r="G32" s="3" t="n">
        <v>3.8</v>
      </c>
      <c r="H32" s="3" t="n">
        <v>3.6</v>
      </c>
      <c r="I32" s="3" t="n">
        <v>3.6</v>
      </c>
      <c r="J32" s="3" t="n">
        <v>4.4</v>
      </c>
      <c r="K32" s="3" t="n">
        <v>4.4</v>
      </c>
      <c r="L32" s="3" t="n">
        <v>4.4</v>
      </c>
    </row>
    <row r="33" customFormat="false" ht="15" hidden="false" customHeight="false" outlineLevel="0" collapsed="false">
      <c r="A33" s="0" t="s">
        <v>113</v>
      </c>
      <c r="C33" s="3" t="n">
        <v>34</v>
      </c>
      <c r="D33" s="3" t="n">
        <v>34</v>
      </c>
      <c r="E33" s="3" t="n">
        <v>34</v>
      </c>
      <c r="F33" s="3" t="n">
        <v>34</v>
      </c>
      <c r="G33" s="3" t="n">
        <v>34</v>
      </c>
      <c r="H33" s="3" t="n">
        <v>34</v>
      </c>
      <c r="I33" s="3" t="n">
        <v>34</v>
      </c>
      <c r="J33" s="3" t="n">
        <v>34</v>
      </c>
      <c r="K33" s="3" t="n">
        <v>34</v>
      </c>
      <c r="L33" s="3" t="n">
        <v>34</v>
      </c>
    </row>
    <row r="34" customFormat="false" ht="15" hidden="false" customHeight="false" outlineLevel="0" collapsed="false">
      <c r="A34" s="0" t="s">
        <v>114</v>
      </c>
      <c r="B34" s="3" t="n">
        <v>10</v>
      </c>
    </row>
    <row r="35" customFormat="false" ht="15" hidden="false" customHeight="false" outlineLevel="0" collapsed="false">
      <c r="A35" s="0" t="s">
        <v>115</v>
      </c>
      <c r="B35" s="3" t="n">
        <v>2.5</v>
      </c>
    </row>
    <row r="36" customFormat="false" ht="15" hidden="false" customHeight="false" outlineLevel="0" collapsed="false">
      <c r="A36" s="0" t="s">
        <v>116</v>
      </c>
      <c r="B36" s="3" t="n">
        <v>15</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5.5</v>
      </c>
      <c r="D41" s="3" t="n">
        <v>5</v>
      </c>
      <c r="E41" s="3" t="n">
        <v>4.5</v>
      </c>
      <c r="F41" s="3" t="n">
        <v>4</v>
      </c>
      <c r="G41" s="3" t="n">
        <v>4</v>
      </c>
      <c r="H41" s="3" t="n">
        <v>3.5</v>
      </c>
      <c r="I41" s="3" t="n">
        <v>3.5</v>
      </c>
      <c r="J41" s="3" t="n">
        <v>3</v>
      </c>
      <c r="K41" s="3" t="n">
        <v>3</v>
      </c>
      <c r="L41" s="3" t="n">
        <v>3</v>
      </c>
    </row>
    <row r="42" customFormat="false" ht="15" hidden="false" customHeight="false" outlineLevel="0" collapsed="false">
      <c r="A42" s="0" t="s">
        <v>108</v>
      </c>
      <c r="C42" s="3" t="n">
        <v>35</v>
      </c>
      <c r="D42" s="3" t="n">
        <v>36.5</v>
      </c>
      <c r="E42" s="3" t="n">
        <v>38</v>
      </c>
      <c r="F42" s="3" t="n">
        <v>38.5</v>
      </c>
      <c r="G42" s="3" t="n">
        <v>38.5</v>
      </c>
      <c r="H42" s="3" t="n">
        <v>38.5</v>
      </c>
      <c r="I42" s="3" t="n">
        <v>38.5</v>
      </c>
      <c r="J42" s="3" t="n">
        <v>38.5</v>
      </c>
      <c r="K42" s="3" t="n">
        <v>38.5</v>
      </c>
      <c r="L42" s="3" t="n">
        <v>38.5</v>
      </c>
    </row>
    <row r="43" customFormat="false" ht="15" hidden="false" customHeight="false" outlineLevel="0" collapsed="false">
      <c r="A43" s="0" t="s">
        <v>109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8.3</v>
      </c>
      <c r="D46" s="3" t="n">
        <v>7.7</v>
      </c>
      <c r="E46" s="3" t="n">
        <v>5.5</v>
      </c>
      <c r="F46" s="3" t="n">
        <v>4.6</v>
      </c>
      <c r="G46" s="3" t="n">
        <v>4.5</v>
      </c>
      <c r="H46" s="3" t="n">
        <v>3.6</v>
      </c>
      <c r="I46" s="3" t="n">
        <v>3.6</v>
      </c>
      <c r="J46" s="3" t="n">
        <v>4.9</v>
      </c>
      <c r="K46" s="3" t="n">
        <v>4.9</v>
      </c>
      <c r="L46" s="3" t="n">
        <v>4.9</v>
      </c>
    </row>
    <row r="47" customFormat="false" ht="15" hidden="false" customHeight="false" outlineLevel="0" collapsed="false">
      <c r="A47" s="0" t="s">
        <v>113</v>
      </c>
      <c r="C47" s="3" t="n">
        <v>34</v>
      </c>
      <c r="D47" s="3" t="n">
        <v>34</v>
      </c>
      <c r="E47" s="3" t="n">
        <v>34</v>
      </c>
      <c r="F47" s="3" t="n">
        <v>34</v>
      </c>
      <c r="G47" s="3" t="n">
        <v>34</v>
      </c>
      <c r="H47" s="3" t="n">
        <v>34</v>
      </c>
      <c r="I47" s="3" t="n">
        <v>34</v>
      </c>
      <c r="J47" s="3" t="n">
        <v>34</v>
      </c>
      <c r="K47" s="3" t="n">
        <v>34</v>
      </c>
      <c r="L47" s="3" t="n">
        <v>34</v>
      </c>
    </row>
    <row r="48" customFormat="false" ht="15" hidden="false" customHeight="false" outlineLevel="0" collapsed="false">
      <c r="A48" s="0" t="s">
        <v>114</v>
      </c>
      <c r="B48" s="3" t="n">
        <v>10</v>
      </c>
    </row>
    <row r="49" customFormat="false" ht="15" hidden="false" customHeight="false" outlineLevel="0" collapsed="false">
      <c r="A49" s="0" t="s">
        <v>115</v>
      </c>
      <c r="B49" s="3" t="n">
        <v>3</v>
      </c>
    </row>
    <row r="50" customFormat="false" ht="15" hidden="false" customHeight="false" outlineLevel="0" collapsed="false">
      <c r="A50" s="0" t="s">
        <v>116</v>
      </c>
      <c r="B50" s="3" t="n">
        <v>15</v>
      </c>
    </row>
    <row r="51" customFormat="false" ht="15" hidden="false" customHeight="false" outlineLevel="0" collapsed="false">
      <c r="A51" s="0" t="s">
        <v>117</v>
      </c>
      <c r="B51" s="3" t="n">
        <v>0</v>
      </c>
    </row>
    <row r="52" customFormat="false" ht="15" hidden="false" customHeight="false" outlineLevel="0" collapsed="false">
      <c r="A52" s="0" t="s">
        <v>118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0</v>
      </c>
      <c r="D5" s="4" t="n">
        <f aca="false">Assumptions!D13</f>
        <v>1</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55000</v>
      </c>
      <c r="C6" s="0" t="n">
        <f aca="false">B6*(1+C5/100)</f>
        <v>55000</v>
      </c>
      <c r="D6" s="0" t="n">
        <f aca="false">C6*(1+D5/100)</f>
        <v>55550</v>
      </c>
      <c r="E6" s="0" t="n">
        <f aca="false">D6*(1+E5/100)</f>
        <v>56661</v>
      </c>
      <c r="F6" s="0" t="n">
        <f aca="false">E6*(1+F5/100)</f>
        <v>57794.22</v>
      </c>
      <c r="G6" s="0" t="n">
        <f aca="false">F6*(1+G5/100)</f>
        <v>58950.1044</v>
      </c>
      <c r="H6" s="0" t="n">
        <f aca="false">G6*(1+H5/100)</f>
        <v>60129.106488</v>
      </c>
      <c r="I6" s="0" t="n">
        <f aca="false">H6*(1+I5/100)</f>
        <v>61331.68861776</v>
      </c>
      <c r="J6" s="0" t="n">
        <f aca="false">I6*(1+J5/100)</f>
        <v>62558.3223901152</v>
      </c>
      <c r="K6" s="0" t="n">
        <f aca="false">J6*(1+K5/100)</f>
        <v>63809.4888379175</v>
      </c>
      <c r="L6" s="0" t="n">
        <f aca="false">K6*(1+L5/100)</f>
        <v>65085.6786146759</v>
      </c>
    </row>
    <row r="7" customFormat="false" ht="15" hidden="false" customHeight="false" outlineLevel="0" collapsed="false">
      <c r="A7" s="0" t="s">
        <v>108</v>
      </c>
      <c r="C7" s="4" t="n">
        <f aca="false">Assumptions!C14</f>
        <v>27</v>
      </c>
      <c r="D7" s="4" t="n">
        <f aca="false">Assumptions!D14</f>
        <v>28</v>
      </c>
      <c r="E7" s="4" t="n">
        <f aca="false">Assumptions!E14</f>
        <v>30</v>
      </c>
      <c r="F7" s="4" t="n">
        <f aca="false">Assumptions!F14</f>
        <v>31</v>
      </c>
      <c r="G7" s="4" t="n">
        <f aca="false">Assumptions!G14</f>
        <v>31.5</v>
      </c>
      <c r="H7" s="4" t="n">
        <f aca="false">Assumptions!H14</f>
        <v>31.5</v>
      </c>
      <c r="I7" s="4" t="n">
        <f aca="false">Assumptions!I14</f>
        <v>31.5</v>
      </c>
      <c r="J7" s="4" t="n">
        <f aca="false">Assumptions!J14</f>
        <v>31.5</v>
      </c>
      <c r="K7" s="4" t="n">
        <f aca="false">Assumptions!K14</f>
        <v>31.5</v>
      </c>
      <c r="L7" s="4" t="n">
        <f aca="false">Assumptions!L14</f>
        <v>31.5</v>
      </c>
    </row>
    <row r="8" customFormat="false" ht="15" hidden="false" customHeight="false" outlineLevel="0" collapsed="false">
      <c r="A8" s="0" t="s">
        <v>43</v>
      </c>
      <c r="C8" s="0" t="n">
        <f aca="false">C6*C7/100</f>
        <v>14850</v>
      </c>
      <c r="D8" s="0" t="n">
        <f aca="false">D6*D7/100</f>
        <v>15554</v>
      </c>
      <c r="E8" s="0" t="n">
        <f aca="false">E6*E7/100</f>
        <v>16998.3</v>
      </c>
      <c r="F8" s="0" t="n">
        <f aca="false">F6*F7/100</f>
        <v>17916.2082</v>
      </c>
      <c r="G8" s="0" t="n">
        <f aca="false">G6*G7/100</f>
        <v>18569.282886</v>
      </c>
      <c r="H8" s="0" t="n">
        <f aca="false">H6*H7/100</f>
        <v>18940.66854372</v>
      </c>
      <c r="I8" s="0" t="n">
        <f aca="false">I6*I7/100</f>
        <v>19319.4819145944</v>
      </c>
      <c r="J8" s="0" t="n">
        <f aca="false">J6*J7/100</f>
        <v>19705.8715528863</v>
      </c>
      <c r="K8" s="0" t="n">
        <f aca="false">K6*K7/100</f>
        <v>20099.988983944</v>
      </c>
      <c r="L8" s="0" t="n">
        <f aca="false">L6*L7/100</f>
        <v>20501.9887636229</v>
      </c>
    </row>
    <row r="9" customFormat="false" ht="15" hidden="false" customHeight="false" outlineLevel="0" collapsed="false">
      <c r="A9" s="0" t="s">
        <v>109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14850</v>
      </c>
      <c r="D11" s="0" t="n">
        <f aca="false">D8+D10+D24</f>
        <v>15554</v>
      </c>
      <c r="E11" s="0" t="n">
        <f aca="false">E8+E10+E24</f>
        <v>16998.3</v>
      </c>
      <c r="F11" s="0" t="n">
        <f aca="false">F8+F10+F24</f>
        <v>17916.2082</v>
      </c>
      <c r="G11" s="0" t="n">
        <f aca="false">G8+G10+G24</f>
        <v>18569.282886</v>
      </c>
      <c r="H11" s="0" t="n">
        <f aca="false">H8+H10+H24</f>
        <v>18940.66854372</v>
      </c>
      <c r="I11" s="0" t="n">
        <f aca="false">I8+I10+I24</f>
        <v>19319.4819145944</v>
      </c>
      <c r="J11" s="0" t="n">
        <f aca="false">J8+J10+J24</f>
        <v>19705.8715528863</v>
      </c>
      <c r="K11" s="0" t="n">
        <f aca="false">K8+K10+K24</f>
        <v>20099.988983944</v>
      </c>
      <c r="L11" s="0" t="n">
        <f aca="false">L8+L10+L24</f>
        <v>20501.9887636229</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14850</v>
      </c>
      <c r="D13" s="0" t="n">
        <f aca="false">D11+D12</f>
        <v>15554</v>
      </c>
      <c r="E13" s="0" t="n">
        <f aca="false">E11+E12</f>
        <v>16998.3</v>
      </c>
      <c r="F13" s="0" t="n">
        <f aca="false">F11+F12</f>
        <v>17916.2082</v>
      </c>
      <c r="G13" s="0" t="n">
        <f aca="false">G11+G12</f>
        <v>18569.282886</v>
      </c>
      <c r="H13" s="0" t="n">
        <f aca="false">H11+H12</f>
        <v>18940.66854372</v>
      </c>
      <c r="I13" s="0" t="n">
        <f aca="false">I11+I12</f>
        <v>19319.4819145944</v>
      </c>
      <c r="J13" s="0" t="n">
        <f aca="false">J11+J12</f>
        <v>19705.8715528863</v>
      </c>
      <c r="K13" s="0" t="n">
        <f aca="false">K11+K12</f>
        <v>20099.988983944</v>
      </c>
      <c r="L13" s="0" t="n">
        <f aca="false">L11+L12</f>
        <v>20501.9887636229</v>
      </c>
    </row>
    <row r="14" customFormat="false" ht="15" hidden="false" customHeight="false" outlineLevel="0" collapsed="false">
      <c r="A14" s="0" t="s">
        <v>113</v>
      </c>
      <c r="C14" s="4" t="n">
        <f aca="false">Assumptions!C19</f>
        <v>36</v>
      </c>
      <c r="D14" s="4" t="n">
        <f aca="false">Assumptions!D19</f>
        <v>36</v>
      </c>
      <c r="E14" s="4" t="n">
        <f aca="false">Assumptions!E19</f>
        <v>36</v>
      </c>
      <c r="F14" s="4" t="n">
        <f aca="false">Assumptions!F19</f>
        <v>36</v>
      </c>
      <c r="G14" s="4" t="n">
        <f aca="false">Assumptions!G19</f>
        <v>36</v>
      </c>
      <c r="H14" s="4" t="n">
        <f aca="false">Assumptions!H19</f>
        <v>36</v>
      </c>
      <c r="I14" s="4" t="n">
        <f aca="false">Assumptions!I19</f>
        <v>36</v>
      </c>
      <c r="J14" s="4" t="n">
        <f aca="false">Assumptions!J19</f>
        <v>36</v>
      </c>
      <c r="K14" s="4" t="n">
        <f aca="false">Assumptions!K19</f>
        <v>36</v>
      </c>
      <c r="L14" s="4" t="n">
        <f aca="false">Assumptions!L19</f>
        <v>36</v>
      </c>
    </row>
    <row r="15" customFormat="false" ht="15" hidden="false" customHeight="false" outlineLevel="0" collapsed="false">
      <c r="A15" s="0" t="s">
        <v>128</v>
      </c>
      <c r="C15" s="0" t="n">
        <f aca="false">C13-MAX(0,C13)*C14/100</f>
        <v>9504</v>
      </c>
      <c r="D15" s="0" t="n">
        <f aca="false">D13-MAX(0,D13)*D14/100</f>
        <v>9954.56</v>
      </c>
      <c r="E15" s="0" t="n">
        <f aca="false">E13-MAX(0,E13)*E14/100</f>
        <v>10878.912</v>
      </c>
      <c r="F15" s="0" t="n">
        <f aca="false">F13-MAX(0,F13)*F14/100</f>
        <v>11466.373248</v>
      </c>
      <c r="G15" s="0" t="n">
        <f aca="false">G13-MAX(0,G13)*G14/100</f>
        <v>11884.34104704</v>
      </c>
      <c r="H15" s="0" t="n">
        <f aca="false">H13-MAX(0,H13)*H14/100</f>
        <v>12122.0278679808</v>
      </c>
      <c r="I15" s="0" t="n">
        <f aca="false">I13-MAX(0,I13)*I14/100</f>
        <v>12364.4684253404</v>
      </c>
      <c r="J15" s="0" t="n">
        <f aca="false">J13-MAX(0,J13)*J14/100</f>
        <v>12611.7577938472</v>
      </c>
      <c r="K15" s="0" t="n">
        <f aca="false">K13-MAX(0,K13)*K14/100</f>
        <v>12863.9929497242</v>
      </c>
      <c r="L15" s="0" t="n">
        <f aca="false">L13-MAX(0,L13)*L14/100</f>
        <v>13121.2728087187</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-3300</v>
      </c>
      <c r="D17" s="4" t="n">
        <f aca="false">-D6*Assumptions!D18/100</f>
        <v>-3333</v>
      </c>
      <c r="E17" s="4" t="n">
        <f aca="false">-E6*Assumptions!E18/100</f>
        <v>-2549.745</v>
      </c>
      <c r="F17" s="4" t="n">
        <f aca="false">-F6*Assumptions!F18/100</f>
        <v>-2311.7688</v>
      </c>
      <c r="G17" s="4" t="n">
        <f aca="false">-G6*Assumptions!G18/100</f>
        <v>-2240.1039672</v>
      </c>
      <c r="H17" s="4" t="n">
        <f aca="false">-H6*Assumptions!H18/100</f>
        <v>-2284.906046544</v>
      </c>
      <c r="I17" s="4" t="n">
        <f aca="false">-I6*Assumptions!I18/100</f>
        <v>-2330.60416747488</v>
      </c>
      <c r="J17" s="4" t="n">
        <f aca="false">-J6*Assumptions!J18/100</f>
        <v>-2377.21625082438</v>
      </c>
      <c r="K17" s="4" t="n">
        <f aca="false">-K6*Assumptions!K18/100</f>
        <v>-2424.76057584087</v>
      </c>
      <c r="L17" s="4" t="n">
        <f aca="false">-L6*Assumptions!L18/100</f>
        <v>-2473.25578735768</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6204</v>
      </c>
      <c r="D19" s="0" t="n">
        <f aca="false">D15+D16+D17+D18</f>
        <v>6621.56</v>
      </c>
      <c r="E19" s="0" t="n">
        <f aca="false">E15+E16+E17+E18</f>
        <v>8329.167</v>
      </c>
      <c r="F19" s="0" t="n">
        <f aca="false">F15+F16+F17+F18</f>
        <v>9154.604448</v>
      </c>
      <c r="G19" s="0" t="n">
        <f aca="false">G15+G16+G17+G18</f>
        <v>9644.23707984</v>
      </c>
      <c r="H19" s="0" t="n">
        <f aca="false">H15+H16+H17+H18</f>
        <v>9837.1218214368</v>
      </c>
      <c r="I19" s="0" t="n">
        <f aca="false">I15+I16+I17+I18</f>
        <v>10033.8642578655</v>
      </c>
      <c r="J19" s="0" t="n">
        <f aca="false">J15+J16+J17+J18</f>
        <v>10234.5415430228</v>
      </c>
      <c r="K19" s="0" t="n">
        <f aca="false">K15+K16+K17+K18</f>
        <v>10439.2323738833</v>
      </c>
      <c r="L19" s="0" t="n">
        <f aca="false">L15+L16+L17+L18</f>
        <v>10648.017021361</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5640</v>
      </c>
      <c r="D21" s="0" t="n">
        <f aca="false">D19*D20</f>
        <v>5472.36363636364</v>
      </c>
      <c r="E21" s="0" t="n">
        <f aca="false">E19*E20</f>
        <v>6257.82644628099</v>
      </c>
      <c r="F21" s="0" t="n">
        <f aca="false">F19*F20</f>
        <v>6252.71801652892</v>
      </c>
      <c r="G21" s="0" t="n">
        <f aca="false">G19*G20</f>
        <v>5988.31244751041</v>
      </c>
      <c r="H21" s="0" t="n">
        <f aca="false">H19*H20</f>
        <v>5552.7988149642</v>
      </c>
      <c r="I21" s="0" t="n">
        <f aca="false">I19*I20</f>
        <v>5148.95890114862</v>
      </c>
      <c r="J21" s="0" t="n">
        <f aca="false">J19*J20</f>
        <v>4774.48916288327</v>
      </c>
      <c r="K21" s="0" t="n">
        <f aca="false">K19*K20</f>
        <v>4427.25358740085</v>
      </c>
      <c r="L21" s="0" t="n">
        <f aca="false">L19*L20</f>
        <v>4105.27150831715</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10</v>
      </c>
    </row>
    <row r="28" customFormat="false" ht="15" hidden="false" customHeight="false" outlineLevel="0" collapsed="false">
      <c r="A28" s="0" t="s">
        <v>115</v>
      </c>
      <c r="B28" s="4" t="n">
        <f aca="false">Assumptions!$B$21</f>
        <v>2</v>
      </c>
    </row>
    <row r="29" customFormat="false" ht="15" hidden="false" customHeight="false" outlineLevel="0" collapsed="false">
      <c r="A29" s="0" t="s">
        <v>116</v>
      </c>
      <c r="B29" s="4" t="n">
        <f aca="false">Assumptions!$B$22</f>
        <v>15</v>
      </c>
    </row>
    <row r="30" customFormat="false" ht="15" hidden="false" customHeight="false" outlineLevel="0" collapsed="false">
      <c r="A30" s="0" t="s">
        <v>137</v>
      </c>
      <c r="B30" s="0" t="n">
        <f aca="false">SUM(C21:L21)</f>
        <v>53619.9925213981</v>
      </c>
    </row>
    <row r="31" customFormat="false" ht="15" hidden="false" customHeight="false" outlineLevel="0" collapsed="false">
      <c r="A31" s="0" t="s">
        <v>138</v>
      </c>
      <c r="B31" s="0" t="n">
        <f aca="false">L19</f>
        <v>10648.017021361</v>
      </c>
    </row>
    <row r="32" customFormat="false" ht="15" hidden="false" customHeight="false" outlineLevel="0" collapsed="false">
      <c r="A32" s="0" t="s">
        <v>139</v>
      </c>
      <c r="B32" s="0" t="n">
        <f aca="false">IF(B27&gt;B28,B31*(1+B28/100)/((B27-B28)/100),B31*B29)</f>
        <v>135762.217022352</v>
      </c>
    </row>
    <row r="33" customFormat="false" ht="15" hidden="false" customHeight="false" outlineLevel="0" collapsed="false">
      <c r="A33" s="0" t="s">
        <v>140</v>
      </c>
      <c r="B33" s="0" t="n">
        <f aca="false">B31*B29</f>
        <v>159720.255320415</v>
      </c>
    </row>
    <row r="34" customFormat="false" ht="15" hidden="false" customHeight="false" outlineLevel="0" collapsed="false">
      <c r="A34" s="0" t="s">
        <v>141</v>
      </c>
      <c r="B34" s="0" t="n">
        <f aca="false">MAX(0,MIN(B32,B33))</f>
        <v>135762.217022352</v>
      </c>
    </row>
    <row r="35" customFormat="false" ht="15" hidden="false" customHeight="false" outlineLevel="0" collapsed="false">
      <c r="A35" s="0" t="s">
        <v>142</v>
      </c>
      <c r="B35" s="0" t="n">
        <f aca="false">B34/(1+B27/100)^L4</f>
        <v>52342.2117310437</v>
      </c>
    </row>
    <row r="36" customFormat="false" ht="15" hidden="false" customHeight="false" outlineLevel="0" collapsed="false">
      <c r="A36" s="0" t="s">
        <v>143</v>
      </c>
      <c r="B36" s="0" t="n">
        <f aca="false">B30+B35</f>
        <v>105962.204252442</v>
      </c>
    </row>
    <row r="37" customFormat="false" ht="15" hidden="false" customHeight="false" outlineLevel="0" collapsed="false">
      <c r="A37" s="0" t="s">
        <v>144</v>
      </c>
      <c r="B37" s="0" t="n">
        <f aca="false">B36+Assumptions!$B$5-Assumptions!$B$4</f>
        <v>105962.204252442</v>
      </c>
    </row>
    <row r="38" customFormat="false" ht="15" hidden="false" customHeight="false" outlineLevel="0" collapsed="false">
      <c r="A38" s="0" t="s">
        <v>145</v>
      </c>
      <c r="B38" s="0" t="n">
        <f aca="false">B37/Assumptions!$B$3*Assumptions!$B$10</f>
        <v>96.3292765931289</v>
      </c>
    </row>
    <row r="39" customFormat="false" ht="15" hidden="false" customHeight="false" outlineLevel="0" collapsed="false">
      <c r="A39" s="0" t="s">
        <v>146</v>
      </c>
      <c r="B39" s="4" t="n">
        <f aca="false">B38/Assumptions!$B$2-1</f>
        <v>0.153367775300872</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96.3292765931289</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83545.979706063</v>
      </c>
    </row>
    <row r="47" customFormat="false" ht="15" hidden="false" customHeight="false" outlineLevel="0" collapsed="false">
      <c r="A47" s="0" t="s">
        <v>151</v>
      </c>
      <c r="B47" s="0" t="n">
        <f aca="false">(SUMPRODUCT(C19:L19/(1+B45/100)^C4:L4)+B46/(1+B45/100)^L4+Assumptions!$B$5-Assumptions!$B$4)/Assumptions!$B$3*Assumptions!$B$10</f>
        <v>57.7533708193087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4</v>
      </c>
      <c r="D5" s="4" t="n">
        <f aca="false">Assumptions!D27</f>
        <v>4</v>
      </c>
      <c r="E5" s="4" t="n">
        <f aca="false">Assumptions!E27</f>
        <v>3.5</v>
      </c>
      <c r="F5" s="4" t="n">
        <f aca="false">Assumptions!F27</f>
        <v>3.5</v>
      </c>
      <c r="G5" s="4" t="n">
        <f aca="false">Assumptions!G27</f>
        <v>3</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37</v>
      </c>
      <c r="B6" s="3" t="n">
        <v>55000</v>
      </c>
      <c r="C6" s="0" t="n">
        <f aca="false">B6*(1+C5/100)</f>
        <v>57200</v>
      </c>
      <c r="D6" s="0" t="n">
        <f aca="false">C6*(1+D5/100)</f>
        <v>59488</v>
      </c>
      <c r="E6" s="0" t="n">
        <f aca="false">D6*(1+E5/100)</f>
        <v>61570.08</v>
      </c>
      <c r="F6" s="0" t="n">
        <f aca="false">E6*(1+F5/100)</f>
        <v>63725.0328</v>
      </c>
      <c r="G6" s="0" t="n">
        <f aca="false">F6*(1+G5/100)</f>
        <v>65636.783784</v>
      </c>
      <c r="H6" s="0" t="n">
        <f aca="false">G6*(1+H5/100)</f>
        <v>67605.88729752</v>
      </c>
      <c r="I6" s="0" t="n">
        <f aca="false">H6*(1+I5/100)</f>
        <v>69634.0639164456</v>
      </c>
      <c r="J6" s="0" t="n">
        <f aca="false">I6*(1+J5/100)</f>
        <v>71374.9155143567</v>
      </c>
      <c r="K6" s="0" t="n">
        <f aca="false">J6*(1+K5/100)</f>
        <v>73159.2884022157</v>
      </c>
      <c r="L6" s="0" t="n">
        <f aca="false">K6*(1+L5/100)</f>
        <v>74988.270612271</v>
      </c>
    </row>
    <row r="7" customFormat="false" ht="15" hidden="false" customHeight="false" outlineLevel="0" collapsed="false">
      <c r="A7" s="0" t="s">
        <v>108</v>
      </c>
      <c r="C7" s="4" t="n">
        <f aca="false">Assumptions!C28</f>
        <v>33.8</v>
      </c>
      <c r="D7" s="4" t="n">
        <f aca="false">Assumptions!D28</f>
        <v>34.5</v>
      </c>
      <c r="E7" s="4" t="n">
        <f aca="false">Assumptions!E28</f>
        <v>35</v>
      </c>
      <c r="F7" s="4" t="n">
        <f aca="false">Assumptions!F28</f>
        <v>35.2</v>
      </c>
      <c r="G7" s="4" t="n">
        <f aca="false">Assumptions!G28</f>
        <v>35.2</v>
      </c>
      <c r="H7" s="4" t="n">
        <f aca="false">Assumptions!H28</f>
        <v>35.2</v>
      </c>
      <c r="I7" s="4" t="n">
        <f aca="false">Assumptions!I28</f>
        <v>35</v>
      </c>
      <c r="J7" s="4" t="n">
        <f aca="false">Assumptions!J28</f>
        <v>35</v>
      </c>
      <c r="K7" s="4" t="n">
        <f aca="false">Assumptions!K28</f>
        <v>35</v>
      </c>
      <c r="L7" s="4" t="n">
        <f aca="false">Assumptions!L28</f>
        <v>35</v>
      </c>
    </row>
    <row r="8" customFormat="false" ht="15" hidden="false" customHeight="false" outlineLevel="0" collapsed="false">
      <c r="A8" s="0" t="s">
        <v>43</v>
      </c>
      <c r="C8" s="0" t="n">
        <f aca="false">C6*C7/100</f>
        <v>19333.6</v>
      </c>
      <c r="D8" s="0" t="n">
        <f aca="false">D6*D7/100</f>
        <v>20523.36</v>
      </c>
      <c r="E8" s="0" t="n">
        <f aca="false">E6*E7/100</f>
        <v>21549.528</v>
      </c>
      <c r="F8" s="0" t="n">
        <f aca="false">F6*F7/100</f>
        <v>22431.2115456</v>
      </c>
      <c r="G8" s="0" t="n">
        <f aca="false">G6*G7/100</f>
        <v>23104.147891968</v>
      </c>
      <c r="H8" s="0" t="n">
        <f aca="false">H6*H7/100</f>
        <v>23797.272328727</v>
      </c>
      <c r="I8" s="0" t="n">
        <f aca="false">I6*I7/100</f>
        <v>24371.922370756</v>
      </c>
      <c r="J8" s="0" t="n">
        <f aca="false">J6*J7/100</f>
        <v>24981.2204300249</v>
      </c>
      <c r="K8" s="0" t="n">
        <f aca="false">K6*K7/100</f>
        <v>25605.7509407755</v>
      </c>
      <c r="L8" s="0" t="n">
        <f aca="false">L6*L7/100</f>
        <v>26245.8947142949</v>
      </c>
    </row>
    <row r="9" customFormat="false" ht="15" hidden="false" customHeight="false" outlineLevel="0" collapsed="false">
      <c r="A9" s="0" t="s">
        <v>109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19333.6</v>
      </c>
      <c r="D11" s="0" t="n">
        <f aca="false">D8+D10+D24</f>
        <v>20523.36</v>
      </c>
      <c r="E11" s="0" t="n">
        <f aca="false">E8+E10+E24</f>
        <v>21549.528</v>
      </c>
      <c r="F11" s="0" t="n">
        <f aca="false">F8+F10+F24</f>
        <v>22431.2115456</v>
      </c>
      <c r="G11" s="0" t="n">
        <f aca="false">G8+G10+G24</f>
        <v>23104.147891968</v>
      </c>
      <c r="H11" s="0" t="n">
        <f aca="false">H8+H10+H24</f>
        <v>23797.272328727</v>
      </c>
      <c r="I11" s="0" t="n">
        <f aca="false">I8+I10+I24</f>
        <v>24371.922370756</v>
      </c>
      <c r="J11" s="0" t="n">
        <f aca="false">J8+J10+J24</f>
        <v>24981.2204300249</v>
      </c>
      <c r="K11" s="0" t="n">
        <f aca="false">K8+K10+K24</f>
        <v>25605.7509407755</v>
      </c>
      <c r="L11" s="0" t="n">
        <f aca="false">L8+L10+L24</f>
        <v>26245.8947142949</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19333.6</v>
      </c>
      <c r="D13" s="0" t="n">
        <f aca="false">D11+D12</f>
        <v>20523.36</v>
      </c>
      <c r="E13" s="0" t="n">
        <f aca="false">E11+E12</f>
        <v>21549.528</v>
      </c>
      <c r="F13" s="0" t="n">
        <f aca="false">F11+F12</f>
        <v>22431.2115456</v>
      </c>
      <c r="G13" s="0" t="n">
        <f aca="false">G11+G12</f>
        <v>23104.147891968</v>
      </c>
      <c r="H13" s="0" t="n">
        <f aca="false">H11+H12</f>
        <v>23797.272328727</v>
      </c>
      <c r="I13" s="0" t="n">
        <f aca="false">I11+I12</f>
        <v>24371.922370756</v>
      </c>
      <c r="J13" s="0" t="n">
        <f aca="false">J11+J12</f>
        <v>24981.2204300249</v>
      </c>
      <c r="K13" s="0" t="n">
        <f aca="false">K11+K12</f>
        <v>25605.7509407755</v>
      </c>
      <c r="L13" s="0" t="n">
        <f aca="false">L11+L12</f>
        <v>26245.8947142949</v>
      </c>
    </row>
    <row r="14" customFormat="false" ht="15" hidden="false" customHeight="false" outlineLevel="0" collapsed="false">
      <c r="A14" s="0" t="s">
        <v>113</v>
      </c>
      <c r="C14" s="4" t="n">
        <f aca="false">Assumptions!C33</f>
        <v>34</v>
      </c>
      <c r="D14" s="4" t="n">
        <f aca="false">Assumptions!D33</f>
        <v>34</v>
      </c>
      <c r="E14" s="4" t="n">
        <f aca="false">Assumptions!E33</f>
        <v>34</v>
      </c>
      <c r="F14" s="4" t="n">
        <f aca="false">Assumptions!F33</f>
        <v>34</v>
      </c>
      <c r="G14" s="4" t="n">
        <f aca="false">Assumptions!G33</f>
        <v>34</v>
      </c>
      <c r="H14" s="4" t="n">
        <f aca="false">Assumptions!H33</f>
        <v>34</v>
      </c>
      <c r="I14" s="4" t="n">
        <f aca="false">Assumptions!I33</f>
        <v>34</v>
      </c>
      <c r="J14" s="4" t="n">
        <f aca="false">Assumptions!J33</f>
        <v>34</v>
      </c>
      <c r="K14" s="4" t="n">
        <f aca="false">Assumptions!K33</f>
        <v>34</v>
      </c>
      <c r="L14" s="4" t="n">
        <f aca="false">Assumptions!L33</f>
        <v>34</v>
      </c>
    </row>
    <row r="15" customFormat="false" ht="15" hidden="false" customHeight="false" outlineLevel="0" collapsed="false">
      <c r="A15" s="0" t="s">
        <v>128</v>
      </c>
      <c r="C15" s="0" t="n">
        <f aca="false">C13-MAX(0,C13)*C14/100</f>
        <v>12760.176</v>
      </c>
      <c r="D15" s="0" t="n">
        <f aca="false">D13-MAX(0,D13)*D14/100</f>
        <v>13545.4176</v>
      </c>
      <c r="E15" s="0" t="n">
        <f aca="false">E13-MAX(0,E13)*E14/100</f>
        <v>14222.68848</v>
      </c>
      <c r="F15" s="0" t="n">
        <f aca="false">F13-MAX(0,F13)*F14/100</f>
        <v>14804.599620096</v>
      </c>
      <c r="G15" s="0" t="n">
        <f aca="false">G13-MAX(0,G13)*G14/100</f>
        <v>15248.7376086989</v>
      </c>
      <c r="H15" s="0" t="n">
        <f aca="false">H13-MAX(0,H13)*H14/100</f>
        <v>15706.1997369598</v>
      </c>
      <c r="I15" s="0" t="n">
        <f aca="false">I13-MAX(0,I13)*I14/100</f>
        <v>16085.4687646989</v>
      </c>
      <c r="J15" s="0" t="n">
        <f aca="false">J13-MAX(0,J13)*J14/100</f>
        <v>16487.6054838164</v>
      </c>
      <c r="K15" s="0" t="n">
        <f aca="false">K13-MAX(0,K13)*K14/100</f>
        <v>16899.7956209118</v>
      </c>
      <c r="L15" s="0" t="n">
        <f aca="false">L13-MAX(0,L13)*L14/100</f>
        <v>17322.2905114346</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-4290</v>
      </c>
      <c r="D17" s="4" t="n">
        <f aca="false">-D6*Assumptions!D32/100</f>
        <v>-4461.6</v>
      </c>
      <c r="E17" s="4" t="n">
        <f aca="false">-E6*Assumptions!E32/100</f>
        <v>-2955.36384</v>
      </c>
      <c r="F17" s="4" t="n">
        <f aca="false">-F6*Assumptions!F32/100</f>
        <v>-2867.626476</v>
      </c>
      <c r="G17" s="4" t="n">
        <f aca="false">-G6*Assumptions!G32/100</f>
        <v>-2494.197783792</v>
      </c>
      <c r="H17" s="4" t="n">
        <f aca="false">-H6*Assumptions!H32/100</f>
        <v>-2433.81194271072</v>
      </c>
      <c r="I17" s="4" t="n">
        <f aca="false">-I6*Assumptions!I32/100</f>
        <v>-2506.82630099204</v>
      </c>
      <c r="J17" s="4" t="n">
        <f aca="false">-J6*Assumptions!J32/100</f>
        <v>-3140.4962826317</v>
      </c>
      <c r="K17" s="4" t="n">
        <f aca="false">-K6*Assumptions!K32/100</f>
        <v>-3219.00868969749</v>
      </c>
      <c r="L17" s="4" t="n">
        <f aca="false">-L6*Assumptions!L32/100</f>
        <v>-3299.48390693993</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8470.176</v>
      </c>
      <c r="D19" s="0" t="n">
        <f aca="false">D15+D16+D17+D18</f>
        <v>9083.8176</v>
      </c>
      <c r="E19" s="0" t="n">
        <f aca="false">E15+E16+E17+E18</f>
        <v>11267.32464</v>
      </c>
      <c r="F19" s="0" t="n">
        <f aca="false">F15+F16+F17+F18</f>
        <v>11936.973144096</v>
      </c>
      <c r="G19" s="0" t="n">
        <f aca="false">G15+G16+G17+G18</f>
        <v>12754.5398249069</v>
      </c>
      <c r="H19" s="0" t="n">
        <f aca="false">H15+H16+H17+H18</f>
        <v>13272.3877942491</v>
      </c>
      <c r="I19" s="0" t="n">
        <f aca="false">I15+I16+I17+I18</f>
        <v>13578.6424637069</v>
      </c>
      <c r="J19" s="0" t="n">
        <f aca="false">J15+J16+J17+J18</f>
        <v>13347.1092011847</v>
      </c>
      <c r="K19" s="0" t="n">
        <f aca="false">K15+K16+K17+K18</f>
        <v>13680.7869312143</v>
      </c>
      <c r="L19" s="0" t="n">
        <f aca="false">L15+L16+L17+L18</f>
        <v>14022.8066044947</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7700.16</v>
      </c>
      <c r="D21" s="0" t="n">
        <f aca="false">D19*D20</f>
        <v>7507.28727272727</v>
      </c>
      <c r="E21" s="0" t="n">
        <f aca="false">E19*E20</f>
        <v>8465.30776859504</v>
      </c>
      <c r="F21" s="0" t="n">
        <f aca="false">F19*F20</f>
        <v>8153.11327374906</v>
      </c>
      <c r="G21" s="0" t="n">
        <f aca="false">G19*G20</f>
        <v>7919.56574309186</v>
      </c>
      <c r="H21" s="0" t="n">
        <f aca="false">H19*H20</f>
        <v>7491.91689941759</v>
      </c>
      <c r="I21" s="0" t="n">
        <f aca="false">I19*I20</f>
        <v>6967.99061480339</v>
      </c>
      <c r="J21" s="0" t="n">
        <f aca="false">J19*J20</f>
        <v>6226.5249468179</v>
      </c>
      <c r="K21" s="0" t="n">
        <f aca="false">K19*K20</f>
        <v>5801.98915498941</v>
      </c>
      <c r="L21" s="0" t="n">
        <f aca="false">L19*L20</f>
        <v>5406.39898533104</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10</v>
      </c>
    </row>
    <row r="28" customFormat="false" ht="15" hidden="false" customHeight="false" outlineLevel="0" collapsed="false">
      <c r="A28" s="0" t="s">
        <v>115</v>
      </c>
      <c r="B28" s="4" t="n">
        <f aca="false">Assumptions!$B$35</f>
        <v>2.5</v>
      </c>
    </row>
    <row r="29" customFormat="false" ht="15" hidden="false" customHeight="false" outlineLevel="0" collapsed="false">
      <c r="A29" s="0" t="s">
        <v>116</v>
      </c>
      <c r="B29" s="4" t="n">
        <f aca="false">Assumptions!$B$36</f>
        <v>15</v>
      </c>
    </row>
    <row r="30" customFormat="false" ht="15" hidden="false" customHeight="false" outlineLevel="0" collapsed="false">
      <c r="A30" s="0" t="s">
        <v>137</v>
      </c>
      <c r="B30" s="0" t="n">
        <f aca="false">SUM(C21:L21)</f>
        <v>71640.2546595226</v>
      </c>
    </row>
    <row r="31" customFormat="false" ht="15" hidden="false" customHeight="false" outlineLevel="0" collapsed="false">
      <c r="A31" s="0" t="s">
        <v>138</v>
      </c>
      <c r="B31" s="0" t="n">
        <f aca="false">L19</f>
        <v>14022.8066044947</v>
      </c>
    </row>
    <row r="32" customFormat="false" ht="15" hidden="false" customHeight="false" outlineLevel="0" collapsed="false">
      <c r="A32" s="0" t="s">
        <v>139</v>
      </c>
      <c r="B32" s="0" t="n">
        <f aca="false">IF(B27&gt;B28,B31*(1+B28/100)/((B27-B28)/100),B31*B29)</f>
        <v>191645.023594761</v>
      </c>
    </row>
    <row r="33" customFormat="false" ht="15" hidden="false" customHeight="false" outlineLevel="0" collapsed="false">
      <c r="A33" s="0" t="s">
        <v>140</v>
      </c>
      <c r="B33" s="0" t="n">
        <f aca="false">B31*B29</f>
        <v>210342.09906742</v>
      </c>
    </row>
    <row r="34" customFormat="false" ht="15" hidden="false" customHeight="false" outlineLevel="0" collapsed="false">
      <c r="A34" s="0" t="s">
        <v>141</v>
      </c>
      <c r="B34" s="0" t="n">
        <f aca="false">MAX(0,MIN(B32,B33))</f>
        <v>191645.023594761</v>
      </c>
    </row>
    <row r="35" customFormat="false" ht="15" hidden="false" customHeight="false" outlineLevel="0" collapsed="false">
      <c r="A35" s="0" t="s">
        <v>142</v>
      </c>
      <c r="B35" s="0" t="n">
        <f aca="false">B34/(1+B27/100)^L4</f>
        <v>73887.4527995242</v>
      </c>
    </row>
    <row r="36" customFormat="false" ht="15" hidden="false" customHeight="false" outlineLevel="0" collapsed="false">
      <c r="A36" s="0" t="s">
        <v>143</v>
      </c>
      <c r="B36" s="0" t="n">
        <f aca="false">B30+B35</f>
        <v>145527.707459047</v>
      </c>
    </row>
    <row r="37" customFormat="false" ht="15" hidden="false" customHeight="false" outlineLevel="0" collapsed="false">
      <c r="A37" s="0" t="s">
        <v>144</v>
      </c>
      <c r="B37" s="0" t="n">
        <f aca="false">B36+Assumptions!$B$5-Assumptions!$B$4</f>
        <v>145527.707459047</v>
      </c>
    </row>
    <row r="38" customFormat="false" ht="15" hidden="false" customHeight="false" outlineLevel="0" collapsed="false">
      <c r="A38" s="0" t="s">
        <v>145</v>
      </c>
      <c r="B38" s="0" t="n">
        <f aca="false">B37/Assumptions!$B$3*Assumptions!$B$10</f>
        <v>132.297915871861</v>
      </c>
    </row>
    <row r="39" customFormat="false" ht="15" hidden="false" customHeight="false" outlineLevel="0" collapsed="false">
      <c r="A39" s="0" t="s">
        <v>146</v>
      </c>
      <c r="B39" s="4" t="n">
        <f aca="false">B38/Assumptions!$B$2-1</f>
        <v>0.584026770496416</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132.297915871861</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114987.014156856</v>
      </c>
    </row>
    <row r="47" customFormat="false" ht="15" hidden="false" customHeight="false" outlineLevel="0" collapsed="false">
      <c r="A47" s="0" t="s">
        <v>151</v>
      </c>
      <c r="B47" s="0" t="n">
        <f aca="false">(SUMPRODUCT(C19:L19/(1+B45/100)^C4:L4)+B46/(1+B45/100)^L4+Assumptions!$B$5-Assumptions!$B$4)/Assumptions!$B$3*Assumptions!$B$10</f>
        <v>77.9935181826531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5.5</v>
      </c>
      <c r="D5" s="4" t="n">
        <f aca="false">Assumptions!D41</f>
        <v>5</v>
      </c>
      <c r="E5" s="4" t="n">
        <f aca="false">Assumptions!E41</f>
        <v>4.5</v>
      </c>
      <c r="F5" s="4" t="n">
        <f aca="false">Assumptions!F41</f>
        <v>4</v>
      </c>
      <c r="G5" s="4" t="n">
        <f aca="false">Assumptions!G41</f>
        <v>4</v>
      </c>
      <c r="H5" s="4" t="n">
        <f aca="false">Assumptions!H41</f>
        <v>3.5</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55000</v>
      </c>
      <c r="C6" s="0" t="n">
        <f aca="false">B6*(1+C5/100)</f>
        <v>58025</v>
      </c>
      <c r="D6" s="0" t="n">
        <f aca="false">C6*(1+D5/100)</f>
        <v>60926.25</v>
      </c>
      <c r="E6" s="0" t="n">
        <f aca="false">D6*(1+E5/100)</f>
        <v>63667.93125</v>
      </c>
      <c r="F6" s="0" t="n">
        <f aca="false">E6*(1+F5/100)</f>
        <v>66214.6485</v>
      </c>
      <c r="G6" s="0" t="n">
        <f aca="false">F6*(1+G5/100)</f>
        <v>68863.23444</v>
      </c>
      <c r="H6" s="0" t="n">
        <f aca="false">G6*(1+H5/100)</f>
        <v>71273.4476454</v>
      </c>
      <c r="I6" s="0" t="n">
        <f aca="false">H6*(1+I5/100)</f>
        <v>73768.018312989</v>
      </c>
      <c r="J6" s="0" t="n">
        <f aca="false">I6*(1+J5/100)</f>
        <v>75981.0588623787</v>
      </c>
      <c r="K6" s="0" t="n">
        <f aca="false">J6*(1+K5/100)</f>
        <v>78260.49062825</v>
      </c>
      <c r="L6" s="0" t="n">
        <f aca="false">K6*(1+L5/100)</f>
        <v>80608.3053470975</v>
      </c>
    </row>
    <row r="7" customFormat="false" ht="15" hidden="false" customHeight="false" outlineLevel="0" collapsed="false">
      <c r="A7" s="0" t="s">
        <v>108</v>
      </c>
      <c r="C7" s="4" t="n">
        <f aca="false">Assumptions!C42</f>
        <v>35</v>
      </c>
      <c r="D7" s="4" t="n">
        <f aca="false">Assumptions!D42</f>
        <v>36.5</v>
      </c>
      <c r="E7" s="4" t="n">
        <f aca="false">Assumptions!E42</f>
        <v>38</v>
      </c>
      <c r="F7" s="4" t="n">
        <f aca="false">Assumptions!F42</f>
        <v>38.5</v>
      </c>
      <c r="G7" s="4" t="n">
        <f aca="false">Assumptions!G42</f>
        <v>38.5</v>
      </c>
      <c r="H7" s="4" t="n">
        <f aca="false">Assumptions!H42</f>
        <v>38.5</v>
      </c>
      <c r="I7" s="4" t="n">
        <f aca="false">Assumptions!I42</f>
        <v>38.5</v>
      </c>
      <c r="J7" s="4" t="n">
        <f aca="false">Assumptions!J42</f>
        <v>38.5</v>
      </c>
      <c r="K7" s="4" t="n">
        <f aca="false">Assumptions!K42</f>
        <v>38.5</v>
      </c>
      <c r="L7" s="4" t="n">
        <f aca="false">Assumptions!L42</f>
        <v>38.5</v>
      </c>
    </row>
    <row r="8" customFormat="false" ht="15" hidden="false" customHeight="false" outlineLevel="0" collapsed="false">
      <c r="A8" s="0" t="s">
        <v>43</v>
      </c>
      <c r="C8" s="0" t="n">
        <f aca="false">C6*C7/100</f>
        <v>20308.75</v>
      </c>
      <c r="D8" s="0" t="n">
        <f aca="false">D6*D7/100</f>
        <v>22238.08125</v>
      </c>
      <c r="E8" s="0" t="n">
        <f aca="false">E6*E7/100</f>
        <v>24193.813875</v>
      </c>
      <c r="F8" s="0" t="n">
        <f aca="false">F6*F7/100</f>
        <v>25492.6396725</v>
      </c>
      <c r="G8" s="0" t="n">
        <f aca="false">G6*G7/100</f>
        <v>26512.3452594</v>
      </c>
      <c r="H8" s="0" t="n">
        <f aca="false">H6*H7/100</f>
        <v>27440.277343479</v>
      </c>
      <c r="I8" s="0" t="n">
        <f aca="false">I6*I7/100</f>
        <v>28400.6870505008</v>
      </c>
      <c r="J8" s="0" t="n">
        <f aca="false">J6*J7/100</f>
        <v>29252.7076620158</v>
      </c>
      <c r="K8" s="0" t="n">
        <f aca="false">K6*K7/100</f>
        <v>30130.2888918763</v>
      </c>
      <c r="L8" s="0" t="n">
        <f aca="false">L6*L7/100</f>
        <v>31034.1975586325</v>
      </c>
    </row>
    <row r="9" customFormat="false" ht="15" hidden="false" customHeight="false" outlineLevel="0" collapsed="false">
      <c r="A9" s="0" t="s">
        <v>109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20308.75</v>
      </c>
      <c r="D11" s="0" t="n">
        <f aca="false">D8+D10+D24</f>
        <v>22238.08125</v>
      </c>
      <c r="E11" s="0" t="n">
        <f aca="false">E8+E10+E24</f>
        <v>24193.813875</v>
      </c>
      <c r="F11" s="0" t="n">
        <f aca="false">F8+F10+F24</f>
        <v>25492.6396725</v>
      </c>
      <c r="G11" s="0" t="n">
        <f aca="false">G8+G10+G24</f>
        <v>26512.3452594</v>
      </c>
      <c r="H11" s="0" t="n">
        <f aca="false">H8+H10+H24</f>
        <v>27440.277343479</v>
      </c>
      <c r="I11" s="0" t="n">
        <f aca="false">I8+I10+I24</f>
        <v>28400.6870505008</v>
      </c>
      <c r="J11" s="0" t="n">
        <f aca="false">J8+J10+J24</f>
        <v>29252.7076620158</v>
      </c>
      <c r="K11" s="0" t="n">
        <f aca="false">K8+K10+K24</f>
        <v>30130.2888918763</v>
      </c>
      <c r="L11" s="0" t="n">
        <f aca="false">L8+L10+L24</f>
        <v>31034.1975586325</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20308.75</v>
      </c>
      <c r="D13" s="0" t="n">
        <f aca="false">D11+D12</f>
        <v>22238.08125</v>
      </c>
      <c r="E13" s="0" t="n">
        <f aca="false">E11+E12</f>
        <v>24193.813875</v>
      </c>
      <c r="F13" s="0" t="n">
        <f aca="false">F11+F12</f>
        <v>25492.6396725</v>
      </c>
      <c r="G13" s="0" t="n">
        <f aca="false">G11+G12</f>
        <v>26512.3452594</v>
      </c>
      <c r="H13" s="0" t="n">
        <f aca="false">H11+H12</f>
        <v>27440.277343479</v>
      </c>
      <c r="I13" s="0" t="n">
        <f aca="false">I11+I12</f>
        <v>28400.6870505008</v>
      </c>
      <c r="J13" s="0" t="n">
        <f aca="false">J11+J12</f>
        <v>29252.7076620158</v>
      </c>
      <c r="K13" s="0" t="n">
        <f aca="false">K11+K12</f>
        <v>30130.2888918763</v>
      </c>
      <c r="L13" s="0" t="n">
        <f aca="false">L11+L12</f>
        <v>31034.1975586325</v>
      </c>
    </row>
    <row r="14" customFormat="false" ht="15" hidden="false" customHeight="false" outlineLevel="0" collapsed="false">
      <c r="A14" s="0" t="s">
        <v>113</v>
      </c>
      <c r="C14" s="4" t="n">
        <f aca="false">Assumptions!C47</f>
        <v>34</v>
      </c>
      <c r="D14" s="4" t="n">
        <f aca="false">Assumptions!D47</f>
        <v>34</v>
      </c>
      <c r="E14" s="4" t="n">
        <f aca="false">Assumptions!E47</f>
        <v>34</v>
      </c>
      <c r="F14" s="4" t="n">
        <f aca="false">Assumptions!F47</f>
        <v>34</v>
      </c>
      <c r="G14" s="4" t="n">
        <f aca="false">Assumptions!G47</f>
        <v>34</v>
      </c>
      <c r="H14" s="4" t="n">
        <f aca="false">Assumptions!H47</f>
        <v>34</v>
      </c>
      <c r="I14" s="4" t="n">
        <f aca="false">Assumptions!I47</f>
        <v>34</v>
      </c>
      <c r="J14" s="4" t="n">
        <f aca="false">Assumptions!J47</f>
        <v>34</v>
      </c>
      <c r="K14" s="4" t="n">
        <f aca="false">Assumptions!K47</f>
        <v>34</v>
      </c>
      <c r="L14" s="4" t="n">
        <f aca="false">Assumptions!L47</f>
        <v>34</v>
      </c>
    </row>
    <row r="15" customFormat="false" ht="15" hidden="false" customHeight="false" outlineLevel="0" collapsed="false">
      <c r="A15" s="0" t="s">
        <v>128</v>
      </c>
      <c r="C15" s="0" t="n">
        <f aca="false">C13-MAX(0,C13)*C14/100</f>
        <v>13403.775</v>
      </c>
      <c r="D15" s="0" t="n">
        <f aca="false">D13-MAX(0,D13)*D14/100</f>
        <v>14677.133625</v>
      </c>
      <c r="E15" s="0" t="n">
        <f aca="false">E13-MAX(0,E13)*E14/100</f>
        <v>15967.9171575</v>
      </c>
      <c r="F15" s="0" t="n">
        <f aca="false">F13-MAX(0,F13)*F14/100</f>
        <v>16825.14218385</v>
      </c>
      <c r="G15" s="0" t="n">
        <f aca="false">G13-MAX(0,G13)*G14/100</f>
        <v>17498.147871204</v>
      </c>
      <c r="H15" s="0" t="n">
        <f aca="false">H13-MAX(0,H13)*H14/100</f>
        <v>18110.5830466961</v>
      </c>
      <c r="I15" s="0" t="n">
        <f aca="false">I13-MAX(0,I13)*I14/100</f>
        <v>18744.4534533305</v>
      </c>
      <c r="J15" s="0" t="n">
        <f aca="false">J13-MAX(0,J13)*J14/100</f>
        <v>19306.7870569304</v>
      </c>
      <c r="K15" s="0" t="n">
        <f aca="false">K13-MAX(0,K13)*K14/100</f>
        <v>19885.9906686383</v>
      </c>
      <c r="L15" s="0" t="n">
        <f aca="false">L13-MAX(0,L13)*L14/100</f>
        <v>20482.5703886975</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-4816.075</v>
      </c>
      <c r="D17" s="4" t="n">
        <f aca="false">-D6*Assumptions!D46/100</f>
        <v>-4691.32125</v>
      </c>
      <c r="E17" s="4" t="n">
        <f aca="false">-E6*Assumptions!E46/100</f>
        <v>-3501.73621875</v>
      </c>
      <c r="F17" s="4" t="n">
        <f aca="false">-F6*Assumptions!F46/100</f>
        <v>-3045.873831</v>
      </c>
      <c r="G17" s="4" t="n">
        <f aca="false">-G6*Assumptions!G46/100</f>
        <v>-3098.8455498</v>
      </c>
      <c r="H17" s="4" t="n">
        <f aca="false">-H6*Assumptions!H46/100</f>
        <v>-2565.8441152344</v>
      </c>
      <c r="I17" s="4" t="n">
        <f aca="false">-I6*Assumptions!I46/100</f>
        <v>-2655.6486592676</v>
      </c>
      <c r="J17" s="4" t="n">
        <f aca="false">-J6*Assumptions!J46/100</f>
        <v>-3723.07188425655</v>
      </c>
      <c r="K17" s="4" t="n">
        <f aca="false">-K6*Assumptions!K46/100</f>
        <v>-3834.76404078425</v>
      </c>
      <c r="L17" s="4" t="n">
        <f aca="false">-L6*Assumptions!L46/100</f>
        <v>-3949.80696200778</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8587.7</v>
      </c>
      <c r="D19" s="0" t="n">
        <f aca="false">D15+D16+D17+D18</f>
        <v>9985.812375</v>
      </c>
      <c r="E19" s="0" t="n">
        <f aca="false">E15+E16+E17+E18</f>
        <v>12466.18093875</v>
      </c>
      <c r="F19" s="0" t="n">
        <f aca="false">F15+F16+F17+F18</f>
        <v>13779.26835285</v>
      </c>
      <c r="G19" s="0" t="n">
        <f aca="false">G15+G16+G17+G18</f>
        <v>14399.302321404</v>
      </c>
      <c r="H19" s="0" t="n">
        <f aca="false">H15+H16+H17+H18</f>
        <v>15544.7389314617</v>
      </c>
      <c r="I19" s="0" t="n">
        <f aca="false">I15+I16+I17+I18</f>
        <v>16088.8047940629</v>
      </c>
      <c r="J19" s="0" t="n">
        <f aca="false">J15+J16+J17+J18</f>
        <v>15583.7151726739</v>
      </c>
      <c r="K19" s="0" t="n">
        <f aca="false">K15+K16+K17+K18</f>
        <v>16051.2266278541</v>
      </c>
      <c r="L19" s="0" t="n">
        <f aca="false">L15+L16+L17+L18</f>
        <v>16532.7634266897</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7807</v>
      </c>
      <c r="D21" s="0" t="n">
        <f aca="false">D19*D20</f>
        <v>8252.7375</v>
      </c>
      <c r="E21" s="0" t="n">
        <f aca="false">E19*E20</f>
        <v>9366.02625</v>
      </c>
      <c r="F21" s="0" t="n">
        <f aca="false">F19*F20</f>
        <v>9411.42569008264</v>
      </c>
      <c r="G21" s="0" t="n">
        <f aca="false">G19*G20</f>
        <v>8940.83384853493</v>
      </c>
      <c r="H21" s="0" t="n">
        <f aca="false">H19*H20</f>
        <v>8774.59987630216</v>
      </c>
      <c r="I21" s="0" t="n">
        <f aca="false">I19*I20</f>
        <v>8256.10079270249</v>
      </c>
      <c r="J21" s="0" t="n">
        <f aca="false">J19*J20</f>
        <v>7269.91813913875</v>
      </c>
      <c r="K21" s="0" t="n">
        <f aca="false">K19*K20</f>
        <v>6807.28698482992</v>
      </c>
      <c r="L21" s="0" t="n">
        <f aca="false">L19*L20</f>
        <v>6374.0959948862</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10</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15</v>
      </c>
    </row>
    <row r="30" customFormat="false" ht="15" hidden="false" customHeight="false" outlineLevel="0" collapsed="false">
      <c r="A30" s="0" t="s">
        <v>137</v>
      </c>
      <c r="B30" s="0" t="n">
        <f aca="false">SUM(C21:L21)</f>
        <v>81260.0250764771</v>
      </c>
    </row>
    <row r="31" customFormat="false" ht="15" hidden="false" customHeight="false" outlineLevel="0" collapsed="false">
      <c r="A31" s="0" t="s">
        <v>138</v>
      </c>
      <c r="B31" s="0" t="n">
        <f aca="false">L19</f>
        <v>16532.7634266897</v>
      </c>
    </row>
    <row r="32" customFormat="false" ht="15" hidden="false" customHeight="false" outlineLevel="0" collapsed="false">
      <c r="A32" s="0" t="s">
        <v>139</v>
      </c>
      <c r="B32" s="0" t="n">
        <f aca="false">IF(B27&gt;B28,B31*(1+B28/100)/((B27-B28)/100),B31*B29)</f>
        <v>243267.804707006</v>
      </c>
    </row>
    <row r="33" customFormat="false" ht="15" hidden="false" customHeight="false" outlineLevel="0" collapsed="false">
      <c r="A33" s="0" t="s">
        <v>140</v>
      </c>
      <c r="B33" s="0" t="n">
        <f aca="false">B31*B29</f>
        <v>247991.451400346</v>
      </c>
    </row>
    <row r="34" customFormat="false" ht="15" hidden="false" customHeight="false" outlineLevel="0" collapsed="false">
      <c r="A34" s="0" t="s">
        <v>141</v>
      </c>
      <c r="B34" s="0" t="n">
        <f aca="false">MAX(0,MIN(B32,B33))</f>
        <v>243267.804707006</v>
      </c>
    </row>
    <row r="35" customFormat="false" ht="15" hidden="false" customHeight="false" outlineLevel="0" collapsed="false">
      <c r="A35" s="0" t="s">
        <v>142</v>
      </c>
      <c r="B35" s="0" t="n">
        <f aca="false">B34/(1+B27/100)^L4</f>
        <v>93790.2696390398</v>
      </c>
    </row>
    <row r="36" customFormat="false" ht="15" hidden="false" customHeight="false" outlineLevel="0" collapsed="false">
      <c r="A36" s="0" t="s">
        <v>143</v>
      </c>
      <c r="B36" s="0" t="n">
        <f aca="false">B30+B35</f>
        <v>175050.294715517</v>
      </c>
    </row>
    <row r="37" customFormat="false" ht="15" hidden="false" customHeight="false" outlineLevel="0" collapsed="false">
      <c r="A37" s="0" t="s">
        <v>144</v>
      </c>
      <c r="B37" s="0" t="n">
        <f aca="false">B36+Assumptions!$B$5-Assumptions!$B$4</f>
        <v>175050.294715517</v>
      </c>
    </row>
    <row r="38" customFormat="false" ht="15" hidden="false" customHeight="false" outlineLevel="0" collapsed="false">
      <c r="A38" s="0" t="s">
        <v>145</v>
      </c>
      <c r="B38" s="0" t="n">
        <f aca="false">B37/Assumptions!$B$3*Assumptions!$B$10</f>
        <v>159.136631559561</v>
      </c>
    </row>
    <row r="39" customFormat="false" ht="15" hidden="false" customHeight="false" outlineLevel="0" collapsed="false">
      <c r="A39" s="0" t="s">
        <v>146</v>
      </c>
      <c r="B39" s="4" t="n">
        <f aca="false">B38/Assumptions!$B$2-1</f>
        <v>0.90537154645068</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159.136631559561</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141906.21941242</v>
      </c>
    </row>
    <row r="47" customFormat="false" ht="15" hidden="false" customHeight="false" outlineLevel="0" collapsed="false">
      <c r="A47" s="0" t="s">
        <v>151</v>
      </c>
      <c r="B47" s="0" t="n">
        <f aca="false">(SUMPRODUCT(C19:L19/(1+B45/100)^C4:L4)+B46/(1+B45/100)^L4+Assumptions!$B$5-Assumptions!$B$4)/Assumptions!$B$3*Assumptions!$B$10</f>
        <v>90.7653864144673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96.3292765931289</v>
      </c>
      <c r="C4" s="0" t="n">
        <f aca="false">B4/Assumptions!$B$2-1</f>
        <v>0.153367775300872</v>
      </c>
      <c r="D4" s="4" t="n">
        <f aca="false">Assumptions!$B$24</f>
        <v>0.3</v>
      </c>
      <c r="E4" s="4" t="n">
        <f aca="false">DCF_Bear!$B$43</f>
        <v>96.3292765931289</v>
      </c>
      <c r="F4" s="4" t="n">
        <f aca="false">DCF_Bear!$B$47</f>
        <v>57.7533708193087</v>
      </c>
    </row>
    <row r="5" customFormat="false" ht="15" hidden="false" customHeight="false" outlineLevel="0" collapsed="false">
      <c r="A5" s="0" t="s">
        <v>160</v>
      </c>
      <c r="B5" s="4" t="n">
        <f aca="false">DCF_Base!$B$38</f>
        <v>132.297915871861</v>
      </c>
      <c r="C5" s="0" t="n">
        <f aca="false">B5/Assumptions!$B$2-1</f>
        <v>0.584026770496416</v>
      </c>
      <c r="D5" s="4" t="n">
        <f aca="false">Assumptions!$B$38</f>
        <v>0.5</v>
      </c>
      <c r="E5" s="4" t="n">
        <f aca="false">DCF_Base!$B$43</f>
        <v>132.297915871861</v>
      </c>
      <c r="F5" s="4" t="n">
        <f aca="false">DCF_Base!$B$47</f>
        <v>77.9935181826531</v>
      </c>
    </row>
    <row r="6" customFormat="false" ht="15" hidden="false" customHeight="false" outlineLevel="0" collapsed="false">
      <c r="A6" s="0" t="s">
        <v>161</v>
      </c>
      <c r="B6" s="4" t="n">
        <f aca="false">DCF_Bull!$B$38</f>
        <v>159.136631559561</v>
      </c>
      <c r="C6" s="0" t="n">
        <f aca="false">B6/Assumptions!$B$2-1</f>
        <v>0.90537154645068</v>
      </c>
      <c r="D6" s="4" t="n">
        <f aca="false">Assumptions!$B$52</f>
        <v>0.2</v>
      </c>
      <c r="E6" s="4" t="n">
        <f aca="false">DCF_Bull!$B$43</f>
        <v>159.136631559561</v>
      </c>
      <c r="F6" s="4" t="n">
        <f aca="false">DCF_Bull!$B$47</f>
        <v>90.7653864144673</v>
      </c>
    </row>
    <row r="8" customFormat="false" ht="15" hidden="false" customHeight="false" outlineLevel="0" collapsed="false">
      <c r="A8" s="0" t="s">
        <v>162</v>
      </c>
      <c r="B8" s="0" t="n">
        <f aca="false">SUMPRODUCT(B4:B6,D4:D6)</f>
        <v>126.875067225781</v>
      </c>
    </row>
    <row r="9" customFormat="false" ht="15" hidden="false" customHeight="false" outlineLevel="0" collapsed="false">
      <c r="A9" s="0" t="s">
        <v>163</v>
      </c>
      <c r="B9" s="0" t="n">
        <f aca="false">SUMPRODUCT(E4:E6,D4:D6)</f>
        <v>126.875067225781</v>
      </c>
    </row>
    <row r="10" customFormat="false" ht="15" hidden="false" customHeight="false" outlineLevel="0" collapsed="false">
      <c r="A10" s="0" t="s">
        <v>164</v>
      </c>
      <c r="B10" s="0" t="n">
        <f aca="false">1-Assumptions!$B$2/B8</f>
        <v>0.341714634512299</v>
      </c>
    </row>
    <row r="11" customFormat="false" ht="15" hidden="false" customHeight="false" outlineLevel="0" collapsed="false">
      <c r="A11" s="0" t="s">
        <v>165</v>
      </c>
      <c r="B11" s="0" t="str">
        <f aca="false">IF(ABS(B9-B8)&gt;0.01*ABS(B8),(Assumptions!$B$2-B8)/(B9-B8)*100,"n/a")</f>
        <v>n/a</v>
      </c>
    </row>
    <row r="12" customFormat="false" ht="15" hidden="false" customHeight="false" outlineLevel="0" collapsed="false">
      <c r="A12" s="0" t="s">
        <v>166</v>
      </c>
      <c r="B12" s="0" t="n">
        <f aca="false">SUMPRODUCT(F4:F6,D4:D6)</f>
        <v>74.4758476200126</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149.069504069205</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132.297915871861</v>
      </c>
      <c r="C16" s="3" t="n">
        <v>10</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116.311811680666</v>
      </c>
      <c r="C17" s="3" t="n">
        <v>11</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103.6974614706</v>
      </c>
      <c r="C18" s="3" t="n">
        <v>12</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77.9935181826531</v>
      </c>
      <c r="C19" s="3" t="n">
        <v>15</v>
      </c>
    </row>
    <row r="21" customFormat="false" ht="15" hidden="false" customHeight="false" outlineLevel="0" collapsed="false">
      <c r="A21" s="2" t="s">
        <v>174</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160.268764917492</v>
      </c>
      <c r="C23" s="0" t="n">
        <f aca="false">(SUMPRODUCT(DCF_Base!$C$19:$L$19/(1+$A$23/100)^DCF_Base!$C$4:$L$4)+MAX(0,MIN(IF($A$23&gt;$C$22,DCF_Base!$L$19*(1+$C$22/100)/(($A$23-$C$22)/100),DCF_Base!$L$19*DCF_Base!$B$29),DCF_Base!$L$19*DCF_Base!$B$29))/(1+$A$23/100)^DCF_Base!$L$4+Assumptions!$B$5-Assumptions!$B$4)/Assumptions!$B$3*Assumptions!$B$10</f>
        <v>160.268764917492</v>
      </c>
      <c r="D23" s="0" t="n">
        <f aca="false">(SUMPRODUCT(DCF_Base!$C$19:$L$19/(1+$A$23/100)^DCF_Base!$C$4:$L$4)+MAX(0,MIN(IF($A$23&gt;$D$22,DCF_Base!$L$19*(1+$D$22/100)/(($A$23-$D$22)/100),DCF_Base!$L$19*DCF_Base!$B$29),DCF_Base!$L$19*DCF_Base!$B$29))/(1+$A$23/100)^DCF_Base!$L$4+Assumptions!$B$5-Assumptions!$B$4)/Assumptions!$B$3*Assumptions!$B$10</f>
        <v>160.268764917492</v>
      </c>
      <c r="E23" s="0" t="n">
        <f aca="false">(SUMPRODUCT(DCF_Base!$C$19:$L$19/(1+$A$23/100)^DCF_Base!$C$4:$L$4)+MAX(0,MIN(IF($A$23&gt;$E$22,DCF_Base!$L$19*(1+$E$22/100)/(($A$23-$E$22)/100),DCF_Base!$L$19*DCF_Base!$B$29),DCF_Base!$L$19*DCF_Base!$B$29))/(1+$A$23/100)^DCF_Base!$L$4+Assumptions!$B$5-Assumptions!$B$4)/Assumptions!$B$3*Assumptions!$B$10</f>
        <v>160.268764917492</v>
      </c>
      <c r="F23" s="0" t="n">
        <f aca="false">(SUMPRODUCT(DCF_Base!$C$19:$L$19/(1+$A$23/100)^DCF_Base!$C$4:$L$4)+MAX(0,MIN(IF($A$23&gt;$F$22,DCF_Base!$L$19*(1+$F$22/100)/(($A$23-$F$22)/100),DCF_Base!$L$19*DCF_Base!$B$29),DCF_Base!$L$19*DCF_Base!$B$29))/(1+$A$23/100)^DCF_Base!$L$4+Assumptions!$B$5-Assumptions!$B$4)/Assumptions!$B$3*Assumptions!$B$10</f>
        <v>160.268764917492</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141.17165733221</v>
      </c>
      <c r="C24" s="0" t="n">
        <f aca="false">(SUMPRODUCT(DCF_Base!$C$19:$L$19/(1+$A$24/100)^DCF_Base!$C$4:$L$4)+MAX(0,MIN(IF($A$24&gt;$C$22,DCF_Base!$L$19*(1+$C$22/100)/(($A$24-$C$22)/100),DCF_Base!$L$19*DCF_Base!$B$29),DCF_Base!$L$19*DCF_Base!$B$29))/(1+$A$24/100)^DCF_Base!$L$4+Assumptions!$B$5-Assumptions!$B$4)/Assumptions!$B$3*Assumptions!$B$10</f>
        <v>146.761691710992</v>
      </c>
      <c r="D24" s="0" t="n">
        <f aca="false">(SUMPRODUCT(DCF_Base!$C$19:$L$19/(1+$A$24/100)^DCF_Base!$C$4:$L$4)+MAX(0,MIN(IF($A$24&gt;$D$22,DCF_Base!$L$19*(1+$D$22/100)/(($A$24-$D$22)/100),DCF_Base!$L$19*DCF_Base!$B$29),DCF_Base!$L$19*DCF_Base!$B$29))/(1+$A$24/100)^DCF_Base!$L$4+Assumptions!$B$5-Assumptions!$B$4)/Assumptions!$B$3*Assumptions!$B$10</f>
        <v>149.069504069205</v>
      </c>
      <c r="E24" s="0" t="n">
        <f aca="false">(SUMPRODUCT(DCF_Base!$C$19:$L$19/(1+$A$24/100)^DCF_Base!$C$4:$L$4)+MAX(0,MIN(IF($A$24&gt;$E$22,DCF_Base!$L$19*(1+$E$22/100)/(($A$24-$E$22)/100),DCF_Base!$L$19*DCF_Base!$B$29),DCF_Base!$L$19*DCF_Base!$B$29))/(1+$A$24/100)^DCF_Base!$L$4+Assumptions!$B$5-Assumptions!$B$4)/Assumptions!$B$3*Assumptions!$B$10</f>
        <v>149.069504069205</v>
      </c>
      <c r="F24" s="0" t="n">
        <f aca="false">(SUMPRODUCT(DCF_Base!$C$19:$L$19/(1+$A$24/100)^DCF_Base!$C$4:$L$4)+MAX(0,MIN(IF($A$24&gt;$F$22,DCF_Base!$L$19*(1+$F$22/100)/(($A$24-$F$22)/100),DCF_Base!$L$19*DCF_Base!$B$29),DCF_Base!$L$19*DCF_Base!$B$29))/(1+$A$24/100)^DCF_Base!$L$4+Assumptions!$B$5-Assumptions!$B$4)/Assumptions!$B$3*Assumptions!$B$10</f>
        <v>149.069504069205</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123.817290012518</v>
      </c>
      <c r="C25" s="0" t="n">
        <f aca="false">(SUMPRODUCT(DCF_Base!$C$19:$L$19/(1+$A$25/100)^DCF_Base!$C$4:$L$4)+MAX(0,MIN(IF($A$25&gt;$C$22,DCF_Base!$L$19*(1+$C$22/100)/(($A$25-$C$22)/100),DCF_Base!$L$19*DCF_Base!$B$29),DCF_Base!$L$19*DCF_Base!$B$29))/(1+$A$25/100)^DCF_Base!$L$4+Assumptions!$B$5-Assumptions!$B$4)/Assumptions!$B$3*Assumptions!$B$10</f>
        <v>127.792583384085</v>
      </c>
      <c r="D25" s="0" t="n">
        <f aca="false">(SUMPRODUCT(DCF_Base!$C$19:$L$19/(1+$A$25/100)^DCF_Base!$C$4:$L$4)+MAX(0,MIN(IF($A$25&gt;$D$22,DCF_Base!$L$19*(1+$D$22/100)/(($A$25-$D$22)/100),DCF_Base!$L$19*DCF_Base!$B$29),DCF_Base!$L$19*DCF_Base!$B$29))/(1+$A$25/100)^DCF_Base!$L$4+Assumptions!$B$5-Assumptions!$B$4)/Assumptions!$B$3*Assumptions!$B$10</f>
        <v>132.297915871861</v>
      </c>
      <c r="E25" s="0" t="n">
        <f aca="false">(SUMPRODUCT(DCF_Base!$C$19:$L$19/(1+$A$25/100)^DCF_Base!$C$4:$L$4)+MAX(0,MIN(IF($A$25&gt;$E$22,DCF_Base!$L$19*(1+$E$22/100)/(($A$25-$E$22)/100),DCF_Base!$L$19*DCF_Base!$B$29),DCF_Base!$L$19*DCF_Base!$B$29))/(1+$A$25/100)^DCF_Base!$L$4+Assumptions!$B$5-Assumptions!$B$4)/Assumptions!$B$3*Assumptions!$B$10</f>
        <v>137.446867286462</v>
      </c>
      <c r="F25" s="0" t="n">
        <f aca="false">(SUMPRODUCT(DCF_Base!$C$19:$L$19/(1+$A$25/100)^DCF_Base!$C$4:$L$4)+MAX(0,MIN(IF($A$25&gt;$F$22,DCF_Base!$L$19*(1+$F$22/100)/(($A$25-$F$22)/100),DCF_Base!$L$19*DCF_Base!$B$29),DCF_Base!$L$19*DCF_Base!$B$29))/(1+$A$25/100)^DCF_Base!$L$4+Assumptions!$B$5-Assumptions!$B$4)/Assumptions!$B$3*Assumptions!$B$10</f>
        <v>138.851126763171</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110.140280617559</v>
      </c>
      <c r="C26" s="0" t="n">
        <f aca="false">(SUMPRODUCT(DCF_Base!$C$19:$L$19/(1+$A$26/100)^DCF_Base!$C$4:$L$4)+MAX(0,MIN(IF($A$26&gt;$C$22,DCF_Base!$L$19*(1+$C$22/100)/(($A$26-$C$22)/100),DCF_Base!$L$19*DCF_Base!$B$29),DCF_Base!$L$19*DCF_Base!$B$29))/(1+$A$26/100)^DCF_Base!$L$4+Assumptions!$B$5-Assumptions!$B$4)/Assumptions!$B$3*Assumptions!$B$10</f>
        <v>113.054614730693</v>
      </c>
      <c r="D26" s="0" t="n">
        <f aca="false">(SUMPRODUCT(DCF_Base!$C$19:$L$19/(1+$A$26/100)^DCF_Base!$C$4:$L$4)+MAX(0,MIN(IF($A$26&gt;$D$22,DCF_Base!$L$19*(1+$D$22/100)/(($A$26-$D$22)/100),DCF_Base!$L$19*DCF_Base!$B$29),DCF_Base!$L$19*DCF_Base!$B$29))/(1+$A$26/100)^DCF_Base!$L$4+Assumptions!$B$5-Assumptions!$B$4)/Assumptions!$B$3*Assumptions!$B$10</f>
        <v>116.311811680666</v>
      </c>
      <c r="E26" s="0" t="n">
        <f aca="false">(SUMPRODUCT(DCF_Base!$C$19:$L$19/(1+$A$26/100)^DCF_Base!$C$4:$L$4)+MAX(0,MIN(IF($A$26&gt;$E$22,DCF_Base!$L$19*(1+$E$22/100)/(($A$26-$E$22)/100),DCF_Base!$L$19*DCF_Base!$B$29),DCF_Base!$L$19*DCF_Base!$B$29))/(1+$A$26/100)^DCF_Base!$L$4+Assumptions!$B$5-Assumptions!$B$4)/Assumptions!$B$3*Assumptions!$B$10</f>
        <v>119.976158249385</v>
      </c>
      <c r="F26" s="0" t="n">
        <f aca="false">(SUMPRODUCT(DCF_Base!$C$19:$L$19/(1+$A$26/100)^DCF_Base!$C$4:$L$4)+MAX(0,MIN(IF($A$26&gt;$F$22,DCF_Base!$L$19*(1+$F$22/100)/(($A$26-$F$22)/100),DCF_Base!$L$19*DCF_Base!$B$29),DCF_Base!$L$19*DCF_Base!$B$29))/(1+$A$26/100)^DCF_Base!$L$4+Assumptions!$B$5-Assumptions!$B$4)/Assumptions!$B$3*Assumptions!$B$10</f>
        <v>124.129084360601</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99.0888812564656</v>
      </c>
      <c r="C27" s="0" t="n">
        <f aca="false">(SUMPRODUCT(DCF_Base!$C$19:$L$19/(1+$A$27/100)^DCF_Base!$C$4:$L$4)+MAX(0,MIN(IF($A$27&gt;$C$22,DCF_Base!$L$19*(1+$C$22/100)/(($A$27-$C$22)/100),DCF_Base!$L$19*DCF_Base!$B$29),DCF_Base!$L$19*DCF_Base!$B$29))/(1+$A$27/100)^DCF_Base!$L$4+Assumptions!$B$5-Assumptions!$B$4)/Assumptions!$B$3*Assumptions!$B$10</f>
        <v>101.277956858179</v>
      </c>
      <c r="D27" s="0" t="n">
        <f aca="false">(SUMPRODUCT(DCF_Base!$C$19:$L$19/(1+$A$27/100)^DCF_Base!$C$4:$L$4)+MAX(0,MIN(IF($A$27&gt;$D$22,DCF_Base!$L$19*(1+$D$22/100)/(($A$27-$D$22)/100),DCF_Base!$L$19*DCF_Base!$B$29),DCF_Base!$L$19*DCF_Base!$B$29))/(1+$A$27/100)^DCF_Base!$L$4+Assumptions!$B$5-Assumptions!$B$4)/Assumptions!$B$3*Assumptions!$B$10</f>
        <v>103.6974614706</v>
      </c>
      <c r="E27" s="0" t="n">
        <f aca="false">(SUMPRODUCT(DCF_Base!$C$19:$L$19/(1+$A$27/100)^DCF_Base!$C$4:$L$4)+MAX(0,MIN(IF($A$27&gt;$E$22,DCF_Base!$L$19*(1+$E$22/100)/(($A$27-$E$22)/100),DCF_Base!$L$19*DCF_Base!$B$29),DCF_Base!$L$19*DCF_Base!$B$29))/(1+$A$27/100)^DCF_Base!$L$4+Assumptions!$B$5-Assumptions!$B$4)/Assumptions!$B$3*Assumptions!$B$10</f>
        <v>106.385799928845</v>
      </c>
      <c r="F27" s="0" t="n">
        <f aca="false">(SUMPRODUCT(DCF_Base!$C$19:$L$19/(1+$A$27/100)^DCF_Base!$C$4:$L$4)+MAX(0,MIN(IF($A$27&gt;$F$22,DCF_Base!$L$19*(1+$F$22/100)/(($A$27-$F$22)/100),DCF_Base!$L$19*DCF_Base!$B$29),DCF_Base!$L$19*DCF_Base!$B$29))/(1+$A$27/100)^DCF_Base!$L$4+Assumptions!$B$5-Assumptions!$B$4)/Assumptions!$B$3*Assumptions!$B$10</f>
        <v>109.390413499824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2026-10-25T10:19:35Z</dcterms:created>
  <dc:creator>openpyxl</dc:creator>
  <dc:description/>
  <dc:language>en-NZ</dc:language>
  <cp:lastModifiedBy/>
  <dcterms:modified xsi:type="dcterms:W3CDTF">2026-10-25T10:19:35Z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