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<sst xmlns="http://schemas.openxmlformats.org/spreadsheetml/2006/main" count="368" uniqueCount="171">
  <si>
    <t xml:space="preserve">Ticker</t>
  </si>
  <si>
    <t xml:space="preserve">RRL.AX</t>
  </si>
  <si>
    <t xml:space="preserve">Company</t>
  </si>
  <si>
    <t xml:space="preserve">Regis Resources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</si>
  <si>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</si>
  <si>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</si>
  <si>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</si>
  <si>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</si>
  <si>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2026-09-25T04:12:50Z (ASX intraday, regular session)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</si>
  <si>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</si>
  <si>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</si>
  <si>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</si>
  <si>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</si>
  <si>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</si>
  <si>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</si>
  <si>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</si>
  <si>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</si>
  <si>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</si>
  <si>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</si>
  <si>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</si>
  <si>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</si>
  <si>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2026-09-25T04:39:51Z</t>
  </si>
  <si>
    <t xml:space="preserve">Drivers file</t>
  </si>
  <si>
    <t xml:space="preserve">RRL.AX_Drivers.json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</si>
  <si>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</si>
  <si>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</si>
  <si>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</si>
  <si>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existing Duketon and Tropicana ounces at a normalised, not peak, gold price; charge the growth capital that sustains production as a real cost; count the cash pile once (interest income stripped) and net it against the liabilities the 30-June balance sheet has not yet paid (FY26 tax, declared dividend, rehabilitation); carry McPhillamys as a risked option rather than in the flows; cap the terminal because the asset depletes. Risk is charged in the flows and scenario weights, once, at a single AUD-built 9.5% WACC.
key_risks_to_valuation: Gold price: every A$500/oz on 370koz is ~A$185m of pre-tax cash flow (~A$0.17/share of annual owner FCF, several dollars of value). The base deck (A$5,000 by FY29) is a judgment; spot is A$6,135 and the 3-year realised average A$4,549.; Reserve life: ex-McPhillamys reserves ~2.0Moz attributable (~5.5 years). The 12x terminal cap assumes replacement continues as it has for six years; if it stops the terminal is too high and the bear ounce profile is the base.; Cost inflation: FY26 AISC rose 16% to $2,945/oz on diesel and the Duketon North restart; the paths escalate costs faster than price in the base case, and any AISC step-change above A$3,300/oz compresses the margin further.; McPhillamys permitting: the $400m bridge is a 35% probability on a A$4,000/oz PFS. An adverse Federal Court ruling plus IWL approval failure takes it to zero (-$0.53/share); a clean approval at spot gold could be worth $2bn+ unrisked.; Capex classification: the model treats underground development capital as required to hold ounces flat. If management can hold 360koz on materially less capital than the FY22-26 average, the base is too low.; FY27 guidance for AISC and capex from the 17-Jul-26 release was not in the extracted filings; year-1 costs are inferred from FY26 actuals and should be checked against the September 2026 quarterly.</t>
  </si>
  <si>
    <t xml:space="preserve">Data sources</t>
  </si>
  <si>
    <t xml:space="preserve">price: Yahoo Finance chart API at inputs.price_as_of; 52-week range 5.335-10.00 AUD. Gold spot and AUDUSD from Yahoo GC=F and AUDUSD=X at the same time.
financials: RRL.AX_Metrics.csv / core_metrics from FY2016-FY2026 annual reports and half-years; FY2026 annual report (filed Aug 2026) for the balance sheet, cash flow statement, EPS dilution note, dividend declaration, McPhillamys PFS summary and FY27 production guidance reference.
qualitative: FY2026 annual report chairman's letter, operations review and McPhillamys section; RRL.AX_Analysis.json not yet present at build time.</t>
  </si>
  <si>
    <t xml:space="preserve">Scenario narrative: bear</t>
  </si>
  <si>
    <t xml:space="preserve">Gold reverts to A$4,200/oz by FY29 while costs inflate 3.5%/yr; reserve replacement falters and output slides to 310koz; growth capital is cut; owner FCF returns to the near-zero FY22-24 range and the balance sheet is most of the value; terminal 8x.</t>
  </si>
  <si>
    <t xml:space="preserve">Scenario narrative: base</t>
  </si>
  <si>
    <t xml:space="preserve">Normalised gold (A$5,000/oz by FY29, +2%/yr after) on ~360-380koz from Duketon and 30% of Tropicana, unit costs escalating 2.5-3%/yr, capex near D&amp;A to sustain the underground strategy, terminal capped at 12x owner FCF for a depleting asset. McPhillamys carried only as a 35%-risked bridge item.</t>
  </si>
  <si>
    <t xml:space="preserve">Scenario narrative: bull</t>
  </si>
  <si>
    <t xml:space="preserve">Gold holds record levels (A$6,200-6,500/oz, +2.5%/yr), Regis reaches four Duketon undergrounds plus Havana for 400koz, capex intensity falls as the FY26-27 development wave completes; terminal 14x.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</si>
  <si>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</si>
  <si>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</si>
  <si>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</si>
  <si>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</si>
  <si>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</si>
  <si>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</si>
  <si>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</si>
  <si>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</si>
  <si>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</si>
  <si>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</si>
  <si>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</si>
  <si>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</si>
  <si>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</si>
  <si>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</si>
  <si>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</si>
  <si>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</si>
  <si>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</si>
  <si>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</si>
  <si>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</si>
  <si>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</si>
  <si>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</si>
  <si>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</si>
  <si>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</si>
  <si>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</si>
  <si>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</si>
  <si>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</si>
  <si>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</si>
  <si>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</si>
  <si>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CapexPPE</t>
  </si>
  <si>
    <t xml:space="preserve">GoldPriceAchieved</t>
  </si>
  <si>
    <t xml:space="preserve">GoldProduction</t>
  </si>
  <si>
    <t xml:space="preserve">LeasePrincipalPaid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</si>
  <si>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</si>
  <si>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</si>
  <si>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</si>
  <si>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</si>
  <si>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</si>
  <si>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</si>
  <si>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</si>
  <si>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</si>
  <si>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</si>
  <si>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</si>
  <si>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</si>
  <si>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</si>
  <si>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</si>
  <si>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</si>
  <si>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</si>
  <si>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</si>
  <si>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</si>
  <si>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</si>
  <si>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</si>
  <si>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</si>
  <si>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</si>
  <si>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</si>
  <si>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</si>
  <si>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</si>
  <si>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</si>
  <si>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</si>
  <si>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</si>
  <si>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</si>
  <si>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</si>
  <si>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</si>
  <si>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</si>
  <si>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</si>
  <si>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</si>
  <si>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</si>
  <si>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</si>
  <si>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</si>
  <si>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</si>
  <si>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</si>
  <si>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</si>
  <si>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</si>
  <si>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</si>
  <si>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</si>
  <si>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</si>
  <si>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</si>
  <si>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</si>
  <si>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</si>
  <si>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</si>
  <si>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</si>
  <si>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RRL.AX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</si>
  <si>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</si>
  <si>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</si>
  <si>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</si>
  <si>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</si>
  <si>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</si>
  <si>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</si>
  <si>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</si>
  <si>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</si>
  <si>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</si>
  <si>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</si>
  <si>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</si>
  <si>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</si>
  <si>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</si>
  <si>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</si>
  <si>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</si>
  <si>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</si>
  <si>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</si>
  <si>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</si>
  <si>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</si>
  <si>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</si>
  <si>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</si>
  <si>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</si>
  <si>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</si>
  <si>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</si>
  <si>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</si>
  <si>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</si>
  <si>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</si>
  <si>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</si>
  <si>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</si>
  <si>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</si>
  <si>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RRL.AX owner-FCF component DCF: base case (millions, AUD)</t>
  </si>
  <si>
    <t xml:space="preserve">RRL.AX owner-FCF component DCF: bull case (millions, AUD)</t>
  </si>
  <si>
    <t xml:space="preserve">RRL.AX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</si>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</sst>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7.715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502.019</v>
      </c>
      <c r="C2" s="0" t="n">
        <v>335.136</v>
      </c>
      <c r="D2" s="0" t="n">
        <v>166.883</v>
      </c>
      <c r="E2" s="0" t="n">
        <v>33.2</v>
      </c>
      <c r="H2" s="0" t="n">
        <v>234.392</v>
      </c>
      <c r="I2" s="0" t="n">
        <v>111.793</v>
      </c>
      <c r="J2" s="0" t="n">
        <v>22.3</v>
      </c>
      <c r="K2" s="0" t="n">
        <v>0.2237</v>
      </c>
      <c r="L2" s="0" t="n">
        <v>204.001</v>
      </c>
      <c r="M2" s="0" t="n">
        <v>83.781</v>
      </c>
      <c r="N2" s="0" t="n">
        <v>120.22</v>
      </c>
      <c r="O2" s="0" t="n">
        <v>481.848</v>
      </c>
      <c r="P2" s="0" t="n">
        <v>591.257</v>
      </c>
      <c r="Q2" s="0" t="n">
        <v>109.409</v>
      </c>
      <c r="R2" s="0" t="n">
        <v>0</v>
      </c>
      <c r="S2" s="0" t="n">
        <v>99.535</v>
      </c>
      <c r="T2" s="0" t="n">
        <v>503.079</v>
      </c>
      <c r="U2" s="0" t="n">
        <v>3.317</v>
      </c>
      <c r="AA2" s="0" t="s">
        <v>17</v>
      </c>
      <c r="AB2" s="0" t="s">
        <v>14</v>
      </c>
      <c r="AD2" s="0" t="n">
        <v>20.469</v>
      </c>
      <c r="AE2" s="0" t="n">
        <v>1600</v>
      </c>
      <c r="AF2" s="0" t="n">
        <v>305084</v>
      </c>
    </row>
    <row r="3" customFormat="false" ht="15" hidden="false" customHeight="false" outlineLevel="0" collapsed="false">
      <c r="A3" s="0" t="s">
        <v>69</v>
      </c>
      <c r="B3" s="0" t="n">
        <v>543.799</v>
      </c>
      <c r="C3" s="0" t="n">
        <v>335.827</v>
      </c>
      <c r="D3" s="0" t="n">
        <v>207.972</v>
      </c>
      <c r="E3" s="0" t="n">
        <v>38.2</v>
      </c>
      <c r="H3" s="0" t="n">
        <v>253.302</v>
      </c>
      <c r="I3" s="0" t="n">
        <v>138.163</v>
      </c>
      <c r="J3" s="0" t="n">
        <v>25.4</v>
      </c>
      <c r="K3" s="0" t="n">
        <v>0.2759</v>
      </c>
      <c r="L3" s="0" t="n">
        <v>206.082</v>
      </c>
      <c r="M3" s="0" t="n">
        <v>105.568</v>
      </c>
      <c r="N3" s="0" t="n">
        <v>100.514</v>
      </c>
      <c r="O3" s="0" t="n">
        <v>538.392</v>
      </c>
      <c r="P3" s="0" t="n">
        <v>685.864</v>
      </c>
      <c r="Q3" s="0" t="n">
        <v>147.472</v>
      </c>
      <c r="R3" s="0" t="n">
        <v>0</v>
      </c>
      <c r="S3" s="0" t="n">
        <v>119.428</v>
      </c>
      <c r="T3" s="0" t="n">
        <v>506.254</v>
      </c>
      <c r="U3" s="0" t="n">
        <v>3.222</v>
      </c>
      <c r="AA3" s="0" t="s">
        <v>17</v>
      </c>
      <c r="AB3" s="0" t="s">
        <v>14</v>
      </c>
      <c r="AD3" s="0" t="n">
        <v>23.395</v>
      </c>
      <c r="AE3" s="0" t="n">
        <v>1682</v>
      </c>
      <c r="AF3" s="0" t="n">
        <v>324353</v>
      </c>
    </row>
    <row r="4" customFormat="false" ht="15" hidden="false" customHeight="false" outlineLevel="0" collapsed="false">
      <c r="A4" s="0" t="s">
        <v>70</v>
      </c>
      <c r="B4" s="0" t="n">
        <v>606.495</v>
      </c>
      <c r="C4" s="0" t="n">
        <v>343.585</v>
      </c>
      <c r="D4" s="0" t="n">
        <v>262.91</v>
      </c>
      <c r="E4" s="0" t="n">
        <v>43.3</v>
      </c>
      <c r="H4" s="0" t="n">
        <v>312.561</v>
      </c>
      <c r="I4" s="0" t="n">
        <v>174.231</v>
      </c>
      <c r="J4" s="0" t="n">
        <v>28.7</v>
      </c>
      <c r="K4" s="0" t="n">
        <v>0.346</v>
      </c>
      <c r="L4" s="0" t="n">
        <v>259.727</v>
      </c>
      <c r="M4" s="0" t="n">
        <v>115.864</v>
      </c>
      <c r="N4" s="0" t="n">
        <v>143.863</v>
      </c>
      <c r="O4" s="0" t="n">
        <v>636.842</v>
      </c>
      <c r="P4" s="0" t="n">
        <v>822.53</v>
      </c>
      <c r="Q4" s="0" t="n">
        <v>185.688</v>
      </c>
      <c r="R4" s="0" t="n">
        <v>0</v>
      </c>
      <c r="S4" s="0" t="n">
        <v>181.118</v>
      </c>
      <c r="T4" s="0" t="n">
        <v>507.194</v>
      </c>
      <c r="U4" s="0" t="n">
        <v>3.231</v>
      </c>
      <c r="AA4" s="0" t="s">
        <v>17</v>
      </c>
      <c r="AB4" s="0" t="s">
        <v>14</v>
      </c>
      <c r="AD4" s="0" t="n">
        <v>37.452</v>
      </c>
      <c r="AE4" s="0" t="n">
        <v>1680</v>
      </c>
      <c r="AF4" s="0" t="n">
        <v>361373</v>
      </c>
    </row>
    <row r="5" customFormat="false" ht="15" hidden="false" customHeight="false" outlineLevel="0" collapsed="false">
      <c r="A5" s="0" t="s">
        <v>71</v>
      </c>
      <c r="B5" s="0" t="n">
        <v>654.807</v>
      </c>
      <c r="C5" s="0" t="n">
        <v>401.97</v>
      </c>
      <c r="D5" s="0" t="n">
        <v>252.837</v>
      </c>
      <c r="E5" s="0" t="n">
        <v>38.6</v>
      </c>
      <c r="H5" s="0" t="n">
        <v>306.785</v>
      </c>
      <c r="I5" s="0" t="n">
        <v>163.15</v>
      </c>
      <c r="J5" s="0" t="n">
        <v>24.9</v>
      </c>
      <c r="K5" s="0" t="n">
        <v>0.3218</v>
      </c>
      <c r="L5" s="0" t="n">
        <v>275.485</v>
      </c>
      <c r="M5" s="0" t="n">
        <v>187.396</v>
      </c>
      <c r="N5" s="0" t="n">
        <v>88.089</v>
      </c>
      <c r="O5" s="0" t="n">
        <v>716.464</v>
      </c>
      <c r="P5" s="0" t="n">
        <v>953.997</v>
      </c>
      <c r="Q5" s="0" t="n">
        <v>237.533</v>
      </c>
      <c r="R5" s="0" t="n">
        <v>0</v>
      </c>
      <c r="S5" s="0" t="n">
        <v>188.697</v>
      </c>
      <c r="T5" s="0" t="n">
        <v>507.906</v>
      </c>
      <c r="U5" s="0" t="n">
        <v>1.082</v>
      </c>
      <c r="AA5" s="0" t="s">
        <v>17</v>
      </c>
      <c r="AB5" s="0" t="s">
        <v>14</v>
      </c>
      <c r="AD5" s="0" t="n">
        <v>56.426</v>
      </c>
      <c r="AE5" s="0" t="n">
        <v>1765</v>
      </c>
      <c r="AG5" s="0" t="n">
        <v>1.052</v>
      </c>
    </row>
    <row r="6" customFormat="false" ht="15" hidden="false" customHeight="false" outlineLevel="0" collapsed="false">
      <c r="A6" s="0" t="s">
        <v>72</v>
      </c>
      <c r="B6" s="0" t="n">
        <v>756.657</v>
      </c>
      <c r="C6" s="0" t="n">
        <v>452.011</v>
      </c>
      <c r="D6" s="0" t="n">
        <v>304.646</v>
      </c>
      <c r="E6" s="0" t="n">
        <v>40.3</v>
      </c>
      <c r="H6" s="0" t="n">
        <v>394.141</v>
      </c>
      <c r="I6" s="0" t="n">
        <v>199.517</v>
      </c>
      <c r="J6" s="0" t="n">
        <v>26.4</v>
      </c>
      <c r="K6" s="0" t="n">
        <v>0.3926</v>
      </c>
      <c r="L6" s="0" t="n">
        <v>343.013</v>
      </c>
      <c r="M6" s="0" t="n">
        <v>223.084</v>
      </c>
      <c r="N6" s="0" t="n">
        <v>119.929</v>
      </c>
      <c r="O6" s="0" t="n">
        <v>835.081</v>
      </c>
      <c r="P6" s="0" t="n">
        <v>1151.877</v>
      </c>
      <c r="Q6" s="0" t="n">
        <v>316.796</v>
      </c>
      <c r="R6" s="0" t="n">
        <v>0</v>
      </c>
      <c r="S6" s="0" t="n">
        <v>192.428</v>
      </c>
      <c r="T6" s="0" t="n">
        <v>509.188</v>
      </c>
      <c r="U6" s="0" t="n">
        <v>0.144</v>
      </c>
      <c r="AA6" s="0" t="s">
        <v>17</v>
      </c>
      <c r="AB6" s="0" t="s">
        <v>14</v>
      </c>
      <c r="AD6" s="0" t="n">
        <v>51.135</v>
      </c>
      <c r="AE6" s="0" t="n">
        <v>2200</v>
      </c>
      <c r="AG6" s="0" t="n">
        <v>13.894</v>
      </c>
    </row>
    <row r="7" customFormat="false" ht="15" hidden="false" customHeight="false" outlineLevel="0" collapsed="false">
      <c r="A7" s="0" t="s">
        <v>73</v>
      </c>
      <c r="B7" s="0" t="n">
        <v>819.162</v>
      </c>
      <c r="C7" s="0" t="n">
        <v>582.659</v>
      </c>
      <c r="D7" s="0" t="n">
        <v>236.503</v>
      </c>
      <c r="E7" s="0" t="n">
        <v>28.9</v>
      </c>
      <c r="H7" s="0" t="n">
        <v>403.381</v>
      </c>
      <c r="I7" s="0" t="n">
        <v>146.198</v>
      </c>
      <c r="J7" s="0" t="n">
        <v>17.8</v>
      </c>
      <c r="K7" s="0" t="n">
        <v>0.2637</v>
      </c>
      <c r="L7" s="0" t="n">
        <v>276.286</v>
      </c>
      <c r="M7" s="0" t="n">
        <v>202.686</v>
      </c>
      <c r="N7" s="0" t="n">
        <v>73.6</v>
      </c>
      <c r="O7" s="0" t="n">
        <v>1584.305</v>
      </c>
      <c r="P7" s="0" t="n">
        <v>2313.165</v>
      </c>
      <c r="Q7" s="0" t="n">
        <v>728.86</v>
      </c>
      <c r="R7" s="0" t="n">
        <v>293.821</v>
      </c>
      <c r="S7" s="0" t="n">
        <v>242.627</v>
      </c>
      <c r="T7" s="0" t="n">
        <v>555.403</v>
      </c>
      <c r="U7" s="0" t="n">
        <v>3.934</v>
      </c>
      <c r="AA7" s="0" t="s">
        <v>17</v>
      </c>
      <c r="AB7" s="0" t="s">
        <v>14</v>
      </c>
      <c r="AD7" s="0" t="n">
        <v>21.139</v>
      </c>
      <c r="AE7" s="0" t="n">
        <v>2229</v>
      </c>
      <c r="AG7" s="0" t="n">
        <v>20.397</v>
      </c>
    </row>
    <row r="8" customFormat="false" ht="15" hidden="false" customHeight="false" outlineLevel="0" collapsed="false">
      <c r="A8" s="0" t="s">
        <v>74</v>
      </c>
      <c r="B8" s="0" t="n">
        <v>1015.943</v>
      </c>
      <c r="C8" s="0" t="n">
        <v>945.524</v>
      </c>
      <c r="D8" s="0" t="n">
        <v>70.419</v>
      </c>
      <c r="E8" s="0" t="n">
        <v>6.9</v>
      </c>
      <c r="H8" s="0" t="n">
        <v>336.113</v>
      </c>
      <c r="I8" s="0" t="n">
        <v>13.775</v>
      </c>
      <c r="J8" s="0" t="n">
        <v>1.4</v>
      </c>
      <c r="K8" s="0" t="n">
        <v>0.0183</v>
      </c>
      <c r="L8" s="0" t="n">
        <v>346.994</v>
      </c>
      <c r="M8" s="0" t="n">
        <v>321.922</v>
      </c>
      <c r="N8" s="0" t="n">
        <v>25.072</v>
      </c>
      <c r="O8" s="0" t="n">
        <v>1577.299</v>
      </c>
      <c r="P8" s="0" t="n">
        <v>2329.272</v>
      </c>
      <c r="Q8" s="0" t="n">
        <v>751.973</v>
      </c>
      <c r="R8" s="0" t="n">
        <v>295.883</v>
      </c>
      <c r="S8" s="0" t="n">
        <v>207.354</v>
      </c>
      <c r="T8" s="0" t="n">
        <v>755.724</v>
      </c>
      <c r="U8" s="0" t="n">
        <v>0.804</v>
      </c>
      <c r="AA8" s="0" t="s">
        <v>17</v>
      </c>
      <c r="AB8" s="0" t="s">
        <v>14</v>
      </c>
      <c r="AD8" s="0" t="n">
        <v>46.558</v>
      </c>
      <c r="AE8" s="0" t="n">
        <v>2329</v>
      </c>
      <c r="AG8" s="0" t="n">
        <v>31.026</v>
      </c>
    </row>
    <row r="9" customFormat="false" ht="15" hidden="false" customHeight="false" outlineLevel="0" collapsed="false">
      <c r="A9" s="0" t="s">
        <v>75</v>
      </c>
      <c r="B9" s="0" t="n">
        <v>1133.732</v>
      </c>
      <c r="C9" s="0" t="n">
        <v>1104.086</v>
      </c>
      <c r="D9" s="0" t="n">
        <v>29.646</v>
      </c>
      <c r="E9" s="0" t="n">
        <v>2.6</v>
      </c>
      <c r="H9" s="0" t="n">
        <v>371.365</v>
      </c>
      <c r="I9" s="0" t="n">
        <v>-24.333</v>
      </c>
      <c r="J9" s="0" t="n">
        <v>-2.1</v>
      </c>
      <c r="K9" s="0" t="n">
        <v>-0.0322</v>
      </c>
      <c r="L9" s="0" t="n">
        <v>454.936</v>
      </c>
      <c r="M9" s="0" t="n">
        <v>396.6</v>
      </c>
      <c r="N9" s="0" t="n">
        <v>58.336</v>
      </c>
      <c r="O9" s="0" t="n">
        <v>1539.841</v>
      </c>
      <c r="P9" s="0" t="n">
        <v>2372.602</v>
      </c>
      <c r="Q9" s="0" t="n">
        <v>832.761</v>
      </c>
      <c r="R9" s="0" t="n">
        <v>298.748</v>
      </c>
      <c r="S9" s="0" t="n">
        <v>204.885</v>
      </c>
      <c r="T9" s="0" t="n">
        <v>754.84</v>
      </c>
      <c r="U9" s="0" t="n">
        <v>1.976</v>
      </c>
      <c r="AA9" s="0" t="s">
        <v>17</v>
      </c>
      <c r="AB9" s="0" t="s">
        <v>14</v>
      </c>
      <c r="AD9" s="0" t="n">
        <v>61.263</v>
      </c>
      <c r="AE9" s="0" t="n">
        <v>2471</v>
      </c>
      <c r="AG9" s="0" t="n">
        <v>32.994</v>
      </c>
    </row>
    <row r="10" customFormat="false" ht="15" hidden="false" customHeight="false" outlineLevel="0" collapsed="false">
      <c r="A10" s="0" t="s">
        <v>76</v>
      </c>
      <c r="B10" s="0" t="n">
        <v>1262.814</v>
      </c>
      <c r="C10" s="0" t="n">
        <v>1170.853</v>
      </c>
      <c r="D10" s="0" t="n">
        <v>91.961</v>
      </c>
      <c r="E10" s="0" t="n">
        <v>7.3</v>
      </c>
      <c r="H10" s="0" t="n">
        <v>296.894</v>
      </c>
      <c r="I10" s="0" t="n">
        <v>-186.017</v>
      </c>
      <c r="J10" s="0" t="n">
        <v>-14.7</v>
      </c>
      <c r="K10" s="0" t="n">
        <v>-0.2463</v>
      </c>
      <c r="L10" s="0" t="n">
        <v>474.574</v>
      </c>
      <c r="M10" s="0" t="n">
        <v>273.824</v>
      </c>
      <c r="N10" s="0" t="n">
        <v>200.75</v>
      </c>
      <c r="O10" s="0" t="n">
        <v>1355.919</v>
      </c>
      <c r="P10" s="0" t="n">
        <v>2129.895</v>
      </c>
      <c r="Q10" s="0" t="n">
        <v>773.976</v>
      </c>
      <c r="R10" s="0" t="n">
        <v>295.102</v>
      </c>
      <c r="S10" s="0" t="n">
        <v>277.936</v>
      </c>
      <c r="T10" s="0" t="n">
        <v>755.297</v>
      </c>
      <c r="U10" s="0" t="n">
        <v>2.094</v>
      </c>
      <c r="AA10" s="0" t="s">
        <v>17</v>
      </c>
      <c r="AB10" s="0" t="s">
        <v>14</v>
      </c>
      <c r="AD10" s="0" t="n">
        <v>32.497</v>
      </c>
      <c r="AE10" s="0" t="n">
        <v>2976</v>
      </c>
      <c r="AG10" s="0" t="n">
        <v>28.479</v>
      </c>
    </row>
    <row r="11" customFormat="false" ht="15" hidden="false" customHeight="false" outlineLevel="0" collapsed="false">
      <c r="A11" s="0" t="s">
        <v>77</v>
      </c>
      <c r="B11" s="0" t="n">
        <v>1647.412</v>
      </c>
      <c r="C11" s="0" t="n">
        <v>1220.854</v>
      </c>
      <c r="D11" s="0" t="n">
        <v>426.558</v>
      </c>
      <c r="E11" s="0" t="n">
        <v>25.9</v>
      </c>
      <c r="H11" s="0" t="n">
        <v>780.144</v>
      </c>
      <c r="I11" s="0" t="n">
        <v>254.356</v>
      </c>
      <c r="J11" s="0" t="n">
        <v>15.4</v>
      </c>
      <c r="K11" s="0" t="n">
        <v>0.3367</v>
      </c>
      <c r="L11" s="0" t="n">
        <v>820.686</v>
      </c>
      <c r="M11" s="0" t="n">
        <v>275.903</v>
      </c>
      <c r="N11" s="0" t="n">
        <v>544.783</v>
      </c>
      <c r="O11" s="0" t="n">
        <v>1614.34</v>
      </c>
      <c r="P11" s="0" t="n">
        <v>2276.203</v>
      </c>
      <c r="Q11" s="0" t="n">
        <v>661.863</v>
      </c>
      <c r="R11" s="0" t="n">
        <v>0</v>
      </c>
      <c r="S11" s="0" t="n">
        <v>505.486</v>
      </c>
      <c r="T11" s="0" t="n">
        <v>760.909</v>
      </c>
      <c r="U11" s="0" t="n">
        <v>4.065</v>
      </c>
      <c r="AA11" s="0" t="s">
        <v>17</v>
      </c>
      <c r="AB11" s="0" t="s">
        <v>14</v>
      </c>
      <c r="AC11" s="0" t="n">
        <v>2775</v>
      </c>
      <c r="AD11" s="0" t="n">
        <v>33.688</v>
      </c>
      <c r="AE11" s="0" t="n">
        <v>4387</v>
      </c>
      <c r="AF11" s="0" t="n">
        <v>373000</v>
      </c>
      <c r="AG11" s="0" t="n">
        <v>16.683</v>
      </c>
    </row>
    <row r="12" customFormat="false" ht="15" hidden="false" customHeight="false" outlineLevel="0" collapsed="false">
      <c r="A12" s="0" t="s">
        <v>78</v>
      </c>
      <c r="B12" s="0" t="n">
        <v>2349.099</v>
      </c>
      <c r="C12" s="0" t="n">
        <v>1279.141</v>
      </c>
      <c r="D12" s="0" t="n">
        <v>1069.958</v>
      </c>
      <c r="E12" s="0" t="n">
        <v>45.5</v>
      </c>
      <c r="H12" s="0" t="n">
        <v>1345.182</v>
      </c>
      <c r="I12" s="0" t="n">
        <v>715.106</v>
      </c>
      <c r="J12" s="0" t="n">
        <v>30.4</v>
      </c>
      <c r="K12" s="0" t="n">
        <v>0.9446</v>
      </c>
      <c r="L12" s="0" t="n">
        <v>1246.754</v>
      </c>
      <c r="M12" s="0" t="n">
        <v>440.688</v>
      </c>
      <c r="N12" s="0" t="n">
        <v>806.066</v>
      </c>
      <c r="O12" s="0" t="n">
        <v>2182.175</v>
      </c>
      <c r="P12" s="0" t="n">
        <v>3015.798</v>
      </c>
      <c r="Q12" s="0" t="n">
        <v>833.623</v>
      </c>
      <c r="R12" s="0" t="n">
        <v>0</v>
      </c>
      <c r="S12" s="0" t="n">
        <v>1139.119</v>
      </c>
      <c r="T12" s="0" t="n">
        <v>761.376</v>
      </c>
      <c r="U12" s="0" t="n">
        <v>4.18</v>
      </c>
      <c r="AA12" s="0" t="s">
        <v>17</v>
      </c>
      <c r="AB12" s="0" t="s">
        <v>14</v>
      </c>
      <c r="AC12" s="0" t="n">
        <v>2945</v>
      </c>
      <c r="AD12" s="0" t="n">
        <v>69.577</v>
      </c>
      <c r="AE12" s="0" t="n">
        <v>6283</v>
      </c>
      <c r="AF12" s="0" t="n">
        <v>379000</v>
      </c>
      <c r="AG12" s="0" t="n">
        <v>18.7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7.715</v>
      </c>
    </row>
    <row r="3" customFormat="false" ht="15" hidden="false" customHeight="false" outlineLevel="0" collapsed="false">
      <c r="A3" s="0" t="s">
        <v>82</v>
      </c>
      <c r="B3" s="3" t="n">
        <v>761.376</v>
      </c>
    </row>
    <row r="4" customFormat="false" ht="15" hidden="false" customHeight="false" outlineLevel="0" collapsed="false">
      <c r="A4" s="0" t="s">
        <v>83</v>
      </c>
      <c r="B4" s="3" t="n">
        <v>-1139.119</v>
      </c>
    </row>
    <row r="5" customFormat="false" ht="15" hidden="false" customHeight="false" outlineLevel="0" collapsed="false">
      <c r="A5" s="0" t="s">
        <v>84</v>
      </c>
      <c r="B5" s="3" t="n">
        <v>-175.87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2349.099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-14.54</v>
      </c>
      <c r="D13" s="3" t="n">
        <v>-18.66</v>
      </c>
      <c r="E13" s="3" t="n">
        <v>-11.27</v>
      </c>
      <c r="F13" s="3" t="n">
        <v>-1.45</v>
      </c>
      <c r="G13" s="3" t="n">
        <v>0.5</v>
      </c>
      <c r="H13" s="3" t="n">
        <v>0.49</v>
      </c>
      <c r="I13" s="3" t="n">
        <v>0.44</v>
      </c>
      <c r="J13" s="3" t="n">
        <v>0.43</v>
      </c>
      <c r="K13" s="3" t="n">
        <v>0.41</v>
      </c>
      <c r="L13" s="3" t="n">
        <v>0.38</v>
      </c>
    </row>
    <row r="14" customFormat="false" ht="15" hidden="false" customHeight="false" outlineLevel="0" collapsed="false">
      <c r="A14" s="0" t="s">
        <v>103</v>
      </c>
      <c r="C14" s="3" t="n">
        <v>47.3</v>
      </c>
      <c r="D14" s="3" t="n">
        <v>34.7</v>
      </c>
      <c r="E14" s="3" t="n">
        <v>26</v>
      </c>
      <c r="F14" s="3" t="n">
        <v>23.5</v>
      </c>
      <c r="G14" s="3" t="n">
        <v>23.1</v>
      </c>
      <c r="H14" s="3" t="n">
        <v>22.7</v>
      </c>
      <c r="I14" s="3" t="n">
        <v>22.3</v>
      </c>
      <c r="J14" s="3" t="n">
        <v>21.9</v>
      </c>
      <c r="K14" s="3" t="n">
        <v>21.5</v>
      </c>
      <c r="L14" s="3" t="n">
        <v>21.2</v>
      </c>
    </row>
    <row r="15" customFormat="false" ht="15" hidden="false" customHeight="false" outlineLevel="0" collapsed="false">
      <c r="A15" s="0" t="s">
        <v>104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105</v>
      </c>
      <c r="C16" s="3" t="n">
        <v>1.3</v>
      </c>
      <c r="D16" s="3" t="n">
        <v>1.6</v>
      </c>
      <c r="E16" s="3" t="n">
        <v>1.8</v>
      </c>
      <c r="F16" s="3" t="n">
        <v>1.8</v>
      </c>
      <c r="G16" s="3" t="n">
        <v>1.8</v>
      </c>
      <c r="H16" s="3" t="n">
        <v>1.8</v>
      </c>
      <c r="I16" s="3" t="n">
        <v>1.8</v>
      </c>
      <c r="J16" s="3" t="n">
        <v>1.8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106</v>
      </c>
      <c r="C17" s="3" t="n">
        <v>16</v>
      </c>
      <c r="D17" s="3" t="n">
        <v>19</v>
      </c>
      <c r="E17" s="3" t="n">
        <v>20</v>
      </c>
      <c r="F17" s="3" t="n">
        <v>18.5</v>
      </c>
      <c r="G17" s="3" t="n">
        <v>16</v>
      </c>
      <c r="H17" s="3" t="n">
        <v>16</v>
      </c>
      <c r="I17" s="3" t="n">
        <v>16</v>
      </c>
      <c r="J17" s="3" t="n">
        <v>16</v>
      </c>
      <c r="K17" s="3" t="n">
        <v>16</v>
      </c>
      <c r="L17" s="3" t="n">
        <v>16</v>
      </c>
    </row>
    <row r="18" customFormat="false" ht="15" hidden="false" customHeight="false" outlineLevel="0" collapsed="false">
      <c r="A18" s="0" t="s">
        <v>107</v>
      </c>
      <c r="C18" s="3" t="n">
        <v>17.9</v>
      </c>
      <c r="D18" s="3" t="n">
        <v>17.1</v>
      </c>
      <c r="E18" s="3" t="n">
        <v>15.2</v>
      </c>
      <c r="F18" s="3" t="n">
        <v>14.7</v>
      </c>
      <c r="G18" s="3" t="n">
        <v>14.9</v>
      </c>
      <c r="H18" s="3" t="n">
        <v>15.1</v>
      </c>
      <c r="I18" s="3" t="n">
        <v>15.3</v>
      </c>
      <c r="J18" s="3" t="n">
        <v>15.5</v>
      </c>
      <c r="K18" s="3" t="n">
        <v>15.7</v>
      </c>
      <c r="L18" s="3" t="n">
        <v>15.9</v>
      </c>
    </row>
    <row r="19" customFormat="false" ht="15" hidden="false" customHeight="false" outlineLevel="0" collapsed="false">
      <c r="A19" s="0" t="s">
        <v>108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109</v>
      </c>
      <c r="B20" s="3" t="n">
        <v>9.5</v>
      </c>
    </row>
    <row r="21" customFormat="false" ht="15" hidden="false" customHeight="false" outlineLevel="0" collapsed="false">
      <c r="A21" s="0" t="s">
        <v>110</v>
      </c>
      <c r="B21" s="3" t="n">
        <v>1</v>
      </c>
    </row>
    <row r="22" customFormat="false" ht="15" hidden="false" customHeight="false" outlineLevel="0" collapsed="false">
      <c r="A22" s="0" t="s">
        <v>111</v>
      </c>
      <c r="B22" s="3" t="n">
        <v>8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-4.56</v>
      </c>
      <c r="D27" s="3" t="n">
        <v>-9.68</v>
      </c>
      <c r="E27" s="3" t="n">
        <v>-8.64</v>
      </c>
      <c r="F27" s="3" t="n">
        <v>0.62</v>
      </c>
      <c r="G27" s="3" t="n">
        <v>0.6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51.7</v>
      </c>
      <c r="D28" s="3" t="n">
        <v>45.6</v>
      </c>
      <c r="E28" s="3" t="n">
        <v>39.5</v>
      </c>
      <c r="F28" s="3" t="n">
        <v>38.9</v>
      </c>
      <c r="G28" s="3" t="n">
        <v>38.6</v>
      </c>
      <c r="H28" s="3" t="n">
        <v>38.3</v>
      </c>
      <c r="I28" s="3" t="n">
        <v>38</v>
      </c>
      <c r="J28" s="3" t="n">
        <v>37.7</v>
      </c>
      <c r="K28" s="3" t="n">
        <v>37.4</v>
      </c>
      <c r="L28" s="3" t="n">
        <v>37.1</v>
      </c>
    </row>
    <row r="29" customFormat="false" ht="15" hidden="false" customHeight="false" outlineLevel="0" collapsed="false">
      <c r="A29" s="0" t="s">
        <v>104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105</v>
      </c>
      <c r="C30" s="3" t="n">
        <v>1.2</v>
      </c>
      <c r="D30" s="3" t="n">
        <v>1.3</v>
      </c>
      <c r="E30" s="3" t="n">
        <v>1.4</v>
      </c>
      <c r="F30" s="3" t="n">
        <v>1.4</v>
      </c>
      <c r="G30" s="3" t="n">
        <v>1.4</v>
      </c>
      <c r="H30" s="3" t="n">
        <v>1.4</v>
      </c>
      <c r="I30" s="3" t="n">
        <v>1.4</v>
      </c>
      <c r="J30" s="3" t="n">
        <v>1.4</v>
      </c>
      <c r="K30" s="3" t="n">
        <v>1.4</v>
      </c>
      <c r="L30" s="3" t="n">
        <v>1.4</v>
      </c>
    </row>
    <row r="31" customFormat="false" ht="15" hidden="false" customHeight="false" outlineLevel="0" collapsed="false">
      <c r="A31" s="0" t="s">
        <v>106</v>
      </c>
      <c r="C31" s="3" t="n">
        <v>14.3</v>
      </c>
      <c r="D31" s="3" t="n">
        <v>16.3</v>
      </c>
      <c r="E31" s="3" t="n">
        <v>17.3</v>
      </c>
      <c r="F31" s="3" t="n">
        <v>17</v>
      </c>
      <c r="G31" s="3" t="n">
        <v>16.8</v>
      </c>
      <c r="H31" s="3" t="n">
        <v>16.6</v>
      </c>
      <c r="I31" s="3" t="n">
        <v>16.5</v>
      </c>
      <c r="J31" s="3" t="n">
        <v>16.5</v>
      </c>
      <c r="K31" s="3" t="n">
        <v>16.5</v>
      </c>
      <c r="L31" s="3" t="n">
        <v>16.5</v>
      </c>
    </row>
    <row r="32" customFormat="false" ht="15" hidden="false" customHeight="false" outlineLevel="0" collapsed="false">
      <c r="A32" s="0" t="s">
        <v>107</v>
      </c>
      <c r="C32" s="3" t="n">
        <v>17.4</v>
      </c>
      <c r="D32" s="3" t="n">
        <v>17.3</v>
      </c>
      <c r="E32" s="3" t="n">
        <v>17</v>
      </c>
      <c r="F32" s="3" t="n">
        <v>17.2</v>
      </c>
      <c r="G32" s="3" t="n">
        <v>17.3</v>
      </c>
      <c r="H32" s="3" t="n">
        <v>17.3</v>
      </c>
      <c r="I32" s="3" t="n">
        <v>17.2</v>
      </c>
      <c r="J32" s="3" t="n">
        <v>17.2</v>
      </c>
      <c r="K32" s="3" t="n">
        <v>17.2</v>
      </c>
      <c r="L32" s="3" t="n">
        <v>17.2</v>
      </c>
    </row>
    <row r="33" customFormat="false" ht="15" hidden="false" customHeight="false" outlineLevel="0" collapsed="false">
      <c r="A33" s="0" t="s">
        <v>108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109</v>
      </c>
      <c r="B34" s="3" t="n">
        <v>9.5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12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1.61</v>
      </c>
      <c r="D41" s="3" t="n">
        <v>5.08</v>
      </c>
      <c r="E41" s="3" t="n">
        <v>3.66</v>
      </c>
      <c r="F41" s="3" t="n">
        <v>2.5</v>
      </c>
      <c r="G41" s="3" t="n">
        <v>2.5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54</v>
      </c>
      <c r="D42" s="3" t="n">
        <v>53.8</v>
      </c>
      <c r="E42" s="3" t="n">
        <v>53.5</v>
      </c>
      <c r="F42" s="3" t="n">
        <v>53.3</v>
      </c>
      <c r="G42" s="3" t="n">
        <v>53.3</v>
      </c>
      <c r="H42" s="3" t="n">
        <v>53.3</v>
      </c>
      <c r="I42" s="3" t="n">
        <v>53.3</v>
      </c>
      <c r="J42" s="3" t="n">
        <v>53.3</v>
      </c>
      <c r="K42" s="3" t="n">
        <v>53.3</v>
      </c>
      <c r="L42" s="3" t="n">
        <v>53.3</v>
      </c>
    </row>
    <row r="43" customFormat="false" ht="15" hidden="false" customHeight="false" outlineLevel="0" collapsed="false">
      <c r="A43" s="0" t="s">
        <v>104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105</v>
      </c>
      <c r="C44" s="3" t="n">
        <v>1.1</v>
      </c>
      <c r="D44" s="3" t="n">
        <v>1.1</v>
      </c>
      <c r="E44" s="3" t="n">
        <v>1.1</v>
      </c>
      <c r="F44" s="3" t="n">
        <v>1.1</v>
      </c>
      <c r="G44" s="3" t="n">
        <v>1.1</v>
      </c>
      <c r="H44" s="3" t="n">
        <v>1.1</v>
      </c>
      <c r="I44" s="3" t="n">
        <v>1.1</v>
      </c>
      <c r="J44" s="3" t="n">
        <v>1.1</v>
      </c>
      <c r="K44" s="3" t="n">
        <v>1.1</v>
      </c>
      <c r="L44" s="3" t="n">
        <v>1.1</v>
      </c>
    </row>
    <row r="45" customFormat="false" ht="15" hidden="false" customHeight="false" outlineLevel="0" collapsed="false">
      <c r="A45" s="0" t="s">
        <v>106</v>
      </c>
      <c r="C45" s="3" t="n">
        <v>14</v>
      </c>
      <c r="D45" s="3" t="n">
        <v>14</v>
      </c>
      <c r="E45" s="3" t="n">
        <v>13.5</v>
      </c>
      <c r="F45" s="3" t="n">
        <v>13.3</v>
      </c>
      <c r="G45" s="3" t="n">
        <v>13.3</v>
      </c>
      <c r="H45" s="3" t="n">
        <v>13.3</v>
      </c>
      <c r="I45" s="3" t="n">
        <v>13.3</v>
      </c>
      <c r="J45" s="3" t="n">
        <v>13.3</v>
      </c>
      <c r="K45" s="3" t="n">
        <v>13.3</v>
      </c>
      <c r="L45" s="3" t="n">
        <v>13.3</v>
      </c>
    </row>
    <row r="46" customFormat="false" ht="15" hidden="false" customHeight="false" outlineLevel="0" collapsed="false">
      <c r="A46" s="0" t="s">
        <v>107</v>
      </c>
      <c r="C46" s="3" t="n">
        <v>16.8</v>
      </c>
      <c r="D46" s="3" t="n">
        <v>15.2</v>
      </c>
      <c r="E46" s="3" t="n">
        <v>13.5</v>
      </c>
      <c r="F46" s="3" t="n">
        <v>13.3</v>
      </c>
      <c r="G46" s="3" t="n">
        <v>13.3</v>
      </c>
      <c r="H46" s="3" t="n">
        <v>13.3</v>
      </c>
      <c r="I46" s="3" t="n">
        <v>13.3</v>
      </c>
      <c r="J46" s="3" t="n">
        <v>13.3</v>
      </c>
      <c r="K46" s="3" t="n">
        <v>13.3</v>
      </c>
      <c r="L46" s="3" t="n">
        <v>13.3</v>
      </c>
    </row>
    <row r="47" customFormat="false" ht="15" hidden="false" customHeight="false" outlineLevel="0" collapsed="false">
      <c r="A47" s="0" t="s">
        <v>108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109</v>
      </c>
      <c r="B48" s="3" t="n">
        <v>9.5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14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-14.54</v>
      </c>
      <c r="D5" s="4" t="n">
        <f aca="false">Assumptions!D13</f>
        <v>-18.66</v>
      </c>
      <c r="E5" s="4" t="n">
        <f aca="false">Assumptions!E13</f>
        <v>-11.27</v>
      </c>
      <c r="F5" s="4" t="n">
        <f aca="false">Assumptions!F13</f>
        <v>-1.45</v>
      </c>
      <c r="G5" s="4" t="n">
        <f aca="false">Assumptions!G13</f>
        <v>0.5</v>
      </c>
      <c r="H5" s="4" t="n">
        <f aca="false">Assumptions!H13</f>
        <v>0.49</v>
      </c>
      <c r="I5" s="4" t="n">
        <f aca="false">Assumptions!I13</f>
        <v>0.44</v>
      </c>
      <c r="J5" s="4" t="n">
        <f aca="false">Assumptions!J13</f>
        <v>0.43</v>
      </c>
      <c r="K5" s="4" t="n">
        <f aca="false">Assumptions!K13</f>
        <v>0.41</v>
      </c>
      <c r="L5" s="4" t="n">
        <f aca="false">Assumptions!L13</f>
        <v>0.38</v>
      </c>
    </row>
    <row r="6" customFormat="false" ht="15" hidden="false" customHeight="false" outlineLevel="0" collapsed="false">
      <c r="A6" s="0" t="s">
        <v>37</v>
      </c>
      <c r="B6" s="3" t="n">
        <v>2349.099</v>
      </c>
      <c r="C6" s="0" t="n">
        <f aca="false">B6*(1+C5/100)</f>
        <v>2007.5400054</v>
      </c>
      <c r="D6" s="0" t="n">
        <f aca="false">C6*(1+D5/100)</f>
        <v>1632.93304039236</v>
      </c>
      <c r="E6" s="0" t="n">
        <f aca="false">D6*(1+E5/100)</f>
        <v>1448.90148674014</v>
      </c>
      <c r="F6" s="0" t="n">
        <f aca="false">E6*(1+F5/100)</f>
        <v>1427.89241518241</v>
      </c>
      <c r="G6" s="0" t="n">
        <f aca="false">F6*(1+G5/100)</f>
        <v>1435.03187725832</v>
      </c>
      <c r="H6" s="0" t="n">
        <f aca="false">G6*(1+H5/100)</f>
        <v>1442.06353345689</v>
      </c>
      <c r="I6" s="0" t="n">
        <f aca="false">H6*(1+I5/100)</f>
        <v>1448.4086130041</v>
      </c>
      <c r="J6" s="0" t="n">
        <f aca="false">I6*(1+J5/100)</f>
        <v>1454.63677004001</v>
      </c>
      <c r="K6" s="0" t="n">
        <f aca="false">J6*(1+K5/100)</f>
        <v>1460.60078079718</v>
      </c>
      <c r="L6" s="0" t="n">
        <f aca="false">K6*(1+L5/100)</f>
        <v>1466.15106376421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47.3</v>
      </c>
      <c r="D7" s="4" t="n">
        <f aca="false">Assumptions!D14</f>
        <v>34.7</v>
      </c>
      <c r="E7" s="4" t="n">
        <f aca="false">Assumptions!E14</f>
        <v>26</v>
      </c>
      <c r="F7" s="4" t="n">
        <f aca="false">Assumptions!F14</f>
        <v>23.5</v>
      </c>
      <c r="G7" s="4" t="n">
        <f aca="false">Assumptions!G14</f>
        <v>23.1</v>
      </c>
      <c r="H7" s="4" t="n">
        <f aca="false">Assumptions!H14</f>
        <v>22.7</v>
      </c>
      <c r="I7" s="4" t="n">
        <f aca="false">Assumptions!I14</f>
        <v>22.3</v>
      </c>
      <c r="J7" s="4" t="n">
        <f aca="false">Assumptions!J14</f>
        <v>21.9</v>
      </c>
      <c r="K7" s="4" t="n">
        <f aca="false">Assumptions!K14</f>
        <v>21.5</v>
      </c>
      <c r="L7" s="4" t="n">
        <f aca="false">Assumptions!L14</f>
        <v>21.2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949.5664225542</v>
      </c>
      <c r="D8" s="0" t="n">
        <f aca="false">D6*D7/100</f>
        <v>566.627765016149</v>
      </c>
      <c r="E8" s="0" t="n">
        <f aca="false">E6*E7/100</f>
        <v>376.714386552437</v>
      </c>
      <c r="F8" s="0" t="n">
        <f aca="false">F6*F7/100</f>
        <v>335.554717567866</v>
      </c>
      <c r="G8" s="0" t="n">
        <f aca="false">G6*G7/100</f>
        <v>331.492363646672</v>
      </c>
      <c r="H8" s="0" t="n">
        <f aca="false">H6*H7/100</f>
        <v>327.348422094713</v>
      </c>
      <c r="I8" s="0" t="n">
        <f aca="false">I6*I7/100</f>
        <v>322.995120699914</v>
      </c>
      <c r="J8" s="0" t="n">
        <f aca="false">J6*J7/100</f>
        <v>318.565452638763</v>
      </c>
      <c r="K8" s="0" t="n">
        <f aca="false">K6*K7/100</f>
        <v>314.029167871393</v>
      </c>
      <c r="L8" s="0" t="n">
        <f aca="false">L6*L7/100</f>
        <v>310.824025518012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-4.0150800108</v>
      </c>
      <c r="D10" s="0" t="n">
        <f aca="false">-D6*D9/100</f>
        <v>-3.26586608078472</v>
      </c>
      <c r="E10" s="0" t="n">
        <f aca="false">-E6*E9/100</f>
        <v>-2.89780297348028</v>
      </c>
      <c r="F10" s="0" t="n">
        <f aca="false">-F6*F9/100</f>
        <v>-2.85578483036482</v>
      </c>
      <c r="G10" s="0" t="n">
        <f aca="false">-G6*G9/100</f>
        <v>-2.87006375451664</v>
      </c>
      <c r="H10" s="0" t="n">
        <f aca="false">-H6*H9/100</f>
        <v>-2.88412706691377</v>
      </c>
      <c r="I10" s="0" t="n">
        <f aca="false">-I6*I9/100</f>
        <v>-2.89681722600819</v>
      </c>
      <c r="J10" s="0" t="n">
        <f aca="false">-J6*J9/100</f>
        <v>-2.90927354008003</v>
      </c>
      <c r="K10" s="0" t="n">
        <f aca="false">-K6*K9/100</f>
        <v>-2.92120156159436</v>
      </c>
      <c r="L10" s="0" t="n">
        <f aca="false">-L6*L9/100</f>
        <v>-2.93230212752842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919.4533224732</v>
      </c>
      <c r="D11" s="0" t="n">
        <f aca="false">D8+D10+D24</f>
        <v>537.234970289087</v>
      </c>
      <c r="E11" s="0" t="n">
        <f aca="false">E8+E10+E24</f>
        <v>347.736356817634</v>
      </c>
      <c r="F11" s="0" t="n">
        <f aca="false">F8+F10+F24</f>
        <v>306.996869264218</v>
      </c>
      <c r="G11" s="0" t="n">
        <f aca="false">G8+G10+G24</f>
        <v>302.791726101506</v>
      </c>
      <c r="H11" s="0" t="n">
        <f aca="false">H8+H10+H24</f>
        <v>298.507151425576</v>
      </c>
      <c r="I11" s="0" t="n">
        <f aca="false">I8+I10+I24</f>
        <v>294.026948439832</v>
      </c>
      <c r="J11" s="0" t="n">
        <f aca="false">J8+J10+J24</f>
        <v>289.472717237963</v>
      </c>
      <c r="K11" s="0" t="n">
        <f aca="false">K8+K10+K24</f>
        <v>284.81715225545</v>
      </c>
      <c r="L11" s="0" t="n">
        <f aca="false">L8+L10+L24</f>
        <v>281.501004242728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-321.206400864</v>
      </c>
      <c r="D12" s="4" t="n">
        <f aca="false">-D6*Assumptions!D17/100</f>
        <v>-310.257277674548</v>
      </c>
      <c r="E12" s="4" t="n">
        <f aca="false">-E6*Assumptions!E17/100</f>
        <v>-289.780297348028</v>
      </c>
      <c r="F12" s="4" t="n">
        <f aca="false">-F6*Assumptions!F17/100</f>
        <v>-264.160096808746</v>
      </c>
      <c r="G12" s="4" t="n">
        <f aca="false">-G6*Assumptions!G17/100</f>
        <v>-229.605100361331</v>
      </c>
      <c r="H12" s="4" t="n">
        <f aca="false">-H6*Assumptions!H17/100</f>
        <v>-230.730165353102</v>
      </c>
      <c r="I12" s="4" t="n">
        <f aca="false">-I6*Assumptions!I17/100</f>
        <v>-231.745378080656</v>
      </c>
      <c r="J12" s="4" t="n">
        <f aca="false">-J6*Assumptions!J17/100</f>
        <v>-232.741883206402</v>
      </c>
      <c r="K12" s="4" t="n">
        <f aca="false">-K6*Assumptions!K17/100</f>
        <v>-233.696124927549</v>
      </c>
      <c r="L12" s="4" t="n">
        <f aca="false">-L6*Assumptions!L17/100</f>
        <v>-234.584170202273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598.2469216092</v>
      </c>
      <c r="D13" s="0" t="n">
        <f aca="false">D11+D12</f>
        <v>226.977692614538</v>
      </c>
      <c r="E13" s="0" t="n">
        <f aca="false">E11+E12</f>
        <v>57.9560594696056</v>
      </c>
      <c r="F13" s="0" t="n">
        <f aca="false">F11+F12</f>
        <v>42.8367724554723</v>
      </c>
      <c r="G13" s="0" t="n">
        <f aca="false">G11+G12</f>
        <v>73.1866257401744</v>
      </c>
      <c r="H13" s="0" t="n">
        <f aca="false">H11+H12</f>
        <v>67.7769860724737</v>
      </c>
      <c r="I13" s="0" t="n">
        <f aca="false">I11+I12</f>
        <v>62.2815703591762</v>
      </c>
      <c r="J13" s="0" t="n">
        <f aca="false">J11+J12</f>
        <v>56.7308340315605</v>
      </c>
      <c r="K13" s="0" t="n">
        <f aca="false">K11+K12</f>
        <v>51.1210273279013</v>
      </c>
      <c r="L13" s="0" t="n">
        <f aca="false">L11+L12</f>
        <v>46.9168340404546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418.77284512644</v>
      </c>
      <c r="D15" s="0" t="n">
        <f aca="false">D13-MAX(0,D13)*D14/100</f>
        <v>158.884384830177</v>
      </c>
      <c r="E15" s="0" t="n">
        <f aca="false">E13-MAX(0,E13)*E14/100</f>
        <v>40.5692416287239</v>
      </c>
      <c r="F15" s="0" t="n">
        <f aca="false">F13-MAX(0,F13)*F14/100</f>
        <v>29.9857407188306</v>
      </c>
      <c r="G15" s="0" t="n">
        <f aca="false">G13-MAX(0,G13)*G14/100</f>
        <v>51.2306380181221</v>
      </c>
      <c r="H15" s="0" t="n">
        <f aca="false">H13-MAX(0,H13)*H14/100</f>
        <v>47.4438902507316</v>
      </c>
      <c r="I15" s="0" t="n">
        <f aca="false">I13-MAX(0,I13)*I14/100</f>
        <v>43.5970992514233</v>
      </c>
      <c r="J15" s="0" t="n">
        <f aca="false">J13-MAX(0,J13)*J14/100</f>
        <v>39.7115838220923</v>
      </c>
      <c r="K15" s="0" t="n">
        <f aca="false">K13-MAX(0,K13)*K14/100</f>
        <v>35.7847191295309</v>
      </c>
      <c r="L15" s="0" t="n">
        <f aca="false">L13-MAX(0,L13)*L14/100</f>
        <v>32.8417838283182</v>
      </c>
    </row>
    <row r="16" customFormat="false" ht="15" hidden="false" customHeight="false" outlineLevel="0" collapsed="false">
      <c r="A16" s="0" t="s">
        <v>124</v>
      </c>
      <c r="C16" s="0" t="n">
        <f aca="false">-C12</f>
        <v>321.206400864</v>
      </c>
      <c r="D16" s="0" t="n">
        <f aca="false">-D12</f>
        <v>310.257277674548</v>
      </c>
      <c r="E16" s="0" t="n">
        <f aca="false">-E12</f>
        <v>289.780297348028</v>
      </c>
      <c r="F16" s="0" t="n">
        <f aca="false">-F12</f>
        <v>264.160096808746</v>
      </c>
      <c r="G16" s="0" t="n">
        <f aca="false">-G12</f>
        <v>229.605100361331</v>
      </c>
      <c r="H16" s="0" t="n">
        <f aca="false">-H12</f>
        <v>230.730165353102</v>
      </c>
      <c r="I16" s="0" t="n">
        <f aca="false">-I12</f>
        <v>231.745378080656</v>
      </c>
      <c r="J16" s="0" t="n">
        <f aca="false">-J12</f>
        <v>232.741883206402</v>
      </c>
      <c r="K16" s="0" t="n">
        <f aca="false">-K12</f>
        <v>233.696124927549</v>
      </c>
      <c r="L16" s="0" t="n">
        <f aca="false">-L12</f>
        <v>234.584170202273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-359.3496609666</v>
      </c>
      <c r="D17" s="4" t="n">
        <f aca="false">-D6*Assumptions!D18/100</f>
        <v>-279.231549907094</v>
      </c>
      <c r="E17" s="4" t="n">
        <f aca="false">-E6*Assumptions!E18/100</f>
        <v>-220.233025984501</v>
      </c>
      <c r="F17" s="4" t="n">
        <f aca="false">-F6*Assumptions!F18/100</f>
        <v>-209.900185031814</v>
      </c>
      <c r="G17" s="4" t="n">
        <f aca="false">-G6*Assumptions!G18/100</f>
        <v>-213.81974971149</v>
      </c>
      <c r="H17" s="4" t="n">
        <f aca="false">-H6*Assumptions!H18/100</f>
        <v>-217.75159355199</v>
      </c>
      <c r="I17" s="4" t="n">
        <f aca="false">-I6*Assumptions!I18/100</f>
        <v>-221.606517789627</v>
      </c>
      <c r="J17" s="4" t="n">
        <f aca="false">-J6*Assumptions!J18/100</f>
        <v>-225.468699356202</v>
      </c>
      <c r="K17" s="4" t="n">
        <f aca="false">-K6*Assumptions!K18/100</f>
        <v>-229.314322585157</v>
      </c>
      <c r="L17" s="4" t="n">
        <f aca="false">-L6*Assumptions!L18/100</f>
        <v>-233.118019138509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380.62958502384</v>
      </c>
      <c r="D19" s="0" t="n">
        <f aca="false">D15+D16+D17+D18</f>
        <v>189.910112597632</v>
      </c>
      <c r="E19" s="0" t="n">
        <f aca="false">E15+E16+E17+E18</f>
        <v>110.116512992251</v>
      </c>
      <c r="F19" s="0" t="n">
        <f aca="false">F15+F16+F17+F18</f>
        <v>84.2456524957622</v>
      </c>
      <c r="G19" s="0" t="n">
        <f aca="false">G15+G16+G17+G18</f>
        <v>67.0159886679636</v>
      </c>
      <c r="H19" s="0" t="n">
        <f aca="false">H15+H16+H17+H18</f>
        <v>60.4224620518435</v>
      </c>
      <c r="I19" s="0" t="n">
        <f aca="false">I15+I16+I17+I18</f>
        <v>53.735959542452</v>
      </c>
      <c r="J19" s="0" t="n">
        <f aca="false">J15+J16+J17+J18</f>
        <v>46.9847676722924</v>
      </c>
      <c r="K19" s="0" t="n">
        <f aca="false">K15+K16+K17+K18</f>
        <v>40.1665214719225</v>
      </c>
      <c r="L19" s="0" t="n">
        <f aca="false">L15+L16+L17+L18</f>
        <v>34.3079348920824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347.606926962411</v>
      </c>
      <c r="D21" s="0" t="n">
        <f aca="false">D19*D20</f>
        <v>158.387116697009</v>
      </c>
      <c r="E21" s="0" t="n">
        <f aca="false">E19*E20</f>
        <v>83.870666219386</v>
      </c>
      <c r="F21" s="0" t="n">
        <f aca="false">F19*F20</f>
        <v>58.5991102138079</v>
      </c>
      <c r="G21" s="0" t="n">
        <f aca="false">G19*G20</f>
        <v>42.5704100181062</v>
      </c>
      <c r="H21" s="0" t="n">
        <f aca="false">H19*H20</f>
        <v>35.0520726025337</v>
      </c>
      <c r="I21" s="0" t="n">
        <f aca="false">I19*I20</f>
        <v>28.4686041757531</v>
      </c>
      <c r="J21" s="0" t="n">
        <f aca="false">J19*J20</f>
        <v>22.7323393349037</v>
      </c>
      <c r="K21" s="0" t="n">
        <f aca="false">K19*K20</f>
        <v>17.7474985642553</v>
      </c>
      <c r="L21" s="0" t="n">
        <f aca="false">L19*L20</f>
        <v>13.8437384466885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1.3</v>
      </c>
      <c r="D23" s="4" t="n">
        <f aca="false">Assumptions!D16</f>
        <v>1.6</v>
      </c>
      <c r="E23" s="4" t="n">
        <f aca="false">Assumptions!E16</f>
        <v>1.8</v>
      </c>
      <c r="F23" s="4" t="n">
        <f aca="false">Assumptions!F16</f>
        <v>1.8</v>
      </c>
      <c r="G23" s="4" t="n">
        <f aca="false">Assumptions!G16</f>
        <v>1.8</v>
      </c>
      <c r="H23" s="4" t="n">
        <f aca="false">Assumptions!H16</f>
        <v>1.8</v>
      </c>
      <c r="I23" s="4" t="n">
        <f aca="false">Assumptions!I16</f>
        <v>1.8</v>
      </c>
      <c r="J23" s="4" t="n">
        <f aca="false">Assumptions!J16</f>
        <v>1.8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-26.0980200702</v>
      </c>
      <c r="D24" s="0" t="n">
        <f aca="false">-D6*D23/100</f>
        <v>-26.1269286462778</v>
      </c>
      <c r="E24" s="0" t="n">
        <f aca="false">-E6*E23/100</f>
        <v>-26.0802267613225</v>
      </c>
      <c r="F24" s="0" t="n">
        <f aca="false">-F6*F23/100</f>
        <v>-25.7020634732834</v>
      </c>
      <c r="G24" s="0" t="n">
        <f aca="false">-G6*G23/100</f>
        <v>-25.8305737906498</v>
      </c>
      <c r="H24" s="0" t="n">
        <f aca="false">-H6*H23/100</f>
        <v>-25.957143602224</v>
      </c>
      <c r="I24" s="0" t="n">
        <f aca="false">-I6*I23/100</f>
        <v>-26.0713550340737</v>
      </c>
      <c r="J24" s="0" t="n">
        <f aca="false">-J6*J23/100</f>
        <v>-26.1834618607203</v>
      </c>
      <c r="K24" s="0" t="n">
        <f aca="false">-K6*K23/100</f>
        <v>-26.2908140543492</v>
      </c>
      <c r="L24" s="0" t="n">
        <f aca="false">-L6*L23/100</f>
        <v>-26.3907191477557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808.878483234855</v>
      </c>
    </row>
    <row r="31" customFormat="false" ht="15" hidden="false" customHeight="false" outlineLevel="0" collapsed="false">
      <c r="A31" s="0" t="s">
        <v>133</v>
      </c>
      <c r="B31" s="0" t="n">
        <f aca="false">L19</f>
        <v>34.3079348920824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407.658991070626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274.463479136659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274.463479136659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110.749907573508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919.628390808362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1882.87739080836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2.4729928324617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-0.679456535001723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19.4965385414252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14.0595030981954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2.51706572370023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247.507244578595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2.27808830474195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-4.56</v>
      </c>
      <c r="D5" s="4" t="n">
        <f aca="false">Assumptions!D27</f>
        <v>-9.68</v>
      </c>
      <c r="E5" s="4" t="n">
        <f aca="false">Assumptions!E27</f>
        <v>-8.64</v>
      </c>
      <c r="F5" s="4" t="n">
        <f aca="false">Assumptions!F27</f>
        <v>0.62</v>
      </c>
      <c r="G5" s="4" t="n">
        <f aca="false">Assumptions!G27</f>
        <v>0.6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2349.099</v>
      </c>
      <c r="C6" s="0" t="n">
        <f aca="false">B6*(1+C5/100)</f>
        <v>2241.9800856</v>
      </c>
      <c r="D6" s="0" t="n">
        <f aca="false">C6*(1+D5/100)</f>
        <v>2024.95641331392</v>
      </c>
      <c r="E6" s="0" t="n">
        <f aca="false">D6*(1+E5/100)</f>
        <v>1850.0001792036</v>
      </c>
      <c r="F6" s="0" t="n">
        <f aca="false">E6*(1+F5/100)</f>
        <v>1861.47018031466</v>
      </c>
      <c r="G6" s="0" t="n">
        <f aca="false">F6*(1+G5/100)</f>
        <v>1872.63900139655</v>
      </c>
      <c r="H6" s="0" t="n">
        <f aca="false">G6*(1+H5/100)</f>
        <v>1910.09178142448</v>
      </c>
      <c r="I6" s="0" t="n">
        <f aca="false">H6*(1+I5/100)</f>
        <v>1948.29361705297</v>
      </c>
      <c r="J6" s="0" t="n">
        <f aca="false">I6*(1+J5/100)</f>
        <v>1987.25948939403</v>
      </c>
      <c r="K6" s="0" t="n">
        <f aca="false">J6*(1+K5/100)</f>
        <v>2027.00467918191</v>
      </c>
      <c r="L6" s="0" t="n">
        <f aca="false">K6*(1+L5/100)</f>
        <v>2067.54477276555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51.7</v>
      </c>
      <c r="D7" s="4" t="n">
        <f aca="false">Assumptions!D28</f>
        <v>45.6</v>
      </c>
      <c r="E7" s="4" t="n">
        <f aca="false">Assumptions!E28</f>
        <v>39.5</v>
      </c>
      <c r="F7" s="4" t="n">
        <f aca="false">Assumptions!F28</f>
        <v>38.9</v>
      </c>
      <c r="G7" s="4" t="n">
        <f aca="false">Assumptions!G28</f>
        <v>38.6</v>
      </c>
      <c r="H7" s="4" t="n">
        <f aca="false">Assumptions!H28</f>
        <v>38.3</v>
      </c>
      <c r="I7" s="4" t="n">
        <f aca="false">Assumptions!I28</f>
        <v>38</v>
      </c>
      <c r="J7" s="4" t="n">
        <f aca="false">Assumptions!J28</f>
        <v>37.7</v>
      </c>
      <c r="K7" s="4" t="n">
        <f aca="false">Assumptions!K28</f>
        <v>37.4</v>
      </c>
      <c r="L7" s="4" t="n">
        <f aca="false">Assumptions!L28</f>
        <v>37.1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1159.1037042552</v>
      </c>
      <c r="D8" s="0" t="n">
        <f aca="false">D6*D7/100</f>
        <v>923.380124471148</v>
      </c>
      <c r="E8" s="0" t="n">
        <f aca="false">E6*E7/100</f>
        <v>730.750070785421</v>
      </c>
      <c r="F8" s="0" t="n">
        <f aca="false">F6*F7/100</f>
        <v>724.111900142403</v>
      </c>
      <c r="G8" s="0" t="n">
        <f aca="false">G6*G7/100</f>
        <v>722.838654539067</v>
      </c>
      <c r="H8" s="0" t="n">
        <f aca="false">H6*H7/100</f>
        <v>731.565152285575</v>
      </c>
      <c r="I8" s="0" t="n">
        <f aca="false">I6*I7/100</f>
        <v>740.351574480128</v>
      </c>
      <c r="J8" s="0" t="n">
        <f aca="false">J6*J7/100</f>
        <v>749.196827501548</v>
      </c>
      <c r="K8" s="0" t="n">
        <f aca="false">K6*K7/100</f>
        <v>758.099750014034</v>
      </c>
      <c r="L8" s="0" t="n">
        <f aca="false">L6*L7/100</f>
        <v>767.059110696018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-4.4839601712</v>
      </c>
      <c r="D10" s="0" t="n">
        <f aca="false">-D6*D9/100</f>
        <v>-4.04991282662784</v>
      </c>
      <c r="E10" s="0" t="n">
        <f aca="false">-E6*E9/100</f>
        <v>-3.70000035840719</v>
      </c>
      <c r="F10" s="0" t="n">
        <f aca="false">-F6*F9/100</f>
        <v>-3.72294036062932</v>
      </c>
      <c r="G10" s="0" t="n">
        <f aca="false">-G6*G9/100</f>
        <v>-3.7452780027931</v>
      </c>
      <c r="H10" s="0" t="n">
        <f aca="false">-H6*H9/100</f>
        <v>-3.82018356284896</v>
      </c>
      <c r="I10" s="0" t="n">
        <f aca="false">-I6*I9/100</f>
        <v>-3.89658723410594</v>
      </c>
      <c r="J10" s="0" t="n">
        <f aca="false">-J6*J9/100</f>
        <v>-3.97451897878806</v>
      </c>
      <c r="K10" s="0" t="n">
        <f aca="false">-K6*K9/100</f>
        <v>-4.05400935836382</v>
      </c>
      <c r="L10" s="0" t="n">
        <f aca="false">-L6*L9/100</f>
        <v>-4.13508954553109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1127.7159830568</v>
      </c>
      <c r="D11" s="0" t="n">
        <f aca="false">D8+D10+D24</f>
        <v>893.005778271439</v>
      </c>
      <c r="E11" s="0" t="n">
        <f aca="false">E8+E10+E24</f>
        <v>701.150067918164</v>
      </c>
      <c r="F11" s="0" t="n">
        <f aca="false">F8+F10+F24</f>
        <v>694.328377257368</v>
      </c>
      <c r="G11" s="0" t="n">
        <f aca="false">G8+G10+G24</f>
        <v>692.876430516723</v>
      </c>
      <c r="H11" s="0" t="n">
        <f aca="false">H8+H10+H24</f>
        <v>701.003683782784</v>
      </c>
      <c r="I11" s="0" t="n">
        <f aca="false">I8+I10+I24</f>
        <v>709.17887660728</v>
      </c>
      <c r="J11" s="0" t="n">
        <f aca="false">J8+J10+J24</f>
        <v>717.400675671244</v>
      </c>
      <c r="K11" s="0" t="n">
        <f aca="false">K8+K10+K24</f>
        <v>725.667675147123</v>
      </c>
      <c r="L11" s="0" t="n">
        <f aca="false">L8+L10+L24</f>
        <v>733.978394331769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-320.6031522408</v>
      </c>
      <c r="D12" s="4" t="n">
        <f aca="false">-D6*Assumptions!D31/100</f>
        <v>-330.067895370169</v>
      </c>
      <c r="E12" s="4" t="n">
        <f aca="false">-E6*Assumptions!E31/100</f>
        <v>-320.050031002222</v>
      </c>
      <c r="F12" s="4" t="n">
        <f aca="false">-F6*Assumptions!F31/100</f>
        <v>-316.449930653492</v>
      </c>
      <c r="G12" s="4" t="n">
        <f aca="false">-G6*Assumptions!G31/100</f>
        <v>-314.60335223462</v>
      </c>
      <c r="H12" s="4" t="n">
        <f aca="false">-H6*Assumptions!H31/100</f>
        <v>-317.075235716463</v>
      </c>
      <c r="I12" s="4" t="n">
        <f aca="false">-I6*Assumptions!I31/100</f>
        <v>-321.46844681374</v>
      </c>
      <c r="J12" s="4" t="n">
        <f aca="false">-J6*Assumptions!J31/100</f>
        <v>-327.897815750015</v>
      </c>
      <c r="K12" s="4" t="n">
        <f aca="false">-K6*Assumptions!K31/100</f>
        <v>-334.455772065015</v>
      </c>
      <c r="L12" s="4" t="n">
        <f aca="false">-L6*Assumptions!L31/100</f>
        <v>-341.144887506315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807.112830816</v>
      </c>
      <c r="D13" s="0" t="n">
        <f aca="false">D11+D12</f>
        <v>562.93788290127</v>
      </c>
      <c r="E13" s="0" t="n">
        <f aca="false">E11+E12</f>
        <v>381.100036915941</v>
      </c>
      <c r="F13" s="0" t="n">
        <f aca="false">F11+F12</f>
        <v>377.878446603876</v>
      </c>
      <c r="G13" s="0" t="n">
        <f aca="false">G11+G12</f>
        <v>378.273078282103</v>
      </c>
      <c r="H13" s="0" t="n">
        <f aca="false">H11+H12</f>
        <v>383.92844806632</v>
      </c>
      <c r="I13" s="0" t="n">
        <f aca="false">I11+I12</f>
        <v>387.710429793541</v>
      </c>
      <c r="J13" s="0" t="n">
        <f aca="false">J11+J12</f>
        <v>389.502859921229</v>
      </c>
      <c r="K13" s="0" t="n">
        <f aca="false">K11+K12</f>
        <v>391.211903082108</v>
      </c>
      <c r="L13" s="0" t="n">
        <f aca="false">L11+L12</f>
        <v>392.833506825454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564.9789815712</v>
      </c>
      <c r="D15" s="0" t="n">
        <f aca="false">D13-MAX(0,D13)*D14/100</f>
        <v>394.056518030889</v>
      </c>
      <c r="E15" s="0" t="n">
        <f aca="false">E13-MAX(0,E13)*E14/100</f>
        <v>266.770025841159</v>
      </c>
      <c r="F15" s="0" t="n">
        <f aca="false">F13-MAX(0,F13)*F14/100</f>
        <v>264.514912622713</v>
      </c>
      <c r="G15" s="0" t="n">
        <f aca="false">G13-MAX(0,G13)*G14/100</f>
        <v>264.791154797472</v>
      </c>
      <c r="H15" s="0" t="n">
        <f aca="false">H13-MAX(0,H13)*H14/100</f>
        <v>268.749913646424</v>
      </c>
      <c r="I15" s="0" t="n">
        <f aca="false">I13-MAX(0,I13)*I14/100</f>
        <v>271.397300855478</v>
      </c>
      <c r="J15" s="0" t="n">
        <f aca="false">J13-MAX(0,J13)*J14/100</f>
        <v>272.652001944861</v>
      </c>
      <c r="K15" s="0" t="n">
        <f aca="false">K13-MAX(0,K13)*K14/100</f>
        <v>273.848332157476</v>
      </c>
      <c r="L15" s="0" t="n">
        <f aca="false">L13-MAX(0,L13)*L14/100</f>
        <v>274.983454777818</v>
      </c>
    </row>
    <row r="16" customFormat="false" ht="15" hidden="false" customHeight="false" outlineLevel="0" collapsed="false">
      <c r="A16" s="0" t="s">
        <v>124</v>
      </c>
      <c r="C16" s="0" t="n">
        <f aca="false">-C12</f>
        <v>320.6031522408</v>
      </c>
      <c r="D16" s="0" t="n">
        <f aca="false">-D12</f>
        <v>330.067895370169</v>
      </c>
      <c r="E16" s="0" t="n">
        <f aca="false">-E12</f>
        <v>320.050031002222</v>
      </c>
      <c r="F16" s="0" t="n">
        <f aca="false">-F12</f>
        <v>316.449930653492</v>
      </c>
      <c r="G16" s="0" t="n">
        <f aca="false">-G12</f>
        <v>314.60335223462</v>
      </c>
      <c r="H16" s="0" t="n">
        <f aca="false">-H12</f>
        <v>317.075235716463</v>
      </c>
      <c r="I16" s="0" t="n">
        <f aca="false">-I12</f>
        <v>321.46844681374</v>
      </c>
      <c r="J16" s="0" t="n">
        <f aca="false">-J12</f>
        <v>327.897815750015</v>
      </c>
      <c r="K16" s="0" t="n">
        <f aca="false">-K12</f>
        <v>334.455772065015</v>
      </c>
      <c r="L16" s="0" t="n">
        <f aca="false">-L12</f>
        <v>341.144887506315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-390.1045348944</v>
      </c>
      <c r="D17" s="4" t="n">
        <f aca="false">-D6*Assumptions!D32/100</f>
        <v>-350.317459503308</v>
      </c>
      <c r="E17" s="4" t="n">
        <f aca="false">-E6*Assumptions!E32/100</f>
        <v>-314.500030464612</v>
      </c>
      <c r="F17" s="4" t="n">
        <f aca="false">-F6*Assumptions!F32/100</f>
        <v>-320.172871014121</v>
      </c>
      <c r="G17" s="4" t="n">
        <f aca="false">-G6*Assumptions!G32/100</f>
        <v>-323.966547241603</v>
      </c>
      <c r="H17" s="4" t="n">
        <f aca="false">-H6*Assumptions!H32/100</f>
        <v>-330.445878186435</v>
      </c>
      <c r="I17" s="4" t="n">
        <f aca="false">-I6*Assumptions!I32/100</f>
        <v>-335.106502133111</v>
      </c>
      <c r="J17" s="4" t="n">
        <f aca="false">-J6*Assumptions!J32/100</f>
        <v>-341.808632175773</v>
      </c>
      <c r="K17" s="4" t="n">
        <f aca="false">-K6*Assumptions!K32/100</f>
        <v>-348.644804819288</v>
      </c>
      <c r="L17" s="4" t="n">
        <f aca="false">-L6*Assumptions!L32/100</f>
        <v>-355.617700915674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495.4775989176</v>
      </c>
      <c r="D19" s="0" t="n">
        <f aca="false">D15+D16+D17+D18</f>
        <v>373.80695389775</v>
      </c>
      <c r="E19" s="0" t="n">
        <f aca="false">E15+E16+E17+E18</f>
        <v>272.32002637877</v>
      </c>
      <c r="F19" s="0" t="n">
        <f aca="false">F15+F16+F17+F18</f>
        <v>260.791972262084</v>
      </c>
      <c r="G19" s="0" t="n">
        <f aca="false">G15+G16+G17+G18</f>
        <v>255.427959790489</v>
      </c>
      <c r="H19" s="0" t="n">
        <f aca="false">H15+H16+H17+H18</f>
        <v>255.379271176453</v>
      </c>
      <c r="I19" s="0" t="n">
        <f aca="false">I15+I16+I17+I18</f>
        <v>257.759245536108</v>
      </c>
      <c r="J19" s="0" t="n">
        <f aca="false">J15+J16+J17+J18</f>
        <v>258.741185519102</v>
      </c>
      <c r="K19" s="0" t="n">
        <f aca="false">K15+K16+K17+K18</f>
        <v>259.659299403202</v>
      </c>
      <c r="L19" s="0" t="n">
        <f aca="false">L15+L16+L17+L18</f>
        <v>260.510641368459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452.490957915617</v>
      </c>
      <c r="D21" s="0" t="n">
        <f aca="false">D19*D20</f>
        <v>311.759099182877</v>
      </c>
      <c r="E21" s="0" t="n">
        <f aca="false">E19*E20</f>
        <v>207.413596895095</v>
      </c>
      <c r="F21" s="0" t="n">
        <f aca="false">F19*F20</f>
        <v>181.400191852404</v>
      </c>
      <c r="G21" s="0" t="n">
        <f aca="false">G19*G20</f>
        <v>162.254906545422</v>
      </c>
      <c r="H21" s="0" t="n">
        <f aca="false">H19*H20</f>
        <v>148.149751772421</v>
      </c>
      <c r="I21" s="0" t="n">
        <f aca="false">I19*I20</f>
        <v>136.557456055308</v>
      </c>
      <c r="J21" s="0" t="n">
        <f aca="false">J19*J20</f>
        <v>125.185091265314</v>
      </c>
      <c r="K21" s="0" t="n">
        <f aca="false">K19*K20</f>
        <v>114.729951075679</v>
      </c>
      <c r="L21" s="0" t="n">
        <f aca="false">L19*L20</f>
        <v>105.119739588765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1.2</v>
      </c>
      <c r="D23" s="4" t="n">
        <f aca="false">Assumptions!D30</f>
        <v>1.3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1.4</v>
      </c>
      <c r="I23" s="4" t="n">
        <f aca="false">Assumptions!I30</f>
        <v>1.4</v>
      </c>
      <c r="J23" s="4" t="n">
        <f aca="false">Assumptions!J30</f>
        <v>1.4</v>
      </c>
      <c r="K23" s="4" t="n">
        <f aca="false">Assumptions!K30</f>
        <v>1.4</v>
      </c>
      <c r="L23" s="4" t="n">
        <f aca="false">Assumptions!L30</f>
        <v>1.4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-26.9037610272</v>
      </c>
      <c r="D24" s="0" t="n">
        <f aca="false">-D6*D23/100</f>
        <v>-26.324433373081</v>
      </c>
      <c r="E24" s="0" t="n">
        <f aca="false">-E6*E23/100</f>
        <v>-25.9000025088504</v>
      </c>
      <c r="F24" s="0" t="n">
        <f aca="false">-F6*F23/100</f>
        <v>-26.0605825244052</v>
      </c>
      <c r="G24" s="0" t="n">
        <f aca="false">-G6*G23/100</f>
        <v>-26.2169460195517</v>
      </c>
      <c r="H24" s="0" t="n">
        <f aca="false">-H6*H23/100</f>
        <v>-26.7412849399427</v>
      </c>
      <c r="I24" s="0" t="n">
        <f aca="false">-I6*I23/100</f>
        <v>-27.2761106387415</v>
      </c>
      <c r="J24" s="0" t="n">
        <f aca="false">-J6*J23/100</f>
        <v>-27.8216328515164</v>
      </c>
      <c r="K24" s="0" t="n">
        <f aca="false">-K6*K23/100</f>
        <v>-28.3780655085467</v>
      </c>
      <c r="L24" s="0" t="n">
        <f aca="false">-L6*L23/100</f>
        <v>-28.9456268187176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1945.0607421489</v>
      </c>
    </row>
    <row r="31" customFormat="false" ht="15" hidden="false" customHeight="false" outlineLevel="0" collapsed="false">
      <c r="A31" s="0" t="s">
        <v>133</v>
      </c>
      <c r="B31" s="0" t="n">
        <f aca="false">L19</f>
        <v>260.510641368459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3542.94472261104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3126.12769642151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3126.12769642151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1261.43687506518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3206.49761721408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4169.74661721408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5.47659319076787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-0.290136981105914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24.9227197732203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22.6925152128127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5.53913158833495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2044.00657073714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4.02856364753461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1.61</v>
      </c>
      <c r="D5" s="4" t="n">
        <f aca="false">Assumptions!D41</f>
        <v>5.08</v>
      </c>
      <c r="E5" s="4" t="n">
        <f aca="false">Assumptions!E41</f>
        <v>3.66</v>
      </c>
      <c r="F5" s="4" t="n">
        <f aca="false">Assumptions!F41</f>
        <v>2.5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2349.099</v>
      </c>
      <c r="C6" s="0" t="n">
        <f aca="false">B6*(1+C5/100)</f>
        <v>2386.9194939</v>
      </c>
      <c r="D6" s="0" t="n">
        <f aca="false">C6*(1+D5/100)</f>
        <v>2508.17500419012</v>
      </c>
      <c r="E6" s="0" t="n">
        <f aca="false">D6*(1+E5/100)</f>
        <v>2599.97420934348</v>
      </c>
      <c r="F6" s="0" t="n">
        <f aca="false">E6*(1+F5/100)</f>
        <v>2664.97356457707</v>
      </c>
      <c r="G6" s="0" t="n">
        <f aca="false">F6*(1+G5/100)</f>
        <v>2731.59790369149</v>
      </c>
      <c r="H6" s="0" t="n">
        <f aca="false">G6*(1+H5/100)</f>
        <v>2799.88785128378</v>
      </c>
      <c r="I6" s="0" t="n">
        <f aca="false">H6*(1+I5/100)</f>
        <v>2869.88504756587</v>
      </c>
      <c r="J6" s="0" t="n">
        <f aca="false">I6*(1+J5/100)</f>
        <v>2941.63217375502</v>
      </c>
      <c r="K6" s="0" t="n">
        <f aca="false">J6*(1+K5/100)</f>
        <v>3015.1729780989</v>
      </c>
      <c r="L6" s="0" t="n">
        <f aca="false">K6*(1+L5/100)</f>
        <v>3090.55230255137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54</v>
      </c>
      <c r="D7" s="4" t="n">
        <f aca="false">Assumptions!D42</f>
        <v>53.8</v>
      </c>
      <c r="E7" s="4" t="n">
        <f aca="false">Assumptions!E42</f>
        <v>53.5</v>
      </c>
      <c r="F7" s="4" t="n">
        <f aca="false">Assumptions!F42</f>
        <v>53.3</v>
      </c>
      <c r="G7" s="4" t="n">
        <f aca="false">Assumptions!G42</f>
        <v>53.3</v>
      </c>
      <c r="H7" s="4" t="n">
        <f aca="false">Assumptions!H42</f>
        <v>53.3</v>
      </c>
      <c r="I7" s="4" t="n">
        <f aca="false">Assumptions!I42</f>
        <v>53.3</v>
      </c>
      <c r="J7" s="4" t="n">
        <f aca="false">Assumptions!J42</f>
        <v>53.3</v>
      </c>
      <c r="K7" s="4" t="n">
        <f aca="false">Assumptions!K42</f>
        <v>53.3</v>
      </c>
      <c r="L7" s="4" t="n">
        <f aca="false">Assumptions!L42</f>
        <v>53.3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1288.936526706</v>
      </c>
      <c r="D8" s="0" t="n">
        <f aca="false">D6*D7/100</f>
        <v>1349.39815225428</v>
      </c>
      <c r="E8" s="0" t="n">
        <f aca="false">E6*E7/100</f>
        <v>1390.98620199876</v>
      </c>
      <c r="F8" s="0" t="n">
        <f aca="false">F6*F7/100</f>
        <v>1420.43090991958</v>
      </c>
      <c r="G8" s="0" t="n">
        <f aca="false">G6*G7/100</f>
        <v>1455.94168266757</v>
      </c>
      <c r="H8" s="0" t="n">
        <f aca="false">H6*H7/100</f>
        <v>1492.34022473425</v>
      </c>
      <c r="I8" s="0" t="n">
        <f aca="false">I6*I7/100</f>
        <v>1529.64873035261</v>
      </c>
      <c r="J8" s="0" t="n">
        <f aca="false">J6*J7/100</f>
        <v>1567.88994861143</v>
      </c>
      <c r="K8" s="0" t="n">
        <f aca="false">K6*K7/100</f>
        <v>1607.08719732671</v>
      </c>
      <c r="L8" s="0" t="n">
        <f aca="false">L6*L7/100</f>
        <v>1647.26437725988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-4.7738389878</v>
      </c>
      <c r="D10" s="0" t="n">
        <f aca="false">-D6*D9/100</f>
        <v>-5.01635000838024</v>
      </c>
      <c r="E10" s="0" t="n">
        <f aca="false">-E6*E9/100</f>
        <v>-5.19994841868696</v>
      </c>
      <c r="F10" s="0" t="n">
        <f aca="false">-F6*F9/100</f>
        <v>-5.32994712915413</v>
      </c>
      <c r="G10" s="0" t="n">
        <f aca="false">-G6*G9/100</f>
        <v>-5.46319580738298</v>
      </c>
      <c r="H10" s="0" t="n">
        <f aca="false">-H6*H9/100</f>
        <v>-5.59977570256756</v>
      </c>
      <c r="I10" s="0" t="n">
        <f aca="false">-I6*I9/100</f>
        <v>-5.73977009513175</v>
      </c>
      <c r="J10" s="0" t="n">
        <f aca="false">-J6*J9/100</f>
        <v>-5.88326434751004</v>
      </c>
      <c r="K10" s="0" t="n">
        <f aca="false">-K6*K9/100</f>
        <v>-6.03034595619779</v>
      </c>
      <c r="L10" s="0" t="n">
        <f aca="false">-L6*L9/100</f>
        <v>-6.18110460510273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1257.9065732853</v>
      </c>
      <c r="D11" s="0" t="n">
        <f aca="false">D8+D10+D24</f>
        <v>1316.79187719981</v>
      </c>
      <c r="E11" s="0" t="n">
        <f aca="false">E8+E10+E24</f>
        <v>1357.1865372773</v>
      </c>
      <c r="F11" s="0" t="n">
        <f aca="false">F8+F10+F24</f>
        <v>1385.78625358007</v>
      </c>
      <c r="G11" s="0" t="n">
        <f aca="false">G8+G10+G24</f>
        <v>1420.43090991958</v>
      </c>
      <c r="H11" s="0" t="n">
        <f aca="false">H8+H10+H24</f>
        <v>1455.94168266757</v>
      </c>
      <c r="I11" s="0" t="n">
        <f aca="false">I8+I10+I24</f>
        <v>1492.34022473425</v>
      </c>
      <c r="J11" s="0" t="n">
        <f aca="false">J8+J10+J24</f>
        <v>1529.64873035261</v>
      </c>
      <c r="K11" s="0" t="n">
        <f aca="false">K8+K10+K24</f>
        <v>1567.88994861143</v>
      </c>
      <c r="L11" s="0" t="n">
        <f aca="false">L8+L10+L24</f>
        <v>1607.08719732671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-334.168729146</v>
      </c>
      <c r="D12" s="4" t="n">
        <f aca="false">-D6*Assumptions!D45/100</f>
        <v>-351.144500586617</v>
      </c>
      <c r="E12" s="4" t="n">
        <f aca="false">-E6*Assumptions!E45/100</f>
        <v>-350.99651826137</v>
      </c>
      <c r="F12" s="4" t="n">
        <f aca="false">-F6*Assumptions!F45/100</f>
        <v>-354.44148408875</v>
      </c>
      <c r="G12" s="4" t="n">
        <f aca="false">-G6*Assumptions!G45/100</f>
        <v>-363.302521190969</v>
      </c>
      <c r="H12" s="4" t="n">
        <f aca="false">-H6*Assumptions!H45/100</f>
        <v>-372.385084220743</v>
      </c>
      <c r="I12" s="4" t="n">
        <f aca="false">-I6*Assumptions!I45/100</f>
        <v>-381.694711326261</v>
      </c>
      <c r="J12" s="4" t="n">
        <f aca="false">-J6*Assumptions!J45/100</f>
        <v>-391.237079109418</v>
      </c>
      <c r="K12" s="4" t="n">
        <f aca="false">-K6*Assumptions!K45/100</f>
        <v>-401.018006087153</v>
      </c>
      <c r="L12" s="4" t="n">
        <f aca="false">-L6*Assumptions!L45/100</f>
        <v>-411.043456239332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923.7378441393</v>
      </c>
      <c r="D13" s="0" t="n">
        <f aca="false">D11+D12</f>
        <v>965.647376613196</v>
      </c>
      <c r="E13" s="0" t="n">
        <f aca="false">E11+E12</f>
        <v>1006.19001901593</v>
      </c>
      <c r="F13" s="0" t="n">
        <f aca="false">F11+F12</f>
        <v>1031.34476949132</v>
      </c>
      <c r="G13" s="0" t="n">
        <f aca="false">G11+G12</f>
        <v>1057.12838872861</v>
      </c>
      <c r="H13" s="0" t="n">
        <f aca="false">H11+H12</f>
        <v>1083.55659844682</v>
      </c>
      <c r="I13" s="0" t="n">
        <f aca="false">I11+I12</f>
        <v>1110.64551340799</v>
      </c>
      <c r="J13" s="0" t="n">
        <f aca="false">J11+J12</f>
        <v>1138.41165124319</v>
      </c>
      <c r="K13" s="0" t="n">
        <f aca="false">K11+K12</f>
        <v>1166.87194252427</v>
      </c>
      <c r="L13" s="0" t="n">
        <f aca="false">L11+L12</f>
        <v>1196.04374108738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646.61649089751</v>
      </c>
      <c r="D15" s="0" t="n">
        <f aca="false">D13-MAX(0,D13)*D14/100</f>
        <v>675.953163629238</v>
      </c>
      <c r="E15" s="0" t="n">
        <f aca="false">E13-MAX(0,E13)*E14/100</f>
        <v>704.333013311148</v>
      </c>
      <c r="F15" s="0" t="n">
        <f aca="false">F13-MAX(0,F13)*F14/100</f>
        <v>721.941338643927</v>
      </c>
      <c r="G15" s="0" t="n">
        <f aca="false">G13-MAX(0,G13)*G14/100</f>
        <v>739.989872110025</v>
      </c>
      <c r="H15" s="0" t="n">
        <f aca="false">H13-MAX(0,H13)*H14/100</f>
        <v>758.489618912776</v>
      </c>
      <c r="I15" s="0" t="n">
        <f aca="false">I13-MAX(0,I13)*I14/100</f>
        <v>777.451859385595</v>
      </c>
      <c r="J15" s="0" t="n">
        <f aca="false">J13-MAX(0,J13)*J14/100</f>
        <v>796.888155870235</v>
      </c>
      <c r="K15" s="0" t="n">
        <f aca="false">K13-MAX(0,K13)*K14/100</f>
        <v>816.81035976699</v>
      </c>
      <c r="L15" s="0" t="n">
        <f aca="false">L13-MAX(0,L13)*L14/100</f>
        <v>837.230618761166</v>
      </c>
    </row>
    <row r="16" customFormat="false" ht="15" hidden="false" customHeight="false" outlineLevel="0" collapsed="false">
      <c r="A16" s="0" t="s">
        <v>124</v>
      </c>
      <c r="C16" s="0" t="n">
        <f aca="false">-C12</f>
        <v>334.168729146</v>
      </c>
      <c r="D16" s="0" t="n">
        <f aca="false">-D12</f>
        <v>351.144500586617</v>
      </c>
      <c r="E16" s="0" t="n">
        <f aca="false">-E12</f>
        <v>350.99651826137</v>
      </c>
      <c r="F16" s="0" t="n">
        <f aca="false">-F12</f>
        <v>354.44148408875</v>
      </c>
      <c r="G16" s="0" t="n">
        <f aca="false">-G12</f>
        <v>363.302521190969</v>
      </c>
      <c r="H16" s="0" t="n">
        <f aca="false">-H12</f>
        <v>372.385084220743</v>
      </c>
      <c r="I16" s="0" t="n">
        <f aca="false">-I12</f>
        <v>381.694711326261</v>
      </c>
      <c r="J16" s="0" t="n">
        <f aca="false">-J12</f>
        <v>391.237079109418</v>
      </c>
      <c r="K16" s="0" t="n">
        <f aca="false">-K12</f>
        <v>401.018006087153</v>
      </c>
      <c r="L16" s="0" t="n">
        <f aca="false">-L12</f>
        <v>411.043456239332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-401.0024749752</v>
      </c>
      <c r="D17" s="4" t="n">
        <f aca="false">-D6*Assumptions!D46/100</f>
        <v>-381.242600636898</v>
      </c>
      <c r="E17" s="4" t="n">
        <f aca="false">-E6*Assumptions!E46/100</f>
        <v>-350.99651826137</v>
      </c>
      <c r="F17" s="4" t="n">
        <f aca="false">-F6*Assumptions!F46/100</f>
        <v>-354.44148408875</v>
      </c>
      <c r="G17" s="4" t="n">
        <f aca="false">-G6*Assumptions!G46/100</f>
        <v>-363.302521190969</v>
      </c>
      <c r="H17" s="4" t="n">
        <f aca="false">-H6*Assumptions!H46/100</f>
        <v>-372.385084220743</v>
      </c>
      <c r="I17" s="4" t="n">
        <f aca="false">-I6*Assumptions!I46/100</f>
        <v>-381.694711326261</v>
      </c>
      <c r="J17" s="4" t="n">
        <f aca="false">-J6*Assumptions!J46/100</f>
        <v>-391.237079109418</v>
      </c>
      <c r="K17" s="4" t="n">
        <f aca="false">-K6*Assumptions!K46/100</f>
        <v>-401.018006087153</v>
      </c>
      <c r="L17" s="4" t="n">
        <f aca="false">-L6*Assumptions!L46/100</f>
        <v>-411.043456239332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579.78274506831</v>
      </c>
      <c r="D19" s="0" t="n">
        <f aca="false">D15+D16+D17+D18</f>
        <v>645.855063578956</v>
      </c>
      <c r="E19" s="0" t="n">
        <f aca="false">E15+E16+E17+E18</f>
        <v>704.333013311149</v>
      </c>
      <c r="F19" s="0" t="n">
        <f aca="false">F15+F16+F17+F18</f>
        <v>721.941338643927</v>
      </c>
      <c r="G19" s="0" t="n">
        <f aca="false">G15+G16+G17+G18</f>
        <v>739.989872110025</v>
      </c>
      <c r="H19" s="0" t="n">
        <f aca="false">H15+H16+H17+H18</f>
        <v>758.489618912776</v>
      </c>
      <c r="I19" s="0" t="n">
        <f aca="false">I15+I16+I17+I18</f>
        <v>777.451859385595</v>
      </c>
      <c r="J19" s="0" t="n">
        <f aca="false">J15+J16+J17+J18</f>
        <v>796.888155870235</v>
      </c>
      <c r="K19" s="0" t="n">
        <f aca="false">K15+K16+K17+K18</f>
        <v>816.81035976699</v>
      </c>
      <c r="L19" s="0" t="n">
        <f aca="false">L15+L16+L17+L18</f>
        <v>837.230618761166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529.481958966493</v>
      </c>
      <c r="D21" s="0" t="n">
        <f aca="false">D19*D20</f>
        <v>538.650206275062</v>
      </c>
      <c r="E21" s="0" t="n">
        <f aca="false">E19*E20</f>
        <v>536.457952231659</v>
      </c>
      <c r="F21" s="0" t="n">
        <f aca="false">F19*F20</f>
        <v>502.163836563882</v>
      </c>
      <c r="G21" s="0" t="n">
        <f aca="false">G19*G20</f>
        <v>470.062038792675</v>
      </c>
      <c r="H21" s="0" t="n">
        <f aca="false">H19*H20</f>
        <v>440.012410742001</v>
      </c>
      <c r="I21" s="0" t="n">
        <f aca="false">I19*I20</f>
        <v>411.883763479955</v>
      </c>
      <c r="J21" s="0" t="n">
        <f aca="false">J19*J20</f>
        <v>385.553294581693</v>
      </c>
      <c r="K21" s="0" t="n">
        <f aca="false">K19*K20</f>
        <v>360.906052005695</v>
      </c>
      <c r="L21" s="0" t="n">
        <f aca="false">L19*L20</f>
        <v>337.834432242774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1.1</v>
      </c>
      <c r="D23" s="4" t="n">
        <f aca="false">Assumptions!D44</f>
        <v>1.1</v>
      </c>
      <c r="E23" s="4" t="n">
        <f aca="false">Assumptions!E44</f>
        <v>1.1</v>
      </c>
      <c r="F23" s="4" t="n">
        <f aca="false">Assumptions!F44</f>
        <v>1.1</v>
      </c>
      <c r="G23" s="4" t="n">
        <f aca="false">Assumptions!G44</f>
        <v>1.1</v>
      </c>
      <c r="H23" s="4" t="n">
        <f aca="false">Assumptions!H44</f>
        <v>1.1</v>
      </c>
      <c r="I23" s="4" t="n">
        <f aca="false">Assumptions!I44</f>
        <v>1.1</v>
      </c>
      <c r="J23" s="4" t="n">
        <f aca="false">Assumptions!J44</f>
        <v>1.1</v>
      </c>
      <c r="K23" s="4" t="n">
        <f aca="false">Assumptions!K44</f>
        <v>1.1</v>
      </c>
      <c r="L23" s="4" t="n">
        <f aca="false">Assumptions!L44</f>
        <v>1.1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-26.2561144329</v>
      </c>
      <c r="D24" s="0" t="n">
        <f aca="false">-D6*D23/100</f>
        <v>-27.5899250460913</v>
      </c>
      <c r="E24" s="0" t="n">
        <f aca="false">-E6*E23/100</f>
        <v>-28.5997163027783</v>
      </c>
      <c r="F24" s="0" t="n">
        <f aca="false">-F6*F23/100</f>
        <v>-29.3147092103477</v>
      </c>
      <c r="G24" s="0" t="n">
        <f aca="false">-G6*G23/100</f>
        <v>-30.0475769406064</v>
      </c>
      <c r="H24" s="0" t="n">
        <f aca="false">-H6*H23/100</f>
        <v>-30.7987663641216</v>
      </c>
      <c r="I24" s="0" t="n">
        <f aca="false">-I6*I23/100</f>
        <v>-31.5687355232246</v>
      </c>
      <c r="J24" s="0" t="n">
        <f aca="false">-J6*J23/100</f>
        <v>-32.3579539113052</v>
      </c>
      <c r="K24" s="0" t="n">
        <f aca="false">-K6*K23/100</f>
        <v>-33.1669027590879</v>
      </c>
      <c r="L24" s="0" t="n">
        <f aca="false">-L6*L23/100</f>
        <v>-33.996075328065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4513.00594588189</v>
      </c>
    </row>
    <row r="31" customFormat="false" ht="15" hidden="false" customHeight="false" outlineLevel="0" collapsed="false">
      <c r="A31" s="0" t="s">
        <v>133</v>
      </c>
      <c r="B31" s="0" t="n">
        <f aca="false">L19</f>
        <v>837.230618761166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12259.4483461456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11721.2286626563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11721.2286626563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4729.68205139883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9242.68799728072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10205.9369972807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13.4045950979289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0.737471820859224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33.9761687661994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36.5216783260922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13.49718778156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6865.29107384156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8.16466858232746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2.4729928324617</v>
      </c>
      <c r="C4" s="0" t="n">
        <f aca="false">B4/Assumptions!$B$2-1</f>
        <v>-0.679456535001723</v>
      </c>
      <c r="D4" s="4" t="n">
        <f aca="false">Assumptions!$B$24</f>
        <v>0.25</v>
      </c>
      <c r="E4" s="4" t="n">
        <f aca="false">DCF_Bear!$B$43</f>
        <v>2.51706572370023</v>
      </c>
      <c r="F4" s="4" t="n">
        <f aca="false">DCF_Bear!$B$47</f>
        <v>2.27808830474195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5.47659319076787</v>
      </c>
      <c r="C5" s="0" t="n">
        <f aca="false">B5/Assumptions!$B$2-1</f>
        <v>-0.290136981105914</v>
      </c>
      <c r="D5" s="4" t="n">
        <f aca="false">Assumptions!$B$38</f>
        <v>0.5</v>
      </c>
      <c r="E5" s="4" t="n">
        <f aca="false">DCF_Base!$B$43</f>
        <v>5.53913158833495</v>
      </c>
      <c r="F5" s="4" t="n">
        <f aca="false">DCF_Base!$B$47</f>
        <v>4.02856364753461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13.4045950979289</v>
      </c>
      <c r="C6" s="0" t="n">
        <f aca="false">B6/Assumptions!$B$2-1</f>
        <v>0.737471820859224</v>
      </c>
      <c r="D6" s="4" t="n">
        <f aca="false">Assumptions!$B$52</f>
        <v>0.25</v>
      </c>
      <c r="E6" s="4" t="n">
        <f aca="false">DCF_Bull!$B$43</f>
        <v>13.49718778156</v>
      </c>
      <c r="F6" s="4" t="n">
        <f aca="false">DCF_Bull!$B$47</f>
        <v>8.16466858232746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6.70769357798159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6.77312917048253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-0.150171800531401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4.62497104553466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5.60396260713213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5.47659319076787</v>
      </c>
      <c r="C16" s="3" t="n">
        <v>9.5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5.35462786471149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5.04551686907428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4.71736406309396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4.02856364753461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6.02141786779394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6.02141786779394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6.02141786779394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6.02141786779394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6.02141786779394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5.73701989402569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5.73701989402569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5.73701989402569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5.73701989402569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5.73701989402569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5.46035019363253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5.47659319076787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5.47659319076787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5.47659319076787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5.47659319076787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5.06528498951335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5.14674972892012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5.23779855531593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5.23779855531593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5.23779855531593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4.74424702849393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4.80541628249133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4.87302440533057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4.94814454181862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5.01854861592625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2026-09-25T04:39:51Z</dcterms:created>
  <dc:creator>openpyxl</dc:creator>
  <dc:description/>
  <dc:language>en-NZ</dc:language>
  <cp:lastModifiedBy/>
  <dcterms:modified xsi:type="dcterms:W3CDTF">2026-09-25T04:39:51Z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