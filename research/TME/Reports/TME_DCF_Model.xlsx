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<sst xmlns="http://schemas.openxmlformats.org/spreadsheetml/2006/main" count="357" uniqueCount="168">
  <si>
    <t xml:space="preserve">Ticker</t>
  </si>
  <si>
    <t xml:space="preserve">TME</t>
  </si>
  <si>
    <t xml:space="preserve">Company</t>
  </si>
  <si>
    <t xml:space="preserve">Tencent Music Entertainment Group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</si>
  <si>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</si>
  <si>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</si>
  <si>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</si>
  <si>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</si>
  <si>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2026-10-02T20:00:03Z regular close (Friday); not an after-hours print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</si>
  <si>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</si>
  <si>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</si>
  <si>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</si>
  <si>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</si>
  <si>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</si>
  <si>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</si>
  <si>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</si>
  <si>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</si>
  <si>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</si>
  <si>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</si>
  <si>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</si>
  <si>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</si>
  <si>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</si>
  <si>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2026-10-04T09:11:30Z</t>
  </si>
  <si>
    <t xml:space="preserve">Drivers file</t>
  </si>
  <si>
    <t xml:space="preserve">TME_Drivers.json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</si>
  <si>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</si>
  <si>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</si>
  <si>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</si>
  <si>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owner-FCF basis: SBC (RMB680m, 2% of revenue) fully expensed and the ADS count held flat; interest income on the RMB44bn cash pile stripped from the flows and the cash added once in the bridge; the RMB22.8bn investment portfolio (FVOCI stakes, associates, other) added at 85% because its income is outside EBITDA; NCI deducted once at book; leases charged as an operating cost with lease liabilities excluded from debt. Flows and WACC are both in CNY; per-ADS values are converted to USD at the dated CNY=X rate and parity-checked against 1698.HK. A 10-year explicit horizon is used because Ximalaya annualisation and the social-entertainment run-off distort years 1-3. Terminal value is Gordon capped at 15x FCF. Jurisdiction risk is charged in the 11% rate, operating risk in the 30/50/20 weights -- each once.
key_risks_to_valuation: Competition: ByteDance Soda/Qishui Music's free model eroding TME's paying ratio and pricing power -- the bear axis; paying-user and ARPPU disclosure was discontinued in 2026 so the signal is now indirect; Regulatory: PRC content/live-streaming rules, anti-monopoly conditions on Ximalaya, VIE structure, HFCAA residual -- priced in the 3pp country premium, but a step-change (e.g. forced divestiture) is not in any scenario; Bridge dependence: ~RMB47bn (cash 27.7bn net + investments 19.4bn after haircut) is ~RMB29/ADS (~US$4.4), more than half the current price; the FVOCI stakes are marked to volatile listed prices (fell RMB7bn in H1 2026); Currency: CNY flows against a USD quote; a 5% RMB depreciation moves every USD value 5%, and refresh_price.py moves the price but not fx_rate (dated 2026-10-04); Share count is derived (1,594m diluted ADS +/-0.6%) from the Q2 weighted average; replace with the 20-F / HKEX monthly-return period-end count when available; Anchor timing: H2 2026 FCF (~US$0.35/ADS) omitted by using the June balance sheet with an FY2026E base -- conservative, but a reader comparing to a Dec-2026 balance sheet will see the gap</t>
  </si>
  <si>
    <t xml:space="preserve">Data sources</t>
  </si>
  <si>
    <t xml:space="preserve">price: Yahoo Finance chart API (TME) at inputs.price_as_of, regular close; 52-week range 7.66-23.855. FX: Yahoo CNY=X and HKD=X at the timestamps in inputs.fx_note; HKEX parity via 1698.HK.
financials: research/TME/Reports/TME_Metrics.csv (core_metrics, CNY millions, per-ADS EPS); TME_Annual_FY2025.txt (20-F: SBC reconciliation, interest income, cash taxes paid, capex, lease principal, buybacks, D&amp;A); TME_Quarterly_Q2-2026.txt (6-K: 30 Jun 2026 balance sheet, share counts, Ximalaya RMB407m contribution, segment revenue, buyback detail)
qualitative: research/TME/Reports/TME_Analysis.json (2026-10-04): business model, competitive position, Ximalaya deal terms and SAMR conditions, Q2 2026 guidance commentary, bull/bear cases</t>
  </si>
  <si>
    <t xml:space="preserve">Scenario narrative: bear</t>
  </si>
  <si>
    <t xml:space="preserve">ByteDance's free, Douyin-fed Soda Music (MAU +69% YoY, approaching QQ Music's scale) forces TME to defend the paying base with price and free-tier concessions: music revenue declines ~3%/yr for two years, social entertainment falls another ~18%/yr, advertising is hit by macro, and Ximalaya stays flat under its antitrust conditions. Content-cost inflation on label renewals (no exclusivity leverage) plus revenue-share floors compress the pre-SBC EBITDA margin from 34% back to 27% -- below FY2024's 31.7%. Growth returns only to 2% by year 8; HNTE preferential tax status partly lapses (20% cash tax). The RMB44bn cash pile and RMB19bn of listed stakes still underpin ~RMB29/ADS of value, which is why even this path sits above a price that implies the operating business is worth ~4x FCF.</t>
  </si>
  <si>
    <t xml:space="preserve">Scenario narrative: base</t>
  </si>
  <si>
    <t xml:space="preserve">Music related services keep growing mid-single digit: the SVIP tier (&gt;15m) lifts ARPPU while the casual paying base is flat against ByteDance's free Qishui/Soda Music, and offline performances/merchandise add lumpy but real revenue. Social entertainment keeps shrinking ~12%/yr under the 2022 live-streaming rules until it is a rounding error. Ximalaya (RMB~3.4bn run-rate, barely profitable) annualises in FY2027 and dilutes margin by ~0.7pp before integration efficiencies claw it back; the SAMR conditions (no price rises, no free-content cuts, no new exclusives) mean no quick monetisation. Pre-SBC EBITDA margin drifts from 35.5% to 37% -- the FY2023-25 expansion is kept, not extended. Cash tax 18%, capex 3.6%, 11% CNY cost of equity, 2.5% terminal growth.</t>
  </si>
  <si>
    <t xml:space="preserve">Scenario narrative: bull</t>
  </si>
  <si>
    <t xml:space="preserve">SVIP penetration and ARPPU (RMB11.9 at last disclosure) compound at high single digits, Ximalaya's audio library is bundled into SVIP and its margin converges toward the group's, K-pop content (SM Entertainment stake) and Weixin XiaoWei AI distribution add low-cost users, and social entertainment stabilises as the regulatory reset completes. Revenue grows ~10% in FY2027 fading to 3% by year 10; operating leverage carries the pre-SBC EBITDA margin to 41% (the FY2023-25 trajectory continued at half the pace). Cash tax 17%, capex 3.4%, terminal growth 3%.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</si>
  <si>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</si>
  <si>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</si>
  <si>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</si>
  <si>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</si>
  <si>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</si>
  <si>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</si>
  <si>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</si>
  <si>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</si>
  <si>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</si>
  <si>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</si>
  <si>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</si>
  <si>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</si>
  <si>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</si>
  <si>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</si>
  <si>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</si>
  <si>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</si>
  <si>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</si>
  <si>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</si>
  <si>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</si>
  <si>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</si>
  <si>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</si>
  <si>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</si>
  <si>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</si>
  <si>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</si>
  <si>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</si>
  <si>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</si>
  <si>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</si>
  <si>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MAU</t>
  </si>
  <si>
    <t xml:space="preserve">Subscribers</t>
  </si>
  <si>
    <t xml:space="preserve">TermDeposits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</si>
  <si>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</si>
  <si>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</si>
  <si>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</si>
  <si>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</si>
  <si>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</si>
  <si>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</si>
  <si>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</si>
  <si>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</si>
  <si>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</si>
  <si>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</si>
  <si>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</si>
  <si>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</si>
  <si>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</si>
  <si>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</si>
  <si>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</si>
  <si>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</si>
  <si>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</si>
  <si>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</si>
  <si>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</si>
  <si>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</si>
  <si>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</si>
  <si>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</si>
  <si>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</si>
  <si>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</si>
  <si>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</si>
  <si>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</si>
  <si>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</si>
  <si>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</si>
  <si>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</si>
  <si>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</si>
  <si>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</si>
  <si>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</si>
  <si>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</si>
  <si>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</si>
  <si>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</si>
  <si>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</si>
  <si>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</si>
  <si>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</si>
  <si>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</si>
  <si>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</si>
  <si>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</si>
  <si>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</si>
  <si>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</si>
  <si>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</si>
  <si>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</si>
  <si>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</si>
  <si>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</si>
  <si>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TME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</si>
  <si>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</si>
  <si>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</si>
  <si>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</si>
  <si>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</si>
  <si>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</si>
  <si>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</si>
  <si>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</si>
  <si>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</si>
  <si>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</si>
  <si>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</si>
  <si>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</si>
  <si>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</si>
  <si>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</si>
  <si>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</si>
  <si>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</si>
  <si>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</si>
  <si>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</si>
  <si>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</si>
  <si>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</si>
  <si>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</si>
  <si>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</si>
  <si>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</si>
  <si>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</si>
  <si>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</si>
  <si>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</si>
  <si>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</si>
  <si>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</si>
  <si>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</si>
  <si>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</si>
  <si>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</si>
  <si>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TME owner-FCF component DCF: base case (millions, CNY)</t>
  </si>
  <si>
    <t xml:space="preserve">TME owner-FCF component DCF: bull case (millions, CNY)</t>
  </si>
  <si>
    <t xml:space="preserve">TME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</si>
  <si>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</si>
  <si>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</si>
  <si>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</si>
  <si>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</si>
  <si>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</si>
  <si>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</si>
  <si>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</si>
  <si>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</si>
  <si>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</si>
  <si>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</si>
  <si>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</si>
  <si>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</si>
  <si>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</si>
  <si>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</si>
  <si>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</si>
  <si>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</si>
  <si>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 (WACC)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</si>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</sst>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7.74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</row>
    <row r="2" customFormat="false" ht="15" hidden="false" customHeight="false" outlineLevel="0" collapsed="false">
      <c r="A2" s="0" t="s">
        <v>68</v>
      </c>
      <c r="B2" s="0" t="n">
        <v>18985</v>
      </c>
      <c r="C2" s="0" t="n">
        <v>11708</v>
      </c>
      <c r="D2" s="0" t="n">
        <v>7277</v>
      </c>
      <c r="E2" s="0" t="n">
        <v>38.3</v>
      </c>
      <c r="F2" s="0" t="n">
        <v>2039</v>
      </c>
      <c r="G2" s="0" t="n">
        <v>10.7</v>
      </c>
      <c r="H2" s="0" t="n">
        <v>2155</v>
      </c>
      <c r="I2" s="0" t="n">
        <v>1833</v>
      </c>
      <c r="J2" s="0" t="n">
        <v>9.7</v>
      </c>
      <c r="K2" s="0" t="n">
        <v>1.16</v>
      </c>
      <c r="L2" s="0" t="n">
        <v>5632</v>
      </c>
      <c r="M2" s="0" t="n">
        <v>144</v>
      </c>
      <c r="N2" s="0" t="n">
        <v>5488</v>
      </c>
      <c r="O2" s="0" t="n">
        <v>37721</v>
      </c>
      <c r="P2" s="0" t="n">
        <v>44605</v>
      </c>
      <c r="Q2" s="0" t="n">
        <v>6833</v>
      </c>
      <c r="R2" s="0" t="n">
        <v>0</v>
      </c>
      <c r="S2" s="0" t="n">
        <v>17398</v>
      </c>
      <c r="T2" s="0" t="n">
        <v>1579.610444</v>
      </c>
      <c r="U2" s="0" t="n">
        <v>487</v>
      </c>
      <c r="AA2" s="0" t="s">
        <v>18</v>
      </c>
      <c r="AB2" s="0" t="s">
        <v>14</v>
      </c>
      <c r="AE2" s="0" t="n">
        <v>0</v>
      </c>
      <c r="AF2" s="0" t="n">
        <v>37772</v>
      </c>
    </row>
    <row r="3" customFormat="false" ht="15" hidden="false" customHeight="false" outlineLevel="0" collapsed="false">
      <c r="A3" s="0" t="s">
        <v>69</v>
      </c>
      <c r="B3" s="0" t="n">
        <v>25434</v>
      </c>
      <c r="C3" s="0" t="n">
        <v>16761</v>
      </c>
      <c r="D3" s="0" t="n">
        <v>8673</v>
      </c>
      <c r="E3" s="0" t="n">
        <v>34.1</v>
      </c>
      <c r="F3" s="0" t="n">
        <v>4622</v>
      </c>
      <c r="G3" s="0" t="n">
        <v>18.2</v>
      </c>
      <c r="H3" s="0" t="n">
        <v>4512</v>
      </c>
      <c r="I3" s="0" t="n">
        <v>3982</v>
      </c>
      <c r="J3" s="0" t="n">
        <v>15.7</v>
      </c>
      <c r="K3" s="0" t="n">
        <v>2.38</v>
      </c>
      <c r="L3" s="0" t="n">
        <v>6200</v>
      </c>
      <c r="M3" s="0" t="n">
        <v>286</v>
      </c>
      <c r="N3" s="0" t="n">
        <v>5914</v>
      </c>
      <c r="O3" s="0" t="n">
        <v>43590</v>
      </c>
      <c r="P3" s="0" t="n">
        <v>52678</v>
      </c>
      <c r="Q3" s="0" t="n">
        <v>9000</v>
      </c>
      <c r="R3" s="0" t="n">
        <v>0</v>
      </c>
      <c r="S3" s="0" t="n">
        <v>22932</v>
      </c>
      <c r="T3" s="0" t="n">
        <v>1673.786169</v>
      </c>
      <c r="U3" s="0" t="n">
        <v>519</v>
      </c>
      <c r="AA3" s="0" t="s">
        <v>18</v>
      </c>
      <c r="AB3" s="0" t="s">
        <v>14</v>
      </c>
      <c r="AE3" s="0" t="n">
        <v>7500</v>
      </c>
      <c r="AF3" s="0" t="n">
        <v>43678</v>
      </c>
    </row>
    <row r="4" customFormat="false" ht="15" hidden="false" customHeight="false" outlineLevel="0" collapsed="false">
      <c r="A4" s="0" t="s">
        <v>70</v>
      </c>
      <c r="B4" s="0" t="n">
        <v>29153</v>
      </c>
      <c r="C4" s="0" t="n">
        <v>19851</v>
      </c>
      <c r="D4" s="0" t="n">
        <v>9302</v>
      </c>
      <c r="E4" s="0" t="n">
        <v>31.9</v>
      </c>
      <c r="F4" s="0" t="n">
        <v>4710</v>
      </c>
      <c r="G4" s="0" t="n">
        <v>16.2</v>
      </c>
      <c r="H4" s="0" t="n">
        <v>4550</v>
      </c>
      <c r="I4" s="0" t="n">
        <v>4155</v>
      </c>
      <c r="J4" s="0" t="n">
        <v>14.3</v>
      </c>
      <c r="K4" s="0" t="n">
        <v>2.47</v>
      </c>
      <c r="L4" s="0" t="n">
        <v>4885</v>
      </c>
      <c r="M4" s="0" t="n">
        <v>501</v>
      </c>
      <c r="N4" s="0" t="n">
        <v>4384</v>
      </c>
      <c r="O4" s="0" t="n">
        <v>52245</v>
      </c>
      <c r="P4" s="0" t="n">
        <v>68273</v>
      </c>
      <c r="Q4" s="0" t="n">
        <v>15542</v>
      </c>
      <c r="R4" s="0" t="n">
        <v>5175</v>
      </c>
      <c r="S4" s="0" t="n">
        <v>28939</v>
      </c>
      <c r="T4" s="0" t="n">
        <v>1680.23038</v>
      </c>
      <c r="U4" s="0" t="n">
        <v>570</v>
      </c>
      <c r="AA4" s="0" t="s">
        <v>18</v>
      </c>
      <c r="AB4" s="0" t="s">
        <v>14</v>
      </c>
      <c r="AE4" s="0" t="n">
        <v>17811</v>
      </c>
      <c r="AF4" s="0" t="n">
        <v>52731</v>
      </c>
    </row>
    <row r="5" customFormat="false" ht="15" hidden="false" customHeight="false" outlineLevel="0" collapsed="false">
      <c r="A5" s="0" t="s">
        <v>71</v>
      </c>
      <c r="B5" s="0" t="n">
        <v>31244</v>
      </c>
      <c r="C5" s="0" t="n">
        <v>21840</v>
      </c>
      <c r="D5" s="0" t="n">
        <v>9404</v>
      </c>
      <c r="E5" s="0" t="n">
        <v>30.1</v>
      </c>
      <c r="F5" s="0" t="n">
        <v>3800</v>
      </c>
      <c r="G5" s="0" t="n">
        <v>12.2</v>
      </c>
      <c r="H5" s="0" t="n">
        <v>3718</v>
      </c>
      <c r="I5" s="0" t="n">
        <v>3029</v>
      </c>
      <c r="J5" s="0" t="n">
        <v>9.7</v>
      </c>
      <c r="K5" s="0" t="n">
        <v>1.8</v>
      </c>
      <c r="L5" s="0" t="n">
        <v>5239</v>
      </c>
      <c r="M5" s="0" t="n">
        <v>2758</v>
      </c>
      <c r="N5" s="0" t="n">
        <v>2481</v>
      </c>
      <c r="O5" s="0" t="n">
        <v>50317</v>
      </c>
      <c r="P5" s="0" t="n">
        <v>67254</v>
      </c>
      <c r="Q5" s="0" t="n">
        <v>16199</v>
      </c>
      <c r="R5" s="0" t="n">
        <v>5062</v>
      </c>
      <c r="S5" s="0" t="n">
        <v>24692</v>
      </c>
      <c r="T5" s="0" t="n">
        <v>1681.522878</v>
      </c>
      <c r="U5" s="0" t="n">
        <v>753</v>
      </c>
      <c r="AA5" s="0" t="s">
        <v>18</v>
      </c>
      <c r="AB5" s="0" t="s">
        <v>14</v>
      </c>
      <c r="AE5" s="0" t="n">
        <v>17072</v>
      </c>
      <c r="AF5" s="0" t="n">
        <v>51055</v>
      </c>
    </row>
    <row r="6" customFormat="false" ht="15" hidden="false" customHeight="false" outlineLevel="0" collapsed="false">
      <c r="A6" s="0" t="s">
        <v>72</v>
      </c>
      <c r="B6" s="0" t="n">
        <v>28339</v>
      </c>
      <c r="C6" s="0" t="n">
        <v>19566</v>
      </c>
      <c r="D6" s="0" t="n">
        <v>8773</v>
      </c>
      <c r="E6" s="0" t="n">
        <v>31</v>
      </c>
      <c r="F6" s="0" t="n">
        <v>4443</v>
      </c>
      <c r="G6" s="0" t="n">
        <v>15.7</v>
      </c>
      <c r="H6" s="0" t="n">
        <v>4376</v>
      </c>
      <c r="I6" s="0" t="n">
        <v>3677</v>
      </c>
      <c r="J6" s="0" t="n">
        <v>13</v>
      </c>
      <c r="K6" s="0" t="n">
        <v>2.27</v>
      </c>
      <c r="L6" s="0" t="n">
        <v>7481</v>
      </c>
      <c r="M6" s="0" t="n">
        <v>1053</v>
      </c>
      <c r="N6" s="0" t="n">
        <v>6428</v>
      </c>
      <c r="O6" s="0" t="n">
        <v>48099</v>
      </c>
      <c r="P6" s="0" t="n">
        <v>67009</v>
      </c>
      <c r="Q6" s="0" t="n">
        <v>17882</v>
      </c>
      <c r="R6" s="0" t="n">
        <v>5536</v>
      </c>
      <c r="S6" s="0" t="n">
        <v>27376</v>
      </c>
      <c r="T6" s="0" t="n">
        <v>1617.253678</v>
      </c>
      <c r="U6" s="0" t="n">
        <v>834</v>
      </c>
      <c r="AA6" s="0" t="s">
        <v>18</v>
      </c>
      <c r="AB6" s="0" t="s">
        <v>14</v>
      </c>
      <c r="AE6" s="0" t="n">
        <v>17821</v>
      </c>
      <c r="AF6" s="0" t="n">
        <v>49127</v>
      </c>
    </row>
    <row r="7" customFormat="false" ht="15" hidden="false" customHeight="false" outlineLevel="0" collapsed="false">
      <c r="A7" s="0" t="s">
        <v>73</v>
      </c>
      <c r="B7" s="0" t="n">
        <v>27752</v>
      </c>
      <c r="C7" s="0" t="n">
        <v>17957</v>
      </c>
      <c r="D7" s="0" t="n">
        <v>9795</v>
      </c>
      <c r="E7" s="0" t="n">
        <v>35.3</v>
      </c>
      <c r="F7" s="0" t="n">
        <v>6059</v>
      </c>
      <c r="G7" s="0" t="n">
        <v>21.8</v>
      </c>
      <c r="H7" s="0" t="n">
        <v>5781</v>
      </c>
      <c r="I7" s="0" t="n">
        <v>4920</v>
      </c>
      <c r="J7" s="0" t="n">
        <v>17.7</v>
      </c>
      <c r="K7" s="0" t="n">
        <v>3.11</v>
      </c>
      <c r="L7" s="0" t="n">
        <v>7337</v>
      </c>
      <c r="M7" s="0" t="n">
        <v>1164</v>
      </c>
      <c r="N7" s="0" t="n">
        <v>6173</v>
      </c>
      <c r="O7" s="0" t="n">
        <v>55907</v>
      </c>
      <c r="P7" s="0" t="n">
        <v>75536</v>
      </c>
      <c r="Q7" s="0" t="n">
        <v>18334</v>
      </c>
      <c r="R7" s="0" t="n">
        <v>5636</v>
      </c>
      <c r="S7" s="0" t="n">
        <v>32223</v>
      </c>
      <c r="T7" s="0" t="n">
        <v>1584.193016</v>
      </c>
      <c r="U7" s="0" t="n">
        <v>736</v>
      </c>
      <c r="AA7" s="0" t="s">
        <v>18</v>
      </c>
      <c r="AB7" s="0" t="s">
        <v>14</v>
      </c>
      <c r="AE7" s="0" t="n">
        <v>18656</v>
      </c>
      <c r="AF7" s="0" t="n">
        <v>57202</v>
      </c>
    </row>
    <row r="8" customFormat="false" ht="15" hidden="false" customHeight="false" outlineLevel="0" collapsed="false">
      <c r="A8" s="0" t="s">
        <v>74</v>
      </c>
      <c r="B8" s="0" t="n">
        <v>28401</v>
      </c>
      <c r="C8" s="0" t="n">
        <v>16376</v>
      </c>
      <c r="D8" s="0" t="n">
        <v>12025</v>
      </c>
      <c r="E8" s="0" t="n">
        <v>42.3</v>
      </c>
      <c r="F8" s="0" t="n">
        <v>8710</v>
      </c>
      <c r="G8" s="0" t="n">
        <v>30.7</v>
      </c>
      <c r="H8" s="0" t="n">
        <v>8327</v>
      </c>
      <c r="I8" s="0" t="n">
        <v>6644</v>
      </c>
      <c r="J8" s="0" t="n">
        <v>23.4</v>
      </c>
      <c r="K8" s="0" t="n">
        <v>4.24</v>
      </c>
      <c r="L8" s="0" t="n">
        <v>10275</v>
      </c>
      <c r="M8" s="0" t="n">
        <v>1032</v>
      </c>
      <c r="N8" s="0" t="n">
        <v>9243</v>
      </c>
      <c r="O8" s="0" t="n">
        <v>67863</v>
      </c>
      <c r="P8" s="0" t="n">
        <v>90444</v>
      </c>
      <c r="Q8" s="0" t="n">
        <v>20718</v>
      </c>
      <c r="R8" s="0" t="n">
        <v>5726</v>
      </c>
      <c r="S8" s="0" t="n">
        <v>37582</v>
      </c>
      <c r="T8" s="0" t="n">
        <v>1565.43086</v>
      </c>
      <c r="U8" s="0" t="n">
        <v>681</v>
      </c>
      <c r="AA8" s="0" t="s">
        <v>18</v>
      </c>
      <c r="AB8" s="0" t="s">
        <v>14</v>
      </c>
      <c r="AE8" s="0" t="n">
        <v>24418</v>
      </c>
      <c r="AF8" s="0" t="n">
        <v>69726</v>
      </c>
    </row>
    <row r="9" customFormat="false" ht="15" hidden="false" customHeight="false" outlineLevel="0" collapsed="false">
      <c r="A9" s="0" t="s">
        <v>75</v>
      </c>
      <c r="B9" s="0" t="n">
        <v>32902</v>
      </c>
      <c r="C9" s="0" t="n">
        <v>18367</v>
      </c>
      <c r="D9" s="0" t="n">
        <v>14535</v>
      </c>
      <c r="E9" s="0" t="n">
        <v>44.2</v>
      </c>
      <c r="F9" s="0" t="n">
        <v>13364</v>
      </c>
      <c r="G9" s="0" t="n">
        <v>40.6</v>
      </c>
      <c r="H9" s="0" t="n">
        <v>11053</v>
      </c>
      <c r="I9" s="0" t="n">
        <v>11056</v>
      </c>
      <c r="J9" s="0" t="n">
        <v>33.6</v>
      </c>
      <c r="K9" s="0" t="n">
        <v>7.11</v>
      </c>
      <c r="L9" s="0" t="n">
        <v>10231</v>
      </c>
      <c r="M9" s="0" t="n">
        <v>1188</v>
      </c>
      <c r="N9" s="0" t="n">
        <v>9043</v>
      </c>
      <c r="O9" s="0" t="n">
        <v>80287</v>
      </c>
      <c r="P9" s="0" t="n">
        <v>102522</v>
      </c>
      <c r="Q9" s="0" t="n">
        <v>19472</v>
      </c>
      <c r="R9" s="0" t="n">
        <v>3497</v>
      </c>
      <c r="S9" s="0" t="n">
        <v>38043</v>
      </c>
      <c r="T9" s="0" t="n">
        <v>1554.401864</v>
      </c>
      <c r="U9" s="0" t="n">
        <v>680</v>
      </c>
      <c r="AA9" s="0" t="s">
        <v>18</v>
      </c>
      <c r="AB9" s="0" t="s">
        <v>14</v>
      </c>
      <c r="AE9" s="0" t="n">
        <v>29573</v>
      </c>
      <c r="AF9" s="0" t="n">
        <v>83050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76</v>
      </c>
      <c r="B1" s="2" t="s">
        <v>77</v>
      </c>
    </row>
    <row r="2" customFormat="false" ht="15" hidden="false" customHeight="false" outlineLevel="0" collapsed="false">
      <c r="A2" s="0" t="s">
        <v>78</v>
      </c>
      <c r="B2" s="3" t="n">
        <v>7.74</v>
      </c>
    </row>
    <row r="3" customFormat="false" ht="15" hidden="false" customHeight="false" outlineLevel="0" collapsed="false">
      <c r="A3" s="0" t="s">
        <v>79</v>
      </c>
      <c r="B3" s="3" t="n">
        <v>1594</v>
      </c>
    </row>
    <row r="4" customFormat="false" ht="15" hidden="false" customHeight="false" outlineLevel="0" collapsed="false">
      <c r="A4" s="0" t="s">
        <v>80</v>
      </c>
      <c r="B4" s="3" t="n">
        <v>-27693</v>
      </c>
    </row>
    <row r="5" customFormat="false" ht="15" hidden="false" customHeight="false" outlineLevel="0" collapsed="false">
      <c r="A5" s="0" t="s">
        <v>81</v>
      </c>
      <c r="B5" s="3" t="n">
        <v>16616</v>
      </c>
    </row>
    <row r="6" customFormat="false" ht="15" hidden="false" customHeight="false" outlineLevel="0" collapsed="false">
      <c r="A6" s="0" t="s">
        <v>82</v>
      </c>
      <c r="B6" s="3" t="n">
        <v>15</v>
      </c>
    </row>
    <row r="7" customFormat="false" ht="15" hidden="false" customHeight="false" outlineLevel="0" collapsed="false">
      <c r="A7" s="0" t="s">
        <v>83</v>
      </c>
      <c r="B7" s="3" t="n">
        <v>35900</v>
      </c>
    </row>
    <row r="8" customFormat="false" ht="15" hidden="false" customHeight="false" outlineLevel="0" collapsed="false">
      <c r="A8" s="0" t="s">
        <v>84</v>
      </c>
      <c r="B8" s="3" t="s">
        <v>85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0.14915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0</v>
      </c>
      <c r="D13" s="3" t="n">
        <v>-3</v>
      </c>
      <c r="E13" s="3" t="n">
        <v>-3</v>
      </c>
      <c r="F13" s="3" t="n">
        <v>-1</v>
      </c>
      <c r="G13" s="3" t="n">
        <v>0</v>
      </c>
      <c r="H13" s="3" t="n">
        <v>1</v>
      </c>
      <c r="I13" s="3" t="n">
        <v>1</v>
      </c>
      <c r="J13" s="3" t="n">
        <v>1.5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34</v>
      </c>
      <c r="D14" s="3" t="n">
        <v>31.5</v>
      </c>
      <c r="E14" s="3" t="n">
        <v>29.5</v>
      </c>
      <c r="F14" s="3" t="n">
        <v>28</v>
      </c>
      <c r="G14" s="3" t="n">
        <v>27</v>
      </c>
      <c r="H14" s="3" t="n">
        <v>27</v>
      </c>
      <c r="I14" s="3" t="n">
        <v>27</v>
      </c>
      <c r="J14" s="3" t="n">
        <v>27</v>
      </c>
      <c r="K14" s="3" t="n">
        <v>27</v>
      </c>
      <c r="L14" s="3" t="n">
        <v>27</v>
      </c>
    </row>
    <row r="15" customFormat="false" ht="15" hidden="false" customHeight="false" outlineLevel="0" collapsed="false">
      <c r="A15" s="0" t="s">
        <v>102</v>
      </c>
      <c r="C15" s="3" t="n">
        <v>2</v>
      </c>
      <c r="D15" s="3" t="n">
        <v>2</v>
      </c>
      <c r="E15" s="3" t="n">
        <v>2</v>
      </c>
      <c r="F15" s="3" t="n">
        <v>2</v>
      </c>
      <c r="G15" s="3" t="n">
        <v>2</v>
      </c>
      <c r="H15" s="3" t="n">
        <v>2</v>
      </c>
      <c r="I15" s="3" t="n">
        <v>2</v>
      </c>
      <c r="J15" s="3" t="n">
        <v>2</v>
      </c>
      <c r="K15" s="3" t="n">
        <v>2</v>
      </c>
      <c r="L15" s="3" t="n">
        <v>2</v>
      </c>
    </row>
    <row r="16" customFormat="false" ht="15" hidden="false" customHeight="false" outlineLevel="0" collapsed="false">
      <c r="A16" s="0" t="s">
        <v>103</v>
      </c>
      <c r="C16" s="3" t="n">
        <v>0.4</v>
      </c>
      <c r="D16" s="3" t="n">
        <v>0.4</v>
      </c>
      <c r="E16" s="3" t="n">
        <v>0.4</v>
      </c>
      <c r="F16" s="3" t="n">
        <v>0.4</v>
      </c>
      <c r="G16" s="3" t="n">
        <v>0.4</v>
      </c>
      <c r="H16" s="3" t="n">
        <v>0.4</v>
      </c>
      <c r="I16" s="3" t="n">
        <v>0.4</v>
      </c>
      <c r="J16" s="3" t="n">
        <v>0.4</v>
      </c>
      <c r="K16" s="3" t="n">
        <v>0.4</v>
      </c>
      <c r="L16" s="3" t="n">
        <v>0.4</v>
      </c>
    </row>
    <row r="17" customFormat="false" ht="15" hidden="false" customHeight="false" outlineLevel="0" collapsed="false">
      <c r="A17" s="0" t="s">
        <v>104</v>
      </c>
      <c r="C17" s="3" t="n">
        <v>4</v>
      </c>
      <c r="D17" s="3" t="n">
        <v>4</v>
      </c>
      <c r="E17" s="3" t="n">
        <v>4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105</v>
      </c>
      <c r="C18" s="3" t="n">
        <v>3.8</v>
      </c>
      <c r="D18" s="3" t="n">
        <v>3.8</v>
      </c>
      <c r="E18" s="3" t="n">
        <v>3.8</v>
      </c>
      <c r="F18" s="3" t="n">
        <v>3.8</v>
      </c>
      <c r="G18" s="3" t="n">
        <v>3.8</v>
      </c>
      <c r="H18" s="3" t="n">
        <v>3.8</v>
      </c>
      <c r="I18" s="3" t="n">
        <v>3.8</v>
      </c>
      <c r="J18" s="3" t="n">
        <v>3.8</v>
      </c>
      <c r="K18" s="3" t="n">
        <v>3.8</v>
      </c>
      <c r="L18" s="3" t="n">
        <v>3.8</v>
      </c>
    </row>
    <row r="19" customFormat="false" ht="15" hidden="false" customHeight="false" outlineLevel="0" collapsed="false">
      <c r="A19" s="0" t="s">
        <v>106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107</v>
      </c>
      <c r="B20" s="3" t="n">
        <v>11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15</v>
      </c>
    </row>
    <row r="23" customFormat="false" ht="15" hidden="false" customHeight="false" outlineLevel="0" collapsed="false">
      <c r="A23" s="0" t="s">
        <v>110</v>
      </c>
      <c r="B23" s="3" t="n">
        <v>0</v>
      </c>
    </row>
    <row r="24" customFormat="false" ht="15" hidden="false" customHeight="false" outlineLevel="0" collapsed="false">
      <c r="A24" s="0" t="s">
        <v>111</v>
      </c>
      <c r="B24" s="3" t="n">
        <v>0.3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6.5</v>
      </c>
      <c r="D27" s="3" t="n">
        <v>3.5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101</v>
      </c>
      <c r="C28" s="3" t="n">
        <v>35.5</v>
      </c>
      <c r="D28" s="3" t="n">
        <v>35.5</v>
      </c>
      <c r="E28" s="3" t="n">
        <v>36</v>
      </c>
      <c r="F28" s="3" t="n">
        <v>36</v>
      </c>
      <c r="G28" s="3" t="n">
        <v>36.5</v>
      </c>
      <c r="H28" s="3" t="n">
        <v>36.5</v>
      </c>
      <c r="I28" s="3" t="n">
        <v>37</v>
      </c>
      <c r="J28" s="3" t="n">
        <v>37</v>
      </c>
      <c r="K28" s="3" t="n">
        <v>37</v>
      </c>
      <c r="L28" s="3" t="n">
        <v>37</v>
      </c>
    </row>
    <row r="29" customFormat="false" ht="15" hidden="false" customHeight="false" outlineLevel="0" collapsed="false">
      <c r="A29" s="0" t="s">
        <v>102</v>
      </c>
      <c r="C29" s="3" t="n">
        <v>2</v>
      </c>
      <c r="D29" s="3" t="n">
        <v>2</v>
      </c>
      <c r="E29" s="3" t="n">
        <v>1.9</v>
      </c>
      <c r="F29" s="3" t="n">
        <v>1.9</v>
      </c>
      <c r="G29" s="3" t="n">
        <v>1.8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103</v>
      </c>
      <c r="C30" s="3" t="n">
        <v>0.4</v>
      </c>
      <c r="D30" s="3" t="n">
        <v>0.4</v>
      </c>
      <c r="E30" s="3" t="n">
        <v>0.4</v>
      </c>
      <c r="F30" s="3" t="n">
        <v>0.4</v>
      </c>
      <c r="G30" s="3" t="n">
        <v>0.4</v>
      </c>
      <c r="H30" s="3" t="n">
        <v>0.4</v>
      </c>
      <c r="I30" s="3" t="n">
        <v>0.4</v>
      </c>
      <c r="J30" s="3" t="n">
        <v>0.4</v>
      </c>
      <c r="K30" s="3" t="n">
        <v>0.4</v>
      </c>
      <c r="L30" s="3" t="n">
        <v>0.4</v>
      </c>
    </row>
    <row r="31" customFormat="false" ht="15" hidden="false" customHeight="false" outlineLevel="0" collapsed="false">
      <c r="A31" s="0" t="s">
        <v>104</v>
      </c>
      <c r="C31" s="3" t="n">
        <v>4</v>
      </c>
      <c r="D31" s="3" t="n">
        <v>4</v>
      </c>
      <c r="E31" s="3" t="n">
        <v>4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105</v>
      </c>
      <c r="C32" s="3" t="n">
        <v>3.6</v>
      </c>
      <c r="D32" s="3" t="n">
        <v>3.6</v>
      </c>
      <c r="E32" s="3" t="n">
        <v>3.6</v>
      </c>
      <c r="F32" s="3" t="n">
        <v>3.6</v>
      </c>
      <c r="G32" s="3" t="n">
        <v>3.6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106</v>
      </c>
      <c r="C33" s="3" t="n">
        <v>18</v>
      </c>
      <c r="D33" s="3" t="n">
        <v>18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107</v>
      </c>
      <c r="B34" s="3" t="n">
        <v>11</v>
      </c>
    </row>
    <row r="35" customFormat="false" ht="15" hidden="false" customHeight="false" outlineLevel="0" collapsed="false">
      <c r="A35" s="0" t="s">
        <v>108</v>
      </c>
      <c r="B35" s="3" t="n">
        <v>2.5</v>
      </c>
    </row>
    <row r="36" customFormat="false" ht="15" hidden="false" customHeight="false" outlineLevel="0" collapsed="false">
      <c r="A36" s="0" t="s">
        <v>109</v>
      </c>
      <c r="B36" s="3" t="n">
        <v>15</v>
      </c>
    </row>
    <row r="37" customFormat="false" ht="15" hidden="false" customHeight="false" outlineLevel="0" collapsed="false">
      <c r="A37" s="0" t="s">
        <v>110</v>
      </c>
      <c r="B37" s="3" t="n">
        <v>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9.8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101</v>
      </c>
      <c r="C42" s="3" t="n">
        <v>36.5</v>
      </c>
      <c r="D42" s="3" t="n">
        <v>37.5</v>
      </c>
      <c r="E42" s="3" t="n">
        <v>38.5</v>
      </c>
      <c r="F42" s="3" t="n">
        <v>39.5</v>
      </c>
      <c r="G42" s="3" t="n">
        <v>40</v>
      </c>
      <c r="H42" s="3" t="n">
        <v>40.5</v>
      </c>
      <c r="I42" s="3" t="n">
        <v>41</v>
      </c>
      <c r="J42" s="3" t="n">
        <v>41</v>
      </c>
      <c r="K42" s="3" t="n">
        <v>41</v>
      </c>
      <c r="L42" s="3" t="n">
        <v>41</v>
      </c>
    </row>
    <row r="43" customFormat="false" ht="15" hidden="false" customHeight="false" outlineLevel="0" collapsed="false">
      <c r="A43" s="0" t="s">
        <v>102</v>
      </c>
      <c r="C43" s="3" t="n">
        <v>2</v>
      </c>
      <c r="D43" s="3" t="n">
        <v>2</v>
      </c>
      <c r="E43" s="3" t="n">
        <v>1.9</v>
      </c>
      <c r="F43" s="3" t="n">
        <v>1.9</v>
      </c>
      <c r="G43" s="3" t="n">
        <v>1.8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103</v>
      </c>
      <c r="C44" s="3" t="n">
        <v>0.4</v>
      </c>
      <c r="D44" s="3" t="n">
        <v>0.4</v>
      </c>
      <c r="E44" s="3" t="n">
        <v>0.4</v>
      </c>
      <c r="F44" s="3" t="n">
        <v>0.4</v>
      </c>
      <c r="G44" s="3" t="n">
        <v>0.4</v>
      </c>
      <c r="H44" s="3" t="n">
        <v>0.4</v>
      </c>
      <c r="I44" s="3" t="n">
        <v>0.4</v>
      </c>
      <c r="J44" s="3" t="n">
        <v>0.4</v>
      </c>
      <c r="K44" s="3" t="n">
        <v>0.4</v>
      </c>
      <c r="L44" s="3" t="n">
        <v>0.4</v>
      </c>
    </row>
    <row r="45" customFormat="false" ht="15" hidden="false" customHeight="false" outlineLevel="0" collapsed="false">
      <c r="A45" s="0" t="s">
        <v>104</v>
      </c>
      <c r="C45" s="3" t="n">
        <v>4</v>
      </c>
      <c r="D45" s="3" t="n">
        <v>4</v>
      </c>
      <c r="E45" s="3" t="n">
        <v>4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105</v>
      </c>
      <c r="C46" s="3" t="n">
        <v>3.4</v>
      </c>
      <c r="D46" s="3" t="n">
        <v>3.4</v>
      </c>
      <c r="E46" s="3" t="n">
        <v>3.4</v>
      </c>
      <c r="F46" s="3" t="n">
        <v>3.4</v>
      </c>
      <c r="G46" s="3" t="n">
        <v>3.4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106</v>
      </c>
      <c r="C47" s="3" t="n">
        <v>17</v>
      </c>
      <c r="D47" s="3" t="n">
        <v>17</v>
      </c>
      <c r="E47" s="3" t="n">
        <v>17</v>
      </c>
      <c r="F47" s="3" t="n">
        <v>17</v>
      </c>
      <c r="G47" s="3" t="n">
        <v>17</v>
      </c>
      <c r="H47" s="3" t="n">
        <v>17</v>
      </c>
      <c r="I47" s="3" t="n">
        <v>17</v>
      </c>
      <c r="J47" s="3" t="n">
        <v>17</v>
      </c>
      <c r="K47" s="3" t="n">
        <v>17</v>
      </c>
      <c r="L47" s="3" t="n">
        <v>17</v>
      </c>
    </row>
    <row r="48" customFormat="false" ht="15" hidden="false" customHeight="false" outlineLevel="0" collapsed="false">
      <c r="A48" s="0" t="s">
        <v>107</v>
      </c>
      <c r="B48" s="3" t="n">
        <v>11</v>
      </c>
    </row>
    <row r="49" customFormat="false" ht="15" hidden="false" customHeight="false" outlineLevel="0" collapsed="false">
      <c r="A49" s="0" t="s">
        <v>108</v>
      </c>
      <c r="B49" s="3" t="n">
        <v>3</v>
      </c>
    </row>
    <row r="50" customFormat="false" ht="15" hidden="false" customHeight="false" outlineLevel="0" collapsed="false">
      <c r="A50" s="0" t="s">
        <v>109</v>
      </c>
      <c r="B50" s="3" t="n">
        <v>15</v>
      </c>
    </row>
    <row r="51" customFormat="false" ht="15" hidden="false" customHeight="false" outlineLevel="0" collapsed="false">
      <c r="A51" s="0" t="s">
        <v>110</v>
      </c>
      <c r="B51" s="3" t="n">
        <v>10</v>
      </c>
    </row>
    <row r="52" customFormat="false" ht="15" hidden="false" customHeight="false" outlineLevel="0" collapsed="false">
      <c r="A52" s="0" t="s">
        <v>111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0</v>
      </c>
      <c r="D5" s="4" t="n">
        <f aca="false">Assumptions!D13</f>
        <v>-3</v>
      </c>
      <c r="E5" s="4" t="n">
        <f aca="false">Assumptions!E13</f>
        <v>-3</v>
      </c>
      <c r="F5" s="4" t="n">
        <f aca="false">Assumptions!F13</f>
        <v>-1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35900</v>
      </c>
      <c r="C6" s="0" t="n">
        <f aca="false">B6*(1+C5/100)</f>
        <v>35900</v>
      </c>
      <c r="D6" s="0" t="n">
        <f aca="false">C6*(1+D5/100)</f>
        <v>34823</v>
      </c>
      <c r="E6" s="0" t="n">
        <f aca="false">D6*(1+E5/100)</f>
        <v>33778.31</v>
      </c>
      <c r="F6" s="0" t="n">
        <f aca="false">E6*(1+F5/100)</f>
        <v>33440.5269</v>
      </c>
      <c r="G6" s="0" t="n">
        <f aca="false">F6*(1+G5/100)</f>
        <v>33440.5269</v>
      </c>
      <c r="H6" s="0" t="n">
        <f aca="false">G6*(1+H5/100)</f>
        <v>33774.932169</v>
      </c>
      <c r="I6" s="0" t="n">
        <f aca="false">H6*(1+I5/100)</f>
        <v>34112.68149069</v>
      </c>
      <c r="J6" s="0" t="n">
        <f aca="false">I6*(1+J5/100)</f>
        <v>34624.3717130504</v>
      </c>
      <c r="K6" s="0" t="n">
        <f aca="false">J6*(1+K5/100)</f>
        <v>35316.8591473114</v>
      </c>
      <c r="L6" s="0" t="n">
        <f aca="false">K6*(1+L5/100)</f>
        <v>36023.1963302576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34</v>
      </c>
      <c r="D7" s="4" t="n">
        <f aca="false">Assumptions!D14</f>
        <v>31.5</v>
      </c>
      <c r="E7" s="4" t="n">
        <f aca="false">Assumptions!E14</f>
        <v>29.5</v>
      </c>
      <c r="F7" s="4" t="n">
        <f aca="false">Assumptions!F14</f>
        <v>28</v>
      </c>
      <c r="G7" s="4" t="n">
        <f aca="false">Assumptions!G14</f>
        <v>27</v>
      </c>
      <c r="H7" s="4" t="n">
        <f aca="false">Assumptions!H14</f>
        <v>27</v>
      </c>
      <c r="I7" s="4" t="n">
        <f aca="false">Assumptions!I14</f>
        <v>27</v>
      </c>
      <c r="J7" s="4" t="n">
        <f aca="false">Assumptions!J14</f>
        <v>27</v>
      </c>
      <c r="K7" s="4" t="n">
        <f aca="false">Assumptions!K14</f>
        <v>27</v>
      </c>
      <c r="L7" s="4" t="n">
        <f aca="false">Assumptions!L14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12206</v>
      </c>
      <c r="D8" s="0" t="n">
        <f aca="false">D6*D7/100</f>
        <v>10969.245</v>
      </c>
      <c r="E8" s="0" t="n">
        <f aca="false">E6*E7/100</f>
        <v>9964.60145</v>
      </c>
      <c r="F8" s="0" t="n">
        <f aca="false">F6*F7/100</f>
        <v>9363.347532</v>
      </c>
      <c r="G8" s="0" t="n">
        <f aca="false">G6*G7/100</f>
        <v>9028.942263</v>
      </c>
      <c r="H8" s="0" t="n">
        <f aca="false">H6*H7/100</f>
        <v>9119.23168563</v>
      </c>
      <c r="I8" s="0" t="n">
        <f aca="false">I6*I7/100</f>
        <v>9210.4240024863</v>
      </c>
      <c r="J8" s="0" t="n">
        <f aca="false">J6*J7/100</f>
        <v>9348.58036252359</v>
      </c>
      <c r="K8" s="0" t="n">
        <f aca="false">K6*K7/100</f>
        <v>9535.55196977407</v>
      </c>
      <c r="L8" s="0" t="n">
        <f aca="false">L6*L7/100</f>
        <v>9726.26300916955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2</v>
      </c>
      <c r="D9" s="4" t="n">
        <f aca="false">Assumptions!D15</f>
        <v>2</v>
      </c>
      <c r="E9" s="4" t="n">
        <f aca="false">Assumptions!E15</f>
        <v>2</v>
      </c>
      <c r="F9" s="4" t="n">
        <f aca="false">Assumptions!F15</f>
        <v>2</v>
      </c>
      <c r="G9" s="4" t="n">
        <f aca="false">Assumptions!G15</f>
        <v>2</v>
      </c>
      <c r="H9" s="4" t="n">
        <f aca="false">Assumptions!H15</f>
        <v>2</v>
      </c>
      <c r="I9" s="4" t="n">
        <f aca="false">Assumptions!I15</f>
        <v>2</v>
      </c>
      <c r="J9" s="4" t="n">
        <f aca="false">Assumptions!J15</f>
        <v>2</v>
      </c>
      <c r="K9" s="4" t="n">
        <f aca="false">Assumptions!K15</f>
        <v>2</v>
      </c>
      <c r="L9" s="4" t="n">
        <f aca="false">Assumptions!L15</f>
        <v>2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-718</v>
      </c>
      <c r="D10" s="0" t="n">
        <f aca="false">-D6*D9/100</f>
        <v>-696.46</v>
      </c>
      <c r="E10" s="0" t="n">
        <f aca="false">-E6*E9/100</f>
        <v>-675.5662</v>
      </c>
      <c r="F10" s="0" t="n">
        <f aca="false">-F6*F9/100</f>
        <v>-668.810538</v>
      </c>
      <c r="G10" s="0" t="n">
        <f aca="false">-G6*G9/100</f>
        <v>-668.810538</v>
      </c>
      <c r="H10" s="0" t="n">
        <f aca="false">-H6*H9/100</f>
        <v>-675.49864338</v>
      </c>
      <c r="I10" s="0" t="n">
        <f aca="false">-I6*I9/100</f>
        <v>-682.2536298138</v>
      </c>
      <c r="J10" s="0" t="n">
        <f aca="false">-J6*J9/100</f>
        <v>-692.487434261007</v>
      </c>
      <c r="K10" s="0" t="n">
        <f aca="false">-K6*K9/100</f>
        <v>-706.337182946227</v>
      </c>
      <c r="L10" s="0" t="n">
        <f aca="false">-L6*L9/100</f>
        <v>-720.463926605152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11344.4</v>
      </c>
      <c r="D11" s="0" t="n">
        <f aca="false">D8+D10+D24</f>
        <v>10133.493</v>
      </c>
      <c r="E11" s="0" t="n">
        <f aca="false">E8+E10+E24</f>
        <v>9153.92201</v>
      </c>
      <c r="F11" s="0" t="n">
        <f aca="false">F8+F10+F24</f>
        <v>8560.7748864</v>
      </c>
      <c r="G11" s="0" t="n">
        <f aca="false">G8+G10+G24</f>
        <v>8226.3696174</v>
      </c>
      <c r="H11" s="0" t="n">
        <f aca="false">H8+H10+H24</f>
        <v>8308.633313574</v>
      </c>
      <c r="I11" s="0" t="n">
        <f aca="false">I8+I10+I24</f>
        <v>8391.71964670974</v>
      </c>
      <c r="J11" s="0" t="n">
        <f aca="false">J8+J10+J24</f>
        <v>8517.59544141038</v>
      </c>
      <c r="K11" s="0" t="n">
        <f aca="false">K8+K10+K24</f>
        <v>8687.94735023859</v>
      </c>
      <c r="L11" s="0" t="n">
        <f aca="false">L8+L10+L24</f>
        <v>8861.70629724337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-1436</v>
      </c>
      <c r="D12" s="4" t="n">
        <f aca="false">-D6*Assumptions!D17/100</f>
        <v>-1392.92</v>
      </c>
      <c r="E12" s="4" t="n">
        <f aca="false">-E6*Assumptions!E17/100</f>
        <v>-1351.1324</v>
      </c>
      <c r="F12" s="4" t="n">
        <f aca="false">-F6*Assumptions!F17/100</f>
        <v>-1337.621076</v>
      </c>
      <c r="G12" s="4" t="n">
        <f aca="false">-G6*Assumptions!G17/100</f>
        <v>-1337.621076</v>
      </c>
      <c r="H12" s="4" t="n">
        <f aca="false">-H6*Assumptions!H17/100</f>
        <v>-1350.99728676</v>
      </c>
      <c r="I12" s="4" t="n">
        <f aca="false">-I6*Assumptions!I17/100</f>
        <v>-1364.5072596276</v>
      </c>
      <c r="J12" s="4" t="n">
        <f aca="false">-J6*Assumptions!J17/100</f>
        <v>-1384.97486852201</v>
      </c>
      <c r="K12" s="4" t="n">
        <f aca="false">-K6*Assumptions!K17/100</f>
        <v>-1412.67436589245</v>
      </c>
      <c r="L12" s="4" t="n">
        <f aca="false">-L6*Assumptions!L17/100</f>
        <v>-1440.9278532103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9908.4</v>
      </c>
      <c r="D13" s="0" t="n">
        <f aca="false">D11+D12</f>
        <v>8740.573</v>
      </c>
      <c r="E13" s="0" t="n">
        <f aca="false">E11+E12</f>
        <v>7802.78961</v>
      </c>
      <c r="F13" s="0" t="n">
        <f aca="false">F11+F12</f>
        <v>7223.1538104</v>
      </c>
      <c r="G13" s="0" t="n">
        <f aca="false">G11+G12</f>
        <v>6888.7485414</v>
      </c>
      <c r="H13" s="0" t="n">
        <f aca="false">H11+H12</f>
        <v>6957.636026814</v>
      </c>
      <c r="I13" s="0" t="n">
        <f aca="false">I11+I12</f>
        <v>7027.21238708214</v>
      </c>
      <c r="J13" s="0" t="n">
        <f aca="false">J11+J12</f>
        <v>7132.62057288837</v>
      </c>
      <c r="K13" s="0" t="n">
        <f aca="false">K11+K12</f>
        <v>7275.27298434614</v>
      </c>
      <c r="L13" s="0" t="n">
        <f aca="false">L11+L12</f>
        <v>7420.77844403306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7926.72</v>
      </c>
      <c r="D15" s="0" t="n">
        <f aca="false">D13-MAX(0,D13)*D14/100</f>
        <v>6992.4584</v>
      </c>
      <c r="E15" s="0" t="n">
        <f aca="false">E13-MAX(0,E13)*E14/100</f>
        <v>6242.231688</v>
      </c>
      <c r="F15" s="0" t="n">
        <f aca="false">F13-MAX(0,F13)*F14/100</f>
        <v>5778.52304832</v>
      </c>
      <c r="G15" s="0" t="n">
        <f aca="false">G13-MAX(0,G13)*G14/100</f>
        <v>5510.99883312</v>
      </c>
      <c r="H15" s="0" t="n">
        <f aca="false">H13-MAX(0,H13)*H14/100</f>
        <v>5566.1088214512</v>
      </c>
      <c r="I15" s="0" t="n">
        <f aca="false">I13-MAX(0,I13)*I14/100</f>
        <v>5621.76990966571</v>
      </c>
      <c r="J15" s="0" t="n">
        <f aca="false">J13-MAX(0,J13)*J14/100</f>
        <v>5706.0964583107</v>
      </c>
      <c r="K15" s="0" t="n">
        <f aca="false">K13-MAX(0,K13)*K14/100</f>
        <v>5820.21838747691</v>
      </c>
      <c r="L15" s="0" t="n">
        <f aca="false">L13-MAX(0,L13)*L14/100</f>
        <v>5936.62275522645</v>
      </c>
    </row>
    <row r="16" customFormat="false" ht="15" hidden="false" customHeight="false" outlineLevel="0" collapsed="false">
      <c r="A16" s="0" t="s">
        <v>122</v>
      </c>
      <c r="C16" s="0" t="n">
        <f aca="false">-C12</f>
        <v>1436</v>
      </c>
      <c r="D16" s="0" t="n">
        <f aca="false">-D12</f>
        <v>1392.92</v>
      </c>
      <c r="E16" s="0" t="n">
        <f aca="false">-E12</f>
        <v>1351.1324</v>
      </c>
      <c r="F16" s="0" t="n">
        <f aca="false">-F12</f>
        <v>1337.621076</v>
      </c>
      <c r="G16" s="0" t="n">
        <f aca="false">-G12</f>
        <v>1337.621076</v>
      </c>
      <c r="H16" s="0" t="n">
        <f aca="false">-H12</f>
        <v>1350.99728676</v>
      </c>
      <c r="I16" s="0" t="n">
        <f aca="false">-I12</f>
        <v>1364.5072596276</v>
      </c>
      <c r="J16" s="0" t="n">
        <f aca="false">-J12</f>
        <v>1384.97486852201</v>
      </c>
      <c r="K16" s="0" t="n">
        <f aca="false">-K12</f>
        <v>1412.67436589245</v>
      </c>
      <c r="L16" s="0" t="n">
        <f aca="false">-L12</f>
        <v>1440.9278532103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-1364.2</v>
      </c>
      <c r="D17" s="4" t="n">
        <f aca="false">-D6*Assumptions!D18/100</f>
        <v>-1323.274</v>
      </c>
      <c r="E17" s="4" t="n">
        <f aca="false">-E6*Assumptions!E18/100</f>
        <v>-1283.57578</v>
      </c>
      <c r="F17" s="4" t="n">
        <f aca="false">-F6*Assumptions!F18/100</f>
        <v>-1270.7400222</v>
      </c>
      <c r="G17" s="4" t="n">
        <f aca="false">-G6*Assumptions!G18/100</f>
        <v>-1270.7400222</v>
      </c>
      <c r="H17" s="4" t="n">
        <f aca="false">-H6*Assumptions!H18/100</f>
        <v>-1283.447422422</v>
      </c>
      <c r="I17" s="4" t="n">
        <f aca="false">-I6*Assumptions!I18/100</f>
        <v>-1296.28189664622</v>
      </c>
      <c r="J17" s="4" t="n">
        <f aca="false">-J6*Assumptions!J18/100</f>
        <v>-1315.72612509591</v>
      </c>
      <c r="K17" s="4" t="n">
        <f aca="false">-K6*Assumptions!K18/100</f>
        <v>-1342.04064759783</v>
      </c>
      <c r="L17" s="4" t="n">
        <f aca="false">-L6*Assumptions!L18/100</f>
        <v>-1368.88146054979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7998.52</v>
      </c>
      <c r="D19" s="0" t="n">
        <f aca="false">D15+D16+D17+D18</f>
        <v>7062.1044</v>
      </c>
      <c r="E19" s="0" t="n">
        <f aca="false">E15+E16+E17+E18</f>
        <v>6309.788308</v>
      </c>
      <c r="F19" s="0" t="n">
        <f aca="false">F15+F16+F17+F18</f>
        <v>5845.40410212</v>
      </c>
      <c r="G19" s="0" t="n">
        <f aca="false">G15+G16+G17+G18</f>
        <v>5577.87988692</v>
      </c>
      <c r="H19" s="0" t="n">
        <f aca="false">H15+H16+H17+H18</f>
        <v>5633.6586857892</v>
      </c>
      <c r="I19" s="0" t="n">
        <f aca="false">I15+I16+I17+I18</f>
        <v>5689.99527264709</v>
      </c>
      <c r="J19" s="0" t="n">
        <f aca="false">J15+J16+J17+J18</f>
        <v>5775.3452017368</v>
      </c>
      <c r="K19" s="0" t="n">
        <f aca="false">K15+K16+K17+K18</f>
        <v>5890.85210577153</v>
      </c>
      <c r="L19" s="0" t="n">
        <f aca="false">L15+L16+L17+L18</f>
        <v>6008.66914788697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7205.87387387387</v>
      </c>
      <c r="D21" s="0" t="n">
        <f aca="false">D19*D20</f>
        <v>5731.76235695155</v>
      </c>
      <c r="E21" s="0" t="n">
        <f aca="false">E19*E20</f>
        <v>4613.6628286431</v>
      </c>
      <c r="F21" s="0" t="n">
        <f aca="false">F19*F20</f>
        <v>3850.54873846069</v>
      </c>
      <c r="G21" s="0" t="n">
        <f aca="false">G19*G20</f>
        <v>3310.2002266438</v>
      </c>
      <c r="H21" s="0" t="n">
        <f aca="false">H19*H20</f>
        <v>3011.98399000922</v>
      </c>
      <c r="I21" s="0" t="n">
        <f aca="false">I19*I20</f>
        <v>2740.63408099938</v>
      </c>
      <c r="J21" s="0" t="n">
        <f aca="false">J19*J20</f>
        <v>2506.07530830123</v>
      </c>
      <c r="K21" s="0" t="n">
        <f aca="false">K19*K20</f>
        <v>2302.88001303357</v>
      </c>
      <c r="L21" s="0" t="n">
        <f aca="false">L19*L20</f>
        <v>2116.16001197679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0.4</v>
      </c>
      <c r="D23" s="4" t="n">
        <f aca="false">Assumptions!D16</f>
        <v>0.4</v>
      </c>
      <c r="E23" s="4" t="n">
        <f aca="false">Assumptions!E16</f>
        <v>0.4</v>
      </c>
      <c r="F23" s="4" t="n">
        <f aca="false">Assumptions!F16</f>
        <v>0.4</v>
      </c>
      <c r="G23" s="4" t="n">
        <f aca="false">Assumptions!G16</f>
        <v>0.4</v>
      </c>
      <c r="H23" s="4" t="n">
        <f aca="false">Assumptions!H16</f>
        <v>0.4</v>
      </c>
      <c r="I23" s="4" t="n">
        <f aca="false">Assumptions!I16</f>
        <v>0.4</v>
      </c>
      <c r="J23" s="4" t="n">
        <f aca="false">Assumptions!J16</f>
        <v>0.4</v>
      </c>
      <c r="K23" s="4" t="n">
        <f aca="false">Assumptions!K16</f>
        <v>0.4</v>
      </c>
      <c r="L23" s="4" t="n">
        <f aca="false">Assumptions!L16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-143.6</v>
      </c>
      <c r="D24" s="0" t="n">
        <f aca="false">-D6*D23/100</f>
        <v>-139.292</v>
      </c>
      <c r="E24" s="0" t="n">
        <f aca="false">-E6*E23/100</f>
        <v>-135.11324</v>
      </c>
      <c r="F24" s="0" t="n">
        <f aca="false">-F6*F23/100</f>
        <v>-133.7621076</v>
      </c>
      <c r="G24" s="0" t="n">
        <f aca="false">-G6*G23/100</f>
        <v>-133.7621076</v>
      </c>
      <c r="H24" s="0" t="n">
        <f aca="false">-H6*H23/100</f>
        <v>-135.099728676</v>
      </c>
      <c r="I24" s="0" t="n">
        <f aca="false">-I6*I23/100</f>
        <v>-136.45072596276</v>
      </c>
      <c r="J24" s="0" t="n">
        <f aca="false">-J6*J23/100</f>
        <v>-138.497486852201</v>
      </c>
      <c r="K24" s="0" t="n">
        <f aca="false">-K6*K23/100</f>
        <v>-141.267436589245</v>
      </c>
      <c r="L24" s="0" t="n">
        <f aca="false">-L6*L23/100</f>
        <v>-144.09278532103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37389.7814288932</v>
      </c>
    </row>
    <row r="31" customFormat="false" ht="15" hidden="false" customHeight="false" outlineLevel="0" collapsed="false">
      <c r="A31" s="0" t="s">
        <v>131</v>
      </c>
      <c r="B31" s="0" t="n">
        <f aca="false">L19</f>
        <v>6008.66914788697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68098.250342719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90130.0372183045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68098.250342719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23983.1468024036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61372.9282312968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105681.928231297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9.88861957070133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0.27759942773919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4063.66222783631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2875.67707462873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10.5379310242538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47144.9425449593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8.24762575722476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6.5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35900</v>
      </c>
      <c r="C6" s="0" t="n">
        <f aca="false">B6*(1+C5/100)</f>
        <v>38233.5</v>
      </c>
      <c r="D6" s="0" t="n">
        <f aca="false">C6*(1+D5/100)</f>
        <v>39571.6725</v>
      </c>
      <c r="E6" s="0" t="n">
        <f aca="false">D6*(1+E5/100)</f>
        <v>40956.6810375</v>
      </c>
      <c r="F6" s="0" t="n">
        <f aca="false">E6*(1+F5/100)</f>
        <v>42390.1648738125</v>
      </c>
      <c r="G6" s="0" t="n">
        <f aca="false">F6*(1+G5/100)</f>
        <v>43873.8206443959</v>
      </c>
      <c r="H6" s="0" t="n">
        <f aca="false">G6*(1+H5/100)</f>
        <v>45190.0352637278</v>
      </c>
      <c r="I6" s="0" t="n">
        <f aca="false">H6*(1+I5/100)</f>
        <v>46545.7363216396</v>
      </c>
      <c r="J6" s="0" t="n">
        <f aca="false">I6*(1+J5/100)</f>
        <v>47942.1084112888</v>
      </c>
      <c r="K6" s="0" t="n">
        <f aca="false">J6*(1+K5/100)</f>
        <v>49140.661121571</v>
      </c>
      <c r="L6" s="0" t="n">
        <f aca="false">K6*(1+L5/100)</f>
        <v>50369.1776496103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35.5</v>
      </c>
      <c r="D7" s="4" t="n">
        <f aca="false">Assumptions!D28</f>
        <v>35.5</v>
      </c>
      <c r="E7" s="4" t="n">
        <f aca="false">Assumptions!E28</f>
        <v>36</v>
      </c>
      <c r="F7" s="4" t="n">
        <f aca="false">Assumptions!F28</f>
        <v>36</v>
      </c>
      <c r="G7" s="4" t="n">
        <f aca="false">Assumptions!G28</f>
        <v>36.5</v>
      </c>
      <c r="H7" s="4" t="n">
        <f aca="false">Assumptions!H28</f>
        <v>36.5</v>
      </c>
      <c r="I7" s="4" t="n">
        <f aca="false">Assumptions!I28</f>
        <v>37</v>
      </c>
      <c r="J7" s="4" t="n">
        <f aca="false">Assumptions!J28</f>
        <v>37</v>
      </c>
      <c r="K7" s="4" t="n">
        <f aca="false">Assumptions!K28</f>
        <v>37</v>
      </c>
      <c r="L7" s="4" t="n">
        <f aca="false">Assumptions!L28</f>
        <v>37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13572.8925</v>
      </c>
      <c r="D8" s="0" t="n">
        <f aca="false">D6*D7/100</f>
        <v>14047.9437375</v>
      </c>
      <c r="E8" s="0" t="n">
        <f aca="false">E6*E7/100</f>
        <v>14744.4051735</v>
      </c>
      <c r="F8" s="0" t="n">
        <f aca="false">F6*F7/100</f>
        <v>15260.4593545725</v>
      </c>
      <c r="G8" s="0" t="n">
        <f aca="false">G6*G7/100</f>
        <v>16013.9445352045</v>
      </c>
      <c r="H8" s="0" t="n">
        <f aca="false">H6*H7/100</f>
        <v>16494.3628712606</v>
      </c>
      <c r="I8" s="0" t="n">
        <f aca="false">I6*I7/100</f>
        <v>17221.9224390067</v>
      </c>
      <c r="J8" s="0" t="n">
        <f aca="false">J6*J7/100</f>
        <v>17738.5801121769</v>
      </c>
      <c r="K8" s="0" t="n">
        <f aca="false">K6*K7/100</f>
        <v>18182.0446149813</v>
      </c>
      <c r="L8" s="0" t="n">
        <f aca="false">L6*L7/100</f>
        <v>18636.5957303558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2</v>
      </c>
      <c r="D9" s="4" t="n">
        <f aca="false">Assumptions!D29</f>
        <v>2</v>
      </c>
      <c r="E9" s="4" t="n">
        <f aca="false">Assumptions!E29</f>
        <v>1.9</v>
      </c>
      <c r="F9" s="4" t="n">
        <f aca="false">Assumptions!F29</f>
        <v>1.9</v>
      </c>
      <c r="G9" s="4" t="n">
        <f aca="false">Assumptions!G29</f>
        <v>1.8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-764.67</v>
      </c>
      <c r="D10" s="0" t="n">
        <f aca="false">-D6*D9/100</f>
        <v>-791.43345</v>
      </c>
      <c r="E10" s="0" t="n">
        <f aca="false">-E6*E9/100</f>
        <v>-778.1769397125</v>
      </c>
      <c r="F10" s="0" t="n">
        <f aca="false">-F6*F9/100</f>
        <v>-805.413132602437</v>
      </c>
      <c r="G10" s="0" t="n">
        <f aca="false">-G6*G9/100</f>
        <v>-789.728771599127</v>
      </c>
      <c r="H10" s="0" t="n">
        <f aca="false">-H6*H9/100</f>
        <v>-813.4206347471</v>
      </c>
      <c r="I10" s="0" t="n">
        <f aca="false">-I6*I9/100</f>
        <v>-837.823253789513</v>
      </c>
      <c r="J10" s="0" t="n">
        <f aca="false">-J6*J9/100</f>
        <v>-862.957951403199</v>
      </c>
      <c r="K10" s="0" t="n">
        <f aca="false">-K6*K9/100</f>
        <v>-884.531900188279</v>
      </c>
      <c r="L10" s="0" t="n">
        <f aca="false">-L6*L9/100</f>
        <v>-906.645197692986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12655.2885</v>
      </c>
      <c r="D11" s="0" t="n">
        <f aca="false">D8+D10+D24</f>
        <v>13098.2235975</v>
      </c>
      <c r="E11" s="0" t="n">
        <f aca="false">E8+E10+E24</f>
        <v>13802.4015096375</v>
      </c>
      <c r="F11" s="0" t="n">
        <f aca="false">F8+F10+F24</f>
        <v>14285.4855624748</v>
      </c>
      <c r="G11" s="0" t="n">
        <f aca="false">G8+G10+G24</f>
        <v>15048.7204810278</v>
      </c>
      <c r="H11" s="0" t="n">
        <f aca="false">H8+H10+H24</f>
        <v>15500.1820954586</v>
      </c>
      <c r="I11" s="0" t="n">
        <f aca="false">I8+I10+I24</f>
        <v>16197.9162399306</v>
      </c>
      <c r="J11" s="0" t="n">
        <f aca="false">J8+J10+J24</f>
        <v>16683.8537271285</v>
      </c>
      <c r="K11" s="0" t="n">
        <f aca="false">K8+K10+K24</f>
        <v>17100.9500703067</v>
      </c>
      <c r="L11" s="0" t="n">
        <f aca="false">L8+L10+L24</f>
        <v>17528.4738220644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-1529.34</v>
      </c>
      <c r="D12" s="4" t="n">
        <f aca="false">-D6*Assumptions!D31/100</f>
        <v>-1582.8669</v>
      </c>
      <c r="E12" s="4" t="n">
        <f aca="false">-E6*Assumptions!E31/100</f>
        <v>-1638.2672415</v>
      </c>
      <c r="F12" s="4" t="n">
        <f aca="false">-F6*Assumptions!F31/100</f>
        <v>-1695.6065949525</v>
      </c>
      <c r="G12" s="4" t="n">
        <f aca="false">-G6*Assumptions!G31/100</f>
        <v>-1754.95282577584</v>
      </c>
      <c r="H12" s="4" t="n">
        <f aca="false">-H6*Assumptions!H31/100</f>
        <v>-1807.60141054911</v>
      </c>
      <c r="I12" s="4" t="n">
        <f aca="false">-I6*Assumptions!I31/100</f>
        <v>-1861.82945286559</v>
      </c>
      <c r="J12" s="4" t="n">
        <f aca="false">-J6*Assumptions!J31/100</f>
        <v>-1917.68433645155</v>
      </c>
      <c r="K12" s="4" t="n">
        <f aca="false">-K6*Assumptions!K31/100</f>
        <v>-1965.62644486284</v>
      </c>
      <c r="L12" s="4" t="n">
        <f aca="false">-L6*Assumptions!L31/100</f>
        <v>-2014.76710598441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11125.9485</v>
      </c>
      <c r="D13" s="0" t="n">
        <f aca="false">D11+D12</f>
        <v>11515.3566975</v>
      </c>
      <c r="E13" s="0" t="n">
        <f aca="false">E11+E12</f>
        <v>12164.1342681375</v>
      </c>
      <c r="F13" s="0" t="n">
        <f aca="false">F11+F12</f>
        <v>12589.8789675223</v>
      </c>
      <c r="G13" s="0" t="n">
        <f aca="false">G11+G12</f>
        <v>13293.767655252</v>
      </c>
      <c r="H13" s="0" t="n">
        <f aca="false">H11+H12</f>
        <v>13692.5806849095</v>
      </c>
      <c r="I13" s="0" t="n">
        <f aca="false">I11+I12</f>
        <v>14336.086787065</v>
      </c>
      <c r="J13" s="0" t="n">
        <f aca="false">J11+J12</f>
        <v>14766.169390677</v>
      </c>
      <c r="K13" s="0" t="n">
        <f aca="false">K11+K12</f>
        <v>15135.3236254439</v>
      </c>
      <c r="L13" s="0" t="n">
        <f aca="false">L11+L12</f>
        <v>15513.70671608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18</v>
      </c>
      <c r="D14" s="4" t="n">
        <f aca="false">Assumptions!D33</f>
        <v>18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9123.27777</v>
      </c>
      <c r="D15" s="0" t="n">
        <f aca="false">D13-MAX(0,D13)*D14/100</f>
        <v>9442.59249195</v>
      </c>
      <c r="E15" s="0" t="n">
        <f aca="false">E13-MAX(0,E13)*E14/100</f>
        <v>9974.59009987275</v>
      </c>
      <c r="F15" s="0" t="n">
        <f aca="false">F13-MAX(0,F13)*F14/100</f>
        <v>10323.7007533683</v>
      </c>
      <c r="G15" s="0" t="n">
        <f aca="false">G13-MAX(0,G13)*G14/100</f>
        <v>10900.8894773066</v>
      </c>
      <c r="H15" s="0" t="n">
        <f aca="false">H13-MAX(0,H13)*H14/100</f>
        <v>11227.9161616258</v>
      </c>
      <c r="I15" s="0" t="n">
        <f aca="false">I13-MAX(0,I13)*I14/100</f>
        <v>11755.5911653933</v>
      </c>
      <c r="J15" s="0" t="n">
        <f aca="false">J13-MAX(0,J13)*J14/100</f>
        <v>12108.2589003551</v>
      </c>
      <c r="K15" s="0" t="n">
        <f aca="false">K13-MAX(0,K13)*K14/100</f>
        <v>12410.965372864</v>
      </c>
      <c r="L15" s="0" t="n">
        <f aca="false">L13-MAX(0,L13)*L14/100</f>
        <v>12721.2395071856</v>
      </c>
    </row>
    <row r="16" customFormat="false" ht="15" hidden="false" customHeight="false" outlineLevel="0" collapsed="false">
      <c r="A16" s="0" t="s">
        <v>122</v>
      </c>
      <c r="C16" s="0" t="n">
        <f aca="false">-C12</f>
        <v>1529.34</v>
      </c>
      <c r="D16" s="0" t="n">
        <f aca="false">-D12</f>
        <v>1582.8669</v>
      </c>
      <c r="E16" s="0" t="n">
        <f aca="false">-E12</f>
        <v>1638.2672415</v>
      </c>
      <c r="F16" s="0" t="n">
        <f aca="false">-F12</f>
        <v>1695.6065949525</v>
      </c>
      <c r="G16" s="0" t="n">
        <f aca="false">-G12</f>
        <v>1754.95282577584</v>
      </c>
      <c r="H16" s="0" t="n">
        <f aca="false">-H12</f>
        <v>1807.60141054911</v>
      </c>
      <c r="I16" s="0" t="n">
        <f aca="false">-I12</f>
        <v>1861.82945286559</v>
      </c>
      <c r="J16" s="0" t="n">
        <f aca="false">-J12</f>
        <v>1917.68433645155</v>
      </c>
      <c r="K16" s="0" t="n">
        <f aca="false">-K12</f>
        <v>1965.62644486284</v>
      </c>
      <c r="L16" s="0" t="n">
        <f aca="false">-L12</f>
        <v>2014.76710598441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-1376.406</v>
      </c>
      <c r="D17" s="4" t="n">
        <f aca="false">-D6*Assumptions!D32/100</f>
        <v>-1424.58021</v>
      </c>
      <c r="E17" s="4" t="n">
        <f aca="false">-E6*Assumptions!E32/100</f>
        <v>-1474.44051735</v>
      </c>
      <c r="F17" s="4" t="n">
        <f aca="false">-F6*Assumptions!F32/100</f>
        <v>-1526.04593545725</v>
      </c>
      <c r="G17" s="4" t="n">
        <f aca="false">-G6*Assumptions!G32/100</f>
        <v>-1579.45754319825</v>
      </c>
      <c r="H17" s="4" t="n">
        <f aca="false">-H6*Assumptions!H32/100</f>
        <v>-1626.8412694942</v>
      </c>
      <c r="I17" s="4" t="n">
        <f aca="false">-I6*Assumptions!I32/100</f>
        <v>-1675.64650757903</v>
      </c>
      <c r="J17" s="4" t="n">
        <f aca="false">-J6*Assumptions!J32/100</f>
        <v>-1725.9159028064</v>
      </c>
      <c r="K17" s="4" t="n">
        <f aca="false">-K6*Assumptions!K32/100</f>
        <v>-1769.06380037656</v>
      </c>
      <c r="L17" s="4" t="n">
        <f aca="false">-L6*Assumptions!L32/100</f>
        <v>-1813.29039538597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116.675</v>
      </c>
      <c r="D18" s="4" t="n">
        <f aca="false">(D6-C6)*Assumptions!$B$37/100</f>
        <v>66.9086249999997</v>
      </c>
      <c r="E18" s="4" t="n">
        <f aca="false">(E6-D6)*Assumptions!$B$37/100</f>
        <v>69.2504268749999</v>
      </c>
      <c r="F18" s="4" t="n">
        <f aca="false">(F6-E6)*Assumptions!$B$37/100</f>
        <v>71.6741918156247</v>
      </c>
      <c r="G18" s="4" t="n">
        <f aca="false">(G6-F6)*Assumptions!$B$37/100</f>
        <v>74.1827885291718</v>
      </c>
      <c r="H18" s="4" t="n">
        <f aca="false">(H6-G6)*Assumptions!$B$37/100</f>
        <v>65.8107309665938</v>
      </c>
      <c r="I18" s="4" t="n">
        <f aca="false">(I6-H6)*Assumptions!$B$37/100</f>
        <v>67.7850528955918</v>
      </c>
      <c r="J18" s="4" t="n">
        <f aca="false">(J6-I6)*Assumptions!$B$37/100</f>
        <v>69.8186044824593</v>
      </c>
      <c r="K18" s="4" t="n">
        <f aca="false">(K6-J6)*Assumptions!$B$37/100</f>
        <v>59.9276355141108</v>
      </c>
      <c r="L18" s="4" t="n">
        <f aca="false">(L6-K6)*Assumptions!$B$37/100</f>
        <v>61.4258264019634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9392.88677</v>
      </c>
      <c r="D19" s="0" t="n">
        <f aca="false">D15+D16+D17+D18</f>
        <v>9667.78780695</v>
      </c>
      <c r="E19" s="0" t="n">
        <f aca="false">E15+E16+E17+E18</f>
        <v>10207.6672508977</v>
      </c>
      <c r="F19" s="0" t="n">
        <f aca="false">F15+F16+F17+F18</f>
        <v>10564.9356046792</v>
      </c>
      <c r="G19" s="0" t="n">
        <f aca="false">G15+G16+G17+G18</f>
        <v>11150.5675484134</v>
      </c>
      <c r="H19" s="0" t="n">
        <f aca="false">H15+H16+H17+H18</f>
        <v>11474.4870336473</v>
      </c>
      <c r="I19" s="0" t="n">
        <f aca="false">I15+I16+I17+I18</f>
        <v>12009.5591635755</v>
      </c>
      <c r="J19" s="0" t="n">
        <f aca="false">J15+J16+J17+J18</f>
        <v>12369.8459384827</v>
      </c>
      <c r="K19" s="0" t="n">
        <f aca="false">K15+K16+K17+K18</f>
        <v>12667.4556528644</v>
      </c>
      <c r="L19" s="0" t="n">
        <f aca="false">L15+L16+L17+L18</f>
        <v>12984.142044186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8462.06015315315</v>
      </c>
      <c r="D21" s="0" t="n">
        <f aca="false">D19*D20</f>
        <v>7846.59346396396</v>
      </c>
      <c r="E21" s="0" t="n">
        <f aca="false">E19*E20</f>
        <v>7463.7583170444</v>
      </c>
      <c r="F21" s="0" t="n">
        <f aca="false">F19*F20</f>
        <v>6959.4503226495</v>
      </c>
      <c r="G21" s="0" t="n">
        <f aca="false">G19*G20</f>
        <v>6617.31912021258</v>
      </c>
      <c r="H21" s="0" t="n">
        <f aca="false">H19*H20</f>
        <v>6134.72934135919</v>
      </c>
      <c r="I21" s="0" t="n">
        <f aca="false">I19*I20</f>
        <v>5784.50518222684</v>
      </c>
      <c r="J21" s="0" t="n">
        <f aca="false">J19*J20</f>
        <v>5367.60390783211</v>
      </c>
      <c r="K21" s="0" t="n">
        <f aca="false">K19*K20</f>
        <v>4952.02220581801</v>
      </c>
      <c r="L21" s="0" t="n">
        <f aca="false">L19*L20</f>
        <v>4572.81329816528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0.4</v>
      </c>
      <c r="D23" s="4" t="n">
        <f aca="false">Assumptions!D30</f>
        <v>0.4</v>
      </c>
      <c r="E23" s="4" t="n">
        <f aca="false">Assumptions!E30</f>
        <v>0.4</v>
      </c>
      <c r="F23" s="4" t="n">
        <f aca="false">Assumptions!F30</f>
        <v>0.4</v>
      </c>
      <c r="G23" s="4" t="n">
        <f aca="false">Assumptions!G30</f>
        <v>0.4</v>
      </c>
      <c r="H23" s="4" t="n">
        <f aca="false">Assumptions!H30</f>
        <v>0.4</v>
      </c>
      <c r="I23" s="4" t="n">
        <f aca="false">Assumptions!I30</f>
        <v>0.4</v>
      </c>
      <c r="J23" s="4" t="n">
        <f aca="false">Assumptions!J30</f>
        <v>0.4</v>
      </c>
      <c r="K23" s="4" t="n">
        <f aca="false">Assumptions!K30</f>
        <v>0.4</v>
      </c>
      <c r="L23" s="4" t="n">
        <f aca="false">Assumptions!L30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-152.934</v>
      </c>
      <c r="D24" s="0" t="n">
        <f aca="false">-D6*D23/100</f>
        <v>-158.28669</v>
      </c>
      <c r="E24" s="0" t="n">
        <f aca="false">-E6*E23/100</f>
        <v>-163.82672415</v>
      </c>
      <c r="F24" s="0" t="n">
        <f aca="false">-F6*F23/100</f>
        <v>-169.56065949525</v>
      </c>
      <c r="G24" s="0" t="n">
        <f aca="false">-G6*G23/100</f>
        <v>-175.495282577584</v>
      </c>
      <c r="H24" s="0" t="n">
        <f aca="false">-H6*H23/100</f>
        <v>-180.760141054911</v>
      </c>
      <c r="I24" s="0" t="n">
        <f aca="false">-I6*I23/100</f>
        <v>-186.182945286559</v>
      </c>
      <c r="J24" s="0" t="n">
        <f aca="false">-J6*J23/100</f>
        <v>-191.768433645155</v>
      </c>
      <c r="K24" s="0" t="n">
        <f aca="false">-K6*K23/100</f>
        <v>-196.562644486284</v>
      </c>
      <c r="L24" s="0" t="n">
        <f aca="false">-L6*L23/100</f>
        <v>-201.476710598441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64160.855312425</v>
      </c>
    </row>
    <row r="31" customFormat="false" ht="15" hidden="false" customHeight="false" outlineLevel="0" collapsed="false">
      <c r="A31" s="0" t="s">
        <v>131</v>
      </c>
      <c r="B31" s="0" t="n">
        <f aca="false">L19</f>
        <v>12984.142044186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156573.477591654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194762.13066279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156573.477591654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55142.7485955225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119303.603907948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163612.603907948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15.3091718148497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0.977929175045177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4777.43409439715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3850.45912402882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16.1164806439138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106469.964762325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11.6709800086117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85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9.8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35900</v>
      </c>
      <c r="C6" s="0" t="n">
        <f aca="false">B6*(1+C5/100)</f>
        <v>39418.2</v>
      </c>
      <c r="D6" s="0" t="n">
        <f aca="false">C6*(1+D5/100)</f>
        <v>42177.474</v>
      </c>
      <c r="E6" s="0" t="n">
        <f aca="false">D6*(1+E5/100)</f>
        <v>44919.00981</v>
      </c>
      <c r="F6" s="0" t="n">
        <f aca="false">E6*(1+F5/100)</f>
        <v>47614.1503986</v>
      </c>
      <c r="G6" s="0" t="n">
        <f aca="false">F6*(1+G5/100)</f>
        <v>50232.928670523</v>
      </c>
      <c r="H6" s="0" t="n">
        <f aca="false">G6*(1+H5/100)</f>
        <v>52744.5751040492</v>
      </c>
      <c r="I6" s="0" t="n">
        <f aca="false">H6*(1+I5/100)</f>
        <v>55118.0809837314</v>
      </c>
      <c r="J6" s="0" t="n">
        <f aca="false">I6*(1+J5/100)</f>
        <v>57322.8042230806</v>
      </c>
      <c r="K6" s="0" t="n">
        <f aca="false">J6*(1+K5/100)</f>
        <v>59329.1023708885</v>
      </c>
      <c r="L6" s="0" t="n">
        <f aca="false">K6*(1+L5/100)</f>
        <v>61108.9754420151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36.5</v>
      </c>
      <c r="D7" s="4" t="n">
        <f aca="false">Assumptions!D42</f>
        <v>37.5</v>
      </c>
      <c r="E7" s="4" t="n">
        <f aca="false">Assumptions!E42</f>
        <v>38.5</v>
      </c>
      <c r="F7" s="4" t="n">
        <f aca="false">Assumptions!F42</f>
        <v>39.5</v>
      </c>
      <c r="G7" s="4" t="n">
        <f aca="false">Assumptions!G42</f>
        <v>40</v>
      </c>
      <c r="H7" s="4" t="n">
        <f aca="false">Assumptions!H42</f>
        <v>40.5</v>
      </c>
      <c r="I7" s="4" t="n">
        <f aca="false">Assumptions!I42</f>
        <v>41</v>
      </c>
      <c r="J7" s="4" t="n">
        <f aca="false">Assumptions!J42</f>
        <v>41</v>
      </c>
      <c r="K7" s="4" t="n">
        <f aca="false">Assumptions!K42</f>
        <v>41</v>
      </c>
      <c r="L7" s="4" t="n">
        <f aca="false">Assumptions!L42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14387.643</v>
      </c>
      <c r="D8" s="0" t="n">
        <f aca="false">D6*D7/100</f>
        <v>15816.55275</v>
      </c>
      <c r="E8" s="0" t="n">
        <f aca="false">E6*E7/100</f>
        <v>17293.81877685</v>
      </c>
      <c r="F8" s="0" t="n">
        <f aca="false">F6*F7/100</f>
        <v>18807.589407447</v>
      </c>
      <c r="G8" s="0" t="n">
        <f aca="false">G6*G7/100</f>
        <v>20093.1714682092</v>
      </c>
      <c r="H8" s="0" t="n">
        <f aca="false">H6*H7/100</f>
        <v>21361.5529171399</v>
      </c>
      <c r="I8" s="0" t="n">
        <f aca="false">I6*I7/100</f>
        <v>22598.4132033299</v>
      </c>
      <c r="J8" s="0" t="n">
        <f aca="false">J6*J7/100</f>
        <v>23502.3497314631</v>
      </c>
      <c r="K8" s="0" t="n">
        <f aca="false">K6*K7/100</f>
        <v>24324.9319720643</v>
      </c>
      <c r="L8" s="0" t="n">
        <f aca="false">L6*L7/100</f>
        <v>25054.6799312262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2</v>
      </c>
      <c r="D9" s="4" t="n">
        <f aca="false">Assumptions!D43</f>
        <v>2</v>
      </c>
      <c r="E9" s="4" t="n">
        <f aca="false">Assumptions!E43</f>
        <v>1.9</v>
      </c>
      <c r="F9" s="4" t="n">
        <f aca="false">Assumptions!F43</f>
        <v>1.9</v>
      </c>
      <c r="G9" s="4" t="n">
        <f aca="false">Assumptions!G43</f>
        <v>1.8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-788.364</v>
      </c>
      <c r="D10" s="0" t="n">
        <f aca="false">-D6*D9/100</f>
        <v>-843.54948</v>
      </c>
      <c r="E10" s="0" t="n">
        <f aca="false">-E6*E9/100</f>
        <v>-853.46118639</v>
      </c>
      <c r="F10" s="0" t="n">
        <f aca="false">-F6*F9/100</f>
        <v>-904.6688575734</v>
      </c>
      <c r="G10" s="0" t="n">
        <f aca="false">-G6*G9/100</f>
        <v>-904.192716069414</v>
      </c>
      <c r="H10" s="0" t="n">
        <f aca="false">-H6*H9/100</f>
        <v>-949.402351872885</v>
      </c>
      <c r="I10" s="0" t="n">
        <f aca="false">-I6*I9/100</f>
        <v>-992.125457707165</v>
      </c>
      <c r="J10" s="0" t="n">
        <f aca="false">-J6*J9/100</f>
        <v>-1031.81047601545</v>
      </c>
      <c r="K10" s="0" t="n">
        <f aca="false">-K6*K9/100</f>
        <v>-1067.92384267599</v>
      </c>
      <c r="L10" s="0" t="n">
        <f aca="false">-L6*L9/100</f>
        <v>-1099.96155795627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13441.6062</v>
      </c>
      <c r="D11" s="0" t="n">
        <f aca="false">D8+D10+D24</f>
        <v>14804.293374</v>
      </c>
      <c r="E11" s="0" t="n">
        <f aca="false">E8+E10+E24</f>
        <v>16260.68155122</v>
      </c>
      <c r="F11" s="0" t="n">
        <f aca="false">F8+F10+F24</f>
        <v>17712.4639482792</v>
      </c>
      <c r="G11" s="0" t="n">
        <f aca="false">G8+G10+G24</f>
        <v>18988.0470374577</v>
      </c>
      <c r="H11" s="0" t="n">
        <f aca="false">H8+H10+H24</f>
        <v>20201.1722648508</v>
      </c>
      <c r="I11" s="0" t="n">
        <f aca="false">I8+I10+I24</f>
        <v>21385.8154216878</v>
      </c>
      <c r="J11" s="0" t="n">
        <f aca="false">J8+J10+J24</f>
        <v>22241.2480385553</v>
      </c>
      <c r="K11" s="0" t="n">
        <f aca="false">K8+K10+K24</f>
        <v>23019.6917199047</v>
      </c>
      <c r="L11" s="0" t="n">
        <f aca="false">L8+L10+L24</f>
        <v>23710.2824715019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-1576.728</v>
      </c>
      <c r="D12" s="4" t="n">
        <f aca="false">-D6*Assumptions!D45/100</f>
        <v>-1687.09896</v>
      </c>
      <c r="E12" s="4" t="n">
        <f aca="false">-E6*Assumptions!E45/100</f>
        <v>-1796.7603924</v>
      </c>
      <c r="F12" s="4" t="n">
        <f aca="false">-F6*Assumptions!F45/100</f>
        <v>-1904.566015944</v>
      </c>
      <c r="G12" s="4" t="n">
        <f aca="false">-G6*Assumptions!G45/100</f>
        <v>-2009.31714682092</v>
      </c>
      <c r="H12" s="4" t="n">
        <f aca="false">-H6*Assumptions!H45/100</f>
        <v>-2109.78300416197</v>
      </c>
      <c r="I12" s="4" t="n">
        <f aca="false">-I6*Assumptions!I45/100</f>
        <v>-2204.72323934926</v>
      </c>
      <c r="J12" s="4" t="n">
        <f aca="false">-J6*Assumptions!J45/100</f>
        <v>-2292.91216892323</v>
      </c>
      <c r="K12" s="4" t="n">
        <f aca="false">-K6*Assumptions!K45/100</f>
        <v>-2373.16409483554</v>
      </c>
      <c r="L12" s="4" t="n">
        <f aca="false">-L6*Assumptions!L45/100</f>
        <v>-2444.3590176806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11864.8782</v>
      </c>
      <c r="D13" s="0" t="n">
        <f aca="false">D11+D12</f>
        <v>13117.194414</v>
      </c>
      <c r="E13" s="0" t="n">
        <f aca="false">E11+E12</f>
        <v>14463.92115882</v>
      </c>
      <c r="F13" s="0" t="n">
        <f aca="false">F11+F12</f>
        <v>15807.8979323352</v>
      </c>
      <c r="G13" s="0" t="n">
        <f aca="false">G11+G12</f>
        <v>16978.7298906368</v>
      </c>
      <c r="H13" s="0" t="n">
        <f aca="false">H11+H12</f>
        <v>18091.3892606889</v>
      </c>
      <c r="I13" s="0" t="n">
        <f aca="false">I11+I12</f>
        <v>19181.0921823385</v>
      </c>
      <c r="J13" s="0" t="n">
        <f aca="false">J11+J12</f>
        <v>19948.3358696321</v>
      </c>
      <c r="K13" s="0" t="n">
        <f aca="false">K11+K12</f>
        <v>20646.5276250692</v>
      </c>
      <c r="L13" s="0" t="n">
        <f aca="false">L11+L12</f>
        <v>21265.9234538213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17</v>
      </c>
      <c r="F14" s="4" t="n">
        <f aca="false">Assumptions!F47</f>
        <v>17</v>
      </c>
      <c r="G14" s="4" t="n">
        <f aca="false">Assumptions!G47</f>
        <v>17</v>
      </c>
      <c r="H14" s="4" t="n">
        <f aca="false">Assumptions!H47</f>
        <v>17</v>
      </c>
      <c r="I14" s="4" t="n">
        <f aca="false">Assumptions!I47</f>
        <v>17</v>
      </c>
      <c r="J14" s="4" t="n">
        <f aca="false">Assumptions!J47</f>
        <v>17</v>
      </c>
      <c r="K14" s="4" t="n">
        <f aca="false">Assumptions!K47</f>
        <v>17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9847.848906</v>
      </c>
      <c r="D15" s="0" t="n">
        <f aca="false">D13-MAX(0,D13)*D14/100</f>
        <v>10887.27136362</v>
      </c>
      <c r="E15" s="0" t="n">
        <f aca="false">E13-MAX(0,E13)*E14/100</f>
        <v>12005.0545618206</v>
      </c>
      <c r="F15" s="0" t="n">
        <f aca="false">F13-MAX(0,F13)*F14/100</f>
        <v>13120.5552838382</v>
      </c>
      <c r="G15" s="0" t="n">
        <f aca="false">G13-MAX(0,G13)*G14/100</f>
        <v>14092.3458092285</v>
      </c>
      <c r="H15" s="0" t="n">
        <f aca="false">H13-MAX(0,H13)*H14/100</f>
        <v>15015.8530863718</v>
      </c>
      <c r="I15" s="0" t="n">
        <f aca="false">I13-MAX(0,I13)*I14/100</f>
        <v>15920.306511341</v>
      </c>
      <c r="J15" s="0" t="n">
        <f aca="false">J13-MAX(0,J13)*J14/100</f>
        <v>16557.1187717946</v>
      </c>
      <c r="K15" s="0" t="n">
        <f aca="false">K13-MAX(0,K13)*K14/100</f>
        <v>17136.6179288074</v>
      </c>
      <c r="L15" s="0" t="n">
        <f aca="false">L13-MAX(0,L13)*L14/100</f>
        <v>17650.7164666717</v>
      </c>
    </row>
    <row r="16" customFormat="false" ht="15" hidden="false" customHeight="false" outlineLevel="0" collapsed="false">
      <c r="A16" s="0" t="s">
        <v>122</v>
      </c>
      <c r="C16" s="0" t="n">
        <f aca="false">-C12</f>
        <v>1576.728</v>
      </c>
      <c r="D16" s="0" t="n">
        <f aca="false">-D12</f>
        <v>1687.09896</v>
      </c>
      <c r="E16" s="0" t="n">
        <f aca="false">-E12</f>
        <v>1796.7603924</v>
      </c>
      <c r="F16" s="0" t="n">
        <f aca="false">-F12</f>
        <v>1904.566015944</v>
      </c>
      <c r="G16" s="0" t="n">
        <f aca="false">-G12</f>
        <v>2009.31714682092</v>
      </c>
      <c r="H16" s="0" t="n">
        <f aca="false">-H12</f>
        <v>2109.78300416197</v>
      </c>
      <c r="I16" s="0" t="n">
        <f aca="false">-I12</f>
        <v>2204.72323934926</v>
      </c>
      <c r="J16" s="0" t="n">
        <f aca="false">-J12</f>
        <v>2292.91216892323</v>
      </c>
      <c r="K16" s="0" t="n">
        <f aca="false">-K12</f>
        <v>2373.16409483554</v>
      </c>
      <c r="L16" s="0" t="n">
        <f aca="false">-L12</f>
        <v>2444.3590176806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-1340.2188</v>
      </c>
      <c r="D17" s="4" t="n">
        <f aca="false">-D6*Assumptions!D46/100</f>
        <v>-1434.034116</v>
      </c>
      <c r="E17" s="4" t="n">
        <f aca="false">-E6*Assumptions!E46/100</f>
        <v>-1527.24633354</v>
      </c>
      <c r="F17" s="4" t="n">
        <f aca="false">-F6*Assumptions!F46/100</f>
        <v>-1618.8811135524</v>
      </c>
      <c r="G17" s="4" t="n">
        <f aca="false">-G6*Assumptions!G46/100</f>
        <v>-1707.91957479778</v>
      </c>
      <c r="H17" s="4" t="n">
        <f aca="false">-H6*Assumptions!H46/100</f>
        <v>-1793.31555353767</v>
      </c>
      <c r="I17" s="4" t="n">
        <f aca="false">-I6*Assumptions!I46/100</f>
        <v>-1874.01475344687</v>
      </c>
      <c r="J17" s="4" t="n">
        <f aca="false">-J6*Assumptions!J46/100</f>
        <v>-1948.97534358474</v>
      </c>
      <c r="K17" s="4" t="n">
        <f aca="false">-K6*Assumptions!K46/100</f>
        <v>-2017.18948061021</v>
      </c>
      <c r="L17" s="4" t="n">
        <f aca="false">-L6*Assumptions!L46/100</f>
        <v>-2077.70516502851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351.82</v>
      </c>
      <c r="D18" s="4" t="n">
        <f aca="false">(D6-C6)*Assumptions!$B$51/100</f>
        <v>275.927400000001</v>
      </c>
      <c r="E18" s="4" t="n">
        <f aca="false">(E6-D6)*Assumptions!$B$51/100</f>
        <v>274.153581</v>
      </c>
      <c r="F18" s="4" t="n">
        <f aca="false">(F6-E6)*Assumptions!$B$51/100</f>
        <v>269.514058860001</v>
      </c>
      <c r="G18" s="4" t="n">
        <f aca="false">(G6-F6)*Assumptions!$B$51/100</f>
        <v>261.877827192299</v>
      </c>
      <c r="H18" s="4" t="n">
        <f aca="false">(H6-G6)*Assumptions!$B$51/100</f>
        <v>251.164643352616</v>
      </c>
      <c r="I18" s="4" t="n">
        <f aca="false">(I6-H6)*Assumptions!$B$51/100</f>
        <v>237.350587968221</v>
      </c>
      <c r="J18" s="4" t="n">
        <f aca="false">(J6-I6)*Assumptions!$B$51/100</f>
        <v>220.472323934926</v>
      </c>
      <c r="K18" s="4" t="n">
        <f aca="false">(K6-J6)*Assumptions!$B$51/100</f>
        <v>200.629814780781</v>
      </c>
      <c r="L18" s="4" t="n">
        <f aca="false">(L6-K6)*Assumptions!$B$51/100</f>
        <v>177.987307112665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10436.178106</v>
      </c>
      <c r="D19" s="0" t="n">
        <f aca="false">D15+D16+D17+D18</f>
        <v>11416.26360762</v>
      </c>
      <c r="E19" s="0" t="n">
        <f aca="false">E15+E16+E17+E18</f>
        <v>12548.7222016806</v>
      </c>
      <c r="F19" s="0" t="n">
        <f aca="false">F15+F16+F17+F18</f>
        <v>13675.7542450898</v>
      </c>
      <c r="G19" s="0" t="n">
        <f aca="false">G15+G16+G17+G18</f>
        <v>14655.621208444</v>
      </c>
      <c r="H19" s="0" t="n">
        <f aca="false">H15+H16+H17+H18</f>
        <v>15583.4851803487</v>
      </c>
      <c r="I19" s="0" t="n">
        <f aca="false">I15+I16+I17+I18</f>
        <v>16488.3655852116</v>
      </c>
      <c r="J19" s="0" t="n">
        <f aca="false">J15+J16+J17+J18</f>
        <v>17121.527921068</v>
      </c>
      <c r="K19" s="0" t="n">
        <f aca="false">K15+K16+K17+K18</f>
        <v>17693.2223578135</v>
      </c>
      <c r="L19" s="0" t="n">
        <f aca="false">L15+L16+L17+L18</f>
        <v>18195.3576264364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0.900900900900901</v>
      </c>
      <c r="D20" s="0" t="n">
        <f aca="false">1/(1+$B$27/100)^D4</f>
        <v>0.811622433244055</v>
      </c>
      <c r="E20" s="0" t="n">
        <f aca="false">1/(1+$B$27/100)^E4</f>
        <v>0.73119138130095</v>
      </c>
      <c r="F20" s="0" t="n">
        <f aca="false">1/(1+$B$27/100)^F4</f>
        <v>0.658730974145</v>
      </c>
      <c r="G20" s="0" t="n">
        <f aca="false">1/(1+$B$27/100)^G4</f>
        <v>0.593451328058559</v>
      </c>
      <c r="H20" s="0" t="n">
        <f aca="false">1/(1+$B$27/100)^H4</f>
        <v>0.534640836088791</v>
      </c>
      <c r="I20" s="0" t="n">
        <f aca="false">1/(1+$B$27/100)^I4</f>
        <v>0.481658410890803</v>
      </c>
      <c r="J20" s="0" t="n">
        <f aca="false">1/(1+$B$27/100)^J4</f>
        <v>0.433926496298021</v>
      </c>
      <c r="K20" s="0" t="n">
        <f aca="false">1/(1+$B$27/100)^K4</f>
        <v>0.390924771439658</v>
      </c>
      <c r="L20" s="0" t="n">
        <f aca="false">1/(1+$B$27/100)^L4</f>
        <v>0.352184478774467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9401.96225765766</v>
      </c>
      <c r="D21" s="0" t="n">
        <f aca="false">D19*D20</f>
        <v>9265.6956477721</v>
      </c>
      <c r="E21" s="0" t="n">
        <f aca="false">E19*E20</f>
        <v>9175.51752020874</v>
      </c>
      <c r="F21" s="0" t="n">
        <f aca="false">F19*F20</f>
        <v>9008.64291603564</v>
      </c>
      <c r="G21" s="0" t="n">
        <f aca="false">G19*G20</f>
        <v>8697.39786967425</v>
      </c>
      <c r="H21" s="0" t="n">
        <f aca="false">H19*H20</f>
        <v>8331.5675459989</v>
      </c>
      <c r="I21" s="0" t="n">
        <f aca="false">I19*I20</f>
        <v>7941.75996595962</v>
      </c>
      <c r="J21" s="0" t="n">
        <f aca="false">J19*J20</f>
        <v>7429.48462205778</v>
      </c>
      <c r="K21" s="0" t="n">
        <f aca="false">K19*K20</f>
        <v>6916.71890625931</v>
      </c>
      <c r="L21" s="0" t="n">
        <f aca="false">L19*L20</f>
        <v>6408.12254178153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0.4</v>
      </c>
      <c r="D23" s="4" t="n">
        <f aca="false">Assumptions!D44</f>
        <v>0.4</v>
      </c>
      <c r="E23" s="4" t="n">
        <f aca="false">Assumptions!E44</f>
        <v>0.4</v>
      </c>
      <c r="F23" s="4" t="n">
        <f aca="false">Assumptions!F44</f>
        <v>0.4</v>
      </c>
      <c r="G23" s="4" t="n">
        <f aca="false">Assumptions!G44</f>
        <v>0.4</v>
      </c>
      <c r="H23" s="4" t="n">
        <f aca="false">Assumptions!H44</f>
        <v>0.4</v>
      </c>
      <c r="I23" s="4" t="n">
        <f aca="false">Assumptions!I44</f>
        <v>0.4</v>
      </c>
      <c r="J23" s="4" t="n">
        <f aca="false">Assumptions!J44</f>
        <v>0.4</v>
      </c>
      <c r="K23" s="4" t="n">
        <f aca="false">Assumptions!K44</f>
        <v>0.4</v>
      </c>
      <c r="L23" s="4" t="n">
        <f aca="false">Assumptions!L44</f>
        <v>0.4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-157.6728</v>
      </c>
      <c r="D24" s="0" t="n">
        <f aca="false">-D6*D23/100</f>
        <v>-168.709896</v>
      </c>
      <c r="E24" s="0" t="n">
        <f aca="false">-E6*E23/100</f>
        <v>-179.67603924</v>
      </c>
      <c r="F24" s="0" t="n">
        <f aca="false">-F6*F23/100</f>
        <v>-190.4566015944</v>
      </c>
      <c r="G24" s="0" t="n">
        <f aca="false">-G6*G23/100</f>
        <v>-200.931714682092</v>
      </c>
      <c r="H24" s="0" t="n">
        <f aca="false">-H6*H23/100</f>
        <v>-210.978300416197</v>
      </c>
      <c r="I24" s="0" t="n">
        <f aca="false">-I6*I23/100</f>
        <v>-220.472323934926</v>
      </c>
      <c r="J24" s="0" t="n">
        <f aca="false">-J6*J23/100</f>
        <v>-229.291216892323</v>
      </c>
      <c r="K24" s="0" t="n">
        <f aca="false">-K6*K23/100</f>
        <v>-237.316409483554</v>
      </c>
      <c r="L24" s="0" t="n">
        <f aca="false">-L6*L23/100</f>
        <v>-244.43590176806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11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82576.8697934055</v>
      </c>
    </row>
    <row r="31" customFormat="false" ht="15" hidden="false" customHeight="false" outlineLevel="0" collapsed="false">
      <c r="A31" s="0" t="s">
        <v>131</v>
      </c>
      <c r="B31" s="0" t="n">
        <f aca="false">L19</f>
        <v>18195.3576264364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234265.229440369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272930.364396546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234265.229440369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82504.5777254372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165081.447518843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209390.447518843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19.5925879845893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1.53134211687201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5389.50476444905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4987.63836999505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20.5635734918053</v>
      </c>
    </row>
    <row r="45" customFormat="false" ht="15" hidden="false" customHeight="false" outlineLevel="0" collapsed="false">
      <c r="A45" s="0" t="s">
        <v>82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156176.819626912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14.2260768590862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9.88861957070133</v>
      </c>
      <c r="C4" s="0" t="n">
        <f aca="false">B4/Assumptions!$B$2-1</f>
        <v>0.27759942773919</v>
      </c>
      <c r="D4" s="4" t="n">
        <f aca="false">Assumptions!$B$24</f>
        <v>0.3</v>
      </c>
      <c r="E4" s="4" t="n">
        <f aca="false">DCF_Bear!$B$43</f>
        <v>10.5379310242538</v>
      </c>
      <c r="F4" s="4" t="n">
        <f aca="false">DCF_Bear!$B$47</f>
        <v>8.24762575722476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15.3091718148497</v>
      </c>
      <c r="C5" s="0" t="n">
        <f aca="false">B5/Assumptions!$B$2-1</f>
        <v>0.977929175045177</v>
      </c>
      <c r="D5" s="4" t="n">
        <f aca="false">Assumptions!$B$38</f>
        <v>0.5</v>
      </c>
      <c r="E5" s="4" t="n">
        <f aca="false">DCF_Base!$B$43</f>
        <v>16.1164806439138</v>
      </c>
      <c r="F5" s="4" t="n">
        <f aca="false">DCF_Base!$B$47</f>
        <v>11.6709800086117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19.5925879845893</v>
      </c>
      <c r="C6" s="0" t="n">
        <f aca="false">B6/Assumptions!$B$2-1</f>
        <v>1.53134211687201</v>
      </c>
      <c r="D6" s="4" t="n">
        <f aca="false">Assumptions!$B$52</f>
        <v>0.2</v>
      </c>
      <c r="E6" s="4" t="n">
        <f aca="false">DCF_Bull!$B$43</f>
        <v>20.5635734918053</v>
      </c>
      <c r="F6" s="4" t="n">
        <f aca="false">DCF_Bull!$B$47</f>
        <v>14.2260768590862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14.5396893755531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15.3323343275941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0.467664005737704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-857.848064009523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11.1549931032905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18.4223177397747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16.828497350033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15.3091718148497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14.1108469995793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11.6709800086117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9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17.6696303485301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18.2023766189564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18.4223177397747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18.4223177397747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18.4223177397747</v>
      </c>
    </row>
    <row r="24" customFormat="false" ht="15" hidden="false" customHeight="false" outlineLevel="0" collapsed="false">
      <c r="A24" s="3" t="n">
        <v>10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16.0202694409893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16.3991262733536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16.828497350033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17.3192071519524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17.4530370979304</v>
      </c>
    </row>
    <row r="25" customFormat="false" ht="15" hidden="false" customHeight="false" outlineLevel="0" collapsed="false">
      <c r="A25" s="3" t="n">
        <v>11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14.7210072466371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14.9987516260708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15.3091718148497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15.6583945272259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16.054180267919</v>
      </c>
    </row>
    <row r="26" customFormat="false" ht="15" hidden="false" customHeight="false" outlineLevel="0" collapsed="false">
      <c r="A26" s="3" t="n">
        <v>12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13.6716361191669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13.8802612873628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14.1108469995793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14.3670533464865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14.6534016165593</v>
      </c>
    </row>
    <row r="27" customFormat="false" ht="15" hidden="false" customHeight="false" outlineLevel="0" collapsed="false">
      <c r="A27" s="3" t="n">
        <v>13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12.8068165893751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12.9666699187531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13.1417473747385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13.3343325763225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13.547189904389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2026-10-04T09:11:30Z</dcterms:created>
  <dc:creator>openpyxl</dc:creator>
  <dc:description/>
  <dc:language>en-NZ</dc:language>
  <cp:lastModifiedBy/>
  <dcterms:modified xsi:type="dcterms:W3CDTF">2026-10-04T09:11:30Z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