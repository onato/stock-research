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<sst xmlns="http://schemas.openxmlformats.org/spreadsheetml/2006/main" count="387" uniqueCount="174">
  <si>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</si>
  <si>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IEX</t>
  </si>
  <si>
    <t xml:space="preserve">Company</t>
  </si>
  <si>
    <t xml:space="preserve">IDEX Corporation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</si>
  <si>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</si>
  <si>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</si>
  <si>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</si>
  <si>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</si>
  <si>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</si>
  <si>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</si>
  <si>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</si>
  <si>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</si>
  <si>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</si>
  <si>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</si>
  <si>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</si>
  <si>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</si>
  <si>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</si>
  <si>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</si>
  <si>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</si>
  <si>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</si>
  <si>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</si>
  <si>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2026-09-28T21:50:01Z</t>
  </si>
  <si>
    <t xml:space="preserve">Drivers file</t>
  </si>
  <si>
    <t xml:space="preserve">IEX_Drivers.json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</si>
  <si>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</si>
  <si>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</si>
  <si>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</si>
  <si>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IDEX is a high-quality, niche-leading fluidics compounder with ~45% gross margins, ~27% adjusted EBITDA margins, low capex intensity and a funded flat share count. The valuation question is not whether the business is good but what a buyer at today's price is paying for: the house DCF capitalises FY2035 owner FCF at 18x / 8.5% WACC, and even the bull case assumes the AI-capex-led HST surge fades to a mid-single-digit compounder by the early 2030s. The historical record supports that: 10-year revenue CAGR of 5.5% including ~$2.5B of acquisitions, owner-FCF 5-year CAGR of 3.4%. Because M&amp;A cash is not modelled, the model also gives no credit for future deals; the reader should treat acquired growth as an upside the company must pay for.
key_risks_to_valuation: Data-center/semicap order surge (HST +47% organic orders in Q2-2026) proves to be a capex spike rather than a multi-year wave -- the bear path; Low-cost Asian competition in commodity pumps and valves compresses FMT pricing and margin; Acquisition integration and goodwill impairment risk on the $1B Mott deal and future bolt-ons; no M&amp;A cash in the model means acquired growth is neither counted nor charged; Global industrial capex / PMI sensitivity; 2024 showed a flat-revenue year is possible with no macro recession; Terminal value is the majority of enterprise value at an 8.5% WACC; a 1pp WACC move shifts base IV materially (see sensitivity grid); Tariff and trade-policy exposure across a global manufacturing footprint</t>
  </si>
  <si>
    <t xml:space="preserve">Data sources</t>
  </si>
  <si>
    <t xml:space="preserve">price: Yahoo Finance chart API regularMarketPrice at inputs.price_as_of (2026-09-28 regular close); 52-week range 159.27-243.80
financials: SEC XBRL companyfacts (CIK 832101): FY2025 10-K filed 2026-02-19, Q2-2026 10-Q filed 2026-07-29; IEX_Metrics.csv FY2008-Q2 2026 (USD millions) derived from core_metrics; D&amp;A split (Depreciation 75.8 / AmortizationOfIntangibleAssets 130.7 FY2025), cash taxes paid (IncomeTaxesPaidNet 134.6), diluted share count and cover-page shares read directly from the XBRL tags
qualitative: IEX_Analysis.json 2026-09-29 (business model, HST/FMT/FSDP segment mix 42/36/22, FY2026 guidance raised Aug-2026, bull/bear cases)</t>
  </si>
  <si>
    <t xml:space="preserve">Scenario narrative: bear</t>
  </si>
  <si>
    <t xml:space="preserve">The growth acceleration is concentrated in AI-linked end markets that prove to be a capex spike, not a secular wave. Hyperscaler spending slows in 2027, HST orders reverse, and the group repeats the 2024 destocking pattern with a -3% revenue year in FY2028. FMT pricing erodes under Chinese/Indian competition and the adjusted EBITDA margin troughs at 25.5%, recovering only to 27%. Balance sheet remains sound throughout (no refinancing risk; $800M revolver extended Sept-2026), so the bear is an earnings-and-multiple outcome, not a distress outcome.</t>
  </si>
  <si>
    <t xml:space="preserve">Scenario narrative: base</t>
  </si>
  <si>
    <t xml:space="preserve">IDEX's axes are (1) whether the FY2026 HST order surge -- Q2 orders +29% organic, driven by data-center liquid cooling and semiconductor capital equipment -- converts into two years of above-trend revenue before normalising, (2) how much of the 8020 margin programme reaches adjusted EBITDA, and (3) how the legacy FMT/FSDP segments grow against low-cost Asian competition. Base: FY2026 +7% (top of the raised 5-6% organic guide plus FX), FY2027 +6.5% on record backlog, decelerating to 3% by FY2033; adjusted EBITDA margin 27.6% -&gt; 29%; capex 2.2%, working capital absorbs 15% of each year's revenue increase; cash tax 22% -&gt; 23%; WACC 8.5%, terminal 2.5%, 18x cap. No M&amp;A cash and hence no acquired-revenue growth: the ~$2.5B spent on deals since 2023 is why the trailing 10-year revenue CAGR (5.5%) exceeds the organic run-rate.</t>
  </si>
  <si>
    <t xml:space="preserve">Scenario narrative: bull</t>
  </si>
  <si>
    <t xml:space="preserve">The AI-infrastructure demand for precision fluidics and pneumatics is a durable multi-year buildout, semicap recovers on top of it, and space &amp; defense keeps growing. HST compounds at high-single/low-double digits through FY2028 and the group reaches a 30.5% adjusted EBITDA margin. Terminal growth 3%. This case needs several independent things to go right at once -- hyperscaler capex persistence, a semicap upcycle and continued 8020 margin capture -- which is why it is not weighted above the bear.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</si>
  <si>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</si>
  <si>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</si>
  <si>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</si>
  <si>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</si>
  <si>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</si>
  <si>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</si>
  <si>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</si>
  <si>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</si>
  <si>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</si>
  <si>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</si>
  <si>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</si>
  <si>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</si>
  <si>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</si>
  <si>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</si>
  <si>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</si>
  <si>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</si>
  <si>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</si>
  <si>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</si>
  <si>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</si>
  <si>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</si>
  <si>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</si>
  <si>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</si>
  <si>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</si>
  <si>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</si>
  <si>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</si>
  <si>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</si>
  <si>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</si>
  <si>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</si>
  <si>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</si>
  <si>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</si>
  <si>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</si>
  <si>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</si>
  <si>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</si>
  <si>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</si>
  <si>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</si>
  <si>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</si>
  <si>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</si>
  <si>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</si>
  <si>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</si>
  <si>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</si>
  <si>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</si>
  <si>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</si>
  <si>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</si>
  <si>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</si>
  <si>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</si>
  <si>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</si>
  <si>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</si>
  <si>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</si>
  <si>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</si>
  <si>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</si>
  <si>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</si>
  <si>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</si>
  <si>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</si>
  <si>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</si>
  <si>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</si>
  <si>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</si>
  <si>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</si>
  <si>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</si>
  <si>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</si>
  <si>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</si>
  <si>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</si>
  <si>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</si>
  <si>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</si>
  <si>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</si>
  <si>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</si>
  <si>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</si>
  <si>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</si>
  <si>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</si>
  <si>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</si>
  <si>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</si>
  <si>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</si>
  <si>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</si>
  <si>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</si>
  <si>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</si>
  <si>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</si>
  <si>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</si>
  <si>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</si>
  <si>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</si>
  <si>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</si>
  <si>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</si>
  <si>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</si>
  <si>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</si>
  <si>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</si>
  <si>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IEX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</si>
  <si>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</si>
  <si>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</si>
  <si>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</si>
  <si>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</si>
  <si>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</si>
  <si>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</si>
  <si>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</si>
  <si>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</si>
  <si>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</si>
  <si>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</si>
  <si>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</si>
  <si>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</si>
  <si>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</si>
  <si>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</si>
  <si>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</si>
  <si>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</si>
  <si>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</si>
  <si>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</si>
  <si>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</si>
  <si>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</si>
  <si>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</si>
  <si>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</si>
  <si>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</si>
  <si>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</si>
  <si>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</si>
  <si>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</si>
  <si>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</si>
  <si>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</si>
  <si>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</si>
  <si>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</si>
  <si>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IEX owner-FCF component DCF: base case (millions, USD)</t>
  </si>
  <si>
    <t xml:space="preserve">IEX owner-FCF component DCF: bull case (millions, USD)</t>
  </si>
  <si>
    <t xml:space="preserve">IEX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</si>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</sst>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231.15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1143.207</v>
      </c>
      <c r="S2" s="0" t="n">
        <v>102.757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1489.471</v>
      </c>
      <c r="C3" s="0" t="n">
        <v>892.038</v>
      </c>
      <c r="D3" s="0" t="n">
        <v>597.433</v>
      </c>
      <c r="E3" s="0" t="n">
        <v>40.1104150399706</v>
      </c>
      <c r="F3" s="0" t="n">
        <v>205.956</v>
      </c>
      <c r="G3" s="0" t="n">
        <v>13.8274595477186</v>
      </c>
      <c r="H3" s="0" t="n">
        <v>236.945</v>
      </c>
      <c r="I3" s="0" t="n">
        <v>127.026</v>
      </c>
      <c r="J3" s="0" t="n">
        <v>8.52826271877734</v>
      </c>
      <c r="K3" s="0" t="n">
        <v>1.55</v>
      </c>
      <c r="L3" s="0" t="n">
        <v>223.06</v>
      </c>
      <c r="M3" s="0" t="n">
        <v>27.837</v>
      </c>
      <c r="N3" s="0" t="n">
        <v>195.223</v>
      </c>
      <c r="O3" s="0" t="n">
        <v>1144.783</v>
      </c>
      <c r="S3" s="0" t="n">
        <v>61.353</v>
      </c>
      <c r="T3" s="0" t="n">
        <v>82.32</v>
      </c>
      <c r="U3" s="0" t="n">
        <v>15.014</v>
      </c>
      <c r="V3" s="0" t="n">
        <v>0.48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1329.661</v>
      </c>
      <c r="C4" s="0" t="n">
        <v>807.275</v>
      </c>
      <c r="D4" s="0" t="n">
        <v>522.386</v>
      </c>
      <c r="E4" s="0" t="n">
        <v>39.2871566512066</v>
      </c>
      <c r="F4" s="0" t="n">
        <v>184.854</v>
      </c>
      <c r="G4" s="0" t="n">
        <v>13.902340521381</v>
      </c>
      <c r="H4" s="0" t="n">
        <v>241.2</v>
      </c>
      <c r="I4" s="0" t="n">
        <v>113.391</v>
      </c>
      <c r="J4" s="0" t="n">
        <v>8.52781272820666</v>
      </c>
      <c r="K4" s="0" t="n">
        <v>1.41</v>
      </c>
      <c r="L4" s="0" t="n">
        <v>212.532</v>
      </c>
      <c r="M4" s="0" t="n">
        <v>25.525</v>
      </c>
      <c r="N4" s="0" t="n">
        <v>187.007</v>
      </c>
      <c r="O4" s="0" t="n">
        <v>1268.104</v>
      </c>
      <c r="P4" s="0" t="n">
        <v>2098.157</v>
      </c>
      <c r="Q4" s="0" t="n">
        <v>830.053</v>
      </c>
      <c r="R4" s="0" t="n">
        <v>391.754</v>
      </c>
      <c r="S4" s="0" t="n">
        <v>73.526</v>
      </c>
      <c r="T4" s="0" t="n">
        <v>80.727</v>
      </c>
      <c r="U4" s="0" t="n">
        <v>15.71</v>
      </c>
      <c r="V4" s="0" t="n">
        <v>0.48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1513.073</v>
      </c>
      <c r="C5" s="0" t="n">
        <v>894.59</v>
      </c>
      <c r="D5" s="0" t="n">
        <v>618.483</v>
      </c>
      <c r="E5" s="0" t="n">
        <v>40.8759524490887</v>
      </c>
      <c r="F5" s="0" t="n">
        <v>249.116</v>
      </c>
      <c r="G5" s="0" t="n">
        <v>16.4642419764281</v>
      </c>
      <c r="H5" s="0" t="n">
        <v>307.224</v>
      </c>
      <c r="I5" s="0" t="n">
        <v>157.1</v>
      </c>
      <c r="J5" s="0" t="n">
        <v>10.3828433922223</v>
      </c>
      <c r="K5" s="0" t="n">
        <v>1.93</v>
      </c>
      <c r="L5" s="0" t="n">
        <v>184.477</v>
      </c>
      <c r="M5" s="0" t="n">
        <v>32.769</v>
      </c>
      <c r="N5" s="0" t="n">
        <v>151.708</v>
      </c>
      <c r="O5" s="0" t="n">
        <v>1375.66</v>
      </c>
      <c r="P5" s="0" t="n">
        <v>2381.695</v>
      </c>
      <c r="Q5" s="0" t="n">
        <v>1006.035</v>
      </c>
      <c r="R5" s="0" t="n">
        <v>647.34</v>
      </c>
      <c r="S5" s="0" t="n">
        <v>235.136</v>
      </c>
      <c r="T5" s="0" t="n">
        <v>81.983</v>
      </c>
      <c r="U5" s="0" t="n">
        <v>17.358</v>
      </c>
      <c r="V5" s="0" t="n">
        <v>0.6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1838.451</v>
      </c>
      <c r="C6" s="0" t="n">
        <v>1099.778</v>
      </c>
      <c r="D6" s="0" t="n">
        <v>738.673</v>
      </c>
      <c r="E6" s="0" t="n">
        <v>40.1790964241092</v>
      </c>
      <c r="F6" s="0" t="n">
        <v>304.656</v>
      </c>
      <c r="G6" s="0" t="n">
        <v>16.5713418524617</v>
      </c>
      <c r="H6" s="0" t="n">
        <v>377.042</v>
      </c>
      <c r="I6" s="0" t="n">
        <v>193.857</v>
      </c>
      <c r="J6" s="0" t="n">
        <v>10.5445834563989</v>
      </c>
      <c r="K6" s="0" t="n">
        <v>2.34</v>
      </c>
      <c r="L6" s="0" t="n">
        <v>217.241</v>
      </c>
      <c r="M6" s="0" t="n">
        <v>35.175</v>
      </c>
      <c r="N6" s="0" t="n">
        <v>182.066</v>
      </c>
      <c r="O6" s="0" t="n">
        <v>1513.135</v>
      </c>
      <c r="P6" s="0" t="n">
        <v>2836.107</v>
      </c>
      <c r="Q6" s="0" t="n">
        <v>1322.972</v>
      </c>
      <c r="R6" s="0" t="n">
        <v>811.254</v>
      </c>
      <c r="S6" s="0" t="n">
        <v>230.259</v>
      </c>
      <c r="T6" s="0" t="n">
        <v>83.543</v>
      </c>
      <c r="U6" s="0" t="n">
        <v>12.076</v>
      </c>
      <c r="V6" s="0" t="n">
        <v>0.68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1954.258</v>
      </c>
      <c r="C7" s="0" t="n">
        <v>1150.558</v>
      </c>
      <c r="D7" s="0" t="n">
        <v>803.7</v>
      </c>
      <c r="E7" s="0" t="n">
        <v>41.1255832136801</v>
      </c>
      <c r="F7" s="0" t="n">
        <v>128.218</v>
      </c>
      <c r="G7" s="0" t="n">
        <v>6.56095561589104</v>
      </c>
      <c r="H7" s="0" t="n">
        <v>206.53</v>
      </c>
      <c r="I7" s="0" t="n">
        <v>37.63</v>
      </c>
      <c r="J7" s="0" t="n">
        <v>1.92553900252679</v>
      </c>
      <c r="K7" s="0" t="n">
        <v>0.45</v>
      </c>
      <c r="L7" s="0" t="n">
        <v>326.18</v>
      </c>
      <c r="M7" s="0" t="n">
        <v>35.807</v>
      </c>
      <c r="N7" s="0" t="n">
        <v>290.373</v>
      </c>
      <c r="O7" s="0" t="n">
        <v>1464.998</v>
      </c>
      <c r="P7" s="0" t="n">
        <v>2785.39</v>
      </c>
      <c r="Q7" s="0" t="n">
        <v>1320.392</v>
      </c>
      <c r="R7" s="0" t="n">
        <v>793.911</v>
      </c>
      <c r="S7" s="0" t="n">
        <v>318.864</v>
      </c>
      <c r="T7" s="0" t="n">
        <v>83.641</v>
      </c>
      <c r="U7" s="0" t="n">
        <v>13.102</v>
      </c>
      <c r="V7" s="0" t="n">
        <v>0.8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2024.13</v>
      </c>
      <c r="C8" s="0" t="n">
        <v>1150.766</v>
      </c>
      <c r="D8" s="0" t="n">
        <v>873.364</v>
      </c>
      <c r="E8" s="0" t="n">
        <v>43.1476239174361</v>
      </c>
      <c r="F8" s="0" t="n">
        <v>395.513</v>
      </c>
      <c r="G8" s="0" t="n">
        <v>19.5399010933092</v>
      </c>
      <c r="H8" s="0" t="n">
        <v>474.847</v>
      </c>
      <c r="I8" s="0" t="n">
        <v>255.215</v>
      </c>
      <c r="J8" s="0" t="n">
        <v>12.6086269162554</v>
      </c>
      <c r="K8" s="0" t="n">
        <v>3.11</v>
      </c>
      <c r="L8" s="0" t="n">
        <v>401.522</v>
      </c>
      <c r="M8" s="0" t="n">
        <v>31.536</v>
      </c>
      <c r="N8" s="0" t="n">
        <v>369.986</v>
      </c>
      <c r="O8" s="0" t="n">
        <v>1572.989</v>
      </c>
      <c r="P8" s="0" t="n">
        <v>2881.118</v>
      </c>
      <c r="Q8" s="0" t="n">
        <v>1314.588</v>
      </c>
      <c r="R8" s="0" t="n">
        <v>775.747</v>
      </c>
      <c r="S8" s="0" t="n">
        <v>439.629</v>
      </c>
      <c r="T8" s="0" t="n">
        <v>82.489</v>
      </c>
      <c r="U8" s="0" t="n">
        <v>16.993</v>
      </c>
      <c r="V8" s="0" t="n">
        <v>0.89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2147.767</v>
      </c>
      <c r="C9" s="0" t="n">
        <v>1198.452</v>
      </c>
      <c r="D9" s="0" t="n">
        <v>949.315</v>
      </c>
      <c r="E9" s="0" t="n">
        <v>44.2000924681309</v>
      </c>
      <c r="F9" s="0" t="n">
        <v>431.224</v>
      </c>
      <c r="G9" s="0" t="n">
        <v>20.0777831114828</v>
      </c>
      <c r="H9" s="0" t="n">
        <v>508.131</v>
      </c>
      <c r="I9" s="0" t="n">
        <v>279.386</v>
      </c>
      <c r="J9" s="0" t="n">
        <v>13.0082080598128</v>
      </c>
      <c r="K9" s="0" t="n">
        <v>3.48</v>
      </c>
      <c r="L9" s="0" t="n">
        <v>367.961</v>
      </c>
      <c r="M9" s="0" t="n">
        <v>47.997</v>
      </c>
      <c r="N9" s="0" t="n">
        <v>319.964</v>
      </c>
      <c r="O9" s="0" t="n">
        <v>1486.451</v>
      </c>
      <c r="P9" s="0" t="n">
        <v>2903.463</v>
      </c>
      <c r="Q9" s="0" t="n">
        <v>1417.012</v>
      </c>
      <c r="R9" s="0" t="n">
        <v>964.572</v>
      </c>
      <c r="S9" s="0" t="n">
        <v>509.137</v>
      </c>
      <c r="T9" s="0" t="n">
        <v>80.728</v>
      </c>
      <c r="U9" s="0" t="n">
        <v>20.717</v>
      </c>
      <c r="V9" s="0" t="n">
        <v>1.12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2020.668</v>
      </c>
      <c r="C10" s="0" t="n">
        <v>1116.353</v>
      </c>
      <c r="D10" s="0" t="n">
        <v>904.315</v>
      </c>
      <c r="E10" s="0" t="n">
        <v>44.7532697108085</v>
      </c>
      <c r="F10" s="0" t="n">
        <v>436.99</v>
      </c>
      <c r="G10" s="0" t="n">
        <v>21.6260167429781</v>
      </c>
      <c r="H10" s="0" t="n">
        <v>515.11</v>
      </c>
      <c r="I10" s="0" t="n">
        <v>282.807</v>
      </c>
      <c r="J10" s="0" t="n">
        <v>13.995718247629</v>
      </c>
      <c r="K10" s="0" t="n">
        <v>3.65</v>
      </c>
      <c r="L10" s="0" t="n">
        <v>360.321</v>
      </c>
      <c r="M10" s="0" t="n">
        <v>43.776</v>
      </c>
      <c r="N10" s="0" t="n">
        <v>316.545</v>
      </c>
      <c r="O10" s="0" t="n">
        <v>1443.291</v>
      </c>
      <c r="P10" s="0" t="n">
        <v>2805.443</v>
      </c>
      <c r="Q10" s="0" t="n">
        <v>1362.152</v>
      </c>
      <c r="R10" s="0" t="n">
        <v>848.523</v>
      </c>
      <c r="S10" s="0" t="n">
        <v>328.018</v>
      </c>
      <c r="T10" s="0" t="n">
        <v>77.972</v>
      </c>
      <c r="U10" s="0" t="n">
        <v>20.048</v>
      </c>
      <c r="V10" s="0" t="n">
        <v>1.28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2113.043</v>
      </c>
      <c r="C11" s="0" t="n">
        <v>1182.276</v>
      </c>
      <c r="D11" s="0" t="n">
        <v>930.767</v>
      </c>
      <c r="E11" s="0" t="n">
        <v>44.0486540027818</v>
      </c>
      <c r="F11" s="0" t="n">
        <v>412.397</v>
      </c>
      <c r="G11" s="0" t="n">
        <v>19.5167348700429</v>
      </c>
      <c r="H11" s="0" t="n">
        <v>499.289</v>
      </c>
      <c r="I11" s="0" t="n">
        <v>271.109</v>
      </c>
      <c r="J11" s="0" t="n">
        <v>12.8302642208417</v>
      </c>
      <c r="K11" s="0" t="n">
        <v>3.57</v>
      </c>
      <c r="L11" s="0" t="n">
        <v>399.917</v>
      </c>
      <c r="M11" s="0" t="n">
        <v>38.242</v>
      </c>
      <c r="N11" s="0" t="n">
        <v>361.675</v>
      </c>
      <c r="O11" s="0" t="n">
        <v>1543.894</v>
      </c>
      <c r="P11" s="0" t="n">
        <v>3154.944</v>
      </c>
      <c r="Q11" s="0" t="n">
        <v>1611.05</v>
      </c>
      <c r="R11" s="0" t="n">
        <v>1021.919</v>
      </c>
      <c r="S11" s="0" t="n">
        <v>235.964</v>
      </c>
      <c r="T11" s="0" t="n">
        <v>76.758</v>
      </c>
      <c r="U11" s="0" t="n">
        <v>20.326</v>
      </c>
      <c r="V11" s="0" t="n">
        <v>1.36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2287.312</v>
      </c>
      <c r="C12" s="0" t="n">
        <v>1260.634</v>
      </c>
      <c r="D12" s="0" t="n">
        <v>1026.678</v>
      </c>
      <c r="E12" s="0" t="n">
        <v>44.8857873346531</v>
      </c>
      <c r="F12" s="0" t="n">
        <v>502.556</v>
      </c>
      <c r="G12" s="0" t="n">
        <v>21.9714669446057</v>
      </c>
      <c r="H12" s="0" t="n">
        <v>586.772</v>
      </c>
      <c r="I12" s="0" t="n">
        <v>337.257</v>
      </c>
      <c r="J12" s="0" t="n">
        <v>14.7446872136377</v>
      </c>
      <c r="K12" s="0" t="n">
        <v>4.41</v>
      </c>
      <c r="L12" s="0" t="n">
        <v>432.753</v>
      </c>
      <c r="M12" s="0" t="n">
        <v>43.858</v>
      </c>
      <c r="N12" s="0" t="n">
        <v>388.895</v>
      </c>
      <c r="O12" s="0" t="n">
        <v>1886.542</v>
      </c>
      <c r="P12" s="0" t="n">
        <v>3399.628</v>
      </c>
      <c r="Q12" s="0" t="n">
        <v>1513.086</v>
      </c>
      <c r="R12" s="0" t="n">
        <v>862.444</v>
      </c>
      <c r="S12" s="0" t="n">
        <v>375.95</v>
      </c>
      <c r="T12" s="0" t="n">
        <v>77.333</v>
      </c>
      <c r="U12" s="0" t="n">
        <v>24.405</v>
      </c>
      <c r="V12" s="0" t="n">
        <v>1.48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2483.666</v>
      </c>
      <c r="C13" s="0" t="n">
        <v>1365.771</v>
      </c>
      <c r="D13" s="0" t="n">
        <v>1117.895</v>
      </c>
      <c r="E13" s="0" t="n">
        <v>45.0098765292918</v>
      </c>
      <c r="F13" s="0" t="n">
        <v>569.088</v>
      </c>
      <c r="G13" s="0" t="n">
        <v>22.9132258524294</v>
      </c>
      <c r="H13" s="0" t="n">
        <v>646.632</v>
      </c>
      <c r="I13" s="0" t="n">
        <v>410.573</v>
      </c>
      <c r="J13" s="0" t="n">
        <v>16.5309264611264</v>
      </c>
      <c r="K13" s="0" t="n">
        <v>5.36</v>
      </c>
      <c r="L13" s="0" t="n">
        <v>479.345</v>
      </c>
      <c r="M13" s="0" t="n">
        <v>56.089</v>
      </c>
      <c r="N13" s="0" t="n">
        <v>423.256</v>
      </c>
      <c r="O13" s="0" t="n">
        <v>1994.6</v>
      </c>
      <c r="P13" s="0" t="n">
        <v>3473.857</v>
      </c>
      <c r="Q13" s="0" t="n">
        <v>1479.217</v>
      </c>
      <c r="R13" s="0" t="n">
        <v>848.818</v>
      </c>
      <c r="S13" s="0" t="n">
        <v>466.407</v>
      </c>
      <c r="T13" s="0" t="n">
        <v>77.563</v>
      </c>
      <c r="U13" s="0" t="n">
        <v>24.754</v>
      </c>
      <c r="V13" s="0" t="n">
        <v>1.72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2494.6</v>
      </c>
      <c r="C14" s="0" t="n">
        <v>1369.6</v>
      </c>
      <c r="D14" s="0" t="n">
        <v>1125</v>
      </c>
      <c r="E14" s="0" t="n">
        <v>45.097410406478</v>
      </c>
      <c r="F14" s="0" t="n">
        <v>579</v>
      </c>
      <c r="G14" s="0" t="n">
        <v>23.2101338892007</v>
      </c>
      <c r="H14" s="0" t="n">
        <v>655.9</v>
      </c>
      <c r="I14" s="0" t="n">
        <v>425.5</v>
      </c>
      <c r="J14" s="0" t="n">
        <v>17.0568427804057</v>
      </c>
      <c r="K14" s="0" t="n">
        <v>5.62</v>
      </c>
      <c r="L14" s="0" t="n">
        <v>528.1</v>
      </c>
      <c r="M14" s="0" t="n">
        <v>50.9</v>
      </c>
      <c r="N14" s="0" t="n">
        <v>477.2</v>
      </c>
      <c r="O14" s="0" t="n">
        <v>2263.2</v>
      </c>
      <c r="P14" s="0" t="n">
        <v>3813.9</v>
      </c>
      <c r="Q14" s="0" t="n">
        <v>1550.683</v>
      </c>
      <c r="R14" s="0" t="n">
        <v>849.252</v>
      </c>
      <c r="S14" s="0" t="n">
        <v>632.581</v>
      </c>
      <c r="T14" s="0" t="n">
        <v>76.5</v>
      </c>
      <c r="U14" s="0" t="n">
        <v>22.1</v>
      </c>
      <c r="V14" s="0" t="n">
        <v>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2351.6</v>
      </c>
      <c r="C15" s="0" t="n">
        <v>1324.2</v>
      </c>
      <c r="D15" s="0" t="n">
        <v>1027.4</v>
      </c>
      <c r="E15" s="0" t="n">
        <v>43.689402959687</v>
      </c>
      <c r="F15" s="0" t="n">
        <v>520.7</v>
      </c>
      <c r="G15" s="0" t="n">
        <v>22.1423711515564</v>
      </c>
      <c r="H15" s="0" t="n">
        <v>604.2</v>
      </c>
      <c r="I15" s="0" t="n">
        <v>377.8</v>
      </c>
      <c r="J15" s="0" t="n">
        <v>16.0656574247321</v>
      </c>
      <c r="K15" s="0" t="n">
        <v>4.98</v>
      </c>
      <c r="L15" s="0" t="n">
        <v>569.3</v>
      </c>
      <c r="M15" s="0" t="n">
        <v>51.6</v>
      </c>
      <c r="N15" s="0" t="n">
        <v>517.7</v>
      </c>
      <c r="O15" s="0" t="n">
        <v>2540.3</v>
      </c>
      <c r="P15" s="0" t="n">
        <v>4414.4</v>
      </c>
      <c r="Q15" s="0" t="n">
        <v>1874.1</v>
      </c>
      <c r="R15" s="0" t="n">
        <v>1044.5</v>
      </c>
      <c r="S15" s="0" t="n">
        <v>1025.9</v>
      </c>
      <c r="T15" s="0" t="n">
        <v>76.4</v>
      </c>
      <c r="U15" s="0" t="n">
        <v>14.8</v>
      </c>
      <c r="V15" s="0" t="n">
        <v>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2764.8</v>
      </c>
      <c r="C16" s="0" t="n">
        <v>1540.3</v>
      </c>
      <c r="D16" s="0" t="n">
        <v>1224.5</v>
      </c>
      <c r="E16" s="0" t="n">
        <v>44.2889178240741</v>
      </c>
      <c r="F16" s="0" t="n">
        <v>637</v>
      </c>
      <c r="G16" s="0" t="n">
        <v>23.0396412037037</v>
      </c>
      <c r="H16" s="0" t="n">
        <v>740</v>
      </c>
      <c r="I16" s="0" t="n">
        <v>449.4</v>
      </c>
      <c r="J16" s="0" t="n">
        <v>16.2543402777778</v>
      </c>
      <c r="K16" s="0" t="n">
        <v>5.91</v>
      </c>
      <c r="L16" s="0" t="n">
        <v>565.3</v>
      </c>
      <c r="M16" s="0" t="n">
        <v>72.7</v>
      </c>
      <c r="N16" s="0" t="n">
        <v>492.6</v>
      </c>
      <c r="O16" s="0" t="n">
        <v>2803.1</v>
      </c>
      <c r="P16" s="0" t="n">
        <v>4917.2</v>
      </c>
      <c r="Q16" s="0" t="n">
        <v>2114.1</v>
      </c>
      <c r="R16" s="0" t="n">
        <v>1190.3</v>
      </c>
      <c r="S16" s="0" t="n">
        <v>855.4</v>
      </c>
      <c r="T16" s="0" t="n">
        <v>76.4</v>
      </c>
      <c r="U16" s="0" t="n">
        <v>20.4</v>
      </c>
      <c r="V16" s="0" t="n">
        <v>2.16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3181.9</v>
      </c>
      <c r="C17" s="0" t="n">
        <v>1755</v>
      </c>
      <c r="D17" s="0" t="n">
        <v>1426.9</v>
      </c>
      <c r="E17" s="0" t="n">
        <v>44.8442754329174</v>
      </c>
      <c r="F17" s="0" t="n">
        <v>751.4</v>
      </c>
      <c r="G17" s="0" t="n">
        <v>23.6148213331657</v>
      </c>
      <c r="H17" s="0" t="n">
        <v>871.1</v>
      </c>
      <c r="I17" s="0" t="n">
        <v>586.9</v>
      </c>
      <c r="J17" s="0" t="n">
        <v>18.4449542726044</v>
      </c>
      <c r="K17" s="0" t="n">
        <v>7.74</v>
      </c>
      <c r="L17" s="0" t="n">
        <v>557.4</v>
      </c>
      <c r="M17" s="0" t="n">
        <v>68</v>
      </c>
      <c r="N17" s="0" t="n">
        <v>489.4</v>
      </c>
      <c r="O17" s="0" t="n">
        <v>3039.6</v>
      </c>
      <c r="P17" s="0" t="n">
        <v>5511.9</v>
      </c>
      <c r="Q17" s="0" t="n">
        <v>2472.3</v>
      </c>
      <c r="R17" s="0" t="n">
        <v>1477.8</v>
      </c>
      <c r="S17" s="0" t="n">
        <v>430.2</v>
      </c>
      <c r="T17" s="0" t="n">
        <v>76</v>
      </c>
      <c r="U17" s="0" t="n">
        <v>24.6</v>
      </c>
      <c r="V17" s="0" t="n">
        <v>2.4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3273.9</v>
      </c>
      <c r="C18" s="0" t="n">
        <v>1827</v>
      </c>
      <c r="D18" s="0" t="n">
        <v>1446.9</v>
      </c>
      <c r="E18" s="0" t="n">
        <v>44.1949967928159</v>
      </c>
      <c r="F18" s="0" t="n">
        <v>732.5</v>
      </c>
      <c r="G18" s="0" t="n">
        <v>22.3739271205596</v>
      </c>
      <c r="H18" s="0" t="n">
        <v>884.6</v>
      </c>
      <c r="I18" s="0" t="n">
        <v>596.1</v>
      </c>
      <c r="J18" s="0" t="n">
        <v>18.207642261523</v>
      </c>
      <c r="K18" s="0" t="n">
        <v>7.87</v>
      </c>
      <c r="L18" s="0" t="n">
        <v>716.7</v>
      </c>
      <c r="M18" s="0" t="n">
        <v>89.9</v>
      </c>
      <c r="N18" s="0" t="n">
        <v>626.8</v>
      </c>
      <c r="O18" s="0" t="n">
        <v>3541.2</v>
      </c>
      <c r="P18" s="0" t="n">
        <v>5865.2</v>
      </c>
      <c r="Q18" s="0" t="n">
        <v>2324</v>
      </c>
      <c r="R18" s="0" t="n">
        <v>1333.9</v>
      </c>
      <c r="S18" s="0" t="n">
        <v>534.3</v>
      </c>
      <c r="T18" s="0" t="n">
        <v>75.9</v>
      </c>
      <c r="U18" s="0" t="n">
        <v>25</v>
      </c>
      <c r="V18" s="0" t="n">
        <v>2.56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3268.8</v>
      </c>
      <c r="C19" s="0" t="n">
        <v>1823.6</v>
      </c>
      <c r="D19" s="0" t="n">
        <v>1445.2</v>
      </c>
      <c r="E19" s="0" t="n">
        <v>44.2119432207538</v>
      </c>
      <c r="F19" s="0" t="n">
        <v>677.2</v>
      </c>
      <c r="G19" s="0" t="n">
        <v>20.717082721488</v>
      </c>
      <c r="I19" s="0" t="n">
        <v>505</v>
      </c>
      <c r="J19" s="0" t="n">
        <v>15.4490944689183</v>
      </c>
      <c r="K19" s="0" t="n">
        <v>6.66</v>
      </c>
      <c r="L19" s="0" t="n">
        <v>668.1</v>
      </c>
      <c r="M19" s="0" t="n">
        <v>65.1</v>
      </c>
      <c r="N19" s="0" t="n">
        <v>603</v>
      </c>
      <c r="O19" s="0" t="n">
        <v>3794.7</v>
      </c>
      <c r="P19" s="0" t="n">
        <v>6745.3</v>
      </c>
      <c r="Q19" s="0" t="n">
        <v>2951.2</v>
      </c>
      <c r="R19" s="0" t="n">
        <v>2072</v>
      </c>
      <c r="S19" s="0" t="n">
        <v>620.8</v>
      </c>
      <c r="T19" s="0" t="n">
        <v>75.9</v>
      </c>
      <c r="U19" s="0" t="n">
        <v>29.2</v>
      </c>
      <c r="V19" s="0" t="n">
        <v>2.76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3457.5</v>
      </c>
      <c r="C20" s="0" t="n">
        <v>1918.7</v>
      </c>
      <c r="D20" s="0" t="n">
        <v>1538.8</v>
      </c>
      <c r="E20" s="0" t="n">
        <v>44.5061460592914</v>
      </c>
      <c r="F20" s="0" t="n">
        <v>699.3</v>
      </c>
      <c r="G20" s="0" t="n">
        <v>20.2255965292842</v>
      </c>
      <c r="I20" s="0" t="n">
        <v>483.2</v>
      </c>
      <c r="J20" s="0" t="n">
        <v>13.9754157628344</v>
      </c>
      <c r="K20" s="0" t="n">
        <v>6.41</v>
      </c>
      <c r="L20" s="0" t="n">
        <v>680.4</v>
      </c>
      <c r="M20" s="0" t="n">
        <v>63.6</v>
      </c>
      <c r="N20" s="0" t="n">
        <v>616.8</v>
      </c>
      <c r="O20" s="0" t="n">
        <v>4027.5</v>
      </c>
      <c r="P20" s="0" t="n">
        <v>6927</v>
      </c>
      <c r="Q20" s="0" t="n">
        <v>2900.8</v>
      </c>
      <c r="R20" s="0" t="n">
        <v>1830.5</v>
      </c>
      <c r="S20" s="0" t="n">
        <v>580</v>
      </c>
      <c r="T20" s="0" t="n">
        <v>75.3</v>
      </c>
      <c r="U20" s="0" t="n">
        <v>30.5</v>
      </c>
      <c r="V20" s="0" t="n">
        <v>2.84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231.15</v>
      </c>
    </row>
    <row r="3" customFormat="false" ht="15" hidden="false" customHeight="false" outlineLevel="0" collapsed="false">
      <c r="A3" s="0" t="s">
        <v>85</v>
      </c>
      <c r="B3" s="3" t="n">
        <v>73.9</v>
      </c>
    </row>
    <row r="4" customFormat="false" ht="15" hidden="false" customHeight="false" outlineLevel="0" collapsed="false">
      <c r="A4" s="0" t="s">
        <v>86</v>
      </c>
      <c r="B4" s="3" t="n">
        <v>1246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3457.5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5.5</v>
      </c>
      <c r="D13" s="3" t="n">
        <v>1</v>
      </c>
      <c r="E13" s="3" t="n">
        <v>-3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27.2</v>
      </c>
      <c r="D14" s="3" t="n">
        <v>26.5</v>
      </c>
      <c r="E14" s="3" t="n">
        <v>25.5</v>
      </c>
      <c r="F14" s="3" t="n">
        <v>26</v>
      </c>
      <c r="G14" s="3" t="n">
        <v>26.5</v>
      </c>
      <c r="H14" s="3" t="n">
        <v>26.8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107</v>
      </c>
      <c r="C15" s="3" t="n">
        <v>1.05</v>
      </c>
      <c r="D15" s="3" t="n">
        <v>1.1</v>
      </c>
      <c r="E15" s="3" t="n">
        <v>1.15</v>
      </c>
      <c r="F15" s="3" t="n">
        <v>1.1</v>
      </c>
      <c r="G15" s="3" t="n">
        <v>1.05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5.9</v>
      </c>
      <c r="D17" s="3" t="n">
        <v>5.8</v>
      </c>
      <c r="E17" s="3" t="n">
        <v>5.9</v>
      </c>
      <c r="F17" s="3" t="n">
        <v>5.6</v>
      </c>
      <c r="G17" s="3" t="n">
        <v>5.3</v>
      </c>
      <c r="H17" s="3" t="n">
        <v>5</v>
      </c>
      <c r="I17" s="3" t="n">
        <v>4.8</v>
      </c>
      <c r="J17" s="3" t="n">
        <v>4.7</v>
      </c>
      <c r="K17" s="3" t="n">
        <v>4.6</v>
      </c>
      <c r="L17" s="3" t="n">
        <v>4.5</v>
      </c>
    </row>
    <row r="18" customFormat="false" ht="15" hidden="false" customHeight="false" outlineLevel="0" collapsed="false">
      <c r="A18" s="0" t="s">
        <v>110</v>
      </c>
      <c r="C18" s="3" t="n">
        <v>2.2</v>
      </c>
      <c r="D18" s="3" t="n">
        <v>2</v>
      </c>
      <c r="E18" s="3" t="n">
        <v>1.9</v>
      </c>
      <c r="F18" s="3" t="n">
        <v>2</v>
      </c>
      <c r="G18" s="3" t="n">
        <v>2.1</v>
      </c>
      <c r="H18" s="3" t="n">
        <v>2.1</v>
      </c>
      <c r="I18" s="3" t="n">
        <v>2.1</v>
      </c>
      <c r="J18" s="3" t="n">
        <v>2.1</v>
      </c>
      <c r="K18" s="3" t="n">
        <v>2.1</v>
      </c>
      <c r="L18" s="3" t="n">
        <v>2.1</v>
      </c>
    </row>
    <row r="19" customFormat="false" ht="15" hidden="false" customHeight="false" outlineLevel="0" collapsed="false">
      <c r="A19" s="0" t="s">
        <v>111</v>
      </c>
      <c r="C19" s="3" t="n">
        <v>22</v>
      </c>
      <c r="D19" s="3" t="n">
        <v>22</v>
      </c>
      <c r="E19" s="3" t="n">
        <v>22.5</v>
      </c>
      <c r="F19" s="3" t="n">
        <v>22.5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18</v>
      </c>
    </row>
    <row r="23" customFormat="false" ht="15" hidden="false" customHeight="false" outlineLevel="0" collapsed="false">
      <c r="A23" s="0" t="s">
        <v>115</v>
      </c>
      <c r="B23" s="3" t="n">
        <v>-15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7</v>
      </c>
      <c r="D27" s="3" t="n">
        <v>6.5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27.6</v>
      </c>
      <c r="D28" s="3" t="n">
        <v>28</v>
      </c>
      <c r="E28" s="3" t="n">
        <v>28.3</v>
      </c>
      <c r="F28" s="3" t="n">
        <v>28.5</v>
      </c>
      <c r="G28" s="3" t="n">
        <v>28.7</v>
      </c>
      <c r="H28" s="3" t="n">
        <v>28.8</v>
      </c>
      <c r="I28" s="3" t="n">
        <v>28.9</v>
      </c>
      <c r="J28" s="3" t="n">
        <v>29</v>
      </c>
      <c r="K28" s="3" t="n">
        <v>29</v>
      </c>
      <c r="L28" s="3" t="n">
        <v>29</v>
      </c>
    </row>
    <row r="29" customFormat="false" ht="15" hidden="false" customHeight="false" outlineLevel="0" collapsed="false">
      <c r="A29" s="0" t="s">
        <v>107</v>
      </c>
      <c r="C29" s="3" t="n">
        <v>1.05</v>
      </c>
      <c r="D29" s="3" t="n">
        <v>1.05</v>
      </c>
      <c r="E29" s="3" t="n">
        <v>1</v>
      </c>
      <c r="F29" s="3" t="n">
        <v>1</v>
      </c>
      <c r="G29" s="3" t="n">
        <v>1</v>
      </c>
      <c r="H29" s="3" t="n">
        <v>0.95</v>
      </c>
      <c r="I29" s="3" t="n">
        <v>0.95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5.9</v>
      </c>
      <c r="D31" s="3" t="n">
        <v>5.7</v>
      </c>
      <c r="E31" s="3" t="n">
        <v>5.5</v>
      </c>
      <c r="F31" s="3" t="n">
        <v>5.3</v>
      </c>
      <c r="G31" s="3" t="n">
        <v>5.1</v>
      </c>
      <c r="H31" s="3" t="n">
        <v>4.9</v>
      </c>
      <c r="I31" s="3" t="n">
        <v>4.8</v>
      </c>
      <c r="J31" s="3" t="n">
        <v>4.7</v>
      </c>
      <c r="K31" s="3" t="n">
        <v>4.6</v>
      </c>
      <c r="L31" s="3" t="n">
        <v>4.5</v>
      </c>
    </row>
    <row r="32" customFormat="false" ht="15" hidden="false" customHeight="false" outlineLevel="0" collapsed="false">
      <c r="A32" s="0" t="s">
        <v>110</v>
      </c>
      <c r="C32" s="3" t="n">
        <v>2.2</v>
      </c>
      <c r="D32" s="3" t="n">
        <v>2.2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22</v>
      </c>
      <c r="E33" s="3" t="n">
        <v>22.5</v>
      </c>
      <c r="F33" s="3" t="n">
        <v>22.5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-15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8.5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27.8</v>
      </c>
      <c r="D42" s="3" t="n">
        <v>28.5</v>
      </c>
      <c r="E42" s="3" t="n">
        <v>29</v>
      </c>
      <c r="F42" s="3" t="n">
        <v>29.5</v>
      </c>
      <c r="G42" s="3" t="n">
        <v>29.9</v>
      </c>
      <c r="H42" s="3" t="n">
        <v>30.2</v>
      </c>
      <c r="I42" s="3" t="n">
        <v>30.4</v>
      </c>
      <c r="J42" s="3" t="n">
        <v>30.5</v>
      </c>
      <c r="K42" s="3" t="n">
        <v>30.5</v>
      </c>
      <c r="L42" s="3" t="n">
        <v>30.5</v>
      </c>
    </row>
    <row r="43" customFormat="false" ht="15" hidden="false" customHeight="false" outlineLevel="0" collapsed="false">
      <c r="A43" s="0" t="s">
        <v>107</v>
      </c>
      <c r="C43" s="3" t="n">
        <v>1.05</v>
      </c>
      <c r="D43" s="3" t="n">
        <v>1.05</v>
      </c>
      <c r="E43" s="3" t="n">
        <v>1</v>
      </c>
      <c r="F43" s="3" t="n">
        <v>1</v>
      </c>
      <c r="G43" s="3" t="n">
        <v>1</v>
      </c>
      <c r="H43" s="3" t="n">
        <v>0.95</v>
      </c>
      <c r="I43" s="3" t="n">
        <v>0.95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5.9</v>
      </c>
      <c r="D45" s="3" t="n">
        <v>5.7</v>
      </c>
      <c r="E45" s="3" t="n">
        <v>5.5</v>
      </c>
      <c r="F45" s="3" t="n">
        <v>5.3</v>
      </c>
      <c r="G45" s="3" t="n">
        <v>5.1</v>
      </c>
      <c r="H45" s="3" t="n">
        <v>4.9</v>
      </c>
      <c r="I45" s="3" t="n">
        <v>4.8</v>
      </c>
      <c r="J45" s="3" t="n">
        <v>4.7</v>
      </c>
      <c r="K45" s="3" t="n">
        <v>4.6</v>
      </c>
      <c r="L45" s="3" t="n">
        <v>4.5</v>
      </c>
    </row>
    <row r="46" customFormat="false" ht="15" hidden="false" customHeight="false" outlineLevel="0" collapsed="false">
      <c r="A46" s="0" t="s">
        <v>110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111</v>
      </c>
      <c r="C47" s="3" t="n">
        <v>22</v>
      </c>
      <c r="D47" s="3" t="n">
        <v>22</v>
      </c>
      <c r="E47" s="3" t="n">
        <v>22.5</v>
      </c>
      <c r="F47" s="3" t="n">
        <v>22.5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18</v>
      </c>
    </row>
    <row r="51" customFormat="false" ht="15" hidden="false" customHeight="false" outlineLevel="0" collapsed="false">
      <c r="A51" s="0" t="s">
        <v>115</v>
      </c>
      <c r="B51" s="3" t="n">
        <v>-15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5.5</v>
      </c>
      <c r="D5" s="4" t="n">
        <f aca="false">Assumptions!D13</f>
        <v>1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3457.5</v>
      </c>
      <c r="C6" s="0" t="n">
        <f aca="false">B6*(1+C5/100)</f>
        <v>3647.6625</v>
      </c>
      <c r="D6" s="0" t="n">
        <f aca="false">C6*(1+D5/100)</f>
        <v>3684.139125</v>
      </c>
      <c r="E6" s="0" t="n">
        <f aca="false">D6*(1+E5/100)</f>
        <v>3573.61495125</v>
      </c>
      <c r="F6" s="0" t="n">
        <f aca="false">E6*(1+F5/100)</f>
        <v>3645.087250275</v>
      </c>
      <c r="G6" s="0" t="n">
        <f aca="false">F6*(1+G5/100)</f>
        <v>3754.43986778325</v>
      </c>
      <c r="H6" s="0" t="n">
        <f aca="false">G6*(1+H5/100)</f>
        <v>3867.07306381675</v>
      </c>
      <c r="I6" s="0" t="n">
        <f aca="false">H6*(1+I5/100)</f>
        <v>3983.08525573125</v>
      </c>
      <c r="J6" s="0" t="n">
        <f aca="false">I6*(1+J5/100)</f>
        <v>4082.66238712453</v>
      </c>
      <c r="K6" s="0" t="n">
        <f aca="false">J6*(1+K5/100)</f>
        <v>4184.72894680265</v>
      </c>
      <c r="L6" s="0" t="n">
        <f aca="false">K6*(1+L5/100)</f>
        <v>4289.34717047271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27.2</v>
      </c>
      <c r="D7" s="4" t="n">
        <f aca="false">Assumptions!D14</f>
        <v>26.5</v>
      </c>
      <c r="E7" s="4" t="n">
        <f aca="false">Assumptions!E14</f>
        <v>25.5</v>
      </c>
      <c r="F7" s="4" t="n">
        <f aca="false">Assumptions!F14</f>
        <v>26</v>
      </c>
      <c r="G7" s="4" t="n">
        <f aca="false">Assumptions!G14</f>
        <v>26.5</v>
      </c>
      <c r="H7" s="4" t="n">
        <f aca="false">Assumptions!H14</f>
        <v>26.8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992.1642</v>
      </c>
      <c r="D8" s="0" t="n">
        <f aca="false">D6*D7/100</f>
        <v>976.296868125</v>
      </c>
      <c r="E8" s="0" t="n">
        <f aca="false">E6*E7/100</f>
        <v>911.27181256875</v>
      </c>
      <c r="F8" s="0" t="n">
        <f aca="false">F6*F7/100</f>
        <v>947.7226850715</v>
      </c>
      <c r="G8" s="0" t="n">
        <f aca="false">G6*G7/100</f>
        <v>994.926564962561</v>
      </c>
      <c r="H8" s="0" t="n">
        <f aca="false">H6*H7/100</f>
        <v>1036.37558110289</v>
      </c>
      <c r="I8" s="0" t="n">
        <f aca="false">I6*I7/100</f>
        <v>1075.43301904744</v>
      </c>
      <c r="J8" s="0" t="n">
        <f aca="false">J6*J7/100</f>
        <v>1102.31884452362</v>
      </c>
      <c r="K8" s="0" t="n">
        <f aca="false">K6*K7/100</f>
        <v>1129.87681563671</v>
      </c>
      <c r="L8" s="0" t="n">
        <f aca="false">L6*L7/100</f>
        <v>1158.12373602763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1.05</v>
      </c>
      <c r="D9" s="4" t="n">
        <f aca="false">Assumptions!D15</f>
        <v>1.1</v>
      </c>
      <c r="E9" s="4" t="n">
        <f aca="false">Assumptions!E15</f>
        <v>1.15</v>
      </c>
      <c r="F9" s="4" t="n">
        <f aca="false">Assumptions!F15</f>
        <v>1.1</v>
      </c>
      <c r="G9" s="4" t="n">
        <f aca="false">Assumptions!G15</f>
        <v>1.05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-38.30045625</v>
      </c>
      <c r="D10" s="0" t="n">
        <f aca="false">-D6*D9/100</f>
        <v>-40.525530375</v>
      </c>
      <c r="E10" s="0" t="n">
        <f aca="false">-E6*E9/100</f>
        <v>-41.096571939375</v>
      </c>
      <c r="F10" s="0" t="n">
        <f aca="false">-F6*F9/100</f>
        <v>-40.095959753025</v>
      </c>
      <c r="G10" s="0" t="n">
        <f aca="false">-G6*G9/100</f>
        <v>-39.4216186117241</v>
      </c>
      <c r="H10" s="0" t="n">
        <f aca="false">-H6*H9/100</f>
        <v>-38.6707306381675</v>
      </c>
      <c r="I10" s="0" t="n">
        <f aca="false">-I6*I9/100</f>
        <v>-39.8308525573125</v>
      </c>
      <c r="J10" s="0" t="n">
        <f aca="false">-J6*J9/100</f>
        <v>-40.8266238712453</v>
      </c>
      <c r="K10" s="0" t="n">
        <f aca="false">-K6*K9/100</f>
        <v>-41.8472894680264</v>
      </c>
      <c r="L10" s="0" t="n">
        <f aca="false">-L6*L9/100</f>
        <v>-42.8934717047271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953.86374375</v>
      </c>
      <c r="D11" s="0" t="n">
        <f aca="false">D8+D10+D24</f>
        <v>935.77133775</v>
      </c>
      <c r="E11" s="0" t="n">
        <f aca="false">E8+E10+E24</f>
        <v>870.175240629375</v>
      </c>
      <c r="F11" s="0" t="n">
        <f aca="false">F8+F10+F24</f>
        <v>907.626725318475</v>
      </c>
      <c r="G11" s="0" t="n">
        <f aca="false">G8+G10+G24</f>
        <v>955.504946350837</v>
      </c>
      <c r="H11" s="0" t="n">
        <f aca="false">H8+H10+H24</f>
        <v>997.704850464721</v>
      </c>
      <c r="I11" s="0" t="n">
        <f aca="false">I8+I10+I24</f>
        <v>1035.60216649013</v>
      </c>
      <c r="J11" s="0" t="n">
        <f aca="false">J8+J10+J24</f>
        <v>1061.49222065238</v>
      </c>
      <c r="K11" s="0" t="n">
        <f aca="false">K8+K10+K24</f>
        <v>1088.02952616869</v>
      </c>
      <c r="L11" s="0" t="n">
        <f aca="false">L8+L10+L24</f>
        <v>1115.23026432291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-215.2120875</v>
      </c>
      <c r="D12" s="4" t="n">
        <f aca="false">-D6*Assumptions!D17/100</f>
        <v>-213.68006925</v>
      </c>
      <c r="E12" s="4" t="n">
        <f aca="false">-E6*Assumptions!E17/100</f>
        <v>-210.84328212375</v>
      </c>
      <c r="F12" s="4" t="n">
        <f aca="false">-F6*Assumptions!F17/100</f>
        <v>-204.1248860154</v>
      </c>
      <c r="G12" s="4" t="n">
        <f aca="false">-G6*Assumptions!G17/100</f>
        <v>-198.985312992512</v>
      </c>
      <c r="H12" s="4" t="n">
        <f aca="false">-H6*Assumptions!H17/100</f>
        <v>-193.353653190837</v>
      </c>
      <c r="I12" s="4" t="n">
        <f aca="false">-I6*Assumptions!I17/100</f>
        <v>-191.1880922751</v>
      </c>
      <c r="J12" s="4" t="n">
        <f aca="false">-J6*Assumptions!J17/100</f>
        <v>-191.885132194853</v>
      </c>
      <c r="K12" s="4" t="n">
        <f aca="false">-K6*Assumptions!K17/100</f>
        <v>-192.497531552922</v>
      </c>
      <c r="L12" s="4" t="n">
        <f aca="false">-L6*Assumptions!L17/100</f>
        <v>-193.020622671272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738.65165625</v>
      </c>
      <c r="D13" s="0" t="n">
        <f aca="false">D11+D12</f>
        <v>722.0912685</v>
      </c>
      <c r="E13" s="0" t="n">
        <f aca="false">E11+E12</f>
        <v>659.331958505625</v>
      </c>
      <c r="F13" s="0" t="n">
        <f aca="false">F11+F12</f>
        <v>703.501839303075</v>
      </c>
      <c r="G13" s="0" t="n">
        <f aca="false">G11+G12</f>
        <v>756.519633358325</v>
      </c>
      <c r="H13" s="0" t="n">
        <f aca="false">H11+H12</f>
        <v>804.351197273884</v>
      </c>
      <c r="I13" s="0" t="n">
        <f aca="false">I11+I12</f>
        <v>844.414074215025</v>
      </c>
      <c r="J13" s="0" t="n">
        <f aca="false">J11+J12</f>
        <v>869.607088457525</v>
      </c>
      <c r="K13" s="0" t="n">
        <f aca="false">K11+K12</f>
        <v>895.531994615766</v>
      </c>
      <c r="L13" s="0" t="n">
        <f aca="false">L11+L12</f>
        <v>922.209641651633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576.148291875</v>
      </c>
      <c r="D15" s="0" t="n">
        <f aca="false">D13-MAX(0,D13)*D14/100</f>
        <v>563.23118943</v>
      </c>
      <c r="E15" s="0" t="n">
        <f aca="false">E13-MAX(0,E13)*E14/100</f>
        <v>510.98226784186</v>
      </c>
      <c r="F15" s="0" t="n">
        <f aca="false">F13-MAX(0,F13)*F14/100</f>
        <v>545.213925459883</v>
      </c>
      <c r="G15" s="0" t="n">
        <f aca="false">G13-MAX(0,G13)*G14/100</f>
        <v>582.52011768591</v>
      </c>
      <c r="H15" s="0" t="n">
        <f aca="false">H13-MAX(0,H13)*H14/100</f>
        <v>619.35042190089</v>
      </c>
      <c r="I15" s="0" t="n">
        <f aca="false">I13-MAX(0,I13)*I14/100</f>
        <v>650.198837145569</v>
      </c>
      <c r="J15" s="0" t="n">
        <f aca="false">J13-MAX(0,J13)*J14/100</f>
        <v>669.597458112295</v>
      </c>
      <c r="K15" s="0" t="n">
        <f aca="false">K13-MAX(0,K13)*K14/100</f>
        <v>689.55963585414</v>
      </c>
      <c r="L15" s="0" t="n">
        <f aca="false">L13-MAX(0,L13)*L14/100</f>
        <v>710.101424071757</v>
      </c>
    </row>
    <row r="16" customFormat="false" ht="15" hidden="false" customHeight="false" outlineLevel="0" collapsed="false">
      <c r="A16" s="0" t="s">
        <v>127</v>
      </c>
      <c r="C16" s="0" t="n">
        <f aca="false">-C12</f>
        <v>215.2120875</v>
      </c>
      <c r="D16" s="0" t="n">
        <f aca="false">-D12</f>
        <v>213.68006925</v>
      </c>
      <c r="E16" s="0" t="n">
        <f aca="false">-E12</f>
        <v>210.84328212375</v>
      </c>
      <c r="F16" s="0" t="n">
        <f aca="false">-F12</f>
        <v>204.1248860154</v>
      </c>
      <c r="G16" s="0" t="n">
        <f aca="false">-G12</f>
        <v>198.985312992512</v>
      </c>
      <c r="H16" s="0" t="n">
        <f aca="false">-H12</f>
        <v>193.353653190837</v>
      </c>
      <c r="I16" s="0" t="n">
        <f aca="false">-I12</f>
        <v>191.1880922751</v>
      </c>
      <c r="J16" s="0" t="n">
        <f aca="false">-J12</f>
        <v>191.885132194853</v>
      </c>
      <c r="K16" s="0" t="n">
        <f aca="false">-K12</f>
        <v>192.497531552922</v>
      </c>
      <c r="L16" s="0" t="n">
        <f aca="false">-L12</f>
        <v>193.020622671272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-80.248575</v>
      </c>
      <c r="D17" s="4" t="n">
        <f aca="false">-D6*Assumptions!D18/100</f>
        <v>-73.6827825</v>
      </c>
      <c r="E17" s="4" t="n">
        <f aca="false">-E6*Assumptions!E18/100</f>
        <v>-67.89868407375</v>
      </c>
      <c r="F17" s="4" t="n">
        <f aca="false">-F6*Assumptions!F18/100</f>
        <v>-72.9017450055</v>
      </c>
      <c r="G17" s="4" t="n">
        <f aca="false">-G6*Assumptions!G18/100</f>
        <v>-78.8432372234483</v>
      </c>
      <c r="H17" s="4" t="n">
        <f aca="false">-H6*Assumptions!H18/100</f>
        <v>-81.2085343401517</v>
      </c>
      <c r="I17" s="4" t="n">
        <f aca="false">-I6*Assumptions!I18/100</f>
        <v>-83.6447903703563</v>
      </c>
      <c r="J17" s="4" t="n">
        <f aca="false">-J6*Assumptions!J18/100</f>
        <v>-85.7359101296152</v>
      </c>
      <c r="K17" s="4" t="n">
        <f aca="false">-K6*Assumptions!K18/100</f>
        <v>-87.8793078828555</v>
      </c>
      <c r="L17" s="4" t="n">
        <f aca="false">-L6*Assumptions!L18/100</f>
        <v>-90.0762905799269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-28.524375</v>
      </c>
      <c r="D18" s="4" t="n">
        <f aca="false">(D6-C6)*Assumptions!$B$23/100</f>
        <v>-5.47149375000004</v>
      </c>
      <c r="E18" s="4" t="n">
        <f aca="false">(E6-D6)*Assumptions!$B$23/100</f>
        <v>16.5786260625</v>
      </c>
      <c r="F18" s="4" t="n">
        <f aca="false">(F6-E6)*Assumptions!$B$23/100</f>
        <v>-10.72084485375</v>
      </c>
      <c r="G18" s="4" t="n">
        <f aca="false">(G6-F6)*Assumptions!$B$23/100</f>
        <v>-16.4028926262375</v>
      </c>
      <c r="H18" s="4" t="n">
        <f aca="false">(H6-G6)*Assumptions!$B$23/100</f>
        <v>-16.8949794050247</v>
      </c>
      <c r="I18" s="4" t="n">
        <f aca="false">(I6-H6)*Assumptions!$B$23/100</f>
        <v>-17.4018287871754</v>
      </c>
      <c r="J18" s="4" t="n">
        <f aca="false">(J6-I6)*Assumptions!$B$23/100</f>
        <v>-14.9365697089921</v>
      </c>
      <c r="K18" s="4" t="n">
        <f aca="false">(K6-J6)*Assumptions!$B$23/100</f>
        <v>-15.3099839517169</v>
      </c>
      <c r="L18" s="4" t="n">
        <f aca="false">(L6-K6)*Assumptions!$B$23/100</f>
        <v>-15.6927335505099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682.587429375</v>
      </c>
      <c r="D19" s="0" t="n">
        <f aca="false">D15+D16+D17+D18</f>
        <v>697.75698243</v>
      </c>
      <c r="E19" s="0" t="n">
        <f aca="false">E15+E16+E17+E18</f>
        <v>670.50549195436</v>
      </c>
      <c r="F19" s="0" t="n">
        <f aca="false">F15+F16+F17+F18</f>
        <v>665.716221616033</v>
      </c>
      <c r="G19" s="0" t="n">
        <f aca="false">G15+G16+G17+G18</f>
        <v>686.259300828737</v>
      </c>
      <c r="H19" s="0" t="n">
        <f aca="false">H15+H16+H17+H18</f>
        <v>714.600561346552</v>
      </c>
      <c r="I19" s="0" t="n">
        <f aca="false">I15+I16+I17+I18</f>
        <v>740.340310263138</v>
      </c>
      <c r="J19" s="0" t="n">
        <f aca="false">J15+J16+J17+J18</f>
        <v>760.81011046854</v>
      </c>
      <c r="K19" s="0" t="n">
        <f aca="false">K15+K16+K17+K18</f>
        <v>778.867875572489</v>
      </c>
      <c r="L19" s="0" t="n">
        <f aca="false">L15+L16+L17+L18</f>
        <v>797.353022612592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629.112838133641</v>
      </c>
      <c r="D21" s="0" t="n">
        <f aca="false">D19*D20</f>
        <v>592.713357624923</v>
      </c>
      <c r="E21" s="0" t="n">
        <f aca="false">E19*E20</f>
        <v>524.944179693348</v>
      </c>
      <c r="F21" s="0" t="n">
        <f aca="false">F19*F20</f>
        <v>480.363706138155</v>
      </c>
      <c r="G21" s="0" t="n">
        <f aca="false">G19*G20</f>
        <v>456.393607205274</v>
      </c>
      <c r="H21" s="0" t="n">
        <f aca="false">H19*H20</f>
        <v>438.010905809098</v>
      </c>
      <c r="I21" s="0" t="n">
        <f aca="false">I19*I20</f>
        <v>418.237749806911</v>
      </c>
      <c r="J21" s="0" t="n">
        <f aca="false">J19*J20</f>
        <v>396.130580035019</v>
      </c>
      <c r="K21" s="0" t="n">
        <f aca="false">K19*K20</f>
        <v>373.762863243034</v>
      </c>
      <c r="L21" s="0" t="n">
        <f aca="false">L19*L20</f>
        <v>352.657612537134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4662.32740022654</v>
      </c>
    </row>
    <row r="31" customFormat="false" ht="15" hidden="false" customHeight="false" outlineLevel="0" collapsed="false">
      <c r="A31" s="0" t="s">
        <v>136</v>
      </c>
      <c r="B31" s="0" t="n">
        <f aca="false">L19</f>
        <v>797.353022612592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12512.3089702284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14352.3544070267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12512.3089702284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5534.01176596733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10196.3391661939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8950.33916619386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121.114197106818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-0.476036352555405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263.563334189696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297.701231907762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128.709116810437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6256.15448511419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51.9450572065004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7</v>
      </c>
      <c r="D5" s="4" t="n">
        <f aca="false">Assumptions!D27</f>
        <v>6.5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3457.5</v>
      </c>
      <c r="C6" s="0" t="n">
        <f aca="false">B6*(1+C5/100)</f>
        <v>3699.525</v>
      </c>
      <c r="D6" s="0" t="n">
        <f aca="false">C6*(1+D5/100)</f>
        <v>3939.994125</v>
      </c>
      <c r="E6" s="0" t="n">
        <f aca="false">D6*(1+E5/100)</f>
        <v>4156.693801875</v>
      </c>
      <c r="F6" s="0" t="n">
        <f aca="false">E6*(1+F5/100)</f>
        <v>4364.52849196875</v>
      </c>
      <c r="G6" s="0" t="n">
        <f aca="false">F6*(1+G5/100)</f>
        <v>4560.93227410734</v>
      </c>
      <c r="H6" s="0" t="n">
        <f aca="false">G6*(1+H5/100)</f>
        <v>4743.36956507164</v>
      </c>
      <c r="I6" s="0" t="n">
        <f aca="false">H6*(1+I5/100)</f>
        <v>4909.38749984915</v>
      </c>
      <c r="J6" s="0" t="n">
        <f aca="false">I6*(1+J5/100)</f>
        <v>5056.66912484462</v>
      </c>
      <c r="K6" s="0" t="n">
        <f aca="false">J6*(1+K5/100)</f>
        <v>5208.36919858996</v>
      </c>
      <c r="L6" s="0" t="n">
        <f aca="false">K6*(1+L5/100)</f>
        <v>5364.62027454766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27.6</v>
      </c>
      <c r="D7" s="4" t="n">
        <f aca="false">Assumptions!D28</f>
        <v>28</v>
      </c>
      <c r="E7" s="4" t="n">
        <f aca="false">Assumptions!E28</f>
        <v>28.3</v>
      </c>
      <c r="F7" s="4" t="n">
        <f aca="false">Assumptions!F28</f>
        <v>28.5</v>
      </c>
      <c r="G7" s="4" t="n">
        <f aca="false">Assumptions!G28</f>
        <v>28.7</v>
      </c>
      <c r="H7" s="4" t="n">
        <f aca="false">Assumptions!H28</f>
        <v>28.8</v>
      </c>
      <c r="I7" s="4" t="n">
        <f aca="false">Assumptions!I28</f>
        <v>28.9</v>
      </c>
      <c r="J7" s="4" t="n">
        <f aca="false">Assumptions!J28</f>
        <v>29</v>
      </c>
      <c r="K7" s="4" t="n">
        <f aca="false">Assumptions!K28</f>
        <v>29</v>
      </c>
      <c r="L7" s="4" t="n">
        <f aca="false">Assumptions!L28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1021.0689</v>
      </c>
      <c r="D8" s="0" t="n">
        <f aca="false">D6*D7/100</f>
        <v>1103.198355</v>
      </c>
      <c r="E8" s="0" t="n">
        <f aca="false">E6*E7/100</f>
        <v>1176.34434593063</v>
      </c>
      <c r="F8" s="0" t="n">
        <f aca="false">F6*F7/100</f>
        <v>1243.89062021109</v>
      </c>
      <c r="G8" s="0" t="n">
        <f aca="false">G6*G7/100</f>
        <v>1308.98756266881</v>
      </c>
      <c r="H8" s="0" t="n">
        <f aca="false">H6*H7/100</f>
        <v>1366.09043474063</v>
      </c>
      <c r="I8" s="0" t="n">
        <f aca="false">I6*I7/100</f>
        <v>1418.8129874564</v>
      </c>
      <c r="J8" s="0" t="n">
        <f aca="false">J6*J7/100</f>
        <v>1466.43404620494</v>
      </c>
      <c r="K8" s="0" t="n">
        <f aca="false">K6*K7/100</f>
        <v>1510.42706759109</v>
      </c>
      <c r="L8" s="0" t="n">
        <f aca="false">L6*L7/100</f>
        <v>1555.73987961882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1.05</v>
      </c>
      <c r="D9" s="4" t="n">
        <f aca="false">Assumptions!D29</f>
        <v>1.05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0.95</v>
      </c>
      <c r="I9" s="4" t="n">
        <f aca="false">Assumptions!I29</f>
        <v>0.95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-38.8450125</v>
      </c>
      <c r="D10" s="0" t="n">
        <f aca="false">-D6*D9/100</f>
        <v>-41.3699383125</v>
      </c>
      <c r="E10" s="0" t="n">
        <f aca="false">-E6*E9/100</f>
        <v>-41.56693801875</v>
      </c>
      <c r="F10" s="0" t="n">
        <f aca="false">-F6*F9/100</f>
        <v>-43.6452849196875</v>
      </c>
      <c r="G10" s="0" t="n">
        <f aca="false">-G6*G9/100</f>
        <v>-45.6093227410734</v>
      </c>
      <c r="H10" s="0" t="n">
        <f aca="false">-H6*H9/100</f>
        <v>-45.0620108681806</v>
      </c>
      <c r="I10" s="0" t="n">
        <f aca="false">-I6*I9/100</f>
        <v>-46.6391812485669</v>
      </c>
      <c r="J10" s="0" t="n">
        <f aca="false">-J6*J9/100</f>
        <v>-45.5100221236016</v>
      </c>
      <c r="K10" s="0" t="n">
        <f aca="false">-K6*K9/100</f>
        <v>-46.8753227873096</v>
      </c>
      <c r="L10" s="0" t="n">
        <f aca="false">-L6*L9/100</f>
        <v>-48.2815824709289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982.2238875</v>
      </c>
      <c r="D11" s="0" t="n">
        <f aca="false">D8+D10+D24</f>
        <v>1061.8284166875</v>
      </c>
      <c r="E11" s="0" t="n">
        <f aca="false">E8+E10+E24</f>
        <v>1134.77740791188</v>
      </c>
      <c r="F11" s="0" t="n">
        <f aca="false">F8+F10+F24</f>
        <v>1200.24533529141</v>
      </c>
      <c r="G11" s="0" t="n">
        <f aca="false">G8+G10+G24</f>
        <v>1263.37823992773</v>
      </c>
      <c r="H11" s="0" t="n">
        <f aca="false">H8+H10+H24</f>
        <v>1321.02842387245</v>
      </c>
      <c r="I11" s="0" t="n">
        <f aca="false">I8+I10+I24</f>
        <v>1372.17380620784</v>
      </c>
      <c r="J11" s="0" t="n">
        <f aca="false">J8+J10+J24</f>
        <v>1420.92402408134</v>
      </c>
      <c r="K11" s="0" t="n">
        <f aca="false">K8+K10+K24</f>
        <v>1463.55174480378</v>
      </c>
      <c r="L11" s="0" t="n">
        <f aca="false">L8+L10+L24</f>
        <v>1507.45829714789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-218.271975</v>
      </c>
      <c r="D12" s="4" t="n">
        <f aca="false">-D6*Assumptions!D31/100</f>
        <v>-224.579665125</v>
      </c>
      <c r="E12" s="4" t="n">
        <f aca="false">-E6*Assumptions!E31/100</f>
        <v>-228.618159103125</v>
      </c>
      <c r="F12" s="4" t="n">
        <f aca="false">-F6*Assumptions!F31/100</f>
        <v>-231.320010074344</v>
      </c>
      <c r="G12" s="4" t="n">
        <f aca="false">-G6*Assumptions!G31/100</f>
        <v>-232.607545979475</v>
      </c>
      <c r="H12" s="4" t="n">
        <f aca="false">-H6*Assumptions!H31/100</f>
        <v>-232.42510868851</v>
      </c>
      <c r="I12" s="4" t="n">
        <f aca="false">-I6*Assumptions!I31/100</f>
        <v>-235.650599992759</v>
      </c>
      <c r="J12" s="4" t="n">
        <f aca="false">-J6*Assumptions!J31/100</f>
        <v>-237.663448867697</v>
      </c>
      <c r="K12" s="4" t="n">
        <f aca="false">-K6*Assumptions!K31/100</f>
        <v>-239.584983135138</v>
      </c>
      <c r="L12" s="4" t="n">
        <f aca="false">-L6*Assumptions!L31/100</f>
        <v>-241.407912354645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763.9519125</v>
      </c>
      <c r="D13" s="0" t="n">
        <f aca="false">D11+D12</f>
        <v>837.2487515625</v>
      </c>
      <c r="E13" s="0" t="n">
        <f aca="false">E11+E12</f>
        <v>906.15924880875</v>
      </c>
      <c r="F13" s="0" t="n">
        <f aca="false">F11+F12</f>
        <v>968.925325217063</v>
      </c>
      <c r="G13" s="0" t="n">
        <f aca="false">G11+G12</f>
        <v>1030.77069394826</v>
      </c>
      <c r="H13" s="0" t="n">
        <f aca="false">H11+H12</f>
        <v>1088.60331518394</v>
      </c>
      <c r="I13" s="0" t="n">
        <f aca="false">I11+I12</f>
        <v>1136.52320621508</v>
      </c>
      <c r="J13" s="0" t="n">
        <f aca="false">J11+J12</f>
        <v>1183.26057521364</v>
      </c>
      <c r="K13" s="0" t="n">
        <f aca="false">K11+K12</f>
        <v>1223.96676166864</v>
      </c>
      <c r="L13" s="0" t="n">
        <f aca="false">L11+L12</f>
        <v>1266.05038479325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595.88249175</v>
      </c>
      <c r="D15" s="0" t="n">
        <f aca="false">D13-MAX(0,D13)*D14/100</f>
        <v>653.05402621875</v>
      </c>
      <c r="E15" s="0" t="n">
        <f aca="false">E13-MAX(0,E13)*E14/100</f>
        <v>702.273417826781</v>
      </c>
      <c r="F15" s="0" t="n">
        <f aca="false">F13-MAX(0,F13)*F14/100</f>
        <v>750.917127043223</v>
      </c>
      <c r="G15" s="0" t="n">
        <f aca="false">G13-MAX(0,G13)*G14/100</f>
        <v>793.69343434016</v>
      </c>
      <c r="H15" s="0" t="n">
        <f aca="false">H13-MAX(0,H13)*H14/100</f>
        <v>838.224552691635</v>
      </c>
      <c r="I15" s="0" t="n">
        <f aca="false">I13-MAX(0,I13)*I14/100</f>
        <v>875.122868785609</v>
      </c>
      <c r="J15" s="0" t="n">
        <f aca="false">J13-MAX(0,J13)*J14/100</f>
        <v>911.110642914504</v>
      </c>
      <c r="K15" s="0" t="n">
        <f aca="false">K13-MAX(0,K13)*K14/100</f>
        <v>942.454406484853</v>
      </c>
      <c r="L15" s="0" t="n">
        <f aca="false">L13-MAX(0,L13)*L14/100</f>
        <v>974.8587962908</v>
      </c>
    </row>
    <row r="16" customFormat="false" ht="15" hidden="false" customHeight="false" outlineLevel="0" collapsed="false">
      <c r="A16" s="0" t="s">
        <v>127</v>
      </c>
      <c r="C16" s="0" t="n">
        <f aca="false">-C12</f>
        <v>218.271975</v>
      </c>
      <c r="D16" s="0" t="n">
        <f aca="false">-D12</f>
        <v>224.579665125</v>
      </c>
      <c r="E16" s="0" t="n">
        <f aca="false">-E12</f>
        <v>228.618159103125</v>
      </c>
      <c r="F16" s="0" t="n">
        <f aca="false">-F12</f>
        <v>231.320010074344</v>
      </c>
      <c r="G16" s="0" t="n">
        <f aca="false">-G12</f>
        <v>232.607545979475</v>
      </c>
      <c r="H16" s="0" t="n">
        <f aca="false">-H12</f>
        <v>232.42510868851</v>
      </c>
      <c r="I16" s="0" t="n">
        <f aca="false">-I12</f>
        <v>235.650599992759</v>
      </c>
      <c r="J16" s="0" t="n">
        <f aca="false">-J12</f>
        <v>237.663448867697</v>
      </c>
      <c r="K16" s="0" t="n">
        <f aca="false">-K12</f>
        <v>239.584983135138</v>
      </c>
      <c r="L16" s="0" t="n">
        <f aca="false">-L12</f>
        <v>241.407912354645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-81.38955</v>
      </c>
      <c r="D17" s="4" t="n">
        <f aca="false">-D6*Assumptions!D32/100</f>
        <v>-86.67987075</v>
      </c>
      <c r="E17" s="4" t="n">
        <f aca="false">-E6*Assumptions!E32/100</f>
        <v>-91.44726364125</v>
      </c>
      <c r="F17" s="4" t="n">
        <f aca="false">-F6*Assumptions!F32/100</f>
        <v>-96.0196268233125</v>
      </c>
      <c r="G17" s="4" t="n">
        <f aca="false">-G6*Assumptions!G32/100</f>
        <v>-100.340510030362</v>
      </c>
      <c r="H17" s="4" t="n">
        <f aca="false">-H6*Assumptions!H32/100</f>
        <v>-104.354130431576</v>
      </c>
      <c r="I17" s="4" t="n">
        <f aca="false">-I6*Assumptions!I32/100</f>
        <v>-108.006524996681</v>
      </c>
      <c r="J17" s="4" t="n">
        <f aca="false">-J6*Assumptions!J32/100</f>
        <v>-111.246720746582</v>
      </c>
      <c r="K17" s="4" t="n">
        <f aca="false">-K6*Assumptions!K32/100</f>
        <v>-114.584122368979</v>
      </c>
      <c r="L17" s="4" t="n">
        <f aca="false">-L6*Assumptions!L32/100</f>
        <v>-118.021646040048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-36.30375</v>
      </c>
      <c r="D18" s="4" t="n">
        <f aca="false">(D6-C6)*Assumptions!$B$37/100</f>
        <v>-36.0703687499999</v>
      </c>
      <c r="E18" s="4" t="n">
        <f aca="false">(E6-D6)*Assumptions!$B$37/100</f>
        <v>-32.50495153125</v>
      </c>
      <c r="F18" s="4" t="n">
        <f aca="false">(F6-E6)*Assumptions!$B$37/100</f>
        <v>-31.1752035140626</v>
      </c>
      <c r="G18" s="4" t="n">
        <f aca="false">(G6-F6)*Assumptions!$B$37/100</f>
        <v>-29.4605673207891</v>
      </c>
      <c r="H18" s="4" t="n">
        <f aca="false">(H6-G6)*Assumptions!$B$37/100</f>
        <v>-27.3655936446442</v>
      </c>
      <c r="I18" s="4" t="n">
        <f aca="false">(I6-H6)*Assumptions!$B$37/100</f>
        <v>-24.902690216626</v>
      </c>
      <c r="J18" s="4" t="n">
        <f aca="false">(J6-I6)*Assumptions!$B$37/100</f>
        <v>-22.0922437493212</v>
      </c>
      <c r="K18" s="4" t="n">
        <f aca="false">(K6-J6)*Assumptions!$B$37/100</f>
        <v>-22.7550110618009</v>
      </c>
      <c r="L18" s="4" t="n">
        <f aca="false">(L6-K6)*Assumptions!$B$37/100</f>
        <v>-23.4376613936548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696.46116675</v>
      </c>
      <c r="D19" s="0" t="n">
        <f aca="false">D15+D16+D17+D18</f>
        <v>754.88345184375</v>
      </c>
      <c r="E19" s="0" t="n">
        <f aca="false">E15+E16+E17+E18</f>
        <v>806.939361757406</v>
      </c>
      <c r="F19" s="0" t="n">
        <f aca="false">F15+F16+F17+F18</f>
        <v>855.042306780192</v>
      </c>
      <c r="G19" s="0" t="n">
        <f aca="false">G15+G16+G17+G18</f>
        <v>896.499902968484</v>
      </c>
      <c r="H19" s="0" t="n">
        <f aca="false">H15+H16+H17+H18</f>
        <v>938.929937303925</v>
      </c>
      <c r="I19" s="0" t="n">
        <f aca="false">I15+I16+I17+I18</f>
        <v>977.864253565061</v>
      </c>
      <c r="J19" s="0" t="n">
        <f aca="false">J15+J16+J17+J18</f>
        <v>1015.4351272863</v>
      </c>
      <c r="K19" s="0" t="n">
        <f aca="false">K15+K16+K17+K18</f>
        <v>1044.70025618921</v>
      </c>
      <c r="L19" s="0" t="n">
        <f aca="false">L15+L16+L17+L18</f>
        <v>1074.80740121174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641.899692857143</v>
      </c>
      <c r="D21" s="0" t="n">
        <f aca="false">D19*D20</f>
        <v>641.2397390845</v>
      </c>
      <c r="E21" s="0" t="n">
        <f aca="false">E19*E20</f>
        <v>631.759361262397</v>
      </c>
      <c r="F21" s="0" t="n">
        <f aca="false">F19*F20</f>
        <v>616.976540533737</v>
      </c>
      <c r="G21" s="0" t="n">
        <f aca="false">G19*G20</f>
        <v>596.213157447717</v>
      </c>
      <c r="H21" s="0" t="n">
        <f aca="false">H19*H20</f>
        <v>575.512495476934</v>
      </c>
      <c r="I21" s="0" t="n">
        <f aca="false">I19*I20</f>
        <v>552.421284317617</v>
      </c>
      <c r="J21" s="0" t="n">
        <f aca="false">J19*J20</f>
        <v>528.706046916404</v>
      </c>
      <c r="K21" s="0" t="n">
        <f aca="false">K19*K20</f>
        <v>501.330419741609</v>
      </c>
      <c r="L21" s="0" t="n">
        <f aca="false">L19*L20</f>
        <v>475.371637529662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5761.43037516772</v>
      </c>
    </row>
    <row r="31" customFormat="false" ht="15" hidden="false" customHeight="false" outlineLevel="0" collapsed="false">
      <c r="A31" s="0" t="s">
        <v>136</v>
      </c>
      <c r="B31" s="0" t="n">
        <f aca="false">L19</f>
        <v>1074.80740121174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18361.2931040339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19346.5332218113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18361.2931040339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8120.93214113173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13882.3625162994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12636.3625162994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170.992726878206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-0.26025210089463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286.825119935825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364.801595588962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179.810409090991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8813.42068993628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70.9372478308166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8.5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3457.5</v>
      </c>
      <c r="C6" s="0" t="n">
        <f aca="false">B6*(1+C5/100)</f>
        <v>3751.3875</v>
      </c>
      <c r="D6" s="0" t="n">
        <f aca="false">C6*(1+D5/100)</f>
        <v>4089.012375</v>
      </c>
      <c r="E6" s="0" t="n">
        <f aca="false">D6*(1+E5/100)</f>
        <v>4416.133365</v>
      </c>
      <c r="F6" s="0" t="n">
        <f aca="false">E6*(1+F5/100)</f>
        <v>4725.26270055</v>
      </c>
      <c r="G6" s="0" t="n">
        <f aca="false">F6*(1+G5/100)</f>
        <v>5008.778462583</v>
      </c>
      <c r="H6" s="0" t="n">
        <f aca="false">G6*(1+H5/100)</f>
        <v>5259.21738571215</v>
      </c>
      <c r="I6" s="0" t="n">
        <f aca="false">H6*(1+I5/100)</f>
        <v>5495.8821680692</v>
      </c>
      <c r="J6" s="0" t="n">
        <f aca="false">I6*(1+J5/100)</f>
        <v>5715.71745479197</v>
      </c>
      <c r="K6" s="0" t="n">
        <f aca="false">J6*(1+K5/100)</f>
        <v>5915.76756570968</v>
      </c>
      <c r="L6" s="0" t="n">
        <f aca="false">K6*(1+L5/100)</f>
        <v>6122.81943050952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27.8</v>
      </c>
      <c r="D7" s="4" t="n">
        <f aca="false">Assumptions!D42</f>
        <v>28.5</v>
      </c>
      <c r="E7" s="4" t="n">
        <f aca="false">Assumptions!E42</f>
        <v>29</v>
      </c>
      <c r="F7" s="4" t="n">
        <f aca="false">Assumptions!F42</f>
        <v>29.5</v>
      </c>
      <c r="G7" s="4" t="n">
        <f aca="false">Assumptions!G42</f>
        <v>29.9</v>
      </c>
      <c r="H7" s="4" t="n">
        <f aca="false">Assumptions!H42</f>
        <v>30.2</v>
      </c>
      <c r="I7" s="4" t="n">
        <f aca="false">Assumptions!I42</f>
        <v>30.4</v>
      </c>
      <c r="J7" s="4" t="n">
        <f aca="false">Assumptions!J42</f>
        <v>30.5</v>
      </c>
      <c r="K7" s="4" t="n">
        <f aca="false">Assumptions!K42</f>
        <v>30.5</v>
      </c>
      <c r="L7" s="4" t="n">
        <f aca="false">Assumptions!L42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1042.885725</v>
      </c>
      <c r="D8" s="0" t="n">
        <f aca="false">D6*D7/100</f>
        <v>1165.368526875</v>
      </c>
      <c r="E8" s="0" t="n">
        <f aca="false">E6*E7/100</f>
        <v>1280.67867585</v>
      </c>
      <c r="F8" s="0" t="n">
        <f aca="false">F6*F7/100</f>
        <v>1393.95249666225</v>
      </c>
      <c r="G8" s="0" t="n">
        <f aca="false">G6*G7/100</f>
        <v>1497.62476031232</v>
      </c>
      <c r="H8" s="0" t="n">
        <f aca="false">H6*H7/100</f>
        <v>1588.28365048507</v>
      </c>
      <c r="I8" s="0" t="n">
        <f aca="false">I6*I7/100</f>
        <v>1670.74817909304</v>
      </c>
      <c r="J8" s="0" t="n">
        <f aca="false">J6*J7/100</f>
        <v>1743.29382371155</v>
      </c>
      <c r="K8" s="0" t="n">
        <f aca="false">K6*K7/100</f>
        <v>1804.30910754145</v>
      </c>
      <c r="L8" s="0" t="n">
        <f aca="false">L6*L7/100</f>
        <v>1867.4599263054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1.05</v>
      </c>
      <c r="D9" s="4" t="n">
        <f aca="false">Assumptions!D43</f>
        <v>1.05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0.95</v>
      </c>
      <c r="I9" s="4" t="n">
        <f aca="false">Assumptions!I43</f>
        <v>0.95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-39.38956875</v>
      </c>
      <c r="D10" s="0" t="n">
        <f aca="false">-D6*D9/100</f>
        <v>-42.9346299375</v>
      </c>
      <c r="E10" s="0" t="n">
        <f aca="false">-E6*E9/100</f>
        <v>-44.16133365</v>
      </c>
      <c r="F10" s="0" t="n">
        <f aca="false">-F6*F9/100</f>
        <v>-47.2526270055</v>
      </c>
      <c r="G10" s="0" t="n">
        <f aca="false">-G6*G9/100</f>
        <v>-50.08778462583</v>
      </c>
      <c r="H10" s="0" t="n">
        <f aca="false">-H6*H9/100</f>
        <v>-49.9625651642654</v>
      </c>
      <c r="I10" s="0" t="n">
        <f aca="false">-I6*I9/100</f>
        <v>-52.2108805966574</v>
      </c>
      <c r="J10" s="0" t="n">
        <f aca="false">-J6*J9/100</f>
        <v>-51.4414570931277</v>
      </c>
      <c r="K10" s="0" t="n">
        <f aca="false">-K6*K9/100</f>
        <v>-53.2419080913872</v>
      </c>
      <c r="L10" s="0" t="n">
        <f aca="false">-L6*L9/100</f>
        <v>-55.1053748745857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1003.49615625</v>
      </c>
      <c r="D11" s="0" t="n">
        <f aca="false">D8+D10+D24</f>
        <v>1122.4338969375</v>
      </c>
      <c r="E11" s="0" t="n">
        <f aca="false">E8+E10+E24</f>
        <v>1236.5173422</v>
      </c>
      <c r="F11" s="0" t="n">
        <f aca="false">F8+F10+F24</f>
        <v>1346.69986965675</v>
      </c>
      <c r="G11" s="0" t="n">
        <f aca="false">G8+G10+G24</f>
        <v>1447.53697568649</v>
      </c>
      <c r="H11" s="0" t="n">
        <f aca="false">H8+H10+H24</f>
        <v>1538.3210853208</v>
      </c>
      <c r="I11" s="0" t="n">
        <f aca="false">I8+I10+I24</f>
        <v>1618.53729849638</v>
      </c>
      <c r="J11" s="0" t="n">
        <f aca="false">J8+J10+J24</f>
        <v>1691.85236661842</v>
      </c>
      <c r="K11" s="0" t="n">
        <f aca="false">K8+K10+K24</f>
        <v>1751.06719945007</v>
      </c>
      <c r="L11" s="0" t="n">
        <f aca="false">L8+L10+L24</f>
        <v>1812.35455143082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-221.3318625</v>
      </c>
      <c r="D12" s="4" t="n">
        <f aca="false">-D6*Assumptions!D45/100</f>
        <v>-233.073705375</v>
      </c>
      <c r="E12" s="4" t="n">
        <f aca="false">-E6*Assumptions!E45/100</f>
        <v>-242.887335075</v>
      </c>
      <c r="F12" s="4" t="n">
        <f aca="false">-F6*Assumptions!F45/100</f>
        <v>-250.43892312915</v>
      </c>
      <c r="G12" s="4" t="n">
        <f aca="false">-G6*Assumptions!G45/100</f>
        <v>-255.447701591733</v>
      </c>
      <c r="H12" s="4" t="n">
        <f aca="false">-H6*Assumptions!H45/100</f>
        <v>-257.701651899895</v>
      </c>
      <c r="I12" s="4" t="n">
        <f aca="false">-I6*Assumptions!I45/100</f>
        <v>-263.802344067322</v>
      </c>
      <c r="J12" s="4" t="n">
        <f aca="false">-J6*Assumptions!J45/100</f>
        <v>-268.638720375222</v>
      </c>
      <c r="K12" s="4" t="n">
        <f aca="false">-K6*Assumptions!K45/100</f>
        <v>-272.125308022645</v>
      </c>
      <c r="L12" s="4" t="n">
        <f aca="false">-L6*Assumptions!L45/100</f>
        <v>-275.526874372929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782.16429375</v>
      </c>
      <c r="D13" s="0" t="n">
        <f aca="false">D11+D12</f>
        <v>889.3601915625</v>
      </c>
      <c r="E13" s="0" t="n">
        <f aca="false">E11+E12</f>
        <v>993.630007125</v>
      </c>
      <c r="F13" s="0" t="n">
        <f aca="false">F11+F12</f>
        <v>1096.2609465276</v>
      </c>
      <c r="G13" s="0" t="n">
        <f aca="false">G11+G12</f>
        <v>1192.08927409475</v>
      </c>
      <c r="H13" s="0" t="n">
        <f aca="false">H11+H12</f>
        <v>1280.61943342091</v>
      </c>
      <c r="I13" s="0" t="n">
        <f aca="false">I11+I12</f>
        <v>1354.73495442906</v>
      </c>
      <c r="J13" s="0" t="n">
        <f aca="false">J11+J12</f>
        <v>1423.2136462432</v>
      </c>
      <c r="K13" s="0" t="n">
        <f aca="false">K11+K12</f>
        <v>1478.94189142742</v>
      </c>
      <c r="L13" s="0" t="n">
        <f aca="false">L11+L12</f>
        <v>1536.82767705789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610.088149125</v>
      </c>
      <c r="D15" s="0" t="n">
        <f aca="false">D13-MAX(0,D13)*D14/100</f>
        <v>693.70094941875</v>
      </c>
      <c r="E15" s="0" t="n">
        <f aca="false">E13-MAX(0,E13)*E14/100</f>
        <v>770.063255521875</v>
      </c>
      <c r="F15" s="0" t="n">
        <f aca="false">F13-MAX(0,F13)*F14/100</f>
        <v>849.60223355889</v>
      </c>
      <c r="G15" s="0" t="n">
        <f aca="false">G13-MAX(0,G13)*G14/100</f>
        <v>917.908741052961</v>
      </c>
      <c r="H15" s="0" t="n">
        <f aca="false">H13-MAX(0,H13)*H14/100</f>
        <v>986.0769637341</v>
      </c>
      <c r="I15" s="0" t="n">
        <f aca="false">I13-MAX(0,I13)*I14/100</f>
        <v>1043.14591491037</v>
      </c>
      <c r="J15" s="0" t="n">
        <f aca="false">J13-MAX(0,J13)*J14/100</f>
        <v>1095.87450760726</v>
      </c>
      <c r="K15" s="0" t="n">
        <f aca="false">K13-MAX(0,K13)*K14/100</f>
        <v>1138.78525639911</v>
      </c>
      <c r="L15" s="0" t="n">
        <f aca="false">L13-MAX(0,L13)*L14/100</f>
        <v>1183.35731133458</v>
      </c>
    </row>
    <row r="16" customFormat="false" ht="15" hidden="false" customHeight="false" outlineLevel="0" collapsed="false">
      <c r="A16" s="0" t="s">
        <v>127</v>
      </c>
      <c r="C16" s="0" t="n">
        <f aca="false">-C12</f>
        <v>221.3318625</v>
      </c>
      <c r="D16" s="0" t="n">
        <f aca="false">-D12</f>
        <v>233.073705375</v>
      </c>
      <c r="E16" s="0" t="n">
        <f aca="false">-E12</f>
        <v>242.887335075</v>
      </c>
      <c r="F16" s="0" t="n">
        <f aca="false">-F12</f>
        <v>250.43892312915</v>
      </c>
      <c r="G16" s="0" t="n">
        <f aca="false">-G12</f>
        <v>255.447701591733</v>
      </c>
      <c r="H16" s="0" t="n">
        <f aca="false">-H12</f>
        <v>257.701651899895</v>
      </c>
      <c r="I16" s="0" t="n">
        <f aca="false">-I12</f>
        <v>263.802344067322</v>
      </c>
      <c r="J16" s="0" t="n">
        <f aca="false">-J12</f>
        <v>268.638720375222</v>
      </c>
      <c r="K16" s="0" t="n">
        <f aca="false">-K12</f>
        <v>272.125308022645</v>
      </c>
      <c r="L16" s="0" t="n">
        <f aca="false">-L12</f>
        <v>275.526874372929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-86.2819125</v>
      </c>
      <c r="D17" s="4" t="n">
        <f aca="false">-D6*Assumptions!D46/100</f>
        <v>-94.047284625</v>
      </c>
      <c r="E17" s="4" t="n">
        <f aca="false">-E6*Assumptions!E46/100</f>
        <v>-101.571067395</v>
      </c>
      <c r="F17" s="4" t="n">
        <f aca="false">-F6*Assumptions!F46/100</f>
        <v>-108.68104211265</v>
      </c>
      <c r="G17" s="4" t="n">
        <f aca="false">-G6*Assumptions!G46/100</f>
        <v>-115.201904639409</v>
      </c>
      <c r="H17" s="4" t="n">
        <f aca="false">-H6*Assumptions!H46/100</f>
        <v>-120.961999871379</v>
      </c>
      <c r="I17" s="4" t="n">
        <f aca="false">-I6*Assumptions!I46/100</f>
        <v>-126.405289865592</v>
      </c>
      <c r="J17" s="4" t="n">
        <f aca="false">-J6*Assumptions!J46/100</f>
        <v>-131.461501460215</v>
      </c>
      <c r="K17" s="4" t="n">
        <f aca="false">-K6*Assumptions!K46/100</f>
        <v>-136.062654011323</v>
      </c>
      <c r="L17" s="4" t="n">
        <f aca="false">-L6*Assumptions!L46/100</f>
        <v>-140.824846901719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-44.083125</v>
      </c>
      <c r="D18" s="4" t="n">
        <f aca="false">(D6-C6)*Assumptions!$B$51/100</f>
        <v>-50.6437312500001</v>
      </c>
      <c r="E18" s="4" t="n">
        <f aca="false">(E6-D6)*Assumptions!$B$51/100</f>
        <v>-49.0681485000001</v>
      </c>
      <c r="F18" s="4" t="n">
        <f aca="false">(F6-E6)*Assumptions!$B$51/100</f>
        <v>-46.3694003325</v>
      </c>
      <c r="G18" s="4" t="n">
        <f aca="false">(G6-F6)*Assumptions!$B$51/100</f>
        <v>-42.52736430495</v>
      </c>
      <c r="H18" s="4" t="n">
        <f aca="false">(H6-G6)*Assumptions!$B$51/100</f>
        <v>-37.5658384693726</v>
      </c>
      <c r="I18" s="4" t="n">
        <f aca="false">(I6-H6)*Assumptions!$B$51/100</f>
        <v>-35.499717353557</v>
      </c>
      <c r="J18" s="4" t="n">
        <f aca="false">(J6-I6)*Assumptions!$B$51/100</f>
        <v>-32.9752930084152</v>
      </c>
      <c r="K18" s="4" t="n">
        <f aca="false">(K6-J6)*Assumptions!$B$51/100</f>
        <v>-30.0075166376578</v>
      </c>
      <c r="L18" s="4" t="n">
        <f aca="false">(L6-K6)*Assumptions!$B$51/100</f>
        <v>-31.0577797199758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701.054974125</v>
      </c>
      <c r="D19" s="0" t="n">
        <f aca="false">D15+D16+D17+D18</f>
        <v>782.08363891875</v>
      </c>
      <c r="E19" s="0" t="n">
        <f aca="false">E15+E16+E17+E18</f>
        <v>862.311374701875</v>
      </c>
      <c r="F19" s="0" t="n">
        <f aca="false">F15+F16+F17+F18</f>
        <v>944.99071424289</v>
      </c>
      <c r="G19" s="0" t="n">
        <f aca="false">G15+G16+G17+G18</f>
        <v>1015.62717370033</v>
      </c>
      <c r="H19" s="0" t="n">
        <f aca="false">H15+H16+H17+H18</f>
        <v>1085.25077729324</v>
      </c>
      <c r="I19" s="0" t="n">
        <f aca="false">I15+I16+I17+I18</f>
        <v>1145.04325175855</v>
      </c>
      <c r="J19" s="0" t="n">
        <f aca="false">J15+J16+J17+J18</f>
        <v>1200.07643351386</v>
      </c>
      <c r="K19" s="0" t="n">
        <f aca="false">K15+K16+K17+K18</f>
        <v>1244.84039377278</v>
      </c>
      <c r="L19" s="0" t="n">
        <f aca="false">L15+L16+L17+L18</f>
        <v>1287.00155908581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646.133616705069</v>
      </c>
      <c r="D21" s="0" t="n">
        <f aca="false">D19*D20</f>
        <v>664.345081797235</v>
      </c>
      <c r="E21" s="0" t="n">
        <f aca="false">E19*E20</f>
        <v>675.110558623033</v>
      </c>
      <c r="F21" s="0" t="n">
        <f aca="false">F19*F20</f>
        <v>681.880998269676</v>
      </c>
      <c r="G21" s="0" t="n">
        <f aca="false">G19*G20</f>
        <v>675.438203636777</v>
      </c>
      <c r="H21" s="0" t="n">
        <f aca="false">H19*H20</f>
        <v>665.199135999161</v>
      </c>
      <c r="I21" s="0" t="n">
        <f aca="false">I19*I20</f>
        <v>646.865105692905</v>
      </c>
      <c r="J21" s="0" t="n">
        <f aca="false">J19*J20</f>
        <v>624.843133855617</v>
      </c>
      <c r="K21" s="0" t="n">
        <f aca="false">K19*K20</f>
        <v>597.373603982717</v>
      </c>
      <c r="L21" s="0" t="n">
        <f aca="false">L19*L20</f>
        <v>569.222018713399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6446.41145727559</v>
      </c>
    </row>
    <row r="31" customFormat="false" ht="15" hidden="false" customHeight="false" outlineLevel="0" collapsed="false">
      <c r="A31" s="0" t="s">
        <v>136</v>
      </c>
      <c r="B31" s="0" t="n">
        <f aca="false">L19</f>
        <v>1287.00155908581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24102.0291974252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23166.0280635446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23166.0280635446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10245.9963368412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16692.4077941168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15446.4077941168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209.017696808075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-0.0957486618729169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311.581616074908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456.42677645609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219.410232566276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11046.7633821532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84.7327007968166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121.114197106818</v>
      </c>
      <c r="C4" s="0" t="n">
        <f aca="false">B4/Assumptions!$B$2-1</f>
        <v>-0.476036352555405</v>
      </c>
      <c r="D4" s="4" t="n">
        <f aca="false">Assumptions!$B$24</f>
        <v>0.25</v>
      </c>
      <c r="E4" s="4" t="n">
        <f aca="false">DCF_Bear!$B$43</f>
        <v>128.709116810437</v>
      </c>
      <c r="F4" s="4" t="n">
        <f aca="false">DCF_Bear!$B$47</f>
        <v>51.9450572065004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170.992726878206</v>
      </c>
      <c r="C5" s="0" t="n">
        <f aca="false">B5/Assumptions!$B$2-1</f>
        <v>-0.26025210089463</v>
      </c>
      <c r="D5" s="4" t="n">
        <f aca="false">Assumptions!$B$38</f>
        <v>0.5</v>
      </c>
      <c r="E5" s="4" t="n">
        <f aca="false">DCF_Base!$B$43</f>
        <v>179.810409090991</v>
      </c>
      <c r="F5" s="4" t="n">
        <f aca="false">DCF_Base!$B$47</f>
        <v>70.9372478308166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209.017696808075</v>
      </c>
      <c r="C6" s="0" t="n">
        <f aca="false">B6/Assumptions!$B$2-1</f>
        <v>-0.0957486618729169</v>
      </c>
      <c r="D6" s="4" t="n">
        <f aca="false">Assumptions!$B$52</f>
        <v>0.25</v>
      </c>
      <c r="E6" s="4" t="n">
        <f aca="false">DCF_Bull!$B$43</f>
        <v>219.410232566276</v>
      </c>
      <c r="F6" s="4" t="n">
        <f aca="false">DCF_Bull!$B$47</f>
        <v>84.7327007968166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168.029336917827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176.935041889674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-0.375652634474432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708.766608389916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69.6380634162375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170.992726878206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156.138439621852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132.39716788301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114.270566899146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99.9839669069471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70.9372478308166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208.640112404518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208.640112404518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208.640112404518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208.640112404518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208.640112404518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184.367961981048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192.012718777505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192.012718777505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192.012718777505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192.012718777505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154.375089571689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162.044768328543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170.992726878206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176.889307857938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176.889307857938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131.939946304939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137.295173387366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143.41543291014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150.477270821033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158.716081717075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114.539559467295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118.409767205644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122.763750911286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127.698265777681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133.337711339275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2026-09-28T21:50:01Z</dcterms:created>
  <dc:creator>openpyxl</dc:creator>
  <dc:description/>
  <dc:language>en-NZ</dc:language>
  <cp:lastModifiedBy/>
  <dcterms:modified xsi:type="dcterms:W3CDTF">2026-09-28T21:50:01Z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