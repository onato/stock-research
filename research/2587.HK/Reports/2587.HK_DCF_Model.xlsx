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<sst xmlns="http://schemas.openxmlformats.org/spreadsheetml/2006/main" count="338" uniqueCount="158">
  <si>
    <t xml:space="preserve">Ticker</t>
  </si>
  <si>
    <t xml:space="preserve">2587.HK</t>
  </si>
  <si>
    <t xml:space="preserve">Company</t>
  </si>
  <si>
    <t xml:space="preserve">HealthyWay Inc.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</si>
  <si>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</si>
  <si>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</si>
  <si>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</si>
  <si>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</si>
  <si>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HKEX close (Friday);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</si>
  <si>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</si>
  <si>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</si>
  <si>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</si>
  <si>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</si>
  <si>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</si>
  <si>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</si>
  <si>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</si>
  <si>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</si>
  <si>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</si>
  <si>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</si>
  <si>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</si>
  <si>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</si>
  <si>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</si>
  <si>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2026-10-18T07:21:53Z</t>
  </si>
  <si>
    <t xml:space="preserve">Drivers file</t>
  </si>
  <si>
    <t xml:space="preserve">2587.HK_Drivers.json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</si>
  <si>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</si>
  <si>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</si>
  <si>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</si>
  <si>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sub-scale but profitable China digital-health B2B platform (content, real-world-study support, IT services for pharma and hospitals) with RMB217M of net cash, zero SBC, a receivables-heavy working-capital cycle and an AI product line that currently costs far more than it earns. Value the owner cash flows the existing business can produce as R&amp;D intensity normalises, charge working capital on growth, hold the share count flat, strip interest income and credit the cash once, and let a heavy bear weight carry the pivot, concentration and governance risks. The market is paying roughly net cash plus 2x EBITDA; the model's job is to say what the flows are worth and let the gap be the finding, not to back-solve the price.
key_risks_to_valuation: Reported cash (RMB232M, ~half the market cap) is held in PRC subsidiaries under an offshore holdco with contractual arrangements; the valuation credits it in full and is conditional on it being real and accessible to shareholders; Unexplained 92% price collapse since IPO including a ~50% fall in the first week of September 2026, after the H1 FY2026 interim; the June-2025 unwind traded ~700M shares/week against 877M in issue, consistent with margin-financed or controlling-shareholder forced selling -- information the filings do not contain; Baidu is 18.2% of revenue and sets content page-view fees unilaterally; it is also a 10.9% shareholder -- a renegotiation or exit is a two-sided hit; AI Digital Employee R&amp;D (RMB128M in H1 FY2026, 16.5% of revenue) for ~2% of sales; the base case assumes intensity normalises -- if management keeps spending at this rate, EBITDA stays near 3% and the base IV falls toward the bear; Working capital: receivables RMB317M (~75 days) against B2B pharma/hospital customers; a collections problem would turn the thin positive FCF negative; Tax: HNTE 15% status expired end-2025 and renewal is pending; loss means 25% statutory rate (bear path); China regulation of AI-assisted medical content, health data and pharma marketing sits directly on the revenue base; RMB/HKD: all flows in RMB against an HKD quote; a 5% RMB depreciation moves every HKD per-share value 5%; Thin liquidity after the 2025 unwind; the quoted price may not be achievable in size</t>
  </si>
  <si>
    <t xml:space="preserve">Data sources</t>
  </si>
  <si>
    <t xml:space="preserve">price: Yahoo Finance chart API at inputs.price_as_of (HKEX regular close); 52-week range 0.56-7.65; weekly history back to the Dec-2024 IPO used to characterise the drawdown
fx: Yahoo Finance CNYHKD=X at the date in inputs.fx_note
financials: 2587.HK_Metrics.csv (FY2023-FY2025 annual, H1 FY2024-H1 FY2026 interim, RMB millions); H1 FY2026 interim report (balance sheet, cash flow, notes 5-7, 13, 15) for anchors; FY2025 annual report (P&amp;L, cash flow, tax note 7, major customers, treasury shares, deferred tax note) for the FY0 flows and tax position
qualitative: 2587.HK_Analysis.json (2026-10-18)</t>
  </si>
  <si>
    <t xml:space="preserve">Scenario narrative: bear</t>
  </si>
  <si>
    <t xml:space="preserve">The AI pivot is an expensive narrative: R&amp;D stays above 15% of revenue through FY2027 for a product that remains a low-single-digit share of sales, and is then cut back. Baidu reprices page-view content fees it sets unilaterally; pharma marketing compliance tightening and discretionary IT budgets slow growth to 2% from FY2029. HNTE status is not renewed, cash tax rises to 22%, and receivables keep absorbing cash. EBITDA stalls at 4%. This case also stands in for the governance/float risks the DCF cannot model: the June-2025 unwind that turned over nearly the whole share count in three weeks, the unexplained September-2026 halving, and the offshore-holdco access to RMB cash.</t>
  </si>
  <si>
    <t xml:space="preserve">Scenario narrative: base</t>
  </si>
  <si>
    <t xml:space="preserve">Content/RWS and IT services for pharma companies and hospitals keep compounding off the hospital network (12,870 -&gt; 17,047 in six months) and the 578 paying corporate customers, decelerating from the H1 FY2026 +50% to high single digits by FY2029. The AI Digital Employee line grows from ~2% of revenue but stays a feature of the IT-services offering rather than a second business. R&amp;D intensity peaks in FY2026 and normalises toward 11-12% as revenue scales, letting EBITDA recover from the ~3% H1 FY2026 run-rate to 7.5% by FY2031. Growth consumes working capital at 10% of the revenue increase, so owner FCF is close to zero in FY2026 and builds thereafter. Cash tax ramps to 15% on the HNTE rate plus the R&amp;D super-deduction.</t>
  </si>
  <si>
    <t xml:space="preserve">Scenario narrative: bull</t>
  </si>
  <si>
    <t xml:space="preserve">The AI agents (medical assistants, health butlers, customised enterprise digital employees) convert the physician/hospital/pharma relationships into a scalable software line, with Baidu as distribution partner rather than price-setter; revenue grows 40%/28%/20% over FY2026-28 and the AI mix lifts group EBITDA to 11%. Enterprise contracts carry deposits so working-capital drag eases. Requires several independent things to go right -- AI commercial traction, Baidu alignment, margin discipline -- hence the 20%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</si>
  <si>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</si>
  <si>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</si>
  <si>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</si>
  <si>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</si>
  <si>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</si>
  <si>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</si>
  <si>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</si>
  <si>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</si>
  <si>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</si>
  <si>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</si>
  <si>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</si>
  <si>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</si>
  <si>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</si>
  <si>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</si>
  <si>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</si>
  <si>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</si>
  <si>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</si>
  <si>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</si>
  <si>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</si>
  <si>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</si>
  <si>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</si>
  <si>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</si>
  <si>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</si>
  <si>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</si>
  <si>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</si>
  <si>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</si>
  <si>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</si>
  <si>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</si>
  <si>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</si>
  <si>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</si>
  <si>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</si>
  <si>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</si>
  <si>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</si>
  <si>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</si>
  <si>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</si>
  <si>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</si>
  <si>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</si>
  <si>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</si>
  <si>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</si>
  <si>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</si>
  <si>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</si>
  <si>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</si>
  <si>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</si>
  <si>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</si>
  <si>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</si>
  <si>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</si>
  <si>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</si>
  <si>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</si>
  <si>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</si>
  <si>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</si>
  <si>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</si>
  <si>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</si>
  <si>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</si>
  <si>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</si>
  <si>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</si>
  <si>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</si>
  <si>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</si>
  <si>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</si>
  <si>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</si>
  <si>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</si>
  <si>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</si>
  <si>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</si>
  <si>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</si>
  <si>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</si>
  <si>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</si>
  <si>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</si>
  <si>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</si>
  <si>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2587.HK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</si>
  <si>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</si>
  <si>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</si>
  <si>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</si>
  <si>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</si>
  <si>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</si>
  <si>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</si>
  <si>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</si>
  <si>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</si>
  <si>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</si>
  <si>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</si>
  <si>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</si>
  <si>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</si>
  <si>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</si>
  <si>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</si>
  <si>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</si>
  <si>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</si>
  <si>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</si>
  <si>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</si>
  <si>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</si>
  <si>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</si>
  <si>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</si>
  <si>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</si>
  <si>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</si>
  <si>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</si>
  <si>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</si>
  <si>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</si>
  <si>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</si>
  <si>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</si>
  <si>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</si>
  <si>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</si>
  <si>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2587.HK owner-FCF component DCF: base case (millions, CNY)</t>
  </si>
  <si>
    <t xml:space="preserve">2587.HK owner-FCF component DCF: bull case (millions, CNY)</t>
  </si>
  <si>
    <t xml:space="preserve">2587.HK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</si>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</sst>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1244.458</v>
      </c>
      <c r="C2" s="0" t="n">
        <v>846.222</v>
      </c>
      <c r="D2" s="0" t="n">
        <v>398.236</v>
      </c>
      <c r="E2" s="0" t="n">
        <v>32</v>
      </c>
      <c r="F2" s="0" t="n">
        <v>7.16</v>
      </c>
      <c r="G2" s="0" t="n">
        <v>0.6</v>
      </c>
      <c r="H2" s="0" t="n">
        <v>26.702</v>
      </c>
      <c r="I2" s="0" t="n">
        <v>-313.882</v>
      </c>
      <c r="J2" s="0" t="n">
        <v>-25.2</v>
      </c>
      <c r="K2" s="0" t="n">
        <v>-0.44</v>
      </c>
      <c r="L2" s="0" t="n">
        <v>3.591</v>
      </c>
      <c r="M2" s="0" t="n">
        <v>39.067</v>
      </c>
      <c r="N2" s="0" t="n">
        <v>-35.476</v>
      </c>
      <c r="O2" s="0" t="n">
        <v>-1652.052</v>
      </c>
      <c r="R2" s="0" t="n">
        <v>89.02</v>
      </c>
      <c r="S2" s="0" t="n">
        <v>168.693</v>
      </c>
      <c r="T2" s="0" t="n">
        <v>699.783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1200.775</v>
      </c>
      <c r="C3" s="0" t="n">
        <v>834.864</v>
      </c>
      <c r="D3" s="0" t="n">
        <v>365.911</v>
      </c>
      <c r="E3" s="0" t="n">
        <v>30.5</v>
      </c>
      <c r="F3" s="0" t="n">
        <v>13.742</v>
      </c>
      <c r="G3" s="0" t="n">
        <v>1.1</v>
      </c>
      <c r="H3" s="0" t="n">
        <v>52.015</v>
      </c>
      <c r="I3" s="0" t="n">
        <v>-269.158</v>
      </c>
      <c r="J3" s="0" t="n">
        <v>-22.4</v>
      </c>
      <c r="K3" s="0" t="n">
        <v>-0.38</v>
      </c>
      <c r="L3" s="0" t="n">
        <v>56.698</v>
      </c>
      <c r="M3" s="0" t="n">
        <v>76.242</v>
      </c>
      <c r="N3" s="0" t="n">
        <v>-19.544</v>
      </c>
      <c r="O3" s="0" t="n">
        <v>231.788</v>
      </c>
      <c r="R3" s="0" t="n">
        <v>56.407</v>
      </c>
      <c r="S3" s="0" t="n">
        <v>260.229</v>
      </c>
      <c r="T3" s="0" t="n">
        <v>715.492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1562.518</v>
      </c>
      <c r="C4" s="0" t="n">
        <v>1086.225</v>
      </c>
      <c r="D4" s="0" t="n">
        <v>476.293</v>
      </c>
      <c r="E4" s="0" t="n">
        <v>30.5</v>
      </c>
      <c r="F4" s="0" t="n">
        <v>62.051</v>
      </c>
      <c r="G4" s="0" t="n">
        <v>4</v>
      </c>
      <c r="H4" s="0" t="n">
        <v>123.87</v>
      </c>
      <c r="I4" s="0" t="n">
        <v>54.338</v>
      </c>
      <c r="J4" s="0" t="n">
        <v>3.5</v>
      </c>
      <c r="K4" s="0" t="n">
        <v>0.06</v>
      </c>
      <c r="L4" s="0" t="n">
        <v>74.979</v>
      </c>
      <c r="M4" s="0" t="n">
        <v>34.775</v>
      </c>
      <c r="N4" s="0" t="n">
        <v>40.204</v>
      </c>
      <c r="O4" s="0" t="n">
        <v>282.814</v>
      </c>
      <c r="R4" s="0" t="n">
        <v>31.238</v>
      </c>
      <c r="S4" s="0" t="n">
        <v>271.512</v>
      </c>
      <c r="T4" s="0" t="n">
        <v>877.653</v>
      </c>
      <c r="U4" s="0" t="n">
        <v>0</v>
      </c>
      <c r="AA4" s="0" t="s">
        <v>18</v>
      </c>
      <c r="AB4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67</v>
      </c>
      <c r="B1" s="2" t="s">
        <v>68</v>
      </c>
    </row>
    <row r="2" customFormat="false" ht="15" hidden="false" customHeight="false" outlineLevel="0" collapsed="false">
      <c r="A2" s="0" t="s">
        <v>69</v>
      </c>
      <c r="B2" s="3" t="n">
        <v>0.6</v>
      </c>
    </row>
    <row r="3" customFormat="false" ht="15" hidden="false" customHeight="false" outlineLevel="0" collapsed="false">
      <c r="A3" s="0" t="s">
        <v>70</v>
      </c>
      <c r="B3" s="3" t="n">
        <v>874.271</v>
      </c>
    </row>
    <row r="4" customFormat="false" ht="15" hidden="false" customHeight="false" outlineLevel="0" collapsed="false">
      <c r="A4" s="0" t="s">
        <v>71</v>
      </c>
      <c r="B4" s="3" t="n">
        <v>-216.822</v>
      </c>
    </row>
    <row r="5" customFormat="false" ht="15" hidden="false" customHeight="false" outlineLevel="0" collapsed="false">
      <c r="A5" s="0" t="s">
        <v>72</v>
      </c>
      <c r="B5" s="3" t="n">
        <v>0.0709999999999997</v>
      </c>
    </row>
    <row r="6" customFormat="false" ht="15" hidden="false" customHeight="false" outlineLevel="0" collapsed="false">
      <c r="A6" s="0" t="s">
        <v>73</v>
      </c>
      <c r="B6" s="3" t="n">
        <v>15</v>
      </c>
    </row>
    <row r="7" customFormat="false" ht="15" hidden="false" customHeight="false" outlineLevel="0" collapsed="false">
      <c r="A7" s="0" t="s">
        <v>74</v>
      </c>
      <c r="B7" s="3" t="n">
        <v>1562.518</v>
      </c>
    </row>
    <row r="8" customFormat="false" ht="15" hidden="false" customHeight="false" outlineLevel="0" collapsed="false">
      <c r="A8" s="0" t="s">
        <v>75</v>
      </c>
      <c r="B8" s="3" t="s">
        <v>66</v>
      </c>
    </row>
    <row r="9" customFormat="false" ht="15" hidden="false" customHeight="false" outlineLevel="0" collapsed="false">
      <c r="A9" s="0" t="s">
        <v>76</v>
      </c>
      <c r="B9" s="3" t="s">
        <v>77</v>
      </c>
    </row>
    <row r="10" customFormat="false" ht="15" hidden="false" customHeight="false" outlineLevel="0" collapsed="false">
      <c r="A10" s="0" t="s">
        <v>78</v>
      </c>
      <c r="B10" s="3" t="n">
        <v>1.1724</v>
      </c>
    </row>
    <row r="12" customFormat="false" ht="15" hidden="false" customHeight="false" outlineLevel="0" collapsed="false">
      <c r="A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  <c r="J12" s="2" t="s">
        <v>87</v>
      </c>
      <c r="K12" s="2" t="s">
        <v>88</v>
      </c>
      <c r="L12" s="2" t="s">
        <v>89</v>
      </c>
    </row>
    <row r="13" customFormat="false" ht="15" hidden="false" customHeight="false" outlineLevel="0" collapsed="false">
      <c r="A13" s="0" t="s">
        <v>90</v>
      </c>
      <c r="C13" s="3" t="n">
        <v>20</v>
      </c>
      <c r="D13" s="3" t="n">
        <v>8</v>
      </c>
      <c r="E13" s="3" t="n">
        <v>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91</v>
      </c>
      <c r="C14" s="3" t="n">
        <v>2.5</v>
      </c>
      <c r="D14" s="3" t="n">
        <v>3</v>
      </c>
      <c r="E14" s="3" t="n">
        <v>3.5</v>
      </c>
      <c r="F14" s="3" t="n">
        <v>4</v>
      </c>
      <c r="G14" s="3" t="n">
        <v>4</v>
      </c>
      <c r="H14" s="3" t="n">
        <v>4</v>
      </c>
      <c r="I14" s="3" t="n">
        <v>4</v>
      </c>
      <c r="J14" s="3" t="n">
        <v>4</v>
      </c>
      <c r="K14" s="3" t="n">
        <v>4</v>
      </c>
      <c r="L14" s="3" t="n">
        <v>4</v>
      </c>
    </row>
    <row r="15" customFormat="false" ht="15" hidden="false" customHeight="false" outlineLevel="0" collapsed="false">
      <c r="A15" s="0" t="s">
        <v>92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93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94</v>
      </c>
      <c r="C17" s="3" t="n">
        <v>0.9</v>
      </c>
      <c r="D17" s="3" t="n">
        <v>0.8</v>
      </c>
      <c r="E17" s="3" t="n">
        <v>0.8</v>
      </c>
      <c r="F17" s="3" t="n">
        <v>0.8</v>
      </c>
      <c r="G17" s="3" t="n">
        <v>0.8</v>
      </c>
      <c r="H17" s="3" t="n">
        <v>0.8</v>
      </c>
      <c r="I17" s="3" t="n">
        <v>0.8</v>
      </c>
      <c r="J17" s="3" t="n">
        <v>0.8</v>
      </c>
      <c r="K17" s="3" t="n">
        <v>0.8</v>
      </c>
      <c r="L17" s="3" t="n">
        <v>0.8</v>
      </c>
    </row>
    <row r="18" customFormat="false" ht="15" hidden="false" customHeight="false" outlineLevel="0" collapsed="false">
      <c r="A18" s="0" t="s">
        <v>95</v>
      </c>
      <c r="C18" s="3" t="n">
        <v>0.5</v>
      </c>
      <c r="D18" s="3" t="n">
        <v>0.8</v>
      </c>
      <c r="E18" s="3" t="n">
        <v>0.8</v>
      </c>
      <c r="F18" s="3" t="n">
        <v>0.8</v>
      </c>
      <c r="G18" s="3" t="n">
        <v>0.8</v>
      </c>
      <c r="H18" s="3" t="n">
        <v>0.8</v>
      </c>
      <c r="I18" s="3" t="n">
        <v>0.8</v>
      </c>
      <c r="J18" s="3" t="n">
        <v>0.8</v>
      </c>
      <c r="K18" s="3" t="n">
        <v>0.8</v>
      </c>
      <c r="L18" s="3" t="n">
        <v>0.8</v>
      </c>
    </row>
    <row r="19" customFormat="false" ht="15" hidden="false" customHeight="false" outlineLevel="0" collapsed="false">
      <c r="A19" s="0" t="s">
        <v>96</v>
      </c>
      <c r="C19" s="3" t="n">
        <v>12</v>
      </c>
      <c r="D19" s="3" t="n">
        <v>15</v>
      </c>
      <c r="E19" s="3" t="n">
        <v>18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97</v>
      </c>
      <c r="B20" s="3" t="n">
        <v>12</v>
      </c>
    </row>
    <row r="21" customFormat="false" ht="15" hidden="false" customHeight="false" outlineLevel="0" collapsed="false">
      <c r="A21" s="0" t="s">
        <v>98</v>
      </c>
      <c r="B21" s="3" t="n">
        <v>2</v>
      </c>
    </row>
    <row r="22" customFormat="false" ht="15" hidden="false" customHeight="false" outlineLevel="0" collapsed="false">
      <c r="A22" s="0" t="s">
        <v>99</v>
      </c>
      <c r="B22" s="3" t="n">
        <v>12</v>
      </c>
    </row>
    <row r="23" customFormat="false" ht="15" hidden="false" customHeight="false" outlineLevel="0" collapsed="false">
      <c r="A23" s="0" t="s">
        <v>100</v>
      </c>
      <c r="B23" s="3" t="n">
        <v>-12</v>
      </c>
    </row>
    <row r="24" customFormat="false" ht="15" hidden="false" customHeight="false" outlineLevel="0" collapsed="false">
      <c r="A24" s="0" t="s">
        <v>101</v>
      </c>
      <c r="B24" s="3" t="n">
        <v>0.35</v>
      </c>
    </row>
    <row r="26" customFormat="false" ht="15" hidden="false" customHeight="false" outlineLevel="0" collapsed="false">
      <c r="A26" s="2" t="s">
        <v>102</v>
      </c>
      <c r="C26" s="2" t="s">
        <v>80</v>
      </c>
      <c r="D26" s="2" t="s">
        <v>81</v>
      </c>
      <c r="E26" s="2" t="s">
        <v>82</v>
      </c>
      <c r="F26" s="2" t="s">
        <v>83</v>
      </c>
      <c r="G26" s="2" t="s">
        <v>84</v>
      </c>
      <c r="H26" s="2" t="s">
        <v>85</v>
      </c>
      <c r="I26" s="2" t="s">
        <v>86</v>
      </c>
      <c r="J26" s="2" t="s">
        <v>87</v>
      </c>
      <c r="K26" s="2" t="s">
        <v>88</v>
      </c>
      <c r="L26" s="2" t="s">
        <v>89</v>
      </c>
    </row>
    <row r="27" customFormat="false" ht="15" hidden="false" customHeight="false" outlineLevel="0" collapsed="false">
      <c r="A27" s="0" t="s">
        <v>90</v>
      </c>
      <c r="C27" s="3" t="n">
        <v>30</v>
      </c>
      <c r="D27" s="3" t="n">
        <v>18</v>
      </c>
      <c r="E27" s="3" t="n">
        <v>12</v>
      </c>
      <c r="F27" s="3" t="n">
        <v>9</v>
      </c>
      <c r="G27" s="3" t="n">
        <v>7</v>
      </c>
      <c r="H27" s="3" t="n">
        <v>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91</v>
      </c>
      <c r="C28" s="3" t="n">
        <v>3.5</v>
      </c>
      <c r="D28" s="3" t="n">
        <v>4.5</v>
      </c>
      <c r="E28" s="3" t="n">
        <v>5.5</v>
      </c>
      <c r="F28" s="3" t="n">
        <v>6.5</v>
      </c>
      <c r="G28" s="3" t="n">
        <v>7</v>
      </c>
      <c r="H28" s="3" t="n">
        <v>7.5</v>
      </c>
      <c r="I28" s="3" t="n">
        <v>7.5</v>
      </c>
      <c r="J28" s="3" t="n">
        <v>7.5</v>
      </c>
      <c r="K28" s="3" t="n">
        <v>7.5</v>
      </c>
      <c r="L28" s="3" t="n">
        <v>7.5</v>
      </c>
    </row>
    <row r="29" customFormat="false" ht="15" hidden="false" customHeight="false" outlineLevel="0" collapsed="false">
      <c r="A29" s="0" t="s">
        <v>92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93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94</v>
      </c>
      <c r="C31" s="3" t="n">
        <v>0.9</v>
      </c>
      <c r="D31" s="3" t="n">
        <v>0.8</v>
      </c>
      <c r="E31" s="3" t="n">
        <v>0.8</v>
      </c>
      <c r="F31" s="3" t="n">
        <v>0.8</v>
      </c>
      <c r="G31" s="3" t="n">
        <v>0.8</v>
      </c>
      <c r="H31" s="3" t="n">
        <v>0.8</v>
      </c>
      <c r="I31" s="3" t="n">
        <v>0.8</v>
      </c>
      <c r="J31" s="3" t="n">
        <v>0.8</v>
      </c>
      <c r="K31" s="3" t="n">
        <v>0.8</v>
      </c>
      <c r="L31" s="3" t="n">
        <v>0.8</v>
      </c>
    </row>
    <row r="32" customFormat="false" ht="15" hidden="false" customHeight="false" outlineLevel="0" collapsed="false">
      <c r="A32" s="0" t="s">
        <v>95</v>
      </c>
      <c r="C32" s="3" t="n">
        <v>0.3</v>
      </c>
      <c r="D32" s="3" t="n">
        <v>0.5</v>
      </c>
      <c r="E32" s="3" t="n">
        <v>0.7</v>
      </c>
      <c r="F32" s="3" t="n">
        <v>0.8</v>
      </c>
      <c r="G32" s="3" t="n">
        <v>0.8</v>
      </c>
      <c r="H32" s="3" t="n">
        <v>0.8</v>
      </c>
      <c r="I32" s="3" t="n">
        <v>0.8</v>
      </c>
      <c r="J32" s="3" t="n">
        <v>0.8</v>
      </c>
      <c r="K32" s="3" t="n">
        <v>0.8</v>
      </c>
      <c r="L32" s="3" t="n">
        <v>0.8</v>
      </c>
    </row>
    <row r="33" customFormat="false" ht="15" hidden="false" customHeight="false" outlineLevel="0" collapsed="false">
      <c r="A33" s="0" t="s">
        <v>96</v>
      </c>
      <c r="C33" s="3" t="n">
        <v>10</v>
      </c>
      <c r="D33" s="3" t="n">
        <v>12</v>
      </c>
      <c r="E33" s="3" t="n">
        <v>14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97</v>
      </c>
      <c r="B34" s="3" t="n">
        <v>12</v>
      </c>
    </row>
    <row r="35" customFormat="false" ht="15" hidden="false" customHeight="false" outlineLevel="0" collapsed="false">
      <c r="A35" s="0" t="s">
        <v>98</v>
      </c>
      <c r="B35" s="3" t="n">
        <v>2.5</v>
      </c>
    </row>
    <row r="36" customFormat="false" ht="15" hidden="false" customHeight="false" outlineLevel="0" collapsed="false">
      <c r="A36" s="0" t="s">
        <v>99</v>
      </c>
      <c r="B36" s="3" t="n">
        <v>12</v>
      </c>
    </row>
    <row r="37" customFormat="false" ht="15" hidden="false" customHeight="false" outlineLevel="0" collapsed="false">
      <c r="A37" s="0" t="s">
        <v>100</v>
      </c>
      <c r="B37" s="3" t="n">
        <v>-10</v>
      </c>
    </row>
    <row r="38" customFormat="false" ht="15" hidden="false" customHeight="false" outlineLevel="0" collapsed="false">
      <c r="A38" s="0" t="s">
        <v>101</v>
      </c>
      <c r="B38" s="3" t="n">
        <v>0.45</v>
      </c>
    </row>
    <row r="40" customFormat="false" ht="15" hidden="false" customHeight="false" outlineLevel="0" collapsed="false">
      <c r="A40" s="2" t="s">
        <v>103</v>
      </c>
      <c r="C40" s="2" t="s">
        <v>80</v>
      </c>
      <c r="D40" s="2" t="s">
        <v>81</v>
      </c>
      <c r="E40" s="2" t="s">
        <v>82</v>
      </c>
      <c r="F40" s="2" t="s">
        <v>83</v>
      </c>
      <c r="G40" s="2" t="s">
        <v>84</v>
      </c>
      <c r="H40" s="2" t="s">
        <v>85</v>
      </c>
      <c r="I40" s="2" t="s">
        <v>86</v>
      </c>
      <c r="J40" s="2" t="s">
        <v>87</v>
      </c>
      <c r="K40" s="2" t="s">
        <v>88</v>
      </c>
      <c r="L40" s="2" t="s">
        <v>89</v>
      </c>
    </row>
    <row r="41" customFormat="false" ht="15" hidden="false" customHeight="false" outlineLevel="0" collapsed="false">
      <c r="A41" s="0" t="s">
        <v>90</v>
      </c>
      <c r="C41" s="3" t="n">
        <v>40</v>
      </c>
      <c r="D41" s="3" t="n">
        <v>28</v>
      </c>
      <c r="E41" s="3" t="n">
        <v>20</v>
      </c>
      <c r="F41" s="3" t="n">
        <v>15</v>
      </c>
      <c r="G41" s="3" t="n">
        <v>10</v>
      </c>
      <c r="H41" s="3" t="n">
        <v>7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91</v>
      </c>
      <c r="C42" s="3" t="n">
        <v>4.5</v>
      </c>
      <c r="D42" s="3" t="n">
        <v>6</v>
      </c>
      <c r="E42" s="3" t="n">
        <v>7.5</v>
      </c>
      <c r="F42" s="3" t="n">
        <v>9</v>
      </c>
      <c r="G42" s="3" t="n">
        <v>10</v>
      </c>
      <c r="H42" s="3" t="n">
        <v>10.5</v>
      </c>
      <c r="I42" s="3" t="n">
        <v>11</v>
      </c>
      <c r="J42" s="3" t="n">
        <v>11</v>
      </c>
      <c r="K42" s="3" t="n">
        <v>11</v>
      </c>
      <c r="L42" s="3" t="n">
        <v>11</v>
      </c>
    </row>
    <row r="43" customFormat="false" ht="15" hidden="false" customHeight="false" outlineLevel="0" collapsed="false">
      <c r="A43" s="0" t="s">
        <v>92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93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94</v>
      </c>
      <c r="C45" s="3" t="n">
        <v>0.9</v>
      </c>
      <c r="D45" s="3" t="n">
        <v>0.8</v>
      </c>
      <c r="E45" s="3" t="n">
        <v>0.8</v>
      </c>
      <c r="F45" s="3" t="n">
        <v>0.8</v>
      </c>
      <c r="G45" s="3" t="n">
        <v>0.8</v>
      </c>
      <c r="H45" s="3" t="n">
        <v>0.8</v>
      </c>
      <c r="I45" s="3" t="n">
        <v>0.8</v>
      </c>
      <c r="J45" s="3" t="n">
        <v>0.8</v>
      </c>
      <c r="K45" s="3" t="n">
        <v>0.8</v>
      </c>
      <c r="L45" s="3" t="n">
        <v>0.8</v>
      </c>
    </row>
    <row r="46" customFormat="false" ht="15" hidden="false" customHeight="false" outlineLevel="0" collapsed="false">
      <c r="A46" s="0" t="s">
        <v>95</v>
      </c>
      <c r="C46" s="3" t="n">
        <v>0.3</v>
      </c>
      <c r="D46" s="3" t="n">
        <v>0.5</v>
      </c>
      <c r="E46" s="3" t="n">
        <v>0.7</v>
      </c>
      <c r="F46" s="3" t="n">
        <v>0.8</v>
      </c>
      <c r="G46" s="3" t="n">
        <v>0.8</v>
      </c>
      <c r="H46" s="3" t="n">
        <v>0.8</v>
      </c>
      <c r="I46" s="3" t="n">
        <v>0.8</v>
      </c>
      <c r="J46" s="3" t="n">
        <v>0.8</v>
      </c>
      <c r="K46" s="3" t="n">
        <v>0.8</v>
      </c>
      <c r="L46" s="3" t="n">
        <v>0.8</v>
      </c>
    </row>
    <row r="47" customFormat="false" ht="15" hidden="false" customHeight="false" outlineLevel="0" collapsed="false">
      <c r="A47" s="0" t="s">
        <v>96</v>
      </c>
      <c r="C47" s="3" t="n">
        <v>10</v>
      </c>
      <c r="D47" s="3" t="n">
        <v>12</v>
      </c>
      <c r="E47" s="3" t="n">
        <v>14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97</v>
      </c>
      <c r="B48" s="3" t="n">
        <v>12</v>
      </c>
    </row>
    <row r="49" customFormat="false" ht="15" hidden="false" customHeight="false" outlineLevel="0" collapsed="false">
      <c r="A49" s="0" t="s">
        <v>98</v>
      </c>
      <c r="B49" s="3" t="n">
        <v>3</v>
      </c>
    </row>
    <row r="50" customFormat="false" ht="15" hidden="false" customHeight="false" outlineLevel="0" collapsed="false">
      <c r="A50" s="0" t="s">
        <v>99</v>
      </c>
      <c r="B50" s="3" t="n">
        <v>12</v>
      </c>
    </row>
    <row r="51" customFormat="false" ht="15" hidden="false" customHeight="false" outlineLevel="0" collapsed="false">
      <c r="A51" s="0" t="s">
        <v>100</v>
      </c>
      <c r="B51" s="3" t="n">
        <v>-8</v>
      </c>
    </row>
    <row r="52" customFormat="false" ht="15" hidden="false" customHeight="false" outlineLevel="0" collapsed="false">
      <c r="A52" s="0" t="s">
        <v>101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104</v>
      </c>
    </row>
    <row r="3" customFormat="false" ht="15" hidden="false" customHeight="false" outlineLevel="0" collapsed="false">
      <c r="A3" s="0" t="s">
        <v>105</v>
      </c>
      <c r="B3" s="0" t="s">
        <v>66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  <c r="J3" s="2" t="s">
        <v>87</v>
      </c>
      <c r="K3" s="2" t="s">
        <v>88</v>
      </c>
      <c r="L3" s="2" t="s">
        <v>89</v>
      </c>
    </row>
    <row r="4" customFormat="false" ht="15" hidden="false" customHeight="false" outlineLevel="0" collapsed="false">
      <c r="A4" s="0" t="s">
        <v>106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90</v>
      </c>
      <c r="C5" s="4" t="n">
        <f aca="false">Assumptions!C13</f>
        <v>20</v>
      </c>
      <c r="D5" s="4" t="n">
        <f aca="false">Assumptions!D13</f>
        <v>8</v>
      </c>
      <c r="E5" s="4" t="n">
        <f aca="false">Assumptions!E13</f>
        <v>4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1562.518</v>
      </c>
      <c r="C6" s="0" t="n">
        <f aca="false">B6*(1+C5/100)</f>
        <v>1875.0216</v>
      </c>
      <c r="D6" s="0" t="n">
        <f aca="false">C6*(1+D5/100)</f>
        <v>2025.023328</v>
      </c>
      <c r="E6" s="0" t="n">
        <f aca="false">D6*(1+E5/100)</f>
        <v>2106.02426112</v>
      </c>
      <c r="F6" s="0" t="n">
        <f aca="false">E6*(1+F5/100)</f>
        <v>2148.1447463424</v>
      </c>
      <c r="G6" s="0" t="n">
        <f aca="false">F6*(1+G5/100)</f>
        <v>2191.10764126925</v>
      </c>
      <c r="H6" s="0" t="n">
        <f aca="false">G6*(1+H5/100)</f>
        <v>2234.92979409463</v>
      </c>
      <c r="I6" s="0" t="n">
        <f aca="false">H6*(1+I5/100)</f>
        <v>2279.62838997653</v>
      </c>
      <c r="J6" s="0" t="n">
        <f aca="false">I6*(1+J5/100)</f>
        <v>2325.22095777606</v>
      </c>
      <c r="K6" s="0" t="n">
        <f aca="false">J6*(1+K5/100)</f>
        <v>2371.72537693158</v>
      </c>
      <c r="L6" s="0" t="n">
        <f aca="false">K6*(1+L5/100)</f>
        <v>2419.15988447021</v>
      </c>
    </row>
    <row r="7" customFormat="false" ht="15" hidden="false" customHeight="false" outlineLevel="0" collapsed="false">
      <c r="A7" s="0" t="s">
        <v>91</v>
      </c>
      <c r="C7" s="4" t="n">
        <f aca="false">Assumptions!C14</f>
        <v>2.5</v>
      </c>
      <c r="D7" s="4" t="n">
        <f aca="false">Assumptions!D14</f>
        <v>3</v>
      </c>
      <c r="E7" s="4" t="n">
        <f aca="false">Assumptions!E14</f>
        <v>3.5</v>
      </c>
      <c r="F7" s="4" t="n">
        <f aca="false">Assumptions!F14</f>
        <v>4</v>
      </c>
      <c r="G7" s="4" t="n">
        <f aca="false">Assumptions!G14</f>
        <v>4</v>
      </c>
      <c r="H7" s="4" t="n">
        <f aca="false">Assumptions!H14</f>
        <v>4</v>
      </c>
      <c r="I7" s="4" t="n">
        <f aca="false">Assumptions!I14</f>
        <v>4</v>
      </c>
      <c r="J7" s="4" t="n">
        <f aca="false">Assumptions!J14</f>
        <v>4</v>
      </c>
      <c r="K7" s="4" t="n">
        <f aca="false">Assumptions!K14</f>
        <v>4</v>
      </c>
      <c r="L7" s="4" t="n">
        <f aca="false">Assumptions!L14</f>
        <v>4</v>
      </c>
    </row>
    <row r="8" customFormat="false" ht="15" hidden="false" customHeight="false" outlineLevel="0" collapsed="false">
      <c r="A8" s="0" t="s">
        <v>44</v>
      </c>
      <c r="C8" s="0" t="n">
        <f aca="false">C6*C7/100</f>
        <v>46.87554</v>
      </c>
      <c r="D8" s="0" t="n">
        <f aca="false">D6*D7/100</f>
        <v>60.75069984</v>
      </c>
      <c r="E8" s="0" t="n">
        <f aca="false">E6*E7/100</f>
        <v>73.7108491392</v>
      </c>
      <c r="F8" s="0" t="n">
        <f aca="false">F6*F7/100</f>
        <v>85.925789853696</v>
      </c>
      <c r="G8" s="0" t="n">
        <f aca="false">G6*G7/100</f>
        <v>87.6443056507699</v>
      </c>
      <c r="H8" s="0" t="n">
        <f aca="false">H6*H7/100</f>
        <v>89.3971917637853</v>
      </c>
      <c r="I8" s="0" t="n">
        <f aca="false">I6*I7/100</f>
        <v>91.185135599061</v>
      </c>
      <c r="J8" s="0" t="n">
        <f aca="false">J6*J7/100</f>
        <v>93.0088383110423</v>
      </c>
      <c r="K8" s="0" t="n">
        <f aca="false">K6*K7/100</f>
        <v>94.8690150772631</v>
      </c>
      <c r="L8" s="0" t="n">
        <f aca="false">L6*L7/100</f>
        <v>96.7663953788084</v>
      </c>
    </row>
    <row r="9" customFormat="false" ht="15" hidden="false" customHeight="false" outlineLevel="0" collapsed="false">
      <c r="A9" s="0" t="s">
        <v>92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107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108</v>
      </c>
      <c r="C11" s="0" t="n">
        <f aca="false">C8+C10+C24</f>
        <v>42.187986</v>
      </c>
      <c r="D11" s="0" t="n">
        <f aca="false">D8+D10+D24</f>
        <v>55.68814152</v>
      </c>
      <c r="E11" s="0" t="n">
        <f aca="false">E8+E10+E24</f>
        <v>68.4457884864</v>
      </c>
      <c r="F11" s="0" t="n">
        <f aca="false">F8+F10+F24</f>
        <v>80.55542798784</v>
      </c>
      <c r="G11" s="0" t="n">
        <f aca="false">G8+G10+G24</f>
        <v>82.1665365475968</v>
      </c>
      <c r="H11" s="0" t="n">
        <f aca="false">H8+H10+H24</f>
        <v>83.8098672785487</v>
      </c>
      <c r="I11" s="0" t="n">
        <f aca="false">I8+I10+I24</f>
        <v>85.4860646241197</v>
      </c>
      <c r="J11" s="0" t="n">
        <f aca="false">J8+J10+J24</f>
        <v>87.1957859166021</v>
      </c>
      <c r="K11" s="0" t="n">
        <f aca="false">K8+K10+K24</f>
        <v>88.9397016349342</v>
      </c>
      <c r="L11" s="0" t="n">
        <f aca="false">L8+L10+L24</f>
        <v>90.7184956676329</v>
      </c>
    </row>
    <row r="12" customFormat="false" ht="15" hidden="false" customHeight="false" outlineLevel="0" collapsed="false">
      <c r="A12" s="0" t="s">
        <v>109</v>
      </c>
      <c r="C12" s="4" t="n">
        <f aca="false">-C6*Assumptions!C17/100</f>
        <v>-16.8751944</v>
      </c>
      <c r="D12" s="4" t="n">
        <f aca="false">-D6*Assumptions!D17/100</f>
        <v>-16.200186624</v>
      </c>
      <c r="E12" s="4" t="n">
        <f aca="false">-E6*Assumptions!E17/100</f>
        <v>-16.84819408896</v>
      </c>
      <c r="F12" s="4" t="n">
        <f aca="false">-F6*Assumptions!F17/100</f>
        <v>-17.1851579707392</v>
      </c>
      <c r="G12" s="4" t="n">
        <f aca="false">-G6*Assumptions!G17/100</f>
        <v>-17.528861130154</v>
      </c>
      <c r="H12" s="4" t="n">
        <f aca="false">-H6*Assumptions!H17/100</f>
        <v>-17.8794383527571</v>
      </c>
      <c r="I12" s="4" t="n">
        <f aca="false">-I6*Assumptions!I17/100</f>
        <v>-18.2370271198122</v>
      </c>
      <c r="J12" s="4" t="n">
        <f aca="false">-J6*Assumptions!J17/100</f>
        <v>-18.6017676622085</v>
      </c>
      <c r="K12" s="4" t="n">
        <f aca="false">-K6*Assumptions!K17/100</f>
        <v>-18.9738030154526</v>
      </c>
      <c r="L12" s="4" t="n">
        <f aca="false">-L6*Assumptions!L17/100</f>
        <v>-19.3532790757617</v>
      </c>
    </row>
    <row r="13" customFormat="false" ht="15" hidden="false" customHeight="false" outlineLevel="0" collapsed="false">
      <c r="A13" s="0" t="s">
        <v>110</v>
      </c>
      <c r="C13" s="0" t="n">
        <f aca="false">C11+C12</f>
        <v>25.3127916</v>
      </c>
      <c r="D13" s="0" t="n">
        <f aca="false">D11+D12</f>
        <v>39.487954896</v>
      </c>
      <c r="E13" s="0" t="n">
        <f aca="false">E11+E12</f>
        <v>51.59759439744</v>
      </c>
      <c r="F13" s="0" t="n">
        <f aca="false">F11+F12</f>
        <v>63.3702700171008</v>
      </c>
      <c r="G13" s="0" t="n">
        <f aca="false">G11+G12</f>
        <v>64.6376754174428</v>
      </c>
      <c r="H13" s="0" t="n">
        <f aca="false">H11+H12</f>
        <v>65.9304289257917</v>
      </c>
      <c r="I13" s="0" t="n">
        <f aca="false">I11+I12</f>
        <v>67.2490375043075</v>
      </c>
      <c r="J13" s="0" t="n">
        <f aca="false">J11+J12</f>
        <v>68.5940182543937</v>
      </c>
      <c r="K13" s="0" t="n">
        <f aca="false">K11+K12</f>
        <v>69.9658986194815</v>
      </c>
      <c r="L13" s="0" t="n">
        <f aca="false">L11+L12</f>
        <v>71.3652165918712</v>
      </c>
    </row>
    <row r="14" customFormat="false" ht="15" hidden="false" customHeight="false" outlineLevel="0" collapsed="false">
      <c r="A14" s="0" t="s">
        <v>96</v>
      </c>
      <c r="C14" s="4" t="n">
        <f aca="false">Assumptions!C19</f>
        <v>12</v>
      </c>
      <c r="D14" s="4" t="n">
        <f aca="false">Assumptions!D19</f>
        <v>15</v>
      </c>
      <c r="E14" s="4" t="n">
        <f aca="false">Assumptions!E19</f>
        <v>18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111</v>
      </c>
      <c r="C15" s="0" t="n">
        <f aca="false">C13-MAX(0,C13)*C14/100</f>
        <v>22.275256608</v>
      </c>
      <c r="D15" s="0" t="n">
        <f aca="false">D13-MAX(0,D13)*D14/100</f>
        <v>33.5647616616</v>
      </c>
      <c r="E15" s="0" t="n">
        <f aca="false">E13-MAX(0,E13)*E14/100</f>
        <v>42.3100274059008</v>
      </c>
      <c r="F15" s="0" t="n">
        <f aca="false">F13-MAX(0,F13)*F14/100</f>
        <v>49.4288106133386</v>
      </c>
      <c r="G15" s="0" t="n">
        <f aca="false">G13-MAX(0,G13)*G14/100</f>
        <v>50.4173868256054</v>
      </c>
      <c r="H15" s="0" t="n">
        <f aca="false">H13-MAX(0,H13)*H14/100</f>
        <v>51.4257345621175</v>
      </c>
      <c r="I15" s="0" t="n">
        <f aca="false">I13-MAX(0,I13)*I14/100</f>
        <v>52.4542492533599</v>
      </c>
      <c r="J15" s="0" t="n">
        <f aca="false">J13-MAX(0,J13)*J14/100</f>
        <v>53.5033342384271</v>
      </c>
      <c r="K15" s="0" t="n">
        <f aca="false">K13-MAX(0,K13)*K14/100</f>
        <v>54.5734009231956</v>
      </c>
      <c r="L15" s="0" t="n">
        <f aca="false">L13-MAX(0,L13)*L14/100</f>
        <v>55.6648689416595</v>
      </c>
    </row>
    <row r="16" customFormat="false" ht="15" hidden="false" customHeight="false" outlineLevel="0" collapsed="false">
      <c r="A16" s="0" t="s">
        <v>112</v>
      </c>
      <c r="C16" s="0" t="n">
        <f aca="false">-C12</f>
        <v>16.8751944</v>
      </c>
      <c r="D16" s="0" t="n">
        <f aca="false">-D12</f>
        <v>16.200186624</v>
      </c>
      <c r="E16" s="0" t="n">
        <f aca="false">-E12</f>
        <v>16.84819408896</v>
      </c>
      <c r="F16" s="0" t="n">
        <f aca="false">-F12</f>
        <v>17.1851579707392</v>
      </c>
      <c r="G16" s="0" t="n">
        <f aca="false">-G12</f>
        <v>17.528861130154</v>
      </c>
      <c r="H16" s="0" t="n">
        <f aca="false">-H12</f>
        <v>17.8794383527571</v>
      </c>
      <c r="I16" s="0" t="n">
        <f aca="false">-I12</f>
        <v>18.2370271198122</v>
      </c>
      <c r="J16" s="0" t="n">
        <f aca="false">-J12</f>
        <v>18.6017676622085</v>
      </c>
      <c r="K16" s="0" t="n">
        <f aca="false">-K12</f>
        <v>18.9738030154526</v>
      </c>
      <c r="L16" s="0" t="n">
        <f aca="false">-L12</f>
        <v>19.3532790757617</v>
      </c>
    </row>
    <row r="17" customFormat="false" ht="15" hidden="false" customHeight="false" outlineLevel="0" collapsed="false">
      <c r="A17" s="0" t="s">
        <v>113</v>
      </c>
      <c r="C17" s="4" t="n">
        <f aca="false">-C6*Assumptions!C18/100</f>
        <v>-9.375108</v>
      </c>
      <c r="D17" s="4" t="n">
        <f aca="false">-D6*Assumptions!D18/100</f>
        <v>-16.200186624</v>
      </c>
      <c r="E17" s="4" t="n">
        <f aca="false">-E6*Assumptions!E18/100</f>
        <v>-16.84819408896</v>
      </c>
      <c r="F17" s="4" t="n">
        <f aca="false">-F6*Assumptions!F18/100</f>
        <v>-17.1851579707392</v>
      </c>
      <c r="G17" s="4" t="n">
        <f aca="false">-G6*Assumptions!G18/100</f>
        <v>-17.528861130154</v>
      </c>
      <c r="H17" s="4" t="n">
        <f aca="false">-H6*Assumptions!H18/100</f>
        <v>-17.8794383527571</v>
      </c>
      <c r="I17" s="4" t="n">
        <f aca="false">-I6*Assumptions!I18/100</f>
        <v>-18.2370271198122</v>
      </c>
      <c r="J17" s="4" t="n">
        <f aca="false">-J6*Assumptions!J18/100</f>
        <v>-18.6017676622085</v>
      </c>
      <c r="K17" s="4" t="n">
        <f aca="false">-K6*Assumptions!K18/100</f>
        <v>-18.9738030154526</v>
      </c>
      <c r="L17" s="4" t="n">
        <f aca="false">-L6*Assumptions!L18/100</f>
        <v>-19.3532790757617</v>
      </c>
    </row>
    <row r="18" customFormat="false" ht="15" hidden="false" customHeight="false" outlineLevel="0" collapsed="false">
      <c r="A18" s="0" t="s">
        <v>114</v>
      </c>
      <c r="C18" s="4" t="n">
        <f aca="false">(C6-B6)*Assumptions!$B$23/100</f>
        <v>-37.500432</v>
      </c>
      <c r="D18" s="4" t="n">
        <f aca="false">(D6-C6)*Assumptions!$B$23/100</f>
        <v>-18.00020736</v>
      </c>
      <c r="E18" s="4" t="n">
        <f aca="false">(E6-D6)*Assumptions!$B$23/100</f>
        <v>-9.72011197439999</v>
      </c>
      <c r="F18" s="4" t="n">
        <f aca="false">(F6-E6)*Assumptions!$B$23/100</f>
        <v>-5.054458226688</v>
      </c>
      <c r="G18" s="4" t="n">
        <f aca="false">(G6-F6)*Assumptions!$B$23/100</f>
        <v>-5.15554739122177</v>
      </c>
      <c r="H18" s="4" t="n">
        <f aca="false">(H6-G6)*Assumptions!$B$23/100</f>
        <v>-5.25865833904618</v>
      </c>
      <c r="I18" s="4" t="n">
        <f aca="false">(I6-H6)*Assumptions!$B$23/100</f>
        <v>-5.36383150582713</v>
      </c>
      <c r="J18" s="4" t="n">
        <f aca="false">(J6-I6)*Assumptions!$B$23/100</f>
        <v>-5.47110813594367</v>
      </c>
      <c r="K18" s="4" t="n">
        <f aca="false">(K6-J6)*Assumptions!$B$23/100</f>
        <v>-5.58053029866254</v>
      </c>
      <c r="L18" s="4" t="n">
        <f aca="false">(L6-K6)*Assumptions!$B$23/100</f>
        <v>-5.69214090463582</v>
      </c>
    </row>
    <row r="19" customFormat="false" ht="15" hidden="false" customHeight="false" outlineLevel="0" collapsed="false">
      <c r="A19" s="0" t="s">
        <v>115</v>
      </c>
      <c r="C19" s="0" t="n">
        <f aca="false">C15+C16+C17+C18</f>
        <v>-7.725088992</v>
      </c>
      <c r="D19" s="0" t="n">
        <f aca="false">D15+D16+D17+D18</f>
        <v>15.5645543016</v>
      </c>
      <c r="E19" s="0" t="n">
        <f aca="false">E15+E16+E17+E18</f>
        <v>32.5899154315008</v>
      </c>
      <c r="F19" s="0" t="n">
        <f aca="false">F15+F16+F17+F18</f>
        <v>44.3743523866506</v>
      </c>
      <c r="G19" s="0" t="n">
        <f aca="false">G15+G16+G17+G18</f>
        <v>45.2618394343836</v>
      </c>
      <c r="H19" s="0" t="n">
        <f aca="false">H15+H16+H17+H18</f>
        <v>46.1670762230713</v>
      </c>
      <c r="I19" s="0" t="n">
        <f aca="false">I15+I16+I17+I18</f>
        <v>47.0904177475327</v>
      </c>
      <c r="J19" s="0" t="n">
        <f aca="false">J15+J16+J17+J18</f>
        <v>48.0322261024834</v>
      </c>
      <c r="K19" s="0" t="n">
        <f aca="false">K15+K16+K17+K18</f>
        <v>48.9928706245331</v>
      </c>
      <c r="L19" s="0" t="n">
        <f aca="false">L15+L16+L17+L18</f>
        <v>49.9727280370237</v>
      </c>
    </row>
    <row r="20" customFormat="false" ht="15" hidden="false" customHeight="false" outlineLevel="0" collapsed="false">
      <c r="A20" s="0" t="s">
        <v>116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117</v>
      </c>
      <c r="C21" s="0" t="n">
        <f aca="false">C19*C20</f>
        <v>-6.89740088571429</v>
      </c>
      <c r="D21" s="0" t="n">
        <f aca="false">D19*D20</f>
        <v>12.4079673960459</v>
      </c>
      <c r="E21" s="0" t="n">
        <f aca="false">E19*E20</f>
        <v>23.1968580820517</v>
      </c>
      <c r="F21" s="0" t="n">
        <f aca="false">F19*F20</f>
        <v>28.200703159223</v>
      </c>
      <c r="G21" s="0" t="n">
        <f aca="false">G19*G20</f>
        <v>25.6827832342924</v>
      </c>
      <c r="H21" s="0" t="n">
        <f aca="false">H19*H20</f>
        <v>23.3896775883735</v>
      </c>
      <c r="I21" s="0" t="n">
        <f aca="false">I19*I20</f>
        <v>21.3013135179829</v>
      </c>
      <c r="J21" s="0" t="n">
        <f aca="false">J19*J20</f>
        <v>19.3994105253059</v>
      </c>
      <c r="K21" s="0" t="n">
        <f aca="false">K19*K20</f>
        <v>17.6673202998322</v>
      </c>
      <c r="L21" s="0" t="n">
        <f aca="false">L19*L20</f>
        <v>16.0898809873471</v>
      </c>
    </row>
    <row r="23" customFormat="false" ht="15" hidden="false" customHeight="false" outlineLevel="0" collapsed="false">
      <c r="A23" s="0" t="s">
        <v>93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118</v>
      </c>
      <c r="C24" s="0" t="n">
        <f aca="false">-C6*C23/100</f>
        <v>-4.687554</v>
      </c>
      <c r="D24" s="0" t="n">
        <f aca="false">-D6*D23/100</f>
        <v>-5.06255832</v>
      </c>
      <c r="E24" s="0" t="n">
        <f aca="false">-E6*E23/100</f>
        <v>-5.2650606528</v>
      </c>
      <c r="F24" s="0" t="n">
        <f aca="false">-F6*F23/100</f>
        <v>-5.370361865856</v>
      </c>
      <c r="G24" s="0" t="n">
        <f aca="false">-G6*G23/100</f>
        <v>-5.47776910317312</v>
      </c>
      <c r="H24" s="0" t="n">
        <f aca="false">-H6*H23/100</f>
        <v>-5.58732448523658</v>
      </c>
      <c r="I24" s="0" t="n">
        <f aca="false">-I6*I23/100</f>
        <v>-5.69907097494131</v>
      </c>
      <c r="J24" s="0" t="n">
        <f aca="false">-J6*J23/100</f>
        <v>-5.81305239444014</v>
      </c>
      <c r="K24" s="0" t="n">
        <f aca="false">-K6*K23/100</f>
        <v>-5.92931344232894</v>
      </c>
      <c r="L24" s="0" t="n">
        <f aca="false">-L6*L23/100</f>
        <v>-6.04789971117552</v>
      </c>
    </row>
    <row r="26" customFormat="false" ht="15" hidden="false" customHeight="false" outlineLevel="0" collapsed="false">
      <c r="A26" s="2" t="s">
        <v>119</v>
      </c>
    </row>
    <row r="27" customFormat="false" ht="15" hidden="false" customHeight="false" outlineLevel="0" collapsed="false">
      <c r="A27" s="0" t="s">
        <v>97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98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99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120</v>
      </c>
      <c r="B30" s="0" t="n">
        <f aca="false">SUM(C21:L21)</f>
        <v>180.43851390474</v>
      </c>
    </row>
    <row r="31" customFormat="false" ht="15" hidden="false" customHeight="false" outlineLevel="0" collapsed="false">
      <c r="A31" s="0" t="s">
        <v>121</v>
      </c>
      <c r="B31" s="0" t="n">
        <f aca="false">L19</f>
        <v>49.9727280370237</v>
      </c>
    </row>
    <row r="32" customFormat="false" ht="15" hidden="false" customHeight="false" outlineLevel="0" collapsed="false">
      <c r="A32" s="0" t="s">
        <v>122</v>
      </c>
      <c r="B32" s="0" t="n">
        <f aca="false">IF(B27&gt;B28,B31*(1+B28/100)/((B27-B28)/100),B31*B29)</f>
        <v>509.721825977642</v>
      </c>
    </row>
    <row r="33" customFormat="false" ht="15" hidden="false" customHeight="false" outlineLevel="0" collapsed="false">
      <c r="A33" s="0" t="s">
        <v>123</v>
      </c>
      <c r="B33" s="0" t="n">
        <f aca="false">B31*B29</f>
        <v>599.672736444284</v>
      </c>
    </row>
    <row r="34" customFormat="false" ht="15" hidden="false" customHeight="false" outlineLevel="0" collapsed="false">
      <c r="A34" s="0" t="s">
        <v>124</v>
      </c>
      <c r="B34" s="0" t="n">
        <f aca="false">MAX(0,MIN(B32,B33))</f>
        <v>509.721825977642</v>
      </c>
    </row>
    <row r="35" customFormat="false" ht="15" hidden="false" customHeight="false" outlineLevel="0" collapsed="false">
      <c r="A35" s="0" t="s">
        <v>125</v>
      </c>
      <c r="B35" s="0" t="n">
        <f aca="false">B34/(1+B27/100)^L4</f>
        <v>164.116786070941</v>
      </c>
    </row>
    <row r="36" customFormat="false" ht="15" hidden="false" customHeight="false" outlineLevel="0" collapsed="false">
      <c r="A36" s="0" t="s">
        <v>126</v>
      </c>
      <c r="B36" s="0" t="n">
        <f aca="false">B30+B35</f>
        <v>344.555299975681</v>
      </c>
    </row>
    <row r="37" customFormat="false" ht="15" hidden="false" customHeight="false" outlineLevel="0" collapsed="false">
      <c r="A37" s="0" t="s">
        <v>127</v>
      </c>
      <c r="B37" s="0" t="n">
        <f aca="false">B36+Assumptions!$B$5-Assumptions!$B$4</f>
        <v>561.448299975681</v>
      </c>
    </row>
    <row r="38" customFormat="false" ht="15" hidden="false" customHeight="false" outlineLevel="0" collapsed="false">
      <c r="A38" s="0" t="s">
        <v>128</v>
      </c>
      <c r="B38" s="0" t="n">
        <f aca="false">B37/Assumptions!$B$3*Assumptions!$B$10</f>
        <v>0.75290383289791</v>
      </c>
    </row>
    <row r="39" customFormat="false" ht="15" hidden="false" customHeight="false" outlineLevel="0" collapsed="false">
      <c r="A39" s="0" t="s">
        <v>129</v>
      </c>
      <c r="B39" s="4" t="n">
        <f aca="false">B38/Assumptions!$B$2-1</f>
        <v>0.254839721496517</v>
      </c>
    </row>
    <row r="41" customFormat="false" ht="15" hidden="false" customHeight="false" outlineLevel="0" collapsed="false">
      <c r="A41" s="0" t="s">
        <v>130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132</v>
      </c>
      <c r="B43" s="0" t="n">
        <f aca="false">(B37+B41+B42)/Assumptions!$B$3*Assumptions!$B$10</f>
        <v>0.75290383289791</v>
      </c>
    </row>
    <row r="45" customFormat="false" ht="15" hidden="false" customHeight="false" outlineLevel="0" collapsed="false">
      <c r="A45" s="0" t="s">
        <v>73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133</v>
      </c>
      <c r="B46" s="0" t="n">
        <f aca="false">MAX(0,MIN(IF(B45&gt;B28,B31*(1+B28/100)/((B45-B28)/100),B31*B29),B31*B29))</f>
        <v>392.093712290494</v>
      </c>
    </row>
    <row r="47" customFormat="false" ht="15" hidden="false" customHeight="false" outlineLevel="0" collapsed="false">
      <c r="A47" s="0" t="s">
        <v>134</v>
      </c>
      <c r="B47" s="0" t="n">
        <f aca="false">(SUMPRODUCT(C19:L19/(1+B45/100)^C4:L4)+B46/(1+B45/100)^L4+Assumptions!$B$5-Assumptions!$B$4)/Assumptions!$B$3*Assumptions!$B$10</f>
        <v>0.627335038421562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135</v>
      </c>
    </row>
    <row r="3" customFormat="false" ht="15" hidden="false" customHeight="false" outlineLevel="0" collapsed="false">
      <c r="A3" s="0" t="s">
        <v>105</v>
      </c>
      <c r="B3" s="0" t="s">
        <v>66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  <c r="J3" s="2" t="s">
        <v>87</v>
      </c>
      <c r="K3" s="2" t="s">
        <v>88</v>
      </c>
      <c r="L3" s="2" t="s">
        <v>89</v>
      </c>
    </row>
    <row r="4" customFormat="false" ht="15" hidden="false" customHeight="false" outlineLevel="0" collapsed="false">
      <c r="A4" s="0" t="s">
        <v>106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90</v>
      </c>
      <c r="C5" s="4" t="n">
        <f aca="false">Assumptions!C27</f>
        <v>30</v>
      </c>
      <c r="D5" s="4" t="n">
        <f aca="false">Assumptions!D27</f>
        <v>18</v>
      </c>
      <c r="E5" s="4" t="n">
        <f aca="false">Assumptions!E27</f>
        <v>12</v>
      </c>
      <c r="F5" s="4" t="n">
        <f aca="false">Assumptions!F27</f>
        <v>9</v>
      </c>
      <c r="G5" s="4" t="n">
        <f aca="false">Assumptions!G27</f>
        <v>7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1562.518</v>
      </c>
      <c r="C6" s="0" t="n">
        <f aca="false">B6*(1+C5/100)</f>
        <v>2031.2734</v>
      </c>
      <c r="D6" s="0" t="n">
        <f aca="false">C6*(1+D5/100)</f>
        <v>2396.902612</v>
      </c>
      <c r="E6" s="0" t="n">
        <f aca="false">D6*(1+E5/100)</f>
        <v>2684.53092544</v>
      </c>
      <c r="F6" s="0" t="n">
        <f aca="false">E6*(1+F5/100)</f>
        <v>2926.1387087296</v>
      </c>
      <c r="G6" s="0" t="n">
        <f aca="false">F6*(1+G5/100)</f>
        <v>3130.96841834067</v>
      </c>
      <c r="H6" s="0" t="n">
        <f aca="false">G6*(1+H5/100)</f>
        <v>3287.51683925771</v>
      </c>
      <c r="I6" s="0" t="n">
        <f aca="false">H6*(1+I5/100)</f>
        <v>3419.01751282801</v>
      </c>
      <c r="J6" s="0" t="n">
        <f aca="false">I6*(1+J5/100)</f>
        <v>3538.68312577699</v>
      </c>
      <c r="K6" s="0" t="n">
        <f aca="false">J6*(1+K5/100)</f>
        <v>3644.8436195503</v>
      </c>
      <c r="L6" s="0" t="n">
        <f aca="false">K6*(1+L5/100)</f>
        <v>3754.18892813681</v>
      </c>
    </row>
    <row r="7" customFormat="false" ht="15" hidden="false" customHeight="false" outlineLevel="0" collapsed="false">
      <c r="A7" s="0" t="s">
        <v>91</v>
      </c>
      <c r="C7" s="4" t="n">
        <f aca="false">Assumptions!C28</f>
        <v>3.5</v>
      </c>
      <c r="D7" s="4" t="n">
        <f aca="false">Assumptions!D28</f>
        <v>4.5</v>
      </c>
      <c r="E7" s="4" t="n">
        <f aca="false">Assumptions!E28</f>
        <v>5.5</v>
      </c>
      <c r="F7" s="4" t="n">
        <f aca="false">Assumptions!F28</f>
        <v>6.5</v>
      </c>
      <c r="G7" s="4" t="n">
        <f aca="false">Assumptions!G28</f>
        <v>7</v>
      </c>
      <c r="H7" s="4" t="n">
        <f aca="false">Assumptions!H28</f>
        <v>7.5</v>
      </c>
      <c r="I7" s="4" t="n">
        <f aca="false">Assumptions!I28</f>
        <v>7.5</v>
      </c>
      <c r="J7" s="4" t="n">
        <f aca="false">Assumptions!J28</f>
        <v>7.5</v>
      </c>
      <c r="K7" s="4" t="n">
        <f aca="false">Assumptions!K28</f>
        <v>7.5</v>
      </c>
      <c r="L7" s="4" t="n">
        <f aca="false">Assumptions!L28</f>
        <v>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71.094569</v>
      </c>
      <c r="D8" s="0" t="n">
        <f aca="false">D6*D7/100</f>
        <v>107.86061754</v>
      </c>
      <c r="E8" s="0" t="n">
        <f aca="false">E6*E7/100</f>
        <v>147.6492008992</v>
      </c>
      <c r="F8" s="0" t="n">
        <f aca="false">F6*F7/100</f>
        <v>190.199016067424</v>
      </c>
      <c r="G8" s="0" t="n">
        <f aca="false">G6*G7/100</f>
        <v>219.167789283847</v>
      </c>
      <c r="H8" s="0" t="n">
        <f aca="false">H6*H7/100</f>
        <v>246.563762944328</v>
      </c>
      <c r="I8" s="0" t="n">
        <f aca="false">I6*I7/100</f>
        <v>256.426313462101</v>
      </c>
      <c r="J8" s="0" t="n">
        <f aca="false">J6*J7/100</f>
        <v>265.401234433275</v>
      </c>
      <c r="K8" s="0" t="n">
        <f aca="false">K6*K7/100</f>
        <v>273.363271466273</v>
      </c>
      <c r="L8" s="0" t="n">
        <f aca="false">L6*L7/100</f>
        <v>281.564169610261</v>
      </c>
    </row>
    <row r="9" customFormat="false" ht="15" hidden="false" customHeight="false" outlineLevel="0" collapsed="false">
      <c r="A9" s="0" t="s">
        <v>92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107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108</v>
      </c>
      <c r="C11" s="0" t="n">
        <f aca="false">C8+C10+C24</f>
        <v>66.0163855</v>
      </c>
      <c r="D11" s="0" t="n">
        <f aca="false">D8+D10+D24</f>
        <v>101.86836101</v>
      </c>
      <c r="E11" s="0" t="n">
        <f aca="false">E8+E10+E24</f>
        <v>140.9378735856</v>
      </c>
      <c r="F11" s="0" t="n">
        <f aca="false">F8+F10+F24</f>
        <v>182.8836692956</v>
      </c>
      <c r="G11" s="0" t="n">
        <f aca="false">G8+G10+G24</f>
        <v>211.340368237995</v>
      </c>
      <c r="H11" s="0" t="n">
        <f aca="false">H8+H10+H24</f>
        <v>238.344970846184</v>
      </c>
      <c r="I11" s="0" t="n">
        <f aca="false">I8+I10+I24</f>
        <v>247.878769680031</v>
      </c>
      <c r="J11" s="0" t="n">
        <f aca="false">J8+J10+J24</f>
        <v>256.554526618832</v>
      </c>
      <c r="K11" s="0" t="n">
        <f aca="false">K8+K10+K24</f>
        <v>264.251162417397</v>
      </c>
      <c r="L11" s="0" t="n">
        <f aca="false">L8+L10+L24</f>
        <v>272.178697289919</v>
      </c>
    </row>
    <row r="12" customFormat="false" ht="15" hidden="false" customHeight="false" outlineLevel="0" collapsed="false">
      <c r="A12" s="0" t="s">
        <v>109</v>
      </c>
      <c r="C12" s="4" t="n">
        <f aca="false">-C6*Assumptions!C31/100</f>
        <v>-18.2814606</v>
      </c>
      <c r="D12" s="4" t="n">
        <f aca="false">-D6*Assumptions!D31/100</f>
        <v>-19.175220896</v>
      </c>
      <c r="E12" s="4" t="n">
        <f aca="false">-E6*Assumptions!E31/100</f>
        <v>-21.47624740352</v>
      </c>
      <c r="F12" s="4" t="n">
        <f aca="false">-F6*Assumptions!F31/100</f>
        <v>-23.4091096698368</v>
      </c>
      <c r="G12" s="4" t="n">
        <f aca="false">-G6*Assumptions!G31/100</f>
        <v>-25.0477473467254</v>
      </c>
      <c r="H12" s="4" t="n">
        <f aca="false">-H6*Assumptions!H31/100</f>
        <v>-26.3001347140617</v>
      </c>
      <c r="I12" s="4" t="n">
        <f aca="false">-I6*Assumptions!I31/100</f>
        <v>-27.3521401026241</v>
      </c>
      <c r="J12" s="4" t="n">
        <f aca="false">-J6*Assumptions!J31/100</f>
        <v>-28.309465006216</v>
      </c>
      <c r="K12" s="4" t="n">
        <f aca="false">-K6*Assumptions!K31/100</f>
        <v>-29.1587489564024</v>
      </c>
      <c r="L12" s="4" t="n">
        <f aca="false">-L6*Assumptions!L31/100</f>
        <v>-30.0335114250945</v>
      </c>
    </row>
    <row r="13" customFormat="false" ht="15" hidden="false" customHeight="false" outlineLevel="0" collapsed="false">
      <c r="A13" s="0" t="s">
        <v>110</v>
      </c>
      <c r="C13" s="0" t="n">
        <f aca="false">C11+C12</f>
        <v>47.7349249</v>
      </c>
      <c r="D13" s="0" t="n">
        <f aca="false">D11+D12</f>
        <v>82.693140114</v>
      </c>
      <c r="E13" s="0" t="n">
        <f aca="false">E11+E12</f>
        <v>119.46162618208</v>
      </c>
      <c r="F13" s="0" t="n">
        <f aca="false">F11+F12</f>
        <v>159.474559625763</v>
      </c>
      <c r="G13" s="0" t="n">
        <f aca="false">G11+G12</f>
        <v>186.29262089127</v>
      </c>
      <c r="H13" s="0" t="n">
        <f aca="false">H11+H12</f>
        <v>212.044836132122</v>
      </c>
      <c r="I13" s="0" t="n">
        <f aca="false">I11+I12</f>
        <v>220.526629577407</v>
      </c>
      <c r="J13" s="0" t="n">
        <f aca="false">J11+J12</f>
        <v>228.245061612616</v>
      </c>
      <c r="K13" s="0" t="n">
        <f aca="false">K11+K12</f>
        <v>235.092413460995</v>
      </c>
      <c r="L13" s="0" t="n">
        <f aca="false">L11+L12</f>
        <v>242.145185864825</v>
      </c>
    </row>
    <row r="14" customFormat="false" ht="15" hidden="false" customHeight="false" outlineLevel="0" collapsed="false">
      <c r="A14" s="0" t="s">
        <v>96</v>
      </c>
      <c r="C14" s="4" t="n">
        <f aca="false">Assumptions!C33</f>
        <v>10</v>
      </c>
      <c r="D14" s="4" t="n">
        <f aca="false">Assumptions!D33</f>
        <v>12</v>
      </c>
      <c r="E14" s="4" t="n">
        <f aca="false">Assumptions!E33</f>
        <v>14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111</v>
      </c>
      <c r="C15" s="0" t="n">
        <f aca="false">C13-MAX(0,C13)*C14/100</f>
        <v>42.96143241</v>
      </c>
      <c r="D15" s="0" t="n">
        <f aca="false">D13-MAX(0,D13)*D14/100</f>
        <v>72.76996330032</v>
      </c>
      <c r="E15" s="0" t="n">
        <f aca="false">E13-MAX(0,E13)*E14/100</f>
        <v>102.736998516589</v>
      </c>
      <c r="F15" s="0" t="n">
        <f aca="false">F13-MAX(0,F13)*F14/100</f>
        <v>135.553375681899</v>
      </c>
      <c r="G15" s="0" t="n">
        <f aca="false">G13-MAX(0,G13)*G14/100</f>
        <v>158.34872775758</v>
      </c>
      <c r="H15" s="0" t="n">
        <f aca="false">H13-MAX(0,H13)*H14/100</f>
        <v>180.238110712304</v>
      </c>
      <c r="I15" s="0" t="n">
        <f aca="false">I13-MAX(0,I13)*I14/100</f>
        <v>187.447635140796</v>
      </c>
      <c r="J15" s="0" t="n">
        <f aca="false">J13-MAX(0,J13)*J14/100</f>
        <v>194.008302370724</v>
      </c>
      <c r="K15" s="0" t="n">
        <f aca="false">K13-MAX(0,K13)*K14/100</f>
        <v>199.828551441845</v>
      </c>
      <c r="L15" s="0" t="n">
        <f aca="false">L13-MAX(0,L13)*L14/100</f>
        <v>205.823407985101</v>
      </c>
    </row>
    <row r="16" customFormat="false" ht="15" hidden="false" customHeight="false" outlineLevel="0" collapsed="false">
      <c r="A16" s="0" t="s">
        <v>112</v>
      </c>
      <c r="C16" s="0" t="n">
        <f aca="false">-C12</f>
        <v>18.2814606</v>
      </c>
      <c r="D16" s="0" t="n">
        <f aca="false">-D12</f>
        <v>19.175220896</v>
      </c>
      <c r="E16" s="0" t="n">
        <f aca="false">-E12</f>
        <v>21.47624740352</v>
      </c>
      <c r="F16" s="0" t="n">
        <f aca="false">-F12</f>
        <v>23.4091096698368</v>
      </c>
      <c r="G16" s="0" t="n">
        <f aca="false">-G12</f>
        <v>25.0477473467254</v>
      </c>
      <c r="H16" s="0" t="n">
        <f aca="false">-H12</f>
        <v>26.3001347140617</v>
      </c>
      <c r="I16" s="0" t="n">
        <f aca="false">-I12</f>
        <v>27.3521401026241</v>
      </c>
      <c r="J16" s="0" t="n">
        <f aca="false">-J12</f>
        <v>28.309465006216</v>
      </c>
      <c r="K16" s="0" t="n">
        <f aca="false">-K12</f>
        <v>29.1587489564024</v>
      </c>
      <c r="L16" s="0" t="n">
        <f aca="false">-L12</f>
        <v>30.0335114250945</v>
      </c>
    </row>
    <row r="17" customFormat="false" ht="15" hidden="false" customHeight="false" outlineLevel="0" collapsed="false">
      <c r="A17" s="0" t="s">
        <v>113</v>
      </c>
      <c r="C17" s="4" t="n">
        <f aca="false">-C6*Assumptions!C32/100</f>
        <v>-6.0938202</v>
      </c>
      <c r="D17" s="4" t="n">
        <f aca="false">-D6*Assumptions!D32/100</f>
        <v>-11.98451306</v>
      </c>
      <c r="E17" s="4" t="n">
        <f aca="false">-E6*Assumptions!E32/100</f>
        <v>-18.79171647808</v>
      </c>
      <c r="F17" s="4" t="n">
        <f aca="false">-F6*Assumptions!F32/100</f>
        <v>-23.4091096698368</v>
      </c>
      <c r="G17" s="4" t="n">
        <f aca="false">-G6*Assumptions!G32/100</f>
        <v>-25.0477473467254</v>
      </c>
      <c r="H17" s="4" t="n">
        <f aca="false">-H6*Assumptions!H32/100</f>
        <v>-26.3001347140617</v>
      </c>
      <c r="I17" s="4" t="n">
        <f aca="false">-I6*Assumptions!I32/100</f>
        <v>-27.3521401026241</v>
      </c>
      <c r="J17" s="4" t="n">
        <f aca="false">-J6*Assumptions!J32/100</f>
        <v>-28.309465006216</v>
      </c>
      <c r="K17" s="4" t="n">
        <f aca="false">-K6*Assumptions!K32/100</f>
        <v>-29.1587489564024</v>
      </c>
      <c r="L17" s="4" t="n">
        <f aca="false">-L6*Assumptions!L32/100</f>
        <v>-30.0335114250945</v>
      </c>
    </row>
    <row r="18" customFormat="false" ht="15" hidden="false" customHeight="false" outlineLevel="0" collapsed="false">
      <c r="A18" s="0" t="s">
        <v>114</v>
      </c>
      <c r="C18" s="4" t="n">
        <f aca="false">(C6-B6)*Assumptions!$B$37/100</f>
        <v>-46.87554</v>
      </c>
      <c r="D18" s="4" t="n">
        <f aca="false">(D6-C6)*Assumptions!$B$37/100</f>
        <v>-36.5629212</v>
      </c>
      <c r="E18" s="4" t="n">
        <f aca="false">(E6-D6)*Assumptions!$B$37/100</f>
        <v>-28.762831344</v>
      </c>
      <c r="F18" s="4" t="n">
        <f aca="false">(F6-E6)*Assumptions!$B$37/100</f>
        <v>-24.16077832896</v>
      </c>
      <c r="G18" s="4" t="n">
        <f aca="false">(G6-F6)*Assumptions!$B$37/100</f>
        <v>-20.4829709611072</v>
      </c>
      <c r="H18" s="4" t="n">
        <f aca="false">(H6-G6)*Assumptions!$B$37/100</f>
        <v>-15.6548420917034</v>
      </c>
      <c r="I18" s="4" t="n">
        <f aca="false">(I6-H6)*Assumptions!$B$37/100</f>
        <v>-13.1500673570308</v>
      </c>
      <c r="J18" s="4" t="n">
        <f aca="false">(J6-I6)*Assumptions!$B$37/100</f>
        <v>-11.966561294898</v>
      </c>
      <c r="K18" s="4" t="n">
        <f aca="false">(K6-J6)*Assumptions!$B$37/100</f>
        <v>-10.616049377331</v>
      </c>
      <c r="L18" s="4" t="n">
        <f aca="false">(L6-K6)*Assumptions!$B$37/100</f>
        <v>-10.9345308586509</v>
      </c>
    </row>
    <row r="19" customFormat="false" ht="15" hidden="false" customHeight="false" outlineLevel="0" collapsed="false">
      <c r="A19" s="0" t="s">
        <v>115</v>
      </c>
      <c r="C19" s="0" t="n">
        <f aca="false">C15+C16+C17+C18</f>
        <v>8.27353281000001</v>
      </c>
      <c r="D19" s="0" t="n">
        <f aca="false">D15+D16+D17+D18</f>
        <v>43.39774993632</v>
      </c>
      <c r="E19" s="0" t="n">
        <f aca="false">E15+E16+E17+E18</f>
        <v>76.6586980980288</v>
      </c>
      <c r="F19" s="0" t="n">
        <f aca="false">F15+F16+F17+F18</f>
        <v>111.392597352939</v>
      </c>
      <c r="G19" s="0" t="n">
        <f aca="false">G15+G16+G17+G18</f>
        <v>137.865756796472</v>
      </c>
      <c r="H19" s="0" t="n">
        <f aca="false">H15+H16+H17+H18</f>
        <v>164.5832686206</v>
      </c>
      <c r="I19" s="0" t="n">
        <f aca="false">I15+I16+I17+I18</f>
        <v>174.297567783765</v>
      </c>
      <c r="J19" s="0" t="n">
        <f aca="false">J15+J16+J17+J18</f>
        <v>182.041741075826</v>
      </c>
      <c r="K19" s="0" t="n">
        <f aca="false">K15+K16+K17+K18</f>
        <v>189.212502064514</v>
      </c>
      <c r="L19" s="0" t="n">
        <f aca="false">L15+L16+L17+L18</f>
        <v>194.88887712645</v>
      </c>
    </row>
    <row r="20" customFormat="false" ht="15" hidden="false" customHeight="false" outlineLevel="0" collapsed="false">
      <c r="A20" s="0" t="s">
        <v>116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117</v>
      </c>
      <c r="C21" s="0" t="n">
        <f aca="false">C19*C20</f>
        <v>7.38708286607143</v>
      </c>
      <c r="D21" s="0" t="n">
        <f aca="false">D19*D20</f>
        <v>34.5964205487245</v>
      </c>
      <c r="E21" s="0" t="n">
        <f aca="false">E19*E20</f>
        <v>54.5641471292684</v>
      </c>
      <c r="F21" s="0" t="n">
        <f aca="false">F19*F20</f>
        <v>70.7920094182627</v>
      </c>
      <c r="G21" s="0" t="n">
        <f aca="false">G19*G20</f>
        <v>78.2287328902874</v>
      </c>
      <c r="H21" s="0" t="n">
        <f aca="false">H19*H20</f>
        <v>83.3830059082829</v>
      </c>
      <c r="I21" s="0" t="n">
        <f aca="false">I19*I20</f>
        <v>78.8433680221151</v>
      </c>
      <c r="J21" s="0" t="n">
        <f aca="false">J19*J20</f>
        <v>73.523606012689</v>
      </c>
      <c r="K21" s="0" t="n">
        <f aca="false">K19*K20</f>
        <v>68.2319250963117</v>
      </c>
      <c r="L21" s="0" t="n">
        <f aca="false">L19*L20</f>
        <v>62.7490025439295</v>
      </c>
    </row>
    <row r="23" customFormat="false" ht="15" hidden="false" customHeight="false" outlineLevel="0" collapsed="false">
      <c r="A23" s="0" t="s">
        <v>93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118</v>
      </c>
      <c r="C24" s="0" t="n">
        <f aca="false">-C6*C23/100</f>
        <v>-5.0781835</v>
      </c>
      <c r="D24" s="0" t="n">
        <f aca="false">-D6*D23/100</f>
        <v>-5.99225653</v>
      </c>
      <c r="E24" s="0" t="n">
        <f aca="false">-E6*E23/100</f>
        <v>-6.7113273136</v>
      </c>
      <c r="F24" s="0" t="n">
        <f aca="false">-F6*F23/100</f>
        <v>-7.315346771824</v>
      </c>
      <c r="G24" s="0" t="n">
        <f aca="false">-G6*G23/100</f>
        <v>-7.82742104585168</v>
      </c>
      <c r="H24" s="0" t="n">
        <f aca="false">-H6*H23/100</f>
        <v>-8.21879209814427</v>
      </c>
      <c r="I24" s="0" t="n">
        <f aca="false">-I6*I23/100</f>
        <v>-8.54754378207004</v>
      </c>
      <c r="J24" s="0" t="n">
        <f aca="false">-J6*J23/100</f>
        <v>-8.84670781444249</v>
      </c>
      <c r="K24" s="0" t="n">
        <f aca="false">-K6*K23/100</f>
        <v>-9.11210904887576</v>
      </c>
      <c r="L24" s="0" t="n">
        <f aca="false">-L6*L23/100</f>
        <v>-9.38547232034204</v>
      </c>
    </row>
    <row r="26" customFormat="false" ht="15" hidden="false" customHeight="false" outlineLevel="0" collapsed="false">
      <c r="A26" s="2" t="s">
        <v>119</v>
      </c>
    </row>
    <row r="27" customFormat="false" ht="15" hidden="false" customHeight="false" outlineLevel="0" collapsed="false">
      <c r="A27" s="0" t="s">
        <v>97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98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99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120</v>
      </c>
      <c r="B30" s="0" t="n">
        <f aca="false">SUM(C21:L21)</f>
        <v>612.299300435943</v>
      </c>
    </row>
    <row r="31" customFormat="false" ht="15" hidden="false" customHeight="false" outlineLevel="0" collapsed="false">
      <c r="A31" s="0" t="s">
        <v>121</v>
      </c>
      <c r="B31" s="0" t="n">
        <f aca="false">L19</f>
        <v>194.88887712645</v>
      </c>
    </row>
    <row r="32" customFormat="false" ht="15" hidden="false" customHeight="false" outlineLevel="0" collapsed="false">
      <c r="A32" s="0" t="s">
        <v>122</v>
      </c>
      <c r="B32" s="0" t="n">
        <f aca="false">IF(B27&gt;B28,B31*(1+B28/100)/((B27-B28)/100),B31*B29)</f>
        <v>2102.74841110117</v>
      </c>
    </row>
    <row r="33" customFormat="false" ht="15" hidden="false" customHeight="false" outlineLevel="0" collapsed="false">
      <c r="A33" s="0" t="s">
        <v>123</v>
      </c>
      <c r="B33" s="0" t="n">
        <f aca="false">B31*B29</f>
        <v>2338.6665255174</v>
      </c>
    </row>
    <row r="34" customFormat="false" ht="15" hidden="false" customHeight="false" outlineLevel="0" collapsed="false">
      <c r="A34" s="0" t="s">
        <v>124</v>
      </c>
      <c r="B34" s="0" t="n">
        <f aca="false">MAX(0,MIN(B32,B33))</f>
        <v>2102.74841110117</v>
      </c>
    </row>
    <row r="35" customFormat="false" ht="15" hidden="false" customHeight="false" outlineLevel="0" collapsed="false">
      <c r="A35" s="0" t="s">
        <v>125</v>
      </c>
      <c r="B35" s="0" t="n">
        <f aca="false">B34/(1+B27/100)^L4</f>
        <v>677.028711658187</v>
      </c>
    </row>
    <row r="36" customFormat="false" ht="15" hidden="false" customHeight="false" outlineLevel="0" collapsed="false">
      <c r="A36" s="0" t="s">
        <v>126</v>
      </c>
      <c r="B36" s="0" t="n">
        <f aca="false">B30+B35</f>
        <v>1289.32801209413</v>
      </c>
    </row>
    <row r="37" customFormat="false" ht="15" hidden="false" customHeight="false" outlineLevel="0" collapsed="false">
      <c r="A37" s="0" t="s">
        <v>127</v>
      </c>
      <c r="B37" s="0" t="n">
        <f aca="false">B36+Assumptions!$B$5-Assumptions!$B$4</f>
        <v>1506.22101209413</v>
      </c>
    </row>
    <row r="38" customFormat="false" ht="15" hidden="false" customHeight="false" outlineLevel="0" collapsed="false">
      <c r="A38" s="0" t="s">
        <v>128</v>
      </c>
      <c r="B38" s="0" t="n">
        <f aca="false">B37/Assumptions!$B$3*Assumptions!$B$10</f>
        <v>2.01984683762719</v>
      </c>
    </row>
    <row r="39" customFormat="false" ht="15" hidden="false" customHeight="false" outlineLevel="0" collapsed="false">
      <c r="A39" s="0" t="s">
        <v>129</v>
      </c>
      <c r="B39" s="4" t="n">
        <f aca="false">B38/Assumptions!$B$2-1</f>
        <v>2.36641139604531</v>
      </c>
    </row>
    <row r="41" customFormat="false" ht="15" hidden="false" customHeight="false" outlineLevel="0" collapsed="false">
      <c r="A41" s="0" t="s">
        <v>130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132</v>
      </c>
      <c r="B43" s="0" t="n">
        <f aca="false">(B37+B41+B42)/Assumptions!$B$3*Assumptions!$B$10</f>
        <v>2.01984683762719</v>
      </c>
    </row>
    <row r="45" customFormat="false" ht="15" hidden="false" customHeight="false" outlineLevel="0" collapsed="false">
      <c r="A45" s="0" t="s">
        <v>73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133</v>
      </c>
      <c r="B46" s="0" t="n">
        <f aca="false">MAX(0,MIN(IF(B45&gt;B28,B31*(1+B28/100)/((B45-B28)/100),B31*B29),B31*B29))</f>
        <v>1598.08879243689</v>
      </c>
    </row>
    <row r="47" customFormat="false" ht="15" hidden="false" customHeight="false" outlineLevel="0" collapsed="false">
      <c r="A47" s="0" t="s">
        <v>134</v>
      </c>
      <c r="B47" s="0" t="n">
        <f aca="false">(SUMPRODUCT(C19:L19/(1+B45/100)^C4:L4)+B46/(1+B45/100)^L4+Assumptions!$B$5-Assumptions!$B$4)/Assumptions!$B$3*Assumptions!$B$10</f>
        <v>1.51896827378689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105</v>
      </c>
      <c r="B3" s="0" t="s">
        <v>66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  <c r="J3" s="2" t="s">
        <v>87</v>
      </c>
      <c r="K3" s="2" t="s">
        <v>88</v>
      </c>
      <c r="L3" s="2" t="s">
        <v>89</v>
      </c>
    </row>
    <row r="4" customFormat="false" ht="15" hidden="false" customHeight="false" outlineLevel="0" collapsed="false">
      <c r="A4" s="0" t="s">
        <v>106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90</v>
      </c>
      <c r="C5" s="4" t="n">
        <f aca="false">Assumptions!C41</f>
        <v>40</v>
      </c>
      <c r="D5" s="4" t="n">
        <f aca="false">Assumptions!D41</f>
        <v>28</v>
      </c>
      <c r="E5" s="4" t="n">
        <f aca="false">Assumptions!E41</f>
        <v>20</v>
      </c>
      <c r="F5" s="4" t="n">
        <f aca="false">Assumptions!F41</f>
        <v>15</v>
      </c>
      <c r="G5" s="4" t="n">
        <f aca="false">Assumptions!G41</f>
        <v>10</v>
      </c>
      <c r="H5" s="4" t="n">
        <f aca="false">Assumptions!H41</f>
        <v>7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1562.518</v>
      </c>
      <c r="C6" s="0" t="n">
        <f aca="false">B6*(1+C5/100)</f>
        <v>2187.5252</v>
      </c>
      <c r="D6" s="0" t="n">
        <f aca="false">C6*(1+D5/100)</f>
        <v>2800.032256</v>
      </c>
      <c r="E6" s="0" t="n">
        <f aca="false">D6*(1+E5/100)</f>
        <v>3360.0387072</v>
      </c>
      <c r="F6" s="0" t="n">
        <f aca="false">E6*(1+F5/100)</f>
        <v>3864.04451328</v>
      </c>
      <c r="G6" s="0" t="n">
        <f aca="false">F6*(1+G5/100)</f>
        <v>4250.448964608</v>
      </c>
      <c r="H6" s="0" t="n">
        <f aca="false">G6*(1+H5/100)</f>
        <v>4547.98039213056</v>
      </c>
      <c r="I6" s="0" t="n">
        <f aca="false">H6*(1+I5/100)</f>
        <v>4775.37941173709</v>
      </c>
      <c r="J6" s="0" t="n">
        <f aca="false">I6*(1+J5/100)</f>
        <v>4966.39458820657</v>
      </c>
      <c r="K6" s="0" t="n">
        <f aca="false">J6*(1+K5/100)</f>
        <v>5140.2183987938</v>
      </c>
      <c r="L6" s="0" t="n">
        <f aca="false">K6*(1+L5/100)</f>
        <v>5294.42495075762</v>
      </c>
    </row>
    <row r="7" customFormat="false" ht="15" hidden="false" customHeight="false" outlineLevel="0" collapsed="false">
      <c r="A7" s="0" t="s">
        <v>91</v>
      </c>
      <c r="C7" s="4" t="n">
        <f aca="false">Assumptions!C42</f>
        <v>4.5</v>
      </c>
      <c r="D7" s="4" t="n">
        <f aca="false">Assumptions!D42</f>
        <v>6</v>
      </c>
      <c r="E7" s="4" t="n">
        <f aca="false">Assumptions!E42</f>
        <v>7.5</v>
      </c>
      <c r="F7" s="4" t="n">
        <f aca="false">Assumptions!F42</f>
        <v>9</v>
      </c>
      <c r="G7" s="4" t="n">
        <f aca="false">Assumptions!G42</f>
        <v>10</v>
      </c>
      <c r="H7" s="4" t="n">
        <f aca="false">Assumptions!H42</f>
        <v>10.5</v>
      </c>
      <c r="I7" s="4" t="n">
        <f aca="false">Assumptions!I42</f>
        <v>11</v>
      </c>
      <c r="J7" s="4" t="n">
        <f aca="false">Assumptions!J42</f>
        <v>11</v>
      </c>
      <c r="K7" s="4" t="n">
        <f aca="false">Assumptions!K42</f>
        <v>11</v>
      </c>
      <c r="L7" s="4" t="n">
        <f aca="false">Assumptions!L42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98.438634</v>
      </c>
      <c r="D8" s="0" t="n">
        <f aca="false">D6*D7/100</f>
        <v>168.00193536</v>
      </c>
      <c r="E8" s="0" t="n">
        <f aca="false">E6*E7/100</f>
        <v>252.00290304</v>
      </c>
      <c r="F8" s="0" t="n">
        <f aca="false">F6*F7/100</f>
        <v>347.7640061952</v>
      </c>
      <c r="G8" s="0" t="n">
        <f aca="false">G6*G7/100</f>
        <v>425.0448964608</v>
      </c>
      <c r="H8" s="0" t="n">
        <f aca="false">H6*H7/100</f>
        <v>477.537941173709</v>
      </c>
      <c r="I8" s="0" t="n">
        <f aca="false">I6*I7/100</f>
        <v>525.29173529108</v>
      </c>
      <c r="J8" s="0" t="n">
        <f aca="false">J6*J7/100</f>
        <v>546.303404702723</v>
      </c>
      <c r="K8" s="0" t="n">
        <f aca="false">K6*K7/100</f>
        <v>565.424023867318</v>
      </c>
      <c r="L8" s="0" t="n">
        <f aca="false">L6*L7/100</f>
        <v>582.386744583338</v>
      </c>
    </row>
    <row r="9" customFormat="false" ht="15" hidden="false" customHeight="false" outlineLevel="0" collapsed="false">
      <c r="A9" s="0" t="s">
        <v>92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107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108</v>
      </c>
      <c r="C11" s="0" t="n">
        <f aca="false">C8+C10+C24</f>
        <v>92.969821</v>
      </c>
      <c r="D11" s="0" t="n">
        <f aca="false">D8+D10+D24</f>
        <v>161.00185472</v>
      </c>
      <c r="E11" s="0" t="n">
        <f aca="false">E8+E10+E24</f>
        <v>243.602806272</v>
      </c>
      <c r="F11" s="0" t="n">
        <f aca="false">F8+F10+F24</f>
        <v>338.103894912</v>
      </c>
      <c r="G11" s="0" t="n">
        <f aca="false">G8+G10+G24</f>
        <v>414.41877404928</v>
      </c>
      <c r="H11" s="0" t="n">
        <f aca="false">H8+H10+H24</f>
        <v>466.167990193382</v>
      </c>
      <c r="I11" s="0" t="n">
        <f aca="false">I8+I10+I24</f>
        <v>513.353286761737</v>
      </c>
      <c r="J11" s="0" t="n">
        <f aca="false">J8+J10+J24</f>
        <v>533.887418232207</v>
      </c>
      <c r="K11" s="0" t="n">
        <f aca="false">K8+K10+K24</f>
        <v>552.573477870334</v>
      </c>
      <c r="L11" s="0" t="n">
        <f aca="false">L8+L10+L24</f>
        <v>569.150682206444</v>
      </c>
    </row>
    <row r="12" customFormat="false" ht="15" hidden="false" customHeight="false" outlineLevel="0" collapsed="false">
      <c r="A12" s="0" t="s">
        <v>109</v>
      </c>
      <c r="C12" s="4" t="n">
        <f aca="false">-C6*Assumptions!C45/100</f>
        <v>-19.6877268</v>
      </c>
      <c r="D12" s="4" t="n">
        <f aca="false">-D6*Assumptions!D45/100</f>
        <v>-22.400258048</v>
      </c>
      <c r="E12" s="4" t="n">
        <f aca="false">-E6*Assumptions!E45/100</f>
        <v>-26.8803096576</v>
      </c>
      <c r="F12" s="4" t="n">
        <f aca="false">-F6*Assumptions!F45/100</f>
        <v>-30.91235610624</v>
      </c>
      <c r="G12" s="4" t="n">
        <f aca="false">-G6*Assumptions!G45/100</f>
        <v>-34.003591716864</v>
      </c>
      <c r="H12" s="4" t="n">
        <f aca="false">-H6*Assumptions!H45/100</f>
        <v>-36.3838431370445</v>
      </c>
      <c r="I12" s="4" t="n">
        <f aca="false">-I6*Assumptions!I45/100</f>
        <v>-38.2030352938967</v>
      </c>
      <c r="J12" s="4" t="n">
        <f aca="false">-J6*Assumptions!J45/100</f>
        <v>-39.7311567056526</v>
      </c>
      <c r="K12" s="4" t="n">
        <f aca="false">-K6*Assumptions!K45/100</f>
        <v>-41.1217471903504</v>
      </c>
      <c r="L12" s="4" t="n">
        <f aca="false">-L6*Assumptions!L45/100</f>
        <v>-42.3553996060609</v>
      </c>
    </row>
    <row r="13" customFormat="false" ht="15" hidden="false" customHeight="false" outlineLevel="0" collapsed="false">
      <c r="A13" s="0" t="s">
        <v>110</v>
      </c>
      <c r="C13" s="0" t="n">
        <f aca="false">C11+C12</f>
        <v>73.2820942</v>
      </c>
      <c r="D13" s="0" t="n">
        <f aca="false">D11+D12</f>
        <v>138.601596672</v>
      </c>
      <c r="E13" s="0" t="n">
        <f aca="false">E11+E12</f>
        <v>216.7224966144</v>
      </c>
      <c r="F13" s="0" t="n">
        <f aca="false">F11+F12</f>
        <v>307.19153880576</v>
      </c>
      <c r="G13" s="0" t="n">
        <f aca="false">G11+G12</f>
        <v>380.415182332416</v>
      </c>
      <c r="H13" s="0" t="n">
        <f aca="false">H11+H12</f>
        <v>429.784147056338</v>
      </c>
      <c r="I13" s="0" t="n">
        <f aca="false">I11+I12</f>
        <v>475.15025146784</v>
      </c>
      <c r="J13" s="0" t="n">
        <f aca="false">J11+J12</f>
        <v>494.156261526554</v>
      </c>
      <c r="K13" s="0" t="n">
        <f aca="false">K11+K12</f>
        <v>511.451730679983</v>
      </c>
      <c r="L13" s="0" t="n">
        <f aca="false">L11+L12</f>
        <v>526.795282600383</v>
      </c>
    </row>
    <row r="14" customFormat="false" ht="15" hidden="false" customHeight="false" outlineLevel="0" collapsed="false">
      <c r="A14" s="0" t="s">
        <v>96</v>
      </c>
      <c r="C14" s="4" t="n">
        <f aca="false">Assumptions!C47</f>
        <v>10</v>
      </c>
      <c r="D14" s="4" t="n">
        <f aca="false">Assumptions!D47</f>
        <v>12</v>
      </c>
      <c r="E14" s="4" t="n">
        <f aca="false">Assumptions!E47</f>
        <v>14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111</v>
      </c>
      <c r="C15" s="0" t="n">
        <f aca="false">C13-MAX(0,C13)*C14/100</f>
        <v>65.95388478</v>
      </c>
      <c r="D15" s="0" t="n">
        <f aca="false">D13-MAX(0,D13)*D14/100</f>
        <v>121.96940507136</v>
      </c>
      <c r="E15" s="0" t="n">
        <f aca="false">E13-MAX(0,E13)*E14/100</f>
        <v>186.381347088384</v>
      </c>
      <c r="F15" s="0" t="n">
        <f aca="false">F13-MAX(0,F13)*F14/100</f>
        <v>261.112807984896</v>
      </c>
      <c r="G15" s="0" t="n">
        <f aca="false">G13-MAX(0,G13)*G14/100</f>
        <v>323.352904982554</v>
      </c>
      <c r="H15" s="0" t="n">
        <f aca="false">H13-MAX(0,H13)*H14/100</f>
        <v>365.316524997887</v>
      </c>
      <c r="I15" s="0" t="n">
        <f aca="false">I13-MAX(0,I13)*I14/100</f>
        <v>403.877713747664</v>
      </c>
      <c r="J15" s="0" t="n">
        <f aca="false">J13-MAX(0,J13)*J14/100</f>
        <v>420.032822297571</v>
      </c>
      <c r="K15" s="0" t="n">
        <f aca="false">K13-MAX(0,K13)*K14/100</f>
        <v>434.733971077986</v>
      </c>
      <c r="L15" s="0" t="n">
        <f aca="false">L13-MAX(0,L13)*L14/100</f>
        <v>447.775990210325</v>
      </c>
    </row>
    <row r="16" customFormat="false" ht="15" hidden="false" customHeight="false" outlineLevel="0" collapsed="false">
      <c r="A16" s="0" t="s">
        <v>112</v>
      </c>
      <c r="C16" s="0" t="n">
        <f aca="false">-C12</f>
        <v>19.6877268</v>
      </c>
      <c r="D16" s="0" t="n">
        <f aca="false">-D12</f>
        <v>22.400258048</v>
      </c>
      <c r="E16" s="0" t="n">
        <f aca="false">-E12</f>
        <v>26.8803096576</v>
      </c>
      <c r="F16" s="0" t="n">
        <f aca="false">-F12</f>
        <v>30.91235610624</v>
      </c>
      <c r="G16" s="0" t="n">
        <f aca="false">-G12</f>
        <v>34.003591716864</v>
      </c>
      <c r="H16" s="0" t="n">
        <f aca="false">-H12</f>
        <v>36.3838431370445</v>
      </c>
      <c r="I16" s="0" t="n">
        <f aca="false">-I12</f>
        <v>38.2030352938967</v>
      </c>
      <c r="J16" s="0" t="n">
        <f aca="false">-J12</f>
        <v>39.7311567056526</v>
      </c>
      <c r="K16" s="0" t="n">
        <f aca="false">-K12</f>
        <v>41.1217471903504</v>
      </c>
      <c r="L16" s="0" t="n">
        <f aca="false">-L12</f>
        <v>42.3553996060609</v>
      </c>
    </row>
    <row r="17" customFormat="false" ht="15" hidden="false" customHeight="false" outlineLevel="0" collapsed="false">
      <c r="A17" s="0" t="s">
        <v>113</v>
      </c>
      <c r="C17" s="4" t="n">
        <f aca="false">-C6*Assumptions!C46/100</f>
        <v>-6.5625756</v>
      </c>
      <c r="D17" s="4" t="n">
        <f aca="false">-D6*Assumptions!D46/100</f>
        <v>-14.00016128</v>
      </c>
      <c r="E17" s="4" t="n">
        <f aca="false">-E6*Assumptions!E46/100</f>
        <v>-23.5202709504</v>
      </c>
      <c r="F17" s="4" t="n">
        <f aca="false">-F6*Assumptions!F46/100</f>
        <v>-30.91235610624</v>
      </c>
      <c r="G17" s="4" t="n">
        <f aca="false">-G6*Assumptions!G46/100</f>
        <v>-34.003591716864</v>
      </c>
      <c r="H17" s="4" t="n">
        <f aca="false">-H6*Assumptions!H46/100</f>
        <v>-36.3838431370445</v>
      </c>
      <c r="I17" s="4" t="n">
        <f aca="false">-I6*Assumptions!I46/100</f>
        <v>-38.2030352938967</v>
      </c>
      <c r="J17" s="4" t="n">
        <f aca="false">-J6*Assumptions!J46/100</f>
        <v>-39.7311567056526</v>
      </c>
      <c r="K17" s="4" t="n">
        <f aca="false">-K6*Assumptions!K46/100</f>
        <v>-41.1217471903504</v>
      </c>
      <c r="L17" s="4" t="n">
        <f aca="false">-L6*Assumptions!L46/100</f>
        <v>-42.3553996060609</v>
      </c>
    </row>
    <row r="18" customFormat="false" ht="15" hidden="false" customHeight="false" outlineLevel="0" collapsed="false">
      <c r="A18" s="0" t="s">
        <v>114</v>
      </c>
      <c r="C18" s="4" t="n">
        <f aca="false">(C6-B6)*Assumptions!$B$51/100</f>
        <v>-50.000576</v>
      </c>
      <c r="D18" s="4" t="n">
        <f aca="false">(D6-C6)*Assumptions!$B$51/100</f>
        <v>-49.00056448</v>
      </c>
      <c r="E18" s="4" t="n">
        <f aca="false">(E6-D6)*Assumptions!$B$51/100</f>
        <v>-44.800516096</v>
      </c>
      <c r="F18" s="4" t="n">
        <f aca="false">(F6-E6)*Assumptions!$B$51/100</f>
        <v>-40.3204644864</v>
      </c>
      <c r="G18" s="4" t="n">
        <f aca="false">(G6-F6)*Assumptions!$B$51/100</f>
        <v>-30.91235610624</v>
      </c>
      <c r="H18" s="4" t="n">
        <f aca="false">(H6-G6)*Assumptions!$B$51/100</f>
        <v>-23.8025142018048</v>
      </c>
      <c r="I18" s="4" t="n">
        <f aca="false">(I6-H6)*Assumptions!$B$51/100</f>
        <v>-18.1919215685222</v>
      </c>
      <c r="J18" s="4" t="n">
        <f aca="false">(J6-I6)*Assumptions!$B$51/100</f>
        <v>-15.2812141175587</v>
      </c>
      <c r="K18" s="4" t="n">
        <f aca="false">(K6-J6)*Assumptions!$B$51/100</f>
        <v>-13.9059048469784</v>
      </c>
      <c r="L18" s="4" t="n">
        <f aca="false">(L6-K6)*Assumptions!$B$51/100</f>
        <v>-12.3365241571052</v>
      </c>
    </row>
    <row r="19" customFormat="false" ht="15" hidden="false" customHeight="false" outlineLevel="0" collapsed="false">
      <c r="A19" s="0" t="s">
        <v>115</v>
      </c>
      <c r="C19" s="0" t="n">
        <f aca="false">C15+C16+C17+C18</f>
        <v>29.07845998</v>
      </c>
      <c r="D19" s="0" t="n">
        <f aca="false">D15+D16+D17+D18</f>
        <v>81.36893735936</v>
      </c>
      <c r="E19" s="0" t="n">
        <f aca="false">E15+E16+E17+E18</f>
        <v>144.940869699584</v>
      </c>
      <c r="F19" s="0" t="n">
        <f aca="false">F15+F16+F17+F18</f>
        <v>220.792343498496</v>
      </c>
      <c r="G19" s="0" t="n">
        <f aca="false">G15+G16+G17+G18</f>
        <v>292.440548876314</v>
      </c>
      <c r="H19" s="0" t="n">
        <f aca="false">H15+H16+H17+H18</f>
        <v>341.514010796082</v>
      </c>
      <c r="I19" s="0" t="n">
        <f aca="false">I15+I16+I17+I18</f>
        <v>385.685792179142</v>
      </c>
      <c r="J19" s="0" t="n">
        <f aca="false">J15+J16+J17+J18</f>
        <v>404.751608180012</v>
      </c>
      <c r="K19" s="0" t="n">
        <f aca="false">K15+K16+K17+K18</f>
        <v>420.828066231007</v>
      </c>
      <c r="L19" s="0" t="n">
        <f aca="false">L15+L16+L17+L18</f>
        <v>435.43946605322</v>
      </c>
    </row>
    <row r="20" customFormat="false" ht="15" hidden="false" customHeight="false" outlineLevel="0" collapsed="false">
      <c r="A20" s="0" t="s">
        <v>116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117</v>
      </c>
      <c r="C21" s="0" t="n">
        <f aca="false">C19*C20</f>
        <v>25.9629106964286</v>
      </c>
      <c r="D21" s="0" t="n">
        <f aca="false">D19*D20</f>
        <v>64.8668186857143</v>
      </c>
      <c r="E21" s="0" t="n">
        <f aca="false">E19*E20</f>
        <v>103.166048153061</v>
      </c>
      <c r="F21" s="0" t="n">
        <f aca="false">F19*F20</f>
        <v>140.317525866664</v>
      </c>
      <c r="G21" s="0" t="n">
        <f aca="false">G19*G20</f>
        <v>165.938621133508</v>
      </c>
      <c r="H21" s="0" t="n">
        <f aca="false">H19*H20</f>
        <v>173.021626187383</v>
      </c>
      <c r="I21" s="0" t="n">
        <f aca="false">I19*I20</f>
        <v>174.464665458823</v>
      </c>
      <c r="J21" s="0" t="n">
        <f aca="false">J19*J20</f>
        <v>163.472386041584</v>
      </c>
      <c r="K21" s="0" t="n">
        <f aca="false">K19*K20</f>
        <v>151.754819476513</v>
      </c>
      <c r="L21" s="0" t="n">
        <f aca="false">L19*L20</f>
        <v>140.19985422448</v>
      </c>
    </row>
    <row r="23" customFormat="false" ht="15" hidden="false" customHeight="false" outlineLevel="0" collapsed="false">
      <c r="A23" s="0" t="s">
        <v>93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118</v>
      </c>
      <c r="C24" s="0" t="n">
        <f aca="false">-C6*C23/100</f>
        <v>-5.468813</v>
      </c>
      <c r="D24" s="0" t="n">
        <f aca="false">-D6*D23/100</f>
        <v>-7.00008064</v>
      </c>
      <c r="E24" s="0" t="n">
        <f aca="false">-E6*E23/100</f>
        <v>-8.400096768</v>
      </c>
      <c r="F24" s="0" t="n">
        <f aca="false">-F6*F23/100</f>
        <v>-9.6601112832</v>
      </c>
      <c r="G24" s="0" t="n">
        <f aca="false">-G6*G23/100</f>
        <v>-10.62612241152</v>
      </c>
      <c r="H24" s="0" t="n">
        <f aca="false">-H6*H23/100</f>
        <v>-11.3699509803264</v>
      </c>
      <c r="I24" s="0" t="n">
        <f aca="false">-I6*I23/100</f>
        <v>-11.9384485293427</v>
      </c>
      <c r="J24" s="0" t="n">
        <f aca="false">-J6*J23/100</f>
        <v>-12.4159864705164</v>
      </c>
      <c r="K24" s="0" t="n">
        <f aca="false">-K6*K23/100</f>
        <v>-12.8505459969845</v>
      </c>
      <c r="L24" s="0" t="n">
        <f aca="false">-L6*L23/100</f>
        <v>-13.236062376894</v>
      </c>
    </row>
    <row r="26" customFormat="false" ht="15" hidden="false" customHeight="false" outlineLevel="0" collapsed="false">
      <c r="A26" s="2" t="s">
        <v>119</v>
      </c>
    </row>
    <row r="27" customFormat="false" ht="15" hidden="false" customHeight="false" outlineLevel="0" collapsed="false">
      <c r="A27" s="0" t="s">
        <v>97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98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99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120</v>
      </c>
      <c r="B30" s="0" t="n">
        <f aca="false">SUM(C21:L21)</f>
        <v>1303.16527592416</v>
      </c>
    </row>
    <row r="31" customFormat="false" ht="15" hidden="false" customHeight="false" outlineLevel="0" collapsed="false">
      <c r="A31" s="0" t="s">
        <v>121</v>
      </c>
      <c r="B31" s="0" t="n">
        <f aca="false">L19</f>
        <v>435.43946605322</v>
      </c>
    </row>
    <row r="32" customFormat="false" ht="15" hidden="false" customHeight="false" outlineLevel="0" collapsed="false">
      <c r="A32" s="0" t="s">
        <v>122</v>
      </c>
      <c r="B32" s="0" t="n">
        <f aca="false">IF(B27&gt;B28,B31*(1+B28/100)/((B27-B28)/100),B31*B29)</f>
        <v>4983.36277816463</v>
      </c>
    </row>
    <row r="33" customFormat="false" ht="15" hidden="false" customHeight="false" outlineLevel="0" collapsed="false">
      <c r="A33" s="0" t="s">
        <v>123</v>
      </c>
      <c r="B33" s="0" t="n">
        <f aca="false">B31*B29</f>
        <v>5225.27359263864</v>
      </c>
    </row>
    <row r="34" customFormat="false" ht="15" hidden="false" customHeight="false" outlineLevel="0" collapsed="false">
      <c r="A34" s="0" t="s">
        <v>124</v>
      </c>
      <c r="B34" s="0" t="n">
        <f aca="false">MAX(0,MIN(B32,B33))</f>
        <v>4983.36277816463</v>
      </c>
    </row>
    <row r="35" customFormat="false" ht="15" hidden="false" customHeight="false" outlineLevel="0" collapsed="false">
      <c r="A35" s="0" t="s">
        <v>125</v>
      </c>
      <c r="B35" s="0" t="n">
        <f aca="false">B34/(1+B27/100)^L4</f>
        <v>1604.50944279127</v>
      </c>
    </row>
    <row r="36" customFormat="false" ht="15" hidden="false" customHeight="false" outlineLevel="0" collapsed="false">
      <c r="A36" s="0" t="s">
        <v>126</v>
      </c>
      <c r="B36" s="0" t="n">
        <f aca="false">B30+B35</f>
        <v>2907.67471871543</v>
      </c>
    </row>
    <row r="37" customFormat="false" ht="15" hidden="false" customHeight="false" outlineLevel="0" collapsed="false">
      <c r="A37" s="0" t="s">
        <v>127</v>
      </c>
      <c r="B37" s="0" t="n">
        <f aca="false">B36+Assumptions!$B$5-Assumptions!$B$4</f>
        <v>3124.56771871543</v>
      </c>
    </row>
    <row r="38" customFormat="false" ht="15" hidden="false" customHeight="false" outlineLevel="0" collapsed="false">
      <c r="A38" s="0" t="s">
        <v>128</v>
      </c>
      <c r="B38" s="0" t="n">
        <f aca="false">B37/Assumptions!$B$3*Assumptions!$B$10</f>
        <v>4.19005456365585</v>
      </c>
    </row>
    <row r="39" customFormat="false" ht="15" hidden="false" customHeight="false" outlineLevel="0" collapsed="false">
      <c r="A39" s="0" t="s">
        <v>129</v>
      </c>
      <c r="B39" s="4" t="n">
        <f aca="false">B38/Assumptions!$B$2-1</f>
        <v>5.98342427275976</v>
      </c>
    </row>
    <row r="41" customFormat="false" ht="15" hidden="false" customHeight="false" outlineLevel="0" collapsed="false">
      <c r="A41" s="0" t="s">
        <v>130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132</v>
      </c>
      <c r="B43" s="0" t="n">
        <f aca="false">(B37+B41+B42)/Assumptions!$B$3*Assumptions!$B$10</f>
        <v>4.19005456365585</v>
      </c>
    </row>
    <row r="45" customFormat="false" ht="15" hidden="false" customHeight="false" outlineLevel="0" collapsed="false">
      <c r="A45" s="0" t="s">
        <v>73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133</v>
      </c>
      <c r="B46" s="0" t="n">
        <f aca="false">MAX(0,MIN(IF(B45&gt;B28,B31*(1+B28/100)/((B45-B28)/100),B31*B29),B31*B29))</f>
        <v>3737.52208362347</v>
      </c>
    </row>
    <row r="47" customFormat="false" ht="15" hidden="false" customHeight="false" outlineLevel="0" collapsed="false">
      <c r="A47" s="0" t="s">
        <v>134</v>
      </c>
      <c r="B47" s="0" t="n">
        <f aca="false">(SUMPRODUCT(C19:L19/(1+B45/100)^C4:L4)+B46/(1+B45/100)^L4+Assumptions!$B$5-Assumptions!$B$4)/Assumptions!$B$3*Assumptions!$B$10</f>
        <v>3.01284607134023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2" t="s">
        <v>138</v>
      </c>
      <c r="B3" s="2" t="s">
        <v>139</v>
      </c>
      <c r="C3" s="2" t="s">
        <v>129</v>
      </c>
      <c r="D3" s="2" t="s">
        <v>140</v>
      </c>
      <c r="E3" s="2" t="s">
        <v>132</v>
      </c>
      <c r="F3" s="2" t="s">
        <v>141</v>
      </c>
    </row>
    <row r="4" customFormat="false" ht="15" hidden="false" customHeight="false" outlineLevel="0" collapsed="false">
      <c r="A4" s="0" t="s">
        <v>142</v>
      </c>
      <c r="B4" s="4" t="n">
        <f aca="false">DCF_Bear!$B$38</f>
        <v>0.75290383289791</v>
      </c>
      <c r="C4" s="0" t="n">
        <f aca="false">B4/Assumptions!$B$2-1</f>
        <v>0.254839721496517</v>
      </c>
      <c r="D4" s="4" t="n">
        <f aca="false">Assumptions!$B$24</f>
        <v>0.35</v>
      </c>
      <c r="E4" s="4" t="n">
        <f aca="false">DCF_Bear!$B$43</f>
        <v>0.75290383289791</v>
      </c>
      <c r="F4" s="4" t="n">
        <f aca="false">DCF_Bear!$B$47</f>
        <v>0.627335038421562</v>
      </c>
    </row>
    <row r="5" customFormat="false" ht="15" hidden="false" customHeight="false" outlineLevel="0" collapsed="false">
      <c r="A5" s="0" t="s">
        <v>143</v>
      </c>
      <c r="B5" s="4" t="n">
        <f aca="false">DCF_Base!$B$38</f>
        <v>2.01984683762719</v>
      </c>
      <c r="C5" s="0" t="n">
        <f aca="false">B5/Assumptions!$B$2-1</f>
        <v>2.36641139604531</v>
      </c>
      <c r="D5" s="4" t="n">
        <f aca="false">Assumptions!$B$38</f>
        <v>0.45</v>
      </c>
      <c r="E5" s="4" t="n">
        <f aca="false">DCF_Base!$B$43</f>
        <v>2.01984683762719</v>
      </c>
      <c r="F5" s="4" t="n">
        <f aca="false">DCF_Base!$B$47</f>
        <v>1.51896827378689</v>
      </c>
    </row>
    <row r="6" customFormat="false" ht="15" hidden="false" customHeight="false" outlineLevel="0" collapsed="false">
      <c r="A6" s="0" t="s">
        <v>144</v>
      </c>
      <c r="B6" s="4" t="n">
        <f aca="false">DCF_Bull!$B$38</f>
        <v>4.19005456365585</v>
      </c>
      <c r="C6" s="0" t="n">
        <f aca="false">B6/Assumptions!$B$2-1</f>
        <v>5.98342427275976</v>
      </c>
      <c r="D6" s="4" t="n">
        <f aca="false">Assumptions!$B$52</f>
        <v>0.2</v>
      </c>
      <c r="E6" s="4" t="n">
        <f aca="false">DCF_Bull!$B$43</f>
        <v>4.19005456365585</v>
      </c>
      <c r="F6" s="4" t="n">
        <f aca="false">DCF_Bull!$B$47</f>
        <v>3.01284607134023</v>
      </c>
    </row>
    <row r="8" customFormat="false" ht="15" hidden="false" customHeight="false" outlineLevel="0" collapsed="false">
      <c r="A8" s="0" t="s">
        <v>145</v>
      </c>
      <c r="B8" s="0" t="n">
        <f aca="false">SUMPRODUCT(B4:B6,D4:D6)</f>
        <v>2.01045833117767</v>
      </c>
    </row>
    <row r="9" customFormat="false" ht="15" hidden="false" customHeight="false" outlineLevel="0" collapsed="false">
      <c r="A9" s="0" t="s">
        <v>146</v>
      </c>
      <c r="B9" s="0" t="n">
        <f aca="false">SUMPRODUCT(E4:E6,D4:D6)</f>
        <v>2.01045833117767</v>
      </c>
    </row>
    <row r="10" customFormat="false" ht="15" hidden="false" customHeight="false" outlineLevel="0" collapsed="false">
      <c r="A10" s="0" t="s">
        <v>147</v>
      </c>
      <c r="B10" s="0" t="n">
        <f aca="false">1-Assumptions!$B$2/B8</f>
        <v>0.701560589097842</v>
      </c>
    </row>
    <row r="11" customFormat="false" ht="15" hidden="false" customHeight="false" outlineLevel="0" collapsed="false">
      <c r="A11" s="0" t="s">
        <v>148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149</v>
      </c>
      <c r="B12" s="0" t="n">
        <f aca="false">SUMPRODUCT(F4:F6,D4:D6)</f>
        <v>1.50567220091969</v>
      </c>
    </row>
    <row r="14" customFormat="false" ht="15" hidden="false" customHeight="false" outlineLevel="0" collapsed="false">
      <c r="A14" s="2" t="s">
        <v>150</v>
      </c>
      <c r="C14" s="0" t="s">
        <v>151</v>
      </c>
    </row>
    <row r="15" customFormat="false" ht="15" hidden="false" customHeight="false" outlineLevel="0" collapsed="false">
      <c r="A15" s="0" t="s">
        <v>152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2.58932176732598</v>
      </c>
      <c r="C15" s="3" t="n">
        <v>9</v>
      </c>
    </row>
    <row r="16" customFormat="false" ht="15" hidden="false" customHeight="false" outlineLevel="0" collapsed="false">
      <c r="A16" s="0" t="s">
        <v>153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2.41899554206097</v>
      </c>
      <c r="C16" s="3" t="n">
        <v>10</v>
      </c>
    </row>
    <row r="17" customFormat="false" ht="15" hidden="false" customHeight="false" outlineLevel="0" collapsed="false">
      <c r="A17" s="0" t="s">
        <v>154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2.26361309840863</v>
      </c>
      <c r="C17" s="3" t="n">
        <v>11</v>
      </c>
    </row>
    <row r="18" customFormat="false" ht="15" hidden="false" customHeight="false" outlineLevel="0" collapsed="false">
      <c r="A18" s="0" t="s">
        <v>155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2.01984683762719</v>
      </c>
      <c r="C18" s="3" t="n">
        <v>12</v>
      </c>
    </row>
    <row r="19" customFormat="false" ht="15" hidden="false" customHeight="false" outlineLevel="0" collapsed="false">
      <c r="A19" s="0" t="s">
        <v>156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1.51896827378689</v>
      </c>
      <c r="C19" s="3" t="n">
        <v>15</v>
      </c>
    </row>
    <row r="21" customFormat="false" ht="15" hidden="false" customHeight="false" outlineLevel="0" collapsed="false">
      <c r="A21" s="2" t="s">
        <v>157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2.41306845894649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2.41899554206097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2.41899554206097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2.41899554206097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2.41899554206097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2.14250493723683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2.20225163008159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2.26361309840863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2.26361309840863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2.26361309840863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1.92536644663035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1.97024463235385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2.01984683762719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2.07496039904201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2.12170850917065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1.74761442381523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1.78200110623895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1.81966271079826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1.8610904758135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1.90687905819876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1.5997093623869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1.62649807687151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1.65561624478956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1.68738151888199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1.72217205717369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2026-10-18T07:21:53Z</dcterms:created>
  <dc:creator>openpyxl</dc:creator>
  <dc:description/>
  <dc:language>en-NZ</dc:language>
  <cp:lastModifiedBy/>
  <dcterms:modified xsi:type="dcterms:W3CDTF">2026-10-18T07:21:53Z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