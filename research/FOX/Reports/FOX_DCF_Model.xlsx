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<sst xmlns="http://schemas.openxmlformats.org/spreadsheetml/2006/main" count="363" uniqueCount="166">
  <si>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</si>
  <si>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FOX</t>
  </si>
  <si>
    <t xml:space="preserve">Company</t>
  </si>
  <si>
    <t xml:space="preserve">Fox Corporation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</si>
  <si>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</si>
  <si>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</si>
  <si>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</si>
  <si>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</si>
  <si>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2026-09-25T20:00:01Z Nasdaq regular close (Friday), FOX Class B voting shares; FOXA Class A closed at a c.10% premium the same day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</si>
  <si>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</si>
  <si>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</si>
  <si>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</si>
  <si>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</si>
  <si>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</si>
  <si>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</si>
  <si>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</si>
  <si>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</si>
  <si>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</si>
  <si>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</si>
  <si>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</si>
  <si>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</si>
  <si>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2026-09-28T08:27:27Z</t>
  </si>
  <si>
    <t xml:space="preserve">Drivers file</t>
  </si>
  <si>
    <t xml:space="preserve">FOX_Drivers.json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</si>
  <si>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</si>
  <si>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</si>
  <si>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</si>
  <si>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Fox is valued as a mature, ad-cyclical US media franchise on a strict owner-FCF basis: Adjusted EBITDA is haircut 2pp to a cash basis for the structural sports-rights working-capital drag, SBC is expensed, cash tax ramps from the Disney step-up shelter to the 24% GAAP rate, and the terminal value is capped at 12x owner FCF (in line with today's c.12x EV/mid-cycle FCF, so no re-rating is assumed). The revenue path is deliberately cyclic (elections, Super Bowl rotation, World Cup) rather than smoothed. The pending Roku acquisition is treated as a live corporate action: FOX standalone is valued and the deal enters as a single probability-weighted bridge line at its expected IV-basis dilution, with the scenario narratives carrying the range.
key_risks_to_valuation: Roku acquisition: if it closes, share count rises c.35% (to c.576m) and net debt by c.$12-13bn; the -$3.0bn bridge line is a point estimate on a deal whose day-one market reaction was -27% (FOX $61 -&gt; $45, June 2026); a rebuild post-close must re-anchor shares and net debt to the combined entity; NFL renewal after the 2029-30 season: every 10% rise in the c.$2.2bn annual fee is c.1.3pp of margin; the base case carries c.2.5pp from FY2031, the bear 6pp; Working-capital treatment: the 2pp cash-EBITDA haircut is a judgment on a series that swung +$0.6bn/-$1.4bn in the last two years; each 1pp is c.$4/share; Cash tax: the $2.4bn deferred tax asset is assumed to be consumed by FY2035; a faster consumption or legislative change moves value c.$2-3/share; Terminal multiple: 12x owner FCF is the binding constraint in base and bull; Gordon at 8.5%/1.5% would be 14.5x; Class B (FOX) trades c.10% below Class A (FOXA); the IV is class-agnostic, so the discount is either a mispricing or a governance/liquidity charge the model does not make</t>
  </si>
  <si>
    <t xml:space="preserve">Data sources</t>
  </si>
  <si>
    <t xml:space="preserve">price: Yahoo Finance chart API at inputs.price_as_of (FOX Class B); 52-week range 44.08-68.18; FOXA and ROKU quotes from the same source the same day for the deal-spread check
financials: FOX_Metrics.csv (SEC XBRL companyfacts, DB-first pipeline); FY2026 10-K (filed 2026-08-06, accession 0001628280-26-053960) for the cover-page share count, cash ($4,205m incl. restricted), borrowings ($6,606m), Adjusted EBITDA by segment ($3,906m), fair-value investments ($467m), NCI, deferred tax asset ($2,443m), FanDuel option terms and Roku merger terms; Q4 FY2026 earnings release (Ex-99.1); Roku SEC companyfacts (CIK 1428439) for the bridge arithmetic; Fox-Roku merger press release 2026-06-15 (Ex-99.1: $160/share, $400m synergies, 2.8x pro-forma leverage, H1 CY2027 close)
qualitative: FOX_Analysis.json (2026-09-28): segment mix, Tubi 110m MAU / EBITDA-positive, FOX One launch Aug 2025, NFL early-renegotiation declined Aug 2026, BofA Feb 2026 downgrade on NFL costs, Roku deal expected close H1 CY2027</t>
  </si>
  <si>
    <t xml:space="preserve">Scenario narrative: bear</t>
  </si>
  <si>
    <t xml:space="preserve">Sports-driven cord-cutting accelerates, NFL renewal at +50% from FY2031, Tubi decelerates, Roku integration and leverage strain; revenue -1.3%/yr and adjusted margin to c.16%.</t>
  </si>
  <si>
    <t xml:space="preserve">Scenario narrative: base</t>
  </si>
  <si>
    <t xml:space="preserve">Franchise holds; Tubi/FOX One offset linear decline; NFL renewal costs c.2.5pp of margin from FY2031; Roku closes and is mildly IV-dilutive. Revenue c.+1.3%/yr through the event cycle, adjusted EBITDA margin drifting from 22.5% to 20%.</t>
  </si>
  <si>
    <t xml:space="preserve">Scenario narrative: bull</t>
  </si>
  <si>
    <t xml:space="preserve">Digital (Tubi, FOX One, Roku data) outgrows linear erosion, NFL renewal absorbed, adjusted margin c.23% held, FanDuel option monetised (unmodelled), Roku synergies make the deal neutral.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</si>
  <si>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</si>
  <si>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</si>
  <si>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</si>
  <si>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</si>
  <si>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</si>
  <si>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</si>
  <si>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</si>
  <si>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</si>
  <si>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</si>
  <si>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</si>
  <si>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</si>
  <si>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</si>
  <si>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</si>
  <si>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</si>
  <si>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</si>
  <si>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</si>
  <si>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</si>
  <si>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</si>
  <si>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</si>
  <si>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</si>
  <si>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</si>
  <si>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</si>
  <si>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</si>
  <si>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</si>
  <si>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</si>
  <si>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</si>
  <si>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</si>
  <si>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</si>
  <si>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</si>
  <si>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</si>
  <si>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</si>
  <si>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</si>
  <si>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</si>
  <si>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</si>
  <si>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</si>
  <si>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</si>
  <si>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</si>
  <si>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</si>
  <si>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</si>
  <si>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</si>
  <si>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</si>
  <si>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</si>
  <si>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</si>
  <si>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</si>
  <si>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</si>
  <si>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</si>
  <si>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</si>
  <si>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</si>
  <si>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</si>
  <si>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</si>
  <si>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</si>
  <si>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</si>
  <si>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</si>
  <si>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</si>
  <si>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</si>
  <si>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</si>
  <si>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</si>
  <si>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</si>
  <si>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</si>
  <si>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</si>
  <si>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</si>
  <si>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</si>
  <si>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</si>
  <si>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</si>
  <si>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</si>
  <si>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</si>
  <si>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</si>
  <si>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</si>
  <si>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</si>
  <si>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</si>
  <si>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</si>
  <si>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</si>
  <si>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</si>
  <si>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</si>
  <si>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</si>
  <si>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FOX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</si>
  <si>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</si>
  <si>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</si>
  <si>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</si>
  <si>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</si>
  <si>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</si>
  <si>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</si>
  <si>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</si>
  <si>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</si>
  <si>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</si>
  <si>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</si>
  <si>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</si>
  <si>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</si>
  <si>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</si>
  <si>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</si>
  <si>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</si>
  <si>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</si>
  <si>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</si>
  <si>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</si>
  <si>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</si>
  <si>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</si>
  <si>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</si>
  <si>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</si>
  <si>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</si>
  <si>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</si>
  <si>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</si>
  <si>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</si>
  <si>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</si>
  <si>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</si>
  <si>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</si>
  <si>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</si>
  <si>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FOX owner-FCF component DCF: base case (millions, USD)</t>
  </si>
  <si>
    <t xml:space="preserve">FOX owner-FCF component DCF: bull case (millions, USD)</t>
  </si>
  <si>
    <t xml:space="preserve">FOX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</si>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</sst>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56.54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6403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9921</v>
      </c>
      <c r="I3" s="0" t="n">
        <v>1409</v>
      </c>
      <c r="J3" s="0" t="n">
        <v>14.2021973591372</v>
      </c>
      <c r="L3" s="0" t="n">
        <v>1655</v>
      </c>
      <c r="M3" s="0" t="n">
        <v>191</v>
      </c>
      <c r="N3" s="0" t="n">
        <v>1464</v>
      </c>
      <c r="O3" s="0" t="n">
        <v>6093</v>
      </c>
      <c r="S3" s="0" t="n">
        <v>19</v>
      </c>
      <c r="U3" s="0" t="n">
        <v>57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10153</v>
      </c>
      <c r="I4" s="0" t="n">
        <v>2228</v>
      </c>
      <c r="J4" s="0" t="n">
        <v>21.9442529301684</v>
      </c>
      <c r="K4" s="0" t="n">
        <v>3.52</v>
      </c>
      <c r="L4" s="0" t="n">
        <v>1317</v>
      </c>
      <c r="M4" s="0" t="n">
        <v>215</v>
      </c>
      <c r="N4" s="0" t="n">
        <v>1102</v>
      </c>
      <c r="O4" s="0" t="n">
        <v>9594</v>
      </c>
      <c r="P4" s="0" t="n">
        <v>13121</v>
      </c>
      <c r="R4" s="0" t="n">
        <v>0</v>
      </c>
      <c r="S4" s="0" t="n">
        <v>2500</v>
      </c>
      <c r="T4" s="0" t="n">
        <v>621</v>
      </c>
      <c r="U4" s="0" t="n">
        <v>100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11389</v>
      </c>
      <c r="I5" s="0" t="n">
        <v>1643</v>
      </c>
      <c r="J5" s="0" t="n">
        <v>14.426200719993</v>
      </c>
      <c r="K5" s="0" t="n">
        <v>2.57</v>
      </c>
      <c r="L5" s="0" t="n">
        <v>2524</v>
      </c>
      <c r="M5" s="0" t="n">
        <v>235</v>
      </c>
      <c r="N5" s="0" t="n">
        <v>2289</v>
      </c>
      <c r="O5" s="0" t="n">
        <v>9958</v>
      </c>
      <c r="P5" s="0" t="n">
        <v>19509</v>
      </c>
      <c r="R5" s="0" t="n">
        <v>6751</v>
      </c>
      <c r="T5" s="0" t="n">
        <v>621</v>
      </c>
      <c r="U5" s="0" t="n">
        <v>103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12303</v>
      </c>
      <c r="I6" s="0" t="n">
        <v>1062</v>
      </c>
      <c r="J6" s="0" t="n">
        <v>8.63204096561814</v>
      </c>
      <c r="K6" s="0" t="n">
        <v>1.63</v>
      </c>
      <c r="L6" s="0" t="n">
        <v>2365</v>
      </c>
      <c r="M6" s="0" t="n">
        <v>359</v>
      </c>
      <c r="N6" s="0" t="n">
        <v>2006</v>
      </c>
      <c r="O6" s="0" t="n">
        <v>10111</v>
      </c>
      <c r="P6" s="0" t="n">
        <v>21750</v>
      </c>
      <c r="R6" s="0" t="n">
        <v>7946</v>
      </c>
      <c r="T6" s="0" t="n">
        <v>616</v>
      </c>
      <c r="U6" s="0" t="n">
        <v>156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12909</v>
      </c>
      <c r="I7" s="0" t="n">
        <v>2201</v>
      </c>
      <c r="J7" s="0" t="n">
        <v>17.0501200712681</v>
      </c>
      <c r="K7" s="0" t="n">
        <v>3.64</v>
      </c>
      <c r="L7" s="0" t="n">
        <v>2639</v>
      </c>
      <c r="M7" s="0" t="n">
        <v>484</v>
      </c>
      <c r="N7" s="0" t="n">
        <v>2155</v>
      </c>
      <c r="O7" s="0" t="n">
        <v>11125</v>
      </c>
      <c r="P7" s="0" t="n">
        <v>22926</v>
      </c>
      <c r="R7" s="0" t="n">
        <v>8700</v>
      </c>
      <c r="T7" s="0" t="n">
        <v>595</v>
      </c>
      <c r="U7" s="0" t="n">
        <v>147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13974</v>
      </c>
      <c r="I8" s="0" t="n">
        <v>1233</v>
      </c>
      <c r="J8" s="0" t="n">
        <v>8.82352941176471</v>
      </c>
      <c r="K8" s="0" t="n">
        <v>2.13</v>
      </c>
      <c r="L8" s="0" t="n">
        <v>1884</v>
      </c>
      <c r="M8" s="0" t="n">
        <v>307</v>
      </c>
      <c r="N8" s="0" t="n">
        <v>1577</v>
      </c>
      <c r="O8" s="0" t="n">
        <v>11375</v>
      </c>
      <c r="P8" s="0" t="n">
        <v>22185</v>
      </c>
      <c r="R8" s="0" t="n">
        <v>7206</v>
      </c>
      <c r="T8" s="0" t="n">
        <v>570</v>
      </c>
      <c r="U8" s="0" t="n">
        <v>102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14913</v>
      </c>
      <c r="I9" s="0" t="n">
        <v>1253</v>
      </c>
      <c r="J9" s="0" t="n">
        <v>8.40206531214377</v>
      </c>
      <c r="K9" s="0" t="n">
        <v>2.34</v>
      </c>
      <c r="L9" s="0" t="n">
        <v>1800</v>
      </c>
      <c r="M9" s="0" t="n">
        <v>357</v>
      </c>
      <c r="N9" s="0" t="n">
        <v>1443</v>
      </c>
      <c r="O9" s="0" t="n">
        <v>10445</v>
      </c>
      <c r="P9" s="0" t="n">
        <v>21866</v>
      </c>
      <c r="R9" s="0" t="n">
        <v>8459</v>
      </c>
      <c r="T9" s="0" t="n">
        <v>531</v>
      </c>
      <c r="U9" s="0" t="n">
        <v>74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13980</v>
      </c>
      <c r="I10" s="0" t="n">
        <v>1554</v>
      </c>
      <c r="J10" s="0" t="n">
        <v>11.1158798283262</v>
      </c>
      <c r="K10" s="0" t="n">
        <v>3.14</v>
      </c>
      <c r="L10" s="0" t="n">
        <v>1840</v>
      </c>
      <c r="M10" s="0" t="n">
        <v>345</v>
      </c>
      <c r="N10" s="0" t="n">
        <v>1495</v>
      </c>
      <c r="O10" s="0" t="n">
        <v>10814</v>
      </c>
      <c r="P10" s="0" t="n">
        <v>21972</v>
      </c>
      <c r="R10" s="0" t="n">
        <v>7796</v>
      </c>
      <c r="T10" s="0" t="n">
        <v>480</v>
      </c>
      <c r="U10" s="0" t="n">
        <v>90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16300</v>
      </c>
      <c r="I11" s="0" t="n">
        <v>2293</v>
      </c>
      <c r="J11" s="0" t="n">
        <v>14.0674846625767</v>
      </c>
      <c r="K11" s="0" t="n">
        <v>4.97</v>
      </c>
      <c r="L11" s="0" t="n">
        <v>3324</v>
      </c>
      <c r="M11" s="0" t="n">
        <v>331</v>
      </c>
      <c r="N11" s="0" t="n">
        <v>2993</v>
      </c>
      <c r="O11" s="0" t="n">
        <v>12067</v>
      </c>
      <c r="P11" s="0" t="n">
        <v>23195</v>
      </c>
      <c r="R11" s="0" t="n">
        <v>6602</v>
      </c>
      <c r="T11" s="0" t="n">
        <v>461</v>
      </c>
      <c r="U11" s="0" t="n">
        <v>135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17126</v>
      </c>
      <c r="I12" s="0" t="n">
        <v>1727</v>
      </c>
      <c r="J12" s="0" t="n">
        <v>10.0840826813033</v>
      </c>
      <c r="K12" s="0" t="n">
        <v>3.91</v>
      </c>
      <c r="L12" s="0" t="n">
        <v>1970</v>
      </c>
      <c r="M12" s="0" t="n">
        <v>502</v>
      </c>
      <c r="N12" s="0" t="n">
        <v>1468</v>
      </c>
      <c r="O12" s="0" t="n">
        <v>11728</v>
      </c>
      <c r="P12" s="0" t="n">
        <v>22482</v>
      </c>
      <c r="R12" s="0" t="n">
        <v>6606</v>
      </c>
      <c r="T12" s="0" t="n">
        <v>439</v>
      </c>
      <c r="U12" s="0" t="n">
        <v>132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56.54</v>
      </c>
    </row>
    <row r="3" customFormat="false" ht="15" hidden="false" customHeight="false" outlineLevel="0" collapsed="false">
      <c r="A3" s="0" t="s">
        <v>77</v>
      </c>
      <c r="B3" s="3" t="n">
        <v>427.6</v>
      </c>
    </row>
    <row r="4" customFormat="false" ht="15" hidden="false" customHeight="false" outlineLevel="0" collapsed="false">
      <c r="A4" s="0" t="s">
        <v>78</v>
      </c>
      <c r="B4" s="3" t="n">
        <v>2401</v>
      </c>
    </row>
    <row r="5" customFormat="false" ht="15" hidden="false" customHeight="false" outlineLevel="0" collapsed="false">
      <c r="A5" s="0" t="s">
        <v>79</v>
      </c>
      <c r="B5" s="3" t="n">
        <v>-2719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17126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0</v>
      </c>
      <c r="D13" s="3" t="n">
        <v>-4</v>
      </c>
      <c r="E13" s="3" t="n">
        <v>4</v>
      </c>
      <c r="F13" s="3" t="n">
        <v>-5</v>
      </c>
      <c r="G13" s="3" t="n">
        <v>-0.5</v>
      </c>
      <c r="H13" s="3" t="n">
        <v>-3</v>
      </c>
      <c r="I13" s="3" t="n">
        <v>2.5</v>
      </c>
      <c r="J13" s="3" t="n">
        <v>-4</v>
      </c>
      <c r="K13" s="3" t="n">
        <v>-1</v>
      </c>
      <c r="L13" s="3" t="n">
        <v>-2</v>
      </c>
    </row>
    <row r="14" customFormat="false" ht="15" hidden="false" customHeight="false" outlineLevel="0" collapsed="false">
      <c r="A14" s="0" t="s">
        <v>98</v>
      </c>
      <c r="C14" s="3" t="n">
        <v>20</v>
      </c>
      <c r="D14" s="3" t="n">
        <v>18</v>
      </c>
      <c r="E14" s="3" t="n">
        <v>18.5</v>
      </c>
      <c r="F14" s="3" t="n">
        <v>17</v>
      </c>
      <c r="G14" s="3" t="n">
        <v>15.5</v>
      </c>
      <c r="H14" s="3" t="n">
        <v>14.5</v>
      </c>
      <c r="I14" s="3" t="n">
        <v>14.5</v>
      </c>
      <c r="J14" s="3" t="n">
        <v>14</v>
      </c>
      <c r="K14" s="3" t="n">
        <v>14</v>
      </c>
      <c r="L14" s="3" t="n">
        <v>14</v>
      </c>
    </row>
    <row r="15" customFormat="false" ht="15" hidden="false" customHeight="false" outlineLevel="0" collapsed="false">
      <c r="A15" s="0" t="s">
        <v>99</v>
      </c>
      <c r="C15" s="3" t="n">
        <v>0.77</v>
      </c>
      <c r="D15" s="3" t="n">
        <v>0.8</v>
      </c>
      <c r="E15" s="3" t="n">
        <v>0.8</v>
      </c>
      <c r="F15" s="3" t="n">
        <v>0.85</v>
      </c>
      <c r="G15" s="3" t="n">
        <v>0.85</v>
      </c>
      <c r="H15" s="3" t="n">
        <v>0.85</v>
      </c>
      <c r="I15" s="3" t="n">
        <v>0.85</v>
      </c>
      <c r="J15" s="3" t="n">
        <v>0.85</v>
      </c>
      <c r="K15" s="3" t="n">
        <v>0.85</v>
      </c>
      <c r="L15" s="3" t="n">
        <v>0.85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2.5</v>
      </c>
      <c r="D17" s="3" t="n">
        <v>2.5</v>
      </c>
      <c r="E17" s="3" t="n">
        <v>2.5</v>
      </c>
      <c r="F17" s="3" t="n">
        <v>2.5</v>
      </c>
      <c r="G17" s="3" t="n">
        <v>2.5</v>
      </c>
      <c r="H17" s="3" t="n">
        <v>2.5</v>
      </c>
      <c r="I17" s="3" t="n">
        <v>2.5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102</v>
      </c>
      <c r="C18" s="3" t="n">
        <v>2.8</v>
      </c>
      <c r="D18" s="3" t="n">
        <v>2.8</v>
      </c>
      <c r="E18" s="3" t="n">
        <v>2.7</v>
      </c>
      <c r="F18" s="3" t="n">
        <v>2.7</v>
      </c>
      <c r="G18" s="3" t="n">
        <v>2.7</v>
      </c>
      <c r="H18" s="3" t="n">
        <v>2.7</v>
      </c>
      <c r="I18" s="3" t="n">
        <v>2.7</v>
      </c>
      <c r="J18" s="3" t="n">
        <v>2.7</v>
      </c>
      <c r="K18" s="3" t="n">
        <v>2.7</v>
      </c>
      <c r="L18" s="3" t="n">
        <v>2.7</v>
      </c>
    </row>
    <row r="19" customFormat="false" ht="15" hidden="false" customHeight="false" outlineLevel="0" collapsed="false">
      <c r="A19" s="0" t="s">
        <v>103</v>
      </c>
      <c r="C19" s="3" t="n">
        <v>16</v>
      </c>
      <c r="D19" s="3" t="n">
        <v>17</v>
      </c>
      <c r="E19" s="3" t="n">
        <v>18</v>
      </c>
      <c r="F19" s="3" t="n">
        <v>19</v>
      </c>
      <c r="G19" s="3" t="n">
        <v>20</v>
      </c>
      <c r="H19" s="3" t="n">
        <v>21</v>
      </c>
      <c r="I19" s="3" t="n">
        <v>22</v>
      </c>
      <c r="J19" s="3" t="n">
        <v>23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104</v>
      </c>
      <c r="B20" s="3" t="n">
        <v>8.5</v>
      </c>
    </row>
    <row r="21" customFormat="false" ht="15" hidden="false" customHeight="false" outlineLevel="0" collapsed="false">
      <c r="A21" s="0" t="s">
        <v>105</v>
      </c>
      <c r="B21" s="3" t="n">
        <v>0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1.5</v>
      </c>
      <c r="D27" s="3" t="n">
        <v>-1.5</v>
      </c>
      <c r="E27" s="3" t="n">
        <v>7</v>
      </c>
      <c r="F27" s="3" t="n">
        <v>-2.5</v>
      </c>
      <c r="G27" s="3" t="n">
        <v>2.5</v>
      </c>
      <c r="H27" s="3" t="n">
        <v>-0.5</v>
      </c>
      <c r="I27" s="3" t="n">
        <v>5.5</v>
      </c>
      <c r="J27" s="3" t="n">
        <v>-1.5</v>
      </c>
      <c r="K27" s="3" t="n">
        <v>2</v>
      </c>
      <c r="L27" s="3" t="n">
        <v>0.5</v>
      </c>
    </row>
    <row r="28" customFormat="false" ht="15" hidden="false" customHeight="false" outlineLevel="0" collapsed="false">
      <c r="A28" s="0" t="s">
        <v>98</v>
      </c>
      <c r="C28" s="3" t="n">
        <v>20.5</v>
      </c>
      <c r="D28" s="3" t="n">
        <v>19.5</v>
      </c>
      <c r="E28" s="3" t="n">
        <v>20.5</v>
      </c>
      <c r="F28" s="3" t="n">
        <v>19.5</v>
      </c>
      <c r="G28" s="3" t="n">
        <v>18.5</v>
      </c>
      <c r="H28" s="3" t="n">
        <v>18</v>
      </c>
      <c r="I28" s="3" t="n">
        <v>18.5</v>
      </c>
      <c r="J28" s="3" t="n">
        <v>18</v>
      </c>
      <c r="K28" s="3" t="n">
        <v>18</v>
      </c>
      <c r="L28" s="3" t="n">
        <v>18</v>
      </c>
    </row>
    <row r="29" customFormat="false" ht="15" hidden="false" customHeight="false" outlineLevel="0" collapsed="false">
      <c r="A29" s="0" t="s">
        <v>99</v>
      </c>
      <c r="C29" s="3" t="n">
        <v>0.77</v>
      </c>
      <c r="D29" s="3" t="n">
        <v>0.77</v>
      </c>
      <c r="E29" s="3" t="n">
        <v>0.77</v>
      </c>
      <c r="F29" s="3" t="n">
        <v>0.77</v>
      </c>
      <c r="G29" s="3" t="n">
        <v>0.77</v>
      </c>
      <c r="H29" s="3" t="n">
        <v>0.75</v>
      </c>
      <c r="I29" s="3" t="n">
        <v>0.75</v>
      </c>
      <c r="J29" s="3" t="n">
        <v>0.75</v>
      </c>
      <c r="K29" s="3" t="n">
        <v>0.75</v>
      </c>
      <c r="L29" s="3" t="n">
        <v>0.75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2.4</v>
      </c>
      <c r="D31" s="3" t="n">
        <v>2.4</v>
      </c>
      <c r="E31" s="3" t="n">
        <v>2.4</v>
      </c>
      <c r="F31" s="3" t="n">
        <v>2.4</v>
      </c>
      <c r="G31" s="3" t="n">
        <v>2.4</v>
      </c>
      <c r="H31" s="3" t="n">
        <v>2.4</v>
      </c>
      <c r="I31" s="3" t="n">
        <v>2.4</v>
      </c>
      <c r="J31" s="3" t="n">
        <v>2.4</v>
      </c>
      <c r="K31" s="3" t="n">
        <v>2.4</v>
      </c>
      <c r="L31" s="3" t="n">
        <v>2.4</v>
      </c>
    </row>
    <row r="32" customFormat="false" ht="15" hidden="false" customHeight="false" outlineLevel="0" collapsed="false">
      <c r="A32" s="0" t="s">
        <v>102</v>
      </c>
      <c r="C32" s="3" t="n">
        <v>2.7</v>
      </c>
      <c r="D32" s="3" t="n">
        <v>2.6</v>
      </c>
      <c r="E32" s="3" t="n">
        <v>2.5</v>
      </c>
      <c r="F32" s="3" t="n">
        <v>2.5</v>
      </c>
      <c r="G32" s="3" t="n">
        <v>2.5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103</v>
      </c>
      <c r="C33" s="3" t="n">
        <v>16</v>
      </c>
      <c r="D33" s="3" t="n">
        <v>17</v>
      </c>
      <c r="E33" s="3" t="n">
        <v>18</v>
      </c>
      <c r="F33" s="3" t="n">
        <v>19</v>
      </c>
      <c r="G33" s="3" t="n">
        <v>20</v>
      </c>
      <c r="H33" s="3" t="n">
        <v>21</v>
      </c>
      <c r="I33" s="3" t="n">
        <v>22</v>
      </c>
      <c r="J33" s="3" t="n">
        <v>23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104</v>
      </c>
      <c r="B34" s="3" t="n">
        <v>8.5</v>
      </c>
    </row>
    <row r="35" customFormat="false" ht="15" hidden="false" customHeight="false" outlineLevel="0" collapsed="false">
      <c r="A35" s="0" t="s">
        <v>105</v>
      </c>
      <c r="B35" s="3" t="n">
        <v>1.5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3</v>
      </c>
      <c r="D41" s="3" t="n">
        <v>0.5</v>
      </c>
      <c r="E41" s="3" t="n">
        <v>8.5</v>
      </c>
      <c r="F41" s="3" t="n">
        <v>-1</v>
      </c>
      <c r="G41" s="3" t="n">
        <v>4</v>
      </c>
      <c r="H41" s="3" t="n">
        <v>1</v>
      </c>
      <c r="I41" s="3" t="n">
        <v>7</v>
      </c>
      <c r="J41" s="3" t="n">
        <v>0</v>
      </c>
      <c r="K41" s="3" t="n">
        <v>3.5</v>
      </c>
      <c r="L41" s="3" t="n">
        <v>2</v>
      </c>
    </row>
    <row r="42" customFormat="false" ht="15" hidden="false" customHeight="false" outlineLevel="0" collapsed="false">
      <c r="A42" s="0" t="s">
        <v>98</v>
      </c>
      <c r="C42" s="3" t="n">
        <v>21</v>
      </c>
      <c r="D42" s="3" t="n">
        <v>20.5</v>
      </c>
      <c r="E42" s="3" t="n">
        <v>21.5</v>
      </c>
      <c r="F42" s="3" t="n">
        <v>21</v>
      </c>
      <c r="G42" s="3" t="n">
        <v>20.5</v>
      </c>
      <c r="H42" s="3" t="n">
        <v>20.5</v>
      </c>
      <c r="I42" s="3" t="n">
        <v>21</v>
      </c>
      <c r="J42" s="3" t="n">
        <v>20.5</v>
      </c>
      <c r="K42" s="3" t="n">
        <v>20.5</v>
      </c>
      <c r="L42" s="3" t="n">
        <v>20.5</v>
      </c>
    </row>
    <row r="43" customFormat="false" ht="15" hidden="false" customHeight="false" outlineLevel="0" collapsed="false">
      <c r="A43" s="0" t="s">
        <v>99</v>
      </c>
      <c r="C43" s="3" t="n">
        <v>0.77</v>
      </c>
      <c r="D43" s="3" t="n">
        <v>0.77</v>
      </c>
      <c r="E43" s="3" t="n">
        <v>0.77</v>
      </c>
      <c r="F43" s="3" t="n">
        <v>0.77</v>
      </c>
      <c r="G43" s="3" t="n">
        <v>0.77</v>
      </c>
      <c r="H43" s="3" t="n">
        <v>0.75</v>
      </c>
      <c r="I43" s="3" t="n">
        <v>0.75</v>
      </c>
      <c r="J43" s="3" t="n">
        <v>0.75</v>
      </c>
      <c r="K43" s="3" t="n">
        <v>0.75</v>
      </c>
      <c r="L43" s="3" t="n">
        <v>0.75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2.4</v>
      </c>
      <c r="D45" s="3" t="n">
        <v>2.4</v>
      </c>
      <c r="E45" s="3" t="n">
        <v>2.4</v>
      </c>
      <c r="F45" s="3" t="n">
        <v>2.4</v>
      </c>
      <c r="G45" s="3" t="n">
        <v>2.4</v>
      </c>
      <c r="H45" s="3" t="n">
        <v>2.4</v>
      </c>
      <c r="I45" s="3" t="n">
        <v>2.4</v>
      </c>
      <c r="J45" s="3" t="n">
        <v>2.4</v>
      </c>
      <c r="K45" s="3" t="n">
        <v>2.4</v>
      </c>
      <c r="L45" s="3" t="n">
        <v>2.4</v>
      </c>
    </row>
    <row r="46" customFormat="false" ht="15" hidden="false" customHeight="false" outlineLevel="0" collapsed="false">
      <c r="A46" s="0" t="s">
        <v>102</v>
      </c>
      <c r="C46" s="3" t="n">
        <v>2.6</v>
      </c>
      <c r="D46" s="3" t="n">
        <v>2.5</v>
      </c>
      <c r="E46" s="3" t="n">
        <v>2.4</v>
      </c>
      <c r="F46" s="3" t="n">
        <v>2.4</v>
      </c>
      <c r="G46" s="3" t="n">
        <v>2.4</v>
      </c>
      <c r="H46" s="3" t="n">
        <v>2.4</v>
      </c>
      <c r="I46" s="3" t="n">
        <v>2.4</v>
      </c>
      <c r="J46" s="3" t="n">
        <v>2.4</v>
      </c>
      <c r="K46" s="3" t="n">
        <v>2.4</v>
      </c>
      <c r="L46" s="3" t="n">
        <v>2.4</v>
      </c>
    </row>
    <row r="47" customFormat="false" ht="15" hidden="false" customHeight="false" outlineLevel="0" collapsed="false">
      <c r="A47" s="0" t="s">
        <v>103</v>
      </c>
      <c r="C47" s="3" t="n">
        <v>16</v>
      </c>
      <c r="D47" s="3" t="n">
        <v>17</v>
      </c>
      <c r="E47" s="3" t="n">
        <v>18</v>
      </c>
      <c r="F47" s="3" t="n">
        <v>19</v>
      </c>
      <c r="G47" s="3" t="n">
        <v>20</v>
      </c>
      <c r="H47" s="3" t="n">
        <v>21</v>
      </c>
      <c r="I47" s="3" t="n">
        <v>22</v>
      </c>
      <c r="J47" s="3" t="n">
        <v>23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104</v>
      </c>
      <c r="B48" s="3" t="n">
        <v>8.5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0</v>
      </c>
      <c r="D5" s="4" t="n">
        <f aca="false">Assumptions!D13</f>
        <v>-4</v>
      </c>
      <c r="E5" s="4" t="n">
        <f aca="false">Assumptions!E13</f>
        <v>4</v>
      </c>
      <c r="F5" s="4" t="n">
        <f aca="false">Assumptions!F13</f>
        <v>-5</v>
      </c>
      <c r="G5" s="4" t="n">
        <f aca="false">Assumptions!G13</f>
        <v>-0.5</v>
      </c>
      <c r="H5" s="4" t="n">
        <f aca="false">Assumptions!H13</f>
        <v>-3</v>
      </c>
      <c r="I5" s="4" t="n">
        <f aca="false">Assumptions!I13</f>
        <v>2.5</v>
      </c>
      <c r="J5" s="4" t="n">
        <f aca="false">Assumptions!J13</f>
        <v>-4</v>
      </c>
      <c r="K5" s="4" t="n">
        <f aca="false">Assumptions!K13</f>
        <v>-1</v>
      </c>
      <c r="L5" s="4" t="n">
        <f aca="false">Assumptions!L13</f>
        <v>-2</v>
      </c>
    </row>
    <row r="6" customFormat="false" ht="15" hidden="false" customHeight="false" outlineLevel="0" collapsed="false">
      <c r="A6" s="0" t="s">
        <v>37</v>
      </c>
      <c r="B6" s="3" t="n">
        <v>17126</v>
      </c>
      <c r="C6" s="0" t="n">
        <f aca="false">B6*(1+C5/100)</f>
        <v>17126</v>
      </c>
      <c r="D6" s="0" t="n">
        <f aca="false">C6*(1+D5/100)</f>
        <v>16440.96</v>
      </c>
      <c r="E6" s="0" t="n">
        <f aca="false">D6*(1+E5/100)</f>
        <v>17098.5984</v>
      </c>
      <c r="F6" s="0" t="n">
        <f aca="false">E6*(1+F5/100)</f>
        <v>16243.66848</v>
      </c>
      <c r="G6" s="0" t="n">
        <f aca="false">F6*(1+G5/100)</f>
        <v>16162.4501376</v>
      </c>
      <c r="H6" s="0" t="n">
        <f aca="false">G6*(1+H5/100)</f>
        <v>15677.576633472</v>
      </c>
      <c r="I6" s="0" t="n">
        <f aca="false">H6*(1+I5/100)</f>
        <v>16069.5160493088</v>
      </c>
      <c r="J6" s="0" t="n">
        <f aca="false">I6*(1+J5/100)</f>
        <v>15426.7354073364</v>
      </c>
      <c r="K6" s="0" t="n">
        <f aca="false">J6*(1+K5/100)</f>
        <v>15272.4680532631</v>
      </c>
      <c r="L6" s="0" t="n">
        <f aca="false">K6*(1+L5/100)</f>
        <v>14967.0186921978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20</v>
      </c>
      <c r="D7" s="4" t="n">
        <f aca="false">Assumptions!D14</f>
        <v>18</v>
      </c>
      <c r="E7" s="4" t="n">
        <f aca="false">Assumptions!E14</f>
        <v>18.5</v>
      </c>
      <c r="F7" s="4" t="n">
        <f aca="false">Assumptions!F14</f>
        <v>17</v>
      </c>
      <c r="G7" s="4" t="n">
        <f aca="false">Assumptions!G14</f>
        <v>15.5</v>
      </c>
      <c r="H7" s="4" t="n">
        <f aca="false">Assumptions!H14</f>
        <v>14.5</v>
      </c>
      <c r="I7" s="4" t="n">
        <f aca="false">Assumptions!I14</f>
        <v>14.5</v>
      </c>
      <c r="J7" s="4" t="n">
        <f aca="false">Assumptions!J14</f>
        <v>14</v>
      </c>
      <c r="K7" s="4" t="n">
        <f aca="false">Assumptions!K14</f>
        <v>14</v>
      </c>
      <c r="L7" s="4" t="n">
        <f aca="false">Assumptions!L14</f>
        <v>14</v>
      </c>
    </row>
    <row r="8" customFormat="false" ht="15" hidden="false" customHeight="false" outlineLevel="0" collapsed="false">
      <c r="A8" s="0" t="s">
        <v>43</v>
      </c>
      <c r="C8" s="0" t="n">
        <f aca="false">C6*C7/100</f>
        <v>3425.2</v>
      </c>
      <c r="D8" s="0" t="n">
        <f aca="false">D6*D7/100</f>
        <v>2959.3728</v>
      </c>
      <c r="E8" s="0" t="n">
        <f aca="false">E6*E7/100</f>
        <v>3163.240704</v>
      </c>
      <c r="F8" s="0" t="n">
        <f aca="false">F6*F7/100</f>
        <v>2761.4236416</v>
      </c>
      <c r="G8" s="0" t="n">
        <f aca="false">G6*G7/100</f>
        <v>2505.179771328</v>
      </c>
      <c r="H8" s="0" t="n">
        <f aca="false">H6*H7/100</f>
        <v>2273.24861185344</v>
      </c>
      <c r="I8" s="0" t="n">
        <f aca="false">I6*I7/100</f>
        <v>2330.07982714978</v>
      </c>
      <c r="J8" s="0" t="n">
        <f aca="false">J6*J7/100</f>
        <v>2159.7429570271</v>
      </c>
      <c r="K8" s="0" t="n">
        <f aca="false">K6*K7/100</f>
        <v>2138.14552745683</v>
      </c>
      <c r="L8" s="0" t="n">
        <f aca="false">L6*L7/100</f>
        <v>2095.38261690769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0.77</v>
      </c>
      <c r="D9" s="4" t="n">
        <f aca="false">Assumptions!D15</f>
        <v>0.8</v>
      </c>
      <c r="E9" s="4" t="n">
        <f aca="false">Assumptions!E15</f>
        <v>0.8</v>
      </c>
      <c r="F9" s="4" t="n">
        <f aca="false">Assumptions!F15</f>
        <v>0.85</v>
      </c>
      <c r="G9" s="4" t="n">
        <f aca="false">Assumptions!G15</f>
        <v>0.85</v>
      </c>
      <c r="H9" s="4" t="n">
        <f aca="false">Assumptions!H15</f>
        <v>0.85</v>
      </c>
      <c r="I9" s="4" t="n">
        <f aca="false">Assumptions!I15</f>
        <v>0.85</v>
      </c>
      <c r="J9" s="4" t="n">
        <f aca="false">Assumptions!J15</f>
        <v>0.85</v>
      </c>
      <c r="K9" s="4" t="n">
        <f aca="false">Assumptions!K15</f>
        <v>0.85</v>
      </c>
      <c r="L9" s="4" t="n">
        <f aca="false">Assumptions!L15</f>
        <v>0.85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-131.8702</v>
      </c>
      <c r="D10" s="0" t="n">
        <f aca="false">-D6*D9/100</f>
        <v>-131.52768</v>
      </c>
      <c r="E10" s="0" t="n">
        <f aca="false">-E6*E9/100</f>
        <v>-136.7887872</v>
      </c>
      <c r="F10" s="0" t="n">
        <f aca="false">-F6*F9/100</f>
        <v>-138.07118208</v>
      </c>
      <c r="G10" s="0" t="n">
        <f aca="false">-G6*G9/100</f>
        <v>-137.3808261696</v>
      </c>
      <c r="H10" s="0" t="n">
        <f aca="false">-H6*H9/100</f>
        <v>-133.259401384512</v>
      </c>
      <c r="I10" s="0" t="n">
        <f aca="false">-I6*I9/100</f>
        <v>-136.590886419125</v>
      </c>
      <c r="J10" s="0" t="n">
        <f aca="false">-J6*J9/100</f>
        <v>-131.12725096236</v>
      </c>
      <c r="K10" s="0" t="n">
        <f aca="false">-K6*K9/100</f>
        <v>-129.815978452736</v>
      </c>
      <c r="L10" s="0" t="n">
        <f aca="false">-L6*L9/100</f>
        <v>-127.219658883681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3293.3298</v>
      </c>
      <c r="D11" s="0" t="n">
        <f aca="false">D8+D10+D24</f>
        <v>2827.84512</v>
      </c>
      <c r="E11" s="0" t="n">
        <f aca="false">E8+E10+E24</f>
        <v>3026.4519168</v>
      </c>
      <c r="F11" s="0" t="n">
        <f aca="false">F8+F10+F24</f>
        <v>2623.35245952</v>
      </c>
      <c r="G11" s="0" t="n">
        <f aca="false">G8+G10+G24</f>
        <v>2367.7989451584</v>
      </c>
      <c r="H11" s="0" t="n">
        <f aca="false">H8+H10+H24</f>
        <v>2139.98921046893</v>
      </c>
      <c r="I11" s="0" t="n">
        <f aca="false">I8+I10+I24</f>
        <v>2193.48894073065</v>
      </c>
      <c r="J11" s="0" t="n">
        <f aca="false">J8+J10+J24</f>
        <v>2028.61570606474</v>
      </c>
      <c r="K11" s="0" t="n">
        <f aca="false">K8+K10+K24</f>
        <v>2008.3295490041</v>
      </c>
      <c r="L11" s="0" t="n">
        <f aca="false">L8+L10+L24</f>
        <v>1968.16295802401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-428.15</v>
      </c>
      <c r="D12" s="4" t="n">
        <f aca="false">-D6*Assumptions!D17/100</f>
        <v>-411.024</v>
      </c>
      <c r="E12" s="4" t="n">
        <f aca="false">-E6*Assumptions!E17/100</f>
        <v>-427.46496</v>
      </c>
      <c r="F12" s="4" t="n">
        <f aca="false">-F6*Assumptions!F17/100</f>
        <v>-406.091712</v>
      </c>
      <c r="G12" s="4" t="n">
        <f aca="false">-G6*Assumptions!G17/100</f>
        <v>-404.06125344</v>
      </c>
      <c r="H12" s="4" t="n">
        <f aca="false">-H6*Assumptions!H17/100</f>
        <v>-391.9394158368</v>
      </c>
      <c r="I12" s="4" t="n">
        <f aca="false">-I6*Assumptions!I17/100</f>
        <v>-401.73790123272</v>
      </c>
      <c r="J12" s="4" t="n">
        <f aca="false">-J6*Assumptions!J17/100</f>
        <v>-385.668385183411</v>
      </c>
      <c r="K12" s="4" t="n">
        <f aca="false">-K6*Assumptions!K17/100</f>
        <v>-381.811701331577</v>
      </c>
      <c r="L12" s="4" t="n">
        <f aca="false">-L6*Assumptions!L17/100</f>
        <v>-374.175467304945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2865.1798</v>
      </c>
      <c r="D13" s="0" t="n">
        <f aca="false">D11+D12</f>
        <v>2416.82112</v>
      </c>
      <c r="E13" s="0" t="n">
        <f aca="false">E11+E12</f>
        <v>2598.9869568</v>
      </c>
      <c r="F13" s="0" t="n">
        <f aca="false">F11+F12</f>
        <v>2217.26074752</v>
      </c>
      <c r="G13" s="0" t="n">
        <f aca="false">G11+G12</f>
        <v>1963.7376917184</v>
      </c>
      <c r="H13" s="0" t="n">
        <f aca="false">H11+H12</f>
        <v>1748.04979463213</v>
      </c>
      <c r="I13" s="0" t="n">
        <f aca="false">I11+I12</f>
        <v>1791.75103949793</v>
      </c>
      <c r="J13" s="0" t="n">
        <f aca="false">J11+J12</f>
        <v>1642.94732088133</v>
      </c>
      <c r="K13" s="0" t="n">
        <f aca="false">K11+K12</f>
        <v>1626.51784767252</v>
      </c>
      <c r="L13" s="0" t="n">
        <f aca="false">L11+L12</f>
        <v>1593.98749071907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16</v>
      </c>
      <c r="D14" s="4" t="n">
        <f aca="false">Assumptions!D19</f>
        <v>17</v>
      </c>
      <c r="E14" s="4" t="n">
        <f aca="false">Assumptions!E19</f>
        <v>18</v>
      </c>
      <c r="F14" s="4" t="n">
        <f aca="false">Assumptions!F19</f>
        <v>19</v>
      </c>
      <c r="G14" s="4" t="n">
        <f aca="false">Assumptions!G19</f>
        <v>20</v>
      </c>
      <c r="H14" s="4" t="n">
        <f aca="false">Assumptions!H19</f>
        <v>21</v>
      </c>
      <c r="I14" s="4" t="n">
        <f aca="false">Assumptions!I19</f>
        <v>22</v>
      </c>
      <c r="J14" s="4" t="n">
        <f aca="false">Assumptions!J19</f>
        <v>23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2406.751032</v>
      </c>
      <c r="D15" s="0" t="n">
        <f aca="false">D13-MAX(0,D13)*D14/100</f>
        <v>2005.9615296</v>
      </c>
      <c r="E15" s="0" t="n">
        <f aca="false">E13-MAX(0,E13)*E14/100</f>
        <v>2131.169304576</v>
      </c>
      <c r="F15" s="0" t="n">
        <f aca="false">F13-MAX(0,F13)*F14/100</f>
        <v>1795.9812054912</v>
      </c>
      <c r="G15" s="0" t="n">
        <f aca="false">G13-MAX(0,G13)*G14/100</f>
        <v>1570.99015337472</v>
      </c>
      <c r="H15" s="0" t="n">
        <f aca="false">H13-MAX(0,H13)*H14/100</f>
        <v>1380.95933775938</v>
      </c>
      <c r="I15" s="0" t="n">
        <f aca="false">I13-MAX(0,I13)*I14/100</f>
        <v>1397.56581080839</v>
      </c>
      <c r="J15" s="0" t="n">
        <f aca="false">J13-MAX(0,J13)*J14/100</f>
        <v>1265.06943707863</v>
      </c>
      <c r="K15" s="0" t="n">
        <f aca="false">K13-MAX(0,K13)*K14/100</f>
        <v>1236.15356423111</v>
      </c>
      <c r="L15" s="0" t="n">
        <f aca="false">L13-MAX(0,L13)*L14/100</f>
        <v>1211.43049294649</v>
      </c>
    </row>
    <row r="16" customFormat="false" ht="15" hidden="false" customHeight="false" outlineLevel="0" collapsed="false">
      <c r="A16" s="0" t="s">
        <v>119</v>
      </c>
      <c r="C16" s="0" t="n">
        <f aca="false">-C12</f>
        <v>428.15</v>
      </c>
      <c r="D16" s="0" t="n">
        <f aca="false">-D12</f>
        <v>411.024</v>
      </c>
      <c r="E16" s="0" t="n">
        <f aca="false">-E12</f>
        <v>427.46496</v>
      </c>
      <c r="F16" s="0" t="n">
        <f aca="false">-F12</f>
        <v>406.091712</v>
      </c>
      <c r="G16" s="0" t="n">
        <f aca="false">-G12</f>
        <v>404.06125344</v>
      </c>
      <c r="H16" s="0" t="n">
        <f aca="false">-H12</f>
        <v>391.9394158368</v>
      </c>
      <c r="I16" s="0" t="n">
        <f aca="false">-I12</f>
        <v>401.73790123272</v>
      </c>
      <c r="J16" s="0" t="n">
        <f aca="false">-J12</f>
        <v>385.668385183411</v>
      </c>
      <c r="K16" s="0" t="n">
        <f aca="false">-K12</f>
        <v>381.811701331577</v>
      </c>
      <c r="L16" s="0" t="n">
        <f aca="false">-L12</f>
        <v>374.175467304945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-479.528</v>
      </c>
      <c r="D17" s="4" t="n">
        <f aca="false">-D6*Assumptions!D18/100</f>
        <v>-460.34688</v>
      </c>
      <c r="E17" s="4" t="n">
        <f aca="false">-E6*Assumptions!E18/100</f>
        <v>-461.6621568</v>
      </c>
      <c r="F17" s="4" t="n">
        <f aca="false">-F6*Assumptions!F18/100</f>
        <v>-438.57904896</v>
      </c>
      <c r="G17" s="4" t="n">
        <f aca="false">-G6*Assumptions!G18/100</f>
        <v>-436.3861537152</v>
      </c>
      <c r="H17" s="4" t="n">
        <f aca="false">-H6*Assumptions!H18/100</f>
        <v>-423.294569103744</v>
      </c>
      <c r="I17" s="4" t="n">
        <f aca="false">-I6*Assumptions!I18/100</f>
        <v>-433.876933331338</v>
      </c>
      <c r="J17" s="4" t="n">
        <f aca="false">-J6*Assumptions!J18/100</f>
        <v>-416.521855998084</v>
      </c>
      <c r="K17" s="4" t="n">
        <f aca="false">-K6*Assumptions!K18/100</f>
        <v>-412.356637438103</v>
      </c>
      <c r="L17" s="4" t="n">
        <f aca="false">-L6*Assumptions!L18/100</f>
        <v>-404.109504689341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0</v>
      </c>
      <c r="J18" s="4" t="n">
        <f aca="false">(J6-I6)*Assumptions!$B$23/100</f>
        <v>-0</v>
      </c>
      <c r="K18" s="4" t="n">
        <f aca="false">(K6-J6)*Assumptions!$B$23/100</f>
        <v>-0</v>
      </c>
      <c r="L18" s="4" t="n">
        <f aca="false">(L6-K6)*Assumptions!$B$23/100</f>
        <v>-0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2355.373032</v>
      </c>
      <c r="D19" s="0" t="n">
        <f aca="false">D15+D16+D17+D18</f>
        <v>1956.6386496</v>
      </c>
      <c r="E19" s="0" t="n">
        <f aca="false">E15+E16+E17+E18</f>
        <v>2096.972107776</v>
      </c>
      <c r="F19" s="0" t="n">
        <f aca="false">F15+F16+F17+F18</f>
        <v>1763.4938685312</v>
      </c>
      <c r="G19" s="0" t="n">
        <f aca="false">G15+G16+G17+G18</f>
        <v>1538.66525309952</v>
      </c>
      <c r="H19" s="0" t="n">
        <f aca="false">H15+H16+H17+H18</f>
        <v>1349.60418449244</v>
      </c>
      <c r="I19" s="0" t="n">
        <f aca="false">I15+I16+I17+I18</f>
        <v>1365.42677870977</v>
      </c>
      <c r="J19" s="0" t="n">
        <f aca="false">J15+J16+J17+J18</f>
        <v>1234.21596626395</v>
      </c>
      <c r="K19" s="0" t="n">
        <f aca="false">K15+K16+K17+K18</f>
        <v>1205.60862812459</v>
      </c>
      <c r="L19" s="0" t="n">
        <f aca="false">L15+L16+L17+L18</f>
        <v>1181.4964555621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2170.85072073733</v>
      </c>
      <c r="D21" s="0" t="n">
        <f aca="false">D19*D20</f>
        <v>1662.07704525473</v>
      </c>
      <c r="E21" s="0" t="n">
        <f aca="false">E19*E20</f>
        <v>1641.73644536119</v>
      </c>
      <c r="F21" s="0" t="n">
        <f aca="false">F19*F20</f>
        <v>1272.49182599633</v>
      </c>
      <c r="G21" s="0" t="n">
        <f aca="false">G19*G20</f>
        <v>1023.28228454678</v>
      </c>
      <c r="H21" s="0" t="n">
        <f aca="false">H19*H20</f>
        <v>827.233259122228</v>
      </c>
      <c r="I21" s="0" t="n">
        <f aca="false">I19*I20</f>
        <v>771.365567343884</v>
      </c>
      <c r="J21" s="0" t="n">
        <f aca="false">J19*J20</f>
        <v>642.61854551792</v>
      </c>
      <c r="K21" s="0" t="n">
        <f aca="false">K19*K20</f>
        <v>578.547077021428</v>
      </c>
      <c r="L21" s="0" t="n">
        <f aca="false">L19*L20</f>
        <v>522.558650212902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11112.7614211147</v>
      </c>
    </row>
    <row r="31" customFormat="false" ht="15" hidden="false" customHeight="false" outlineLevel="0" collapsed="false">
      <c r="A31" s="0" t="s">
        <v>128</v>
      </c>
      <c r="B31" s="0" t="n">
        <f aca="false">L19</f>
        <v>1181.4964555621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13899.9583007305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14177.9574667451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13899.9583007305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6147.74882603414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17260.5102471489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12140.5102471489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28.3922129259795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-0.497838469650167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877.034280754356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661.969407414368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31.9913796429317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7876.64303708064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13.1938991683869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1.5</v>
      </c>
      <c r="D5" s="4" t="n">
        <f aca="false">Assumptions!D27</f>
        <v>-1.5</v>
      </c>
      <c r="E5" s="4" t="n">
        <f aca="false">Assumptions!E27</f>
        <v>7</v>
      </c>
      <c r="F5" s="4" t="n">
        <f aca="false">Assumptions!F27</f>
        <v>-2.5</v>
      </c>
      <c r="G5" s="4" t="n">
        <f aca="false">Assumptions!G27</f>
        <v>2.5</v>
      </c>
      <c r="H5" s="4" t="n">
        <f aca="false">Assumptions!H27</f>
        <v>-0.5</v>
      </c>
      <c r="I5" s="4" t="n">
        <f aca="false">Assumptions!I27</f>
        <v>5.5</v>
      </c>
      <c r="J5" s="4" t="n">
        <f aca="false">Assumptions!J27</f>
        <v>-1.5</v>
      </c>
      <c r="K5" s="4" t="n">
        <f aca="false">Assumptions!K27</f>
        <v>2</v>
      </c>
      <c r="L5" s="4" t="n">
        <f aca="false">Assumptions!L27</f>
        <v>0.5</v>
      </c>
    </row>
    <row r="6" customFormat="false" ht="15" hidden="false" customHeight="false" outlineLevel="0" collapsed="false">
      <c r="A6" s="0" t="s">
        <v>37</v>
      </c>
      <c r="B6" s="3" t="n">
        <v>17126</v>
      </c>
      <c r="C6" s="0" t="n">
        <f aca="false">B6*(1+C5/100)</f>
        <v>17382.89</v>
      </c>
      <c r="D6" s="0" t="n">
        <f aca="false">C6*(1+D5/100)</f>
        <v>17122.14665</v>
      </c>
      <c r="E6" s="0" t="n">
        <f aca="false">D6*(1+E5/100)</f>
        <v>18320.6969155</v>
      </c>
      <c r="F6" s="0" t="n">
        <f aca="false">E6*(1+F5/100)</f>
        <v>17862.6794926125</v>
      </c>
      <c r="G6" s="0" t="n">
        <f aca="false">F6*(1+G5/100)</f>
        <v>18309.2464799278</v>
      </c>
      <c r="H6" s="0" t="n">
        <f aca="false">G6*(1+H5/100)</f>
        <v>18217.7002475282</v>
      </c>
      <c r="I6" s="0" t="n">
        <f aca="false">H6*(1+I5/100)</f>
        <v>19219.6737611422</v>
      </c>
      <c r="J6" s="0" t="n">
        <f aca="false">I6*(1+J5/100)</f>
        <v>18931.3786547251</v>
      </c>
      <c r="K6" s="0" t="n">
        <f aca="false">J6*(1+K5/100)</f>
        <v>19310.0062278196</v>
      </c>
      <c r="L6" s="0" t="n">
        <f aca="false">K6*(1+L5/100)</f>
        <v>19406.5562589587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20.5</v>
      </c>
      <c r="D7" s="4" t="n">
        <f aca="false">Assumptions!D28</f>
        <v>19.5</v>
      </c>
      <c r="E7" s="4" t="n">
        <f aca="false">Assumptions!E28</f>
        <v>20.5</v>
      </c>
      <c r="F7" s="4" t="n">
        <f aca="false">Assumptions!F28</f>
        <v>19.5</v>
      </c>
      <c r="G7" s="4" t="n">
        <f aca="false">Assumptions!G28</f>
        <v>18.5</v>
      </c>
      <c r="H7" s="4" t="n">
        <f aca="false">Assumptions!H28</f>
        <v>18</v>
      </c>
      <c r="I7" s="4" t="n">
        <f aca="false">Assumptions!I28</f>
        <v>18.5</v>
      </c>
      <c r="J7" s="4" t="n">
        <f aca="false">Assumptions!J28</f>
        <v>18</v>
      </c>
      <c r="K7" s="4" t="n">
        <f aca="false">Assumptions!K28</f>
        <v>18</v>
      </c>
      <c r="L7" s="4" t="n">
        <f aca="false">Assumptions!L28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3563.49245</v>
      </c>
      <c r="D8" s="0" t="n">
        <f aca="false">D6*D7/100</f>
        <v>3338.81859675</v>
      </c>
      <c r="E8" s="0" t="n">
        <f aca="false">E6*E7/100</f>
        <v>3755.7428676775</v>
      </c>
      <c r="F8" s="0" t="n">
        <f aca="false">F6*F7/100</f>
        <v>3483.22250105944</v>
      </c>
      <c r="G8" s="0" t="n">
        <f aca="false">G6*G7/100</f>
        <v>3387.21059878665</v>
      </c>
      <c r="H8" s="0" t="n">
        <f aca="false">H6*H7/100</f>
        <v>3279.18604455507</v>
      </c>
      <c r="I8" s="0" t="n">
        <f aca="false">I6*I7/100</f>
        <v>3555.63964581131</v>
      </c>
      <c r="J8" s="0" t="n">
        <f aca="false">J6*J7/100</f>
        <v>3407.64815785052</v>
      </c>
      <c r="K8" s="0" t="n">
        <f aca="false">K6*K7/100</f>
        <v>3475.80112100753</v>
      </c>
      <c r="L8" s="0" t="n">
        <f aca="false">L6*L7/100</f>
        <v>3493.18012661256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0.77</v>
      </c>
      <c r="D9" s="4" t="n">
        <f aca="false">Assumptions!D29</f>
        <v>0.77</v>
      </c>
      <c r="E9" s="4" t="n">
        <f aca="false">Assumptions!E29</f>
        <v>0.77</v>
      </c>
      <c r="F9" s="4" t="n">
        <f aca="false">Assumptions!F29</f>
        <v>0.77</v>
      </c>
      <c r="G9" s="4" t="n">
        <f aca="false">Assumptions!G29</f>
        <v>0.77</v>
      </c>
      <c r="H9" s="4" t="n">
        <f aca="false">Assumptions!H29</f>
        <v>0.75</v>
      </c>
      <c r="I9" s="4" t="n">
        <f aca="false">Assumptions!I29</f>
        <v>0.75</v>
      </c>
      <c r="J9" s="4" t="n">
        <f aca="false">Assumptions!J29</f>
        <v>0.75</v>
      </c>
      <c r="K9" s="4" t="n">
        <f aca="false">Assumptions!K29</f>
        <v>0.75</v>
      </c>
      <c r="L9" s="4" t="n">
        <f aca="false">Assumptions!L29</f>
        <v>0.75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-133.848253</v>
      </c>
      <c r="D10" s="0" t="n">
        <f aca="false">-D6*D9/100</f>
        <v>-131.840529205</v>
      </c>
      <c r="E10" s="0" t="n">
        <f aca="false">-E6*E9/100</f>
        <v>-141.06936624935</v>
      </c>
      <c r="F10" s="0" t="n">
        <f aca="false">-F6*F9/100</f>
        <v>-137.542632093116</v>
      </c>
      <c r="G10" s="0" t="n">
        <f aca="false">-G6*G9/100</f>
        <v>-140.981197895444</v>
      </c>
      <c r="H10" s="0" t="n">
        <f aca="false">-H6*H9/100</f>
        <v>-136.632751856461</v>
      </c>
      <c r="I10" s="0" t="n">
        <f aca="false">-I6*I9/100</f>
        <v>-144.147553208567</v>
      </c>
      <c r="J10" s="0" t="n">
        <f aca="false">-J6*J9/100</f>
        <v>-141.985339910438</v>
      </c>
      <c r="K10" s="0" t="n">
        <f aca="false">-K6*K9/100</f>
        <v>-144.825046708647</v>
      </c>
      <c r="L10" s="0" t="n">
        <f aca="false">-L6*L9/100</f>
        <v>-145.54917194219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3429.644197</v>
      </c>
      <c r="D11" s="0" t="n">
        <f aca="false">D8+D10+D24</f>
        <v>3206.978067545</v>
      </c>
      <c r="E11" s="0" t="n">
        <f aca="false">E8+E10+E24</f>
        <v>3614.67350142815</v>
      </c>
      <c r="F11" s="0" t="n">
        <f aca="false">F8+F10+F24</f>
        <v>3345.67986896632</v>
      </c>
      <c r="G11" s="0" t="n">
        <f aca="false">G8+G10+G24</f>
        <v>3246.2294008912</v>
      </c>
      <c r="H11" s="0" t="n">
        <f aca="false">H8+H10+H24</f>
        <v>3142.55329269861</v>
      </c>
      <c r="I11" s="0" t="n">
        <f aca="false">I8+I10+I24</f>
        <v>3411.49209260274</v>
      </c>
      <c r="J11" s="0" t="n">
        <f aca="false">J8+J10+J24</f>
        <v>3265.66281794008</v>
      </c>
      <c r="K11" s="0" t="n">
        <f aca="false">K8+K10+K24</f>
        <v>3330.97607429888</v>
      </c>
      <c r="L11" s="0" t="n">
        <f aca="false">L8+L10+L24</f>
        <v>3347.63095467037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-417.18936</v>
      </c>
      <c r="D12" s="4" t="n">
        <f aca="false">-D6*Assumptions!D31/100</f>
        <v>-410.9315196</v>
      </c>
      <c r="E12" s="4" t="n">
        <f aca="false">-E6*Assumptions!E31/100</f>
        <v>-439.696725972</v>
      </c>
      <c r="F12" s="4" t="n">
        <f aca="false">-F6*Assumptions!F31/100</f>
        <v>-428.7043078227</v>
      </c>
      <c r="G12" s="4" t="n">
        <f aca="false">-G6*Assumptions!G31/100</f>
        <v>-439.421915518267</v>
      </c>
      <c r="H12" s="4" t="n">
        <f aca="false">-H6*Assumptions!H31/100</f>
        <v>-437.224805940676</v>
      </c>
      <c r="I12" s="4" t="n">
        <f aca="false">-I6*Assumptions!I31/100</f>
        <v>-461.272170267413</v>
      </c>
      <c r="J12" s="4" t="n">
        <f aca="false">-J6*Assumptions!J31/100</f>
        <v>-454.353087713402</v>
      </c>
      <c r="K12" s="4" t="n">
        <f aca="false">-K6*Assumptions!K31/100</f>
        <v>-463.44014946767</v>
      </c>
      <c r="L12" s="4" t="n">
        <f aca="false">-L6*Assumptions!L31/100</f>
        <v>-465.757350215008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3012.454837</v>
      </c>
      <c r="D13" s="0" t="n">
        <f aca="false">D11+D12</f>
        <v>2796.046547945</v>
      </c>
      <c r="E13" s="0" t="n">
        <f aca="false">E11+E12</f>
        <v>3174.97677545615</v>
      </c>
      <c r="F13" s="0" t="n">
        <f aca="false">F11+F12</f>
        <v>2916.97556114362</v>
      </c>
      <c r="G13" s="0" t="n">
        <f aca="false">G11+G12</f>
        <v>2806.80748537293</v>
      </c>
      <c r="H13" s="0" t="n">
        <f aca="false">H11+H12</f>
        <v>2705.32848675793</v>
      </c>
      <c r="I13" s="0" t="n">
        <f aca="false">I11+I12</f>
        <v>2950.21992233533</v>
      </c>
      <c r="J13" s="0" t="n">
        <f aca="false">J11+J12</f>
        <v>2811.30973022668</v>
      </c>
      <c r="K13" s="0" t="n">
        <f aca="false">K11+K12</f>
        <v>2867.53592483121</v>
      </c>
      <c r="L13" s="0" t="n">
        <f aca="false">L11+L12</f>
        <v>2881.87360445536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16</v>
      </c>
      <c r="D14" s="4" t="n">
        <f aca="false">Assumptions!D33</f>
        <v>17</v>
      </c>
      <c r="E14" s="4" t="n">
        <f aca="false">Assumptions!E33</f>
        <v>18</v>
      </c>
      <c r="F14" s="4" t="n">
        <f aca="false">Assumptions!F33</f>
        <v>19</v>
      </c>
      <c r="G14" s="4" t="n">
        <f aca="false">Assumptions!G33</f>
        <v>20</v>
      </c>
      <c r="H14" s="4" t="n">
        <f aca="false">Assumptions!H33</f>
        <v>21</v>
      </c>
      <c r="I14" s="4" t="n">
        <f aca="false">Assumptions!I33</f>
        <v>22</v>
      </c>
      <c r="J14" s="4" t="n">
        <f aca="false">Assumptions!J33</f>
        <v>23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2530.46206308</v>
      </c>
      <c r="D15" s="0" t="n">
        <f aca="false">D13-MAX(0,D13)*D14/100</f>
        <v>2320.71863479435</v>
      </c>
      <c r="E15" s="0" t="n">
        <f aca="false">E13-MAX(0,E13)*E14/100</f>
        <v>2603.48095587404</v>
      </c>
      <c r="F15" s="0" t="n">
        <f aca="false">F13-MAX(0,F13)*F14/100</f>
        <v>2362.75020452633</v>
      </c>
      <c r="G15" s="0" t="n">
        <f aca="false">G13-MAX(0,G13)*G14/100</f>
        <v>2245.44598829835</v>
      </c>
      <c r="H15" s="0" t="n">
        <f aca="false">H13-MAX(0,H13)*H14/100</f>
        <v>2137.20950453877</v>
      </c>
      <c r="I15" s="0" t="n">
        <f aca="false">I13-MAX(0,I13)*I14/100</f>
        <v>2301.17153942156</v>
      </c>
      <c r="J15" s="0" t="n">
        <f aca="false">J13-MAX(0,J13)*J14/100</f>
        <v>2164.70849227454</v>
      </c>
      <c r="K15" s="0" t="n">
        <f aca="false">K13-MAX(0,K13)*K14/100</f>
        <v>2179.32730287172</v>
      </c>
      <c r="L15" s="0" t="n">
        <f aca="false">L13-MAX(0,L13)*L14/100</f>
        <v>2190.22393938608</v>
      </c>
    </row>
    <row r="16" customFormat="false" ht="15" hidden="false" customHeight="false" outlineLevel="0" collapsed="false">
      <c r="A16" s="0" t="s">
        <v>119</v>
      </c>
      <c r="C16" s="0" t="n">
        <f aca="false">-C12</f>
        <v>417.18936</v>
      </c>
      <c r="D16" s="0" t="n">
        <f aca="false">-D12</f>
        <v>410.9315196</v>
      </c>
      <c r="E16" s="0" t="n">
        <f aca="false">-E12</f>
        <v>439.696725972</v>
      </c>
      <c r="F16" s="0" t="n">
        <f aca="false">-F12</f>
        <v>428.7043078227</v>
      </c>
      <c r="G16" s="0" t="n">
        <f aca="false">-G12</f>
        <v>439.421915518267</v>
      </c>
      <c r="H16" s="0" t="n">
        <f aca="false">-H12</f>
        <v>437.224805940676</v>
      </c>
      <c r="I16" s="0" t="n">
        <f aca="false">-I12</f>
        <v>461.272170267413</v>
      </c>
      <c r="J16" s="0" t="n">
        <f aca="false">-J12</f>
        <v>454.353087713402</v>
      </c>
      <c r="K16" s="0" t="n">
        <f aca="false">-K12</f>
        <v>463.44014946767</v>
      </c>
      <c r="L16" s="0" t="n">
        <f aca="false">-L12</f>
        <v>465.757350215008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-469.33803</v>
      </c>
      <c r="D17" s="4" t="n">
        <f aca="false">-D6*Assumptions!D32/100</f>
        <v>-445.1758129</v>
      </c>
      <c r="E17" s="4" t="n">
        <f aca="false">-E6*Assumptions!E32/100</f>
        <v>-458.0174228875</v>
      </c>
      <c r="F17" s="4" t="n">
        <f aca="false">-F6*Assumptions!F32/100</f>
        <v>-446.566987315313</v>
      </c>
      <c r="G17" s="4" t="n">
        <f aca="false">-G6*Assumptions!G32/100</f>
        <v>-457.731161998195</v>
      </c>
      <c r="H17" s="4" t="n">
        <f aca="false">-H6*Assumptions!H32/100</f>
        <v>-455.442506188204</v>
      </c>
      <c r="I17" s="4" t="n">
        <f aca="false">-I6*Assumptions!I32/100</f>
        <v>-480.491844028555</v>
      </c>
      <c r="J17" s="4" t="n">
        <f aca="false">-J6*Assumptions!J32/100</f>
        <v>-473.284466368127</v>
      </c>
      <c r="K17" s="4" t="n">
        <f aca="false">-K6*Assumptions!K32/100</f>
        <v>-482.75015569549</v>
      </c>
      <c r="L17" s="4" t="n">
        <f aca="false">-L6*Assumptions!L32/100</f>
        <v>-485.163906473967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-0</v>
      </c>
      <c r="G18" s="4" t="n">
        <f aca="false">(G6-F6)*Assumptions!$B$37/100</f>
        <v>0</v>
      </c>
      <c r="H18" s="4" t="n">
        <f aca="false">(H6-G6)*Assumptions!$B$37/100</f>
        <v>-0</v>
      </c>
      <c r="I18" s="4" t="n">
        <f aca="false">(I6-H6)*Assumptions!$B$37/100</f>
        <v>0</v>
      </c>
      <c r="J18" s="4" t="n">
        <f aca="false">(J6-I6)*Assumptions!$B$37/100</f>
        <v>-0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2478.31339308</v>
      </c>
      <c r="D19" s="0" t="n">
        <f aca="false">D15+D16+D17+D18</f>
        <v>2286.47434149435</v>
      </c>
      <c r="E19" s="0" t="n">
        <f aca="false">E15+E16+E17+E18</f>
        <v>2585.16025895854</v>
      </c>
      <c r="F19" s="0" t="n">
        <f aca="false">F15+F16+F17+F18</f>
        <v>2344.88752503372</v>
      </c>
      <c r="G19" s="0" t="n">
        <f aca="false">G15+G16+G17+G18</f>
        <v>2227.13674181842</v>
      </c>
      <c r="H19" s="0" t="n">
        <f aca="false">H15+H16+H17+H18</f>
        <v>2118.99180429124</v>
      </c>
      <c r="I19" s="0" t="n">
        <f aca="false">I15+I16+I17+I18</f>
        <v>2281.95186566042</v>
      </c>
      <c r="J19" s="0" t="n">
        <f aca="false">J15+J16+J17+J18</f>
        <v>2145.77711361982</v>
      </c>
      <c r="K19" s="0" t="n">
        <f aca="false">K15+K16+K17+K18</f>
        <v>2160.0172966439</v>
      </c>
      <c r="L19" s="0" t="n">
        <f aca="false">L15+L16+L17+L18</f>
        <v>2170.81738312712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2284.15980929032</v>
      </c>
      <c r="D21" s="0" t="n">
        <f aca="false">D19*D20</f>
        <v>1942.25771750884</v>
      </c>
      <c r="E21" s="0" t="n">
        <f aca="false">E19*E20</f>
        <v>2023.94290247993</v>
      </c>
      <c r="F21" s="0" t="n">
        <f aca="false">F19*F20</f>
        <v>1692.01053756506</v>
      </c>
      <c r="G21" s="0" t="n">
        <f aca="false">G19*G20</f>
        <v>1481.14709718386</v>
      </c>
      <c r="H21" s="0" t="n">
        <f aca="false">H19*H20</f>
        <v>1298.82562343741</v>
      </c>
      <c r="I21" s="0" t="n">
        <f aca="false">I19*I20</f>
        <v>1289.13474010658</v>
      </c>
      <c r="J21" s="0" t="n">
        <f aca="false">J19*J20</f>
        <v>1117.2405846718</v>
      </c>
      <c r="K21" s="0" t="n">
        <f aca="false">K19*K20</f>
        <v>1036.54839898833</v>
      </c>
      <c r="L21" s="0" t="n">
        <f aca="false">L19*L20</f>
        <v>960.120867265685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15125.3882784978</v>
      </c>
    </row>
    <row r="31" customFormat="false" ht="15" hidden="false" customHeight="false" outlineLevel="0" collapsed="false">
      <c r="A31" s="0" t="s">
        <v>128</v>
      </c>
      <c r="B31" s="0" t="n">
        <f aca="false">L19</f>
        <v>2170.81738312712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31476.8520553432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26049.8085975254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26049.8085975254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11521.4504071882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26646.838685686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21526.838685686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50.3434019777503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-0.109596710687119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911.786982223498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933.427000850556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54.6586825742752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16321.3306953631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24.7243587493284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3</v>
      </c>
      <c r="D5" s="4" t="n">
        <f aca="false">Assumptions!D41</f>
        <v>0.5</v>
      </c>
      <c r="E5" s="4" t="n">
        <f aca="false">Assumptions!E41</f>
        <v>8.5</v>
      </c>
      <c r="F5" s="4" t="n">
        <f aca="false">Assumptions!F41</f>
        <v>-1</v>
      </c>
      <c r="G5" s="4" t="n">
        <f aca="false">Assumptions!G41</f>
        <v>4</v>
      </c>
      <c r="H5" s="4" t="n">
        <f aca="false">Assumptions!H41</f>
        <v>1</v>
      </c>
      <c r="I5" s="4" t="n">
        <f aca="false">Assumptions!I41</f>
        <v>7</v>
      </c>
      <c r="J5" s="4" t="n">
        <f aca="false">Assumptions!J41</f>
        <v>0</v>
      </c>
      <c r="K5" s="4" t="n">
        <f aca="false">Assumptions!K41</f>
        <v>3.5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17126</v>
      </c>
      <c r="C6" s="0" t="n">
        <f aca="false">B6*(1+C5/100)</f>
        <v>17639.78</v>
      </c>
      <c r="D6" s="0" t="n">
        <f aca="false">C6*(1+D5/100)</f>
        <v>17727.9789</v>
      </c>
      <c r="E6" s="0" t="n">
        <f aca="false">D6*(1+E5/100)</f>
        <v>19234.8571065</v>
      </c>
      <c r="F6" s="0" t="n">
        <f aca="false">E6*(1+F5/100)</f>
        <v>19042.508535435</v>
      </c>
      <c r="G6" s="0" t="n">
        <f aca="false">F6*(1+G5/100)</f>
        <v>19804.2088768524</v>
      </c>
      <c r="H6" s="0" t="n">
        <f aca="false">G6*(1+H5/100)</f>
        <v>20002.2509656209</v>
      </c>
      <c r="I6" s="0" t="n">
        <f aca="false">H6*(1+I5/100)</f>
        <v>21402.4085332144</v>
      </c>
      <c r="J6" s="0" t="n">
        <f aca="false">I6*(1+J5/100)</f>
        <v>21402.4085332144</v>
      </c>
      <c r="K6" s="0" t="n">
        <f aca="false">J6*(1+K5/100)</f>
        <v>22151.4928318769</v>
      </c>
      <c r="L6" s="0" t="n">
        <f aca="false">K6*(1+L5/100)</f>
        <v>22594.5226885144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21</v>
      </c>
      <c r="D7" s="4" t="n">
        <f aca="false">Assumptions!D42</f>
        <v>20.5</v>
      </c>
      <c r="E7" s="4" t="n">
        <f aca="false">Assumptions!E42</f>
        <v>21.5</v>
      </c>
      <c r="F7" s="4" t="n">
        <f aca="false">Assumptions!F42</f>
        <v>21</v>
      </c>
      <c r="G7" s="4" t="n">
        <f aca="false">Assumptions!G42</f>
        <v>20.5</v>
      </c>
      <c r="H7" s="4" t="n">
        <f aca="false">Assumptions!H42</f>
        <v>20.5</v>
      </c>
      <c r="I7" s="4" t="n">
        <f aca="false">Assumptions!I42</f>
        <v>21</v>
      </c>
      <c r="J7" s="4" t="n">
        <f aca="false">Assumptions!J42</f>
        <v>20.5</v>
      </c>
      <c r="K7" s="4" t="n">
        <f aca="false">Assumptions!K42</f>
        <v>20.5</v>
      </c>
      <c r="L7" s="4" t="n">
        <f aca="false">Assumptions!L42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3704.3538</v>
      </c>
      <c r="D8" s="0" t="n">
        <f aca="false">D6*D7/100</f>
        <v>3634.2356745</v>
      </c>
      <c r="E8" s="0" t="n">
        <f aca="false">E6*E7/100</f>
        <v>4135.4942778975</v>
      </c>
      <c r="F8" s="0" t="n">
        <f aca="false">F6*F7/100</f>
        <v>3998.92679244135</v>
      </c>
      <c r="G8" s="0" t="n">
        <f aca="false">G6*G7/100</f>
        <v>4059.86281975474</v>
      </c>
      <c r="H8" s="0" t="n">
        <f aca="false">H6*H7/100</f>
        <v>4100.46144795229</v>
      </c>
      <c r="I8" s="0" t="n">
        <f aca="false">I6*I7/100</f>
        <v>4494.50579197502</v>
      </c>
      <c r="J8" s="0" t="n">
        <f aca="false">J6*J7/100</f>
        <v>4387.49374930895</v>
      </c>
      <c r="K8" s="0" t="n">
        <f aca="false">K6*K7/100</f>
        <v>4541.05603053476</v>
      </c>
      <c r="L8" s="0" t="n">
        <f aca="false">L6*L7/100</f>
        <v>4631.87715114546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0.77</v>
      </c>
      <c r="D9" s="4" t="n">
        <f aca="false">Assumptions!D43</f>
        <v>0.77</v>
      </c>
      <c r="E9" s="4" t="n">
        <f aca="false">Assumptions!E43</f>
        <v>0.77</v>
      </c>
      <c r="F9" s="4" t="n">
        <f aca="false">Assumptions!F43</f>
        <v>0.77</v>
      </c>
      <c r="G9" s="4" t="n">
        <f aca="false">Assumptions!G43</f>
        <v>0.77</v>
      </c>
      <c r="H9" s="4" t="n">
        <f aca="false">Assumptions!H43</f>
        <v>0.75</v>
      </c>
      <c r="I9" s="4" t="n">
        <f aca="false">Assumptions!I43</f>
        <v>0.75</v>
      </c>
      <c r="J9" s="4" t="n">
        <f aca="false">Assumptions!J43</f>
        <v>0.75</v>
      </c>
      <c r="K9" s="4" t="n">
        <f aca="false">Assumptions!K43</f>
        <v>0.75</v>
      </c>
      <c r="L9" s="4" t="n">
        <f aca="false">Assumptions!L43</f>
        <v>0.75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-135.826306</v>
      </c>
      <c r="D10" s="0" t="n">
        <f aca="false">-D6*D9/100</f>
        <v>-136.50543753</v>
      </c>
      <c r="E10" s="0" t="n">
        <f aca="false">-E6*E9/100</f>
        <v>-148.10839972005</v>
      </c>
      <c r="F10" s="0" t="n">
        <f aca="false">-F6*F9/100</f>
        <v>-146.62731572285</v>
      </c>
      <c r="G10" s="0" t="n">
        <f aca="false">-G6*G9/100</f>
        <v>-152.492408351763</v>
      </c>
      <c r="H10" s="0" t="n">
        <f aca="false">-H6*H9/100</f>
        <v>-150.016882242157</v>
      </c>
      <c r="I10" s="0" t="n">
        <f aca="false">-I6*I9/100</f>
        <v>-160.518063999108</v>
      </c>
      <c r="J10" s="0" t="n">
        <f aca="false">-J6*J9/100</f>
        <v>-160.518063999108</v>
      </c>
      <c r="K10" s="0" t="n">
        <f aca="false">-K6*K9/100</f>
        <v>-166.136196239077</v>
      </c>
      <c r="L10" s="0" t="n">
        <f aca="false">-L6*L9/100</f>
        <v>-169.458920163858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3568.527494</v>
      </c>
      <c r="D11" s="0" t="n">
        <f aca="false">D8+D10+D24</f>
        <v>3497.73023697</v>
      </c>
      <c r="E11" s="0" t="n">
        <f aca="false">E8+E10+E24</f>
        <v>3987.38587817745</v>
      </c>
      <c r="F11" s="0" t="n">
        <f aca="false">F8+F10+F24</f>
        <v>3852.2994767185</v>
      </c>
      <c r="G11" s="0" t="n">
        <f aca="false">G8+G10+G24</f>
        <v>3907.37041140298</v>
      </c>
      <c r="H11" s="0" t="n">
        <f aca="false">H8+H10+H24</f>
        <v>3950.44456571013</v>
      </c>
      <c r="I11" s="0" t="n">
        <f aca="false">I8+I10+I24</f>
        <v>4333.98772797591</v>
      </c>
      <c r="J11" s="0" t="n">
        <f aca="false">J8+J10+J24</f>
        <v>4226.97568530984</v>
      </c>
      <c r="K11" s="0" t="n">
        <f aca="false">K8+K10+K24</f>
        <v>4374.91983429569</v>
      </c>
      <c r="L11" s="0" t="n">
        <f aca="false">L8+L10+L24</f>
        <v>4462.4182309816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-423.35472</v>
      </c>
      <c r="D12" s="4" t="n">
        <f aca="false">-D6*Assumptions!D45/100</f>
        <v>-425.4714936</v>
      </c>
      <c r="E12" s="4" t="n">
        <f aca="false">-E6*Assumptions!E45/100</f>
        <v>-461.636570556</v>
      </c>
      <c r="F12" s="4" t="n">
        <f aca="false">-F6*Assumptions!F45/100</f>
        <v>-457.02020485044</v>
      </c>
      <c r="G12" s="4" t="n">
        <f aca="false">-G6*Assumptions!G45/100</f>
        <v>-475.301013044458</v>
      </c>
      <c r="H12" s="4" t="n">
        <f aca="false">-H6*Assumptions!H45/100</f>
        <v>-480.054023174902</v>
      </c>
      <c r="I12" s="4" t="n">
        <f aca="false">-I6*Assumptions!I45/100</f>
        <v>-513.657804797145</v>
      </c>
      <c r="J12" s="4" t="n">
        <f aca="false">-J6*Assumptions!J45/100</f>
        <v>-513.657804797145</v>
      </c>
      <c r="K12" s="4" t="n">
        <f aca="false">-K6*Assumptions!K45/100</f>
        <v>-531.635827965045</v>
      </c>
      <c r="L12" s="4" t="n">
        <f aca="false">-L6*Assumptions!L45/100</f>
        <v>-542.268544524346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3145.172774</v>
      </c>
      <c r="D13" s="0" t="n">
        <f aca="false">D11+D12</f>
        <v>3072.25874337</v>
      </c>
      <c r="E13" s="0" t="n">
        <f aca="false">E11+E12</f>
        <v>3525.74930762145</v>
      </c>
      <c r="F13" s="0" t="n">
        <f aca="false">F11+F12</f>
        <v>3395.27927186806</v>
      </c>
      <c r="G13" s="0" t="n">
        <f aca="false">G11+G12</f>
        <v>3432.06939835852</v>
      </c>
      <c r="H13" s="0" t="n">
        <f aca="false">H11+H12</f>
        <v>3470.39054253523</v>
      </c>
      <c r="I13" s="0" t="n">
        <f aca="false">I11+I12</f>
        <v>3820.32992317877</v>
      </c>
      <c r="J13" s="0" t="n">
        <f aca="false">J11+J12</f>
        <v>3713.3178805127</v>
      </c>
      <c r="K13" s="0" t="n">
        <f aca="false">K11+K12</f>
        <v>3843.28400633064</v>
      </c>
      <c r="L13" s="0" t="n">
        <f aca="false">L11+L12</f>
        <v>3920.14968645725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16</v>
      </c>
      <c r="D14" s="4" t="n">
        <f aca="false">Assumptions!D47</f>
        <v>17</v>
      </c>
      <c r="E14" s="4" t="n">
        <f aca="false">Assumptions!E47</f>
        <v>18</v>
      </c>
      <c r="F14" s="4" t="n">
        <f aca="false">Assumptions!F47</f>
        <v>19</v>
      </c>
      <c r="G14" s="4" t="n">
        <f aca="false">Assumptions!G47</f>
        <v>20</v>
      </c>
      <c r="H14" s="4" t="n">
        <f aca="false">Assumptions!H47</f>
        <v>21</v>
      </c>
      <c r="I14" s="4" t="n">
        <f aca="false">Assumptions!I47</f>
        <v>22</v>
      </c>
      <c r="J14" s="4" t="n">
        <f aca="false">Assumptions!J47</f>
        <v>23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2641.94513016</v>
      </c>
      <c r="D15" s="0" t="n">
        <f aca="false">D13-MAX(0,D13)*D14/100</f>
        <v>2549.9747569971</v>
      </c>
      <c r="E15" s="0" t="n">
        <f aca="false">E13-MAX(0,E13)*E14/100</f>
        <v>2891.11443224959</v>
      </c>
      <c r="F15" s="0" t="n">
        <f aca="false">F13-MAX(0,F13)*F14/100</f>
        <v>2750.17621021313</v>
      </c>
      <c r="G15" s="0" t="n">
        <f aca="false">G13-MAX(0,G13)*G14/100</f>
        <v>2745.65551868682</v>
      </c>
      <c r="H15" s="0" t="n">
        <f aca="false">H13-MAX(0,H13)*H14/100</f>
        <v>2741.60852860283</v>
      </c>
      <c r="I15" s="0" t="n">
        <f aca="false">I13-MAX(0,I13)*I14/100</f>
        <v>2979.85734007944</v>
      </c>
      <c r="J15" s="0" t="n">
        <f aca="false">J13-MAX(0,J13)*J14/100</f>
        <v>2859.25476799478</v>
      </c>
      <c r="K15" s="0" t="n">
        <f aca="false">K13-MAX(0,K13)*K14/100</f>
        <v>2920.89584481129</v>
      </c>
      <c r="L15" s="0" t="n">
        <f aca="false">L13-MAX(0,L13)*L14/100</f>
        <v>2979.31376170751</v>
      </c>
    </row>
    <row r="16" customFormat="false" ht="15" hidden="false" customHeight="false" outlineLevel="0" collapsed="false">
      <c r="A16" s="0" t="s">
        <v>119</v>
      </c>
      <c r="C16" s="0" t="n">
        <f aca="false">-C12</f>
        <v>423.35472</v>
      </c>
      <c r="D16" s="0" t="n">
        <f aca="false">-D12</f>
        <v>425.4714936</v>
      </c>
      <c r="E16" s="0" t="n">
        <f aca="false">-E12</f>
        <v>461.636570556</v>
      </c>
      <c r="F16" s="0" t="n">
        <f aca="false">-F12</f>
        <v>457.02020485044</v>
      </c>
      <c r="G16" s="0" t="n">
        <f aca="false">-G12</f>
        <v>475.301013044458</v>
      </c>
      <c r="H16" s="0" t="n">
        <f aca="false">-H12</f>
        <v>480.054023174902</v>
      </c>
      <c r="I16" s="0" t="n">
        <f aca="false">-I12</f>
        <v>513.657804797145</v>
      </c>
      <c r="J16" s="0" t="n">
        <f aca="false">-J12</f>
        <v>513.657804797145</v>
      </c>
      <c r="K16" s="0" t="n">
        <f aca="false">-K12</f>
        <v>531.635827965045</v>
      </c>
      <c r="L16" s="0" t="n">
        <f aca="false">-L12</f>
        <v>542.268544524346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-458.63428</v>
      </c>
      <c r="D17" s="4" t="n">
        <f aca="false">-D6*Assumptions!D46/100</f>
        <v>-443.1994725</v>
      </c>
      <c r="E17" s="4" t="n">
        <f aca="false">-E6*Assumptions!E46/100</f>
        <v>-461.636570556</v>
      </c>
      <c r="F17" s="4" t="n">
        <f aca="false">-F6*Assumptions!F46/100</f>
        <v>-457.02020485044</v>
      </c>
      <c r="G17" s="4" t="n">
        <f aca="false">-G6*Assumptions!G46/100</f>
        <v>-475.301013044458</v>
      </c>
      <c r="H17" s="4" t="n">
        <f aca="false">-H6*Assumptions!H46/100</f>
        <v>-480.054023174902</v>
      </c>
      <c r="I17" s="4" t="n">
        <f aca="false">-I6*Assumptions!I46/100</f>
        <v>-513.657804797145</v>
      </c>
      <c r="J17" s="4" t="n">
        <f aca="false">-J6*Assumptions!J46/100</f>
        <v>-513.657804797145</v>
      </c>
      <c r="K17" s="4" t="n">
        <f aca="false">-K6*Assumptions!K46/100</f>
        <v>-531.635827965045</v>
      </c>
      <c r="L17" s="4" t="n">
        <f aca="false">-L6*Assumptions!L46/100</f>
        <v>-542.268544524346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-0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2606.66557016</v>
      </c>
      <c r="D19" s="0" t="n">
        <f aca="false">D15+D16+D17+D18</f>
        <v>2532.2467780971</v>
      </c>
      <c r="E19" s="0" t="n">
        <f aca="false">E15+E16+E17+E18</f>
        <v>2891.11443224959</v>
      </c>
      <c r="F19" s="0" t="n">
        <f aca="false">F15+F16+F17+F18</f>
        <v>2750.17621021313</v>
      </c>
      <c r="G19" s="0" t="n">
        <f aca="false">G15+G16+G17+G18</f>
        <v>2745.65551868682</v>
      </c>
      <c r="H19" s="0" t="n">
        <f aca="false">H15+H16+H17+H18</f>
        <v>2741.60852860283</v>
      </c>
      <c r="I19" s="0" t="n">
        <f aca="false">I15+I16+I17+I18</f>
        <v>2979.85734007944</v>
      </c>
      <c r="J19" s="0" t="n">
        <f aca="false">J15+J16+J17+J18</f>
        <v>2859.25476799478</v>
      </c>
      <c r="K19" s="0" t="n">
        <f aca="false">K15+K16+K17+K18</f>
        <v>2920.89584481129</v>
      </c>
      <c r="L19" s="0" t="n">
        <f aca="false">L15+L16+L17+L18</f>
        <v>2979.31376170751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2402.45674669124</v>
      </c>
      <c r="D21" s="0" t="n">
        <f aca="false">D19*D20</f>
        <v>2151.03041313012</v>
      </c>
      <c r="E21" s="0" t="n">
        <f aca="false">E19*E20</f>
        <v>2263.47690249816</v>
      </c>
      <c r="F21" s="0" t="n">
        <f aca="false">F19*F20</f>
        <v>1984.45643049529</v>
      </c>
      <c r="G21" s="0" t="n">
        <f aca="false">G19*G20</f>
        <v>1825.9856366293</v>
      </c>
      <c r="H21" s="0" t="n">
        <f aca="false">H19*H20</f>
        <v>1680.45548792245</v>
      </c>
      <c r="I21" s="0" t="n">
        <f aca="false">I19*I20</f>
        <v>1683.39993295443</v>
      </c>
      <c r="J21" s="0" t="n">
        <f aca="false">J19*J20</f>
        <v>1488.72660093349</v>
      </c>
      <c r="K21" s="0" t="n">
        <f aca="false">K19*K20</f>
        <v>1401.67854963706</v>
      </c>
      <c r="L21" s="0" t="n">
        <f aca="false">L19*L20</f>
        <v>1317.70702362194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18199.3737245135</v>
      </c>
    </row>
    <row r="31" customFormat="false" ht="15" hidden="false" customHeight="false" outlineLevel="0" collapsed="false">
      <c r="A31" s="0" t="s">
        <v>128</v>
      </c>
      <c r="B31" s="0" t="n">
        <f aca="false">L19</f>
        <v>2979.31376170751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50896.6100958367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35751.7651404902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35751.7651404902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15812.4842834633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34011.8580079768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28891.8580079768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67.5674883254836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0.195038704023411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985.197385394652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1280.38231762143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72.8658505869805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24430.3728460016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34.484622131233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28.3922129259795</v>
      </c>
      <c r="C4" s="0" t="n">
        <f aca="false">B4/Assumptions!$B$2-1</f>
        <v>-0.497838469650167</v>
      </c>
      <c r="D4" s="4" t="n">
        <f aca="false">Assumptions!$B$24</f>
        <v>0.25</v>
      </c>
      <c r="E4" s="4" t="n">
        <f aca="false">DCF_Bear!$B$43</f>
        <v>31.9913796429317</v>
      </c>
      <c r="F4" s="4" t="n">
        <f aca="false">DCF_Bear!$B$47</f>
        <v>13.1938991683869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50.3434019777503</v>
      </c>
      <c r="C5" s="0" t="n">
        <f aca="false">B5/Assumptions!$B$2-1</f>
        <v>-0.109596710687119</v>
      </c>
      <c r="D5" s="4" t="n">
        <f aca="false">Assumptions!$B$38</f>
        <v>0.5</v>
      </c>
      <c r="E5" s="4" t="n">
        <f aca="false">DCF_Base!$B$43</f>
        <v>54.6586825742752</v>
      </c>
      <c r="F5" s="4" t="n">
        <f aca="false">DCF_Base!$B$47</f>
        <v>24.7243587493284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67.5674883254836</v>
      </c>
      <c r="C6" s="0" t="n">
        <f aca="false">B6/Assumptions!$B$2-1</f>
        <v>0.195038704023411</v>
      </c>
      <c r="D6" s="4" t="n">
        <f aca="false">Assumptions!$B$52</f>
        <v>0.25</v>
      </c>
      <c r="E6" s="4" t="n">
        <f aca="false">DCF_Bull!$B$43</f>
        <v>72.8658505869805</v>
      </c>
      <c r="F6" s="4" t="n">
        <f aca="false">DCF_Bull!$B$47</f>
        <v>34.484622131233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49.1616263017409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53.5436488446157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-0.150084003587932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168.378268848856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24.2818096995692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50.3434019777503</v>
      </c>
      <c r="C15" s="3" t="n">
        <v>8.5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48.3792263943085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44.5852052241826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38.9745224962473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34.4161196912623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24.7243587493284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59.1391870974209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59.1391870974209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59.1391870974209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59.1391870974209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59.1391870974209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54.5435818055882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54.5435818055882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54.5435818055882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54.5435818055882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54.5435818055882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50.3434019777503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50.3434019777503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50.3434019777503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50.3434019777503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50.3434019777503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44.792496495286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46.258608300267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46.4996129805378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46.4996129805378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46.4996129805378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39.3299048826168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40.4177610817803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41.6264901919618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42.9774227268706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42.9774227268706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2026-09-28T08:27:27Z</dcterms:created>
  <dc:creator>openpyxl</dc:creator>
  <dc:description/>
  <dc:language>en-NZ</dc:language>
  <cp:lastModifiedBy/>
  <dcterms:modified xsi:type="dcterms:W3CDTF">2026-09-28T08:27:27Z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