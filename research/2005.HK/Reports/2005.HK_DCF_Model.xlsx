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<sst xmlns="http://schemas.openxmlformats.org/spreadsheetml/2006/main" count="354" uniqueCount="164">
  <si>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</si>
  <si>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2005.HK</t>
  </si>
  <si>
    <t xml:space="preserve">Company</t>
  </si>
  <si>
    <t xml:space="preserve">SSY Group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</si>
  <si>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</si>
  <si>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</si>
  <si>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</si>
  <si>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</si>
  <si>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close, 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</si>
  <si>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</si>
  <si>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</si>
  <si>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</si>
  <si>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</si>
  <si>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</si>
  <si>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</si>
  <si>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</si>
  <si>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</si>
  <si>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</si>
  <si>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</si>
  <si>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</si>
  <si>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</si>
  <si>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2026-10-17T01:08:50Z</t>
  </si>
  <si>
    <t xml:space="preserve">Drivers file</t>
  </si>
  <si>
    <t xml:space="preserve">2005.HK_Drivers.json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</si>
  <si>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</si>
  <si>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</si>
  <si>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</si>
  <si>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China IV-infusion and generic-drug maker whose economics are set by the state tender system. The value question is where margins settle after the FY2025 VBP shock, and how much cash receivables-heavy working capital keeps absorbing. Terminal value is capped at 12x FCF, a structurally-slow-business multiple, because Gordon at 8.5%/2% (~15.7x) would capitalise a tender-exposed generic franchise at a premium multiple.
key_risks_to_valuation: VBP / National Centralised Procurement re-pricing: each new batch or provincial alliance tender can reset price on a large share of revenue; Working-capital absorption: hospital receivables swung HK$965m in FY2024; the -40% capture assumption is the main gap between EBITDA and cash; Margin settle-point: each 1pp of terminal EBITDA margin is worth roughly 5% of base value; Related-party governance with Sichuan Kelun (~23% holder and the dominant competitor); RMB/HKD translation: flows are RMB and translated to HKD; a weaker RMB lowers the HKD value one-for-one; Tender-compliance risk: a repeat of the 2024 six-month procurement suspension</t>
  </si>
  <si>
    <t xml:space="preserve">Data sources</t>
  </si>
  <si>
    <t xml:space="preserve">price: Yahoo Finance chart API at inputs.price_as_of; 52-week range 2.01-3.18
financials: 2005.HK_Metrics.csv / core_metrics (FY2018-FY2025, H1 2024-2026); FY2025 annual report (income statement, cash flow statement, note 20(b) cash-from-operations reconciliation); H1 2026 interim report (balance sheet at 30 Jun 2026, note 7 EPS, note 14 treasury and RSA shares)
qualitative: 2005.HK_Analysis.json (2026-10-17)</t>
  </si>
  <si>
    <t xml:space="preserve">Scenario narrative: bear</t>
  </si>
  <si>
    <t xml:space="preserve">VBP rounds keep compressing price on a widening share of the portfolio. The H1 2026 rebound fades in H2 as provincial alliance tenders re-price infusion solutions; ampoules keep exiting tenders and caffeine exports stay depressed by US tariffs; DRG/DIP hospital cost control squeezes volumes. Revenue falls again in FY2027-28 and margin erodes to 23.5% as the mix shifts further toward tender-won commodity saline and glucose, with capex held near D&amp;A just to keep GMP lines current. A repeat of the 2024 tender-compliance suspension is the tail inside this case.</t>
  </si>
  <si>
    <t xml:space="preserve">Scenario narrative: base</t>
  </si>
  <si>
    <t xml:space="preserve">FY2025 was the VBP trough, not a new run-rate. Infusion volumes keep growing (H1 2026 +21.4%) on 12th-batch National Centralised Procurement wins and a gradual shift toward therapeutic infusions (peritoneal dialysis, hemofiltration), while oral preparations and APIs stay soft. Tender prices stabilise rather than recover, so EBITDA margin settles at 28.5% -- about 3pp below FY2023 and far below the 33-36% of FY2018-19. Revenue regains FY2024's level only around FY2030. The capex cycle is past its peak, so cash conversion improves, but receivables-heavy working capital keeps absorbing 40 cents of every incremental revenue dollar.</t>
  </si>
  <si>
    <t xml:space="preserve">Scenario narrative: bull</t>
  </si>
  <si>
    <t xml:space="preserve">The H1 2026 inflection proves durable: higher-value infusions, complex formulations (emulsion, liposome) and the new lyophilized/sterile-powder lines lift mix, export registrations (513 certificates in ~100 countries, CE/WHO-PQ/FDA pursuits) compound, and tender pricing firms as the market consolidates around the CR4. EBITDA margin climbs back to 31% (still below FY2023's 31.6%) and growth runs mid-single-digit for five years. This is roughly the path implied by the HK$3.6-5.0 broker targets.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</si>
  <si>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</si>
  <si>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</si>
  <si>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</si>
  <si>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</si>
  <si>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</si>
  <si>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</si>
  <si>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</si>
  <si>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</si>
  <si>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</si>
  <si>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</si>
  <si>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</si>
  <si>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</si>
  <si>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</si>
  <si>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</si>
  <si>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</si>
  <si>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</si>
  <si>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</si>
  <si>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</si>
  <si>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</si>
  <si>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</si>
  <si>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</si>
  <si>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</si>
  <si>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</si>
  <si>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</si>
  <si>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</si>
  <si>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</si>
  <si>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</si>
  <si>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</si>
  <si>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thousands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</si>
  <si>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</si>
  <si>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</si>
  <si>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</si>
  <si>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</si>
  <si>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</si>
  <si>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</si>
  <si>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</si>
  <si>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</si>
  <si>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</si>
  <si>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</si>
  <si>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</si>
  <si>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</si>
  <si>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</si>
  <si>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</si>
  <si>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</si>
  <si>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</si>
  <si>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</si>
  <si>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</si>
  <si>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</si>
  <si>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</si>
  <si>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</si>
  <si>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</si>
  <si>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</si>
  <si>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</si>
  <si>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</si>
  <si>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</si>
  <si>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</si>
  <si>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</si>
  <si>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</si>
  <si>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</si>
  <si>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</si>
  <si>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</si>
  <si>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</si>
  <si>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</si>
  <si>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</si>
  <si>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</si>
  <si>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</si>
  <si>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</si>
  <si>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</si>
  <si>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</si>
  <si>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</si>
  <si>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</si>
  <si>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</si>
  <si>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</si>
  <si>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2005.HK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</si>
  <si>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</si>
  <si>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</si>
  <si>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</si>
  <si>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</si>
  <si>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</si>
  <si>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</si>
  <si>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</si>
  <si>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</si>
  <si>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</si>
  <si>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</si>
  <si>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</si>
  <si>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</si>
  <si>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</si>
  <si>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</si>
  <si>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</si>
  <si>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</si>
  <si>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</si>
  <si>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</si>
  <si>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</si>
  <si>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</si>
  <si>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</si>
  <si>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</si>
  <si>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</si>
  <si>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</si>
  <si>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</si>
  <si>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</si>
  <si>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</si>
  <si>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</si>
  <si>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</si>
  <si>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</si>
  <si>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2005.HK owner-FCF component DCF: base case (millions, HKD)</t>
  </si>
  <si>
    <t xml:space="preserve">2005.HK owner-FCF component DCF: bull case (millions, HKD)</t>
  </si>
  <si>
    <t xml:space="preserve">2005.HK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</si>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</sst>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4180788</v>
      </c>
      <c r="C2" s="0" t="n">
        <v>1574415</v>
      </c>
      <c r="D2" s="0" t="n">
        <v>2606373</v>
      </c>
      <c r="E2" s="0" t="n">
        <v>62.3</v>
      </c>
      <c r="F2" s="0" t="n">
        <v>1113455</v>
      </c>
      <c r="G2" s="0" t="n">
        <v>26.6</v>
      </c>
      <c r="H2" s="0" t="n">
        <v>1389633</v>
      </c>
      <c r="I2" s="0" t="n">
        <v>911774</v>
      </c>
      <c r="J2" s="0" t="n">
        <v>21.8</v>
      </c>
      <c r="K2" s="0" t="n">
        <v>0.2999</v>
      </c>
      <c r="L2" s="0" t="n">
        <v>969825</v>
      </c>
      <c r="M2" s="0" t="n">
        <v>580282</v>
      </c>
      <c r="N2" s="0" t="n">
        <v>389543</v>
      </c>
      <c r="O2" s="0" t="n">
        <v>4238432</v>
      </c>
      <c r="P2" s="0" t="n">
        <v>6880745</v>
      </c>
      <c r="Q2" s="0" t="n">
        <v>2502499</v>
      </c>
      <c r="R2" s="0" t="n">
        <v>1494502</v>
      </c>
      <c r="S2" s="0" t="n">
        <v>902062</v>
      </c>
      <c r="T2" s="0" t="n">
        <v>2871660</v>
      </c>
      <c r="U2" s="0" t="n">
        <v>0</v>
      </c>
      <c r="AA2" s="0" t="s">
        <v>64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4635675</v>
      </c>
      <c r="C3" s="0" t="n">
        <v>1758842</v>
      </c>
      <c r="D3" s="0" t="n">
        <v>2876833</v>
      </c>
      <c r="E3" s="0" t="n">
        <v>62.1</v>
      </c>
      <c r="F3" s="0" t="n">
        <v>1391656</v>
      </c>
      <c r="G3" s="0" t="n">
        <v>30</v>
      </c>
      <c r="H3" s="0" t="n">
        <v>1668004</v>
      </c>
      <c r="I3" s="0" t="n">
        <v>1136101</v>
      </c>
      <c r="J3" s="0" t="n">
        <v>24.5</v>
      </c>
      <c r="K3" s="0" t="n">
        <v>0.3725</v>
      </c>
      <c r="L3" s="0" t="n">
        <v>645957</v>
      </c>
      <c r="M3" s="0" t="n">
        <v>836000</v>
      </c>
      <c r="N3" s="0" t="n">
        <v>-190043</v>
      </c>
      <c r="O3" s="0" t="n">
        <v>4986422</v>
      </c>
      <c r="P3" s="0" t="n">
        <v>7724342</v>
      </c>
      <c r="Q3" s="0" t="n">
        <v>2537194</v>
      </c>
      <c r="R3" s="0" t="n">
        <v>1695857</v>
      </c>
      <c r="S3" s="0" t="n">
        <v>817429</v>
      </c>
      <c r="T3" s="0" t="n">
        <v>3014020</v>
      </c>
      <c r="U3" s="0" t="n">
        <v>0</v>
      </c>
      <c r="AA3" s="0" t="s">
        <v>64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4260898</v>
      </c>
      <c r="C4" s="0" t="n">
        <v>1552523</v>
      </c>
      <c r="D4" s="0" t="n">
        <v>2708375</v>
      </c>
      <c r="E4" s="0" t="n">
        <v>63.6</v>
      </c>
      <c r="F4" s="0" t="n">
        <v>758882</v>
      </c>
      <c r="G4" s="0" t="n">
        <v>17.8</v>
      </c>
      <c r="H4" s="0" t="n">
        <v>1076238</v>
      </c>
      <c r="I4" s="0" t="n">
        <v>611971</v>
      </c>
      <c r="J4" s="0" t="n">
        <v>14.4</v>
      </c>
      <c r="K4" s="0" t="n">
        <v>0.2012</v>
      </c>
      <c r="L4" s="0" t="n">
        <v>504559</v>
      </c>
      <c r="M4" s="0" t="n">
        <v>321524</v>
      </c>
      <c r="N4" s="0" t="n">
        <v>183035</v>
      </c>
      <c r="O4" s="0" t="n">
        <v>5652036</v>
      </c>
      <c r="P4" s="0" t="n">
        <v>9253707</v>
      </c>
      <c r="Q4" s="0" t="n">
        <v>3338496</v>
      </c>
      <c r="R4" s="0" t="n">
        <v>2427072</v>
      </c>
      <c r="S4" s="0" t="n">
        <v>1445905</v>
      </c>
      <c r="T4" s="0" t="n">
        <v>3032320</v>
      </c>
      <c r="U4" s="0" t="n">
        <v>0</v>
      </c>
      <c r="AA4" s="0" t="s">
        <v>64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5356763</v>
      </c>
      <c r="C5" s="0" t="n">
        <v>2186517</v>
      </c>
      <c r="D5" s="0" t="n">
        <v>3170246</v>
      </c>
      <c r="E5" s="0" t="n">
        <v>59.2</v>
      </c>
      <c r="F5" s="0" t="n">
        <v>988085</v>
      </c>
      <c r="G5" s="0" t="n">
        <v>18.4</v>
      </c>
      <c r="H5" s="0" t="n">
        <v>1376925</v>
      </c>
      <c r="I5" s="0" t="n">
        <v>785533</v>
      </c>
      <c r="J5" s="0" t="n">
        <v>14.7</v>
      </c>
      <c r="K5" s="0" t="n">
        <v>0.2591</v>
      </c>
      <c r="L5" s="0" t="n">
        <v>695626</v>
      </c>
      <c r="M5" s="0" t="n">
        <v>388323</v>
      </c>
      <c r="N5" s="0" t="n">
        <v>307303</v>
      </c>
      <c r="O5" s="0" t="n">
        <v>6218863</v>
      </c>
      <c r="P5" s="0" t="n">
        <v>10708720</v>
      </c>
      <c r="Q5" s="0" t="n">
        <v>4216012</v>
      </c>
      <c r="R5" s="0" t="n">
        <v>3103195</v>
      </c>
      <c r="S5" s="0" t="n">
        <v>1661736</v>
      </c>
      <c r="T5" s="0" t="n">
        <v>3043730</v>
      </c>
      <c r="U5" s="0" t="n">
        <v>67050</v>
      </c>
      <c r="AA5" s="0" t="s">
        <v>64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6434025</v>
      </c>
      <c r="C6" s="0" t="n">
        <v>2866439</v>
      </c>
      <c r="D6" s="0" t="n">
        <v>3567586</v>
      </c>
      <c r="E6" s="0" t="n">
        <v>55.4</v>
      </c>
      <c r="F6" s="0" t="n">
        <v>1423713</v>
      </c>
      <c r="G6" s="0" t="n">
        <v>22.1</v>
      </c>
      <c r="H6" s="0" t="n">
        <v>1794355</v>
      </c>
      <c r="I6" s="0" t="n">
        <v>1122837</v>
      </c>
      <c r="J6" s="0" t="n">
        <v>17.5</v>
      </c>
      <c r="K6" s="0" t="n">
        <v>0.3761</v>
      </c>
      <c r="L6" s="0" t="n">
        <v>733689</v>
      </c>
      <c r="M6" s="0" t="n">
        <v>418123</v>
      </c>
      <c r="N6" s="0" t="n">
        <v>315566</v>
      </c>
      <c r="O6" s="0" t="n">
        <v>6213600</v>
      </c>
      <c r="P6" s="0" t="n">
        <v>10966512</v>
      </c>
      <c r="Q6" s="0" t="n">
        <v>4420688</v>
      </c>
      <c r="R6" s="0" t="n">
        <v>3207648</v>
      </c>
      <c r="S6" s="0" t="n">
        <v>1667547</v>
      </c>
      <c r="T6" s="0" t="n">
        <v>2996690</v>
      </c>
      <c r="U6" s="0" t="n">
        <v>0</v>
      </c>
      <c r="AA6" s="0" t="s">
        <v>64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6463009</v>
      </c>
      <c r="C7" s="0" t="n">
        <v>2843370</v>
      </c>
      <c r="D7" s="0" t="n">
        <v>3619639</v>
      </c>
      <c r="E7" s="0" t="n">
        <v>56</v>
      </c>
      <c r="F7" s="0" t="n">
        <v>1638901</v>
      </c>
      <c r="G7" s="0" t="n">
        <v>25.4</v>
      </c>
      <c r="H7" s="0" t="n">
        <v>2044475</v>
      </c>
      <c r="I7" s="0" t="n">
        <v>1318616</v>
      </c>
      <c r="J7" s="0" t="n">
        <v>20.4</v>
      </c>
      <c r="K7" s="0" t="n">
        <v>0.4426</v>
      </c>
      <c r="L7" s="0" t="n">
        <v>925747</v>
      </c>
      <c r="M7" s="0" t="n">
        <v>703871</v>
      </c>
      <c r="N7" s="0" t="n">
        <v>221876</v>
      </c>
      <c r="O7" s="0" t="n">
        <v>6932534</v>
      </c>
      <c r="P7" s="0" t="n">
        <v>11966336</v>
      </c>
      <c r="Q7" s="0" t="n">
        <v>4697644</v>
      </c>
      <c r="R7" s="0" t="n">
        <v>3368141</v>
      </c>
      <c r="S7" s="0" t="n">
        <v>1615208</v>
      </c>
      <c r="T7" s="0" t="n">
        <v>2972680</v>
      </c>
      <c r="U7" s="0" t="n">
        <v>0</v>
      </c>
      <c r="AA7" s="0" t="s">
        <v>64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5773251</v>
      </c>
      <c r="C8" s="0" t="n">
        <v>2864989</v>
      </c>
      <c r="D8" s="0" t="n">
        <v>2908262</v>
      </c>
      <c r="E8" s="0" t="n">
        <v>50.4</v>
      </c>
      <c r="F8" s="0" t="n">
        <v>1343500</v>
      </c>
      <c r="G8" s="0" t="n">
        <v>23.3</v>
      </c>
      <c r="H8" s="0" t="n">
        <v>1799151</v>
      </c>
      <c r="I8" s="0" t="n">
        <v>1061150</v>
      </c>
      <c r="J8" s="0" t="n">
        <v>18.4</v>
      </c>
      <c r="K8" s="0" t="n">
        <v>0.3581</v>
      </c>
      <c r="L8" s="0" t="n">
        <v>491031</v>
      </c>
      <c r="M8" s="0" t="n">
        <v>540425</v>
      </c>
      <c r="N8" s="0" t="n">
        <v>-49394</v>
      </c>
      <c r="O8" s="0" t="n">
        <v>7220240</v>
      </c>
      <c r="P8" s="0" t="n">
        <v>12603680</v>
      </c>
      <c r="Q8" s="0" t="n">
        <v>5068030</v>
      </c>
      <c r="R8" s="0" t="n">
        <v>3635931</v>
      </c>
      <c r="S8" s="0" t="n">
        <v>1257702</v>
      </c>
      <c r="T8" s="0" t="n">
        <v>2965740</v>
      </c>
      <c r="U8" s="0" t="n">
        <v>0</v>
      </c>
      <c r="AA8" s="0" t="s">
        <v>64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4165465</v>
      </c>
      <c r="C9" s="0" t="n">
        <v>2434460</v>
      </c>
      <c r="D9" s="0" t="n">
        <v>1731005</v>
      </c>
      <c r="E9" s="0" t="n">
        <v>41.6</v>
      </c>
      <c r="F9" s="0" t="n">
        <v>628912</v>
      </c>
      <c r="G9" s="0" t="n">
        <v>15.1</v>
      </c>
      <c r="H9" s="0" t="n">
        <v>1082407</v>
      </c>
      <c r="I9" s="0" t="n">
        <v>470637</v>
      </c>
      <c r="J9" s="0" t="n">
        <v>11.3</v>
      </c>
      <c r="K9" s="0" t="n">
        <v>0.1605</v>
      </c>
      <c r="L9" s="0" t="n">
        <v>635035</v>
      </c>
      <c r="M9" s="0" t="n">
        <v>335256</v>
      </c>
      <c r="N9" s="0" t="n">
        <v>299779</v>
      </c>
      <c r="O9" s="0" t="n">
        <v>7300928</v>
      </c>
      <c r="P9" s="0" t="n">
        <v>12813113</v>
      </c>
      <c r="Q9" s="0" t="n">
        <v>5192450</v>
      </c>
      <c r="R9" s="0" t="n">
        <v>4010800</v>
      </c>
      <c r="S9" s="0" t="n">
        <v>1690577</v>
      </c>
      <c r="T9" s="0" t="n">
        <v>2954660</v>
      </c>
      <c r="U9" s="0" t="n">
        <v>0</v>
      </c>
      <c r="AA9" s="0" t="s">
        <v>64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2.75</v>
      </c>
    </row>
    <row r="3" customFormat="false" ht="15" hidden="false" customHeight="false" outlineLevel="0" collapsed="false">
      <c r="A3" s="0" t="s">
        <v>75</v>
      </c>
      <c r="B3" s="3" t="n">
        <v>2891.443</v>
      </c>
    </row>
    <row r="4" customFormat="false" ht="15" hidden="false" customHeight="false" outlineLevel="0" collapsed="false">
      <c r="A4" s="0" t="s">
        <v>76</v>
      </c>
      <c r="B4" s="3" t="n">
        <v>2075.167</v>
      </c>
    </row>
    <row r="5" customFormat="false" ht="15" hidden="false" customHeight="false" outlineLevel="0" collapsed="false">
      <c r="A5" s="0" t="s">
        <v>77</v>
      </c>
      <c r="B5" s="3" t="n">
        <v>54.268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4165.465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5</v>
      </c>
      <c r="D13" s="3" t="n">
        <v>-3</v>
      </c>
      <c r="E13" s="3" t="n">
        <v>-2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26.5</v>
      </c>
      <c r="D14" s="3" t="n">
        <v>25</v>
      </c>
      <c r="E14" s="3" t="n">
        <v>24</v>
      </c>
      <c r="F14" s="3" t="n">
        <v>23.5</v>
      </c>
      <c r="G14" s="3" t="n">
        <v>23.5</v>
      </c>
      <c r="H14" s="3" t="n">
        <v>23.5</v>
      </c>
      <c r="I14" s="3" t="n">
        <v>23.5</v>
      </c>
      <c r="J14" s="3" t="n">
        <v>23.5</v>
      </c>
      <c r="K14" s="3" t="n">
        <v>23.5</v>
      </c>
      <c r="L14" s="3" t="n">
        <v>23.5</v>
      </c>
    </row>
    <row r="15" customFormat="false" ht="15" hidden="false" customHeight="false" outlineLevel="0" collapsed="false">
      <c r="A15" s="0" t="s">
        <v>97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10.5</v>
      </c>
      <c r="D17" s="3" t="n">
        <v>10.9</v>
      </c>
      <c r="E17" s="3" t="n">
        <v>11</v>
      </c>
      <c r="F17" s="3" t="n">
        <v>10.8</v>
      </c>
      <c r="G17" s="3" t="n">
        <v>10.6</v>
      </c>
      <c r="H17" s="3" t="n">
        <v>10.4</v>
      </c>
      <c r="I17" s="3" t="n">
        <v>10.2</v>
      </c>
      <c r="J17" s="3" t="n">
        <v>10</v>
      </c>
      <c r="K17" s="3" t="n">
        <v>9.8</v>
      </c>
      <c r="L17" s="3" t="n">
        <v>9.6</v>
      </c>
    </row>
    <row r="18" customFormat="false" ht="15" hidden="false" customHeight="false" outlineLevel="0" collapsed="false">
      <c r="A18" s="0" t="s">
        <v>100</v>
      </c>
      <c r="C18" s="3" t="n">
        <v>8</v>
      </c>
      <c r="D18" s="3" t="n">
        <v>8</v>
      </c>
      <c r="E18" s="3" t="n">
        <v>8.5</v>
      </c>
      <c r="F18" s="3" t="n">
        <v>9</v>
      </c>
      <c r="G18" s="3" t="n">
        <v>9.2</v>
      </c>
      <c r="H18" s="3" t="n">
        <v>9.4</v>
      </c>
      <c r="I18" s="3" t="n">
        <v>9.5</v>
      </c>
      <c r="J18" s="3" t="n">
        <v>9.5</v>
      </c>
      <c r="K18" s="3" t="n">
        <v>9.5</v>
      </c>
      <c r="L18" s="3" t="n">
        <v>9.5</v>
      </c>
    </row>
    <row r="19" customFormat="false" ht="15" hidden="false" customHeight="false" outlineLevel="0" collapsed="false">
      <c r="A19" s="0" t="s">
        <v>101</v>
      </c>
      <c r="C19" s="3" t="n">
        <v>16.5</v>
      </c>
      <c r="D19" s="3" t="n">
        <v>16.5</v>
      </c>
      <c r="E19" s="3" t="n">
        <v>16.5</v>
      </c>
      <c r="F19" s="3" t="n">
        <v>16.5</v>
      </c>
      <c r="G19" s="3" t="n">
        <v>16.5</v>
      </c>
      <c r="H19" s="3" t="n">
        <v>16.5</v>
      </c>
      <c r="I19" s="3" t="n">
        <v>16.5</v>
      </c>
      <c r="J19" s="3" t="n">
        <v>16.5</v>
      </c>
      <c r="K19" s="3" t="n">
        <v>16.5</v>
      </c>
      <c r="L19" s="3" t="n">
        <v>16.5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-40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8.5</v>
      </c>
      <c r="D27" s="3" t="n">
        <v>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27.4</v>
      </c>
      <c r="D28" s="3" t="n">
        <v>28</v>
      </c>
      <c r="E28" s="3" t="n">
        <v>28.5</v>
      </c>
      <c r="F28" s="3" t="n">
        <v>28.5</v>
      </c>
      <c r="G28" s="3" t="n">
        <v>28.5</v>
      </c>
      <c r="H28" s="3" t="n">
        <v>28.5</v>
      </c>
      <c r="I28" s="3" t="n">
        <v>28.5</v>
      </c>
      <c r="J28" s="3" t="n">
        <v>28.5</v>
      </c>
      <c r="K28" s="3" t="n">
        <v>28.5</v>
      </c>
      <c r="L28" s="3" t="n">
        <v>28.5</v>
      </c>
    </row>
    <row r="29" customFormat="false" ht="15" hidden="false" customHeight="false" outlineLevel="0" collapsed="false">
      <c r="A29" s="0" t="s">
        <v>97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10.1</v>
      </c>
      <c r="D31" s="3" t="n">
        <v>9.8</v>
      </c>
      <c r="E31" s="3" t="n">
        <v>9.5</v>
      </c>
      <c r="F31" s="3" t="n">
        <v>9.2</v>
      </c>
      <c r="G31" s="3" t="n">
        <v>8.9</v>
      </c>
      <c r="H31" s="3" t="n">
        <v>8.6</v>
      </c>
      <c r="I31" s="3" t="n">
        <v>8.3</v>
      </c>
      <c r="J31" s="3" t="n">
        <v>8</v>
      </c>
      <c r="K31" s="3" t="n">
        <v>7.8</v>
      </c>
      <c r="L31" s="3" t="n">
        <v>7.6</v>
      </c>
    </row>
    <row r="32" customFormat="false" ht="15" hidden="false" customHeight="false" outlineLevel="0" collapsed="false">
      <c r="A32" s="0" t="s">
        <v>100</v>
      </c>
      <c r="C32" s="3" t="n">
        <v>8</v>
      </c>
      <c r="D32" s="3" t="n">
        <v>8</v>
      </c>
      <c r="E32" s="3" t="n">
        <v>7.8</v>
      </c>
      <c r="F32" s="3" t="n">
        <v>7.6</v>
      </c>
      <c r="G32" s="3" t="n">
        <v>7.5</v>
      </c>
      <c r="H32" s="3" t="n">
        <v>7.5</v>
      </c>
      <c r="I32" s="3" t="n">
        <v>7.5</v>
      </c>
      <c r="J32" s="3" t="n">
        <v>7.5</v>
      </c>
      <c r="K32" s="3" t="n">
        <v>7.5</v>
      </c>
      <c r="L32" s="3" t="n">
        <v>7.5</v>
      </c>
    </row>
    <row r="33" customFormat="false" ht="15" hidden="false" customHeight="false" outlineLevel="0" collapsed="false">
      <c r="A33" s="0" t="s">
        <v>101</v>
      </c>
      <c r="C33" s="3" t="n">
        <v>16.5</v>
      </c>
      <c r="D33" s="3" t="n">
        <v>16.5</v>
      </c>
      <c r="E33" s="3" t="n">
        <v>16.5</v>
      </c>
      <c r="F33" s="3" t="n">
        <v>16.5</v>
      </c>
      <c r="G33" s="3" t="n">
        <v>16.5</v>
      </c>
      <c r="H33" s="3" t="n">
        <v>16.5</v>
      </c>
      <c r="I33" s="3" t="n">
        <v>16.5</v>
      </c>
      <c r="J33" s="3" t="n">
        <v>16.5</v>
      </c>
      <c r="K33" s="3" t="n">
        <v>16.5</v>
      </c>
      <c r="L33" s="3" t="n">
        <v>16.5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-40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10</v>
      </c>
      <c r="D41" s="3" t="n">
        <v>7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28</v>
      </c>
      <c r="D42" s="3" t="n">
        <v>29</v>
      </c>
      <c r="E42" s="3" t="n">
        <v>30</v>
      </c>
      <c r="F42" s="3" t="n">
        <v>30.5</v>
      </c>
      <c r="G42" s="3" t="n">
        <v>31</v>
      </c>
      <c r="H42" s="3" t="n">
        <v>31</v>
      </c>
      <c r="I42" s="3" t="n">
        <v>31</v>
      </c>
      <c r="J42" s="3" t="n">
        <v>31</v>
      </c>
      <c r="K42" s="3" t="n">
        <v>31</v>
      </c>
      <c r="L42" s="3" t="n">
        <v>31</v>
      </c>
    </row>
    <row r="43" customFormat="false" ht="15" hidden="false" customHeight="false" outlineLevel="0" collapsed="false">
      <c r="A43" s="0" t="s">
        <v>97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10</v>
      </c>
      <c r="D45" s="3" t="n">
        <v>9.6</v>
      </c>
      <c r="E45" s="3" t="n">
        <v>9.2</v>
      </c>
      <c r="F45" s="3" t="n">
        <v>8.8</v>
      </c>
      <c r="G45" s="3" t="n">
        <v>8.5</v>
      </c>
      <c r="H45" s="3" t="n">
        <v>8.2</v>
      </c>
      <c r="I45" s="3" t="n">
        <v>7.9</v>
      </c>
      <c r="J45" s="3" t="n">
        <v>7.7</v>
      </c>
      <c r="K45" s="3" t="n">
        <v>7.5</v>
      </c>
      <c r="L45" s="3" t="n">
        <v>7.4</v>
      </c>
    </row>
    <row r="46" customFormat="false" ht="15" hidden="false" customHeight="false" outlineLevel="0" collapsed="false">
      <c r="A46" s="0" t="s">
        <v>100</v>
      </c>
      <c r="C46" s="3" t="n">
        <v>8.2</v>
      </c>
      <c r="D46" s="3" t="n">
        <v>8.2</v>
      </c>
      <c r="E46" s="3" t="n">
        <v>8</v>
      </c>
      <c r="F46" s="3" t="n">
        <v>7.8</v>
      </c>
      <c r="G46" s="3" t="n">
        <v>7.6</v>
      </c>
      <c r="H46" s="3" t="n">
        <v>7.5</v>
      </c>
      <c r="I46" s="3" t="n">
        <v>7.5</v>
      </c>
      <c r="J46" s="3" t="n">
        <v>7.5</v>
      </c>
      <c r="K46" s="3" t="n">
        <v>7.5</v>
      </c>
      <c r="L46" s="3" t="n">
        <v>7.5</v>
      </c>
    </row>
    <row r="47" customFormat="false" ht="15" hidden="false" customHeight="false" outlineLevel="0" collapsed="false">
      <c r="A47" s="0" t="s">
        <v>101</v>
      </c>
      <c r="C47" s="3" t="n">
        <v>16.5</v>
      </c>
      <c r="D47" s="3" t="n">
        <v>16.5</v>
      </c>
      <c r="E47" s="3" t="n">
        <v>16.5</v>
      </c>
      <c r="F47" s="3" t="n">
        <v>16.5</v>
      </c>
      <c r="G47" s="3" t="n">
        <v>16.5</v>
      </c>
      <c r="H47" s="3" t="n">
        <v>16.5</v>
      </c>
      <c r="I47" s="3" t="n">
        <v>16.5</v>
      </c>
      <c r="J47" s="3" t="n">
        <v>16.5</v>
      </c>
      <c r="K47" s="3" t="n">
        <v>16.5</v>
      </c>
      <c r="L47" s="3" t="n">
        <v>16.5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-40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5</v>
      </c>
      <c r="D5" s="4" t="n">
        <f aca="false">Assumptions!D13</f>
        <v>-3</v>
      </c>
      <c r="E5" s="4" t="n">
        <f aca="false">Assumptions!E13</f>
        <v>-2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4165.465</v>
      </c>
      <c r="C6" s="0" t="n">
        <f aca="false">B6*(1+C5/100)</f>
        <v>4373.73825</v>
      </c>
      <c r="D6" s="0" t="n">
        <f aca="false">C6*(1+D5/100)</f>
        <v>4242.5261025</v>
      </c>
      <c r="E6" s="0" t="n">
        <f aca="false">D6*(1+E5/100)</f>
        <v>4157.67558045</v>
      </c>
      <c r="F6" s="0" t="n">
        <f aca="false">E6*(1+F5/100)</f>
        <v>4199.2523362545</v>
      </c>
      <c r="G6" s="0" t="n">
        <f aca="false">F6*(1+G5/100)</f>
        <v>4262.24112129832</v>
      </c>
      <c r="H6" s="0" t="n">
        <f aca="false">G6*(1+H5/100)</f>
        <v>4347.48594372428</v>
      </c>
      <c r="I6" s="0" t="n">
        <f aca="false">H6*(1+I5/100)</f>
        <v>4434.43566259877</v>
      </c>
      <c r="J6" s="0" t="n">
        <f aca="false">I6*(1+J5/100)</f>
        <v>4523.12437585074</v>
      </c>
      <c r="K6" s="0" t="n">
        <f aca="false">J6*(1+K5/100)</f>
        <v>4590.9712414885</v>
      </c>
      <c r="L6" s="0" t="n">
        <f aca="false">K6*(1+L5/100)</f>
        <v>4659.83581011083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26.5</v>
      </c>
      <c r="D7" s="4" t="n">
        <f aca="false">Assumptions!D14</f>
        <v>25</v>
      </c>
      <c r="E7" s="4" t="n">
        <f aca="false">Assumptions!E14</f>
        <v>24</v>
      </c>
      <c r="F7" s="4" t="n">
        <f aca="false">Assumptions!F14</f>
        <v>23.5</v>
      </c>
      <c r="G7" s="4" t="n">
        <f aca="false">Assumptions!G14</f>
        <v>23.5</v>
      </c>
      <c r="H7" s="4" t="n">
        <f aca="false">Assumptions!H14</f>
        <v>23.5</v>
      </c>
      <c r="I7" s="4" t="n">
        <f aca="false">Assumptions!I14</f>
        <v>23.5</v>
      </c>
      <c r="J7" s="4" t="n">
        <f aca="false">Assumptions!J14</f>
        <v>23.5</v>
      </c>
      <c r="K7" s="4" t="n">
        <f aca="false">Assumptions!K14</f>
        <v>23.5</v>
      </c>
      <c r="L7" s="4" t="n">
        <f aca="false">Assumptions!L14</f>
        <v>23.5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1159.04063625</v>
      </c>
      <c r="D8" s="0" t="n">
        <f aca="false">D6*D7/100</f>
        <v>1060.631525625</v>
      </c>
      <c r="E8" s="0" t="n">
        <f aca="false">E6*E7/100</f>
        <v>997.842139308</v>
      </c>
      <c r="F8" s="0" t="n">
        <f aca="false">F6*F7/100</f>
        <v>986.824299019808</v>
      </c>
      <c r="G8" s="0" t="n">
        <f aca="false">G6*G7/100</f>
        <v>1001.6266635051</v>
      </c>
      <c r="H8" s="0" t="n">
        <f aca="false">H6*H7/100</f>
        <v>1021.65919677521</v>
      </c>
      <c r="I8" s="0" t="n">
        <f aca="false">I6*I7/100</f>
        <v>1042.09238071071</v>
      </c>
      <c r="J8" s="0" t="n">
        <f aca="false">J6*J7/100</f>
        <v>1062.93422832492</v>
      </c>
      <c r="K8" s="0" t="n">
        <f aca="false">K6*K7/100</f>
        <v>1078.8782417498</v>
      </c>
      <c r="L8" s="0" t="n">
        <f aca="false">L6*L7/100</f>
        <v>1095.06141537605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-8.7474765</v>
      </c>
      <c r="D10" s="0" t="n">
        <f aca="false">-D6*D9/100</f>
        <v>-8.485052205</v>
      </c>
      <c r="E10" s="0" t="n">
        <f aca="false">-E6*E9/100</f>
        <v>-8.3153511609</v>
      </c>
      <c r="F10" s="0" t="n">
        <f aca="false">-F6*F9/100</f>
        <v>-8.398504672509</v>
      </c>
      <c r="G10" s="0" t="n">
        <f aca="false">-G6*G9/100</f>
        <v>-8.52448224259664</v>
      </c>
      <c r="H10" s="0" t="n">
        <f aca="false">-H6*H9/100</f>
        <v>-8.69497188744857</v>
      </c>
      <c r="I10" s="0" t="n">
        <f aca="false">-I6*I9/100</f>
        <v>-8.86887132519754</v>
      </c>
      <c r="J10" s="0" t="n">
        <f aca="false">-J6*J9/100</f>
        <v>-9.04624875170149</v>
      </c>
      <c r="K10" s="0" t="n">
        <f aca="false">-K6*K9/100</f>
        <v>-9.18194248297701</v>
      </c>
      <c r="L10" s="0" t="n">
        <f aca="false">-L6*L9/100</f>
        <v>-9.31967162022166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1150.29315975</v>
      </c>
      <c r="D11" s="0" t="n">
        <f aca="false">D8+D10+D24</f>
        <v>1052.14647342</v>
      </c>
      <c r="E11" s="0" t="n">
        <f aca="false">E8+E10+E24</f>
        <v>989.5267881471</v>
      </c>
      <c r="F11" s="0" t="n">
        <f aca="false">F8+F10+F24</f>
        <v>978.425794347299</v>
      </c>
      <c r="G11" s="0" t="n">
        <f aca="false">G8+G10+G24</f>
        <v>993.102181262508</v>
      </c>
      <c r="H11" s="0" t="n">
        <f aca="false">H8+H10+H24</f>
        <v>1012.96422488776</v>
      </c>
      <c r="I11" s="0" t="n">
        <f aca="false">I8+I10+I24</f>
        <v>1033.22350938551</v>
      </c>
      <c r="J11" s="0" t="n">
        <f aca="false">J8+J10+J24</f>
        <v>1053.88797957322</v>
      </c>
      <c r="K11" s="0" t="n">
        <f aca="false">K8+K10+K24</f>
        <v>1069.69629926682</v>
      </c>
      <c r="L11" s="0" t="n">
        <f aca="false">L8+L10+L24</f>
        <v>1085.74174375582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-459.24251625</v>
      </c>
      <c r="D12" s="4" t="n">
        <f aca="false">-D6*Assumptions!D17/100</f>
        <v>-462.4353451725</v>
      </c>
      <c r="E12" s="4" t="n">
        <f aca="false">-E6*Assumptions!E17/100</f>
        <v>-457.3443138495</v>
      </c>
      <c r="F12" s="4" t="n">
        <f aca="false">-F6*Assumptions!F17/100</f>
        <v>-453.519252315486</v>
      </c>
      <c r="G12" s="4" t="n">
        <f aca="false">-G6*Assumptions!G17/100</f>
        <v>-451.797558857622</v>
      </c>
      <c r="H12" s="4" t="n">
        <f aca="false">-H6*Assumptions!H17/100</f>
        <v>-452.138538147325</v>
      </c>
      <c r="I12" s="4" t="n">
        <f aca="false">-I6*Assumptions!I17/100</f>
        <v>-452.312437585074</v>
      </c>
      <c r="J12" s="4" t="n">
        <f aca="false">-J6*Assumptions!J17/100</f>
        <v>-452.312437585074</v>
      </c>
      <c r="K12" s="4" t="n">
        <f aca="false">-K6*Assumptions!K17/100</f>
        <v>-449.915181665873</v>
      </c>
      <c r="L12" s="4" t="n">
        <f aca="false">-L6*Assumptions!L17/100</f>
        <v>-447.34423777064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691.0506435</v>
      </c>
      <c r="D13" s="0" t="n">
        <f aca="false">D11+D12</f>
        <v>589.7111282475</v>
      </c>
      <c r="E13" s="0" t="n">
        <f aca="false">E11+E12</f>
        <v>532.1824742976</v>
      </c>
      <c r="F13" s="0" t="n">
        <f aca="false">F11+F12</f>
        <v>524.906542031813</v>
      </c>
      <c r="G13" s="0" t="n">
        <f aca="false">G11+G12</f>
        <v>541.304622404886</v>
      </c>
      <c r="H13" s="0" t="n">
        <f aca="false">H11+H12</f>
        <v>560.825686740433</v>
      </c>
      <c r="I13" s="0" t="n">
        <f aca="false">I11+I12</f>
        <v>580.911071800439</v>
      </c>
      <c r="J13" s="0" t="n">
        <f aca="false">J11+J12</f>
        <v>601.575541988149</v>
      </c>
      <c r="K13" s="0" t="n">
        <f aca="false">K11+K12</f>
        <v>619.781117600948</v>
      </c>
      <c r="L13" s="0" t="n">
        <f aca="false">L11+L12</f>
        <v>638.397505985184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16.5</v>
      </c>
      <c r="D14" s="4" t="n">
        <f aca="false">Assumptions!D19</f>
        <v>16.5</v>
      </c>
      <c r="E14" s="4" t="n">
        <f aca="false">Assumptions!E19</f>
        <v>16.5</v>
      </c>
      <c r="F14" s="4" t="n">
        <f aca="false">Assumptions!F19</f>
        <v>16.5</v>
      </c>
      <c r="G14" s="4" t="n">
        <f aca="false">Assumptions!G19</f>
        <v>16.5</v>
      </c>
      <c r="H14" s="4" t="n">
        <f aca="false">Assumptions!H19</f>
        <v>16.5</v>
      </c>
      <c r="I14" s="4" t="n">
        <f aca="false">Assumptions!I19</f>
        <v>16.5</v>
      </c>
      <c r="J14" s="4" t="n">
        <f aca="false">Assumptions!J19</f>
        <v>16.5</v>
      </c>
      <c r="K14" s="4" t="n">
        <f aca="false">Assumptions!K19</f>
        <v>16.5</v>
      </c>
      <c r="L14" s="4" t="n">
        <f aca="false">Assumptions!L19</f>
        <v>16.5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577.0272873225</v>
      </c>
      <c r="D15" s="0" t="n">
        <f aca="false">D13-MAX(0,D13)*D14/100</f>
        <v>492.408792086662</v>
      </c>
      <c r="E15" s="0" t="n">
        <f aca="false">E13-MAX(0,E13)*E14/100</f>
        <v>444.372366038496</v>
      </c>
      <c r="F15" s="0" t="n">
        <f aca="false">F13-MAX(0,F13)*F14/100</f>
        <v>438.296962596563</v>
      </c>
      <c r="G15" s="0" t="n">
        <f aca="false">G13-MAX(0,G13)*G14/100</f>
        <v>451.98935970808</v>
      </c>
      <c r="H15" s="0" t="n">
        <f aca="false">H13-MAX(0,H13)*H14/100</f>
        <v>468.289448428261</v>
      </c>
      <c r="I15" s="0" t="n">
        <f aca="false">I13-MAX(0,I13)*I14/100</f>
        <v>485.060744953366</v>
      </c>
      <c r="J15" s="0" t="n">
        <f aca="false">J13-MAX(0,J13)*J14/100</f>
        <v>502.315577560104</v>
      </c>
      <c r="K15" s="0" t="n">
        <f aca="false">K13-MAX(0,K13)*K14/100</f>
        <v>517.517233196792</v>
      </c>
      <c r="L15" s="0" t="n">
        <f aca="false">L13-MAX(0,L13)*L14/100</f>
        <v>533.061917497628</v>
      </c>
    </row>
    <row r="16" customFormat="false" ht="15" hidden="false" customHeight="false" outlineLevel="0" collapsed="false">
      <c r="A16" s="0" t="s">
        <v>117</v>
      </c>
      <c r="C16" s="0" t="n">
        <f aca="false">-C12</f>
        <v>459.24251625</v>
      </c>
      <c r="D16" s="0" t="n">
        <f aca="false">-D12</f>
        <v>462.4353451725</v>
      </c>
      <c r="E16" s="0" t="n">
        <f aca="false">-E12</f>
        <v>457.3443138495</v>
      </c>
      <c r="F16" s="0" t="n">
        <f aca="false">-F12</f>
        <v>453.519252315486</v>
      </c>
      <c r="G16" s="0" t="n">
        <f aca="false">-G12</f>
        <v>451.797558857622</v>
      </c>
      <c r="H16" s="0" t="n">
        <f aca="false">-H12</f>
        <v>452.138538147325</v>
      </c>
      <c r="I16" s="0" t="n">
        <f aca="false">-I12</f>
        <v>452.312437585074</v>
      </c>
      <c r="J16" s="0" t="n">
        <f aca="false">-J12</f>
        <v>452.312437585074</v>
      </c>
      <c r="K16" s="0" t="n">
        <f aca="false">-K12</f>
        <v>449.915181665873</v>
      </c>
      <c r="L16" s="0" t="n">
        <f aca="false">-L12</f>
        <v>447.34423777064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-349.89906</v>
      </c>
      <c r="D17" s="4" t="n">
        <f aca="false">-D6*Assumptions!D18/100</f>
        <v>-339.4020882</v>
      </c>
      <c r="E17" s="4" t="n">
        <f aca="false">-E6*Assumptions!E18/100</f>
        <v>-353.40242433825</v>
      </c>
      <c r="F17" s="4" t="n">
        <f aca="false">-F6*Assumptions!F18/100</f>
        <v>-377.932710262905</v>
      </c>
      <c r="G17" s="4" t="n">
        <f aca="false">-G6*Assumptions!G18/100</f>
        <v>-392.126183159445</v>
      </c>
      <c r="H17" s="4" t="n">
        <f aca="false">-H6*Assumptions!H18/100</f>
        <v>-408.663678710083</v>
      </c>
      <c r="I17" s="4" t="n">
        <f aca="false">-I6*Assumptions!I18/100</f>
        <v>-421.271387946883</v>
      </c>
      <c r="J17" s="4" t="n">
        <f aca="false">-J6*Assumptions!J18/100</f>
        <v>-429.696815705821</v>
      </c>
      <c r="K17" s="4" t="n">
        <f aca="false">-K6*Assumptions!K18/100</f>
        <v>-436.142267941408</v>
      </c>
      <c r="L17" s="4" t="n">
        <f aca="false">-L6*Assumptions!L18/100</f>
        <v>-442.684401960529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-83.3093000000001</v>
      </c>
      <c r="D18" s="4" t="n">
        <f aca="false">(D6-C6)*Assumptions!$B$23/100</f>
        <v>52.4848590000001</v>
      </c>
      <c r="E18" s="4" t="n">
        <f aca="false">(E6-D6)*Assumptions!$B$23/100</f>
        <v>33.94020882</v>
      </c>
      <c r="F18" s="4" t="n">
        <f aca="false">(F6-E6)*Assumptions!$B$23/100</f>
        <v>-16.6307023218</v>
      </c>
      <c r="G18" s="4" t="n">
        <f aca="false">(G6-F6)*Assumptions!$B$23/100</f>
        <v>-25.1955140175269</v>
      </c>
      <c r="H18" s="4" t="n">
        <f aca="false">(H6-G6)*Assumptions!$B$23/100</f>
        <v>-34.0979289703864</v>
      </c>
      <c r="I18" s="4" t="n">
        <f aca="false">(I6-H6)*Assumptions!$B$23/100</f>
        <v>-34.7798875497942</v>
      </c>
      <c r="J18" s="4" t="n">
        <f aca="false">(J6-I6)*Assumptions!$B$23/100</f>
        <v>-35.47548530079</v>
      </c>
      <c r="K18" s="4" t="n">
        <f aca="false">(K6-J6)*Assumptions!$B$23/100</f>
        <v>-27.1387462551043</v>
      </c>
      <c r="L18" s="4" t="n">
        <f aca="false">(L6-K6)*Assumptions!$B$23/100</f>
        <v>-27.5458274489309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603.0614435725</v>
      </c>
      <c r="D19" s="0" t="n">
        <f aca="false">D15+D16+D17+D18</f>
        <v>667.926908059163</v>
      </c>
      <c r="E19" s="0" t="n">
        <f aca="false">E15+E16+E17+E18</f>
        <v>582.254464369746</v>
      </c>
      <c r="F19" s="0" t="n">
        <f aca="false">F15+F16+F17+F18</f>
        <v>497.252802327345</v>
      </c>
      <c r="G19" s="0" t="n">
        <f aca="false">G15+G16+G17+G18</f>
        <v>486.46522138873</v>
      </c>
      <c r="H19" s="0" t="n">
        <f aca="false">H15+H16+H17+H18</f>
        <v>477.666378895118</v>
      </c>
      <c r="I19" s="0" t="n">
        <f aca="false">I15+I16+I17+I18</f>
        <v>481.321907041764</v>
      </c>
      <c r="J19" s="0" t="n">
        <f aca="false">J15+J16+J17+J18</f>
        <v>489.455714138568</v>
      </c>
      <c r="K19" s="0" t="n">
        <f aca="false">K15+K16+K17+K18</f>
        <v>504.151400666153</v>
      </c>
      <c r="L19" s="0" t="n">
        <f aca="false">L15+L16+L17+L18</f>
        <v>510.175925858809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555.816998684332</v>
      </c>
      <c r="D21" s="0" t="n">
        <f aca="false">D19*D20</f>
        <v>567.374043245057</v>
      </c>
      <c r="E21" s="0" t="n">
        <f aca="false">E19*E20</f>
        <v>455.851735502521</v>
      </c>
      <c r="F21" s="0" t="n">
        <f aca="false">F19*F20</f>
        <v>358.804834939588</v>
      </c>
      <c r="G21" s="0" t="n">
        <f aca="false">G19*G20</f>
        <v>323.521469073571</v>
      </c>
      <c r="H21" s="0" t="n">
        <f aca="false">H19*H20</f>
        <v>292.783261882911</v>
      </c>
      <c r="I21" s="0" t="n">
        <f aca="false">I19*I20</f>
        <v>271.911428492078</v>
      </c>
      <c r="J21" s="0" t="n">
        <f aca="false">J19*J20</f>
        <v>254.844636362365</v>
      </c>
      <c r="K21" s="0" t="n">
        <f aca="false">K19*K20</f>
        <v>241.932010461292</v>
      </c>
      <c r="L21" s="0" t="n">
        <f aca="false">L19*L20</f>
        <v>225.643371110296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3548.48378975401</v>
      </c>
    </row>
    <row r="31" customFormat="false" ht="15" hidden="false" customHeight="false" outlineLevel="0" collapsed="false">
      <c r="A31" s="0" t="s">
        <v>126</v>
      </c>
      <c r="B31" s="0" t="n">
        <f aca="false">L19</f>
        <v>510.175925858809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7397.55092495272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6122.1111103057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6122.1111103057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2707.72045332355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6256.20424307756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4235.30524307756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1.4647721719147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-0.4673555738492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57.0874186353021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59.768345043081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1.50518651301649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3835.76714627178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0.581916641156818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8.5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4165.465</v>
      </c>
      <c r="C6" s="0" t="n">
        <f aca="false">B6*(1+C5/100)</f>
        <v>4519.529525</v>
      </c>
      <c r="D6" s="0" t="n">
        <f aca="false">C6*(1+D5/100)</f>
        <v>4745.50600125</v>
      </c>
      <c r="E6" s="0" t="n">
        <f aca="false">D6*(1+E5/100)</f>
        <v>4959.05377130625</v>
      </c>
      <c r="F6" s="0" t="n">
        <f aca="false">E6*(1+F5/100)</f>
        <v>5157.4159221585</v>
      </c>
      <c r="G6" s="0" t="n">
        <f aca="false">F6*(1+G5/100)</f>
        <v>5363.71255904484</v>
      </c>
      <c r="H6" s="0" t="n">
        <f aca="false">G6*(1+H5/100)</f>
        <v>5551.44249861141</v>
      </c>
      <c r="I6" s="0" t="n">
        <f aca="false">H6*(1+I5/100)</f>
        <v>5717.98577356975</v>
      </c>
      <c r="J6" s="0" t="n">
        <f aca="false">I6*(1+J5/100)</f>
        <v>5889.52534677684</v>
      </c>
      <c r="K6" s="0" t="n">
        <f aca="false">J6*(1+K5/100)</f>
        <v>6036.76348044626</v>
      </c>
      <c r="L6" s="0" t="n">
        <f aca="false">K6*(1+L5/100)</f>
        <v>6187.68256745742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27.4</v>
      </c>
      <c r="D7" s="4" t="n">
        <f aca="false">Assumptions!D28</f>
        <v>28</v>
      </c>
      <c r="E7" s="4" t="n">
        <f aca="false">Assumptions!E28</f>
        <v>28.5</v>
      </c>
      <c r="F7" s="4" t="n">
        <f aca="false">Assumptions!F28</f>
        <v>28.5</v>
      </c>
      <c r="G7" s="4" t="n">
        <f aca="false">Assumptions!G28</f>
        <v>28.5</v>
      </c>
      <c r="H7" s="4" t="n">
        <f aca="false">Assumptions!H28</f>
        <v>28.5</v>
      </c>
      <c r="I7" s="4" t="n">
        <f aca="false">Assumptions!I28</f>
        <v>28.5</v>
      </c>
      <c r="J7" s="4" t="n">
        <f aca="false">Assumptions!J28</f>
        <v>28.5</v>
      </c>
      <c r="K7" s="4" t="n">
        <f aca="false">Assumptions!K28</f>
        <v>28.5</v>
      </c>
      <c r="L7" s="4" t="n">
        <f aca="false">Assumptions!L28</f>
        <v>28.5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1238.35108985</v>
      </c>
      <c r="D8" s="0" t="n">
        <f aca="false">D6*D7/100</f>
        <v>1328.74168035</v>
      </c>
      <c r="E8" s="0" t="n">
        <f aca="false">E6*E7/100</f>
        <v>1413.33032482228</v>
      </c>
      <c r="F8" s="0" t="n">
        <f aca="false">F6*F7/100</f>
        <v>1469.86353781517</v>
      </c>
      <c r="G8" s="0" t="n">
        <f aca="false">G6*G7/100</f>
        <v>1528.65807932778</v>
      </c>
      <c r="H8" s="0" t="n">
        <f aca="false">H6*H7/100</f>
        <v>1582.16111210425</v>
      </c>
      <c r="I8" s="0" t="n">
        <f aca="false">I6*I7/100</f>
        <v>1629.62594546738</v>
      </c>
      <c r="J8" s="0" t="n">
        <f aca="false">J6*J7/100</f>
        <v>1678.5147238314</v>
      </c>
      <c r="K8" s="0" t="n">
        <f aca="false">K6*K7/100</f>
        <v>1720.47759192719</v>
      </c>
      <c r="L8" s="0" t="n">
        <f aca="false">L6*L7/100</f>
        <v>1763.48953172536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-9.03905905</v>
      </c>
      <c r="D10" s="0" t="n">
        <f aca="false">-D6*D9/100</f>
        <v>-9.4910120025</v>
      </c>
      <c r="E10" s="0" t="n">
        <f aca="false">-E6*E9/100</f>
        <v>-9.9181075426125</v>
      </c>
      <c r="F10" s="0" t="n">
        <f aca="false">-F6*F9/100</f>
        <v>-10.314831844317</v>
      </c>
      <c r="G10" s="0" t="n">
        <f aca="false">-G6*G9/100</f>
        <v>-10.7274251180897</v>
      </c>
      <c r="H10" s="0" t="n">
        <f aca="false">-H6*H9/100</f>
        <v>-11.1028849972228</v>
      </c>
      <c r="I10" s="0" t="n">
        <f aca="false">-I6*I9/100</f>
        <v>-11.4359715471395</v>
      </c>
      <c r="J10" s="0" t="n">
        <f aca="false">-J6*J9/100</f>
        <v>-11.7790506935537</v>
      </c>
      <c r="K10" s="0" t="n">
        <f aca="false">-K6*K9/100</f>
        <v>-12.0735269608925</v>
      </c>
      <c r="L10" s="0" t="n">
        <f aca="false">-L6*L9/100</f>
        <v>-12.3753651349148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1229.3120308</v>
      </c>
      <c r="D11" s="0" t="n">
        <f aca="false">D8+D10+D24</f>
        <v>1319.2506683475</v>
      </c>
      <c r="E11" s="0" t="n">
        <f aca="false">E8+E10+E24</f>
        <v>1403.41221727967</v>
      </c>
      <c r="F11" s="0" t="n">
        <f aca="false">F8+F10+F24</f>
        <v>1459.54870597086</v>
      </c>
      <c r="G11" s="0" t="n">
        <f aca="false">G8+G10+G24</f>
        <v>1517.93065420969</v>
      </c>
      <c r="H11" s="0" t="n">
        <f aca="false">H8+H10+H24</f>
        <v>1571.05822710703</v>
      </c>
      <c r="I11" s="0" t="n">
        <f aca="false">I8+I10+I24</f>
        <v>1618.18997392024</v>
      </c>
      <c r="J11" s="0" t="n">
        <f aca="false">J8+J10+J24</f>
        <v>1666.73567313785</v>
      </c>
      <c r="K11" s="0" t="n">
        <f aca="false">K8+K10+K24</f>
        <v>1708.40406496629</v>
      </c>
      <c r="L11" s="0" t="n">
        <f aca="false">L8+L10+L24</f>
        <v>1751.11416659045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-456.472482025</v>
      </c>
      <c r="D12" s="4" t="n">
        <f aca="false">-D6*Assumptions!D31/100</f>
        <v>-465.0595881225</v>
      </c>
      <c r="E12" s="4" t="n">
        <f aca="false">-E6*Assumptions!E31/100</f>
        <v>-471.110108274094</v>
      </c>
      <c r="F12" s="4" t="n">
        <f aca="false">-F6*Assumptions!F31/100</f>
        <v>-474.482264838582</v>
      </c>
      <c r="G12" s="4" t="n">
        <f aca="false">-G6*Assumptions!G31/100</f>
        <v>-477.370417754991</v>
      </c>
      <c r="H12" s="4" t="n">
        <f aca="false">-H6*Assumptions!H31/100</f>
        <v>-477.424054880581</v>
      </c>
      <c r="I12" s="4" t="n">
        <f aca="false">-I6*Assumptions!I31/100</f>
        <v>-474.592819206289</v>
      </c>
      <c r="J12" s="4" t="n">
        <f aca="false">-J6*Assumptions!J31/100</f>
        <v>-471.162027742148</v>
      </c>
      <c r="K12" s="4" t="n">
        <f aca="false">-K6*Assumptions!K31/100</f>
        <v>-470.867551474809</v>
      </c>
      <c r="L12" s="4" t="n">
        <f aca="false">-L6*Assumptions!L31/100</f>
        <v>-470.263875126764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772.839548775</v>
      </c>
      <c r="D13" s="0" t="n">
        <f aca="false">D11+D12</f>
        <v>854.191080225</v>
      </c>
      <c r="E13" s="0" t="n">
        <f aca="false">E11+E12</f>
        <v>932.302109005575</v>
      </c>
      <c r="F13" s="0" t="n">
        <f aca="false">F11+F12</f>
        <v>985.066441132274</v>
      </c>
      <c r="G13" s="0" t="n">
        <f aca="false">G11+G12</f>
        <v>1040.5602364547</v>
      </c>
      <c r="H13" s="0" t="n">
        <f aca="false">H11+H12</f>
        <v>1093.63417222645</v>
      </c>
      <c r="I13" s="0" t="n">
        <f aca="false">I11+I12</f>
        <v>1143.59715471395</v>
      </c>
      <c r="J13" s="0" t="n">
        <f aca="false">J11+J12</f>
        <v>1195.5736453957</v>
      </c>
      <c r="K13" s="0" t="n">
        <f aca="false">K11+K12</f>
        <v>1237.53651349148</v>
      </c>
      <c r="L13" s="0" t="n">
        <f aca="false">L11+L12</f>
        <v>1280.85029146369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16.5</v>
      </c>
      <c r="D14" s="4" t="n">
        <f aca="false">Assumptions!D33</f>
        <v>16.5</v>
      </c>
      <c r="E14" s="4" t="n">
        <f aca="false">Assumptions!E33</f>
        <v>16.5</v>
      </c>
      <c r="F14" s="4" t="n">
        <f aca="false">Assumptions!F33</f>
        <v>16.5</v>
      </c>
      <c r="G14" s="4" t="n">
        <f aca="false">Assumptions!G33</f>
        <v>16.5</v>
      </c>
      <c r="H14" s="4" t="n">
        <f aca="false">Assumptions!H33</f>
        <v>16.5</v>
      </c>
      <c r="I14" s="4" t="n">
        <f aca="false">Assumptions!I33</f>
        <v>16.5</v>
      </c>
      <c r="J14" s="4" t="n">
        <f aca="false">Assumptions!J33</f>
        <v>16.5</v>
      </c>
      <c r="K14" s="4" t="n">
        <f aca="false">Assumptions!K33</f>
        <v>16.5</v>
      </c>
      <c r="L14" s="4" t="n">
        <f aca="false">Assumptions!L33</f>
        <v>16.5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645.321023227125</v>
      </c>
      <c r="D15" s="0" t="n">
        <f aca="false">D13-MAX(0,D13)*D14/100</f>
        <v>713.249551987875</v>
      </c>
      <c r="E15" s="0" t="n">
        <f aca="false">E13-MAX(0,E13)*E14/100</f>
        <v>778.472261019655</v>
      </c>
      <c r="F15" s="0" t="n">
        <f aca="false">F13-MAX(0,F13)*F14/100</f>
        <v>822.530478345449</v>
      </c>
      <c r="G15" s="0" t="n">
        <f aca="false">G13-MAX(0,G13)*G14/100</f>
        <v>868.867797439673</v>
      </c>
      <c r="H15" s="0" t="n">
        <f aca="false">H13-MAX(0,H13)*H14/100</f>
        <v>913.184533809084</v>
      </c>
      <c r="I15" s="0" t="n">
        <f aca="false">I13-MAX(0,I13)*I14/100</f>
        <v>954.903624186148</v>
      </c>
      <c r="J15" s="0" t="n">
        <f aca="false">J13-MAX(0,J13)*J14/100</f>
        <v>998.303993905409</v>
      </c>
      <c r="K15" s="0" t="n">
        <f aca="false">K13-MAX(0,K13)*K14/100</f>
        <v>1033.34298876539</v>
      </c>
      <c r="L15" s="0" t="n">
        <f aca="false">L13-MAX(0,L13)*L14/100</f>
        <v>1069.50999337218</v>
      </c>
    </row>
    <row r="16" customFormat="false" ht="15" hidden="false" customHeight="false" outlineLevel="0" collapsed="false">
      <c r="A16" s="0" t="s">
        <v>117</v>
      </c>
      <c r="C16" s="0" t="n">
        <f aca="false">-C12</f>
        <v>456.472482025</v>
      </c>
      <c r="D16" s="0" t="n">
        <f aca="false">-D12</f>
        <v>465.0595881225</v>
      </c>
      <c r="E16" s="0" t="n">
        <f aca="false">-E12</f>
        <v>471.110108274094</v>
      </c>
      <c r="F16" s="0" t="n">
        <f aca="false">-F12</f>
        <v>474.482264838582</v>
      </c>
      <c r="G16" s="0" t="n">
        <f aca="false">-G12</f>
        <v>477.370417754991</v>
      </c>
      <c r="H16" s="0" t="n">
        <f aca="false">-H12</f>
        <v>477.424054880581</v>
      </c>
      <c r="I16" s="0" t="n">
        <f aca="false">-I12</f>
        <v>474.592819206289</v>
      </c>
      <c r="J16" s="0" t="n">
        <f aca="false">-J12</f>
        <v>471.162027742148</v>
      </c>
      <c r="K16" s="0" t="n">
        <f aca="false">-K12</f>
        <v>470.867551474809</v>
      </c>
      <c r="L16" s="0" t="n">
        <f aca="false">-L12</f>
        <v>470.263875126764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-361.562362</v>
      </c>
      <c r="D17" s="4" t="n">
        <f aca="false">-D6*Assumptions!D32/100</f>
        <v>-379.6404801</v>
      </c>
      <c r="E17" s="4" t="n">
        <f aca="false">-E6*Assumptions!E32/100</f>
        <v>-386.806194161887</v>
      </c>
      <c r="F17" s="4" t="n">
        <f aca="false">-F6*Assumptions!F32/100</f>
        <v>-391.963610084046</v>
      </c>
      <c r="G17" s="4" t="n">
        <f aca="false">-G6*Assumptions!G32/100</f>
        <v>-402.278441928363</v>
      </c>
      <c r="H17" s="4" t="n">
        <f aca="false">-H6*Assumptions!H32/100</f>
        <v>-416.358187395856</v>
      </c>
      <c r="I17" s="4" t="n">
        <f aca="false">-I6*Assumptions!I32/100</f>
        <v>-428.848933017731</v>
      </c>
      <c r="J17" s="4" t="n">
        <f aca="false">-J6*Assumptions!J32/100</f>
        <v>-441.714401008263</v>
      </c>
      <c r="K17" s="4" t="n">
        <f aca="false">-K6*Assumptions!K32/100</f>
        <v>-452.75726103347</v>
      </c>
      <c r="L17" s="4" t="n">
        <f aca="false">-L6*Assumptions!L32/100</f>
        <v>-464.076192559307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-141.62581</v>
      </c>
      <c r="D18" s="4" t="n">
        <f aca="false">(D6-C6)*Assumptions!$B$37/100</f>
        <v>-90.3905905</v>
      </c>
      <c r="E18" s="4" t="n">
        <f aca="false">(E6-D6)*Assumptions!$B$37/100</f>
        <v>-85.4191080224999</v>
      </c>
      <c r="F18" s="4" t="n">
        <f aca="false">(F6-E6)*Assumptions!$B$37/100</f>
        <v>-79.3448603409001</v>
      </c>
      <c r="G18" s="4" t="n">
        <f aca="false">(G6-F6)*Assumptions!$B$37/100</f>
        <v>-82.518654754536</v>
      </c>
      <c r="H18" s="4" t="n">
        <f aca="false">(H6-G6)*Assumptions!$B$37/100</f>
        <v>-75.0919758266275</v>
      </c>
      <c r="I18" s="4" t="n">
        <f aca="false">(I6-H6)*Assumptions!$B$37/100</f>
        <v>-66.617309983337</v>
      </c>
      <c r="J18" s="4" t="n">
        <f aca="false">(J6-I6)*Assumptions!$B$37/100</f>
        <v>-68.6158292828372</v>
      </c>
      <c r="K18" s="4" t="n">
        <f aca="false">(K6-J6)*Assumptions!$B$37/100</f>
        <v>-58.8952534677683</v>
      </c>
      <c r="L18" s="4" t="n">
        <f aca="false">(L6-K6)*Assumptions!$B$37/100</f>
        <v>-60.3676348044624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598.605333252125</v>
      </c>
      <c r="D19" s="0" t="n">
        <f aca="false">D15+D16+D17+D18</f>
        <v>708.278069510375</v>
      </c>
      <c r="E19" s="0" t="n">
        <f aca="false">E15+E16+E17+E18</f>
        <v>777.357067109362</v>
      </c>
      <c r="F19" s="0" t="n">
        <f aca="false">F15+F16+F17+F18</f>
        <v>825.704272759084</v>
      </c>
      <c r="G19" s="0" t="n">
        <f aca="false">G15+G16+G17+G18</f>
        <v>861.441118511765</v>
      </c>
      <c r="H19" s="0" t="n">
        <f aca="false">H15+H16+H17+H18</f>
        <v>899.158425467182</v>
      </c>
      <c r="I19" s="0" t="n">
        <f aca="false">I15+I16+I17+I18</f>
        <v>934.030200391369</v>
      </c>
      <c r="J19" s="0" t="n">
        <f aca="false">J15+J16+J17+J18</f>
        <v>959.135791356456</v>
      </c>
      <c r="K19" s="0" t="n">
        <f aca="false">K15+K16+K17+K18</f>
        <v>992.55802573896</v>
      </c>
      <c r="L19" s="0" t="n">
        <f aca="false">L15+L16+L17+L18</f>
        <v>1015.33004113517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551.70998456417</v>
      </c>
      <c r="D21" s="0" t="n">
        <f aca="false">D19*D20</f>
        <v>601.650550668203</v>
      </c>
      <c r="E21" s="0" t="n">
        <f aca="false">E19*E20</f>
        <v>608.599143212279</v>
      </c>
      <c r="F21" s="0" t="n">
        <f aca="false">F19*F20</f>
        <v>595.806969633127</v>
      </c>
      <c r="G21" s="0" t="n">
        <f aca="false">G19*G20</f>
        <v>572.897473298721</v>
      </c>
      <c r="H21" s="0" t="n">
        <f aca="false">H19*H20</f>
        <v>551.134742551323</v>
      </c>
      <c r="I21" s="0" t="n">
        <f aca="false">I19*I20</f>
        <v>527.658272618625</v>
      </c>
      <c r="J21" s="0" t="n">
        <f aca="false">J19*J20</f>
        <v>499.39270277099</v>
      </c>
      <c r="K21" s="0" t="n">
        <f aca="false">K19*K20</f>
        <v>476.308423122941</v>
      </c>
      <c r="L21" s="0" t="n">
        <f aca="false">L19*L20</f>
        <v>449.065668642898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5434.22393108328</v>
      </c>
    </row>
    <row r="31" customFormat="false" ht="15" hidden="false" customHeight="false" outlineLevel="0" collapsed="false">
      <c r="A31" s="0" t="s">
        <v>126</v>
      </c>
      <c r="B31" s="0" t="n">
        <f aca="false">L19</f>
        <v>1015.33004113517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15932.8714147366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12183.9604936221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12183.9604936221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5388.78802371478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10823.0119547981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8802.11295479805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3.04419383498068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0.106979576356612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69.4014454688133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85.8909596158079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3.09790141458181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7966.43570736828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1.3842267098847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10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4165.465</v>
      </c>
      <c r="C6" s="0" t="n">
        <f aca="false">B6*(1+C5/100)</f>
        <v>4582.0115</v>
      </c>
      <c r="D6" s="0" t="n">
        <f aca="false">C6*(1+D5/100)</f>
        <v>4902.752305</v>
      </c>
      <c r="E6" s="0" t="n">
        <f aca="false">D6*(1+E5/100)</f>
        <v>5196.9174433</v>
      </c>
      <c r="F6" s="0" t="n">
        <f aca="false">E6*(1+F5/100)</f>
        <v>5482.7479026815</v>
      </c>
      <c r="G6" s="0" t="n">
        <f aca="false">F6*(1+G5/100)</f>
        <v>5756.88529781558</v>
      </c>
      <c r="H6" s="0" t="n">
        <f aca="false">G6*(1+H5/100)</f>
        <v>6015.94513621728</v>
      </c>
      <c r="I6" s="0" t="n">
        <f aca="false">H6*(1+I5/100)</f>
        <v>6256.58294166597</v>
      </c>
      <c r="J6" s="0" t="n">
        <f aca="false">I6*(1+J5/100)</f>
        <v>6475.56334462428</v>
      </c>
      <c r="K6" s="0" t="n">
        <f aca="false">J6*(1+K5/100)</f>
        <v>6669.83024496301</v>
      </c>
      <c r="L6" s="0" t="n">
        <f aca="false">K6*(1+L5/100)</f>
        <v>6869.9251523119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28</v>
      </c>
      <c r="D7" s="4" t="n">
        <f aca="false">Assumptions!D42</f>
        <v>29</v>
      </c>
      <c r="E7" s="4" t="n">
        <f aca="false">Assumptions!E42</f>
        <v>30</v>
      </c>
      <c r="F7" s="4" t="n">
        <f aca="false">Assumptions!F42</f>
        <v>30.5</v>
      </c>
      <c r="G7" s="4" t="n">
        <f aca="false">Assumptions!G42</f>
        <v>31</v>
      </c>
      <c r="H7" s="4" t="n">
        <f aca="false">Assumptions!H42</f>
        <v>31</v>
      </c>
      <c r="I7" s="4" t="n">
        <f aca="false">Assumptions!I42</f>
        <v>31</v>
      </c>
      <c r="J7" s="4" t="n">
        <f aca="false">Assumptions!J42</f>
        <v>31</v>
      </c>
      <c r="K7" s="4" t="n">
        <f aca="false">Assumptions!K42</f>
        <v>31</v>
      </c>
      <c r="L7" s="4" t="n">
        <f aca="false">Assumptions!L42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1282.96322</v>
      </c>
      <c r="D8" s="0" t="n">
        <f aca="false">D6*D7/100</f>
        <v>1421.79816845</v>
      </c>
      <c r="E8" s="0" t="n">
        <f aca="false">E6*E7/100</f>
        <v>1559.07523299</v>
      </c>
      <c r="F8" s="0" t="n">
        <f aca="false">F6*F7/100</f>
        <v>1672.23811031786</v>
      </c>
      <c r="G8" s="0" t="n">
        <f aca="false">G6*G7/100</f>
        <v>1784.63444232283</v>
      </c>
      <c r="H8" s="0" t="n">
        <f aca="false">H6*H7/100</f>
        <v>1864.94299222736</v>
      </c>
      <c r="I8" s="0" t="n">
        <f aca="false">I6*I7/100</f>
        <v>1939.54071191645</v>
      </c>
      <c r="J8" s="0" t="n">
        <f aca="false">J6*J7/100</f>
        <v>2007.42463683353</v>
      </c>
      <c r="K8" s="0" t="n">
        <f aca="false">K6*K7/100</f>
        <v>2067.64737593853</v>
      </c>
      <c r="L8" s="0" t="n">
        <f aca="false">L6*L7/100</f>
        <v>2129.67679721669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-9.164023</v>
      </c>
      <c r="D10" s="0" t="n">
        <f aca="false">-D6*D9/100</f>
        <v>-9.80550461</v>
      </c>
      <c r="E10" s="0" t="n">
        <f aca="false">-E6*E9/100</f>
        <v>-10.3938348866</v>
      </c>
      <c r="F10" s="0" t="n">
        <f aca="false">-F6*F9/100</f>
        <v>-10.965495805363</v>
      </c>
      <c r="G10" s="0" t="n">
        <f aca="false">-G6*G9/100</f>
        <v>-11.5137705956312</v>
      </c>
      <c r="H10" s="0" t="n">
        <f aca="false">-H6*H9/100</f>
        <v>-12.0318902724346</v>
      </c>
      <c r="I10" s="0" t="n">
        <f aca="false">-I6*I9/100</f>
        <v>-12.5131658833319</v>
      </c>
      <c r="J10" s="0" t="n">
        <f aca="false">-J6*J9/100</f>
        <v>-12.9511266892486</v>
      </c>
      <c r="K10" s="0" t="n">
        <f aca="false">-K6*K9/100</f>
        <v>-13.339660489926</v>
      </c>
      <c r="L10" s="0" t="n">
        <f aca="false">-L6*L9/100</f>
        <v>-13.7398503046238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1273.799197</v>
      </c>
      <c r="D11" s="0" t="n">
        <f aca="false">D8+D10+D24</f>
        <v>1411.99266384</v>
      </c>
      <c r="E11" s="0" t="n">
        <f aca="false">E8+E10+E24</f>
        <v>1548.6813981034</v>
      </c>
      <c r="F11" s="0" t="n">
        <f aca="false">F8+F10+F24</f>
        <v>1661.2726145125</v>
      </c>
      <c r="G11" s="0" t="n">
        <f aca="false">G8+G10+G24</f>
        <v>1773.1206717272</v>
      </c>
      <c r="H11" s="0" t="n">
        <f aca="false">H8+H10+H24</f>
        <v>1852.91110195492</v>
      </c>
      <c r="I11" s="0" t="n">
        <f aca="false">I8+I10+I24</f>
        <v>1927.02754603312</v>
      </c>
      <c r="J11" s="0" t="n">
        <f aca="false">J8+J10+J24</f>
        <v>1994.47351014428</v>
      </c>
      <c r="K11" s="0" t="n">
        <f aca="false">K8+K10+K24</f>
        <v>2054.30771544861</v>
      </c>
      <c r="L11" s="0" t="n">
        <f aca="false">L8+L10+L24</f>
        <v>2115.93694691206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-458.20115</v>
      </c>
      <c r="D12" s="4" t="n">
        <f aca="false">-D6*Assumptions!D45/100</f>
        <v>-470.66422128</v>
      </c>
      <c r="E12" s="4" t="n">
        <f aca="false">-E6*Assumptions!E45/100</f>
        <v>-478.1164047836</v>
      </c>
      <c r="F12" s="4" t="n">
        <f aca="false">-F6*Assumptions!F45/100</f>
        <v>-482.481815435972</v>
      </c>
      <c r="G12" s="4" t="n">
        <f aca="false">-G6*Assumptions!G45/100</f>
        <v>-489.335250314324</v>
      </c>
      <c r="H12" s="4" t="n">
        <f aca="false">-H6*Assumptions!H45/100</f>
        <v>-493.307501169817</v>
      </c>
      <c r="I12" s="4" t="n">
        <f aca="false">-I6*Assumptions!I45/100</f>
        <v>-494.270052391612</v>
      </c>
      <c r="J12" s="4" t="n">
        <f aca="false">-J6*Assumptions!J45/100</f>
        <v>-498.618377536069</v>
      </c>
      <c r="K12" s="4" t="n">
        <f aca="false">-K6*Assumptions!K45/100</f>
        <v>-500.237268372225</v>
      </c>
      <c r="L12" s="4" t="n">
        <f aca="false">-L6*Assumptions!L45/100</f>
        <v>-508.37446127108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815.598047</v>
      </c>
      <c r="D13" s="0" t="n">
        <f aca="false">D11+D12</f>
        <v>941.32844256</v>
      </c>
      <c r="E13" s="0" t="n">
        <f aca="false">E11+E12</f>
        <v>1070.5649933198</v>
      </c>
      <c r="F13" s="0" t="n">
        <f aca="false">F11+F12</f>
        <v>1178.79079907652</v>
      </c>
      <c r="G13" s="0" t="n">
        <f aca="false">G11+G12</f>
        <v>1283.78542141287</v>
      </c>
      <c r="H13" s="0" t="n">
        <f aca="false">H11+H12</f>
        <v>1359.6036007851</v>
      </c>
      <c r="I13" s="0" t="n">
        <f aca="false">I11+I12</f>
        <v>1432.75749364151</v>
      </c>
      <c r="J13" s="0" t="n">
        <f aca="false">J11+J12</f>
        <v>1495.85513260821</v>
      </c>
      <c r="K13" s="0" t="n">
        <f aca="false">K11+K12</f>
        <v>1554.07044707638</v>
      </c>
      <c r="L13" s="0" t="n">
        <f aca="false">L11+L12</f>
        <v>1607.56248564098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16.5</v>
      </c>
      <c r="D14" s="4" t="n">
        <f aca="false">Assumptions!D47</f>
        <v>16.5</v>
      </c>
      <c r="E14" s="4" t="n">
        <f aca="false">Assumptions!E47</f>
        <v>16.5</v>
      </c>
      <c r="F14" s="4" t="n">
        <f aca="false">Assumptions!F47</f>
        <v>16.5</v>
      </c>
      <c r="G14" s="4" t="n">
        <f aca="false">Assumptions!G47</f>
        <v>16.5</v>
      </c>
      <c r="H14" s="4" t="n">
        <f aca="false">Assumptions!H47</f>
        <v>16.5</v>
      </c>
      <c r="I14" s="4" t="n">
        <f aca="false">Assumptions!I47</f>
        <v>16.5</v>
      </c>
      <c r="J14" s="4" t="n">
        <f aca="false">Assumptions!J47</f>
        <v>16.5</v>
      </c>
      <c r="K14" s="4" t="n">
        <f aca="false">Assumptions!K47</f>
        <v>16.5</v>
      </c>
      <c r="L14" s="4" t="n">
        <f aca="false">Assumptions!L47</f>
        <v>16.5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681.024369245</v>
      </c>
      <c r="D15" s="0" t="n">
        <f aca="false">D13-MAX(0,D13)*D14/100</f>
        <v>786.0092495376</v>
      </c>
      <c r="E15" s="0" t="n">
        <f aca="false">E13-MAX(0,E13)*E14/100</f>
        <v>893.921769422034</v>
      </c>
      <c r="F15" s="0" t="n">
        <f aca="false">F13-MAX(0,F13)*F14/100</f>
        <v>984.290317228897</v>
      </c>
      <c r="G15" s="0" t="n">
        <f aca="false">G13-MAX(0,G13)*G14/100</f>
        <v>1071.96082687975</v>
      </c>
      <c r="H15" s="0" t="n">
        <f aca="false">H13-MAX(0,H13)*H14/100</f>
        <v>1135.26900665556</v>
      </c>
      <c r="I15" s="0" t="n">
        <f aca="false">I13-MAX(0,I13)*I14/100</f>
        <v>1196.35250719066</v>
      </c>
      <c r="J15" s="0" t="n">
        <f aca="false">J13-MAX(0,J13)*J14/100</f>
        <v>1249.03903572785</v>
      </c>
      <c r="K15" s="0" t="n">
        <f aca="false">K13-MAX(0,K13)*K14/100</f>
        <v>1297.64882330878</v>
      </c>
      <c r="L15" s="0" t="n">
        <f aca="false">L13-MAX(0,L13)*L14/100</f>
        <v>1342.31467551022</v>
      </c>
    </row>
    <row r="16" customFormat="false" ht="15" hidden="false" customHeight="false" outlineLevel="0" collapsed="false">
      <c r="A16" s="0" t="s">
        <v>117</v>
      </c>
      <c r="C16" s="0" t="n">
        <f aca="false">-C12</f>
        <v>458.20115</v>
      </c>
      <c r="D16" s="0" t="n">
        <f aca="false">-D12</f>
        <v>470.66422128</v>
      </c>
      <c r="E16" s="0" t="n">
        <f aca="false">-E12</f>
        <v>478.1164047836</v>
      </c>
      <c r="F16" s="0" t="n">
        <f aca="false">-F12</f>
        <v>482.481815435972</v>
      </c>
      <c r="G16" s="0" t="n">
        <f aca="false">-G12</f>
        <v>489.335250314324</v>
      </c>
      <c r="H16" s="0" t="n">
        <f aca="false">-H12</f>
        <v>493.307501169817</v>
      </c>
      <c r="I16" s="0" t="n">
        <f aca="false">-I12</f>
        <v>494.270052391612</v>
      </c>
      <c r="J16" s="0" t="n">
        <f aca="false">-J12</f>
        <v>498.618377536069</v>
      </c>
      <c r="K16" s="0" t="n">
        <f aca="false">-K12</f>
        <v>500.237268372225</v>
      </c>
      <c r="L16" s="0" t="n">
        <f aca="false">-L12</f>
        <v>508.37446127108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-375.724943</v>
      </c>
      <c r="D17" s="4" t="n">
        <f aca="false">-D6*Assumptions!D46/100</f>
        <v>-402.02568901</v>
      </c>
      <c r="E17" s="4" t="n">
        <f aca="false">-E6*Assumptions!E46/100</f>
        <v>-415.753395464</v>
      </c>
      <c r="F17" s="4" t="n">
        <f aca="false">-F6*Assumptions!F46/100</f>
        <v>-427.654336409157</v>
      </c>
      <c r="G17" s="4" t="n">
        <f aca="false">-G6*Assumptions!G46/100</f>
        <v>-437.523282633984</v>
      </c>
      <c r="H17" s="4" t="n">
        <f aca="false">-H6*Assumptions!H46/100</f>
        <v>-451.195885216296</v>
      </c>
      <c r="I17" s="4" t="n">
        <f aca="false">-I6*Assumptions!I46/100</f>
        <v>-469.243720624948</v>
      </c>
      <c r="J17" s="4" t="n">
        <f aca="false">-J6*Assumptions!J46/100</f>
        <v>-485.667250846821</v>
      </c>
      <c r="K17" s="4" t="n">
        <f aca="false">-K6*Assumptions!K46/100</f>
        <v>-500.237268372225</v>
      </c>
      <c r="L17" s="4" t="n">
        <f aca="false">-L6*Assumptions!L46/100</f>
        <v>-515.244386423392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-166.6186</v>
      </c>
      <c r="D18" s="4" t="n">
        <f aca="false">(D6-C6)*Assumptions!$B$51/100</f>
        <v>-128.296322</v>
      </c>
      <c r="E18" s="4" t="n">
        <f aca="false">(E6-D6)*Assumptions!$B$51/100</f>
        <v>-117.66605532</v>
      </c>
      <c r="F18" s="4" t="n">
        <f aca="false">(F6-E6)*Assumptions!$B$51/100</f>
        <v>-114.3321837526</v>
      </c>
      <c r="G18" s="4" t="n">
        <f aca="false">(G6-F6)*Assumptions!$B$51/100</f>
        <v>-109.65495805363</v>
      </c>
      <c r="H18" s="4" t="n">
        <f aca="false">(H6-G6)*Assumptions!$B$51/100</f>
        <v>-103.62393536068</v>
      </c>
      <c r="I18" s="4" t="n">
        <f aca="false">(I6-H6)*Assumptions!$B$51/100</f>
        <v>-96.2551221794765</v>
      </c>
      <c r="J18" s="4" t="n">
        <f aca="false">(J6-I6)*Assumptions!$B$51/100</f>
        <v>-87.5921611833233</v>
      </c>
      <c r="K18" s="4" t="n">
        <f aca="false">(K6-J6)*Assumptions!$B$51/100</f>
        <v>-77.7067601354913</v>
      </c>
      <c r="L18" s="4" t="n">
        <f aca="false">(L6-K6)*Assumptions!$B$51/100</f>
        <v>-80.037962939556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596.881976245</v>
      </c>
      <c r="D19" s="0" t="n">
        <f aca="false">D15+D16+D17+D18</f>
        <v>726.3514598076</v>
      </c>
      <c r="E19" s="0" t="n">
        <f aca="false">E15+E16+E17+E18</f>
        <v>838.618723421633</v>
      </c>
      <c r="F19" s="0" t="n">
        <f aca="false">F15+F16+F17+F18</f>
        <v>924.785612503112</v>
      </c>
      <c r="G19" s="0" t="n">
        <f aca="false">G15+G16+G17+G18</f>
        <v>1014.11783650646</v>
      </c>
      <c r="H19" s="0" t="n">
        <f aca="false">H15+H16+H17+H18</f>
        <v>1073.7566872484</v>
      </c>
      <c r="I19" s="0" t="n">
        <f aca="false">I15+I16+I17+I18</f>
        <v>1125.12371677785</v>
      </c>
      <c r="J19" s="0" t="n">
        <f aca="false">J15+J16+J17+J18</f>
        <v>1174.39800123378</v>
      </c>
      <c r="K19" s="0" t="n">
        <f aca="false">K15+K16+K17+K18</f>
        <v>1219.94206317329</v>
      </c>
      <c r="L19" s="0" t="n">
        <f aca="false">L15+L16+L17+L18</f>
        <v>1255.40678741835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550.121637092166</v>
      </c>
      <c r="D21" s="0" t="n">
        <f aca="false">D19*D20</f>
        <v>617.003087606532</v>
      </c>
      <c r="E21" s="0" t="n">
        <f aca="false">E19*E20</f>
        <v>656.561390062437</v>
      </c>
      <c r="F21" s="0" t="n">
        <f aca="false">F19*F20</f>
        <v>667.301516443234</v>
      </c>
      <c r="G21" s="0" t="n">
        <f aca="false">G19*G20</f>
        <v>674.434425843792</v>
      </c>
      <c r="H21" s="0" t="n">
        <f aca="false">H19*H20</f>
        <v>658.153889935395</v>
      </c>
      <c r="I21" s="0" t="n">
        <f aca="false">I19*I20</f>
        <v>635.612035487168</v>
      </c>
      <c r="J21" s="0" t="n">
        <f aca="false">J19*J20</f>
        <v>611.473158702116</v>
      </c>
      <c r="K21" s="0" t="n">
        <f aca="false">K19*K20</f>
        <v>585.425401178746</v>
      </c>
      <c r="L21" s="0" t="n">
        <f aca="false">L19*L20</f>
        <v>555.248112013462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6211.33465436505</v>
      </c>
    </row>
    <row r="31" customFormat="false" ht="15" hidden="false" customHeight="false" outlineLevel="0" collapsed="false">
      <c r="A31" s="0" t="s">
        <v>126</v>
      </c>
      <c r="B31" s="0" t="n">
        <f aca="false">L19</f>
        <v>1255.40678741835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21446.5326183969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15064.8814490202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15064.8814490202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6662.97734416154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12874.3119985266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10853.4129985266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3.75363200952832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0.364957094373934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74.1479881433494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103.814312989808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3.81517992907339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10294.3356568305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1.7653855662991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1.4647721719147</v>
      </c>
      <c r="C4" s="0" t="n">
        <f aca="false">B4/Assumptions!$B$2-1</f>
        <v>-0.4673555738492</v>
      </c>
      <c r="D4" s="4" t="n">
        <f aca="false">Assumptions!$B$24</f>
        <v>0.25</v>
      </c>
      <c r="E4" s="4" t="n">
        <f aca="false">DCF_Bear!$B$43</f>
        <v>1.50518651301649</v>
      </c>
      <c r="F4" s="4" t="n">
        <f aca="false">DCF_Bear!$B$47</f>
        <v>0.581916641156818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3.04419383498068</v>
      </c>
      <c r="C5" s="0" t="n">
        <f aca="false">B5/Assumptions!$B$2-1</f>
        <v>0.106979576356612</v>
      </c>
      <c r="D5" s="4" t="n">
        <f aca="false">Assumptions!$B$38</f>
        <v>0.5</v>
      </c>
      <c r="E5" s="4" t="n">
        <f aca="false">DCF_Base!$B$43</f>
        <v>3.09790141458181</v>
      </c>
      <c r="F5" s="4" t="n">
        <f aca="false">DCF_Base!$B$47</f>
        <v>1.3842267098847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3.75363200952832</v>
      </c>
      <c r="C6" s="0" t="n">
        <f aca="false">B6/Assumptions!$B$2-1</f>
        <v>0.364957094373934</v>
      </c>
      <c r="D6" s="4" t="n">
        <f aca="false">Assumptions!$B$52</f>
        <v>0.25</v>
      </c>
      <c r="E6" s="4" t="n">
        <f aca="false">DCF_Bull!$B$43</f>
        <v>3.81517992907339</v>
      </c>
      <c r="F6" s="4" t="n">
        <f aca="false">DCF_Bull!$B$47</f>
        <v>1.7653855662991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2.8266979628511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2.87904231781338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0.0271334128580673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-146.525757947286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1.27893890680633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3.04419383498068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2.91566556058884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2.67536852077698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2.37313795722436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2.05081124906537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1.3842267098847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3.62148208909997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3.62148208909997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3.62148208909997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3.62148208909997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3.62148208909997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3.31952991002955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3.31952991002955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3.31952991002955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3.31952991002955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3.31952991002955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3.04419383498068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3.04419383498068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3.04419383498068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3.04419383498068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3.04419383498068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2.77614950787547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2.79281938825011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2.79281938825011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2.79281938825011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2.79281938825011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2.38599471140974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2.46960043080668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2.56304211719149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2.56304211719149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2.56304211719149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2026-10-17T01:08:50Z</dcterms:created>
  <dc:creator>openpyxl</dc:creator>
  <dc:description/>
  <dc:language>en-NZ</dc:language>
  <cp:lastModifiedBy/>
  <dcterms:modified xsi:type="dcterms:W3CDTF">2026-10-17T01:08:50Z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