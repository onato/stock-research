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<sst xmlns="http://schemas.openxmlformats.org/spreadsheetml/2006/main" count="364" uniqueCount="167">
  <si>
    <t xml:space="preserve">Ticker</t>
  </si>
  <si>
    <t xml:space="preserve">4506.T</t>
  </si>
  <si>
    <t xml:space="preserve">Company</t>
  </si>
  <si>
    <t xml:space="preserve">Sumitomo Pharma Co., Ltd.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</si>
  <si>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</si>
  <si>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</si>
  <si>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</si>
  <si>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</si>
  <si>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2026-10-30T06:30:00Z (TSE regular close, 15:30 JST; not an after-hours print)</t>
  </si>
  <si>
    <t xml:space="preserve">Balance sheet date</t>
  </si>
  <si>
    <t xml:space="preserve">2026-09-30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</si>
  <si>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</si>
  <si>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</si>
  <si>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</si>
  <si>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</si>
  <si>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</si>
  <si>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</si>
  <si>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</si>
  <si>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</si>
  <si>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</si>
  <si>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</si>
  <si>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2026-10-31T03:17:51Z</t>
  </si>
  <si>
    <t xml:space="preserve">Drivers file</t>
  </si>
  <si>
    <t xml:space="preserve">4506.T_Drivers.json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</si>
  <si>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</si>
  <si>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</si>
  <si>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</si>
  <si>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ex-one-off cash flows of a two-product US specialty pharma through its coming patent cliffs, not the headline record year. Three one-offs are stripped or isolated: the JPY 49bn Asia divestiture gain (non-cash, already out of FCF), the USD 100m FY2026 and USD 325m FY2027 ORGOVYX milestones (the latter credited once in the bridge), and the near-zero cash tax rate (consumed over four years, never capitalised). The 10-year horizon exists so that the vibegron and relugolix LOEs are inside the explicit period and the terminal value is struck on a post-cliff, partially-replaced revenue base at a 12x cap. The bridge adds the milestone, the FVOCI cross-shareholdings and the equity-method JV because their income is outside the EBITDA flows. Risk is charged once, in the scenario flows and the 30/50/20 weights, not in the discount rate.
key_risks_to_valuation: Patent cliff timing: the base assumes GEMTESA (vibegron) erodes from year 6 and ORGOVYX (relugolix) from year 7-8; a paediatric or patent-term extension that pushes either out two years adds materially to value, an earlier generic entry or a successful Paragraph IV challenge removes it.; Two-product concentration: ORGOVYX and GEMTESA are c. 60% of revenue; a pricing, safety or formulary setback on either flows straight through a 15-19% margin.; Pipeline binary: enzomenib and nuvisertib are modelled as partial replacements in the base; the bull/bear spread is largely their success or failure.; USD/JPY: c. 57% of revenue is USD; the base holds 157. A move to 140 is c. JPY 27bn of revenue and most of it is margin.; Tax-loss consumption: the base exhausts the JPY 256bn shelter in four years; if the US 80% limitation bites harder or the Japanese losses expire unused, cash tax rises sooner.; Working-capital build: FY2026 absorbed JPY 51bn into receivables; a structurally longer US cash cycle than the -15% capture assumes would cut FCF in the growth years.; SBC is undisclosed; treated as zero. Immaterial for a Japanese filer but unquantified.; Equity-method and FVOCI holdings (JPY 85.7bn, c. JPY 191/share) are taken at book/fair value in the bridge; a reader who prefers to exclude them should deduct c. JPY 190 per share.</t>
  </si>
  <si>
    <t xml:space="preserve">Data sources</t>
  </si>
  <si>
    <t xml:space="preserve">price: Yahoo Finance chart API at inputs.price_as_of; 52-week range 1188.0-3288.0 JPY
financials: 4506.T_Metrics.csv (FY2016-FY2026 annual, interims to H1 FY2027 repo-label); FY2026 annual tanshin cash-flow statement and balance sheet; H1 FY2026 (company label) tanshin dated 30 Oct 2026 for shares, net debt and H1 flows; FY2026 Supplementary Data (yuho notes) for tax-loss carryforwards, lease liabilities and FVOCI fair values
qualitative: 4506.T_Analysis.json; Q2 FY2026 presentation (30 Oct 2026) for revised guidance, product forecasts, milestone disclosure and FX assumptions; FY2025 results presentation for Boost 2028 capital allocation and the ORGOVYX+GEMTESA &gt; JPY 350bn FY2028 KPI</t>
  </si>
  <si>
    <t xml:space="preserve">Scenario narrative: bear</t>
  </si>
  <si>
    <t xml:space="preserve">Bear: yen strength, GEMTESA pricing reversal and a pipeline miss leave the company facing the vibegron/relugolix cliffs with no replacement -- revenue halves by year 10, margins fall to 9%, terminal 10x / 0.5%. Still above the zero floor.</t>
  </si>
  <si>
    <t xml:space="preserve">Scenario narrative: base</t>
  </si>
  <si>
    <t xml:space="preserve">Base: management's company-FY2026 guidance holds ex the one-off USD 325m milestone (which is credited separately in the bridge); ORGOVYX and GEMTESA grow c. 7% a year in USD toward their 2030s peak targets at a flat USD/JPY 157; enzomenib launches on schedule and partially replaces the Japan run-off; EBITDA margin expands from 15.5% to 19% by FY2031 on post-restructuring SG&amp;A discipline; cash tax stays near zero for four years while JPY 256bn of unrecognised tax losses are consumed, then normalises to 27%; the vibegron and relugolix US patent cliffs in years 6-9 take revenue back to roughly year-1 levels and margins to 14%, with the pipeline covering only part of the gap. Terminal value capped at 12x year-10 FCF.</t>
  </si>
  <si>
    <t xml:space="preserve">Scenario narrative: bull</t>
  </si>
  <si>
    <t xml:space="preserve">Bull: both core products reach peak early, enzomenib and nuvisertib each become &gt; JPY 100bn franchises and AMCHEPRY commercialises, so the LOE dip is shallow; margins reach 22%; terminal 14x / 1.5%.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</si>
  <si>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</si>
  <si>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</si>
  <si>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</si>
  <si>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</si>
  <si>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</si>
  <si>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</si>
  <si>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</si>
  <si>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</si>
  <si>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</si>
  <si>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</si>
  <si>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</si>
  <si>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</si>
  <si>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</si>
  <si>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</si>
  <si>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</si>
  <si>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</si>
  <si>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</si>
  <si>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</si>
  <si>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</si>
  <si>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</si>
  <si>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</si>
  <si>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</si>
  <si>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</si>
  <si>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</si>
  <si>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</si>
  <si>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</si>
  <si>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</si>
  <si>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RnDExpense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</si>
  <si>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</si>
  <si>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</si>
  <si>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</si>
  <si>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</si>
  <si>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</si>
  <si>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</si>
  <si>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</si>
  <si>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</si>
  <si>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</si>
  <si>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</si>
  <si>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</si>
  <si>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</si>
  <si>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</si>
  <si>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</si>
  <si>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</si>
  <si>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</si>
  <si>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</si>
  <si>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</si>
  <si>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</si>
  <si>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</si>
  <si>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</si>
  <si>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</si>
  <si>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</si>
  <si>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</si>
  <si>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</si>
  <si>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</si>
  <si>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</si>
  <si>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</si>
  <si>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</si>
  <si>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</si>
  <si>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</si>
  <si>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</si>
  <si>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</si>
  <si>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</si>
  <si>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</si>
  <si>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</si>
  <si>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</si>
  <si>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</si>
  <si>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</si>
  <si>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</si>
  <si>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</si>
  <si>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</si>
  <si>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</si>
  <si>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</si>
  <si>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</si>
  <si>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</si>
  <si>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</si>
  <si>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</si>
  <si>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4506.T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</si>
  <si>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</si>
  <si>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</si>
  <si>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</si>
  <si>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</si>
  <si>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</si>
  <si>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</si>
  <si>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</si>
  <si>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</si>
  <si>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</si>
  <si>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</si>
  <si>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</si>
  <si>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</si>
  <si>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</si>
  <si>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</si>
  <si>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</si>
  <si>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</si>
  <si>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</si>
  <si>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</si>
  <si>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</si>
  <si>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</si>
  <si>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</si>
  <si>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</si>
  <si>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</si>
  <si>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</si>
  <si>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</si>
  <si>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</si>
  <si>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</si>
  <si>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</si>
  <si>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</si>
  <si>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</si>
  <si>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4506.T owner-FCF component DCF: base case (millions, JPY)</t>
  </si>
  <si>
    <t xml:space="preserve">4506.T owner-FCF component DCF: bull case (millions, JPY)</t>
  </si>
  <si>
    <t xml:space="preserve">4506.T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</si>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</sst>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1884.5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403206</v>
      </c>
      <c r="C2" s="0" t="n">
        <v>104470</v>
      </c>
      <c r="D2" s="0" t="n">
        <v>298736</v>
      </c>
      <c r="E2" s="0" t="n">
        <v>74.1</v>
      </c>
      <c r="F2" s="0" t="n">
        <v>36929</v>
      </c>
      <c r="G2" s="0" t="n">
        <v>9.2</v>
      </c>
      <c r="H2" s="0" t="n">
        <v>51215</v>
      </c>
      <c r="I2" s="0" t="n">
        <v>24697</v>
      </c>
      <c r="J2" s="0" t="n">
        <v>6.1</v>
      </c>
      <c r="K2" s="0" t="n">
        <v>62.16</v>
      </c>
      <c r="L2" s="0" t="n">
        <v>49415</v>
      </c>
      <c r="M2" s="0" t="n">
        <v>9740</v>
      </c>
      <c r="N2" s="0" t="n">
        <v>39675</v>
      </c>
      <c r="O2" s="0" t="n">
        <v>378999</v>
      </c>
      <c r="P2" s="0" t="n">
        <v>707715</v>
      </c>
      <c r="Q2" s="0" t="n">
        <v>261242</v>
      </c>
      <c r="R2" s="0" t="n">
        <v>51010</v>
      </c>
      <c r="S2" s="0" t="n">
        <v>122794</v>
      </c>
      <c r="T2" s="0" t="n">
        <v>397.302552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408357</v>
      </c>
      <c r="C3" s="0" t="n">
        <v>94625</v>
      </c>
      <c r="D3" s="0" t="n">
        <v>313732</v>
      </c>
      <c r="E3" s="0" t="n">
        <v>76.8</v>
      </c>
      <c r="F3" s="0" t="n">
        <v>40286</v>
      </c>
      <c r="G3" s="0" t="n">
        <v>9.9</v>
      </c>
      <c r="H3" s="0" t="n">
        <v>52999</v>
      </c>
      <c r="I3" s="0" t="n">
        <v>31316</v>
      </c>
      <c r="J3" s="0" t="n">
        <v>7.7</v>
      </c>
      <c r="K3" s="0" t="n">
        <v>78.82</v>
      </c>
      <c r="L3" s="0" t="n">
        <v>19143</v>
      </c>
      <c r="M3" s="0" t="n">
        <v>13459</v>
      </c>
      <c r="N3" s="0" t="n">
        <v>5684</v>
      </c>
      <c r="O3" s="0" t="n">
        <v>412268</v>
      </c>
      <c r="P3" s="0" t="n">
        <v>779072</v>
      </c>
      <c r="Q3" s="0" t="n">
        <v>366804</v>
      </c>
      <c r="R3" s="0" t="n">
        <v>68000</v>
      </c>
      <c r="S3" s="0" t="n">
        <v>105603</v>
      </c>
      <c r="T3" s="0" t="n">
        <v>397.300479</v>
      </c>
      <c r="AA3" s="0" t="s">
        <v>17</v>
      </c>
      <c r="AB3" s="0" t="s">
        <v>14</v>
      </c>
      <c r="AC3" s="0" t="n">
        <v>81373</v>
      </c>
    </row>
    <row r="4" customFormat="false" ht="15" hidden="false" customHeight="false" outlineLevel="0" collapsed="false">
      <c r="A4" s="0" t="s">
        <v>66</v>
      </c>
      <c r="B4" s="0" t="n">
        <v>466838</v>
      </c>
      <c r="C4" s="0" t="n">
        <v>112345</v>
      </c>
      <c r="D4" s="0" t="n">
        <v>354493</v>
      </c>
      <c r="E4" s="0" t="n">
        <v>75.9</v>
      </c>
      <c r="F4" s="0" t="n">
        <v>88173</v>
      </c>
      <c r="G4" s="0" t="n">
        <v>18.9</v>
      </c>
      <c r="H4" s="0" t="n">
        <v>101060</v>
      </c>
      <c r="I4" s="0" t="n">
        <v>53448</v>
      </c>
      <c r="J4" s="0" t="n">
        <v>11.4</v>
      </c>
      <c r="K4" s="0" t="n">
        <v>134.53</v>
      </c>
      <c r="L4" s="0" t="n">
        <v>93420</v>
      </c>
      <c r="M4" s="0" t="n">
        <v>12354</v>
      </c>
      <c r="N4" s="0" t="n">
        <v>81066</v>
      </c>
      <c r="O4" s="0" t="n">
        <v>452723</v>
      </c>
      <c r="P4" s="0" t="n">
        <v>809684</v>
      </c>
      <c r="Q4" s="0" t="n">
        <v>356961</v>
      </c>
      <c r="R4" s="0" t="n">
        <v>47400</v>
      </c>
      <c r="S4" s="0" t="n">
        <v>147775</v>
      </c>
      <c r="T4" s="0" t="n">
        <v>397.299021</v>
      </c>
      <c r="AA4" s="0" t="s">
        <v>17</v>
      </c>
      <c r="AB4" s="0" t="s">
        <v>14</v>
      </c>
      <c r="AC4" s="0" t="n">
        <v>86928</v>
      </c>
    </row>
    <row r="5" customFormat="false" ht="15" hidden="false" customHeight="false" outlineLevel="0" collapsed="false">
      <c r="A5" s="0" t="s">
        <v>67</v>
      </c>
      <c r="B5" s="0" t="n">
        <v>459267</v>
      </c>
      <c r="C5" s="0" t="n">
        <v>113553</v>
      </c>
      <c r="D5" s="0" t="n">
        <v>345714</v>
      </c>
      <c r="E5" s="0" t="n">
        <v>75.3</v>
      </c>
      <c r="F5" s="0" t="n">
        <v>57884</v>
      </c>
      <c r="G5" s="0" t="n">
        <v>12.6</v>
      </c>
      <c r="H5" s="0" t="n">
        <v>71860</v>
      </c>
      <c r="I5" s="0" t="n">
        <v>48627</v>
      </c>
      <c r="J5" s="0" t="n">
        <v>10.6</v>
      </c>
      <c r="K5" s="0" t="n">
        <v>122.39</v>
      </c>
      <c r="L5" s="0" t="n">
        <v>48711</v>
      </c>
      <c r="M5" s="0" t="n">
        <v>12914</v>
      </c>
      <c r="N5" s="0" t="n">
        <v>35797</v>
      </c>
      <c r="O5" s="0" t="n">
        <v>498138</v>
      </c>
      <c r="P5" s="0" t="n">
        <v>834717</v>
      </c>
      <c r="Q5" s="0" t="n">
        <v>336579</v>
      </c>
      <c r="R5" s="0" t="n">
        <v>30940</v>
      </c>
      <c r="S5" s="0" t="n">
        <v>137296</v>
      </c>
      <c r="T5" s="0" t="n">
        <v>397.297097</v>
      </c>
      <c r="AA5" s="0" t="s">
        <v>17</v>
      </c>
      <c r="AB5" s="0" t="s">
        <v>14</v>
      </c>
      <c r="AC5" s="0" t="n">
        <v>102364</v>
      </c>
    </row>
    <row r="6" customFormat="false" ht="15" hidden="false" customHeight="false" outlineLevel="0" collapsed="false">
      <c r="A6" s="0" t="s">
        <v>68</v>
      </c>
      <c r="B6" s="0" t="n">
        <v>482732</v>
      </c>
      <c r="C6" s="0" t="n">
        <v>129673</v>
      </c>
      <c r="D6" s="0" t="n">
        <v>353059</v>
      </c>
      <c r="E6" s="0" t="n">
        <v>73.1</v>
      </c>
      <c r="F6" s="0" t="n">
        <v>83239</v>
      </c>
      <c r="G6" s="0" t="n">
        <v>17.2</v>
      </c>
      <c r="H6" s="0" t="n">
        <v>100604</v>
      </c>
      <c r="I6" s="0" t="n">
        <v>40753</v>
      </c>
      <c r="J6" s="0" t="n">
        <v>8.4</v>
      </c>
      <c r="K6" s="0" t="n">
        <v>102.58</v>
      </c>
      <c r="L6" s="0" t="n">
        <v>46128</v>
      </c>
      <c r="M6" s="0" t="n">
        <v>13351</v>
      </c>
      <c r="N6" s="0" t="n">
        <v>32777</v>
      </c>
      <c r="O6" s="0" t="n">
        <v>529485</v>
      </c>
      <c r="P6" s="0" t="n">
        <v>1252878</v>
      </c>
      <c r="Q6" s="0" t="n">
        <v>620773</v>
      </c>
      <c r="R6" s="0" t="n">
        <v>297980</v>
      </c>
      <c r="S6" s="0" t="n">
        <v>101708</v>
      </c>
      <c r="T6" s="0" t="n">
        <v>397.295684</v>
      </c>
      <c r="AA6" s="0" t="s">
        <v>17</v>
      </c>
      <c r="AB6" s="0" t="s">
        <v>14</v>
      </c>
      <c r="AC6" s="0" t="n">
        <v>115112</v>
      </c>
    </row>
    <row r="7" customFormat="false" ht="15" hidden="false" customHeight="false" outlineLevel="0" collapsed="false">
      <c r="A7" s="0" t="s">
        <v>69</v>
      </c>
      <c r="B7" s="0" t="n">
        <v>515952</v>
      </c>
      <c r="C7" s="0" t="n">
        <v>137773</v>
      </c>
      <c r="D7" s="0" t="n">
        <v>378179</v>
      </c>
      <c r="E7" s="0" t="n">
        <v>73.3</v>
      </c>
      <c r="F7" s="0" t="n">
        <v>71224</v>
      </c>
      <c r="G7" s="0" t="n">
        <v>13.8</v>
      </c>
      <c r="H7" s="0" t="n">
        <v>93897</v>
      </c>
      <c r="I7" s="0" t="n">
        <v>56219</v>
      </c>
      <c r="J7" s="0" t="n">
        <v>10.9</v>
      </c>
      <c r="K7" s="0" t="n">
        <v>141.5</v>
      </c>
      <c r="L7" s="0" t="n">
        <v>135601</v>
      </c>
      <c r="M7" s="0" t="n">
        <v>10806</v>
      </c>
      <c r="N7" s="0" t="n">
        <v>124795</v>
      </c>
      <c r="O7" s="0" t="n">
        <v>580570</v>
      </c>
      <c r="P7" s="0" t="n">
        <v>1308127</v>
      </c>
      <c r="Q7" s="0" t="n">
        <v>659949</v>
      </c>
      <c r="R7" s="0" t="n">
        <v>273819</v>
      </c>
      <c r="S7" s="0" t="n">
        <v>193698</v>
      </c>
      <c r="T7" s="0" t="n">
        <v>397.294636</v>
      </c>
      <c r="AA7" s="0" t="s">
        <v>17</v>
      </c>
      <c r="AB7" s="0" t="s">
        <v>14</v>
      </c>
      <c r="AC7" s="0" t="n">
        <v>132682</v>
      </c>
    </row>
    <row r="8" customFormat="false" ht="15" hidden="false" customHeight="false" outlineLevel="0" collapsed="false">
      <c r="A8" s="0" t="s">
        <v>70</v>
      </c>
      <c r="B8" s="0" t="n">
        <v>560035</v>
      </c>
      <c r="C8" s="0" t="n">
        <v>157127</v>
      </c>
      <c r="D8" s="0" t="n">
        <v>402908</v>
      </c>
      <c r="E8" s="0" t="n">
        <v>71.9</v>
      </c>
      <c r="F8" s="0" t="n">
        <v>60234</v>
      </c>
      <c r="G8" s="0" t="n">
        <v>10.8</v>
      </c>
      <c r="H8" s="0" t="n">
        <v>98582</v>
      </c>
      <c r="I8" s="0" t="n">
        <v>56413</v>
      </c>
      <c r="J8" s="0" t="n">
        <v>10.1</v>
      </c>
      <c r="K8" s="0" t="n">
        <v>141.99</v>
      </c>
      <c r="L8" s="0" t="n">
        <v>31239</v>
      </c>
      <c r="M8" s="0" t="n">
        <v>13494</v>
      </c>
      <c r="N8" s="0" t="n">
        <v>17745</v>
      </c>
      <c r="O8" s="0" t="n">
        <v>607888</v>
      </c>
      <c r="P8" s="0" t="n">
        <v>1308007</v>
      </c>
      <c r="Q8" s="0" t="n">
        <v>634438</v>
      </c>
      <c r="R8" s="0" t="n">
        <v>269048</v>
      </c>
      <c r="S8" s="0" t="n">
        <v>202984</v>
      </c>
      <c r="T8" s="0" t="n">
        <v>397.29327</v>
      </c>
      <c r="AA8" s="0" t="s">
        <v>17</v>
      </c>
      <c r="AB8" s="0" t="s">
        <v>14</v>
      </c>
      <c r="AC8" s="0" t="n">
        <v>94903</v>
      </c>
    </row>
    <row r="9" customFormat="false" ht="15" hidden="false" customHeight="false" outlineLevel="0" collapsed="false">
      <c r="A9" s="0" t="s">
        <v>71</v>
      </c>
      <c r="B9" s="0" t="n">
        <v>555544</v>
      </c>
      <c r="C9" s="0" t="n">
        <v>178919</v>
      </c>
      <c r="D9" s="0" t="n">
        <v>376625</v>
      </c>
      <c r="E9" s="0" t="n">
        <v>67.8</v>
      </c>
      <c r="F9" s="0" t="n">
        <v>-76979</v>
      </c>
      <c r="G9" s="0" t="n">
        <v>-13.9</v>
      </c>
      <c r="H9" s="0" t="n">
        <v>-35716</v>
      </c>
      <c r="I9" s="0" t="n">
        <v>-74512</v>
      </c>
      <c r="J9" s="0" t="n">
        <v>-13.4</v>
      </c>
      <c r="K9" s="0" t="n">
        <v>-187.55</v>
      </c>
      <c r="L9" s="0" t="n">
        <v>11937</v>
      </c>
      <c r="M9" s="0" t="n">
        <v>12742</v>
      </c>
      <c r="N9" s="0" t="n">
        <v>-805</v>
      </c>
      <c r="O9" s="0" t="n">
        <v>406749</v>
      </c>
      <c r="P9" s="0" t="n">
        <v>1134742</v>
      </c>
      <c r="Q9" s="0" t="n">
        <v>727960</v>
      </c>
      <c r="R9" s="0" t="n">
        <v>334716</v>
      </c>
      <c r="S9" s="0" t="n">
        <v>143478</v>
      </c>
      <c r="T9" s="0" t="n">
        <v>397.292271</v>
      </c>
      <c r="AA9" s="0" t="s">
        <v>17</v>
      </c>
      <c r="AB9" s="0" t="s">
        <v>14</v>
      </c>
      <c r="AC9" s="0" t="n">
        <v>131858</v>
      </c>
    </row>
    <row r="10" customFormat="false" ht="15" hidden="false" customHeight="false" outlineLevel="0" collapsed="false">
      <c r="A10" s="0" t="s">
        <v>72</v>
      </c>
      <c r="B10" s="0" t="n">
        <v>314558</v>
      </c>
      <c r="C10" s="0" t="n">
        <v>126577</v>
      </c>
      <c r="D10" s="0" t="n">
        <v>187981</v>
      </c>
      <c r="E10" s="0" t="n">
        <v>59.8</v>
      </c>
      <c r="F10" s="0" t="n">
        <v>-354859</v>
      </c>
      <c r="G10" s="0" t="n">
        <v>-112.8</v>
      </c>
      <c r="H10" s="0" t="n">
        <v>-317094</v>
      </c>
      <c r="I10" s="0" t="n">
        <v>-314969</v>
      </c>
      <c r="J10" s="0" t="n">
        <v>-100.1</v>
      </c>
      <c r="K10" s="0" t="n">
        <v>-792.79</v>
      </c>
      <c r="L10" s="0" t="n">
        <v>-241893</v>
      </c>
      <c r="M10" s="0" t="n">
        <v>15730</v>
      </c>
      <c r="N10" s="0" t="n">
        <v>-257623</v>
      </c>
      <c r="O10" s="0" t="n">
        <v>156063</v>
      </c>
      <c r="P10" s="0" t="n">
        <v>907506</v>
      </c>
      <c r="Q10" s="0" t="n">
        <v>751370</v>
      </c>
      <c r="R10" s="0" t="n">
        <v>418884</v>
      </c>
      <c r="S10" s="0" t="n">
        <v>29047</v>
      </c>
      <c r="T10" s="0" t="n">
        <v>397.291244</v>
      </c>
      <c r="AA10" s="0" t="s">
        <v>17</v>
      </c>
      <c r="AB10" s="0" t="s">
        <v>14</v>
      </c>
      <c r="AC10" s="0" t="n">
        <v>112637</v>
      </c>
    </row>
    <row r="11" customFormat="false" ht="15" hidden="false" customHeight="false" outlineLevel="0" collapsed="false">
      <c r="A11" s="0" t="s">
        <v>73</v>
      </c>
      <c r="B11" s="0" t="n">
        <v>398832</v>
      </c>
      <c r="C11" s="0" t="n">
        <v>153437</v>
      </c>
      <c r="D11" s="0" t="n">
        <v>245395</v>
      </c>
      <c r="E11" s="0" t="n">
        <v>61.5</v>
      </c>
      <c r="F11" s="0" t="n">
        <v>28804</v>
      </c>
      <c r="G11" s="0" t="n">
        <v>7.2</v>
      </c>
      <c r="H11" s="0" t="n">
        <v>54366</v>
      </c>
      <c r="I11" s="0" t="n">
        <v>23634</v>
      </c>
      <c r="J11" s="0" t="n">
        <v>5.9</v>
      </c>
      <c r="K11" s="0" t="n">
        <v>59.49</v>
      </c>
      <c r="L11" s="0" t="n">
        <v>16500</v>
      </c>
      <c r="M11" s="0" t="n">
        <v>13030</v>
      </c>
      <c r="N11" s="0" t="n">
        <v>3470</v>
      </c>
      <c r="O11" s="0" t="n">
        <v>169479</v>
      </c>
      <c r="P11" s="0" t="n">
        <v>742604</v>
      </c>
      <c r="Q11" s="0" t="n">
        <v>573125</v>
      </c>
      <c r="R11" s="0" t="n">
        <v>305422</v>
      </c>
      <c r="S11" s="0" t="n">
        <v>23116</v>
      </c>
      <c r="T11" s="0" t="n">
        <v>397.290259</v>
      </c>
      <c r="AA11" s="0" t="s">
        <v>17</v>
      </c>
      <c r="AB11" s="0" t="s">
        <v>14</v>
      </c>
      <c r="AC11" s="0" t="n">
        <v>49865</v>
      </c>
    </row>
    <row r="12" customFormat="false" ht="15" hidden="false" customHeight="false" outlineLevel="0" collapsed="false">
      <c r="A12" s="0" t="s">
        <v>74</v>
      </c>
      <c r="B12" s="0" t="n">
        <v>453294</v>
      </c>
      <c r="C12" s="0" t="n">
        <v>196401</v>
      </c>
      <c r="D12" s="0" t="n">
        <v>256893</v>
      </c>
      <c r="E12" s="0" t="n">
        <v>56.7</v>
      </c>
      <c r="F12" s="0" t="n">
        <v>107338</v>
      </c>
      <c r="G12" s="0" t="n">
        <v>23.7</v>
      </c>
      <c r="H12" s="0" t="n">
        <v>128124</v>
      </c>
      <c r="I12" s="0" t="n">
        <v>106865</v>
      </c>
      <c r="J12" s="0" t="n">
        <v>23.6</v>
      </c>
      <c r="K12" s="0" t="n">
        <v>268.99</v>
      </c>
      <c r="L12" s="0" t="n">
        <v>71715</v>
      </c>
      <c r="M12" s="0" t="n">
        <v>7312</v>
      </c>
      <c r="N12" s="0" t="n">
        <v>64403</v>
      </c>
      <c r="O12" s="0" t="n">
        <v>292467</v>
      </c>
      <c r="P12" s="0" t="n">
        <v>804571</v>
      </c>
      <c r="Q12" s="0" t="n">
        <v>512104</v>
      </c>
      <c r="R12" s="0" t="n">
        <v>217186</v>
      </c>
      <c r="S12" s="0" t="n">
        <v>44310</v>
      </c>
      <c r="T12" s="0" t="n">
        <v>397.289491</v>
      </c>
      <c r="AA12" s="0" t="s">
        <v>17</v>
      </c>
      <c r="AB12" s="0" t="s">
        <v>14</v>
      </c>
      <c r="AC12" s="0" t="n">
        <v>43996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1884.5</v>
      </c>
    </row>
    <row r="3" customFormat="false" ht="15" hidden="false" customHeight="false" outlineLevel="0" collapsed="false">
      <c r="A3" s="0" t="s">
        <v>78</v>
      </c>
      <c r="B3" s="3" t="n">
        <v>448.593</v>
      </c>
    </row>
    <row r="4" customFormat="false" ht="15" hidden="false" customHeight="false" outlineLevel="0" collapsed="false">
      <c r="A4" s="0" t="s">
        <v>79</v>
      </c>
      <c r="B4" s="3" t="n">
        <v>61933</v>
      </c>
    </row>
    <row r="5" customFormat="false" ht="15" hidden="false" customHeight="false" outlineLevel="0" collapsed="false">
      <c r="A5" s="0" t="s">
        <v>80</v>
      </c>
      <c r="B5" s="3" t="n">
        <v>134197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453294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10</v>
      </c>
      <c r="D13" s="3" t="n">
        <v>2</v>
      </c>
      <c r="E13" s="3" t="n">
        <v>1</v>
      </c>
      <c r="F13" s="3" t="n">
        <v>-1</v>
      </c>
      <c r="G13" s="3" t="n">
        <v>-4</v>
      </c>
      <c r="H13" s="3" t="n">
        <v>-10</v>
      </c>
      <c r="I13" s="3" t="n">
        <v>-12</v>
      </c>
      <c r="J13" s="3" t="n">
        <v>-10</v>
      </c>
      <c r="K13" s="3" t="n">
        <v>-5</v>
      </c>
      <c r="L13" s="3" t="n">
        <v>-2</v>
      </c>
    </row>
    <row r="14" customFormat="false" ht="15" hidden="false" customHeight="false" outlineLevel="0" collapsed="false">
      <c r="A14" s="0" t="s">
        <v>99</v>
      </c>
      <c r="C14" s="3" t="n">
        <v>14</v>
      </c>
      <c r="D14" s="3" t="n">
        <v>14</v>
      </c>
      <c r="E14" s="3" t="n">
        <v>14</v>
      </c>
      <c r="F14" s="3" t="n">
        <v>13.5</v>
      </c>
      <c r="G14" s="3" t="n">
        <v>12.5</v>
      </c>
      <c r="H14" s="3" t="n">
        <v>11</v>
      </c>
      <c r="I14" s="3" t="n">
        <v>10</v>
      </c>
      <c r="J14" s="3" t="n">
        <v>9</v>
      </c>
      <c r="K14" s="3" t="n">
        <v>9</v>
      </c>
      <c r="L14" s="3" t="n">
        <v>9</v>
      </c>
    </row>
    <row r="15" customFormat="false" ht="15" hidden="false" customHeight="false" outlineLevel="0" collapsed="false">
      <c r="A15" s="0" t="s">
        <v>100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101</v>
      </c>
      <c r="C16" s="3" t="n">
        <v>0.5</v>
      </c>
      <c r="D16" s="3" t="n">
        <v>0.5</v>
      </c>
      <c r="E16" s="3" t="n">
        <v>0.5</v>
      </c>
      <c r="F16" s="3" t="n">
        <v>0.5</v>
      </c>
      <c r="G16" s="3" t="n">
        <v>0.5</v>
      </c>
      <c r="H16" s="3" t="n">
        <v>0.5</v>
      </c>
      <c r="I16" s="3" t="n">
        <v>0.5</v>
      </c>
      <c r="J16" s="3" t="n">
        <v>0.5</v>
      </c>
      <c r="K16" s="3" t="n">
        <v>0.5</v>
      </c>
      <c r="L16" s="3" t="n">
        <v>0.5</v>
      </c>
    </row>
    <row r="17" customFormat="false" ht="15" hidden="false" customHeight="false" outlineLevel="0" collapsed="false">
      <c r="A17" s="0" t="s">
        <v>102</v>
      </c>
      <c r="C17" s="3" t="n">
        <v>3.4</v>
      </c>
      <c r="D17" s="3" t="n">
        <v>3.3</v>
      </c>
      <c r="E17" s="3" t="n">
        <v>3.2</v>
      </c>
      <c r="F17" s="3" t="n">
        <v>3.1</v>
      </c>
      <c r="G17" s="3" t="n">
        <v>3</v>
      </c>
      <c r="H17" s="3" t="n">
        <v>3</v>
      </c>
      <c r="I17" s="3" t="n">
        <v>3</v>
      </c>
      <c r="J17" s="3" t="n">
        <v>3</v>
      </c>
      <c r="K17" s="3" t="n">
        <v>3</v>
      </c>
      <c r="L17" s="3" t="n">
        <v>3</v>
      </c>
    </row>
    <row r="18" customFormat="false" ht="15" hidden="false" customHeight="false" outlineLevel="0" collapsed="false">
      <c r="A18" s="0" t="s">
        <v>103</v>
      </c>
      <c r="C18" s="3" t="n">
        <v>2</v>
      </c>
      <c r="D18" s="3" t="n">
        <v>2.3</v>
      </c>
      <c r="E18" s="3" t="n">
        <v>2.5</v>
      </c>
      <c r="F18" s="3" t="n">
        <v>2.5</v>
      </c>
      <c r="G18" s="3" t="n">
        <v>2.5</v>
      </c>
      <c r="H18" s="3" t="n">
        <v>2.5</v>
      </c>
      <c r="I18" s="3" t="n">
        <v>2.5</v>
      </c>
      <c r="J18" s="3" t="n">
        <v>2.5</v>
      </c>
      <c r="K18" s="3" t="n">
        <v>2.5</v>
      </c>
      <c r="L18" s="3" t="n">
        <v>2.5</v>
      </c>
    </row>
    <row r="19" customFormat="false" ht="15" hidden="false" customHeight="false" outlineLevel="0" collapsed="false">
      <c r="A19" s="0" t="s">
        <v>104</v>
      </c>
      <c r="C19" s="3" t="n">
        <v>6</v>
      </c>
      <c r="D19" s="3" t="n">
        <v>8</v>
      </c>
      <c r="E19" s="3" t="n">
        <v>12</v>
      </c>
      <c r="F19" s="3" t="n">
        <v>18</v>
      </c>
      <c r="G19" s="3" t="n">
        <v>24</v>
      </c>
      <c r="H19" s="3" t="n">
        <v>27</v>
      </c>
      <c r="I19" s="3" t="n">
        <v>27</v>
      </c>
      <c r="J19" s="3" t="n">
        <v>27</v>
      </c>
      <c r="K19" s="3" t="n">
        <v>27</v>
      </c>
      <c r="L19" s="3" t="n">
        <v>27</v>
      </c>
    </row>
    <row r="20" customFormat="false" ht="15" hidden="false" customHeight="false" outlineLevel="0" collapsed="false">
      <c r="A20" s="0" t="s">
        <v>105</v>
      </c>
      <c r="B20" s="3" t="n">
        <v>8</v>
      </c>
    </row>
    <row r="21" customFormat="false" ht="15" hidden="false" customHeight="false" outlineLevel="0" collapsed="false">
      <c r="A21" s="0" t="s">
        <v>106</v>
      </c>
      <c r="B21" s="3" t="n">
        <v>0.5</v>
      </c>
    </row>
    <row r="22" customFormat="false" ht="15" hidden="false" customHeight="false" outlineLevel="0" collapsed="false">
      <c r="A22" s="0" t="s">
        <v>107</v>
      </c>
      <c r="B22" s="3" t="n">
        <v>10</v>
      </c>
    </row>
    <row r="23" customFormat="false" ht="15" hidden="false" customHeight="false" outlineLevel="0" collapsed="false">
      <c r="A23" s="0" t="s">
        <v>108</v>
      </c>
      <c r="B23" s="3" t="n">
        <v>-15</v>
      </c>
    </row>
    <row r="24" customFormat="false" ht="15" hidden="false" customHeight="false" outlineLevel="0" collapsed="false">
      <c r="A24" s="0" t="s">
        <v>109</v>
      </c>
      <c r="B24" s="3" t="n">
        <v>0.3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13.4</v>
      </c>
      <c r="D27" s="3" t="n">
        <v>6</v>
      </c>
      <c r="E27" s="3" t="n">
        <v>6</v>
      </c>
      <c r="F27" s="3" t="n">
        <v>5</v>
      </c>
      <c r="G27" s="3" t="n">
        <v>3</v>
      </c>
      <c r="H27" s="3" t="n">
        <v>-2</v>
      </c>
      <c r="I27" s="3" t="n">
        <v>-6</v>
      </c>
      <c r="J27" s="3" t="n">
        <v>-6</v>
      </c>
      <c r="K27" s="3" t="n">
        <v>-4</v>
      </c>
      <c r="L27" s="3" t="n">
        <v>-2</v>
      </c>
    </row>
    <row r="28" customFormat="false" ht="15" hidden="false" customHeight="false" outlineLevel="0" collapsed="false">
      <c r="A28" s="0" t="s">
        <v>99</v>
      </c>
      <c r="C28" s="3" t="n">
        <v>15.5</v>
      </c>
      <c r="D28" s="3" t="n">
        <v>16.5</v>
      </c>
      <c r="E28" s="3" t="n">
        <v>17.5</v>
      </c>
      <c r="F28" s="3" t="n">
        <v>18.5</v>
      </c>
      <c r="G28" s="3" t="n">
        <v>19</v>
      </c>
      <c r="H28" s="3" t="n">
        <v>18.5</v>
      </c>
      <c r="I28" s="3" t="n">
        <v>17</v>
      </c>
      <c r="J28" s="3" t="n">
        <v>15.5</v>
      </c>
      <c r="K28" s="3" t="n">
        <v>14.5</v>
      </c>
      <c r="L28" s="3" t="n">
        <v>14</v>
      </c>
    </row>
    <row r="29" customFormat="false" ht="15" hidden="false" customHeight="false" outlineLevel="0" collapsed="false">
      <c r="A29" s="0" t="s">
        <v>100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101</v>
      </c>
      <c r="C30" s="3" t="n">
        <v>0.5</v>
      </c>
      <c r="D30" s="3" t="n">
        <v>0.5</v>
      </c>
      <c r="E30" s="3" t="n">
        <v>0.5</v>
      </c>
      <c r="F30" s="3" t="n">
        <v>0.5</v>
      </c>
      <c r="G30" s="3" t="n">
        <v>0.5</v>
      </c>
      <c r="H30" s="3" t="n">
        <v>0.5</v>
      </c>
      <c r="I30" s="3" t="n">
        <v>0.5</v>
      </c>
      <c r="J30" s="3" t="n">
        <v>0.5</v>
      </c>
      <c r="K30" s="3" t="n">
        <v>0.5</v>
      </c>
      <c r="L30" s="3" t="n">
        <v>0.5</v>
      </c>
    </row>
    <row r="31" customFormat="false" ht="15" hidden="false" customHeight="false" outlineLevel="0" collapsed="false">
      <c r="A31" s="0" t="s">
        <v>102</v>
      </c>
      <c r="C31" s="3" t="n">
        <v>3.4</v>
      </c>
      <c r="D31" s="3" t="n">
        <v>3.3</v>
      </c>
      <c r="E31" s="3" t="n">
        <v>3.2</v>
      </c>
      <c r="F31" s="3" t="n">
        <v>3.1</v>
      </c>
      <c r="G31" s="3" t="n">
        <v>3</v>
      </c>
      <c r="H31" s="3" t="n">
        <v>3</v>
      </c>
      <c r="I31" s="3" t="n">
        <v>3</v>
      </c>
      <c r="J31" s="3" t="n">
        <v>3</v>
      </c>
      <c r="K31" s="3" t="n">
        <v>3</v>
      </c>
      <c r="L31" s="3" t="n">
        <v>3</v>
      </c>
    </row>
    <row r="32" customFormat="false" ht="15" hidden="false" customHeight="false" outlineLevel="0" collapsed="false">
      <c r="A32" s="0" t="s">
        <v>103</v>
      </c>
      <c r="C32" s="3" t="n">
        <v>2</v>
      </c>
      <c r="D32" s="3" t="n">
        <v>2.3</v>
      </c>
      <c r="E32" s="3" t="n">
        <v>2.5</v>
      </c>
      <c r="F32" s="3" t="n">
        <v>2.5</v>
      </c>
      <c r="G32" s="3" t="n">
        <v>2.5</v>
      </c>
      <c r="H32" s="3" t="n">
        <v>2.5</v>
      </c>
      <c r="I32" s="3" t="n">
        <v>2.5</v>
      </c>
      <c r="J32" s="3" t="n">
        <v>2.5</v>
      </c>
      <c r="K32" s="3" t="n">
        <v>2.5</v>
      </c>
      <c r="L32" s="3" t="n">
        <v>2.5</v>
      </c>
    </row>
    <row r="33" customFormat="false" ht="15" hidden="false" customHeight="false" outlineLevel="0" collapsed="false">
      <c r="A33" s="0" t="s">
        <v>104</v>
      </c>
      <c r="C33" s="3" t="n">
        <v>6</v>
      </c>
      <c r="D33" s="3" t="n">
        <v>8</v>
      </c>
      <c r="E33" s="3" t="n">
        <v>12</v>
      </c>
      <c r="F33" s="3" t="n">
        <v>18</v>
      </c>
      <c r="G33" s="3" t="n">
        <v>24</v>
      </c>
      <c r="H33" s="3" t="n">
        <v>27</v>
      </c>
      <c r="I33" s="3" t="n">
        <v>27</v>
      </c>
      <c r="J33" s="3" t="n">
        <v>27</v>
      </c>
      <c r="K33" s="3" t="n">
        <v>27</v>
      </c>
      <c r="L33" s="3" t="n">
        <v>27</v>
      </c>
    </row>
    <row r="34" customFormat="false" ht="15" hidden="false" customHeight="false" outlineLevel="0" collapsed="false">
      <c r="A34" s="0" t="s">
        <v>105</v>
      </c>
      <c r="B34" s="3" t="n">
        <v>8</v>
      </c>
    </row>
    <row r="35" customFormat="false" ht="15" hidden="false" customHeight="false" outlineLevel="0" collapsed="false">
      <c r="A35" s="0" t="s">
        <v>106</v>
      </c>
      <c r="B35" s="3" t="n">
        <v>1</v>
      </c>
    </row>
    <row r="36" customFormat="false" ht="15" hidden="false" customHeight="false" outlineLevel="0" collapsed="false">
      <c r="A36" s="0" t="s">
        <v>107</v>
      </c>
      <c r="B36" s="3" t="n">
        <v>12</v>
      </c>
    </row>
    <row r="37" customFormat="false" ht="15" hidden="false" customHeight="false" outlineLevel="0" collapsed="false">
      <c r="A37" s="0" t="s">
        <v>108</v>
      </c>
      <c r="B37" s="3" t="n">
        <v>-15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15</v>
      </c>
      <c r="D41" s="3" t="n">
        <v>10</v>
      </c>
      <c r="E41" s="3" t="n">
        <v>9</v>
      </c>
      <c r="F41" s="3" t="n">
        <v>8</v>
      </c>
      <c r="G41" s="3" t="n">
        <v>6</v>
      </c>
      <c r="H41" s="3" t="n">
        <v>2</v>
      </c>
      <c r="I41" s="3" t="n">
        <v>-2</v>
      </c>
      <c r="J41" s="3" t="n">
        <v>-3</v>
      </c>
      <c r="K41" s="3" t="n">
        <v>-2</v>
      </c>
      <c r="L41" s="3" t="n">
        <v>0</v>
      </c>
    </row>
    <row r="42" customFormat="false" ht="15" hidden="false" customHeight="false" outlineLevel="0" collapsed="false">
      <c r="A42" s="0" t="s">
        <v>99</v>
      </c>
      <c r="C42" s="3" t="n">
        <v>16.5</v>
      </c>
      <c r="D42" s="3" t="n">
        <v>18</v>
      </c>
      <c r="E42" s="3" t="n">
        <v>19.5</v>
      </c>
      <c r="F42" s="3" t="n">
        <v>21</v>
      </c>
      <c r="G42" s="3" t="n">
        <v>22</v>
      </c>
      <c r="H42" s="3" t="n">
        <v>22</v>
      </c>
      <c r="I42" s="3" t="n">
        <v>21</v>
      </c>
      <c r="J42" s="3" t="n">
        <v>20</v>
      </c>
      <c r="K42" s="3" t="n">
        <v>19.5</v>
      </c>
      <c r="L42" s="3" t="n">
        <v>19</v>
      </c>
    </row>
    <row r="43" customFormat="false" ht="15" hidden="false" customHeight="false" outlineLevel="0" collapsed="false">
      <c r="A43" s="0" t="s">
        <v>100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101</v>
      </c>
      <c r="C44" s="3" t="n">
        <v>0.5</v>
      </c>
      <c r="D44" s="3" t="n">
        <v>0.5</v>
      </c>
      <c r="E44" s="3" t="n">
        <v>0.5</v>
      </c>
      <c r="F44" s="3" t="n">
        <v>0.5</v>
      </c>
      <c r="G44" s="3" t="n">
        <v>0.5</v>
      </c>
      <c r="H44" s="3" t="n">
        <v>0.5</v>
      </c>
      <c r="I44" s="3" t="n">
        <v>0.5</v>
      </c>
      <c r="J44" s="3" t="n">
        <v>0.5</v>
      </c>
      <c r="K44" s="3" t="n">
        <v>0.5</v>
      </c>
      <c r="L44" s="3" t="n">
        <v>0.5</v>
      </c>
    </row>
    <row r="45" customFormat="false" ht="15" hidden="false" customHeight="false" outlineLevel="0" collapsed="false">
      <c r="A45" s="0" t="s">
        <v>102</v>
      </c>
      <c r="C45" s="3" t="n">
        <v>3.4</v>
      </c>
      <c r="D45" s="3" t="n">
        <v>3.3</v>
      </c>
      <c r="E45" s="3" t="n">
        <v>3.2</v>
      </c>
      <c r="F45" s="3" t="n">
        <v>3.1</v>
      </c>
      <c r="G45" s="3" t="n">
        <v>3</v>
      </c>
      <c r="H45" s="3" t="n">
        <v>3</v>
      </c>
      <c r="I45" s="3" t="n">
        <v>3</v>
      </c>
      <c r="J45" s="3" t="n">
        <v>3</v>
      </c>
      <c r="K45" s="3" t="n">
        <v>3</v>
      </c>
      <c r="L45" s="3" t="n">
        <v>3</v>
      </c>
    </row>
    <row r="46" customFormat="false" ht="15" hidden="false" customHeight="false" outlineLevel="0" collapsed="false">
      <c r="A46" s="0" t="s">
        <v>103</v>
      </c>
      <c r="C46" s="3" t="n">
        <v>2</v>
      </c>
      <c r="D46" s="3" t="n">
        <v>2.3</v>
      </c>
      <c r="E46" s="3" t="n">
        <v>2.5</v>
      </c>
      <c r="F46" s="3" t="n">
        <v>2.5</v>
      </c>
      <c r="G46" s="3" t="n">
        <v>2.5</v>
      </c>
      <c r="H46" s="3" t="n">
        <v>2.5</v>
      </c>
      <c r="I46" s="3" t="n">
        <v>2.5</v>
      </c>
      <c r="J46" s="3" t="n">
        <v>2.5</v>
      </c>
      <c r="K46" s="3" t="n">
        <v>2.5</v>
      </c>
      <c r="L46" s="3" t="n">
        <v>2.5</v>
      </c>
    </row>
    <row r="47" customFormat="false" ht="15" hidden="false" customHeight="false" outlineLevel="0" collapsed="false">
      <c r="A47" s="0" t="s">
        <v>104</v>
      </c>
      <c r="C47" s="3" t="n">
        <v>6</v>
      </c>
      <c r="D47" s="3" t="n">
        <v>8</v>
      </c>
      <c r="E47" s="3" t="n">
        <v>12</v>
      </c>
      <c r="F47" s="3" t="n">
        <v>18</v>
      </c>
      <c r="G47" s="3" t="n">
        <v>24</v>
      </c>
      <c r="H47" s="3" t="n">
        <v>27</v>
      </c>
      <c r="I47" s="3" t="n">
        <v>27</v>
      </c>
      <c r="J47" s="3" t="n">
        <v>27</v>
      </c>
      <c r="K47" s="3" t="n">
        <v>27</v>
      </c>
      <c r="L47" s="3" t="n">
        <v>27</v>
      </c>
    </row>
    <row r="48" customFormat="false" ht="15" hidden="false" customHeight="false" outlineLevel="0" collapsed="false">
      <c r="A48" s="0" t="s">
        <v>105</v>
      </c>
      <c r="B48" s="3" t="n">
        <v>8</v>
      </c>
    </row>
    <row r="49" customFormat="false" ht="15" hidden="false" customHeight="false" outlineLevel="0" collapsed="false">
      <c r="A49" s="0" t="s">
        <v>106</v>
      </c>
      <c r="B49" s="3" t="n">
        <v>1.5</v>
      </c>
    </row>
    <row r="50" customFormat="false" ht="15" hidden="false" customHeight="false" outlineLevel="0" collapsed="false">
      <c r="A50" s="0" t="s">
        <v>107</v>
      </c>
      <c r="B50" s="3" t="n">
        <v>14</v>
      </c>
    </row>
    <row r="51" customFormat="false" ht="15" hidden="false" customHeight="false" outlineLevel="0" collapsed="false">
      <c r="A51" s="0" t="s">
        <v>108</v>
      </c>
      <c r="B51" s="3" t="n">
        <v>-15</v>
      </c>
    </row>
    <row r="52" customFormat="false" ht="15" hidden="false" customHeight="false" outlineLevel="0" collapsed="false">
      <c r="A52" s="0" t="s">
        <v>109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10</v>
      </c>
      <c r="D5" s="4" t="n">
        <f aca="false">Assumptions!D13</f>
        <v>2</v>
      </c>
      <c r="E5" s="4" t="n">
        <f aca="false">Assumptions!E13</f>
        <v>1</v>
      </c>
      <c r="F5" s="4" t="n">
        <f aca="false">Assumptions!F13</f>
        <v>-1</v>
      </c>
      <c r="G5" s="4" t="n">
        <f aca="false">Assumptions!G13</f>
        <v>-4</v>
      </c>
      <c r="H5" s="4" t="n">
        <f aca="false">Assumptions!H13</f>
        <v>-10</v>
      </c>
      <c r="I5" s="4" t="n">
        <f aca="false">Assumptions!I13</f>
        <v>-12</v>
      </c>
      <c r="J5" s="4" t="n">
        <f aca="false">Assumptions!J13</f>
        <v>-10</v>
      </c>
      <c r="K5" s="4" t="n">
        <f aca="false">Assumptions!K13</f>
        <v>-5</v>
      </c>
      <c r="L5" s="4" t="n">
        <f aca="false">Assumptions!L13</f>
        <v>-2</v>
      </c>
    </row>
    <row r="6" customFormat="false" ht="15" hidden="false" customHeight="false" outlineLevel="0" collapsed="false">
      <c r="A6" s="0" t="s">
        <v>37</v>
      </c>
      <c r="B6" s="3" t="n">
        <v>453294</v>
      </c>
      <c r="C6" s="0" t="n">
        <f aca="false">B6*(1+C5/100)</f>
        <v>498623.4</v>
      </c>
      <c r="D6" s="0" t="n">
        <f aca="false">C6*(1+D5/100)</f>
        <v>508595.868</v>
      </c>
      <c r="E6" s="0" t="n">
        <f aca="false">D6*(1+E5/100)</f>
        <v>513681.82668</v>
      </c>
      <c r="F6" s="0" t="n">
        <f aca="false">E6*(1+F5/100)</f>
        <v>508545.0084132</v>
      </c>
      <c r="G6" s="0" t="n">
        <f aca="false">F6*(1+G5/100)</f>
        <v>488203.208076672</v>
      </c>
      <c r="H6" s="0" t="n">
        <f aca="false">G6*(1+H5/100)</f>
        <v>439382.887269005</v>
      </c>
      <c r="I6" s="0" t="n">
        <f aca="false">H6*(1+I5/100)</f>
        <v>386656.940796724</v>
      </c>
      <c r="J6" s="0" t="n">
        <f aca="false">I6*(1+J5/100)</f>
        <v>347991.246717052</v>
      </c>
      <c r="K6" s="0" t="n">
        <f aca="false">J6*(1+K5/100)</f>
        <v>330591.684381199</v>
      </c>
      <c r="L6" s="0" t="n">
        <f aca="false">K6*(1+L5/100)</f>
        <v>323979.850693575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14</v>
      </c>
      <c r="D7" s="4" t="n">
        <f aca="false">Assumptions!D14</f>
        <v>14</v>
      </c>
      <c r="E7" s="4" t="n">
        <f aca="false">Assumptions!E14</f>
        <v>14</v>
      </c>
      <c r="F7" s="4" t="n">
        <f aca="false">Assumptions!F14</f>
        <v>13.5</v>
      </c>
      <c r="G7" s="4" t="n">
        <f aca="false">Assumptions!G14</f>
        <v>12.5</v>
      </c>
      <c r="H7" s="4" t="n">
        <f aca="false">Assumptions!H14</f>
        <v>11</v>
      </c>
      <c r="I7" s="4" t="n">
        <f aca="false">Assumptions!I14</f>
        <v>10</v>
      </c>
      <c r="J7" s="4" t="n">
        <f aca="false">Assumptions!J14</f>
        <v>9</v>
      </c>
      <c r="K7" s="4" t="n">
        <f aca="false">Assumptions!K14</f>
        <v>9</v>
      </c>
      <c r="L7" s="4" t="n">
        <f aca="false">Assumptions!L14</f>
        <v>9</v>
      </c>
    </row>
    <row r="8" customFormat="false" ht="15" hidden="false" customHeight="false" outlineLevel="0" collapsed="false">
      <c r="A8" s="0" t="s">
        <v>43</v>
      </c>
      <c r="C8" s="0" t="n">
        <f aca="false">C6*C7/100</f>
        <v>69807.276</v>
      </c>
      <c r="D8" s="0" t="n">
        <f aca="false">D6*D7/100</f>
        <v>71203.42152</v>
      </c>
      <c r="E8" s="0" t="n">
        <f aca="false">E6*E7/100</f>
        <v>71915.4557352</v>
      </c>
      <c r="F8" s="0" t="n">
        <f aca="false">F6*F7/100</f>
        <v>68653.576135782</v>
      </c>
      <c r="G8" s="0" t="n">
        <f aca="false">G6*G7/100</f>
        <v>61025.401009584</v>
      </c>
      <c r="H8" s="0" t="n">
        <f aca="false">H6*H7/100</f>
        <v>48332.1175995905</v>
      </c>
      <c r="I8" s="0" t="n">
        <f aca="false">I6*I7/100</f>
        <v>38665.6940796724</v>
      </c>
      <c r="J8" s="0" t="n">
        <f aca="false">J6*J7/100</f>
        <v>31319.2122045347</v>
      </c>
      <c r="K8" s="0" t="n">
        <f aca="false">K6*K7/100</f>
        <v>29753.2515943079</v>
      </c>
      <c r="L8" s="0" t="n">
        <f aca="false">L6*L7/100</f>
        <v>29158.1865624218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67314.159</v>
      </c>
      <c r="D11" s="0" t="n">
        <f aca="false">D8+D10+D24</f>
        <v>68660.44218</v>
      </c>
      <c r="E11" s="0" t="n">
        <f aca="false">E8+E10+E24</f>
        <v>69347.0466018</v>
      </c>
      <c r="F11" s="0" t="n">
        <f aca="false">F8+F10+F24</f>
        <v>66110.851093716</v>
      </c>
      <c r="G11" s="0" t="n">
        <f aca="false">G8+G10+G24</f>
        <v>58584.3849692006</v>
      </c>
      <c r="H11" s="0" t="n">
        <f aca="false">H8+H10+H24</f>
        <v>46135.2031632455</v>
      </c>
      <c r="I11" s="0" t="n">
        <f aca="false">I8+I10+I24</f>
        <v>36732.4093756888</v>
      </c>
      <c r="J11" s="0" t="n">
        <f aca="false">J8+J10+J24</f>
        <v>29579.2559709494</v>
      </c>
      <c r="K11" s="0" t="n">
        <f aca="false">K8+K10+K24</f>
        <v>28100.2931724019</v>
      </c>
      <c r="L11" s="0" t="n">
        <f aca="false">L8+L10+L24</f>
        <v>27538.2873089539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-16953.1956</v>
      </c>
      <c r="D12" s="4" t="n">
        <f aca="false">-D6*Assumptions!D17/100</f>
        <v>-16783.663644</v>
      </c>
      <c r="E12" s="4" t="n">
        <f aca="false">-E6*Assumptions!E17/100</f>
        <v>-16437.81845376</v>
      </c>
      <c r="F12" s="4" t="n">
        <f aca="false">-F6*Assumptions!F17/100</f>
        <v>-15764.8952608092</v>
      </c>
      <c r="G12" s="4" t="n">
        <f aca="false">-G6*Assumptions!G17/100</f>
        <v>-14646.0962423002</v>
      </c>
      <c r="H12" s="4" t="n">
        <f aca="false">-H6*Assumptions!H17/100</f>
        <v>-13181.4866180701</v>
      </c>
      <c r="I12" s="4" t="n">
        <f aca="false">-I6*Assumptions!I17/100</f>
        <v>-11599.7082239017</v>
      </c>
      <c r="J12" s="4" t="n">
        <f aca="false">-J6*Assumptions!J17/100</f>
        <v>-10439.7374015116</v>
      </c>
      <c r="K12" s="4" t="n">
        <f aca="false">-K6*Assumptions!K17/100</f>
        <v>-9917.75053143598</v>
      </c>
      <c r="L12" s="4" t="n">
        <f aca="false">-L6*Assumptions!L17/100</f>
        <v>-9719.39552080726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50360.9634</v>
      </c>
      <c r="D13" s="0" t="n">
        <f aca="false">D11+D12</f>
        <v>51876.778536</v>
      </c>
      <c r="E13" s="0" t="n">
        <f aca="false">E11+E12</f>
        <v>52909.22814804</v>
      </c>
      <c r="F13" s="0" t="n">
        <f aca="false">F11+F12</f>
        <v>50345.9558329068</v>
      </c>
      <c r="G13" s="0" t="n">
        <f aca="false">G11+G12</f>
        <v>43938.2887269005</v>
      </c>
      <c r="H13" s="0" t="n">
        <f aca="false">H11+H12</f>
        <v>32953.7165451754</v>
      </c>
      <c r="I13" s="0" t="n">
        <f aca="false">I11+I12</f>
        <v>25132.7011517871</v>
      </c>
      <c r="J13" s="0" t="n">
        <f aca="false">J11+J12</f>
        <v>19139.5185694378</v>
      </c>
      <c r="K13" s="0" t="n">
        <f aca="false">K11+K12</f>
        <v>18182.542640966</v>
      </c>
      <c r="L13" s="0" t="n">
        <f aca="false">L11+L12</f>
        <v>17818.8917881466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6</v>
      </c>
      <c r="D14" s="4" t="n">
        <f aca="false">Assumptions!D19</f>
        <v>8</v>
      </c>
      <c r="E14" s="4" t="n">
        <f aca="false">Assumptions!E19</f>
        <v>12</v>
      </c>
      <c r="F14" s="4" t="n">
        <f aca="false">Assumptions!F19</f>
        <v>18</v>
      </c>
      <c r="G14" s="4" t="n">
        <f aca="false">Assumptions!G19</f>
        <v>24</v>
      </c>
      <c r="H14" s="4" t="n">
        <f aca="false">Assumptions!H19</f>
        <v>27</v>
      </c>
      <c r="I14" s="4" t="n">
        <f aca="false">Assumptions!I19</f>
        <v>27</v>
      </c>
      <c r="J14" s="4" t="n">
        <f aca="false">Assumptions!J19</f>
        <v>27</v>
      </c>
      <c r="K14" s="4" t="n">
        <f aca="false">Assumptions!K19</f>
        <v>27</v>
      </c>
      <c r="L14" s="4" t="n">
        <f aca="false">Assumptions!L19</f>
        <v>27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47339.305596</v>
      </c>
      <c r="D15" s="0" t="n">
        <f aca="false">D13-MAX(0,D13)*D14/100</f>
        <v>47726.63625312</v>
      </c>
      <c r="E15" s="0" t="n">
        <f aca="false">E13-MAX(0,E13)*E14/100</f>
        <v>46560.1207702752</v>
      </c>
      <c r="F15" s="0" t="n">
        <f aca="false">F13-MAX(0,F13)*F14/100</f>
        <v>41283.6837829836</v>
      </c>
      <c r="G15" s="0" t="n">
        <f aca="false">G13-MAX(0,G13)*G14/100</f>
        <v>33393.0994324444</v>
      </c>
      <c r="H15" s="0" t="n">
        <f aca="false">H13-MAX(0,H13)*H14/100</f>
        <v>24056.213077978</v>
      </c>
      <c r="I15" s="0" t="n">
        <f aca="false">I13-MAX(0,I13)*I14/100</f>
        <v>18346.8718408046</v>
      </c>
      <c r="J15" s="0" t="n">
        <f aca="false">J13-MAX(0,J13)*J14/100</f>
        <v>13971.8485556896</v>
      </c>
      <c r="K15" s="0" t="n">
        <f aca="false">K13-MAX(0,K13)*K14/100</f>
        <v>13273.2561279052</v>
      </c>
      <c r="L15" s="0" t="n">
        <f aca="false">L13-MAX(0,L13)*L14/100</f>
        <v>13007.791005347</v>
      </c>
    </row>
    <row r="16" customFormat="false" ht="15" hidden="false" customHeight="false" outlineLevel="0" collapsed="false">
      <c r="A16" s="0" t="s">
        <v>120</v>
      </c>
      <c r="C16" s="0" t="n">
        <f aca="false">-C12</f>
        <v>16953.1956</v>
      </c>
      <c r="D16" s="0" t="n">
        <f aca="false">-D12</f>
        <v>16783.663644</v>
      </c>
      <c r="E16" s="0" t="n">
        <f aca="false">-E12</f>
        <v>16437.81845376</v>
      </c>
      <c r="F16" s="0" t="n">
        <f aca="false">-F12</f>
        <v>15764.8952608092</v>
      </c>
      <c r="G16" s="0" t="n">
        <f aca="false">-G12</f>
        <v>14646.0962423002</v>
      </c>
      <c r="H16" s="0" t="n">
        <f aca="false">-H12</f>
        <v>13181.4866180701</v>
      </c>
      <c r="I16" s="0" t="n">
        <f aca="false">-I12</f>
        <v>11599.7082239017</v>
      </c>
      <c r="J16" s="0" t="n">
        <f aca="false">-J12</f>
        <v>10439.7374015116</v>
      </c>
      <c r="K16" s="0" t="n">
        <f aca="false">-K12</f>
        <v>9917.75053143598</v>
      </c>
      <c r="L16" s="0" t="n">
        <f aca="false">-L12</f>
        <v>9719.39552080726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-9972.468</v>
      </c>
      <c r="D17" s="4" t="n">
        <f aca="false">-D6*Assumptions!D18/100</f>
        <v>-11697.704964</v>
      </c>
      <c r="E17" s="4" t="n">
        <f aca="false">-E6*Assumptions!E18/100</f>
        <v>-12842.045667</v>
      </c>
      <c r="F17" s="4" t="n">
        <f aca="false">-F6*Assumptions!F18/100</f>
        <v>-12713.62521033</v>
      </c>
      <c r="G17" s="4" t="n">
        <f aca="false">-G6*Assumptions!G18/100</f>
        <v>-12205.0802019168</v>
      </c>
      <c r="H17" s="4" t="n">
        <f aca="false">-H6*Assumptions!H18/100</f>
        <v>-10984.5721817251</v>
      </c>
      <c r="I17" s="4" t="n">
        <f aca="false">-I6*Assumptions!I18/100</f>
        <v>-9666.42351991811</v>
      </c>
      <c r="J17" s="4" t="n">
        <f aca="false">-J6*Assumptions!J18/100</f>
        <v>-8699.7811679263</v>
      </c>
      <c r="K17" s="4" t="n">
        <f aca="false">-K6*Assumptions!K18/100</f>
        <v>-8264.79210952998</v>
      </c>
      <c r="L17" s="4" t="n">
        <f aca="false">-L6*Assumptions!L18/100</f>
        <v>-8099.49626733938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-6799.41</v>
      </c>
      <c r="D18" s="4" t="n">
        <f aca="false">(D6-C6)*Assumptions!$B$23/100</f>
        <v>-1495.8702</v>
      </c>
      <c r="E18" s="4" t="n">
        <f aca="false">(E6-D6)*Assumptions!$B$23/100</f>
        <v>-762.893801999997</v>
      </c>
      <c r="F18" s="4" t="n">
        <f aca="false">(F6-E6)*Assumptions!$B$23/100</f>
        <v>770.522740020003</v>
      </c>
      <c r="G18" s="4" t="n">
        <f aca="false">(G6-F6)*Assumptions!$B$23/100</f>
        <v>3051.27005047921</v>
      </c>
      <c r="H18" s="4" t="n">
        <f aca="false">(H6-G6)*Assumptions!$B$23/100</f>
        <v>7323.04812115007</v>
      </c>
      <c r="I18" s="4" t="n">
        <f aca="false">(I6-H6)*Assumptions!$B$23/100</f>
        <v>7908.89197084208</v>
      </c>
      <c r="J18" s="4" t="n">
        <f aca="false">(J6-I6)*Assumptions!$B$23/100</f>
        <v>5799.85411195086</v>
      </c>
      <c r="K18" s="4" t="n">
        <f aca="false">(K6-J6)*Assumptions!$B$23/100</f>
        <v>2609.93435037789</v>
      </c>
      <c r="L18" s="4" t="n">
        <f aca="false">(L6-K6)*Assumptions!$B$23/100</f>
        <v>991.775053143594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47520.623196</v>
      </c>
      <c r="D19" s="0" t="n">
        <f aca="false">D15+D16+D17+D18</f>
        <v>51316.72473312</v>
      </c>
      <c r="E19" s="0" t="n">
        <f aca="false">E15+E16+E17+E18</f>
        <v>49392.9997550352</v>
      </c>
      <c r="F19" s="0" t="n">
        <f aca="false">F15+F16+F17+F18</f>
        <v>45105.4765734828</v>
      </c>
      <c r="G19" s="0" t="n">
        <f aca="false">G15+G16+G17+G18</f>
        <v>38885.3855233069</v>
      </c>
      <c r="H19" s="0" t="n">
        <f aca="false">H15+H16+H17+H18</f>
        <v>33576.1756354731</v>
      </c>
      <c r="I19" s="0" t="n">
        <f aca="false">I15+I16+I17+I18</f>
        <v>28189.0485156303</v>
      </c>
      <c r="J19" s="0" t="n">
        <f aca="false">J15+J16+J17+J18</f>
        <v>21511.6589012257</v>
      </c>
      <c r="K19" s="0" t="n">
        <f aca="false">K15+K16+K17+K18</f>
        <v>17536.148900189</v>
      </c>
      <c r="L19" s="0" t="n">
        <f aca="false">L15+L16+L17+L18</f>
        <v>15619.4653119585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44000.5770333333</v>
      </c>
      <c r="D21" s="0" t="n">
        <f aca="false">D19*D20</f>
        <v>43995.8202444444</v>
      </c>
      <c r="E21" s="0" t="n">
        <f aca="false">E19*E20</f>
        <v>39209.7556862483</v>
      </c>
      <c r="F21" s="0" t="n">
        <f aca="false">F19*F20</f>
        <v>33153.8718061209</v>
      </c>
      <c r="G21" s="0" t="n">
        <f aca="false">G19*G20</f>
        <v>26464.7399973422</v>
      </c>
      <c r="H21" s="0" t="n">
        <f aca="false">H19*H20</f>
        <v>21158.6860723677</v>
      </c>
      <c r="I21" s="0" t="n">
        <f aca="false">I19*I20</f>
        <v>16448.0390604486</v>
      </c>
      <c r="J21" s="0" t="n">
        <f aca="false">J19*J20</f>
        <v>11622.0799583522</v>
      </c>
      <c r="K21" s="0" t="n">
        <f aca="false">K19*K20</f>
        <v>8772.44037478304</v>
      </c>
      <c r="L21" s="0" t="n">
        <f aca="false">L19*L20</f>
        <v>7234.8346198638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0.5</v>
      </c>
      <c r="D23" s="4" t="n">
        <f aca="false">Assumptions!D16</f>
        <v>0.5</v>
      </c>
      <c r="E23" s="4" t="n">
        <f aca="false">Assumptions!E16</f>
        <v>0.5</v>
      </c>
      <c r="F23" s="4" t="n">
        <f aca="false">Assumptions!F16</f>
        <v>0.5</v>
      </c>
      <c r="G23" s="4" t="n">
        <f aca="false">Assumptions!G16</f>
        <v>0.5</v>
      </c>
      <c r="H23" s="4" t="n">
        <f aca="false">Assumptions!H16</f>
        <v>0.5</v>
      </c>
      <c r="I23" s="4" t="n">
        <f aca="false">Assumptions!I16</f>
        <v>0.5</v>
      </c>
      <c r="J23" s="4" t="n">
        <f aca="false">Assumptions!J16</f>
        <v>0.5</v>
      </c>
      <c r="K23" s="4" t="n">
        <f aca="false">Assumptions!K16</f>
        <v>0.5</v>
      </c>
      <c r="L23" s="4" t="n">
        <f aca="false">Assumptions!L16</f>
        <v>0.5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-2493.117</v>
      </c>
      <c r="D24" s="0" t="n">
        <f aca="false">-D6*D23/100</f>
        <v>-2542.97934</v>
      </c>
      <c r="E24" s="0" t="n">
        <f aca="false">-E6*E23/100</f>
        <v>-2568.4091334</v>
      </c>
      <c r="F24" s="0" t="n">
        <f aca="false">-F6*F23/100</f>
        <v>-2542.725042066</v>
      </c>
      <c r="G24" s="0" t="n">
        <f aca="false">-G6*G23/100</f>
        <v>-2441.01604038336</v>
      </c>
      <c r="H24" s="0" t="n">
        <f aca="false">-H6*H23/100</f>
        <v>-2196.91443634502</v>
      </c>
      <c r="I24" s="0" t="n">
        <f aca="false">-I6*I23/100</f>
        <v>-1933.28470398362</v>
      </c>
      <c r="J24" s="0" t="n">
        <f aca="false">-J6*J23/100</f>
        <v>-1739.95623358526</v>
      </c>
      <c r="K24" s="0" t="n">
        <f aca="false">-K6*K23/100</f>
        <v>-1652.958421906</v>
      </c>
      <c r="L24" s="0" t="n">
        <f aca="false">-L6*L23/100</f>
        <v>-1619.89925346788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252060.844853305</v>
      </c>
    </row>
    <row r="31" customFormat="false" ht="15" hidden="false" customHeight="false" outlineLevel="0" collapsed="false">
      <c r="A31" s="0" t="s">
        <v>129</v>
      </c>
      <c r="B31" s="0" t="n">
        <f aca="false">L19</f>
        <v>15619.4653119585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209300.835180244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156194.653119585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156194.653119585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72348.346198638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324409.191051943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396673.191051943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884.260768785831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-0.530771680134873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884.260768785831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108259.052679437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663.717591408189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13.4</v>
      </c>
      <c r="D5" s="4" t="n">
        <f aca="false">Assumptions!D27</f>
        <v>6</v>
      </c>
      <c r="E5" s="4" t="n">
        <f aca="false">Assumptions!E27</f>
        <v>6</v>
      </c>
      <c r="F5" s="4" t="n">
        <f aca="false">Assumptions!F27</f>
        <v>5</v>
      </c>
      <c r="G5" s="4" t="n">
        <f aca="false">Assumptions!G27</f>
        <v>3</v>
      </c>
      <c r="H5" s="4" t="n">
        <f aca="false">Assumptions!H27</f>
        <v>-2</v>
      </c>
      <c r="I5" s="4" t="n">
        <f aca="false">Assumptions!I27</f>
        <v>-6</v>
      </c>
      <c r="J5" s="4" t="n">
        <f aca="false">Assumptions!J27</f>
        <v>-6</v>
      </c>
      <c r="K5" s="4" t="n">
        <f aca="false">Assumptions!K27</f>
        <v>-4</v>
      </c>
      <c r="L5" s="4" t="n">
        <f aca="false">Assumptions!L27</f>
        <v>-2</v>
      </c>
    </row>
    <row r="6" customFormat="false" ht="15" hidden="false" customHeight="false" outlineLevel="0" collapsed="false">
      <c r="A6" s="0" t="s">
        <v>37</v>
      </c>
      <c r="B6" s="3" t="n">
        <v>453294</v>
      </c>
      <c r="C6" s="0" t="n">
        <f aca="false">B6*(1+C5/100)</f>
        <v>514035.396</v>
      </c>
      <c r="D6" s="0" t="n">
        <f aca="false">C6*(1+D5/100)</f>
        <v>544877.51976</v>
      </c>
      <c r="E6" s="0" t="n">
        <f aca="false">D6*(1+E5/100)</f>
        <v>577570.1709456</v>
      </c>
      <c r="F6" s="0" t="n">
        <f aca="false">E6*(1+F5/100)</f>
        <v>606448.67949288</v>
      </c>
      <c r="G6" s="0" t="n">
        <f aca="false">F6*(1+G5/100)</f>
        <v>624642.139877666</v>
      </c>
      <c r="H6" s="0" t="n">
        <f aca="false">G6*(1+H5/100)</f>
        <v>612149.297080113</v>
      </c>
      <c r="I6" s="0" t="n">
        <f aca="false">H6*(1+I5/100)</f>
        <v>575420.339255306</v>
      </c>
      <c r="J6" s="0" t="n">
        <f aca="false">I6*(1+J5/100)</f>
        <v>540895.118899988</v>
      </c>
      <c r="K6" s="0" t="n">
        <f aca="false">J6*(1+K5/100)</f>
        <v>519259.314143988</v>
      </c>
      <c r="L6" s="0" t="n">
        <f aca="false">K6*(1+L5/100)</f>
        <v>508874.127861108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15.5</v>
      </c>
      <c r="D7" s="4" t="n">
        <f aca="false">Assumptions!D28</f>
        <v>16.5</v>
      </c>
      <c r="E7" s="4" t="n">
        <f aca="false">Assumptions!E28</f>
        <v>17.5</v>
      </c>
      <c r="F7" s="4" t="n">
        <f aca="false">Assumptions!F28</f>
        <v>18.5</v>
      </c>
      <c r="G7" s="4" t="n">
        <f aca="false">Assumptions!G28</f>
        <v>19</v>
      </c>
      <c r="H7" s="4" t="n">
        <f aca="false">Assumptions!H28</f>
        <v>18.5</v>
      </c>
      <c r="I7" s="4" t="n">
        <f aca="false">Assumptions!I28</f>
        <v>17</v>
      </c>
      <c r="J7" s="4" t="n">
        <f aca="false">Assumptions!J28</f>
        <v>15.5</v>
      </c>
      <c r="K7" s="4" t="n">
        <f aca="false">Assumptions!K28</f>
        <v>14.5</v>
      </c>
      <c r="L7" s="4" t="n">
        <f aca="false">Assumptions!L28</f>
        <v>14</v>
      </c>
    </row>
    <row r="8" customFormat="false" ht="15" hidden="false" customHeight="false" outlineLevel="0" collapsed="false">
      <c r="A8" s="0" t="s">
        <v>43</v>
      </c>
      <c r="C8" s="0" t="n">
        <f aca="false">C6*C7/100</f>
        <v>79675.48638</v>
      </c>
      <c r="D8" s="0" t="n">
        <f aca="false">D6*D7/100</f>
        <v>89904.7907604</v>
      </c>
      <c r="E8" s="0" t="n">
        <f aca="false">E6*E7/100</f>
        <v>101074.77991548</v>
      </c>
      <c r="F8" s="0" t="n">
        <f aca="false">F6*F7/100</f>
        <v>112193.005706183</v>
      </c>
      <c r="G8" s="0" t="n">
        <f aca="false">G6*G7/100</f>
        <v>118682.006576757</v>
      </c>
      <c r="H8" s="0" t="n">
        <f aca="false">H6*H7/100</f>
        <v>113247.619959821</v>
      </c>
      <c r="I8" s="0" t="n">
        <f aca="false">I6*I7/100</f>
        <v>97821.4576734021</v>
      </c>
      <c r="J8" s="0" t="n">
        <f aca="false">J6*J7/100</f>
        <v>83838.7434294981</v>
      </c>
      <c r="K8" s="0" t="n">
        <f aca="false">K6*K7/100</f>
        <v>75292.6005508783</v>
      </c>
      <c r="L8" s="0" t="n">
        <f aca="false">L6*L7/100</f>
        <v>71242.3779005552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77105.3094</v>
      </c>
      <c r="D11" s="0" t="n">
        <f aca="false">D8+D10+D24</f>
        <v>87180.4031616</v>
      </c>
      <c r="E11" s="0" t="n">
        <f aca="false">E8+E10+E24</f>
        <v>98186.929060752</v>
      </c>
      <c r="F11" s="0" t="n">
        <f aca="false">F8+F10+F24</f>
        <v>109160.762308718</v>
      </c>
      <c r="G11" s="0" t="n">
        <f aca="false">G8+G10+G24</f>
        <v>115558.795877368</v>
      </c>
      <c r="H11" s="0" t="n">
        <f aca="false">H8+H10+H24</f>
        <v>110186.87347442</v>
      </c>
      <c r="I11" s="0" t="n">
        <f aca="false">I8+I10+I24</f>
        <v>94944.3559771255</v>
      </c>
      <c r="J11" s="0" t="n">
        <f aca="false">J8+J10+J24</f>
        <v>81134.2678349982</v>
      </c>
      <c r="K11" s="0" t="n">
        <f aca="false">K8+K10+K24</f>
        <v>72696.3039801584</v>
      </c>
      <c r="L11" s="0" t="n">
        <f aca="false">L8+L10+L24</f>
        <v>68698.0072612496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-17477.203464</v>
      </c>
      <c r="D12" s="4" t="n">
        <f aca="false">-D6*Assumptions!D31/100</f>
        <v>-17980.95815208</v>
      </c>
      <c r="E12" s="4" t="n">
        <f aca="false">-E6*Assumptions!E31/100</f>
        <v>-18482.2454702592</v>
      </c>
      <c r="F12" s="4" t="n">
        <f aca="false">-F6*Assumptions!F31/100</f>
        <v>-18799.9090642793</v>
      </c>
      <c r="G12" s="4" t="n">
        <f aca="false">-G6*Assumptions!G31/100</f>
        <v>-18739.26419633</v>
      </c>
      <c r="H12" s="4" t="n">
        <f aca="false">-H6*Assumptions!H31/100</f>
        <v>-18364.4789124034</v>
      </c>
      <c r="I12" s="4" t="n">
        <f aca="false">-I6*Assumptions!I31/100</f>
        <v>-17262.6101776592</v>
      </c>
      <c r="J12" s="4" t="n">
        <f aca="false">-J6*Assumptions!J31/100</f>
        <v>-16226.8535669996</v>
      </c>
      <c r="K12" s="4" t="n">
        <f aca="false">-K6*Assumptions!K31/100</f>
        <v>-15577.7794243196</v>
      </c>
      <c r="L12" s="4" t="n">
        <f aca="false">-L6*Assumptions!L31/100</f>
        <v>-15266.2238358333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59628.105936</v>
      </c>
      <c r="D13" s="0" t="n">
        <f aca="false">D11+D12</f>
        <v>69199.44500952</v>
      </c>
      <c r="E13" s="0" t="n">
        <f aca="false">E11+E12</f>
        <v>79704.6835904928</v>
      </c>
      <c r="F13" s="0" t="n">
        <f aca="false">F11+F12</f>
        <v>90360.8532444391</v>
      </c>
      <c r="G13" s="0" t="n">
        <f aca="false">G11+G12</f>
        <v>96819.5316810383</v>
      </c>
      <c r="H13" s="0" t="n">
        <f aca="false">H11+H12</f>
        <v>91822.394562017</v>
      </c>
      <c r="I13" s="0" t="n">
        <f aca="false">I11+I12</f>
        <v>77681.7457994663</v>
      </c>
      <c r="J13" s="0" t="n">
        <f aca="false">J11+J12</f>
        <v>64907.4142679985</v>
      </c>
      <c r="K13" s="0" t="n">
        <f aca="false">K11+K12</f>
        <v>57118.5245558387</v>
      </c>
      <c r="L13" s="0" t="n">
        <f aca="false">L11+L12</f>
        <v>53431.7834254164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6</v>
      </c>
      <c r="D14" s="4" t="n">
        <f aca="false">Assumptions!D33</f>
        <v>8</v>
      </c>
      <c r="E14" s="4" t="n">
        <f aca="false">Assumptions!E33</f>
        <v>12</v>
      </c>
      <c r="F14" s="4" t="n">
        <f aca="false">Assumptions!F33</f>
        <v>18</v>
      </c>
      <c r="G14" s="4" t="n">
        <f aca="false">Assumptions!G33</f>
        <v>24</v>
      </c>
      <c r="H14" s="4" t="n">
        <f aca="false">Assumptions!H33</f>
        <v>27</v>
      </c>
      <c r="I14" s="4" t="n">
        <f aca="false">Assumptions!I33</f>
        <v>27</v>
      </c>
      <c r="J14" s="4" t="n">
        <f aca="false">Assumptions!J33</f>
        <v>27</v>
      </c>
      <c r="K14" s="4" t="n">
        <f aca="false">Assumptions!K33</f>
        <v>27</v>
      </c>
      <c r="L14" s="4" t="n">
        <f aca="false">Assumptions!L33</f>
        <v>27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56050.41957984</v>
      </c>
      <c r="D15" s="0" t="n">
        <f aca="false">D13-MAX(0,D13)*D14/100</f>
        <v>63663.4894087584</v>
      </c>
      <c r="E15" s="0" t="n">
        <f aca="false">E13-MAX(0,E13)*E14/100</f>
        <v>70140.1215596337</v>
      </c>
      <c r="F15" s="0" t="n">
        <f aca="false">F13-MAX(0,F13)*F14/100</f>
        <v>74095.8996604401</v>
      </c>
      <c r="G15" s="0" t="n">
        <f aca="false">G13-MAX(0,G13)*G14/100</f>
        <v>73582.8440775891</v>
      </c>
      <c r="H15" s="0" t="n">
        <f aca="false">H13-MAX(0,H13)*H14/100</f>
        <v>67030.3480302724</v>
      </c>
      <c r="I15" s="0" t="n">
        <f aca="false">I13-MAX(0,I13)*I14/100</f>
        <v>56707.6744336104</v>
      </c>
      <c r="J15" s="0" t="n">
        <f aca="false">J13-MAX(0,J13)*J14/100</f>
        <v>47382.4124156389</v>
      </c>
      <c r="K15" s="0" t="n">
        <f aca="false">K13-MAX(0,K13)*K14/100</f>
        <v>41696.5229257623</v>
      </c>
      <c r="L15" s="0" t="n">
        <f aca="false">L13-MAX(0,L13)*L14/100</f>
        <v>39005.201900554</v>
      </c>
    </row>
    <row r="16" customFormat="false" ht="15" hidden="false" customHeight="false" outlineLevel="0" collapsed="false">
      <c r="A16" s="0" t="s">
        <v>120</v>
      </c>
      <c r="C16" s="0" t="n">
        <f aca="false">-C12</f>
        <v>17477.203464</v>
      </c>
      <c r="D16" s="0" t="n">
        <f aca="false">-D12</f>
        <v>17980.95815208</v>
      </c>
      <c r="E16" s="0" t="n">
        <f aca="false">-E12</f>
        <v>18482.2454702592</v>
      </c>
      <c r="F16" s="0" t="n">
        <f aca="false">-F12</f>
        <v>18799.9090642793</v>
      </c>
      <c r="G16" s="0" t="n">
        <f aca="false">-G12</f>
        <v>18739.26419633</v>
      </c>
      <c r="H16" s="0" t="n">
        <f aca="false">-H12</f>
        <v>18364.4789124034</v>
      </c>
      <c r="I16" s="0" t="n">
        <f aca="false">-I12</f>
        <v>17262.6101776592</v>
      </c>
      <c r="J16" s="0" t="n">
        <f aca="false">-J12</f>
        <v>16226.8535669996</v>
      </c>
      <c r="K16" s="0" t="n">
        <f aca="false">-K12</f>
        <v>15577.7794243196</v>
      </c>
      <c r="L16" s="0" t="n">
        <f aca="false">-L12</f>
        <v>15266.2238358333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-10280.70792</v>
      </c>
      <c r="D17" s="4" t="n">
        <f aca="false">-D6*Assumptions!D32/100</f>
        <v>-12532.18295448</v>
      </c>
      <c r="E17" s="4" t="n">
        <f aca="false">-E6*Assumptions!E32/100</f>
        <v>-14439.25427364</v>
      </c>
      <c r="F17" s="4" t="n">
        <f aca="false">-F6*Assumptions!F32/100</f>
        <v>-15161.216987322</v>
      </c>
      <c r="G17" s="4" t="n">
        <f aca="false">-G6*Assumptions!G32/100</f>
        <v>-15616.0534969417</v>
      </c>
      <c r="H17" s="4" t="n">
        <f aca="false">-H6*Assumptions!H32/100</f>
        <v>-15303.7324270028</v>
      </c>
      <c r="I17" s="4" t="n">
        <f aca="false">-I6*Assumptions!I32/100</f>
        <v>-14385.5084813827</v>
      </c>
      <c r="J17" s="4" t="n">
        <f aca="false">-J6*Assumptions!J32/100</f>
        <v>-13522.3779724997</v>
      </c>
      <c r="K17" s="4" t="n">
        <f aca="false">-K6*Assumptions!K32/100</f>
        <v>-12981.4828535997</v>
      </c>
      <c r="L17" s="4" t="n">
        <f aca="false">-L6*Assumptions!L32/100</f>
        <v>-12721.8531965277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-9111.20939999999</v>
      </c>
      <c r="D18" s="4" t="n">
        <f aca="false">(D6-C6)*Assumptions!$B$37/100</f>
        <v>-4626.318564</v>
      </c>
      <c r="E18" s="4" t="n">
        <f aca="false">(E6-D6)*Assumptions!$B$37/100</f>
        <v>-4903.89767784</v>
      </c>
      <c r="F18" s="4" t="n">
        <f aca="false">(F6-E6)*Assumptions!$B$37/100</f>
        <v>-4331.776282092</v>
      </c>
      <c r="G18" s="4" t="n">
        <f aca="false">(G6-F6)*Assumptions!$B$37/100</f>
        <v>-2729.01905771795</v>
      </c>
      <c r="H18" s="4" t="n">
        <f aca="false">(H6-G6)*Assumptions!$B$37/100</f>
        <v>1873.92641963299</v>
      </c>
      <c r="I18" s="4" t="n">
        <f aca="false">(I6-H6)*Assumptions!$B$37/100</f>
        <v>5509.34367372102</v>
      </c>
      <c r="J18" s="4" t="n">
        <f aca="false">(J6-I6)*Assumptions!$B$37/100</f>
        <v>5178.78305329776</v>
      </c>
      <c r="K18" s="4" t="n">
        <f aca="false">(K6-J6)*Assumptions!$B$37/100</f>
        <v>3245.37071339993</v>
      </c>
      <c r="L18" s="4" t="n">
        <f aca="false">(L6-K6)*Assumptions!$B$37/100</f>
        <v>1557.77794243197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54135.70572384</v>
      </c>
      <c r="D19" s="0" t="n">
        <f aca="false">D15+D16+D17+D18</f>
        <v>64485.9460423584</v>
      </c>
      <c r="E19" s="0" t="n">
        <f aca="false">E15+E16+E17+E18</f>
        <v>69279.2150784129</v>
      </c>
      <c r="F19" s="0" t="n">
        <f aca="false">F15+F16+F17+F18</f>
        <v>73402.8154553053</v>
      </c>
      <c r="G19" s="0" t="n">
        <f aca="false">G15+G16+G17+G18</f>
        <v>73977.0357192595</v>
      </c>
      <c r="H19" s="0" t="n">
        <f aca="false">H15+H16+H17+H18</f>
        <v>71965.0209353059</v>
      </c>
      <c r="I19" s="0" t="n">
        <f aca="false">I15+I16+I17+I18</f>
        <v>65094.119803608</v>
      </c>
      <c r="J19" s="0" t="n">
        <f aca="false">J15+J16+J17+J18</f>
        <v>55265.6710634366</v>
      </c>
      <c r="K19" s="0" t="n">
        <f aca="false">K15+K16+K17+K18</f>
        <v>47538.1902098821</v>
      </c>
      <c r="L19" s="0" t="n">
        <f aca="false">L15+L16+L17+L18</f>
        <v>43107.3504822915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50125.653448</v>
      </c>
      <c r="D21" s="0" t="n">
        <f aca="false">D19*D20</f>
        <v>55286.304906</v>
      </c>
      <c r="E21" s="0" t="n">
        <f aca="false">E19*E20</f>
        <v>54996.0745618148</v>
      </c>
      <c r="F21" s="0" t="n">
        <f aca="false">F19*F20</f>
        <v>53953.2606389583</v>
      </c>
      <c r="G21" s="0" t="n">
        <f aca="false">G19*G20</f>
        <v>50347.5274768937</v>
      </c>
      <c r="H21" s="0" t="n">
        <f aca="false">H19*H20</f>
        <v>45350.1703914365</v>
      </c>
      <c r="I21" s="0" t="n">
        <f aca="false">I19*I20</f>
        <v>37981.7936934479</v>
      </c>
      <c r="J21" s="0" t="n">
        <f aca="false">J19*J20</f>
        <v>29858.322456696</v>
      </c>
      <c r="K21" s="0" t="n">
        <f aca="false">K19*K20</f>
        <v>23780.9305517924</v>
      </c>
      <c r="L21" s="0" t="n">
        <f aca="false">L19*L20</f>
        <v>19967.0440319816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0.5</v>
      </c>
      <c r="D23" s="4" t="n">
        <f aca="false">Assumptions!D30</f>
        <v>0.5</v>
      </c>
      <c r="E23" s="4" t="n">
        <f aca="false">Assumptions!E30</f>
        <v>0.5</v>
      </c>
      <c r="F23" s="4" t="n">
        <f aca="false">Assumptions!F30</f>
        <v>0.5</v>
      </c>
      <c r="G23" s="4" t="n">
        <f aca="false">Assumptions!G30</f>
        <v>0.5</v>
      </c>
      <c r="H23" s="4" t="n">
        <f aca="false">Assumptions!H30</f>
        <v>0.5</v>
      </c>
      <c r="I23" s="4" t="n">
        <f aca="false">Assumptions!I30</f>
        <v>0.5</v>
      </c>
      <c r="J23" s="4" t="n">
        <f aca="false">Assumptions!J30</f>
        <v>0.5</v>
      </c>
      <c r="K23" s="4" t="n">
        <f aca="false">Assumptions!K30</f>
        <v>0.5</v>
      </c>
      <c r="L23" s="4" t="n">
        <f aca="false">Assumptions!L30</f>
        <v>0.5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-2570.17698</v>
      </c>
      <c r="D24" s="0" t="n">
        <f aca="false">-D6*D23/100</f>
        <v>-2724.3875988</v>
      </c>
      <c r="E24" s="0" t="n">
        <f aca="false">-E6*E23/100</f>
        <v>-2887.850854728</v>
      </c>
      <c r="F24" s="0" t="n">
        <f aca="false">-F6*F23/100</f>
        <v>-3032.2433974644</v>
      </c>
      <c r="G24" s="0" t="n">
        <f aca="false">-G6*G23/100</f>
        <v>-3123.21069938833</v>
      </c>
      <c r="H24" s="0" t="n">
        <f aca="false">-H6*H23/100</f>
        <v>-3060.74648540057</v>
      </c>
      <c r="I24" s="0" t="n">
        <f aca="false">-I6*I23/100</f>
        <v>-2877.10169627653</v>
      </c>
      <c r="J24" s="0" t="n">
        <f aca="false">-J6*J23/100</f>
        <v>-2704.47559449994</v>
      </c>
      <c r="K24" s="0" t="n">
        <f aca="false">-K6*K23/100</f>
        <v>-2596.29657071994</v>
      </c>
      <c r="L24" s="0" t="n">
        <f aca="false">-L6*L23/100</f>
        <v>-2544.37063930554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421647.082157021</v>
      </c>
    </row>
    <row r="31" customFormat="false" ht="15" hidden="false" customHeight="false" outlineLevel="0" collapsed="false">
      <c r="A31" s="0" t="s">
        <v>129</v>
      </c>
      <c r="B31" s="0" t="n">
        <f aca="false">L19</f>
        <v>43107.3504822915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621977.485530205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517288.205787498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517288.205787498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239604.528383779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661251.6105408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733515.6105408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1635.14725049388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-0.13231772327202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1635.14725049388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310988.742765103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1041.23335513299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15</v>
      </c>
      <c r="D5" s="4" t="n">
        <f aca="false">Assumptions!D41</f>
        <v>10</v>
      </c>
      <c r="E5" s="4" t="n">
        <f aca="false">Assumptions!E41</f>
        <v>9</v>
      </c>
      <c r="F5" s="4" t="n">
        <f aca="false">Assumptions!F41</f>
        <v>8</v>
      </c>
      <c r="G5" s="4" t="n">
        <f aca="false">Assumptions!G41</f>
        <v>6</v>
      </c>
      <c r="H5" s="4" t="n">
        <f aca="false">Assumptions!H41</f>
        <v>2</v>
      </c>
      <c r="I5" s="4" t="n">
        <f aca="false">Assumptions!I41</f>
        <v>-2</v>
      </c>
      <c r="J5" s="4" t="n">
        <f aca="false">Assumptions!J41</f>
        <v>-3</v>
      </c>
      <c r="K5" s="4" t="n">
        <f aca="false">Assumptions!K41</f>
        <v>-2</v>
      </c>
      <c r="L5" s="4" t="n">
        <f aca="false">Assumptions!L41</f>
        <v>0</v>
      </c>
    </row>
    <row r="6" customFormat="false" ht="15" hidden="false" customHeight="false" outlineLevel="0" collapsed="false">
      <c r="A6" s="0" t="s">
        <v>37</v>
      </c>
      <c r="B6" s="3" t="n">
        <v>453294</v>
      </c>
      <c r="C6" s="0" t="n">
        <f aca="false">B6*(1+C5/100)</f>
        <v>521288.1</v>
      </c>
      <c r="D6" s="0" t="n">
        <f aca="false">C6*(1+D5/100)</f>
        <v>573416.91</v>
      </c>
      <c r="E6" s="0" t="n">
        <f aca="false">D6*(1+E5/100)</f>
        <v>625024.4319</v>
      </c>
      <c r="F6" s="0" t="n">
        <f aca="false">E6*(1+F5/100)</f>
        <v>675026.386452</v>
      </c>
      <c r="G6" s="0" t="n">
        <f aca="false">F6*(1+G5/100)</f>
        <v>715527.96963912</v>
      </c>
      <c r="H6" s="0" t="n">
        <f aca="false">G6*(1+H5/100)</f>
        <v>729838.529031903</v>
      </c>
      <c r="I6" s="0" t="n">
        <f aca="false">H6*(1+I5/100)</f>
        <v>715241.758451265</v>
      </c>
      <c r="J6" s="0" t="n">
        <f aca="false">I6*(1+J5/100)</f>
        <v>693784.505697727</v>
      </c>
      <c r="K6" s="0" t="n">
        <f aca="false">J6*(1+K5/100)</f>
        <v>679908.815583772</v>
      </c>
      <c r="L6" s="0" t="n">
        <f aca="false">K6*(1+L5/100)</f>
        <v>679908.815583772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16.5</v>
      </c>
      <c r="D7" s="4" t="n">
        <f aca="false">Assumptions!D42</f>
        <v>18</v>
      </c>
      <c r="E7" s="4" t="n">
        <f aca="false">Assumptions!E42</f>
        <v>19.5</v>
      </c>
      <c r="F7" s="4" t="n">
        <f aca="false">Assumptions!F42</f>
        <v>21</v>
      </c>
      <c r="G7" s="4" t="n">
        <f aca="false">Assumptions!G42</f>
        <v>22</v>
      </c>
      <c r="H7" s="4" t="n">
        <f aca="false">Assumptions!H42</f>
        <v>22</v>
      </c>
      <c r="I7" s="4" t="n">
        <f aca="false">Assumptions!I42</f>
        <v>21</v>
      </c>
      <c r="J7" s="4" t="n">
        <f aca="false">Assumptions!J42</f>
        <v>20</v>
      </c>
      <c r="K7" s="4" t="n">
        <f aca="false">Assumptions!K42</f>
        <v>19.5</v>
      </c>
      <c r="L7" s="4" t="n">
        <f aca="false">Assumptions!L42</f>
        <v>19</v>
      </c>
    </row>
    <row r="8" customFormat="false" ht="15" hidden="false" customHeight="false" outlineLevel="0" collapsed="false">
      <c r="A8" s="0" t="s">
        <v>43</v>
      </c>
      <c r="C8" s="0" t="n">
        <f aca="false">C6*C7/100</f>
        <v>86012.5365</v>
      </c>
      <c r="D8" s="0" t="n">
        <f aca="false">D6*D7/100</f>
        <v>103215.0438</v>
      </c>
      <c r="E8" s="0" t="n">
        <f aca="false">E6*E7/100</f>
        <v>121879.7642205</v>
      </c>
      <c r="F8" s="0" t="n">
        <f aca="false">F6*F7/100</f>
        <v>141755.54115492</v>
      </c>
      <c r="G8" s="0" t="n">
        <f aca="false">G6*G7/100</f>
        <v>157416.153320606</v>
      </c>
      <c r="H8" s="0" t="n">
        <f aca="false">H6*H7/100</f>
        <v>160564.476387019</v>
      </c>
      <c r="I8" s="0" t="n">
        <f aca="false">I6*I7/100</f>
        <v>150200.769274766</v>
      </c>
      <c r="J8" s="0" t="n">
        <f aca="false">J6*J7/100</f>
        <v>138756.901139545</v>
      </c>
      <c r="K8" s="0" t="n">
        <f aca="false">K6*K7/100</f>
        <v>132582.219038836</v>
      </c>
      <c r="L8" s="0" t="n">
        <f aca="false">L6*L7/100</f>
        <v>129182.674960917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83406.096</v>
      </c>
      <c r="D11" s="0" t="n">
        <f aca="false">D8+D10+D24</f>
        <v>100347.95925</v>
      </c>
      <c r="E11" s="0" t="n">
        <f aca="false">E8+E10+E24</f>
        <v>118754.642061</v>
      </c>
      <c r="F11" s="0" t="n">
        <f aca="false">F8+F10+F24</f>
        <v>138380.40922266</v>
      </c>
      <c r="G11" s="0" t="n">
        <f aca="false">G8+G10+G24</f>
        <v>153838.513472411</v>
      </c>
      <c r="H11" s="0" t="n">
        <f aca="false">H8+H10+H24</f>
        <v>156915.283741859</v>
      </c>
      <c r="I11" s="0" t="n">
        <f aca="false">I8+I10+I24</f>
        <v>146624.560482509</v>
      </c>
      <c r="J11" s="0" t="n">
        <f aca="false">J8+J10+J24</f>
        <v>135287.978611057</v>
      </c>
      <c r="K11" s="0" t="n">
        <f aca="false">K8+K10+K24</f>
        <v>129182.674960917</v>
      </c>
      <c r="L11" s="0" t="n">
        <f aca="false">L8+L10+L24</f>
        <v>125783.130882998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-17723.7954</v>
      </c>
      <c r="D12" s="4" t="n">
        <f aca="false">-D6*Assumptions!D45/100</f>
        <v>-18922.75803</v>
      </c>
      <c r="E12" s="4" t="n">
        <f aca="false">-E6*Assumptions!E45/100</f>
        <v>-20000.7818208</v>
      </c>
      <c r="F12" s="4" t="n">
        <f aca="false">-F6*Assumptions!F45/100</f>
        <v>-20925.817980012</v>
      </c>
      <c r="G12" s="4" t="n">
        <f aca="false">-G6*Assumptions!G45/100</f>
        <v>-21465.8390891736</v>
      </c>
      <c r="H12" s="4" t="n">
        <f aca="false">-H6*Assumptions!H45/100</f>
        <v>-21895.1558709571</v>
      </c>
      <c r="I12" s="4" t="n">
        <f aca="false">-I6*Assumptions!I45/100</f>
        <v>-21457.2527535379</v>
      </c>
      <c r="J12" s="4" t="n">
        <f aca="false">-J6*Assumptions!J45/100</f>
        <v>-20813.5351709318</v>
      </c>
      <c r="K12" s="4" t="n">
        <f aca="false">-K6*Assumptions!K45/100</f>
        <v>-20397.2644675132</v>
      </c>
      <c r="L12" s="4" t="n">
        <f aca="false">-L6*Assumptions!L45/100</f>
        <v>-20397.2644675132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65682.3006</v>
      </c>
      <c r="D13" s="0" t="n">
        <f aca="false">D11+D12</f>
        <v>81425.20122</v>
      </c>
      <c r="E13" s="0" t="n">
        <f aca="false">E11+E12</f>
        <v>98753.8602402</v>
      </c>
      <c r="F13" s="0" t="n">
        <f aca="false">F11+F12</f>
        <v>117454.591242648</v>
      </c>
      <c r="G13" s="0" t="n">
        <f aca="false">G11+G12</f>
        <v>132372.674383237</v>
      </c>
      <c r="H13" s="0" t="n">
        <f aca="false">H11+H12</f>
        <v>135020.127870902</v>
      </c>
      <c r="I13" s="0" t="n">
        <f aca="false">I11+I12</f>
        <v>125167.307728971</v>
      </c>
      <c r="J13" s="0" t="n">
        <f aca="false">J11+J12</f>
        <v>114474.443440125</v>
      </c>
      <c r="K13" s="0" t="n">
        <f aca="false">K11+K12</f>
        <v>108785.410493404</v>
      </c>
      <c r="L13" s="0" t="n">
        <f aca="false">L11+L12</f>
        <v>105385.866415485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6</v>
      </c>
      <c r="D14" s="4" t="n">
        <f aca="false">Assumptions!D47</f>
        <v>8</v>
      </c>
      <c r="E14" s="4" t="n">
        <f aca="false">Assumptions!E47</f>
        <v>12</v>
      </c>
      <c r="F14" s="4" t="n">
        <f aca="false">Assumptions!F47</f>
        <v>18</v>
      </c>
      <c r="G14" s="4" t="n">
        <f aca="false">Assumptions!G47</f>
        <v>24</v>
      </c>
      <c r="H14" s="4" t="n">
        <f aca="false">Assumptions!H47</f>
        <v>27</v>
      </c>
      <c r="I14" s="4" t="n">
        <f aca="false">Assumptions!I47</f>
        <v>27</v>
      </c>
      <c r="J14" s="4" t="n">
        <f aca="false">Assumptions!J47</f>
        <v>27</v>
      </c>
      <c r="K14" s="4" t="n">
        <f aca="false">Assumptions!K47</f>
        <v>27</v>
      </c>
      <c r="L14" s="4" t="n">
        <f aca="false">Assumptions!L47</f>
        <v>27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61741.362564</v>
      </c>
      <c r="D15" s="0" t="n">
        <f aca="false">D13-MAX(0,D13)*D14/100</f>
        <v>74911.1851224</v>
      </c>
      <c r="E15" s="0" t="n">
        <f aca="false">E13-MAX(0,E13)*E14/100</f>
        <v>86903.397011376</v>
      </c>
      <c r="F15" s="0" t="n">
        <f aca="false">F13-MAX(0,F13)*F14/100</f>
        <v>96312.7648189714</v>
      </c>
      <c r="G15" s="0" t="n">
        <f aca="false">G13-MAX(0,G13)*G14/100</f>
        <v>100603.23253126</v>
      </c>
      <c r="H15" s="0" t="n">
        <f aca="false">H13-MAX(0,H13)*H14/100</f>
        <v>98564.6933457585</v>
      </c>
      <c r="I15" s="0" t="n">
        <f aca="false">I13-MAX(0,I13)*I14/100</f>
        <v>91372.134642149</v>
      </c>
      <c r="J15" s="0" t="n">
        <f aca="false">J13-MAX(0,J13)*J14/100</f>
        <v>83566.3437112912</v>
      </c>
      <c r="K15" s="0" t="n">
        <f aca="false">K13-MAX(0,K13)*K14/100</f>
        <v>79413.3496601846</v>
      </c>
      <c r="L15" s="0" t="n">
        <f aca="false">L13-MAX(0,L13)*L14/100</f>
        <v>76931.6824833038</v>
      </c>
    </row>
    <row r="16" customFormat="false" ht="15" hidden="false" customHeight="false" outlineLevel="0" collapsed="false">
      <c r="A16" s="0" t="s">
        <v>120</v>
      </c>
      <c r="C16" s="0" t="n">
        <f aca="false">-C12</f>
        <v>17723.7954</v>
      </c>
      <c r="D16" s="0" t="n">
        <f aca="false">-D12</f>
        <v>18922.75803</v>
      </c>
      <c r="E16" s="0" t="n">
        <f aca="false">-E12</f>
        <v>20000.7818208</v>
      </c>
      <c r="F16" s="0" t="n">
        <f aca="false">-F12</f>
        <v>20925.817980012</v>
      </c>
      <c r="G16" s="0" t="n">
        <f aca="false">-G12</f>
        <v>21465.8390891736</v>
      </c>
      <c r="H16" s="0" t="n">
        <f aca="false">-H12</f>
        <v>21895.1558709571</v>
      </c>
      <c r="I16" s="0" t="n">
        <f aca="false">-I12</f>
        <v>21457.2527535379</v>
      </c>
      <c r="J16" s="0" t="n">
        <f aca="false">-J12</f>
        <v>20813.5351709318</v>
      </c>
      <c r="K16" s="0" t="n">
        <f aca="false">-K12</f>
        <v>20397.2644675132</v>
      </c>
      <c r="L16" s="0" t="n">
        <f aca="false">-L12</f>
        <v>20397.2644675132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-10425.762</v>
      </c>
      <c r="D17" s="4" t="n">
        <f aca="false">-D6*Assumptions!D46/100</f>
        <v>-13188.58893</v>
      </c>
      <c r="E17" s="4" t="n">
        <f aca="false">-E6*Assumptions!E46/100</f>
        <v>-15625.6107975</v>
      </c>
      <c r="F17" s="4" t="n">
        <f aca="false">-F6*Assumptions!F46/100</f>
        <v>-16875.6596613</v>
      </c>
      <c r="G17" s="4" t="n">
        <f aca="false">-G6*Assumptions!G46/100</f>
        <v>-17888.199240978</v>
      </c>
      <c r="H17" s="4" t="n">
        <f aca="false">-H6*Assumptions!H46/100</f>
        <v>-18245.9632257976</v>
      </c>
      <c r="I17" s="4" t="n">
        <f aca="false">-I6*Assumptions!I46/100</f>
        <v>-17881.0439612816</v>
      </c>
      <c r="J17" s="4" t="n">
        <f aca="false">-J6*Assumptions!J46/100</f>
        <v>-17344.6126424432</v>
      </c>
      <c r="K17" s="4" t="n">
        <f aca="false">-K6*Assumptions!K46/100</f>
        <v>-16997.7203895943</v>
      </c>
      <c r="L17" s="4" t="n">
        <f aca="false">-L6*Assumptions!L46/100</f>
        <v>-16997.7203895943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-10199.115</v>
      </c>
      <c r="D18" s="4" t="n">
        <f aca="false">(D6-C6)*Assumptions!$B$51/100</f>
        <v>-7819.32150000001</v>
      </c>
      <c r="E18" s="4" t="n">
        <f aca="false">(E6-D6)*Assumptions!$B$51/100</f>
        <v>-7741.12828500001</v>
      </c>
      <c r="F18" s="4" t="n">
        <f aca="false">(F6-E6)*Assumptions!$B$51/100</f>
        <v>-7500.29318280001</v>
      </c>
      <c r="G18" s="4" t="n">
        <f aca="false">(G6-F6)*Assumptions!$B$51/100</f>
        <v>-6075.23747806801</v>
      </c>
      <c r="H18" s="4" t="n">
        <f aca="false">(H6-G6)*Assumptions!$B$51/100</f>
        <v>-2146.58390891736</v>
      </c>
      <c r="I18" s="4" t="n">
        <f aca="false">(I6-H6)*Assumptions!$B$51/100</f>
        <v>2189.51558709571</v>
      </c>
      <c r="J18" s="4" t="n">
        <f aca="false">(J6-I6)*Assumptions!$B$51/100</f>
        <v>3218.58791303069</v>
      </c>
      <c r="K18" s="4" t="n">
        <f aca="false">(K6-J6)*Assumptions!$B$51/100</f>
        <v>2081.35351709319</v>
      </c>
      <c r="L18" s="4" t="n">
        <f aca="false">(L6-K6)*Assumptions!$B$51/100</f>
        <v>-0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58840.280964</v>
      </c>
      <c r="D19" s="0" t="n">
        <f aca="false">D15+D16+D17+D18</f>
        <v>72826.0327224</v>
      </c>
      <c r="E19" s="0" t="n">
        <f aca="false">E15+E16+E17+E18</f>
        <v>83537.439749676</v>
      </c>
      <c r="F19" s="0" t="n">
        <f aca="false">F15+F16+F17+F18</f>
        <v>92862.6299548834</v>
      </c>
      <c r="G19" s="0" t="n">
        <f aca="false">G15+G16+G17+G18</f>
        <v>98105.6349013879</v>
      </c>
      <c r="H19" s="0" t="n">
        <f aca="false">H15+H16+H17+H18</f>
        <v>100067.302082001</v>
      </c>
      <c r="I19" s="0" t="n">
        <f aca="false">I15+I16+I17+I18</f>
        <v>97137.8590215011</v>
      </c>
      <c r="J19" s="0" t="n">
        <f aca="false">J15+J16+J17+J18</f>
        <v>90253.8541528105</v>
      </c>
      <c r="K19" s="0" t="n">
        <f aca="false">K15+K16+K17+K18</f>
        <v>84894.2472551966</v>
      </c>
      <c r="L19" s="0" t="n">
        <f aca="false">L15+L16+L17+L18</f>
        <v>80331.2265612227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54481.7416333333</v>
      </c>
      <c r="D21" s="0" t="n">
        <f aca="false">D19*D20</f>
        <v>62436.5849814815</v>
      </c>
      <c r="E21" s="0" t="n">
        <f aca="false">E19*E20</f>
        <v>66314.7130055727</v>
      </c>
      <c r="F21" s="0" t="n">
        <f aca="false">F19*F20</f>
        <v>68256.8052260294</v>
      </c>
      <c r="G21" s="0" t="n">
        <f aca="false">G19*G20</f>
        <v>66769.0466482127</v>
      </c>
      <c r="H21" s="0" t="n">
        <f aca="false">H19*H20</f>
        <v>63059.3744162132</v>
      </c>
      <c r="I21" s="0" t="n">
        <f aca="false">I19*I20</f>
        <v>56679.0077553731</v>
      </c>
      <c r="J21" s="0" t="n">
        <f aca="false">J19*J20</f>
        <v>48761.3491051429</v>
      </c>
      <c r="K21" s="0" t="n">
        <f aca="false">K19*K20</f>
        <v>42468.2595048148</v>
      </c>
      <c r="L21" s="0" t="n">
        <f aca="false">L19*L20</f>
        <v>37208.9010330137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0.5</v>
      </c>
      <c r="D23" s="4" t="n">
        <f aca="false">Assumptions!D44</f>
        <v>0.5</v>
      </c>
      <c r="E23" s="4" t="n">
        <f aca="false">Assumptions!E44</f>
        <v>0.5</v>
      </c>
      <c r="F23" s="4" t="n">
        <f aca="false">Assumptions!F44</f>
        <v>0.5</v>
      </c>
      <c r="G23" s="4" t="n">
        <f aca="false">Assumptions!G44</f>
        <v>0.5</v>
      </c>
      <c r="H23" s="4" t="n">
        <f aca="false">Assumptions!H44</f>
        <v>0.5</v>
      </c>
      <c r="I23" s="4" t="n">
        <f aca="false">Assumptions!I44</f>
        <v>0.5</v>
      </c>
      <c r="J23" s="4" t="n">
        <f aca="false">Assumptions!J44</f>
        <v>0.5</v>
      </c>
      <c r="K23" s="4" t="n">
        <f aca="false">Assumptions!K44</f>
        <v>0.5</v>
      </c>
      <c r="L23" s="4" t="n">
        <f aca="false">Assumptions!L44</f>
        <v>0.5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-2606.4405</v>
      </c>
      <c r="D24" s="0" t="n">
        <f aca="false">-D6*D23/100</f>
        <v>-2867.08455</v>
      </c>
      <c r="E24" s="0" t="n">
        <f aca="false">-E6*E23/100</f>
        <v>-3125.1221595</v>
      </c>
      <c r="F24" s="0" t="n">
        <f aca="false">-F6*F23/100</f>
        <v>-3375.13193226</v>
      </c>
      <c r="G24" s="0" t="n">
        <f aca="false">-G6*G23/100</f>
        <v>-3577.6398481956</v>
      </c>
      <c r="H24" s="0" t="n">
        <f aca="false">-H6*H23/100</f>
        <v>-3649.19264515951</v>
      </c>
      <c r="I24" s="0" t="n">
        <f aca="false">-I6*I23/100</f>
        <v>-3576.20879225632</v>
      </c>
      <c r="J24" s="0" t="n">
        <f aca="false">-J6*J23/100</f>
        <v>-3468.92252848863</v>
      </c>
      <c r="K24" s="0" t="n">
        <f aca="false">-K6*K23/100</f>
        <v>-3399.54407791886</v>
      </c>
      <c r="L24" s="0" t="n">
        <f aca="false">-L6*L23/100</f>
        <v>-3399.54407791886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1.5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566435.783309187</v>
      </c>
    </row>
    <row r="31" customFormat="false" ht="15" hidden="false" customHeight="false" outlineLevel="0" collapsed="false">
      <c r="A31" s="0" t="s">
        <v>129</v>
      </c>
      <c r="B31" s="0" t="n">
        <f aca="false">L19</f>
        <v>80331.2265612227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1254402.99937909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1124637.17185712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1124637.17185712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520924.614462192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1087360.39777138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1159624.39777138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2585.02561959589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0.371730230616021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2585.02561959589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603971.814515859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1421.91070102432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884.260768785831</v>
      </c>
      <c r="C4" s="0" t="n">
        <f aca="false">B4/Assumptions!$B$2-1</f>
        <v>-0.530771680134873</v>
      </c>
      <c r="D4" s="4" t="n">
        <f aca="false">Assumptions!$B$24</f>
        <v>0.3</v>
      </c>
      <c r="E4" s="4" t="n">
        <f aca="false">DCF_Bear!$B$43</f>
        <v>884.260768785831</v>
      </c>
      <c r="F4" s="4" t="n">
        <f aca="false">DCF_Bear!$B$47</f>
        <v>663.717591408189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1635.14725049388</v>
      </c>
      <c r="C5" s="0" t="n">
        <f aca="false">B5/Assumptions!$B$2-1</f>
        <v>-0.13231772327202</v>
      </c>
      <c r="D5" s="4" t="n">
        <f aca="false">Assumptions!$B$38</f>
        <v>0.5</v>
      </c>
      <c r="E5" s="4" t="n">
        <f aca="false">DCF_Base!$B$43</f>
        <v>1635.14725049388</v>
      </c>
      <c r="F5" s="4" t="n">
        <f aca="false">DCF_Base!$B$47</f>
        <v>1041.23335513299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2585.02561959589</v>
      </c>
      <c r="C6" s="0" t="n">
        <f aca="false">B6/Assumptions!$B$2-1</f>
        <v>0.371730230616021</v>
      </c>
      <c r="D6" s="4" t="n">
        <f aca="false">Assumptions!$B$52</f>
        <v>0.2</v>
      </c>
      <c r="E6" s="4" t="n">
        <f aca="false">DCF_Bull!$B$43</f>
        <v>2585.02561959589</v>
      </c>
      <c r="F6" s="4" t="n">
        <f aca="false">DCF_Bull!$B$47</f>
        <v>1421.91070102432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1599.85697980187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1599.85697980187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-0.177917791272433</v>
      </c>
    </row>
    <row r="11" customFormat="false" ht="15" hidden="false" customHeight="false" outlineLevel="0" collapsed="false">
      <c r="A11" s="0" t="s">
        <v>156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1004.11409519381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1635.14725049388</v>
      </c>
      <c r="C15" s="3" t="n">
        <v>8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1548.49296808566</v>
      </c>
      <c r="C16" s="3" t="n">
        <v>9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1440.0378125759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1331.26233679633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1240.83631009437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1041.23335513299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0</v>
      </c>
      <c r="C23" s="3" t="n">
        <v>0.5</v>
      </c>
      <c r="D23" s="3" t="n">
        <v>1</v>
      </c>
      <c r="E23" s="3" t="n">
        <v>1.5</v>
      </c>
      <c r="F23" s="3" t="n">
        <v>2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1832.56449368742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1832.56449368742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1832.56449368742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1832.56449368742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1832.56449368742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1729.55995544951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1729.55995544951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1729.55995544951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1729.55995544951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1729.55995544951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1635.14725049388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1635.14725049388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1635.14725049388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1635.14725049388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1635.14725049388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1512.41173790773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1541.32978268269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1548.49296808566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1548.49296808566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1548.49296808566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1394.75617105356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1416.20536966941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1440.0378125759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1466.67407229493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1468.85340263557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2026-10-31T03:17:51Z</dcterms:created>
  <dc:creator>openpyxl</dc:creator>
  <dc:description/>
  <dc:language>en-NZ</dc:language>
  <cp:lastModifiedBy/>
  <dcterms:modified xsi:type="dcterms:W3CDTF">2026-10-31T03:17:52Z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