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<sst xmlns="http://schemas.openxmlformats.org/spreadsheetml/2006/main" count="384" uniqueCount="176">
  <si>
    <t xml:space="preserve">Ticker</t>
  </si>
  <si>
    <t xml:space="preserve">SIE.DE</t>
  </si>
  <si>
    <t xml:space="preserve">Company</t>
  </si>
  <si>
    <t xml:space="preserve">Siemens AG</t>
  </si>
  <si>
    <t xml:space="preserve">Valuation date</t>
  </si>
  <si>
    <t xml:space="preserve">2026-10-25</t>
  </si>
  <si>
    <t xml:space="preserve">Current price</t>
  </si>
  <si>
    <t xml:space="preserve">Price as of</t>
  </si>
  <si>
    <t xml:space="preserve">2026-10-23T15:37:40Z (Xetra regular session, last trade before the weekend)</t>
  </si>
  <si>
    <t xml:space="preserve">Balance sheet date</t>
  </si>
  <si>
    <t xml:space="preserve">2026-06-30</t>
  </si>
  <si>
    <t xml:space="preserve">Model</t>
  </si>
  <si>
    <t xml:space="preserve">owner_fcf_dcf_component</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</si>
  <si>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</si>
  <si>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</si>
  <si>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</si>
  <si>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</si>
  <si>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</si>
  <si>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</si>
  <si>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</si>
  <si>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</si>
  <si>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2026-10-25T04:51:19Z</t>
  </si>
  <si>
    <t xml:space="preserve">Drivers file</t>
  </si>
  <si>
    <t xml:space="preserve">SIE.DE_Drivers.json</t>
  </si>
  <si>
    <t xml:space="preserve">Convention</t>
  </si>
  <si>
    <t xml:space="preserve">Percents stored as percents; formulas divide by 100. Blue = input, green = link, black = formula.</t>
  </si>
  <si>
    <t xml:space="preserve">Methodology</t>
  </si>
  <si>
    <t xml:space="preserve">summary: Siemens is valued as the sum of a core industrial (DI, SI, Mobility, corporate) on an owner-FCF basis plus its listed stakes at market and its captive lender at a multiple of earnings. The core flows exclude Healthineers entirely; the 67% SHL stake enters the bridge at market value together with an adjustment that removes SHL's net debt (mostly owed to Siemens) from consolidated industrial net debt. This makes the valuation invariant to the pending spin-off: distributing SHL shares moves value from the Siemens line to the shareholder's SHL holding without changing the total.
key_risks_to_valuation: SHL net debt estimate (EUR 11.0bn) is not from a local filing; +/- EUR 1bn = -/+ EUR 1.28/share; Healthineers stake is marked to SHL.DE's market price; a 10% move in SHL = EUR 4.1/share; Factory-automation cyclicality and Chinese competition in Digital Industries (bear axis); Terminal cap binds in base and bull: value is sensitive to the exit multiple chosen for a cyclical industrial; Q4 FY2026 cash item (EUR 3.5bn) is an estimate pending the FY2026 annual results; SBC for FY25/FY26 not in the extracted filings; 0.75% of core revenue is extrapolated from FY24</t>
  </si>
  <si>
    <t xml:space="preserve">Data sources</t>
  </si>
  <si>
    <t xml:space="preserve">price: Yahoo Finance chart API at inputs.price_as_of (SIE.DE, EUR, Xetra); 52-week range 198.0-291.7. SHL.DE and ENR.DE prices from the same endpoint at 2026-10-23 ~15:35-15:39Z for the stake marks.
financials: SIE.DE_Metrics.csv (core_metrics, EUR millions); Q3 FY2026 earnings release (segment, EBITDA reconciliation, balance sheet, cash flow, outlook); H1 FY2026 half-year report (notes 2, 3, 4, 8: SHL 67%, Siemens Energy stake, debt); Q4 FY2025 release (FY2025 segment and EBITDA tables); FY2024 Annual Report (note 26 SBC, note 28 EPS, note 29 segment capex).
qualitative: SIE.DE_Analysis.json (2026-10-25): business model, guidance (Q3 FY26: EPS pre PPA EUR 11.20-11.50, group comp revenue +6-8%), bull/bear cases, Healthineers spin-off timeline.</t>
  </si>
  <si>
    <t xml:space="preserve">Scenario narrative: bear</t>
  </si>
  <si>
    <t xml:space="preserve">Factory automation proves structurally impaired: Chinese low-cost rivals take share, European manufacturing stays weak, the data-centre order wave pauses after FY26's surge and a stronger euro (net exporter) cuts nominal growth. Core revenue is flat in FY28, margins fall to ~16.75% as volumes drop through restructuring, Mobility hits a fixed-price project overrun, and Altair/Dotmatics integration under-delivers. Recovery to only 17.5% pre-SBC and 2.5% growth; terminal cap 15x.</t>
  </si>
  <si>
    <t xml:space="preserve">Scenario narrative: base</t>
  </si>
  <si>
    <t xml:space="preserve">Electrification and data-centre power demand keep Smart Infrastructure growing high-single to double digits for two to three years, Digital Industries completes its recovery from the FY24-25 destocking downturn but faces Chinese competition (Inovance) in factory automation, and Mobility converts its backlog at 8-10% margins. Core revenue grows 6.5% in FY27 fading to 3%; the automation job cuts cost a year of margin and then lift core pre-SBC EBITDA to 19.5% with the software mix from Altair/Dotmatics. Healthineers is spun off at roughly today's market value.</t>
  </si>
  <si>
    <t xml:space="preserve">Scenario narrative: bull</t>
  </si>
  <si>
    <t xml:space="preserve">The data-centre/grid build-out proves a multi-year super-cycle (Q3 FY26 SI orders +40%), DI's software and industrial-AI push (Nvidia 'Industrial AI Operating System', Siemens Industrial Copilot, SaaS transition) lifts growth and mix, and the cost programme sticks: core grows 8.5% for two years and margins reach 21% pre-SBC, the kind of focused, higher-growth 'core' the post-spin re-rating thesis needs. Terminal cap 20x.</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</si>
  <si>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</si>
  <si>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</si>
  <si>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</si>
  <si>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</si>
  <si>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</si>
  <si>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</si>
  <si>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</si>
  <si>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</si>
  <si>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</si>
  <si>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</si>
  <si>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</si>
  <si>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</si>
  <si>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</si>
  <si>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</si>
  <si>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</si>
  <si>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</si>
  <si>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</si>
  <si>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</si>
  <si>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</si>
  <si>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</si>
  <si>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</si>
  <si>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</si>
  <si>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</si>
  <si>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</si>
  <si>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</si>
  <si>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</si>
  <si>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</si>
  <si>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EPSBasic</t>
  </si>
  <si>
    <t xml:space="preserve">NetIncomeInclNCI</t>
  </si>
  <si>
    <t xml:space="preserve">OrderIntake</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</si>
  <si>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</si>
  <si>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</si>
  <si>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</si>
  <si>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</si>
  <si>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</si>
  <si>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</si>
  <si>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</si>
  <si>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</si>
  <si>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</si>
  <si>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</si>
  <si>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</si>
  <si>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</si>
  <si>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</si>
  <si>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</si>
  <si>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</si>
  <si>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</si>
  <si>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</si>
  <si>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</si>
  <si>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</si>
  <si>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</si>
  <si>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</si>
  <si>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</si>
  <si>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</si>
  <si>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</si>
  <si>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</si>
  <si>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</si>
  <si>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t>
  </si>
  <si>
    <t xml:space="preserve">Currency / units</t>
  </si>
  <si>
    <t xml:space="preserve">EUR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</si>
  <si>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</si>
  <si>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</si>
  <si>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</si>
  <si>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</si>
  <si>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</si>
  <si>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</si>
  <si>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</si>
  <si>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</si>
  <si>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</si>
  <si>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</si>
  <si>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</si>
  <si>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</si>
  <si>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</si>
  <si>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</si>
  <si>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</si>
  <si>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</si>
  <si>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</si>
  <si>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</si>
  <si>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</si>
  <si>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</si>
  <si>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</si>
  <si>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</si>
  <si>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</si>
  <si>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</si>
  <si>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</si>
  <si>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</si>
  <si>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SIE.DE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</si>
  <si>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</si>
  <si>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</si>
  <si>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</si>
  <si>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</si>
  <si>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</si>
  <si>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</si>
  <si>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</si>
  <si>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</si>
  <si>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</si>
  <si>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</si>
  <si>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</si>
  <si>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</si>
  <si>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</si>
  <si>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</si>
  <si>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</si>
  <si>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</si>
  <si>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</si>
  <si>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</si>
  <si>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</si>
  <si>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</si>
  <si>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</si>
  <si>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</si>
  <si>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</si>
  <si>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</si>
  <si>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</si>
  <si>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</si>
  <si>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</si>
  <si>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</si>
  <si>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</si>
  <si>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</si>
  <si>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SIE.DE owner-FCF component DCF: base case (millions, EUR)</t>
  </si>
  <si>
    <t xml:space="preserve">SIE.DE owner-FCF component DCF: bull case (millions, EUR)</t>
  </si>
  <si>
    <t xml:space="preserve">SIE.DE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</si>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</sst>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256.8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row>
    <row r="2" customFormat="false" ht="15" hidden="false" customHeight="false" outlineLevel="0" collapsed="false">
      <c r="A2" s="0" t="s">
        <v>66</v>
      </c>
      <c r="B2" s="0" t="n">
        <v>76651</v>
      </c>
      <c r="C2" s="0" t="n">
        <v>55941</v>
      </c>
      <c r="D2" s="0" t="n">
        <v>20710</v>
      </c>
      <c r="E2" s="0" t="n">
        <v>27.02</v>
      </c>
      <c r="F2" s="0" t="n">
        <v>6347</v>
      </c>
      <c r="G2" s="0" t="n">
        <v>8.28</v>
      </c>
      <c r="I2" s="0" t="n">
        <v>2292</v>
      </c>
      <c r="J2" s="0" t="n">
        <v>2.99</v>
      </c>
      <c r="K2" s="0" t="n">
        <v>2.63</v>
      </c>
      <c r="L2" s="0" t="n">
        <v>6709</v>
      </c>
      <c r="M2" s="0" t="n">
        <v>2923</v>
      </c>
      <c r="N2" s="0" t="n">
        <v>3786</v>
      </c>
      <c r="O2" s="0" t="n">
        <v>26646</v>
      </c>
      <c r="P2" s="0" t="n">
        <v>94926</v>
      </c>
      <c r="Q2" s="0" t="n">
        <v>67639</v>
      </c>
      <c r="R2" s="0" t="n">
        <v>19638</v>
      </c>
      <c r="S2" s="0" t="n">
        <v>10159</v>
      </c>
      <c r="T2" s="0" t="n">
        <v>871.5</v>
      </c>
      <c r="AA2" s="0" t="s">
        <v>17</v>
      </c>
      <c r="AB2" s="0" t="s">
        <v>14</v>
      </c>
      <c r="AC2" s="0" t="n">
        <v>2.65</v>
      </c>
      <c r="AD2" s="0" t="n">
        <v>2497</v>
      </c>
    </row>
    <row r="3" customFormat="false" ht="15" hidden="false" customHeight="false" outlineLevel="0" collapsed="false">
      <c r="A3" s="0" t="s">
        <v>67</v>
      </c>
      <c r="B3" s="0" t="n">
        <v>75978</v>
      </c>
      <c r="C3" s="0" t="n">
        <v>54331</v>
      </c>
      <c r="D3" s="0" t="n">
        <v>21647</v>
      </c>
      <c r="E3" s="0" t="n">
        <v>28.49</v>
      </c>
      <c r="F3" s="0" t="n">
        <v>5916</v>
      </c>
      <c r="G3" s="0" t="n">
        <v>7.79</v>
      </c>
      <c r="I3" s="0" t="n">
        <v>3899</v>
      </c>
      <c r="J3" s="0" t="n">
        <v>5.13</v>
      </c>
      <c r="K3" s="0" t="n">
        <v>4.44</v>
      </c>
      <c r="L3" s="0" t="n">
        <v>9447</v>
      </c>
      <c r="M3" s="0" t="n">
        <v>1954</v>
      </c>
      <c r="N3" s="0" t="n">
        <v>7493</v>
      </c>
      <c r="O3" s="0" t="n">
        <v>28346</v>
      </c>
      <c r="P3" s="0" t="n">
        <v>102827</v>
      </c>
      <c r="Q3" s="0" t="n">
        <v>73731</v>
      </c>
      <c r="R3" s="0" t="n">
        <v>19913</v>
      </c>
      <c r="S3" s="0" t="n">
        <v>14108</v>
      </c>
      <c r="T3" s="0" t="n">
        <v>878.2</v>
      </c>
      <c r="AA3" s="0" t="s">
        <v>17</v>
      </c>
      <c r="AB3" s="0" t="s">
        <v>14</v>
      </c>
      <c r="AC3" s="0" t="n">
        <v>4.49</v>
      </c>
      <c r="AD3" s="0" t="n">
        <v>4068</v>
      </c>
    </row>
    <row r="4" customFormat="false" ht="15" hidden="false" customHeight="false" outlineLevel="0" collapsed="false">
      <c r="A4" s="0" t="s">
        <v>68</v>
      </c>
      <c r="B4" s="0" t="n">
        <v>73515</v>
      </c>
      <c r="C4" s="0" t="n">
        <v>51388</v>
      </c>
      <c r="D4" s="0" t="n">
        <v>22127</v>
      </c>
      <c r="E4" s="0" t="n">
        <v>30.1</v>
      </c>
      <c r="F4" s="0" t="n">
        <v>7958</v>
      </c>
      <c r="G4" s="0" t="n">
        <v>10.83</v>
      </c>
      <c r="I4" s="0" t="n">
        <v>6145</v>
      </c>
      <c r="J4" s="0" t="n">
        <v>8.36</v>
      </c>
      <c r="K4" s="0" t="n">
        <v>6.96</v>
      </c>
      <c r="L4" s="0" t="n">
        <v>8056</v>
      </c>
      <c r="M4" s="0" t="n">
        <v>2171</v>
      </c>
      <c r="N4" s="0" t="n">
        <v>5885</v>
      </c>
      <c r="O4" s="0" t="n">
        <v>31530</v>
      </c>
      <c r="P4" s="0" t="n">
        <v>104243</v>
      </c>
      <c r="Q4" s="0" t="n">
        <v>72087</v>
      </c>
      <c r="R4" s="0" t="n">
        <v>17940</v>
      </c>
      <c r="S4" s="0" t="n">
        <v>12468</v>
      </c>
      <c r="T4" s="0" t="n">
        <v>882.9</v>
      </c>
      <c r="AA4" s="0" t="s">
        <v>17</v>
      </c>
      <c r="AB4" s="0" t="s">
        <v>14</v>
      </c>
      <c r="AC4" s="0" t="n">
        <v>7.04</v>
      </c>
      <c r="AD4" s="0" t="n">
        <v>6321</v>
      </c>
    </row>
    <row r="5" customFormat="false" ht="15" hidden="false" customHeight="false" outlineLevel="0" collapsed="false">
      <c r="A5" s="0" t="s">
        <v>69</v>
      </c>
      <c r="B5" s="0" t="n">
        <v>78296</v>
      </c>
      <c r="C5" s="0" t="n">
        <v>56092</v>
      </c>
      <c r="D5" s="0" t="n">
        <v>22204</v>
      </c>
      <c r="E5" s="0" t="n">
        <v>28.36</v>
      </c>
      <c r="F5" s="0" t="n">
        <v>7044</v>
      </c>
      <c r="G5" s="0" t="n">
        <v>9</v>
      </c>
      <c r="I5" s="0" t="n">
        <v>4458</v>
      </c>
      <c r="J5" s="0" t="n">
        <v>5.69</v>
      </c>
      <c r="K5" s="0" t="n">
        <v>5.04</v>
      </c>
      <c r="L5" s="0" t="n">
        <v>6996</v>
      </c>
      <c r="M5" s="0" t="n">
        <v>2206</v>
      </c>
      <c r="N5" s="0" t="n">
        <v>4790</v>
      </c>
      <c r="O5" s="0" t="n">
        <v>30733</v>
      </c>
      <c r="P5" s="0" t="n">
        <v>108282</v>
      </c>
      <c r="Q5" s="0" t="n">
        <v>76980</v>
      </c>
      <c r="R5" s="0" t="n">
        <v>20706</v>
      </c>
      <c r="S5" s="0" t="n">
        <v>10891</v>
      </c>
      <c r="T5" s="0" t="n">
        <v>884.5</v>
      </c>
      <c r="AA5" s="0" t="s">
        <v>17</v>
      </c>
      <c r="AB5" s="0" t="s">
        <v>14</v>
      </c>
      <c r="AC5" s="0" t="n">
        <v>5.09</v>
      </c>
      <c r="AD5" s="0" t="n">
        <v>4590</v>
      </c>
    </row>
    <row r="6" customFormat="false" ht="15" hidden="false" customHeight="false" outlineLevel="0" collapsed="false">
      <c r="A6" s="0" t="s">
        <v>70</v>
      </c>
      <c r="B6" s="0" t="n">
        <v>75882</v>
      </c>
      <c r="C6" s="0" t="n">
        <v>55053</v>
      </c>
      <c r="D6" s="0" t="n">
        <v>20829</v>
      </c>
      <c r="E6" s="0" t="n">
        <v>27.45</v>
      </c>
      <c r="F6" s="0" t="n">
        <v>5328</v>
      </c>
      <c r="G6" s="0" t="n">
        <v>7.02</v>
      </c>
      <c r="I6" s="0" t="n">
        <v>4284</v>
      </c>
      <c r="J6" s="0" t="n">
        <v>5.65</v>
      </c>
      <c r="K6" s="0" t="n">
        <v>5.03</v>
      </c>
      <c r="L6" s="0" t="n">
        <v>7126</v>
      </c>
      <c r="M6" s="0" t="n">
        <v>1869</v>
      </c>
      <c r="N6" s="0" t="n">
        <v>5257</v>
      </c>
      <c r="O6" s="0" t="n">
        <v>28111</v>
      </c>
      <c r="P6" s="0" t="n">
        <v>101936</v>
      </c>
      <c r="Q6" s="0" t="n">
        <v>73311</v>
      </c>
      <c r="R6" s="0" t="n">
        <v>20453</v>
      </c>
      <c r="S6" s="0" t="n">
        <v>9190</v>
      </c>
      <c r="T6" s="0" t="n">
        <v>851.7</v>
      </c>
      <c r="AA6" s="0" t="s">
        <v>17</v>
      </c>
      <c r="AB6" s="0" t="s">
        <v>14</v>
      </c>
      <c r="AC6" s="0" t="n">
        <v>5.08</v>
      </c>
      <c r="AD6" s="0" t="n">
        <v>4409</v>
      </c>
    </row>
    <row r="7" customFormat="false" ht="15" hidden="false" customHeight="false" outlineLevel="0" collapsed="false">
      <c r="A7" s="0" t="s">
        <v>71</v>
      </c>
      <c r="B7" s="0" t="n">
        <v>71920</v>
      </c>
      <c r="C7" s="0" t="n">
        <v>51165</v>
      </c>
      <c r="D7" s="0" t="n">
        <v>20755</v>
      </c>
      <c r="E7" s="0" t="n">
        <v>28.86</v>
      </c>
      <c r="I7" s="0" t="n">
        <v>5373</v>
      </c>
      <c r="J7" s="0" t="n">
        <v>7.47</v>
      </c>
      <c r="K7" s="0" t="n">
        <v>6.31</v>
      </c>
      <c r="L7" s="0" t="n">
        <v>7230</v>
      </c>
      <c r="M7" s="0" t="n">
        <v>1831</v>
      </c>
      <c r="N7" s="0" t="n">
        <v>5399</v>
      </c>
      <c r="O7" s="0" t="n">
        <v>30954</v>
      </c>
      <c r="P7" s="0" t="n">
        <v>104879</v>
      </c>
      <c r="Q7" s="0" t="n">
        <v>73365</v>
      </c>
      <c r="R7" s="0" t="n">
        <v>20946</v>
      </c>
      <c r="S7" s="0" t="n">
        <v>8013</v>
      </c>
      <c r="T7" s="0" t="n">
        <v>851.5</v>
      </c>
      <c r="AA7" s="0" t="s">
        <v>17</v>
      </c>
      <c r="AB7" s="0" t="s">
        <v>14</v>
      </c>
      <c r="AC7" s="0" t="n">
        <v>6.37</v>
      </c>
      <c r="AD7" s="0" t="n">
        <v>5507</v>
      </c>
    </row>
    <row r="8" customFormat="false" ht="15" hidden="false" customHeight="false" outlineLevel="0" collapsed="false">
      <c r="A8" s="0" t="s">
        <v>72</v>
      </c>
      <c r="B8" s="0" t="n">
        <v>75636</v>
      </c>
      <c r="C8" s="0" t="n">
        <v>53789</v>
      </c>
      <c r="D8" s="0" t="n">
        <v>21847</v>
      </c>
      <c r="E8" s="0" t="n">
        <v>28.88</v>
      </c>
      <c r="F8" s="0" t="n">
        <v>6042</v>
      </c>
      <c r="G8" s="0" t="n">
        <v>7.99</v>
      </c>
      <c r="H8" s="0" t="n">
        <v>9825</v>
      </c>
      <c r="I8" s="0" t="n">
        <v>7282</v>
      </c>
      <c r="J8" s="0" t="n">
        <v>9.63</v>
      </c>
      <c r="K8" s="0" t="n">
        <v>8.74</v>
      </c>
      <c r="L8" s="0" t="n">
        <v>6881</v>
      </c>
      <c r="M8" s="0" t="n">
        <v>1897</v>
      </c>
      <c r="N8" s="0" t="n">
        <v>4984</v>
      </c>
      <c r="O8" s="0" t="n">
        <v>34474</v>
      </c>
      <c r="P8" s="0" t="n">
        <v>120348</v>
      </c>
      <c r="Q8" s="0" t="n">
        <v>85292</v>
      </c>
      <c r="R8" s="0" t="n">
        <v>29661</v>
      </c>
      <c r="S8" s="0" t="n">
        <v>9957</v>
      </c>
      <c r="T8" s="0" t="n">
        <v>833.2</v>
      </c>
      <c r="AA8" s="0" t="s">
        <v>17</v>
      </c>
      <c r="AB8" s="0" t="s">
        <v>14</v>
      </c>
      <c r="AC8" s="0" t="n">
        <v>8.84</v>
      </c>
      <c r="AD8" s="0" t="n">
        <v>7380</v>
      </c>
    </row>
    <row r="9" customFormat="false" ht="15" hidden="false" customHeight="false" outlineLevel="0" collapsed="false">
      <c r="A9" s="0" t="s">
        <v>73</v>
      </c>
      <c r="B9" s="0" t="n">
        <v>79644</v>
      </c>
      <c r="C9" s="0" t="n">
        <v>55826</v>
      </c>
      <c r="D9" s="0" t="n">
        <v>23819</v>
      </c>
      <c r="E9" s="0" t="n">
        <v>29.91</v>
      </c>
      <c r="F9" s="0" t="n">
        <v>7319</v>
      </c>
      <c r="G9" s="0" t="n">
        <v>9.19</v>
      </c>
      <c r="H9" s="0" t="n">
        <v>10216</v>
      </c>
      <c r="I9" s="0" t="n">
        <v>5450</v>
      </c>
      <c r="J9" s="0" t="n">
        <v>6.84</v>
      </c>
      <c r="K9" s="0" t="n">
        <v>6.65</v>
      </c>
      <c r="L9" s="0" t="n">
        <v>7668</v>
      </c>
      <c r="M9" s="0" t="n">
        <v>2135</v>
      </c>
      <c r="N9" s="0" t="n">
        <v>5533</v>
      </c>
      <c r="O9" s="0" t="n">
        <v>34211</v>
      </c>
      <c r="P9" s="0" t="n">
        <v>125717</v>
      </c>
      <c r="Q9" s="0" t="n">
        <v>90901</v>
      </c>
      <c r="R9" s="0" t="n">
        <v>30967</v>
      </c>
      <c r="S9" s="0" t="n">
        <v>10604</v>
      </c>
      <c r="T9" s="0" t="n">
        <v>819.5</v>
      </c>
      <c r="AA9" s="0" t="s">
        <v>17</v>
      </c>
      <c r="AB9" s="0" t="s">
        <v>14</v>
      </c>
      <c r="AC9" s="0" t="n">
        <v>6.74</v>
      </c>
      <c r="AD9" s="0" t="n">
        <v>5584</v>
      </c>
    </row>
    <row r="10" customFormat="false" ht="15" hidden="false" customHeight="false" outlineLevel="0" collapsed="false">
      <c r="A10" s="0" t="s">
        <v>74</v>
      </c>
      <c r="B10" s="0" t="n">
        <v>83049</v>
      </c>
      <c r="C10" s="0" t="n">
        <v>58021</v>
      </c>
      <c r="D10" s="0" t="n">
        <v>25029</v>
      </c>
      <c r="E10" s="0" t="n">
        <v>30.14</v>
      </c>
      <c r="F10" s="0" t="n">
        <v>7692</v>
      </c>
      <c r="G10" s="0" t="n">
        <v>9.26</v>
      </c>
      <c r="H10" s="0" t="n">
        <v>10946</v>
      </c>
      <c r="I10" s="0" t="n">
        <v>6046</v>
      </c>
      <c r="J10" s="0" t="n">
        <v>7.28</v>
      </c>
      <c r="K10" s="0" t="n">
        <v>7.29</v>
      </c>
      <c r="L10" s="0" t="n">
        <v>7225</v>
      </c>
      <c r="M10" s="0" t="n">
        <v>2406</v>
      </c>
      <c r="N10" s="0" t="n">
        <v>4819</v>
      </c>
      <c r="O10" s="0" t="n">
        <v>43089</v>
      </c>
      <c r="P10" s="0" t="n">
        <v>133804</v>
      </c>
      <c r="Q10" s="0" t="n">
        <v>89277</v>
      </c>
      <c r="R10" s="0" t="n">
        <v>32224</v>
      </c>
      <c r="S10" s="0" t="n">
        <v>8375</v>
      </c>
      <c r="T10" s="0" t="n">
        <v>829.4</v>
      </c>
      <c r="AA10" s="0" t="s">
        <v>17</v>
      </c>
      <c r="AB10" s="0" t="s">
        <v>14</v>
      </c>
      <c r="AC10" s="0" t="n">
        <v>7.44</v>
      </c>
      <c r="AD10" s="0" t="n">
        <v>6179</v>
      </c>
    </row>
    <row r="11" customFormat="false" ht="15" hidden="false" customHeight="false" outlineLevel="0" collapsed="false">
      <c r="A11" s="0" t="s">
        <v>75</v>
      </c>
      <c r="B11" s="0" t="n">
        <v>83044</v>
      </c>
      <c r="C11" s="0" t="n">
        <v>58181</v>
      </c>
      <c r="D11" s="0" t="n">
        <v>24863</v>
      </c>
      <c r="E11" s="0" t="n">
        <v>29.94</v>
      </c>
      <c r="F11" s="0" t="n">
        <v>6186</v>
      </c>
      <c r="G11" s="0" t="n">
        <v>7.45</v>
      </c>
      <c r="H11" s="0" t="n">
        <v>9602</v>
      </c>
      <c r="I11" s="0" t="n">
        <v>5807</v>
      </c>
      <c r="J11" s="0" t="n">
        <v>6.99</v>
      </c>
      <c r="K11" s="0" t="n">
        <v>7.01</v>
      </c>
      <c r="L11" s="0" t="n">
        <v>8415</v>
      </c>
      <c r="M11" s="0" t="n">
        <v>2602</v>
      </c>
      <c r="N11" s="0" t="n">
        <v>5813</v>
      </c>
      <c r="O11" s="0" t="n">
        <v>45474</v>
      </c>
      <c r="P11" s="0" t="n">
        <v>138915</v>
      </c>
      <c r="Q11" s="0" t="n">
        <v>90869</v>
      </c>
      <c r="R11" s="0" t="n">
        <v>32177</v>
      </c>
      <c r="S11" s="0" t="n">
        <v>11066</v>
      </c>
      <c r="T11" s="0" t="n">
        <v>828.4</v>
      </c>
      <c r="AA11" s="0" t="s">
        <v>17</v>
      </c>
      <c r="AB11" s="0" t="s">
        <v>14</v>
      </c>
      <c r="AC11" s="0" t="n">
        <v>7.12</v>
      </c>
      <c r="AD11" s="0" t="n">
        <v>6120</v>
      </c>
    </row>
    <row r="12" customFormat="false" ht="15" hidden="false" customHeight="false" outlineLevel="0" collapsed="false">
      <c r="A12" s="0" t="s">
        <v>76</v>
      </c>
      <c r="B12" s="0" t="n">
        <v>86849</v>
      </c>
      <c r="C12" s="0" t="n">
        <v>60922</v>
      </c>
      <c r="D12" s="0" t="n">
        <v>25927</v>
      </c>
      <c r="E12" s="0" t="n">
        <v>29.85</v>
      </c>
      <c r="F12" s="0" t="n">
        <v>6888</v>
      </c>
      <c r="G12" s="0" t="n">
        <v>7.93</v>
      </c>
      <c r="H12" s="0" t="n">
        <v>10582</v>
      </c>
      <c r="I12" s="0" t="n">
        <v>5174</v>
      </c>
      <c r="J12" s="0" t="n">
        <v>5.96</v>
      </c>
      <c r="K12" s="0" t="n">
        <v>6.32</v>
      </c>
      <c r="L12" s="0" t="n">
        <v>8482</v>
      </c>
      <c r="M12" s="0" t="n">
        <v>2610</v>
      </c>
      <c r="N12" s="0" t="n">
        <v>5872</v>
      </c>
      <c r="O12" s="0" t="n">
        <v>48125</v>
      </c>
      <c r="P12" s="0" t="n">
        <v>150248</v>
      </c>
      <c r="Q12" s="0" t="n">
        <v>99264</v>
      </c>
      <c r="R12" s="0" t="n">
        <v>36448</v>
      </c>
      <c r="S12" s="0" t="n">
        <v>12391</v>
      </c>
      <c r="T12" s="0" t="n">
        <v>818.7</v>
      </c>
      <c r="AA12" s="0" t="s">
        <v>17</v>
      </c>
      <c r="AB12" s="0" t="s">
        <v>14</v>
      </c>
      <c r="AC12" s="0" t="n">
        <v>6.41</v>
      </c>
      <c r="AD12" s="0" t="n">
        <v>5648</v>
      </c>
    </row>
    <row r="13" customFormat="false" ht="15" hidden="false" customHeight="false" outlineLevel="0" collapsed="false">
      <c r="A13" s="0" t="s">
        <v>77</v>
      </c>
      <c r="B13" s="0" t="n">
        <v>57139</v>
      </c>
      <c r="C13" s="0" t="n">
        <v>36953</v>
      </c>
      <c r="D13" s="0" t="n">
        <v>20187</v>
      </c>
      <c r="E13" s="0" t="n">
        <v>35.33</v>
      </c>
      <c r="F13" s="0" t="n">
        <v>5040</v>
      </c>
      <c r="G13" s="0" t="n">
        <v>8.82</v>
      </c>
      <c r="H13" s="0" t="n">
        <v>7601</v>
      </c>
      <c r="I13" s="0" t="n">
        <v>4030</v>
      </c>
      <c r="J13" s="0" t="n">
        <v>7.05</v>
      </c>
      <c r="K13" s="0" t="n">
        <v>4.93</v>
      </c>
      <c r="L13" s="0" t="n">
        <v>8178</v>
      </c>
      <c r="M13" s="0" t="n">
        <v>1554</v>
      </c>
      <c r="N13" s="0" t="n">
        <v>6624</v>
      </c>
      <c r="O13" s="0" t="n">
        <v>36390</v>
      </c>
      <c r="P13" s="0" t="n">
        <v>123897</v>
      </c>
      <c r="Q13" s="0" t="n">
        <v>84074</v>
      </c>
      <c r="R13" s="0" t="n">
        <v>44567</v>
      </c>
      <c r="S13" s="0" t="n">
        <v>14041</v>
      </c>
      <c r="T13" s="0" t="n">
        <v>817.4</v>
      </c>
      <c r="AA13" s="0" t="s">
        <v>17</v>
      </c>
      <c r="AB13" s="0" t="s">
        <v>14</v>
      </c>
      <c r="AC13" s="0" t="n">
        <v>5</v>
      </c>
      <c r="AD13" s="0" t="n">
        <v>4200</v>
      </c>
    </row>
    <row r="14" customFormat="false" ht="15" hidden="false" customHeight="false" outlineLevel="0" collapsed="false">
      <c r="A14" s="0" t="s">
        <v>78</v>
      </c>
      <c r="B14" s="0" t="n">
        <v>62265</v>
      </c>
      <c r="C14" s="0" t="n">
        <v>39527</v>
      </c>
      <c r="D14" s="0" t="n">
        <v>22737</v>
      </c>
      <c r="E14" s="0" t="n">
        <v>36.52</v>
      </c>
      <c r="F14" s="0" t="n">
        <v>6494</v>
      </c>
      <c r="G14" s="0" t="n">
        <v>10.43</v>
      </c>
      <c r="H14" s="0" t="n">
        <v>9091</v>
      </c>
      <c r="I14" s="0" t="n">
        <v>6161</v>
      </c>
      <c r="J14" s="0" t="n">
        <v>9.89</v>
      </c>
      <c r="K14" s="0" t="n">
        <v>7.59</v>
      </c>
      <c r="L14" s="0" t="n">
        <v>10109</v>
      </c>
      <c r="M14" s="0" t="n">
        <v>1730</v>
      </c>
      <c r="N14" s="0" t="n">
        <v>8379</v>
      </c>
      <c r="O14" s="0" t="n">
        <v>44373</v>
      </c>
      <c r="P14" s="0" t="n">
        <v>139608</v>
      </c>
      <c r="Q14" s="0" t="n">
        <v>90334</v>
      </c>
      <c r="R14" s="0" t="n">
        <v>48700</v>
      </c>
      <c r="S14" s="0" t="n">
        <v>9545</v>
      </c>
      <c r="T14" s="0" t="n">
        <v>811.7</v>
      </c>
      <c r="AA14" s="0" t="s">
        <v>17</v>
      </c>
      <c r="AB14" s="0" t="s">
        <v>14</v>
      </c>
      <c r="AC14" s="0" t="n">
        <v>7.68</v>
      </c>
      <c r="AD14" s="0" t="n">
        <v>6697</v>
      </c>
    </row>
    <row r="15" customFormat="false" ht="15" hidden="false" customHeight="false" outlineLevel="0" collapsed="false">
      <c r="A15" s="0" t="s">
        <v>79</v>
      </c>
      <c r="B15" s="0" t="n">
        <v>71977</v>
      </c>
      <c r="C15" s="0" t="n">
        <v>46130</v>
      </c>
      <c r="D15" s="0" t="n">
        <v>25847</v>
      </c>
      <c r="E15" s="0" t="n">
        <v>35.91</v>
      </c>
      <c r="F15" s="0" t="n">
        <v>9285</v>
      </c>
      <c r="G15" s="0" t="n">
        <v>12.9</v>
      </c>
      <c r="H15" s="0" t="n">
        <v>10759</v>
      </c>
      <c r="I15" s="0" t="n">
        <v>3723</v>
      </c>
      <c r="J15" s="0" t="n">
        <v>5.17</v>
      </c>
      <c r="K15" s="0" t="n">
        <v>4.59</v>
      </c>
      <c r="L15" s="0" t="n">
        <v>10322</v>
      </c>
      <c r="M15" s="0" t="n">
        <v>2084</v>
      </c>
      <c r="N15" s="0" t="n">
        <v>8238</v>
      </c>
      <c r="O15" s="0" t="n">
        <v>48895</v>
      </c>
      <c r="P15" s="0" t="n">
        <v>151502</v>
      </c>
      <c r="Q15" s="0" t="n">
        <v>96697</v>
      </c>
      <c r="R15" s="0" t="n">
        <v>50636</v>
      </c>
      <c r="S15" s="0" t="n">
        <v>10465</v>
      </c>
      <c r="T15" s="0" t="n">
        <v>811.1</v>
      </c>
      <c r="AA15" s="0" t="s">
        <v>17</v>
      </c>
      <c r="AB15" s="0" t="s">
        <v>14</v>
      </c>
      <c r="AC15" s="0" t="n">
        <v>4.65</v>
      </c>
      <c r="AD15" s="0" t="n">
        <v>4392</v>
      </c>
    </row>
    <row r="16" customFormat="false" ht="15" hidden="false" customHeight="false" outlineLevel="0" collapsed="false">
      <c r="A16" s="0" t="s">
        <v>80</v>
      </c>
      <c r="B16" s="0" t="n">
        <v>77769</v>
      </c>
      <c r="C16" s="0" t="n">
        <v>48116</v>
      </c>
      <c r="D16" s="0" t="n">
        <v>29653</v>
      </c>
      <c r="E16" s="0" t="n">
        <v>38.13</v>
      </c>
      <c r="F16" s="0" t="n">
        <v>9649</v>
      </c>
      <c r="G16" s="0" t="n">
        <v>12.41</v>
      </c>
      <c r="H16" s="0" t="n">
        <v>14163</v>
      </c>
      <c r="I16" s="0" t="n">
        <v>7949</v>
      </c>
      <c r="J16" s="0" t="n">
        <v>10.22</v>
      </c>
      <c r="K16" s="0" t="n">
        <v>9.91</v>
      </c>
      <c r="L16" s="0" t="n">
        <v>12281</v>
      </c>
      <c r="M16" s="0" t="n">
        <v>2218</v>
      </c>
      <c r="N16" s="0" t="n">
        <v>10063</v>
      </c>
      <c r="O16" s="0" t="n">
        <v>47791</v>
      </c>
      <c r="P16" s="0" t="n">
        <v>145067</v>
      </c>
      <c r="Q16" s="0" t="n">
        <v>92007</v>
      </c>
      <c r="R16" s="0" t="n">
        <v>46596</v>
      </c>
      <c r="S16" s="0" t="n">
        <v>10084</v>
      </c>
      <c r="T16" s="0" t="n">
        <v>802.1</v>
      </c>
      <c r="AA16" s="0" t="s">
        <v>17</v>
      </c>
      <c r="AB16" s="0" t="s">
        <v>14</v>
      </c>
      <c r="AC16" s="0" t="n">
        <v>10.04</v>
      </c>
      <c r="AD16" s="0" t="n">
        <v>8529</v>
      </c>
    </row>
    <row r="17" customFormat="false" ht="15" hidden="false" customHeight="false" outlineLevel="0" collapsed="false">
      <c r="A17" s="0" t="s">
        <v>81</v>
      </c>
      <c r="B17" s="0" t="n">
        <v>75930</v>
      </c>
      <c r="C17" s="0" t="n">
        <v>46107</v>
      </c>
      <c r="D17" s="0" t="n">
        <v>29823</v>
      </c>
      <c r="E17" s="0" t="n">
        <v>39.28</v>
      </c>
      <c r="F17" s="0" t="n">
        <v>9593</v>
      </c>
      <c r="G17" s="0" t="n">
        <v>12.63</v>
      </c>
      <c r="H17" s="0" t="n">
        <v>13577</v>
      </c>
      <c r="I17" s="0" t="n">
        <v>8301</v>
      </c>
      <c r="J17" s="0" t="n">
        <v>10.93</v>
      </c>
      <c r="K17" s="0" t="n">
        <v>10.38</v>
      </c>
      <c r="L17" s="0" t="n">
        <v>11814</v>
      </c>
      <c r="M17" s="0" t="n">
        <v>2088</v>
      </c>
      <c r="N17" s="0" t="n">
        <v>9726</v>
      </c>
      <c r="O17" s="0" t="n">
        <v>51264</v>
      </c>
      <c r="P17" s="0" t="n">
        <v>147812</v>
      </c>
      <c r="Q17" s="0" t="n">
        <v>91581</v>
      </c>
      <c r="R17" s="0" t="n">
        <v>47919</v>
      </c>
      <c r="S17" s="0" t="n">
        <v>9156</v>
      </c>
      <c r="T17" s="0" t="n">
        <v>799.7</v>
      </c>
      <c r="AA17" s="0" t="s">
        <v>17</v>
      </c>
      <c r="AB17" s="0" t="s">
        <v>14</v>
      </c>
      <c r="AC17" s="0" t="n">
        <v>10.53</v>
      </c>
      <c r="AD17" s="0" t="n">
        <v>8992</v>
      </c>
    </row>
    <row r="18" customFormat="false" ht="15" hidden="false" customHeight="false" outlineLevel="0" collapsed="false">
      <c r="A18" s="0" t="s">
        <v>82</v>
      </c>
      <c r="B18" s="0" t="n">
        <v>78914</v>
      </c>
      <c r="C18" s="0" t="n">
        <v>48515</v>
      </c>
      <c r="D18" s="0" t="n">
        <v>30399</v>
      </c>
      <c r="E18" s="0" t="n">
        <v>38.52</v>
      </c>
      <c r="F18" s="0" t="n">
        <v>9594</v>
      </c>
      <c r="G18" s="0" t="n">
        <v>12.16</v>
      </c>
      <c r="I18" s="0" t="n">
        <v>9620</v>
      </c>
      <c r="J18" s="0" t="n">
        <v>12.19</v>
      </c>
      <c r="K18" s="0" t="n">
        <v>12.11</v>
      </c>
      <c r="L18" s="0" t="n">
        <v>13448</v>
      </c>
      <c r="M18" s="0" t="n">
        <v>2445</v>
      </c>
      <c r="N18" s="0" t="n">
        <v>11003</v>
      </c>
      <c r="O18" s="0" t="n">
        <v>62244</v>
      </c>
      <c r="P18" s="0" t="n">
        <v>166202</v>
      </c>
      <c r="Q18" s="0" t="n">
        <v>97831</v>
      </c>
      <c r="R18" s="0" t="n">
        <v>56015</v>
      </c>
      <c r="S18" s="0" t="n">
        <v>14495</v>
      </c>
      <c r="T18" s="0" t="n">
        <v>794.4</v>
      </c>
      <c r="AA18" s="0" t="s">
        <v>17</v>
      </c>
      <c r="AB18" s="0" t="s">
        <v>14</v>
      </c>
      <c r="AC18" s="0" t="n">
        <v>12.25</v>
      </c>
      <c r="AD18" s="0" t="n">
        <v>10387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256.8</v>
      </c>
    </row>
    <row r="3" customFormat="false" ht="15" hidden="false" customHeight="false" outlineLevel="0" collapsed="false">
      <c r="A3" s="0" t="s">
        <v>86</v>
      </c>
      <c r="B3" s="3" t="n">
        <v>780</v>
      </c>
    </row>
    <row r="4" customFormat="false" ht="15" hidden="false" customHeight="false" outlineLevel="0" collapsed="false">
      <c r="A4" s="0" t="s">
        <v>87</v>
      </c>
      <c r="B4" s="3" t="n">
        <v>-1658</v>
      </c>
    </row>
    <row r="5" customFormat="false" ht="15" hidden="false" customHeight="false" outlineLevel="0" collapsed="false">
      <c r="A5" s="0" t="s">
        <v>88</v>
      </c>
      <c r="B5" s="3" t="n">
        <v>40308</v>
      </c>
    </row>
    <row r="6" customFormat="false" ht="15" hidden="false" customHeight="false" outlineLevel="0" collapsed="false">
      <c r="A6" s="0" t="s">
        <v>89</v>
      </c>
      <c r="B6" s="3" t="n">
        <v>15</v>
      </c>
    </row>
    <row r="7" customFormat="false" ht="15" hidden="false" customHeight="false" outlineLevel="0" collapsed="false">
      <c r="A7" s="0" t="s">
        <v>90</v>
      </c>
      <c r="B7" s="3" t="n">
        <v>59000</v>
      </c>
    </row>
    <row r="8" customFormat="false" ht="15" hidden="false" customHeight="false" outlineLevel="0" collapsed="false">
      <c r="A8" s="0" t="s">
        <v>91</v>
      </c>
      <c r="B8" s="3" t="s">
        <v>92</v>
      </c>
    </row>
    <row r="9" customFormat="false" ht="15" hidden="false" customHeight="false" outlineLevel="0" collapsed="false">
      <c r="A9" s="0" t="s">
        <v>93</v>
      </c>
      <c r="B9" s="3" t="s">
        <v>94</v>
      </c>
    </row>
    <row r="10" customFormat="false" ht="15" hidden="false" customHeight="false" outlineLevel="0" collapsed="false">
      <c r="A10" s="0" t="s">
        <v>95</v>
      </c>
      <c r="B10" s="3" t="n">
        <v>1</v>
      </c>
    </row>
    <row r="12" customFormat="false" ht="15" hidden="false" customHeight="false" outlineLevel="0" collapsed="false">
      <c r="A12" s="2" t="s">
        <v>96</v>
      </c>
      <c r="C12" s="2" t="s">
        <v>97</v>
      </c>
      <c r="D12" s="2" t="s">
        <v>98</v>
      </c>
      <c r="E12" s="2" t="s">
        <v>99</v>
      </c>
      <c r="F12" s="2" t="s">
        <v>100</v>
      </c>
      <c r="G12" s="2" t="s">
        <v>101</v>
      </c>
      <c r="H12" s="2" t="s">
        <v>102</v>
      </c>
      <c r="I12" s="2" t="s">
        <v>103</v>
      </c>
      <c r="J12" s="2" t="s">
        <v>104</v>
      </c>
      <c r="K12" s="2" t="s">
        <v>105</v>
      </c>
      <c r="L12" s="2" t="s">
        <v>106</v>
      </c>
    </row>
    <row r="13" customFormat="false" ht="15" hidden="false" customHeight="false" outlineLevel="0" collapsed="false">
      <c r="A13" s="0" t="s">
        <v>107</v>
      </c>
      <c r="C13" s="3" t="n">
        <v>3</v>
      </c>
      <c r="D13" s="3" t="n">
        <v>0</v>
      </c>
      <c r="E13" s="3" t="n">
        <v>2</v>
      </c>
      <c r="F13" s="3" t="n">
        <v>3</v>
      </c>
      <c r="G13" s="3" t="n">
        <v>3.5</v>
      </c>
      <c r="H13" s="3" t="n">
        <v>3</v>
      </c>
      <c r="I13" s="3" t="n">
        <v>3</v>
      </c>
      <c r="J13" s="3" t="n">
        <v>2.5</v>
      </c>
      <c r="K13" s="3" t="n">
        <v>2.5</v>
      </c>
      <c r="L13" s="3" t="n">
        <v>2.5</v>
      </c>
    </row>
    <row r="14" customFormat="false" ht="15" hidden="false" customHeight="false" outlineLevel="0" collapsed="false">
      <c r="A14" s="0" t="s">
        <v>108</v>
      </c>
      <c r="C14" s="3" t="n">
        <v>17.75</v>
      </c>
      <c r="D14" s="3" t="n">
        <v>16.75</v>
      </c>
      <c r="E14" s="3" t="n">
        <v>16.75</v>
      </c>
      <c r="F14" s="3" t="n">
        <v>17.25</v>
      </c>
      <c r="G14" s="3" t="n">
        <v>17.5</v>
      </c>
      <c r="H14" s="3" t="n">
        <v>17.5</v>
      </c>
      <c r="I14" s="3" t="n">
        <v>17.5</v>
      </c>
      <c r="J14" s="3" t="n">
        <v>17.5</v>
      </c>
      <c r="K14" s="3" t="n">
        <v>17.5</v>
      </c>
      <c r="L14" s="3" t="n">
        <v>17.5</v>
      </c>
    </row>
    <row r="15" customFormat="false" ht="15" hidden="false" customHeight="false" outlineLevel="0" collapsed="false">
      <c r="A15" s="0" t="s">
        <v>109</v>
      </c>
      <c r="C15" s="3" t="n">
        <v>0.75</v>
      </c>
      <c r="D15" s="3" t="n">
        <v>0.75</v>
      </c>
      <c r="E15" s="3" t="n">
        <v>0.75</v>
      </c>
      <c r="F15" s="3" t="n">
        <v>0.75</v>
      </c>
      <c r="G15" s="3" t="n">
        <v>0.75</v>
      </c>
      <c r="H15" s="3" t="n">
        <v>0.75</v>
      </c>
      <c r="I15" s="3" t="n">
        <v>0.75</v>
      </c>
      <c r="J15" s="3" t="n">
        <v>0.75</v>
      </c>
      <c r="K15" s="3" t="n">
        <v>0.75</v>
      </c>
      <c r="L15" s="3" t="n">
        <v>0.75</v>
      </c>
    </row>
    <row r="16" customFormat="false" ht="15" hidden="false" customHeight="false" outlineLevel="0" collapsed="false">
      <c r="A16" s="0" t="s">
        <v>110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111</v>
      </c>
      <c r="C17" s="3" t="n">
        <v>3.7</v>
      </c>
      <c r="D17" s="3" t="n">
        <v>3.7</v>
      </c>
      <c r="E17" s="3" t="n">
        <v>3.7</v>
      </c>
      <c r="F17" s="3" t="n">
        <v>3.6</v>
      </c>
      <c r="G17" s="3" t="n">
        <v>3.6</v>
      </c>
      <c r="H17" s="3" t="n">
        <v>3.5</v>
      </c>
      <c r="I17" s="3" t="n">
        <v>3.5</v>
      </c>
      <c r="J17" s="3" t="n">
        <v>3.5</v>
      </c>
      <c r="K17" s="3" t="n">
        <v>3.5</v>
      </c>
      <c r="L17" s="3" t="n">
        <v>3.5</v>
      </c>
    </row>
    <row r="18" customFormat="false" ht="15" hidden="false" customHeight="false" outlineLevel="0" collapsed="false">
      <c r="A18" s="0" t="s">
        <v>112</v>
      </c>
      <c r="C18" s="3" t="n">
        <v>3.7</v>
      </c>
      <c r="D18" s="3" t="n">
        <v>3.6</v>
      </c>
      <c r="E18" s="3" t="n">
        <v>3.6</v>
      </c>
      <c r="F18" s="3" t="n">
        <v>3.6</v>
      </c>
      <c r="G18" s="3" t="n">
        <v>3.6</v>
      </c>
      <c r="H18" s="3" t="n">
        <v>3.6</v>
      </c>
      <c r="I18" s="3" t="n">
        <v>3.6</v>
      </c>
      <c r="J18" s="3" t="n">
        <v>3.6</v>
      </c>
      <c r="K18" s="3" t="n">
        <v>3.6</v>
      </c>
      <c r="L18" s="3" t="n">
        <v>3.6</v>
      </c>
    </row>
    <row r="19" customFormat="false" ht="15" hidden="false" customHeight="false" outlineLevel="0" collapsed="false">
      <c r="A19" s="0" t="s">
        <v>113</v>
      </c>
      <c r="C19" s="3" t="n">
        <v>26</v>
      </c>
      <c r="D19" s="3" t="n">
        <v>26</v>
      </c>
      <c r="E19" s="3" t="n">
        <v>26</v>
      </c>
      <c r="F19" s="3" t="n">
        <v>26</v>
      </c>
      <c r="G19" s="3" t="n">
        <v>26</v>
      </c>
      <c r="H19" s="3" t="n">
        <v>26</v>
      </c>
      <c r="I19" s="3" t="n">
        <v>26</v>
      </c>
      <c r="J19" s="3" t="n">
        <v>26</v>
      </c>
      <c r="K19" s="3" t="n">
        <v>26</v>
      </c>
      <c r="L19" s="3" t="n">
        <v>26</v>
      </c>
    </row>
    <row r="20" customFormat="false" ht="15" hidden="false" customHeight="false" outlineLevel="0" collapsed="false">
      <c r="A20" s="0" t="s">
        <v>114</v>
      </c>
      <c r="B20" s="3" t="n">
        <v>7.5</v>
      </c>
    </row>
    <row r="21" customFormat="false" ht="15" hidden="false" customHeight="false" outlineLevel="0" collapsed="false">
      <c r="A21" s="0" t="s">
        <v>115</v>
      </c>
      <c r="B21" s="3" t="n">
        <v>2</v>
      </c>
    </row>
    <row r="22" customFormat="false" ht="15" hidden="false" customHeight="false" outlineLevel="0" collapsed="false">
      <c r="A22" s="0" t="s">
        <v>116</v>
      </c>
      <c r="B22" s="3" t="n">
        <v>15</v>
      </c>
    </row>
    <row r="23" customFormat="false" ht="15" hidden="false" customHeight="false" outlineLevel="0" collapsed="false">
      <c r="A23" s="0" t="s">
        <v>117</v>
      </c>
      <c r="B23" s="3" t="n">
        <v>-10</v>
      </c>
    </row>
    <row r="24" customFormat="false" ht="15" hidden="false" customHeight="false" outlineLevel="0" collapsed="false">
      <c r="A24" s="0" t="s">
        <v>118</v>
      </c>
      <c r="B24" s="3" t="n">
        <v>0.25</v>
      </c>
    </row>
    <row r="26" customFormat="false" ht="15" hidden="false" customHeight="false" outlineLevel="0" collapsed="false">
      <c r="A26" s="2" t="s">
        <v>119</v>
      </c>
      <c r="C26" s="2" t="s">
        <v>97</v>
      </c>
      <c r="D26" s="2" t="s">
        <v>98</v>
      </c>
      <c r="E26" s="2" t="s">
        <v>99</v>
      </c>
      <c r="F26" s="2" t="s">
        <v>100</v>
      </c>
      <c r="G26" s="2" t="s">
        <v>101</v>
      </c>
      <c r="H26" s="2" t="s">
        <v>102</v>
      </c>
      <c r="I26" s="2" t="s">
        <v>103</v>
      </c>
      <c r="J26" s="2" t="s">
        <v>104</v>
      </c>
      <c r="K26" s="2" t="s">
        <v>105</v>
      </c>
      <c r="L26" s="2" t="s">
        <v>106</v>
      </c>
    </row>
    <row r="27" customFormat="false" ht="15" hidden="false" customHeight="false" outlineLevel="0" collapsed="false">
      <c r="A27" s="0" t="s">
        <v>107</v>
      </c>
      <c r="C27" s="3" t="n">
        <v>6.5</v>
      </c>
      <c r="D27" s="3" t="n">
        <v>6</v>
      </c>
      <c r="E27" s="3" t="n">
        <v>5.5</v>
      </c>
      <c r="F27" s="3" t="n">
        <v>5</v>
      </c>
      <c r="G27" s="3" t="n">
        <v>4.5</v>
      </c>
      <c r="H27" s="3" t="n">
        <v>4</v>
      </c>
      <c r="I27" s="3" t="n">
        <v>3.5</v>
      </c>
      <c r="J27" s="3" t="n">
        <v>3</v>
      </c>
      <c r="K27" s="3" t="n">
        <v>3</v>
      </c>
      <c r="L27" s="3" t="n">
        <v>3</v>
      </c>
    </row>
    <row r="28" customFormat="false" ht="15" hidden="false" customHeight="false" outlineLevel="0" collapsed="false">
      <c r="A28" s="0" t="s">
        <v>108</v>
      </c>
      <c r="C28" s="3" t="n">
        <v>18.5</v>
      </c>
      <c r="D28" s="3" t="n">
        <v>19</v>
      </c>
      <c r="E28" s="3" t="n">
        <v>19.25</v>
      </c>
      <c r="F28" s="3" t="n">
        <v>19.5</v>
      </c>
      <c r="G28" s="3" t="n">
        <v>19.5</v>
      </c>
      <c r="H28" s="3" t="n">
        <v>19.5</v>
      </c>
      <c r="I28" s="3" t="n">
        <v>19.5</v>
      </c>
      <c r="J28" s="3" t="n">
        <v>19.5</v>
      </c>
      <c r="K28" s="3" t="n">
        <v>19.5</v>
      </c>
      <c r="L28" s="3" t="n">
        <v>19.5</v>
      </c>
    </row>
    <row r="29" customFormat="false" ht="15" hidden="false" customHeight="false" outlineLevel="0" collapsed="false">
      <c r="A29" s="0" t="s">
        <v>109</v>
      </c>
      <c r="C29" s="3" t="n">
        <v>0.75</v>
      </c>
      <c r="D29" s="3" t="n">
        <v>0.75</v>
      </c>
      <c r="E29" s="3" t="n">
        <v>0.75</v>
      </c>
      <c r="F29" s="3" t="n">
        <v>0.75</v>
      </c>
      <c r="G29" s="3" t="n">
        <v>0.75</v>
      </c>
      <c r="H29" s="3" t="n">
        <v>0.75</v>
      </c>
      <c r="I29" s="3" t="n">
        <v>0.75</v>
      </c>
      <c r="J29" s="3" t="n">
        <v>0.75</v>
      </c>
      <c r="K29" s="3" t="n">
        <v>0.75</v>
      </c>
      <c r="L29" s="3" t="n">
        <v>0.75</v>
      </c>
    </row>
    <row r="30" customFormat="false" ht="15" hidden="false" customHeight="false" outlineLevel="0" collapsed="false">
      <c r="A30" s="0" t="s">
        <v>110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111</v>
      </c>
      <c r="C31" s="3" t="n">
        <v>3.7</v>
      </c>
      <c r="D31" s="3" t="n">
        <v>3.6</v>
      </c>
      <c r="E31" s="3" t="n">
        <v>3.6</v>
      </c>
      <c r="F31" s="3" t="n">
        <v>3.5</v>
      </c>
      <c r="G31" s="3" t="n">
        <v>3.5</v>
      </c>
      <c r="H31" s="3" t="n">
        <v>3.4</v>
      </c>
      <c r="I31" s="3" t="n">
        <v>3.4</v>
      </c>
      <c r="J31" s="3" t="n">
        <v>3.4</v>
      </c>
      <c r="K31" s="3" t="n">
        <v>3.4</v>
      </c>
      <c r="L31" s="3" t="n">
        <v>3.4</v>
      </c>
    </row>
    <row r="32" customFormat="false" ht="15" hidden="false" customHeight="false" outlineLevel="0" collapsed="false">
      <c r="A32" s="0" t="s">
        <v>112</v>
      </c>
      <c r="C32" s="3" t="n">
        <v>3.7</v>
      </c>
      <c r="D32" s="3" t="n">
        <v>3.7</v>
      </c>
      <c r="E32" s="3" t="n">
        <v>3.7</v>
      </c>
      <c r="F32" s="3" t="n">
        <v>3.7</v>
      </c>
      <c r="G32" s="3" t="n">
        <v>3.7</v>
      </c>
      <c r="H32" s="3" t="n">
        <v>3.7</v>
      </c>
      <c r="I32" s="3" t="n">
        <v>3.7</v>
      </c>
      <c r="J32" s="3" t="n">
        <v>3.7</v>
      </c>
      <c r="K32" s="3" t="n">
        <v>3.7</v>
      </c>
      <c r="L32" s="3" t="n">
        <v>3.7</v>
      </c>
    </row>
    <row r="33" customFormat="false" ht="15" hidden="false" customHeight="false" outlineLevel="0" collapsed="false">
      <c r="A33" s="0" t="s">
        <v>113</v>
      </c>
      <c r="C33" s="3" t="n">
        <v>26</v>
      </c>
      <c r="D33" s="3" t="n">
        <v>26</v>
      </c>
      <c r="E33" s="3" t="n">
        <v>26</v>
      </c>
      <c r="F33" s="3" t="n">
        <v>26</v>
      </c>
      <c r="G33" s="3" t="n">
        <v>26</v>
      </c>
      <c r="H33" s="3" t="n">
        <v>26</v>
      </c>
      <c r="I33" s="3" t="n">
        <v>26</v>
      </c>
      <c r="J33" s="3" t="n">
        <v>26</v>
      </c>
      <c r="K33" s="3" t="n">
        <v>26</v>
      </c>
      <c r="L33" s="3" t="n">
        <v>26</v>
      </c>
    </row>
    <row r="34" customFormat="false" ht="15" hidden="false" customHeight="false" outlineLevel="0" collapsed="false">
      <c r="A34" s="0" t="s">
        <v>114</v>
      </c>
      <c r="B34" s="3" t="n">
        <v>7.5</v>
      </c>
    </row>
    <row r="35" customFormat="false" ht="15" hidden="false" customHeight="false" outlineLevel="0" collapsed="false">
      <c r="A35" s="0" t="s">
        <v>115</v>
      </c>
      <c r="B35" s="3" t="n">
        <v>2.5</v>
      </c>
    </row>
    <row r="36" customFormat="false" ht="15" hidden="false" customHeight="false" outlineLevel="0" collapsed="false">
      <c r="A36" s="0" t="s">
        <v>116</v>
      </c>
      <c r="B36" s="3" t="n">
        <v>18</v>
      </c>
    </row>
    <row r="37" customFormat="false" ht="15" hidden="false" customHeight="false" outlineLevel="0" collapsed="false">
      <c r="A37" s="0" t="s">
        <v>117</v>
      </c>
      <c r="B37" s="3" t="n">
        <v>-10</v>
      </c>
    </row>
    <row r="38" customFormat="false" ht="15" hidden="false" customHeight="false" outlineLevel="0" collapsed="false">
      <c r="A38" s="0" t="s">
        <v>118</v>
      </c>
      <c r="B38" s="3" t="n">
        <v>0.5</v>
      </c>
    </row>
    <row r="40" customFormat="false" ht="15" hidden="false" customHeight="false" outlineLevel="0" collapsed="false">
      <c r="A40" s="2" t="s">
        <v>120</v>
      </c>
      <c r="C40" s="2" t="s">
        <v>97</v>
      </c>
      <c r="D40" s="2" t="s">
        <v>98</v>
      </c>
      <c r="E40" s="2" t="s">
        <v>99</v>
      </c>
      <c r="F40" s="2" t="s">
        <v>100</v>
      </c>
      <c r="G40" s="2" t="s">
        <v>101</v>
      </c>
      <c r="H40" s="2" t="s">
        <v>102</v>
      </c>
      <c r="I40" s="2" t="s">
        <v>103</v>
      </c>
      <c r="J40" s="2" t="s">
        <v>104</v>
      </c>
      <c r="K40" s="2" t="s">
        <v>105</v>
      </c>
      <c r="L40" s="2" t="s">
        <v>106</v>
      </c>
    </row>
    <row r="41" customFormat="false" ht="15" hidden="false" customHeight="false" outlineLevel="0" collapsed="false">
      <c r="A41" s="0" t="s">
        <v>107</v>
      </c>
      <c r="C41" s="3" t="n">
        <v>8.5</v>
      </c>
      <c r="D41" s="3" t="n">
        <v>8.5</v>
      </c>
      <c r="E41" s="3" t="n">
        <v>8</v>
      </c>
      <c r="F41" s="3" t="n">
        <v>7</v>
      </c>
      <c r="G41" s="3" t="n">
        <v>6</v>
      </c>
      <c r="H41" s="3" t="n">
        <v>5.5</v>
      </c>
      <c r="I41" s="3" t="n">
        <v>5</v>
      </c>
      <c r="J41" s="3" t="n">
        <v>4.5</v>
      </c>
      <c r="K41" s="3" t="n">
        <v>4</v>
      </c>
      <c r="L41" s="3" t="n">
        <v>3.5</v>
      </c>
    </row>
    <row r="42" customFormat="false" ht="15" hidden="false" customHeight="false" outlineLevel="0" collapsed="false">
      <c r="A42" s="0" t="s">
        <v>108</v>
      </c>
      <c r="C42" s="3" t="n">
        <v>18.75</v>
      </c>
      <c r="D42" s="3" t="n">
        <v>19.5</v>
      </c>
      <c r="E42" s="3" t="n">
        <v>20.25</v>
      </c>
      <c r="F42" s="3" t="n">
        <v>20.75</v>
      </c>
      <c r="G42" s="3" t="n">
        <v>21</v>
      </c>
      <c r="H42" s="3" t="n">
        <v>21</v>
      </c>
      <c r="I42" s="3" t="n">
        <v>21</v>
      </c>
      <c r="J42" s="3" t="n">
        <v>21</v>
      </c>
      <c r="K42" s="3" t="n">
        <v>21</v>
      </c>
      <c r="L42" s="3" t="n">
        <v>21</v>
      </c>
    </row>
    <row r="43" customFormat="false" ht="15" hidden="false" customHeight="false" outlineLevel="0" collapsed="false">
      <c r="A43" s="0" t="s">
        <v>109</v>
      </c>
      <c r="C43" s="3" t="n">
        <v>0.75</v>
      </c>
      <c r="D43" s="3" t="n">
        <v>0.75</v>
      </c>
      <c r="E43" s="3" t="n">
        <v>0.75</v>
      </c>
      <c r="F43" s="3" t="n">
        <v>0.75</v>
      </c>
      <c r="G43" s="3" t="n">
        <v>0.75</v>
      </c>
      <c r="H43" s="3" t="n">
        <v>0.75</v>
      </c>
      <c r="I43" s="3" t="n">
        <v>0.75</v>
      </c>
      <c r="J43" s="3" t="n">
        <v>0.75</v>
      </c>
      <c r="K43" s="3" t="n">
        <v>0.75</v>
      </c>
      <c r="L43" s="3" t="n">
        <v>0.75</v>
      </c>
    </row>
    <row r="44" customFormat="false" ht="15" hidden="false" customHeight="false" outlineLevel="0" collapsed="false">
      <c r="A44" s="0" t="s">
        <v>110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111</v>
      </c>
      <c r="C45" s="3" t="n">
        <v>3.7</v>
      </c>
      <c r="D45" s="3" t="n">
        <v>3.6</v>
      </c>
      <c r="E45" s="3" t="n">
        <v>3.6</v>
      </c>
      <c r="F45" s="3" t="n">
        <v>3.5</v>
      </c>
      <c r="G45" s="3" t="n">
        <v>3.5</v>
      </c>
      <c r="H45" s="3" t="n">
        <v>3.4</v>
      </c>
      <c r="I45" s="3" t="n">
        <v>3.4</v>
      </c>
      <c r="J45" s="3" t="n">
        <v>3.4</v>
      </c>
      <c r="K45" s="3" t="n">
        <v>3.4</v>
      </c>
      <c r="L45" s="3" t="n">
        <v>3.4</v>
      </c>
    </row>
    <row r="46" customFormat="false" ht="15" hidden="false" customHeight="false" outlineLevel="0" collapsed="false">
      <c r="A46" s="0" t="s">
        <v>112</v>
      </c>
      <c r="C46" s="3" t="n">
        <v>3.8</v>
      </c>
      <c r="D46" s="3" t="n">
        <v>3.8</v>
      </c>
      <c r="E46" s="3" t="n">
        <v>3.8</v>
      </c>
      <c r="F46" s="3" t="n">
        <v>3.8</v>
      </c>
      <c r="G46" s="3" t="n">
        <v>3.7</v>
      </c>
      <c r="H46" s="3" t="n">
        <v>3.7</v>
      </c>
      <c r="I46" s="3" t="n">
        <v>3.7</v>
      </c>
      <c r="J46" s="3" t="n">
        <v>3.7</v>
      </c>
      <c r="K46" s="3" t="n">
        <v>3.7</v>
      </c>
      <c r="L46" s="3" t="n">
        <v>3.7</v>
      </c>
    </row>
    <row r="47" customFormat="false" ht="15" hidden="false" customHeight="false" outlineLevel="0" collapsed="false">
      <c r="A47" s="0" t="s">
        <v>113</v>
      </c>
      <c r="C47" s="3" t="n">
        <v>26</v>
      </c>
      <c r="D47" s="3" t="n">
        <v>26</v>
      </c>
      <c r="E47" s="3" t="n">
        <v>26</v>
      </c>
      <c r="F47" s="3" t="n">
        <v>26</v>
      </c>
      <c r="G47" s="3" t="n">
        <v>26</v>
      </c>
      <c r="H47" s="3" t="n">
        <v>26</v>
      </c>
      <c r="I47" s="3" t="n">
        <v>26</v>
      </c>
      <c r="J47" s="3" t="n">
        <v>26</v>
      </c>
      <c r="K47" s="3" t="n">
        <v>26</v>
      </c>
      <c r="L47" s="3" t="n">
        <v>26</v>
      </c>
    </row>
    <row r="48" customFormat="false" ht="15" hidden="false" customHeight="false" outlineLevel="0" collapsed="false">
      <c r="A48" s="0" t="s">
        <v>114</v>
      </c>
      <c r="B48" s="3" t="n">
        <v>7.5</v>
      </c>
    </row>
    <row r="49" customFormat="false" ht="15" hidden="false" customHeight="false" outlineLevel="0" collapsed="false">
      <c r="A49" s="0" t="s">
        <v>115</v>
      </c>
      <c r="B49" s="3" t="n">
        <v>2.75</v>
      </c>
    </row>
    <row r="50" customFormat="false" ht="15" hidden="false" customHeight="false" outlineLevel="0" collapsed="false">
      <c r="A50" s="0" t="s">
        <v>116</v>
      </c>
      <c r="B50" s="3" t="n">
        <v>20</v>
      </c>
    </row>
    <row r="51" customFormat="false" ht="15" hidden="false" customHeight="false" outlineLevel="0" collapsed="false">
      <c r="A51" s="0" t="s">
        <v>117</v>
      </c>
      <c r="B51" s="3" t="n">
        <v>-10</v>
      </c>
    </row>
    <row r="52" customFormat="false" ht="15" hidden="false" customHeight="false" outlineLevel="0" collapsed="false">
      <c r="A52" s="0" t="s">
        <v>118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121</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Assumptions!C13</f>
        <v>3</v>
      </c>
      <c r="D5" s="4" t="n">
        <f aca="false">Assumptions!D13</f>
        <v>0</v>
      </c>
      <c r="E5" s="4" t="n">
        <f aca="false">Assumptions!E13</f>
        <v>2</v>
      </c>
      <c r="F5" s="4" t="n">
        <f aca="false">Assumptions!F13</f>
        <v>3</v>
      </c>
      <c r="G5" s="4" t="n">
        <f aca="false">Assumptions!G13</f>
        <v>3.5</v>
      </c>
      <c r="H5" s="4" t="n">
        <f aca="false">Assumptions!H13</f>
        <v>3</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37</v>
      </c>
      <c r="B6" s="3" t="n">
        <v>59000</v>
      </c>
      <c r="C6" s="0" t="n">
        <f aca="false">B6*(1+C5/100)</f>
        <v>60770</v>
      </c>
      <c r="D6" s="0" t="n">
        <f aca="false">C6*(1+D5/100)</f>
        <v>60770</v>
      </c>
      <c r="E6" s="0" t="n">
        <f aca="false">D6*(1+E5/100)</f>
        <v>61985.4</v>
      </c>
      <c r="F6" s="0" t="n">
        <f aca="false">E6*(1+F5/100)</f>
        <v>63844.962</v>
      </c>
      <c r="G6" s="0" t="n">
        <f aca="false">F6*(1+G5/100)</f>
        <v>66079.53567</v>
      </c>
      <c r="H6" s="0" t="n">
        <f aca="false">G6*(1+H5/100)</f>
        <v>68061.9217401</v>
      </c>
      <c r="I6" s="0" t="n">
        <f aca="false">H6*(1+I5/100)</f>
        <v>70103.779392303</v>
      </c>
      <c r="J6" s="0" t="n">
        <f aca="false">I6*(1+J5/100)</f>
        <v>71856.3738771106</v>
      </c>
      <c r="K6" s="0" t="n">
        <f aca="false">J6*(1+K5/100)</f>
        <v>73652.7832240383</v>
      </c>
      <c r="L6" s="0" t="n">
        <f aca="false">K6*(1+L5/100)</f>
        <v>75494.1028046393</v>
      </c>
    </row>
    <row r="7" customFormat="false" ht="15" hidden="false" customHeight="false" outlineLevel="0" collapsed="false">
      <c r="A7" s="0" t="s">
        <v>108</v>
      </c>
      <c r="C7" s="4" t="n">
        <f aca="false">Assumptions!C14</f>
        <v>17.75</v>
      </c>
      <c r="D7" s="4" t="n">
        <f aca="false">Assumptions!D14</f>
        <v>16.75</v>
      </c>
      <c r="E7" s="4" t="n">
        <f aca="false">Assumptions!E14</f>
        <v>16.75</v>
      </c>
      <c r="F7" s="4" t="n">
        <f aca="false">Assumptions!F14</f>
        <v>17.25</v>
      </c>
      <c r="G7" s="4" t="n">
        <f aca="false">Assumptions!G14</f>
        <v>17.5</v>
      </c>
      <c r="H7" s="4" t="n">
        <f aca="false">Assumptions!H14</f>
        <v>17.5</v>
      </c>
      <c r="I7" s="4" t="n">
        <f aca="false">Assumptions!I14</f>
        <v>17.5</v>
      </c>
      <c r="J7" s="4" t="n">
        <f aca="false">Assumptions!J14</f>
        <v>17.5</v>
      </c>
      <c r="K7" s="4" t="n">
        <f aca="false">Assumptions!K14</f>
        <v>17.5</v>
      </c>
      <c r="L7" s="4" t="n">
        <f aca="false">Assumptions!L14</f>
        <v>17.5</v>
      </c>
    </row>
    <row r="8" customFormat="false" ht="15" hidden="false" customHeight="false" outlineLevel="0" collapsed="false">
      <c r="A8" s="0" t="s">
        <v>43</v>
      </c>
      <c r="C8" s="0" t="n">
        <f aca="false">C6*C7/100</f>
        <v>10786.675</v>
      </c>
      <c r="D8" s="0" t="n">
        <f aca="false">D6*D7/100</f>
        <v>10178.975</v>
      </c>
      <c r="E8" s="0" t="n">
        <f aca="false">E6*E7/100</f>
        <v>10382.5545</v>
      </c>
      <c r="F8" s="0" t="n">
        <f aca="false">F6*F7/100</f>
        <v>11013.255945</v>
      </c>
      <c r="G8" s="0" t="n">
        <f aca="false">G6*G7/100</f>
        <v>11563.91874225</v>
      </c>
      <c r="H8" s="0" t="n">
        <f aca="false">H6*H7/100</f>
        <v>11910.8363045175</v>
      </c>
      <c r="I8" s="0" t="n">
        <f aca="false">I6*I7/100</f>
        <v>12268.161393653</v>
      </c>
      <c r="J8" s="0" t="n">
        <f aca="false">J6*J7/100</f>
        <v>12574.8654284944</v>
      </c>
      <c r="K8" s="0" t="n">
        <f aca="false">K6*K7/100</f>
        <v>12889.2370642067</v>
      </c>
      <c r="L8" s="0" t="n">
        <f aca="false">L6*L7/100</f>
        <v>13211.4679908119</v>
      </c>
    </row>
    <row r="9" customFormat="false" ht="15" hidden="false" customHeight="false" outlineLevel="0" collapsed="false">
      <c r="A9" s="0" t="s">
        <v>109</v>
      </c>
      <c r="C9" s="4" t="n">
        <f aca="false">Assumptions!C15</f>
        <v>0.75</v>
      </c>
      <c r="D9" s="4" t="n">
        <f aca="false">Assumptions!D15</f>
        <v>0.75</v>
      </c>
      <c r="E9" s="4" t="n">
        <f aca="false">Assumptions!E15</f>
        <v>0.75</v>
      </c>
      <c r="F9" s="4" t="n">
        <f aca="false">Assumptions!F15</f>
        <v>0.75</v>
      </c>
      <c r="G9" s="4" t="n">
        <f aca="false">Assumptions!G15</f>
        <v>0.75</v>
      </c>
      <c r="H9" s="4" t="n">
        <f aca="false">Assumptions!H15</f>
        <v>0.75</v>
      </c>
      <c r="I9" s="4" t="n">
        <f aca="false">Assumptions!I15</f>
        <v>0.75</v>
      </c>
      <c r="J9" s="4" t="n">
        <f aca="false">Assumptions!J15</f>
        <v>0.75</v>
      </c>
      <c r="K9" s="4" t="n">
        <f aca="false">Assumptions!K15</f>
        <v>0.75</v>
      </c>
      <c r="L9" s="4" t="n">
        <f aca="false">Assumptions!L15</f>
        <v>0.75</v>
      </c>
    </row>
    <row r="10" customFormat="false" ht="15" hidden="false" customHeight="false" outlineLevel="0" collapsed="false">
      <c r="A10" s="0" t="s">
        <v>124</v>
      </c>
      <c r="C10" s="0" t="n">
        <f aca="false">-C6*C9/100</f>
        <v>-455.775</v>
      </c>
      <c r="D10" s="0" t="n">
        <f aca="false">-D6*D9/100</f>
        <v>-455.775</v>
      </c>
      <c r="E10" s="0" t="n">
        <f aca="false">-E6*E9/100</f>
        <v>-464.8905</v>
      </c>
      <c r="F10" s="0" t="n">
        <f aca="false">-F6*F9/100</f>
        <v>-478.837215</v>
      </c>
      <c r="G10" s="0" t="n">
        <f aca="false">-G6*G9/100</f>
        <v>-495.596517525</v>
      </c>
      <c r="H10" s="0" t="n">
        <f aca="false">-H6*H9/100</f>
        <v>-510.46441305075</v>
      </c>
      <c r="I10" s="0" t="n">
        <f aca="false">-I6*I9/100</f>
        <v>-525.778345442273</v>
      </c>
      <c r="J10" s="0" t="n">
        <f aca="false">-J6*J9/100</f>
        <v>-538.922804078329</v>
      </c>
      <c r="K10" s="0" t="n">
        <f aca="false">-K6*K9/100</f>
        <v>-552.395874180288</v>
      </c>
      <c r="L10" s="0" t="n">
        <f aca="false">-L6*L9/100</f>
        <v>-566.205771034795</v>
      </c>
    </row>
    <row r="11" customFormat="false" ht="15" hidden="false" customHeight="false" outlineLevel="0" collapsed="false">
      <c r="A11" s="0" t="s">
        <v>125</v>
      </c>
      <c r="C11" s="0" t="n">
        <f aca="false">C8+C10+C24</f>
        <v>10330.9</v>
      </c>
      <c r="D11" s="0" t="n">
        <f aca="false">D8+D10+D24</f>
        <v>9723.2</v>
      </c>
      <c r="E11" s="0" t="n">
        <f aca="false">E8+E10+E24</f>
        <v>9917.664</v>
      </c>
      <c r="F11" s="0" t="n">
        <f aca="false">F8+F10+F24</f>
        <v>10534.41873</v>
      </c>
      <c r="G11" s="0" t="n">
        <f aca="false">G8+G10+G24</f>
        <v>11068.322224725</v>
      </c>
      <c r="H11" s="0" t="n">
        <f aca="false">H8+H10+H24</f>
        <v>11400.3718914668</v>
      </c>
      <c r="I11" s="0" t="n">
        <f aca="false">I8+I10+I24</f>
        <v>11742.3830482108</v>
      </c>
      <c r="J11" s="0" t="n">
        <f aca="false">J8+J10+J24</f>
        <v>12035.942624416</v>
      </c>
      <c r="K11" s="0" t="n">
        <f aca="false">K8+K10+K24</f>
        <v>12336.8411900264</v>
      </c>
      <c r="L11" s="0" t="n">
        <f aca="false">L8+L10+L24</f>
        <v>12645.2622197771</v>
      </c>
    </row>
    <row r="12" customFormat="false" ht="15" hidden="false" customHeight="false" outlineLevel="0" collapsed="false">
      <c r="A12" s="0" t="s">
        <v>126</v>
      </c>
      <c r="C12" s="4" t="n">
        <f aca="false">-C6*Assumptions!C17/100</f>
        <v>-2248.49</v>
      </c>
      <c r="D12" s="4" t="n">
        <f aca="false">-D6*Assumptions!D17/100</f>
        <v>-2248.49</v>
      </c>
      <c r="E12" s="4" t="n">
        <f aca="false">-E6*Assumptions!E17/100</f>
        <v>-2293.4598</v>
      </c>
      <c r="F12" s="4" t="n">
        <f aca="false">-F6*Assumptions!F17/100</f>
        <v>-2298.418632</v>
      </c>
      <c r="G12" s="4" t="n">
        <f aca="false">-G6*Assumptions!G17/100</f>
        <v>-2378.86328412</v>
      </c>
      <c r="H12" s="4" t="n">
        <f aca="false">-H6*Assumptions!H17/100</f>
        <v>-2382.1672609035</v>
      </c>
      <c r="I12" s="4" t="n">
        <f aca="false">-I6*Assumptions!I17/100</f>
        <v>-2453.63227873061</v>
      </c>
      <c r="J12" s="4" t="n">
        <f aca="false">-J6*Assumptions!J17/100</f>
        <v>-2514.97308569887</v>
      </c>
      <c r="K12" s="4" t="n">
        <f aca="false">-K6*Assumptions!K17/100</f>
        <v>-2577.84741284134</v>
      </c>
      <c r="L12" s="4" t="n">
        <f aca="false">-L6*Assumptions!L17/100</f>
        <v>-2642.29359816238</v>
      </c>
    </row>
    <row r="13" customFormat="false" ht="15" hidden="false" customHeight="false" outlineLevel="0" collapsed="false">
      <c r="A13" s="0" t="s">
        <v>127</v>
      </c>
      <c r="C13" s="0" t="n">
        <f aca="false">C11+C12</f>
        <v>8082.41</v>
      </c>
      <c r="D13" s="0" t="n">
        <f aca="false">D11+D12</f>
        <v>7474.71</v>
      </c>
      <c r="E13" s="0" t="n">
        <f aca="false">E11+E12</f>
        <v>7624.2042</v>
      </c>
      <c r="F13" s="0" t="n">
        <f aca="false">F11+F12</f>
        <v>8236.000098</v>
      </c>
      <c r="G13" s="0" t="n">
        <f aca="false">G11+G12</f>
        <v>8689.458940605</v>
      </c>
      <c r="H13" s="0" t="n">
        <f aca="false">H11+H12</f>
        <v>9018.20463056325</v>
      </c>
      <c r="I13" s="0" t="n">
        <f aca="false">I11+I12</f>
        <v>9288.75076948015</v>
      </c>
      <c r="J13" s="0" t="n">
        <f aca="false">J11+J12</f>
        <v>9520.96953871715</v>
      </c>
      <c r="K13" s="0" t="n">
        <f aca="false">K11+K12</f>
        <v>9758.99377718508</v>
      </c>
      <c r="L13" s="0" t="n">
        <f aca="false">L11+L12</f>
        <v>10002.9686216147</v>
      </c>
    </row>
    <row r="14" customFormat="false" ht="15" hidden="false" customHeight="false" outlineLevel="0" collapsed="false">
      <c r="A14" s="0" t="s">
        <v>113</v>
      </c>
      <c r="C14" s="4" t="n">
        <f aca="false">Assumptions!C19</f>
        <v>26</v>
      </c>
      <c r="D14" s="4" t="n">
        <f aca="false">Assumptions!D19</f>
        <v>26</v>
      </c>
      <c r="E14" s="4" t="n">
        <f aca="false">Assumptions!E19</f>
        <v>26</v>
      </c>
      <c r="F14" s="4" t="n">
        <f aca="false">Assumptions!F19</f>
        <v>26</v>
      </c>
      <c r="G14" s="4" t="n">
        <f aca="false">Assumptions!G19</f>
        <v>26</v>
      </c>
      <c r="H14" s="4" t="n">
        <f aca="false">Assumptions!H19</f>
        <v>26</v>
      </c>
      <c r="I14" s="4" t="n">
        <f aca="false">Assumptions!I19</f>
        <v>26</v>
      </c>
      <c r="J14" s="4" t="n">
        <f aca="false">Assumptions!J19</f>
        <v>26</v>
      </c>
      <c r="K14" s="4" t="n">
        <f aca="false">Assumptions!K19</f>
        <v>26</v>
      </c>
      <c r="L14" s="4" t="n">
        <f aca="false">Assumptions!L19</f>
        <v>26</v>
      </c>
    </row>
    <row r="15" customFormat="false" ht="15" hidden="false" customHeight="false" outlineLevel="0" collapsed="false">
      <c r="A15" s="0" t="s">
        <v>128</v>
      </c>
      <c r="C15" s="0" t="n">
        <f aca="false">C13-MAX(0,C13)*C14/100</f>
        <v>5980.9834</v>
      </c>
      <c r="D15" s="0" t="n">
        <f aca="false">D13-MAX(0,D13)*D14/100</f>
        <v>5531.2854</v>
      </c>
      <c r="E15" s="0" t="n">
        <f aca="false">E13-MAX(0,E13)*E14/100</f>
        <v>5641.911108</v>
      </c>
      <c r="F15" s="0" t="n">
        <f aca="false">F13-MAX(0,F13)*F14/100</f>
        <v>6094.64007252</v>
      </c>
      <c r="G15" s="0" t="n">
        <f aca="false">G13-MAX(0,G13)*G14/100</f>
        <v>6430.1996160477</v>
      </c>
      <c r="H15" s="0" t="n">
        <f aca="false">H13-MAX(0,H13)*H14/100</f>
        <v>6673.47142661681</v>
      </c>
      <c r="I15" s="0" t="n">
        <f aca="false">I13-MAX(0,I13)*I14/100</f>
        <v>6873.67556941531</v>
      </c>
      <c r="J15" s="0" t="n">
        <f aca="false">J13-MAX(0,J13)*J14/100</f>
        <v>7045.5174586507</v>
      </c>
      <c r="K15" s="0" t="n">
        <f aca="false">K13-MAX(0,K13)*K14/100</f>
        <v>7221.65539511696</v>
      </c>
      <c r="L15" s="0" t="n">
        <f aca="false">L13-MAX(0,L13)*L14/100</f>
        <v>7402.19677999488</v>
      </c>
    </row>
    <row r="16" customFormat="false" ht="15" hidden="false" customHeight="false" outlineLevel="0" collapsed="false">
      <c r="A16" s="0" t="s">
        <v>129</v>
      </c>
      <c r="C16" s="0" t="n">
        <f aca="false">-C12</f>
        <v>2248.49</v>
      </c>
      <c r="D16" s="0" t="n">
        <f aca="false">-D12</f>
        <v>2248.49</v>
      </c>
      <c r="E16" s="0" t="n">
        <f aca="false">-E12</f>
        <v>2293.4598</v>
      </c>
      <c r="F16" s="0" t="n">
        <f aca="false">-F12</f>
        <v>2298.418632</v>
      </c>
      <c r="G16" s="0" t="n">
        <f aca="false">-G12</f>
        <v>2378.86328412</v>
      </c>
      <c r="H16" s="0" t="n">
        <f aca="false">-H12</f>
        <v>2382.1672609035</v>
      </c>
      <c r="I16" s="0" t="n">
        <f aca="false">-I12</f>
        <v>2453.63227873061</v>
      </c>
      <c r="J16" s="0" t="n">
        <f aca="false">-J12</f>
        <v>2514.97308569887</v>
      </c>
      <c r="K16" s="0" t="n">
        <f aca="false">-K12</f>
        <v>2577.84741284134</v>
      </c>
      <c r="L16" s="0" t="n">
        <f aca="false">-L12</f>
        <v>2642.29359816238</v>
      </c>
    </row>
    <row r="17" customFormat="false" ht="15" hidden="false" customHeight="false" outlineLevel="0" collapsed="false">
      <c r="A17" s="0" t="s">
        <v>130</v>
      </c>
      <c r="C17" s="4" t="n">
        <f aca="false">-C6*Assumptions!C18/100</f>
        <v>-2248.49</v>
      </c>
      <c r="D17" s="4" t="n">
        <f aca="false">-D6*Assumptions!D18/100</f>
        <v>-2187.72</v>
      </c>
      <c r="E17" s="4" t="n">
        <f aca="false">-E6*Assumptions!E18/100</f>
        <v>-2231.4744</v>
      </c>
      <c r="F17" s="4" t="n">
        <f aca="false">-F6*Assumptions!F18/100</f>
        <v>-2298.418632</v>
      </c>
      <c r="G17" s="4" t="n">
        <f aca="false">-G6*Assumptions!G18/100</f>
        <v>-2378.86328412</v>
      </c>
      <c r="H17" s="4" t="n">
        <f aca="false">-H6*Assumptions!H18/100</f>
        <v>-2450.2291826436</v>
      </c>
      <c r="I17" s="4" t="n">
        <f aca="false">-I6*Assumptions!I18/100</f>
        <v>-2523.73605812291</v>
      </c>
      <c r="J17" s="4" t="n">
        <f aca="false">-J6*Assumptions!J18/100</f>
        <v>-2586.82945957598</v>
      </c>
      <c r="K17" s="4" t="n">
        <f aca="false">-K6*Assumptions!K18/100</f>
        <v>-2651.50019606538</v>
      </c>
      <c r="L17" s="4" t="n">
        <f aca="false">-L6*Assumptions!L18/100</f>
        <v>-2717.78770096701</v>
      </c>
    </row>
    <row r="18" customFormat="false" ht="15" hidden="false" customHeight="false" outlineLevel="0" collapsed="false">
      <c r="A18" s="0" t="s">
        <v>131</v>
      </c>
      <c r="C18" s="4" t="n">
        <f aca="false">(C6-B6)*Assumptions!$B$23/100</f>
        <v>-177</v>
      </c>
      <c r="D18" s="4" t="n">
        <f aca="false">(D6-C6)*Assumptions!$B$23/100</f>
        <v>-0</v>
      </c>
      <c r="E18" s="4" t="n">
        <f aca="false">(E6-D6)*Assumptions!$B$23/100</f>
        <v>-121.54</v>
      </c>
      <c r="F18" s="4" t="n">
        <f aca="false">(F6-E6)*Assumptions!$B$23/100</f>
        <v>-185.9562</v>
      </c>
      <c r="G18" s="4" t="n">
        <f aca="false">(G6-F6)*Assumptions!$B$23/100</f>
        <v>-223.457367</v>
      </c>
      <c r="H18" s="4" t="n">
        <f aca="false">(H6-G6)*Assumptions!$B$23/100</f>
        <v>-198.238607010001</v>
      </c>
      <c r="I18" s="4" t="n">
        <f aca="false">(I6-H6)*Assumptions!$B$23/100</f>
        <v>-204.185765220301</v>
      </c>
      <c r="J18" s="4" t="n">
        <f aca="false">(J6-I6)*Assumptions!$B$23/100</f>
        <v>-175.259448480757</v>
      </c>
      <c r="K18" s="4" t="n">
        <f aca="false">(K6-J6)*Assumptions!$B$23/100</f>
        <v>-179.640934692776</v>
      </c>
      <c r="L18" s="4" t="n">
        <f aca="false">(L6-K6)*Assumptions!$B$23/100</f>
        <v>-184.131958060095</v>
      </c>
    </row>
    <row r="19" customFormat="false" ht="15" hidden="false" customHeight="false" outlineLevel="0" collapsed="false">
      <c r="A19" s="0" t="s">
        <v>132</v>
      </c>
      <c r="C19" s="0" t="n">
        <f aca="false">C15+C16+C17+C18</f>
        <v>5803.9834</v>
      </c>
      <c r="D19" s="0" t="n">
        <f aca="false">D15+D16+D17+D18</f>
        <v>5592.0554</v>
      </c>
      <c r="E19" s="0" t="n">
        <f aca="false">E15+E16+E17+E18</f>
        <v>5582.356508</v>
      </c>
      <c r="F19" s="0" t="n">
        <f aca="false">F15+F16+F17+F18</f>
        <v>5908.68387252</v>
      </c>
      <c r="G19" s="0" t="n">
        <f aca="false">G15+G16+G17+G18</f>
        <v>6206.7422490477</v>
      </c>
      <c r="H19" s="0" t="n">
        <f aca="false">H15+H16+H17+H18</f>
        <v>6407.1708978667</v>
      </c>
      <c r="I19" s="0" t="n">
        <f aca="false">I15+I16+I17+I18</f>
        <v>6599.38602480271</v>
      </c>
      <c r="J19" s="0" t="n">
        <f aca="false">J15+J16+J17+J18</f>
        <v>6798.40163629283</v>
      </c>
      <c r="K19" s="0" t="n">
        <f aca="false">K15+K16+K17+K18</f>
        <v>6968.36167720014</v>
      </c>
      <c r="L19" s="0" t="n">
        <f aca="false">L15+L16+L17+L18</f>
        <v>7142.57071913015</v>
      </c>
    </row>
    <row r="20" customFormat="false" ht="15" hidden="false" customHeight="false" outlineLevel="0" collapsed="false">
      <c r="A20" s="0" t="s">
        <v>133</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134</v>
      </c>
      <c r="C21" s="0" t="n">
        <f aca="false">C19*C20</f>
        <v>5399.0543255814</v>
      </c>
      <c r="D21" s="0" t="n">
        <f aca="false">D19*D20</f>
        <v>4838.98790697675</v>
      </c>
      <c r="E21" s="0" t="n">
        <f aca="false">E19*E20</f>
        <v>4493.57687388532</v>
      </c>
      <c r="F21" s="0" t="n">
        <f aca="false">F19*F20</f>
        <v>4424.4256140241</v>
      </c>
      <c r="G21" s="0" t="n">
        <f aca="false">G19*G20</f>
        <v>4323.35989234635</v>
      </c>
      <c r="H21" s="0" t="n">
        <f aca="false">H19*H20</f>
        <v>4151.6001840479</v>
      </c>
      <c r="I21" s="0" t="n">
        <f aca="false">I19*I20</f>
        <v>3977.81226936683</v>
      </c>
      <c r="J21" s="0" t="n">
        <f aca="false">J19*J20</f>
        <v>3811.87898097459</v>
      </c>
      <c r="K21" s="0" t="n">
        <f aca="false">K19*K20</f>
        <v>3634.58228418508</v>
      </c>
      <c r="L21" s="0" t="n">
        <f aca="false">L19*L20</f>
        <v>3465.53194538577</v>
      </c>
    </row>
    <row r="23" customFormat="false" ht="15" hidden="false" customHeight="false" outlineLevel="0" collapsed="false">
      <c r="A23" s="0" t="s">
        <v>110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Assumptions!$B$20</f>
        <v>7.5</v>
      </c>
    </row>
    <row r="28" customFormat="false" ht="15" hidden="false" customHeight="false" outlineLevel="0" collapsed="false">
      <c r="A28" s="0" t="s">
        <v>115</v>
      </c>
      <c r="B28" s="4" t="n">
        <f aca="false">Assumptions!$B$21</f>
        <v>2</v>
      </c>
    </row>
    <row r="29" customFormat="false" ht="15" hidden="false" customHeight="false" outlineLevel="0" collapsed="false">
      <c r="A29" s="0" t="s">
        <v>116</v>
      </c>
      <c r="B29" s="4" t="n">
        <f aca="false">Assumptions!$B$22</f>
        <v>15</v>
      </c>
    </row>
    <row r="30" customFormat="false" ht="15" hidden="false" customHeight="false" outlineLevel="0" collapsed="false">
      <c r="A30" s="0" t="s">
        <v>137</v>
      </c>
      <c r="B30" s="0" t="n">
        <f aca="false">SUM(C21:L21)</f>
        <v>42520.8102767741</v>
      </c>
    </row>
    <row r="31" customFormat="false" ht="15" hidden="false" customHeight="false" outlineLevel="0" collapsed="false">
      <c r="A31" s="0" t="s">
        <v>138</v>
      </c>
      <c r="B31" s="0" t="n">
        <f aca="false">L19</f>
        <v>7142.57071913015</v>
      </c>
    </row>
    <row r="32" customFormat="false" ht="15" hidden="false" customHeight="false" outlineLevel="0" collapsed="false">
      <c r="A32" s="0" t="s">
        <v>139</v>
      </c>
      <c r="B32" s="0" t="n">
        <f aca="false">IF(B27&gt;B28,B31*(1+B28/100)/((B27-B28)/100),B31*B29)</f>
        <v>132462.220609323</v>
      </c>
    </row>
    <row r="33" customFormat="false" ht="15" hidden="false" customHeight="false" outlineLevel="0" collapsed="false">
      <c r="A33" s="0" t="s">
        <v>140</v>
      </c>
      <c r="B33" s="0" t="n">
        <f aca="false">B31*B29</f>
        <v>107138.560786952</v>
      </c>
    </row>
    <row r="34" customFormat="false" ht="15" hidden="false" customHeight="false" outlineLevel="0" collapsed="false">
      <c r="A34" s="0" t="s">
        <v>141</v>
      </c>
      <c r="B34" s="0" t="n">
        <f aca="false">MAX(0,MIN(B32,B33))</f>
        <v>107138.560786952</v>
      </c>
    </row>
    <row r="35" customFormat="false" ht="15" hidden="false" customHeight="false" outlineLevel="0" collapsed="false">
      <c r="A35" s="0" t="s">
        <v>142</v>
      </c>
      <c r="B35" s="0" t="n">
        <f aca="false">B34/(1+B27/100)^L4</f>
        <v>51982.9791807866</v>
      </c>
    </row>
    <row r="36" customFormat="false" ht="15" hidden="false" customHeight="false" outlineLevel="0" collapsed="false">
      <c r="A36" s="0" t="s">
        <v>143</v>
      </c>
      <c r="B36" s="0" t="n">
        <f aca="false">B30+B35</f>
        <v>94503.7894575607</v>
      </c>
    </row>
    <row r="37" customFormat="false" ht="15" hidden="false" customHeight="false" outlineLevel="0" collapsed="false">
      <c r="A37" s="0" t="s">
        <v>144</v>
      </c>
      <c r="B37" s="0" t="n">
        <f aca="false">B36+Assumptions!$B$5-Assumptions!$B$4</f>
        <v>136469.789457561</v>
      </c>
    </row>
    <row r="38" customFormat="false" ht="15" hidden="false" customHeight="false" outlineLevel="0" collapsed="false">
      <c r="A38" s="0" t="s">
        <v>145</v>
      </c>
      <c r="B38" s="0" t="n">
        <f aca="false">B37/Assumptions!$B$3*Assumptions!$B$10</f>
        <v>174.961268535334</v>
      </c>
    </row>
    <row r="39" customFormat="false" ht="15" hidden="false" customHeight="false" outlineLevel="0" collapsed="false">
      <c r="A39" s="0" t="s">
        <v>146</v>
      </c>
      <c r="B39" s="4" t="n">
        <f aca="false">B38/Assumptions!$B$2-1</f>
        <v>-0.318686649005708</v>
      </c>
    </row>
    <row r="41" customFormat="false" ht="15" hidden="false" customHeight="false" outlineLevel="0" collapsed="false">
      <c r="A41" s="0" t="s">
        <v>147</v>
      </c>
      <c r="B41" s="0" t="n">
        <f aca="false">SUMPRODUCT(-C10:L10/(1+$B$27/100)^C4:L4)</f>
        <v>3409.04998121154</v>
      </c>
    </row>
    <row r="42" customFormat="false" ht="15" hidden="false" customHeight="false" outlineLevel="0" collapsed="false">
      <c r="A42" s="0" t="s">
        <v>148</v>
      </c>
      <c r="B42" s="0" t="n">
        <f aca="false">IF(B27&gt;B28,-L10*(1+B28/100)/((B27-B28)/100),-L10*20)/(1+B27/100)^L4</f>
        <v>5094.79989674251</v>
      </c>
    </row>
    <row r="43" customFormat="false" ht="15" hidden="false" customHeight="false" outlineLevel="0" collapsed="false">
      <c r="A43" s="0" t="s">
        <v>149</v>
      </c>
      <c r="B43" s="0" t="n">
        <f aca="false">(B37+B41+B42)/Assumptions!$B$3*Assumptions!$B$10</f>
        <v>185.863640173737</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56041.7087193288</v>
      </c>
    </row>
    <row r="47" customFormat="false" ht="15" hidden="false" customHeight="false" outlineLevel="0" collapsed="false">
      <c r="A47" s="0" t="s">
        <v>151</v>
      </c>
      <c r="B47" s="0" t="n">
        <f aca="false">(SUMPRODUCT(C19:L19/(1+B45/100)^C4:L4)+B46/(1+B45/100)^L4+Assumptions!$B$5-Assumptions!$B$4)/Assumptions!$B$3*Assumptions!$B$10</f>
        <v>110.831252883334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Assumptions!C27</f>
        <v>6.5</v>
      </c>
      <c r="D5" s="4" t="n">
        <f aca="false">Assumptions!D27</f>
        <v>6</v>
      </c>
      <c r="E5" s="4" t="n">
        <f aca="false">Assumptions!E27</f>
        <v>5.5</v>
      </c>
      <c r="F5" s="4" t="n">
        <f aca="false">Assumptions!F27</f>
        <v>5</v>
      </c>
      <c r="G5" s="4" t="n">
        <f aca="false">Assumptions!G27</f>
        <v>4.5</v>
      </c>
      <c r="H5" s="4" t="n">
        <f aca="false">Assumptions!H27</f>
        <v>4</v>
      </c>
      <c r="I5" s="4" t="n">
        <f aca="false">Assumptions!I27</f>
        <v>3.5</v>
      </c>
      <c r="J5" s="4" t="n">
        <f aca="false">Assumptions!J27</f>
        <v>3</v>
      </c>
      <c r="K5" s="4" t="n">
        <f aca="false">Assumptions!K27</f>
        <v>3</v>
      </c>
      <c r="L5" s="4" t="n">
        <f aca="false">Assumptions!L27</f>
        <v>3</v>
      </c>
    </row>
    <row r="6" customFormat="false" ht="15" hidden="false" customHeight="false" outlineLevel="0" collapsed="false">
      <c r="A6" s="0" t="s">
        <v>37</v>
      </c>
      <c r="B6" s="3" t="n">
        <v>59000</v>
      </c>
      <c r="C6" s="0" t="n">
        <f aca="false">B6*(1+C5/100)</f>
        <v>62835</v>
      </c>
      <c r="D6" s="0" t="n">
        <f aca="false">C6*(1+D5/100)</f>
        <v>66605.1</v>
      </c>
      <c r="E6" s="0" t="n">
        <f aca="false">D6*(1+E5/100)</f>
        <v>70268.3805</v>
      </c>
      <c r="F6" s="0" t="n">
        <f aca="false">E6*(1+F5/100)</f>
        <v>73781.799525</v>
      </c>
      <c r="G6" s="0" t="n">
        <f aca="false">F6*(1+G5/100)</f>
        <v>77101.980503625</v>
      </c>
      <c r="H6" s="0" t="n">
        <f aca="false">G6*(1+H5/100)</f>
        <v>80186.05972377</v>
      </c>
      <c r="I6" s="0" t="n">
        <f aca="false">H6*(1+I5/100)</f>
        <v>82992.571814102</v>
      </c>
      <c r="J6" s="0" t="n">
        <f aca="false">I6*(1+J5/100)</f>
        <v>85482.348968525</v>
      </c>
      <c r="K6" s="0" t="n">
        <f aca="false">J6*(1+K5/100)</f>
        <v>88046.8194375808</v>
      </c>
      <c r="L6" s="0" t="n">
        <f aca="false">K6*(1+L5/100)</f>
        <v>90688.2240207082</v>
      </c>
    </row>
    <row r="7" customFormat="false" ht="15" hidden="false" customHeight="false" outlineLevel="0" collapsed="false">
      <c r="A7" s="0" t="s">
        <v>108</v>
      </c>
      <c r="C7" s="4" t="n">
        <f aca="false">Assumptions!C28</f>
        <v>18.5</v>
      </c>
      <c r="D7" s="4" t="n">
        <f aca="false">Assumptions!D28</f>
        <v>19</v>
      </c>
      <c r="E7" s="4" t="n">
        <f aca="false">Assumptions!E28</f>
        <v>19.25</v>
      </c>
      <c r="F7" s="4" t="n">
        <f aca="false">Assumptions!F28</f>
        <v>19.5</v>
      </c>
      <c r="G7" s="4" t="n">
        <f aca="false">Assumptions!G28</f>
        <v>19.5</v>
      </c>
      <c r="H7" s="4" t="n">
        <f aca="false">Assumptions!H28</f>
        <v>19.5</v>
      </c>
      <c r="I7" s="4" t="n">
        <f aca="false">Assumptions!I28</f>
        <v>19.5</v>
      </c>
      <c r="J7" s="4" t="n">
        <f aca="false">Assumptions!J28</f>
        <v>19.5</v>
      </c>
      <c r="K7" s="4" t="n">
        <f aca="false">Assumptions!K28</f>
        <v>19.5</v>
      </c>
      <c r="L7" s="4" t="n">
        <f aca="false">Assumptions!L28</f>
        <v>19.5</v>
      </c>
    </row>
    <row r="8" customFormat="false" ht="15" hidden="false" customHeight="false" outlineLevel="0" collapsed="false">
      <c r="A8" s="0" t="s">
        <v>43</v>
      </c>
      <c r="C8" s="0" t="n">
        <f aca="false">C6*C7/100</f>
        <v>11624.475</v>
      </c>
      <c r="D8" s="0" t="n">
        <f aca="false">D6*D7/100</f>
        <v>12654.969</v>
      </c>
      <c r="E8" s="0" t="n">
        <f aca="false">E6*E7/100</f>
        <v>13526.66324625</v>
      </c>
      <c r="F8" s="0" t="n">
        <f aca="false">F6*F7/100</f>
        <v>14387.450907375</v>
      </c>
      <c r="G8" s="0" t="n">
        <f aca="false">G6*G7/100</f>
        <v>15034.8861982069</v>
      </c>
      <c r="H8" s="0" t="n">
        <f aca="false">H6*H7/100</f>
        <v>15636.2816461352</v>
      </c>
      <c r="I8" s="0" t="n">
        <f aca="false">I6*I7/100</f>
        <v>16183.5515037499</v>
      </c>
      <c r="J8" s="0" t="n">
        <f aca="false">J6*J7/100</f>
        <v>16669.0580488624</v>
      </c>
      <c r="K8" s="0" t="n">
        <f aca="false">K6*K7/100</f>
        <v>17169.1297903283</v>
      </c>
      <c r="L8" s="0" t="n">
        <f aca="false">L6*L7/100</f>
        <v>17684.2036840381</v>
      </c>
    </row>
    <row r="9" customFormat="false" ht="15" hidden="false" customHeight="false" outlineLevel="0" collapsed="false">
      <c r="A9" s="0" t="s">
        <v>109</v>
      </c>
      <c r="C9" s="4" t="n">
        <f aca="false">Assumptions!C29</f>
        <v>0.75</v>
      </c>
      <c r="D9" s="4" t="n">
        <f aca="false">Assumptions!D29</f>
        <v>0.75</v>
      </c>
      <c r="E9" s="4" t="n">
        <f aca="false">Assumptions!E29</f>
        <v>0.75</v>
      </c>
      <c r="F9" s="4" t="n">
        <f aca="false">Assumptions!F29</f>
        <v>0.75</v>
      </c>
      <c r="G9" s="4" t="n">
        <f aca="false">Assumptions!G29</f>
        <v>0.75</v>
      </c>
      <c r="H9" s="4" t="n">
        <f aca="false">Assumptions!H29</f>
        <v>0.75</v>
      </c>
      <c r="I9" s="4" t="n">
        <f aca="false">Assumptions!I29</f>
        <v>0.75</v>
      </c>
      <c r="J9" s="4" t="n">
        <f aca="false">Assumptions!J29</f>
        <v>0.75</v>
      </c>
      <c r="K9" s="4" t="n">
        <f aca="false">Assumptions!K29</f>
        <v>0.75</v>
      </c>
      <c r="L9" s="4" t="n">
        <f aca="false">Assumptions!L29</f>
        <v>0.75</v>
      </c>
    </row>
    <row r="10" customFormat="false" ht="15" hidden="false" customHeight="false" outlineLevel="0" collapsed="false">
      <c r="A10" s="0" t="s">
        <v>124</v>
      </c>
      <c r="C10" s="0" t="n">
        <f aca="false">-C6*C9/100</f>
        <v>-471.2625</v>
      </c>
      <c r="D10" s="0" t="n">
        <f aca="false">-D6*D9/100</f>
        <v>-499.53825</v>
      </c>
      <c r="E10" s="0" t="n">
        <f aca="false">-E6*E9/100</f>
        <v>-527.01285375</v>
      </c>
      <c r="F10" s="0" t="n">
        <f aca="false">-F6*F9/100</f>
        <v>-553.3634964375</v>
      </c>
      <c r="G10" s="0" t="n">
        <f aca="false">-G6*G9/100</f>
        <v>-578.264853777188</v>
      </c>
      <c r="H10" s="0" t="n">
        <f aca="false">-H6*H9/100</f>
        <v>-601.395447928275</v>
      </c>
      <c r="I10" s="0" t="n">
        <f aca="false">-I6*I9/100</f>
        <v>-622.444288605765</v>
      </c>
      <c r="J10" s="0" t="n">
        <f aca="false">-J6*J9/100</f>
        <v>-641.117617263938</v>
      </c>
      <c r="K10" s="0" t="n">
        <f aca="false">-K6*K9/100</f>
        <v>-660.351145781856</v>
      </c>
      <c r="L10" s="0" t="n">
        <f aca="false">-L6*L9/100</f>
        <v>-680.161680155312</v>
      </c>
    </row>
    <row r="11" customFormat="false" ht="15" hidden="false" customHeight="false" outlineLevel="0" collapsed="false">
      <c r="A11" s="0" t="s">
        <v>125</v>
      </c>
      <c r="C11" s="0" t="n">
        <f aca="false">C8+C10+C24</f>
        <v>11153.2125</v>
      </c>
      <c r="D11" s="0" t="n">
        <f aca="false">D8+D10+D24</f>
        <v>12155.43075</v>
      </c>
      <c r="E11" s="0" t="n">
        <f aca="false">E8+E10+E24</f>
        <v>12999.6503925</v>
      </c>
      <c r="F11" s="0" t="n">
        <f aca="false">F8+F10+F24</f>
        <v>13834.0874109375</v>
      </c>
      <c r="G11" s="0" t="n">
        <f aca="false">G8+G10+G24</f>
        <v>14456.6213444297</v>
      </c>
      <c r="H11" s="0" t="n">
        <f aca="false">H8+H10+H24</f>
        <v>15034.8861982069</v>
      </c>
      <c r="I11" s="0" t="n">
        <f aca="false">I8+I10+I24</f>
        <v>15561.1072151441</v>
      </c>
      <c r="J11" s="0" t="n">
        <f aca="false">J8+J10+J24</f>
        <v>16027.9404315984</v>
      </c>
      <c r="K11" s="0" t="n">
        <f aca="false">K8+K10+K24</f>
        <v>16508.7786445464</v>
      </c>
      <c r="L11" s="0" t="n">
        <f aca="false">L8+L10+L24</f>
        <v>17004.0420038828</v>
      </c>
    </row>
    <row r="12" customFormat="false" ht="15" hidden="false" customHeight="false" outlineLevel="0" collapsed="false">
      <c r="A12" s="0" t="s">
        <v>126</v>
      </c>
      <c r="C12" s="4" t="n">
        <f aca="false">-C6*Assumptions!C31/100</f>
        <v>-2324.895</v>
      </c>
      <c r="D12" s="4" t="n">
        <f aca="false">-D6*Assumptions!D31/100</f>
        <v>-2397.7836</v>
      </c>
      <c r="E12" s="4" t="n">
        <f aca="false">-E6*Assumptions!E31/100</f>
        <v>-2529.661698</v>
      </c>
      <c r="F12" s="4" t="n">
        <f aca="false">-F6*Assumptions!F31/100</f>
        <v>-2582.362983375</v>
      </c>
      <c r="G12" s="4" t="n">
        <f aca="false">-G6*Assumptions!G31/100</f>
        <v>-2698.56931762688</v>
      </c>
      <c r="H12" s="4" t="n">
        <f aca="false">-H6*Assumptions!H31/100</f>
        <v>-2726.32603060818</v>
      </c>
      <c r="I12" s="4" t="n">
        <f aca="false">-I6*Assumptions!I31/100</f>
        <v>-2821.74744167947</v>
      </c>
      <c r="J12" s="4" t="n">
        <f aca="false">-J6*Assumptions!J31/100</f>
        <v>-2906.39986492985</v>
      </c>
      <c r="K12" s="4" t="n">
        <f aca="false">-K6*Assumptions!K31/100</f>
        <v>-2993.59186087775</v>
      </c>
      <c r="L12" s="4" t="n">
        <f aca="false">-L6*Assumptions!L31/100</f>
        <v>-3083.39961670408</v>
      </c>
    </row>
    <row r="13" customFormat="false" ht="15" hidden="false" customHeight="false" outlineLevel="0" collapsed="false">
      <c r="A13" s="0" t="s">
        <v>127</v>
      </c>
      <c r="C13" s="0" t="n">
        <f aca="false">C11+C12</f>
        <v>8828.3175</v>
      </c>
      <c r="D13" s="0" t="n">
        <f aca="false">D11+D12</f>
        <v>9757.64715</v>
      </c>
      <c r="E13" s="0" t="n">
        <f aca="false">E11+E12</f>
        <v>10469.9886945</v>
      </c>
      <c r="F13" s="0" t="n">
        <f aca="false">F11+F12</f>
        <v>11251.7244275625</v>
      </c>
      <c r="G13" s="0" t="n">
        <f aca="false">G11+G12</f>
        <v>11758.0520268028</v>
      </c>
      <c r="H13" s="0" t="n">
        <f aca="false">H11+H12</f>
        <v>12308.5601675987</v>
      </c>
      <c r="I13" s="0" t="n">
        <f aca="false">I11+I12</f>
        <v>12739.3597734647</v>
      </c>
      <c r="J13" s="0" t="n">
        <f aca="false">J11+J12</f>
        <v>13121.5405666686</v>
      </c>
      <c r="K13" s="0" t="n">
        <f aca="false">K11+K12</f>
        <v>13515.1867836687</v>
      </c>
      <c r="L13" s="0" t="n">
        <f aca="false">L11+L12</f>
        <v>13920.6423871787</v>
      </c>
    </row>
    <row r="14" customFormat="false" ht="15" hidden="false" customHeight="false" outlineLevel="0" collapsed="false">
      <c r="A14" s="0" t="s">
        <v>113</v>
      </c>
      <c r="C14" s="4" t="n">
        <f aca="false">Assumptions!C33</f>
        <v>26</v>
      </c>
      <c r="D14" s="4" t="n">
        <f aca="false">Assumptions!D33</f>
        <v>26</v>
      </c>
      <c r="E14" s="4" t="n">
        <f aca="false">Assumptions!E33</f>
        <v>26</v>
      </c>
      <c r="F14" s="4" t="n">
        <f aca="false">Assumptions!F33</f>
        <v>26</v>
      </c>
      <c r="G14" s="4" t="n">
        <f aca="false">Assumptions!G33</f>
        <v>26</v>
      </c>
      <c r="H14" s="4" t="n">
        <f aca="false">Assumptions!H33</f>
        <v>26</v>
      </c>
      <c r="I14" s="4" t="n">
        <f aca="false">Assumptions!I33</f>
        <v>26</v>
      </c>
      <c r="J14" s="4" t="n">
        <f aca="false">Assumptions!J33</f>
        <v>26</v>
      </c>
      <c r="K14" s="4" t="n">
        <f aca="false">Assumptions!K33</f>
        <v>26</v>
      </c>
      <c r="L14" s="4" t="n">
        <f aca="false">Assumptions!L33</f>
        <v>26</v>
      </c>
    </row>
    <row r="15" customFormat="false" ht="15" hidden="false" customHeight="false" outlineLevel="0" collapsed="false">
      <c r="A15" s="0" t="s">
        <v>128</v>
      </c>
      <c r="C15" s="0" t="n">
        <f aca="false">C13-MAX(0,C13)*C14/100</f>
        <v>6532.95495</v>
      </c>
      <c r="D15" s="0" t="n">
        <f aca="false">D13-MAX(0,D13)*D14/100</f>
        <v>7220.658891</v>
      </c>
      <c r="E15" s="0" t="n">
        <f aca="false">E13-MAX(0,E13)*E14/100</f>
        <v>7747.79163393</v>
      </c>
      <c r="F15" s="0" t="n">
        <f aca="false">F13-MAX(0,F13)*F14/100</f>
        <v>8326.27607639625</v>
      </c>
      <c r="G15" s="0" t="n">
        <f aca="false">G13-MAX(0,G13)*G14/100</f>
        <v>8700.95849983408</v>
      </c>
      <c r="H15" s="0" t="n">
        <f aca="false">H13-MAX(0,H13)*H14/100</f>
        <v>9108.33452402304</v>
      </c>
      <c r="I15" s="0" t="n">
        <f aca="false">I13-MAX(0,I13)*I14/100</f>
        <v>9427.12623236384</v>
      </c>
      <c r="J15" s="0" t="n">
        <f aca="false">J13-MAX(0,J13)*J14/100</f>
        <v>9709.94001933476</v>
      </c>
      <c r="K15" s="0" t="n">
        <f aca="false">K13-MAX(0,K13)*K14/100</f>
        <v>10001.2382199148</v>
      </c>
      <c r="L15" s="0" t="n">
        <f aca="false">L13-MAX(0,L13)*L14/100</f>
        <v>10301.2753665122</v>
      </c>
    </row>
    <row r="16" customFormat="false" ht="15" hidden="false" customHeight="false" outlineLevel="0" collapsed="false">
      <c r="A16" s="0" t="s">
        <v>129</v>
      </c>
      <c r="C16" s="0" t="n">
        <f aca="false">-C12</f>
        <v>2324.895</v>
      </c>
      <c r="D16" s="0" t="n">
        <f aca="false">-D12</f>
        <v>2397.7836</v>
      </c>
      <c r="E16" s="0" t="n">
        <f aca="false">-E12</f>
        <v>2529.661698</v>
      </c>
      <c r="F16" s="0" t="n">
        <f aca="false">-F12</f>
        <v>2582.362983375</v>
      </c>
      <c r="G16" s="0" t="n">
        <f aca="false">-G12</f>
        <v>2698.56931762688</v>
      </c>
      <c r="H16" s="0" t="n">
        <f aca="false">-H12</f>
        <v>2726.32603060818</v>
      </c>
      <c r="I16" s="0" t="n">
        <f aca="false">-I12</f>
        <v>2821.74744167947</v>
      </c>
      <c r="J16" s="0" t="n">
        <f aca="false">-J12</f>
        <v>2906.39986492985</v>
      </c>
      <c r="K16" s="0" t="n">
        <f aca="false">-K12</f>
        <v>2993.59186087775</v>
      </c>
      <c r="L16" s="0" t="n">
        <f aca="false">-L12</f>
        <v>3083.39961670408</v>
      </c>
    </row>
    <row r="17" customFormat="false" ht="15" hidden="false" customHeight="false" outlineLevel="0" collapsed="false">
      <c r="A17" s="0" t="s">
        <v>130</v>
      </c>
      <c r="C17" s="4" t="n">
        <f aca="false">-C6*Assumptions!C32/100</f>
        <v>-2324.895</v>
      </c>
      <c r="D17" s="4" t="n">
        <f aca="false">-D6*Assumptions!D32/100</f>
        <v>-2464.3887</v>
      </c>
      <c r="E17" s="4" t="n">
        <f aca="false">-E6*Assumptions!E32/100</f>
        <v>-2599.9300785</v>
      </c>
      <c r="F17" s="4" t="n">
        <f aca="false">-F6*Assumptions!F32/100</f>
        <v>-2729.926582425</v>
      </c>
      <c r="G17" s="4" t="n">
        <f aca="false">-G6*Assumptions!G32/100</f>
        <v>-2852.77327863413</v>
      </c>
      <c r="H17" s="4" t="n">
        <f aca="false">-H6*Assumptions!H32/100</f>
        <v>-2966.88420977949</v>
      </c>
      <c r="I17" s="4" t="n">
        <f aca="false">-I6*Assumptions!I32/100</f>
        <v>-3070.72515712177</v>
      </c>
      <c r="J17" s="4" t="n">
        <f aca="false">-J6*Assumptions!J32/100</f>
        <v>-3162.84691183543</v>
      </c>
      <c r="K17" s="4" t="n">
        <f aca="false">-K6*Assumptions!K32/100</f>
        <v>-3257.73231919049</v>
      </c>
      <c r="L17" s="4" t="n">
        <f aca="false">-L6*Assumptions!L32/100</f>
        <v>-3355.4642887662</v>
      </c>
    </row>
    <row r="18" customFormat="false" ht="15" hidden="false" customHeight="false" outlineLevel="0" collapsed="false">
      <c r="A18" s="0" t="s">
        <v>131</v>
      </c>
      <c r="C18" s="4" t="n">
        <f aca="false">(C6-B6)*Assumptions!$B$37/100</f>
        <v>-383.5</v>
      </c>
      <c r="D18" s="4" t="n">
        <f aca="false">(D6-C6)*Assumptions!$B$37/100</f>
        <v>-377.010000000001</v>
      </c>
      <c r="E18" s="4" t="n">
        <f aca="false">(E6-D6)*Assumptions!$B$37/100</f>
        <v>-366.328049999999</v>
      </c>
      <c r="F18" s="4" t="n">
        <f aca="false">(F6-E6)*Assumptions!$B$37/100</f>
        <v>-351.341902500001</v>
      </c>
      <c r="G18" s="4" t="n">
        <f aca="false">(G6-F6)*Assumptions!$B$37/100</f>
        <v>-332.018097862499</v>
      </c>
      <c r="H18" s="4" t="n">
        <f aca="false">(H6-G6)*Assumptions!$B$37/100</f>
        <v>-308.407922014501</v>
      </c>
      <c r="I18" s="4" t="n">
        <f aca="false">(I6-H6)*Assumptions!$B$37/100</f>
        <v>-280.651209033195</v>
      </c>
      <c r="J18" s="4" t="n">
        <f aca="false">(J6-I6)*Assumptions!$B$37/100</f>
        <v>-248.977715442306</v>
      </c>
      <c r="K18" s="4" t="n">
        <f aca="false">(K6-J6)*Assumptions!$B$37/100</f>
        <v>-256.447046905576</v>
      </c>
      <c r="L18" s="4" t="n">
        <f aca="false">(L6-K6)*Assumptions!$B$37/100</f>
        <v>-264.140458312743</v>
      </c>
    </row>
    <row r="19" customFormat="false" ht="15" hidden="false" customHeight="false" outlineLevel="0" collapsed="false">
      <c r="A19" s="0" t="s">
        <v>132</v>
      </c>
      <c r="C19" s="0" t="n">
        <f aca="false">C15+C16+C17+C18</f>
        <v>6149.45495</v>
      </c>
      <c r="D19" s="0" t="n">
        <f aca="false">D15+D16+D17+D18</f>
        <v>6777.043791</v>
      </c>
      <c r="E19" s="0" t="n">
        <f aca="false">E15+E16+E17+E18</f>
        <v>7311.19520343</v>
      </c>
      <c r="F19" s="0" t="n">
        <f aca="false">F15+F16+F17+F18</f>
        <v>7827.37057484625</v>
      </c>
      <c r="G19" s="0" t="n">
        <f aca="false">G15+G16+G17+G18</f>
        <v>8214.73644096433</v>
      </c>
      <c r="H19" s="0" t="n">
        <f aca="false">H15+H16+H17+H18</f>
        <v>8559.36842283722</v>
      </c>
      <c r="I19" s="0" t="n">
        <f aca="false">I15+I16+I17+I18</f>
        <v>8897.49730788834</v>
      </c>
      <c r="J19" s="0" t="n">
        <f aca="false">J15+J16+J17+J18</f>
        <v>9204.51525698688</v>
      </c>
      <c r="K19" s="0" t="n">
        <f aca="false">K15+K16+K17+K18</f>
        <v>9480.65071469648</v>
      </c>
      <c r="L19" s="0" t="n">
        <f aca="false">L15+L16+L17+L18</f>
        <v>9765.07023613738</v>
      </c>
    </row>
    <row r="20" customFormat="false" ht="15" hidden="false" customHeight="false" outlineLevel="0" collapsed="false">
      <c r="A20" s="0" t="s">
        <v>133</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134</v>
      </c>
      <c r="C21" s="0" t="n">
        <f aca="false">C19*C20</f>
        <v>5720.42320930233</v>
      </c>
      <c r="D21" s="0" t="n">
        <f aca="false">D19*D20</f>
        <v>5864.3970068145</v>
      </c>
      <c r="E21" s="0" t="n">
        <f aca="false">E19*E20</f>
        <v>5885.22385474889</v>
      </c>
      <c r="F21" s="0" t="n">
        <f aca="false">F19*F20</f>
        <v>5861.13923320088</v>
      </c>
      <c r="G21" s="0" t="n">
        <f aca="false">G19*G20</f>
        <v>5722.04558043478</v>
      </c>
      <c r="H21" s="0" t="n">
        <f aca="false">H19*H20</f>
        <v>5546.1413603649</v>
      </c>
      <c r="I21" s="0" t="n">
        <f aca="false">I19*I20</f>
        <v>5363.01010805542</v>
      </c>
      <c r="J21" s="0" t="n">
        <f aca="false">J19*J20</f>
        <v>5160.99226189598</v>
      </c>
      <c r="K21" s="0" t="n">
        <f aca="false">K19*K20</f>
        <v>4944.9507253515</v>
      </c>
      <c r="L21" s="0" t="n">
        <f aca="false">L19*L20</f>
        <v>4737.95278801121</v>
      </c>
    </row>
    <row r="23" customFormat="false" ht="15" hidden="false" customHeight="false" outlineLevel="0" collapsed="false">
      <c r="A23" s="0" t="s">
        <v>110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Assumptions!$B$34</f>
        <v>7.5</v>
      </c>
    </row>
    <row r="28" customFormat="false" ht="15" hidden="false" customHeight="false" outlineLevel="0" collapsed="false">
      <c r="A28" s="0" t="s">
        <v>115</v>
      </c>
      <c r="B28" s="4" t="n">
        <f aca="false">Assumptions!$B$35</f>
        <v>2.5</v>
      </c>
    </row>
    <row r="29" customFormat="false" ht="15" hidden="false" customHeight="false" outlineLevel="0" collapsed="false">
      <c r="A29" s="0" t="s">
        <v>116</v>
      </c>
      <c r="B29" s="4" t="n">
        <f aca="false">Assumptions!$B$36</f>
        <v>18</v>
      </c>
    </row>
    <row r="30" customFormat="false" ht="15" hidden="false" customHeight="false" outlineLevel="0" collapsed="false">
      <c r="A30" s="0" t="s">
        <v>137</v>
      </c>
      <c r="B30" s="0" t="n">
        <f aca="false">SUM(C21:L21)</f>
        <v>54806.2761281804</v>
      </c>
    </row>
    <row r="31" customFormat="false" ht="15" hidden="false" customHeight="false" outlineLevel="0" collapsed="false">
      <c r="A31" s="0" t="s">
        <v>138</v>
      </c>
      <c r="B31" s="0" t="n">
        <f aca="false">L19</f>
        <v>9765.07023613738</v>
      </c>
    </row>
    <row r="32" customFormat="false" ht="15" hidden="false" customHeight="false" outlineLevel="0" collapsed="false">
      <c r="A32" s="0" t="s">
        <v>139</v>
      </c>
      <c r="B32" s="0" t="n">
        <f aca="false">IF(B27&gt;B28,B31*(1+B28/100)/((B27-B28)/100),B31*B29)</f>
        <v>200183.939840816</v>
      </c>
    </row>
    <row r="33" customFormat="false" ht="15" hidden="false" customHeight="false" outlineLevel="0" collapsed="false">
      <c r="A33" s="0" t="s">
        <v>140</v>
      </c>
      <c r="B33" s="0" t="n">
        <f aca="false">B31*B29</f>
        <v>175771.264250473</v>
      </c>
    </row>
    <row r="34" customFormat="false" ht="15" hidden="false" customHeight="false" outlineLevel="0" collapsed="false">
      <c r="A34" s="0" t="s">
        <v>141</v>
      </c>
      <c r="B34" s="0" t="n">
        <f aca="false">MAX(0,MIN(B32,B33))</f>
        <v>175771.264250473</v>
      </c>
    </row>
    <row r="35" customFormat="false" ht="15" hidden="false" customHeight="false" outlineLevel="0" collapsed="false">
      <c r="A35" s="0" t="s">
        <v>142</v>
      </c>
      <c r="B35" s="0" t="n">
        <f aca="false">B34/(1+B27/100)^L4</f>
        <v>85283.1501842017</v>
      </c>
    </row>
    <row r="36" customFormat="false" ht="15" hidden="false" customHeight="false" outlineLevel="0" collapsed="false">
      <c r="A36" s="0" t="s">
        <v>143</v>
      </c>
      <c r="B36" s="0" t="n">
        <f aca="false">B30+B35</f>
        <v>140089.426312382</v>
      </c>
    </row>
    <row r="37" customFormat="false" ht="15" hidden="false" customHeight="false" outlineLevel="0" collapsed="false">
      <c r="A37" s="0" t="s">
        <v>144</v>
      </c>
      <c r="B37" s="0" t="n">
        <f aca="false">B36+Assumptions!$B$5-Assumptions!$B$4</f>
        <v>182055.426312382</v>
      </c>
    </row>
    <row r="38" customFormat="false" ht="15" hidden="false" customHeight="false" outlineLevel="0" collapsed="false">
      <c r="A38" s="0" t="s">
        <v>145</v>
      </c>
      <c r="B38" s="0" t="n">
        <f aca="false">B37/Assumptions!$B$3*Assumptions!$B$10</f>
        <v>233.404392708182</v>
      </c>
    </row>
    <row r="39" customFormat="false" ht="15" hidden="false" customHeight="false" outlineLevel="0" collapsed="false">
      <c r="A39" s="0" t="s">
        <v>146</v>
      </c>
      <c r="B39" s="4" t="n">
        <f aca="false">B38/Assumptions!$B$2-1</f>
        <v>-0.0911043897656461</v>
      </c>
    </row>
    <row r="41" customFormat="false" ht="15" hidden="false" customHeight="false" outlineLevel="0" collapsed="false">
      <c r="A41" s="0" t="s">
        <v>147</v>
      </c>
      <c r="B41" s="0" t="n">
        <f aca="false">SUMPRODUCT(-C10:L10/(1+$B$27/100)^C4:L4)</f>
        <v>3910.80637601532</v>
      </c>
    </row>
    <row r="42" customFormat="false" ht="15" hidden="false" customHeight="false" outlineLevel="0" collapsed="false">
      <c r="A42" s="0" t="s">
        <v>148</v>
      </c>
      <c r="B42" s="0" t="n">
        <f aca="false">IF(B27&gt;B28,-L10*(1+B28/100)/((B27-B28)/100),-L10*20)/(1+B27/100)^L4</f>
        <v>6765.21150823094</v>
      </c>
    </row>
    <row r="43" customFormat="false" ht="15" hidden="false" customHeight="false" outlineLevel="0" collapsed="false">
      <c r="A43" s="0" t="s">
        <v>149</v>
      </c>
      <c r="B43" s="0" t="n">
        <f aca="false">(B37+B41+B42)/Assumptions!$B$3*Assumptions!$B$10</f>
        <v>247.091595123882</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80073.5759363265</v>
      </c>
    </row>
    <row r="47" customFormat="false" ht="15" hidden="false" customHeight="false" outlineLevel="0" collapsed="false">
      <c r="A47" s="0" t="s">
        <v>151</v>
      </c>
      <c r="B47" s="0" t="n">
        <f aca="false">(SUMPRODUCT(C19:L19/(1+B45/100)^C4:L4)+B46/(1+B45/100)^L4+Assumptions!$B$5-Assumptions!$B$4)/Assumptions!$B$3*Assumptions!$B$10</f>
        <v>129.18019885529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Assumptions!C41</f>
        <v>8.5</v>
      </c>
      <c r="D5" s="4" t="n">
        <f aca="false">Assumptions!D41</f>
        <v>8.5</v>
      </c>
      <c r="E5" s="4" t="n">
        <f aca="false">Assumptions!E41</f>
        <v>8</v>
      </c>
      <c r="F5" s="4" t="n">
        <f aca="false">Assumptions!F41</f>
        <v>7</v>
      </c>
      <c r="G5" s="4" t="n">
        <f aca="false">Assumptions!G41</f>
        <v>6</v>
      </c>
      <c r="H5" s="4" t="n">
        <f aca="false">Assumptions!H41</f>
        <v>5.5</v>
      </c>
      <c r="I5" s="4" t="n">
        <f aca="false">Assumptions!I41</f>
        <v>5</v>
      </c>
      <c r="J5" s="4" t="n">
        <f aca="false">Assumptions!J41</f>
        <v>4.5</v>
      </c>
      <c r="K5" s="4" t="n">
        <f aca="false">Assumptions!K41</f>
        <v>4</v>
      </c>
      <c r="L5" s="4" t="n">
        <f aca="false">Assumptions!L41</f>
        <v>3.5</v>
      </c>
    </row>
    <row r="6" customFormat="false" ht="15" hidden="false" customHeight="false" outlineLevel="0" collapsed="false">
      <c r="A6" s="0" t="s">
        <v>37</v>
      </c>
      <c r="B6" s="3" t="n">
        <v>59000</v>
      </c>
      <c r="C6" s="0" t="n">
        <f aca="false">B6*(1+C5/100)</f>
        <v>64015</v>
      </c>
      <c r="D6" s="0" t="n">
        <f aca="false">C6*(1+D5/100)</f>
        <v>69456.275</v>
      </c>
      <c r="E6" s="0" t="n">
        <f aca="false">D6*(1+E5/100)</f>
        <v>75012.777</v>
      </c>
      <c r="F6" s="0" t="n">
        <f aca="false">E6*(1+F5/100)</f>
        <v>80263.67139</v>
      </c>
      <c r="G6" s="0" t="n">
        <f aca="false">F6*(1+G5/100)</f>
        <v>85079.4916734</v>
      </c>
      <c r="H6" s="0" t="n">
        <f aca="false">G6*(1+H5/100)</f>
        <v>89758.863715437</v>
      </c>
      <c r="I6" s="0" t="n">
        <f aca="false">H6*(1+I5/100)</f>
        <v>94246.8069012089</v>
      </c>
      <c r="J6" s="0" t="n">
        <f aca="false">I6*(1+J5/100)</f>
        <v>98487.9132117633</v>
      </c>
      <c r="K6" s="0" t="n">
        <f aca="false">J6*(1+K5/100)</f>
        <v>102427.429740234</v>
      </c>
      <c r="L6" s="0" t="n">
        <f aca="false">K6*(1+L5/100)</f>
        <v>106012.389781142</v>
      </c>
    </row>
    <row r="7" customFormat="false" ht="15" hidden="false" customHeight="false" outlineLevel="0" collapsed="false">
      <c r="A7" s="0" t="s">
        <v>108</v>
      </c>
      <c r="C7" s="4" t="n">
        <f aca="false">Assumptions!C42</f>
        <v>18.75</v>
      </c>
      <c r="D7" s="4" t="n">
        <f aca="false">Assumptions!D42</f>
        <v>19.5</v>
      </c>
      <c r="E7" s="4" t="n">
        <f aca="false">Assumptions!E42</f>
        <v>20.25</v>
      </c>
      <c r="F7" s="4" t="n">
        <f aca="false">Assumptions!F42</f>
        <v>20.75</v>
      </c>
      <c r="G7" s="4" t="n">
        <f aca="false">Assumptions!G42</f>
        <v>21</v>
      </c>
      <c r="H7" s="4" t="n">
        <f aca="false">Assumptions!H42</f>
        <v>21</v>
      </c>
      <c r="I7" s="4" t="n">
        <f aca="false">Assumptions!I42</f>
        <v>21</v>
      </c>
      <c r="J7" s="4" t="n">
        <f aca="false">Assumptions!J42</f>
        <v>21</v>
      </c>
      <c r="K7" s="4" t="n">
        <f aca="false">Assumptions!K42</f>
        <v>21</v>
      </c>
      <c r="L7" s="4" t="n">
        <f aca="false">Assumptions!L42</f>
        <v>21</v>
      </c>
    </row>
    <row r="8" customFormat="false" ht="15" hidden="false" customHeight="false" outlineLevel="0" collapsed="false">
      <c r="A8" s="0" t="s">
        <v>43</v>
      </c>
      <c r="C8" s="0" t="n">
        <f aca="false">C6*C7/100</f>
        <v>12002.8125</v>
      </c>
      <c r="D8" s="0" t="n">
        <f aca="false">D6*D7/100</f>
        <v>13543.973625</v>
      </c>
      <c r="E8" s="0" t="n">
        <f aca="false">E6*E7/100</f>
        <v>15190.0873425</v>
      </c>
      <c r="F8" s="0" t="n">
        <f aca="false">F6*F7/100</f>
        <v>16654.711813425</v>
      </c>
      <c r="G8" s="0" t="n">
        <f aca="false">G6*G7/100</f>
        <v>17866.693251414</v>
      </c>
      <c r="H8" s="0" t="n">
        <f aca="false">H6*H7/100</f>
        <v>18849.3613802418</v>
      </c>
      <c r="I8" s="0" t="n">
        <f aca="false">I6*I7/100</f>
        <v>19791.8294492539</v>
      </c>
      <c r="J8" s="0" t="n">
        <f aca="false">J6*J7/100</f>
        <v>20682.4617744703</v>
      </c>
      <c r="K8" s="0" t="n">
        <f aca="false">K6*K7/100</f>
        <v>21509.7602454491</v>
      </c>
      <c r="L8" s="0" t="n">
        <f aca="false">L6*L7/100</f>
        <v>22262.6018540398</v>
      </c>
    </row>
    <row r="9" customFormat="false" ht="15" hidden="false" customHeight="false" outlineLevel="0" collapsed="false">
      <c r="A9" s="0" t="s">
        <v>109</v>
      </c>
      <c r="C9" s="4" t="n">
        <f aca="false">Assumptions!C43</f>
        <v>0.75</v>
      </c>
      <c r="D9" s="4" t="n">
        <f aca="false">Assumptions!D43</f>
        <v>0.75</v>
      </c>
      <c r="E9" s="4" t="n">
        <f aca="false">Assumptions!E43</f>
        <v>0.75</v>
      </c>
      <c r="F9" s="4" t="n">
        <f aca="false">Assumptions!F43</f>
        <v>0.75</v>
      </c>
      <c r="G9" s="4" t="n">
        <f aca="false">Assumptions!G43</f>
        <v>0.75</v>
      </c>
      <c r="H9" s="4" t="n">
        <f aca="false">Assumptions!H43</f>
        <v>0.75</v>
      </c>
      <c r="I9" s="4" t="n">
        <f aca="false">Assumptions!I43</f>
        <v>0.75</v>
      </c>
      <c r="J9" s="4" t="n">
        <f aca="false">Assumptions!J43</f>
        <v>0.75</v>
      </c>
      <c r="K9" s="4" t="n">
        <f aca="false">Assumptions!K43</f>
        <v>0.75</v>
      </c>
      <c r="L9" s="4" t="n">
        <f aca="false">Assumptions!L43</f>
        <v>0.75</v>
      </c>
    </row>
    <row r="10" customFormat="false" ht="15" hidden="false" customHeight="false" outlineLevel="0" collapsed="false">
      <c r="A10" s="0" t="s">
        <v>124</v>
      </c>
      <c r="C10" s="0" t="n">
        <f aca="false">-C6*C9/100</f>
        <v>-480.1125</v>
      </c>
      <c r="D10" s="0" t="n">
        <f aca="false">-D6*D9/100</f>
        <v>-520.9220625</v>
      </c>
      <c r="E10" s="0" t="n">
        <f aca="false">-E6*E9/100</f>
        <v>-562.5958275</v>
      </c>
      <c r="F10" s="0" t="n">
        <f aca="false">-F6*F9/100</f>
        <v>-601.977535425</v>
      </c>
      <c r="G10" s="0" t="n">
        <f aca="false">-G6*G9/100</f>
        <v>-638.0961875505</v>
      </c>
      <c r="H10" s="0" t="n">
        <f aca="false">-H6*H9/100</f>
        <v>-673.191477865778</v>
      </c>
      <c r="I10" s="0" t="n">
        <f aca="false">-I6*I9/100</f>
        <v>-706.851051759066</v>
      </c>
      <c r="J10" s="0" t="n">
        <f aca="false">-J6*J9/100</f>
        <v>-738.659349088224</v>
      </c>
      <c r="K10" s="0" t="n">
        <f aca="false">-K6*K9/100</f>
        <v>-768.205723051753</v>
      </c>
      <c r="L10" s="0" t="n">
        <f aca="false">-L6*L9/100</f>
        <v>-795.092923358565</v>
      </c>
    </row>
    <row r="11" customFormat="false" ht="15" hidden="false" customHeight="false" outlineLevel="0" collapsed="false">
      <c r="A11" s="0" t="s">
        <v>125</v>
      </c>
      <c r="C11" s="0" t="n">
        <f aca="false">C8+C10+C24</f>
        <v>11522.7</v>
      </c>
      <c r="D11" s="0" t="n">
        <f aca="false">D8+D10+D24</f>
        <v>13023.0515625</v>
      </c>
      <c r="E11" s="0" t="n">
        <f aca="false">E8+E10+E24</f>
        <v>14627.491515</v>
      </c>
      <c r="F11" s="0" t="n">
        <f aca="false">F8+F10+F24</f>
        <v>16052.734278</v>
      </c>
      <c r="G11" s="0" t="n">
        <f aca="false">G8+G10+G24</f>
        <v>17228.5970638635</v>
      </c>
      <c r="H11" s="0" t="n">
        <f aca="false">H8+H10+H24</f>
        <v>18176.169902376</v>
      </c>
      <c r="I11" s="0" t="n">
        <f aca="false">I8+I10+I24</f>
        <v>19084.9783974948</v>
      </c>
      <c r="J11" s="0" t="n">
        <f aca="false">J8+J10+J24</f>
        <v>19943.8024253821</v>
      </c>
      <c r="K11" s="0" t="n">
        <f aca="false">K8+K10+K24</f>
        <v>20741.5545223973</v>
      </c>
      <c r="L11" s="0" t="n">
        <f aca="false">L8+L10+L24</f>
        <v>21467.5089306812</v>
      </c>
    </row>
    <row r="12" customFormat="false" ht="15" hidden="false" customHeight="false" outlineLevel="0" collapsed="false">
      <c r="A12" s="0" t="s">
        <v>126</v>
      </c>
      <c r="C12" s="4" t="n">
        <f aca="false">-C6*Assumptions!C45/100</f>
        <v>-2368.555</v>
      </c>
      <c r="D12" s="4" t="n">
        <f aca="false">-D6*Assumptions!D45/100</f>
        <v>-2500.4259</v>
      </c>
      <c r="E12" s="4" t="n">
        <f aca="false">-E6*Assumptions!E45/100</f>
        <v>-2700.459972</v>
      </c>
      <c r="F12" s="4" t="n">
        <f aca="false">-F6*Assumptions!F45/100</f>
        <v>-2809.22849865</v>
      </c>
      <c r="G12" s="4" t="n">
        <f aca="false">-G6*Assumptions!G45/100</f>
        <v>-2977.782208569</v>
      </c>
      <c r="H12" s="4" t="n">
        <f aca="false">-H6*Assumptions!H45/100</f>
        <v>-3051.80136632486</v>
      </c>
      <c r="I12" s="4" t="n">
        <f aca="false">-I6*Assumptions!I45/100</f>
        <v>-3204.3914346411</v>
      </c>
      <c r="J12" s="4" t="n">
        <f aca="false">-J6*Assumptions!J45/100</f>
        <v>-3348.58904919995</v>
      </c>
      <c r="K12" s="4" t="n">
        <f aca="false">-K6*Assumptions!K45/100</f>
        <v>-3482.53261116795</v>
      </c>
      <c r="L12" s="4" t="n">
        <f aca="false">-L6*Assumptions!L45/100</f>
        <v>-3604.42125255883</v>
      </c>
    </row>
    <row r="13" customFormat="false" ht="15" hidden="false" customHeight="false" outlineLevel="0" collapsed="false">
      <c r="A13" s="0" t="s">
        <v>127</v>
      </c>
      <c r="C13" s="0" t="n">
        <f aca="false">C11+C12</f>
        <v>9154.145</v>
      </c>
      <c r="D13" s="0" t="n">
        <f aca="false">D11+D12</f>
        <v>10522.6256625</v>
      </c>
      <c r="E13" s="0" t="n">
        <f aca="false">E11+E12</f>
        <v>11927.031543</v>
      </c>
      <c r="F13" s="0" t="n">
        <f aca="false">F11+F12</f>
        <v>13243.50577935</v>
      </c>
      <c r="G13" s="0" t="n">
        <f aca="false">G11+G12</f>
        <v>14250.8148552945</v>
      </c>
      <c r="H13" s="0" t="n">
        <f aca="false">H11+H12</f>
        <v>15124.3685360511</v>
      </c>
      <c r="I13" s="0" t="n">
        <f aca="false">I11+I12</f>
        <v>15880.5869628537</v>
      </c>
      <c r="J13" s="0" t="n">
        <f aca="false">J11+J12</f>
        <v>16595.2133761821</v>
      </c>
      <c r="K13" s="0" t="n">
        <f aca="false">K11+K12</f>
        <v>17259.0219112294</v>
      </c>
      <c r="L13" s="0" t="n">
        <f aca="false">L11+L12</f>
        <v>17863.0876781224</v>
      </c>
    </row>
    <row r="14" customFormat="false" ht="15" hidden="false" customHeight="false" outlineLevel="0" collapsed="false">
      <c r="A14" s="0" t="s">
        <v>113</v>
      </c>
      <c r="C14" s="4" t="n">
        <f aca="false">Assumptions!C47</f>
        <v>26</v>
      </c>
      <c r="D14" s="4" t="n">
        <f aca="false">Assumptions!D47</f>
        <v>26</v>
      </c>
      <c r="E14" s="4" t="n">
        <f aca="false">Assumptions!E47</f>
        <v>26</v>
      </c>
      <c r="F14" s="4" t="n">
        <f aca="false">Assumptions!F47</f>
        <v>26</v>
      </c>
      <c r="G14" s="4" t="n">
        <f aca="false">Assumptions!G47</f>
        <v>26</v>
      </c>
      <c r="H14" s="4" t="n">
        <f aca="false">Assumptions!H47</f>
        <v>26</v>
      </c>
      <c r="I14" s="4" t="n">
        <f aca="false">Assumptions!I47</f>
        <v>26</v>
      </c>
      <c r="J14" s="4" t="n">
        <f aca="false">Assumptions!J47</f>
        <v>26</v>
      </c>
      <c r="K14" s="4" t="n">
        <f aca="false">Assumptions!K47</f>
        <v>26</v>
      </c>
      <c r="L14" s="4" t="n">
        <f aca="false">Assumptions!L47</f>
        <v>26</v>
      </c>
    </row>
    <row r="15" customFormat="false" ht="15" hidden="false" customHeight="false" outlineLevel="0" collapsed="false">
      <c r="A15" s="0" t="s">
        <v>128</v>
      </c>
      <c r="C15" s="0" t="n">
        <f aca="false">C13-MAX(0,C13)*C14/100</f>
        <v>6774.0673</v>
      </c>
      <c r="D15" s="0" t="n">
        <f aca="false">D13-MAX(0,D13)*D14/100</f>
        <v>7786.74299025</v>
      </c>
      <c r="E15" s="0" t="n">
        <f aca="false">E13-MAX(0,E13)*E14/100</f>
        <v>8826.00334182</v>
      </c>
      <c r="F15" s="0" t="n">
        <f aca="false">F13-MAX(0,F13)*F14/100</f>
        <v>9800.194276719</v>
      </c>
      <c r="G15" s="0" t="n">
        <f aca="false">G13-MAX(0,G13)*G14/100</f>
        <v>10545.6029929179</v>
      </c>
      <c r="H15" s="0" t="n">
        <f aca="false">H13-MAX(0,H13)*H14/100</f>
        <v>11192.0327166778</v>
      </c>
      <c r="I15" s="0" t="n">
        <f aca="false">I13-MAX(0,I13)*I14/100</f>
        <v>11751.6343525117</v>
      </c>
      <c r="J15" s="0" t="n">
        <f aca="false">J13-MAX(0,J13)*J14/100</f>
        <v>12280.4578983748</v>
      </c>
      <c r="K15" s="0" t="n">
        <f aca="false">K13-MAX(0,K13)*K14/100</f>
        <v>12771.6762143098</v>
      </c>
      <c r="L15" s="0" t="n">
        <f aca="false">L13-MAX(0,L13)*L14/100</f>
        <v>13218.6848818106</v>
      </c>
    </row>
    <row r="16" customFormat="false" ht="15" hidden="false" customHeight="false" outlineLevel="0" collapsed="false">
      <c r="A16" s="0" t="s">
        <v>129</v>
      </c>
      <c r="C16" s="0" t="n">
        <f aca="false">-C12</f>
        <v>2368.555</v>
      </c>
      <c r="D16" s="0" t="n">
        <f aca="false">-D12</f>
        <v>2500.4259</v>
      </c>
      <c r="E16" s="0" t="n">
        <f aca="false">-E12</f>
        <v>2700.459972</v>
      </c>
      <c r="F16" s="0" t="n">
        <f aca="false">-F12</f>
        <v>2809.22849865</v>
      </c>
      <c r="G16" s="0" t="n">
        <f aca="false">-G12</f>
        <v>2977.782208569</v>
      </c>
      <c r="H16" s="0" t="n">
        <f aca="false">-H12</f>
        <v>3051.80136632486</v>
      </c>
      <c r="I16" s="0" t="n">
        <f aca="false">-I12</f>
        <v>3204.3914346411</v>
      </c>
      <c r="J16" s="0" t="n">
        <f aca="false">-J12</f>
        <v>3348.58904919995</v>
      </c>
      <c r="K16" s="0" t="n">
        <f aca="false">-K12</f>
        <v>3482.53261116795</v>
      </c>
      <c r="L16" s="0" t="n">
        <f aca="false">-L12</f>
        <v>3604.42125255883</v>
      </c>
    </row>
    <row r="17" customFormat="false" ht="15" hidden="false" customHeight="false" outlineLevel="0" collapsed="false">
      <c r="A17" s="0" t="s">
        <v>130</v>
      </c>
      <c r="C17" s="4" t="n">
        <f aca="false">-C6*Assumptions!C46/100</f>
        <v>-2432.57</v>
      </c>
      <c r="D17" s="4" t="n">
        <f aca="false">-D6*Assumptions!D46/100</f>
        <v>-2639.33845</v>
      </c>
      <c r="E17" s="4" t="n">
        <f aca="false">-E6*Assumptions!E46/100</f>
        <v>-2850.485526</v>
      </c>
      <c r="F17" s="4" t="n">
        <f aca="false">-F6*Assumptions!F46/100</f>
        <v>-3050.01951282</v>
      </c>
      <c r="G17" s="4" t="n">
        <f aca="false">-G6*Assumptions!G46/100</f>
        <v>-3147.9411919158</v>
      </c>
      <c r="H17" s="4" t="n">
        <f aca="false">-H6*Assumptions!H46/100</f>
        <v>-3321.07795747117</v>
      </c>
      <c r="I17" s="4" t="n">
        <f aca="false">-I6*Assumptions!I46/100</f>
        <v>-3487.13185534473</v>
      </c>
      <c r="J17" s="4" t="n">
        <f aca="false">-J6*Assumptions!J46/100</f>
        <v>-3644.05278883524</v>
      </c>
      <c r="K17" s="4" t="n">
        <f aca="false">-K6*Assumptions!K46/100</f>
        <v>-3789.81490038865</v>
      </c>
      <c r="L17" s="4" t="n">
        <f aca="false">-L6*Assumptions!L46/100</f>
        <v>-3922.45842190225</v>
      </c>
    </row>
    <row r="18" customFormat="false" ht="15" hidden="false" customHeight="false" outlineLevel="0" collapsed="false">
      <c r="A18" s="0" t="s">
        <v>131</v>
      </c>
      <c r="C18" s="4" t="n">
        <f aca="false">(C6-B6)*Assumptions!$B$51/100</f>
        <v>-501.5</v>
      </c>
      <c r="D18" s="4" t="n">
        <f aca="false">(D6-C6)*Assumptions!$B$51/100</f>
        <v>-544.127499999999</v>
      </c>
      <c r="E18" s="4" t="n">
        <f aca="false">(E6-D6)*Assumptions!$B$51/100</f>
        <v>-555.650200000001</v>
      </c>
      <c r="F18" s="4" t="n">
        <f aca="false">(F6-E6)*Assumptions!$B$51/100</f>
        <v>-525.089439</v>
      </c>
      <c r="G18" s="4" t="n">
        <f aca="false">(G6-F6)*Assumptions!$B$51/100</f>
        <v>-481.582028340001</v>
      </c>
      <c r="H18" s="4" t="n">
        <f aca="false">(H6-G6)*Assumptions!$B$51/100</f>
        <v>-467.937204203699</v>
      </c>
      <c r="I18" s="4" t="n">
        <f aca="false">(I6-H6)*Assumptions!$B$51/100</f>
        <v>-448.794318577186</v>
      </c>
      <c r="J18" s="4" t="n">
        <f aca="false">(J6-I6)*Assumptions!$B$51/100</f>
        <v>-424.110631055439</v>
      </c>
      <c r="K18" s="4" t="n">
        <f aca="false">(K6-J6)*Assumptions!$B$51/100</f>
        <v>-393.951652847053</v>
      </c>
      <c r="L18" s="4" t="n">
        <f aca="false">(L6-K6)*Assumptions!$B$51/100</f>
        <v>-358.496004090818</v>
      </c>
    </row>
    <row r="19" customFormat="false" ht="15" hidden="false" customHeight="false" outlineLevel="0" collapsed="false">
      <c r="A19" s="0" t="s">
        <v>132</v>
      </c>
      <c r="C19" s="0" t="n">
        <f aca="false">C15+C16+C17+C18</f>
        <v>6208.5523</v>
      </c>
      <c r="D19" s="0" t="n">
        <f aca="false">D15+D16+D17+D18</f>
        <v>7103.70294025</v>
      </c>
      <c r="E19" s="0" t="n">
        <f aca="false">E15+E16+E17+E18</f>
        <v>8120.32758782</v>
      </c>
      <c r="F19" s="0" t="n">
        <f aca="false">F15+F16+F17+F18</f>
        <v>9034.313823549</v>
      </c>
      <c r="G19" s="0" t="n">
        <f aca="false">G15+G16+G17+G18</f>
        <v>9893.86198123113</v>
      </c>
      <c r="H19" s="0" t="n">
        <f aca="false">H15+H16+H17+H18</f>
        <v>10454.8189213278</v>
      </c>
      <c r="I19" s="0" t="n">
        <f aca="false">I15+I16+I17+I18</f>
        <v>11020.0996132309</v>
      </c>
      <c r="J19" s="0" t="n">
        <f aca="false">J15+J16+J17+J18</f>
        <v>11560.883527684</v>
      </c>
      <c r="K19" s="0" t="n">
        <f aca="false">K15+K16+K17+K18</f>
        <v>12070.442272242</v>
      </c>
      <c r="L19" s="0" t="n">
        <f aca="false">L15+L16+L17+L18</f>
        <v>12542.1517083763</v>
      </c>
    </row>
    <row r="20" customFormat="false" ht="15" hidden="false" customHeight="false" outlineLevel="0" collapsed="false">
      <c r="A20" s="0" t="s">
        <v>133</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134</v>
      </c>
      <c r="C21" s="0" t="n">
        <f aca="false">C19*C20</f>
        <v>5775.39748837209</v>
      </c>
      <c r="D21" s="0" t="n">
        <f aca="false">D19*D20</f>
        <v>6147.06582174148</v>
      </c>
      <c r="E21" s="0" t="n">
        <f aca="false">E19*E20</f>
        <v>6536.54351969613</v>
      </c>
      <c r="F21" s="0" t="n">
        <f aca="false">F19*F20</f>
        <v>6764.89897723952</v>
      </c>
      <c r="G21" s="0" t="n">
        <f aca="false">G19*G20</f>
        <v>6891.65497030717</v>
      </c>
      <c r="H21" s="0" t="n">
        <f aca="false">H19*H20</f>
        <v>6774.32034354254</v>
      </c>
      <c r="I21" s="0" t="n">
        <f aca="false">I19*I20</f>
        <v>6642.41905025781</v>
      </c>
      <c r="J21" s="0" t="n">
        <f aca="false">J19*J20</f>
        <v>6482.21321397317</v>
      </c>
      <c r="K21" s="0" t="n">
        <f aca="false">K19*K20</f>
        <v>6295.74320008554</v>
      </c>
      <c r="L21" s="0" t="n">
        <f aca="false">L19*L20</f>
        <v>6085.37585674004</v>
      </c>
    </row>
    <row r="23" customFormat="false" ht="15" hidden="false" customHeight="false" outlineLevel="0" collapsed="false">
      <c r="A23" s="0" t="s">
        <v>110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Assumptions!$B$48</f>
        <v>7.5</v>
      </c>
    </row>
    <row r="28" customFormat="false" ht="15" hidden="false" customHeight="false" outlineLevel="0" collapsed="false">
      <c r="A28" s="0" t="s">
        <v>115</v>
      </c>
      <c r="B28" s="4" t="n">
        <f aca="false">Assumptions!$B$49</f>
        <v>2.75</v>
      </c>
    </row>
    <row r="29" customFormat="false" ht="15" hidden="false" customHeight="false" outlineLevel="0" collapsed="false">
      <c r="A29" s="0" t="s">
        <v>116</v>
      </c>
      <c r="B29" s="4" t="n">
        <f aca="false">Assumptions!$B$50</f>
        <v>20</v>
      </c>
    </row>
    <row r="30" customFormat="false" ht="15" hidden="false" customHeight="false" outlineLevel="0" collapsed="false">
      <c r="A30" s="0" t="s">
        <v>137</v>
      </c>
      <c r="B30" s="0" t="n">
        <f aca="false">SUM(C21:L21)</f>
        <v>64395.6324419555</v>
      </c>
    </row>
    <row r="31" customFormat="false" ht="15" hidden="false" customHeight="false" outlineLevel="0" collapsed="false">
      <c r="A31" s="0" t="s">
        <v>138</v>
      </c>
      <c r="B31" s="0" t="n">
        <f aca="false">L19</f>
        <v>12542.1517083763</v>
      </c>
    </row>
    <row r="32" customFormat="false" ht="15" hidden="false" customHeight="false" outlineLevel="0" collapsed="false">
      <c r="A32" s="0" t="s">
        <v>139</v>
      </c>
      <c r="B32" s="0" t="n">
        <f aca="false">IF(B27&gt;B28,B31*(1+B28/100)/((B27-B28)/100),B31*B29)</f>
        <v>271306.544849615</v>
      </c>
    </row>
    <row r="33" customFormat="false" ht="15" hidden="false" customHeight="false" outlineLevel="0" collapsed="false">
      <c r="A33" s="0" t="s">
        <v>140</v>
      </c>
      <c r="B33" s="0" t="n">
        <f aca="false">B31*B29</f>
        <v>250843.034167527</v>
      </c>
    </row>
    <row r="34" customFormat="false" ht="15" hidden="false" customHeight="false" outlineLevel="0" collapsed="false">
      <c r="A34" s="0" t="s">
        <v>141</v>
      </c>
      <c r="B34" s="0" t="n">
        <f aca="false">MAX(0,MIN(B32,B33))</f>
        <v>250843.034167527</v>
      </c>
    </row>
    <row r="35" customFormat="false" ht="15" hidden="false" customHeight="false" outlineLevel="0" collapsed="false">
      <c r="A35" s="0" t="s">
        <v>142</v>
      </c>
      <c r="B35" s="0" t="n">
        <f aca="false">B34/(1+B27/100)^L4</f>
        <v>121707.517134801</v>
      </c>
    </row>
    <row r="36" customFormat="false" ht="15" hidden="false" customHeight="false" outlineLevel="0" collapsed="false">
      <c r="A36" s="0" t="s">
        <v>143</v>
      </c>
      <c r="B36" s="0" t="n">
        <f aca="false">B30+B35</f>
        <v>186103.149576756</v>
      </c>
    </row>
    <row r="37" customFormat="false" ht="15" hidden="false" customHeight="false" outlineLevel="0" collapsed="false">
      <c r="A37" s="0" t="s">
        <v>144</v>
      </c>
      <c r="B37" s="0" t="n">
        <f aca="false">B36+Assumptions!$B$5-Assumptions!$B$4</f>
        <v>228069.149576756</v>
      </c>
    </row>
    <row r="38" customFormat="false" ht="15" hidden="false" customHeight="false" outlineLevel="0" collapsed="false">
      <c r="A38" s="0" t="s">
        <v>145</v>
      </c>
      <c r="B38" s="0" t="n">
        <f aca="false">B37/Assumptions!$B$3*Assumptions!$B$10</f>
        <v>292.396345611226</v>
      </c>
    </row>
    <row r="39" customFormat="false" ht="15" hidden="false" customHeight="false" outlineLevel="0" collapsed="false">
      <c r="A39" s="0" t="s">
        <v>146</v>
      </c>
      <c r="B39" s="4" t="n">
        <f aca="false">B38/Assumptions!$B$2-1</f>
        <v>0.138615053003217</v>
      </c>
    </row>
    <row r="41" customFormat="false" ht="15" hidden="false" customHeight="false" outlineLevel="0" collapsed="false">
      <c r="A41" s="0" t="s">
        <v>147</v>
      </c>
      <c r="B41" s="0" t="n">
        <f aca="false">SUMPRODUCT(-C10:L10/(1+$B$27/100)^C4:L4)</f>
        <v>4308.37281345078</v>
      </c>
    </row>
    <row r="42" customFormat="false" ht="15" hidden="false" customHeight="false" outlineLevel="0" collapsed="false">
      <c r="A42" s="0" t="s">
        <v>148</v>
      </c>
      <c r="B42" s="0" t="n">
        <f aca="false">IF(B27&gt;B28,-L10*(1+B28/100)/((B27-B28)/100),-L10*20)/(1+B27/100)^L4</f>
        <v>8344.90633615549</v>
      </c>
    </row>
    <row r="43" customFormat="false" ht="15" hidden="false" customHeight="false" outlineLevel="0" collapsed="false">
      <c r="A43" s="0" t="s">
        <v>149</v>
      </c>
      <c r="B43" s="0" t="n">
        <f aca="false">(B37+B41+B42)/Assumptions!$B$3*Assumptions!$B$10</f>
        <v>308.618498367132</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105200.496982504</v>
      </c>
    </row>
    <row r="47" customFormat="false" ht="15" hidden="false" customHeight="false" outlineLevel="0" collapsed="false">
      <c r="A47" s="0" t="s">
        <v>151</v>
      </c>
      <c r="B47" s="0" t="n">
        <f aca="false">(SUMPRODUCT(C19:L19/(1+B45/100)^C4:L4)+B46/(1+B45/100)^L4+Assumptions!$B$5-Assumptions!$B$4)/Assumptions!$B$3*Assumptions!$B$10</f>
        <v>145.047696556868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154</v>
      </c>
    </row>
    <row r="3" customFormat="false" ht="15" hidden="false" customHeight="false" outlineLevel="0" collapsed="false">
      <c r="A3" s="2" t="s">
        <v>155</v>
      </c>
      <c r="B3" s="2" t="s">
        <v>156</v>
      </c>
      <c r="C3" s="2" t="s">
        <v>146</v>
      </c>
      <c r="D3" s="2" t="s">
        <v>157</v>
      </c>
      <c r="E3" s="2" t="s">
        <v>149</v>
      </c>
      <c r="F3" s="2" t="s">
        <v>158</v>
      </c>
    </row>
    <row r="4" customFormat="false" ht="15" hidden="false" customHeight="false" outlineLevel="0" collapsed="false">
      <c r="A4" s="0" t="s">
        <v>159</v>
      </c>
      <c r="B4" s="4" t="n">
        <f aca="false">DCF_Bear!$B$38</f>
        <v>174.961268535334</v>
      </c>
      <c r="C4" s="0" t="n">
        <f aca="false">B4/Assumptions!$B$2-1</f>
        <v>-0.318686649005708</v>
      </c>
      <c r="D4" s="4" t="n">
        <f aca="false">Assumptions!$B$24</f>
        <v>0.25</v>
      </c>
      <c r="E4" s="4" t="n">
        <f aca="false">DCF_Bear!$B$43</f>
        <v>185.863640173737</v>
      </c>
      <c r="F4" s="4" t="n">
        <f aca="false">DCF_Bear!$B$47</f>
        <v>110.831252883334</v>
      </c>
    </row>
    <row r="5" customFormat="false" ht="15" hidden="false" customHeight="false" outlineLevel="0" collapsed="false">
      <c r="A5" s="0" t="s">
        <v>160</v>
      </c>
      <c r="B5" s="4" t="n">
        <f aca="false">DCF_Base!$B$38</f>
        <v>233.404392708182</v>
      </c>
      <c r="C5" s="0" t="n">
        <f aca="false">B5/Assumptions!$B$2-1</f>
        <v>-0.0911043897656461</v>
      </c>
      <c r="D5" s="4" t="n">
        <f aca="false">Assumptions!$B$38</f>
        <v>0.5</v>
      </c>
      <c r="E5" s="4" t="n">
        <f aca="false">DCF_Base!$B$43</f>
        <v>247.091595123882</v>
      </c>
      <c r="F5" s="4" t="n">
        <f aca="false">DCF_Base!$B$47</f>
        <v>129.18019885529</v>
      </c>
    </row>
    <row r="6" customFormat="false" ht="15" hidden="false" customHeight="false" outlineLevel="0" collapsed="false">
      <c r="A6" s="0" t="s">
        <v>161</v>
      </c>
      <c r="B6" s="4" t="n">
        <f aca="false">DCF_Bull!$B$38</f>
        <v>292.396345611226</v>
      </c>
      <c r="C6" s="0" t="n">
        <f aca="false">B6/Assumptions!$B$2-1</f>
        <v>0.138615053003217</v>
      </c>
      <c r="D6" s="4" t="n">
        <f aca="false">Assumptions!$B$52</f>
        <v>0.25</v>
      </c>
      <c r="E6" s="4" t="n">
        <f aca="false">DCF_Bull!$B$43</f>
        <v>308.618498367132</v>
      </c>
      <c r="F6" s="4" t="n">
        <f aca="false">DCF_Bull!$B$47</f>
        <v>145.047696556868</v>
      </c>
    </row>
    <row r="8" customFormat="false" ht="15" hidden="false" customHeight="false" outlineLevel="0" collapsed="false">
      <c r="A8" s="0" t="s">
        <v>162</v>
      </c>
      <c r="B8" s="0" t="n">
        <f aca="false">SUMPRODUCT(B4:B6,D4:D6)</f>
        <v>233.541599890731</v>
      </c>
    </row>
    <row r="9" customFormat="false" ht="15" hidden="false" customHeight="false" outlineLevel="0" collapsed="false">
      <c r="A9" s="0" t="s">
        <v>163</v>
      </c>
      <c r="B9" s="0" t="n">
        <f aca="false">SUMPRODUCT(E4:E6,D4:D6)</f>
        <v>247.166332197158</v>
      </c>
    </row>
    <row r="10" customFormat="false" ht="15" hidden="false" customHeight="false" outlineLevel="0" collapsed="false">
      <c r="A10" s="0" t="s">
        <v>164</v>
      </c>
      <c r="B10" s="0" t="n">
        <f aca="false">1-Assumptions!$B$2/B8</f>
        <v>-0.0995899664991204</v>
      </c>
    </row>
    <row r="11" customFormat="false" ht="15" hidden="false" customHeight="false" outlineLevel="0" collapsed="false">
      <c r="A11" s="0" t="s">
        <v>165</v>
      </c>
      <c r="B11" s="0" t="n">
        <f aca="false">IF(ABS(B9-B8)&gt;0.01*ABS(B8),(Assumptions!$B$2-B8)/(B9-B8)*100,"n/a")</f>
        <v>170.707207937562</v>
      </c>
    </row>
    <row r="12" customFormat="false" ht="15" hidden="false" customHeight="false" outlineLevel="0" collapsed="false">
      <c r="A12" s="0" t="s">
        <v>166</v>
      </c>
      <c r="B12" s="0" t="n">
        <f aca="false">SUMPRODUCT(F4:F6,D4:D6)</f>
        <v>128.559836787695</v>
      </c>
    </row>
    <row r="14" customFormat="false" ht="15" hidden="false" customHeight="false" outlineLevel="0" collapsed="false">
      <c r="A14" s="2" t="s">
        <v>167</v>
      </c>
      <c r="C14" s="0" t="s">
        <v>168</v>
      </c>
    </row>
    <row r="15" customFormat="false" ht="15" hidden="false" customHeight="false" outlineLevel="0" collapsed="false">
      <c r="A15" s="0" t="s">
        <v>169</v>
      </c>
      <c r="B15" s="0" t="n">
        <f aca="false">(SUMPRODUCT(DCF_Base!$C$19:$L$19/(1+$C$15/100)^DCF_Base!$C$4:$L$4)+MAX(0,MIN(IF($C$15&gt;DCF_Base!$B$28,DCF_Base!$L$19*(1+DCF_Base!$B$28/100)/(($C$15-DCF_Base!$B$28)/100),DCF_Base!$L$19*DCF_Base!$B$29),DCF_Base!$L$19*DCF_Base!$B$29))/(1+$C$15/100)^DCF_Base!$L$4+Assumptions!$B$5-Assumptions!$B$4)/Assumptions!$B$3*Assumptions!$B$10</f>
        <v>233.404392708182</v>
      </c>
      <c r="C15" s="3" t="n">
        <v>7.5</v>
      </c>
    </row>
    <row r="16" customFormat="false" ht="15" hidden="false" customHeight="false" outlineLevel="0" collapsed="false">
      <c r="A16" s="0" t="s">
        <v>170</v>
      </c>
      <c r="B16" s="0" t="n">
        <f aca="false">(SUMPRODUCT(DCF_Base!$C$19:$L$19/(1+$C$16/100)^DCF_Base!$C$4:$L$4)+MAX(0,MIN(IF($C$16&gt;DCF_Base!$B$28,DCF_Base!$L$19*(1+DCF_Base!$B$28/100)/(($C$16-DCF_Base!$B$28)/100),DCF_Base!$L$19*DCF_Base!$B$29),DCF_Base!$L$19*DCF_Base!$B$29))/(1+$C$16/100)^DCF_Base!$L$4+Assumptions!$B$5-Assumptions!$B$4)/Assumptions!$B$3*Assumptions!$B$10</f>
        <v>202.5229808421</v>
      </c>
      <c r="C16" s="3" t="n">
        <v>9</v>
      </c>
    </row>
    <row r="17" customFormat="false" ht="15" hidden="false" customHeight="false" outlineLevel="0" collapsed="false">
      <c r="A17" s="0" t="s">
        <v>171</v>
      </c>
      <c r="B17" s="0" t="n">
        <f aca="false">(SUMPRODUCT(DCF_Base!$C$19:$L$19/(1+$C$17/100)^DCF_Base!$C$4:$L$4)+MAX(0,MIN(IF($C$17&gt;DCF_Base!$B$28,DCF_Base!$L$19*(1+DCF_Base!$B$28/100)/(($C$17-DCF_Base!$B$28)/100),DCF_Base!$L$19*DCF_Base!$B$29),DCF_Base!$L$19*DCF_Base!$B$29))/(1+$C$17/100)^DCF_Base!$L$4+Assumptions!$B$5-Assumptions!$B$4)/Assumptions!$B$3*Assumptions!$B$10</f>
        <v>182.086097315437</v>
      </c>
      <c r="C17" s="3" t="n">
        <v>10</v>
      </c>
    </row>
    <row r="18" customFormat="false" ht="15" hidden="false" customHeight="false" outlineLevel="0" collapsed="false">
      <c r="A18" s="0" t="s">
        <v>172</v>
      </c>
      <c r="B18" s="0" t="n">
        <f aca="false">(SUMPRODUCT(DCF_Base!$C$19:$L$19/(1+$C$18/100)^DCF_Base!$C$4:$L$4)+MAX(0,MIN(IF($C$18&gt;DCF_Base!$B$28,DCF_Base!$L$19*(1+DCF_Base!$B$28/100)/(($C$18-DCF_Base!$B$28)/100),DCF_Base!$L$19*DCF_Base!$B$29),DCF_Base!$L$19*DCF_Base!$B$29))/(1+$C$18/100)^DCF_Base!$L$4+Assumptions!$B$5-Assumptions!$B$4)/Assumptions!$B$3*Assumptions!$B$10</f>
        <v>166.482356479482</v>
      </c>
      <c r="C18" s="3" t="n">
        <v>11</v>
      </c>
    </row>
    <row r="19" customFormat="false" ht="15" hidden="false" customHeight="false" outlineLevel="0" collapsed="false">
      <c r="A19" s="0" t="s">
        <v>173</v>
      </c>
      <c r="B19" s="0" t="n">
        <f aca="false">(SUMPRODUCT(DCF_Base!$C$19:$L$19/(1+$C$19/100)^DCF_Base!$C$4:$L$4)+MAX(0,MIN(IF($C$19&gt;DCF_Base!$B$28,DCF_Base!$L$19*(1+DCF_Base!$B$28/100)/(($C$19-DCF_Base!$B$28)/100),DCF_Base!$L$19*DCF_Base!$B$29),DCF_Base!$L$19*DCF_Base!$B$29))/(1+$C$19/100)^DCF_Base!$L$4+Assumptions!$B$5-Assumptions!$B$4)/Assumptions!$B$3*Assumptions!$B$10</f>
        <v>154.184142510243</v>
      </c>
      <c r="C19" s="3" t="n">
        <v>12</v>
      </c>
    </row>
    <row r="20" customFormat="false" ht="15" hidden="false" customHeight="false" outlineLevel="0" collapsed="false">
      <c r="A20" s="0" t="s">
        <v>174</v>
      </c>
      <c r="B20" s="0" t="n">
        <f aca="false">(SUMPRODUCT(DCF_Base!$C$19:$L$19/(1+$C$20/100)^DCF_Base!$C$4:$L$4)+MAX(0,MIN(IF($C$20&gt;DCF_Base!$B$28,DCF_Base!$L$19*(1+DCF_Base!$B$28/100)/(($C$20-DCF_Base!$B$28)/100),DCF_Base!$L$19*DCF_Base!$B$29),DCF_Base!$L$19*DCF_Base!$B$29))/(1+$C$20/100)^DCF_Base!$L$4+Assumptions!$B$5-Assumptions!$B$4)/Assumptions!$B$3*Assumptions!$B$10</f>
        <v>129.18019885529</v>
      </c>
      <c r="C20" s="3" t="n">
        <v>15</v>
      </c>
    </row>
    <row r="22" customFormat="false" ht="15" hidden="false" customHeight="false" outlineLevel="0" collapsed="false">
      <c r="A22" s="2" t="s">
        <v>175</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5.5</v>
      </c>
      <c r="B24" s="0" t="n">
        <f aca="false">(SUMPRODUCT(DCF_Base!$C$19:$L$19/(1+$A$24/100)^DCF_Base!$C$4:$L$4)+MAX(0,MIN(IF($A$24&gt;$B$23,DCF_Base!$L$19*(1+$B$23/100)/(($A$24-$B$23)/100),DCF_Base!$L$19*DCF_Base!$B$29),DCF_Base!$L$19*DCF_Base!$B$29))/(1+$A$24/100)^DCF_Base!$L$4+Assumptions!$B$5-Assumptions!$B$4)/Assumptions!$B$3*Assumptions!$B$10</f>
        <v>263.474013178166</v>
      </c>
      <c r="C24" s="0" t="n">
        <f aca="false">(SUMPRODUCT(DCF_Base!$C$19:$L$19/(1+$A$24/100)^DCF_Base!$C$4:$L$4)+MAX(0,MIN(IF($A$24&gt;$C$23,DCF_Base!$L$19*(1+$C$23/100)/(($A$24-$C$23)/100),DCF_Base!$L$19*DCF_Base!$B$29),DCF_Base!$L$19*DCF_Base!$B$29))/(1+$A$24/100)^DCF_Base!$L$4+Assumptions!$B$5-Assumptions!$B$4)/Assumptions!$B$3*Assumptions!$B$10</f>
        <v>263.474013178166</v>
      </c>
      <c r="D24" s="0" t="n">
        <f aca="false">(SUMPRODUCT(DCF_Base!$C$19:$L$19/(1+$A$24/100)^DCF_Base!$C$4:$L$4)+MAX(0,MIN(IF($A$24&gt;$D$23,DCF_Base!$L$19*(1+$D$23/100)/(($A$24-$D$23)/100),DCF_Base!$L$19*DCF_Base!$B$29),DCF_Base!$L$19*DCF_Base!$B$29))/(1+$A$24/100)^DCF_Base!$L$4+Assumptions!$B$5-Assumptions!$B$4)/Assumptions!$B$3*Assumptions!$B$10</f>
        <v>263.474013178166</v>
      </c>
      <c r="E24" s="0" t="n">
        <f aca="false">(SUMPRODUCT(DCF_Base!$C$19:$L$19/(1+$A$24/100)^DCF_Base!$C$4:$L$4)+MAX(0,MIN(IF($A$24&gt;$E$23,DCF_Base!$L$19*(1+$E$23/100)/(($A$24-$E$23)/100),DCF_Base!$L$19*DCF_Base!$B$29),DCF_Base!$L$19*DCF_Base!$B$29))/(1+$A$24/100)^DCF_Base!$L$4+Assumptions!$B$5-Assumptions!$B$4)/Assumptions!$B$3*Assumptions!$B$10</f>
        <v>263.474013178166</v>
      </c>
      <c r="F24" s="0" t="n">
        <f aca="false">(SUMPRODUCT(DCF_Base!$C$19:$L$19/(1+$A$24/100)^DCF_Base!$C$4:$L$4)+MAX(0,MIN(IF($A$24&gt;$F$23,DCF_Base!$L$19*(1+$F$23/100)/(($A$24-$F$23)/100),DCF_Base!$L$19*DCF_Base!$B$29),DCF_Base!$L$19*DCF_Base!$B$29))/(1+$A$24/100)^DCF_Base!$L$4+Assumptions!$B$5-Assumptions!$B$4)/Assumptions!$B$3*Assumptions!$B$10</f>
        <v>263.474013178166</v>
      </c>
    </row>
    <row r="25" customFormat="false" ht="15" hidden="false" customHeight="false" outlineLevel="0" collapsed="false">
      <c r="A25" s="3" t="n">
        <v>6.5</v>
      </c>
      <c r="B25" s="0" t="n">
        <f aca="false">(SUMPRODUCT(DCF_Base!$C$19:$L$19/(1+$A$25/100)^DCF_Base!$C$4:$L$4)+MAX(0,MIN(IF($A$25&gt;$B$23,DCF_Base!$L$19*(1+$B$23/100)/(($A$25-$B$23)/100),DCF_Base!$L$19*DCF_Base!$B$29),DCF_Base!$L$19*DCF_Base!$B$29))/(1+$A$25/100)^DCF_Base!$L$4+Assumptions!$B$5-Assumptions!$B$4)/Assumptions!$B$3*Assumptions!$B$10</f>
        <v>247.718091654666</v>
      </c>
      <c r="C25" s="0" t="n">
        <f aca="false">(SUMPRODUCT(DCF_Base!$C$19:$L$19/(1+$A$25/100)^DCF_Base!$C$4:$L$4)+MAX(0,MIN(IF($A$25&gt;$C$23,DCF_Base!$L$19*(1+$C$23/100)/(($A$25-$C$23)/100),DCF_Base!$L$19*DCF_Base!$B$29),DCF_Base!$L$19*DCF_Base!$B$29))/(1+$A$25/100)^DCF_Base!$L$4+Assumptions!$B$5-Assumptions!$B$4)/Assumptions!$B$3*Assumptions!$B$10</f>
        <v>247.718091654666</v>
      </c>
      <c r="D25" s="0" t="n">
        <f aca="false">(SUMPRODUCT(DCF_Base!$C$19:$L$19/(1+$A$25/100)^DCF_Base!$C$4:$L$4)+MAX(0,MIN(IF($A$25&gt;$D$23,DCF_Base!$L$19*(1+$D$23/100)/(($A$25-$D$23)/100),DCF_Base!$L$19*DCF_Base!$B$29),DCF_Base!$L$19*DCF_Base!$B$29))/(1+$A$25/100)^DCF_Base!$L$4+Assumptions!$B$5-Assumptions!$B$4)/Assumptions!$B$3*Assumptions!$B$10</f>
        <v>247.718091654666</v>
      </c>
      <c r="E25" s="0" t="n">
        <f aca="false">(SUMPRODUCT(DCF_Base!$C$19:$L$19/(1+$A$25/100)^DCF_Base!$C$4:$L$4)+MAX(0,MIN(IF($A$25&gt;$E$23,DCF_Base!$L$19*(1+$E$23/100)/(($A$25-$E$23)/100),DCF_Base!$L$19*DCF_Base!$B$29),DCF_Base!$L$19*DCF_Base!$B$29))/(1+$A$25/100)^DCF_Base!$L$4+Assumptions!$B$5-Assumptions!$B$4)/Assumptions!$B$3*Assumptions!$B$10</f>
        <v>247.718091654666</v>
      </c>
      <c r="F25" s="0" t="n">
        <f aca="false">(SUMPRODUCT(DCF_Base!$C$19:$L$19/(1+$A$25/100)^DCF_Base!$C$4:$L$4)+MAX(0,MIN(IF($A$25&gt;$F$23,DCF_Base!$L$19*(1+$F$23/100)/(($A$25-$F$23)/100),DCF_Base!$L$19*DCF_Base!$B$29),DCF_Base!$L$19*DCF_Base!$B$29))/(1+$A$25/100)^DCF_Base!$L$4+Assumptions!$B$5-Assumptions!$B$4)/Assumptions!$B$3*Assumptions!$B$10</f>
        <v>247.718091654666</v>
      </c>
    </row>
    <row r="26" customFormat="false" ht="15" hidden="false" customHeight="false" outlineLevel="0" collapsed="false">
      <c r="A26" s="3" t="n">
        <v>7.5</v>
      </c>
      <c r="B26" s="0" t="n">
        <f aca="false">(SUMPRODUCT(DCF_Base!$C$19:$L$19/(1+$A$26/100)^DCF_Base!$C$4:$L$4)+MAX(0,MIN(IF($A$26&gt;$B$23,DCF_Base!$L$19*(1+$B$23/100)/(($A$26-$B$23)/100),DCF_Base!$L$19*DCF_Base!$B$29),DCF_Base!$L$19*DCF_Base!$B$29))/(1+$A$26/100)^DCF_Base!$L$4+Assumptions!$B$5-Assumptions!$B$4)/Assumptions!$B$3*Assumptions!$B$10</f>
        <v>226.823902724833</v>
      </c>
      <c r="C26" s="0" t="n">
        <f aca="false">(SUMPRODUCT(DCF_Base!$C$19:$L$19/(1+$A$26/100)^DCF_Base!$C$4:$L$4)+MAX(0,MIN(IF($A$26&gt;$C$23,DCF_Base!$L$19*(1+$C$23/100)/(($A$26-$C$23)/100),DCF_Base!$L$19*DCF_Base!$B$29),DCF_Base!$L$19*DCF_Base!$B$29))/(1+$A$26/100)^DCF_Base!$L$4+Assumptions!$B$5-Assumptions!$B$4)/Assumptions!$B$3*Assumptions!$B$10</f>
        <v>233.404392708182</v>
      </c>
      <c r="D26" s="0" t="n">
        <f aca="false">(SUMPRODUCT(DCF_Base!$C$19:$L$19/(1+$A$26/100)^DCF_Base!$C$4:$L$4)+MAX(0,MIN(IF($A$26&gt;$D$23,DCF_Base!$L$19*(1+$D$23/100)/(($A$26-$D$23)/100),DCF_Base!$L$19*DCF_Base!$B$29),DCF_Base!$L$19*DCF_Base!$B$29))/(1+$A$26/100)^DCF_Base!$L$4+Assumptions!$B$5-Assumptions!$B$4)/Assumptions!$B$3*Assumptions!$B$10</f>
        <v>233.404392708182</v>
      </c>
      <c r="E26" s="0" t="n">
        <f aca="false">(SUMPRODUCT(DCF_Base!$C$19:$L$19/(1+$A$26/100)^DCF_Base!$C$4:$L$4)+MAX(0,MIN(IF($A$26&gt;$E$23,DCF_Base!$L$19*(1+$E$23/100)/(($A$26-$E$23)/100),DCF_Base!$L$19*DCF_Base!$B$29),DCF_Base!$L$19*DCF_Base!$B$29))/(1+$A$26/100)^DCF_Base!$L$4+Assumptions!$B$5-Assumptions!$B$4)/Assumptions!$B$3*Assumptions!$B$10</f>
        <v>233.404392708182</v>
      </c>
      <c r="F26" s="0" t="n">
        <f aca="false">(SUMPRODUCT(DCF_Base!$C$19:$L$19/(1+$A$26/100)^DCF_Base!$C$4:$L$4)+MAX(0,MIN(IF($A$26&gt;$F$23,DCF_Base!$L$19*(1+$F$23/100)/(($A$26-$F$23)/100),DCF_Base!$L$19*DCF_Base!$B$29),DCF_Base!$L$19*DCF_Base!$B$29))/(1+$A$26/100)^DCF_Base!$L$4+Assumptions!$B$5-Assumptions!$B$4)/Assumptions!$B$3*Assumptions!$B$10</f>
        <v>233.404392708182</v>
      </c>
    </row>
    <row r="27" customFormat="false" ht="15" hidden="false" customHeight="false" outlineLevel="0" collapsed="false">
      <c r="A27" s="3" t="n">
        <v>8.5</v>
      </c>
      <c r="B27" s="0" t="n">
        <f aca="false">(SUMPRODUCT(DCF_Base!$C$19:$L$19/(1+$A$27/100)^DCF_Base!$C$4:$L$4)+MAX(0,MIN(IF($A$27&gt;$B$23,DCF_Base!$L$19*(1+$B$23/100)/(($A$27-$B$23)/100),DCF_Base!$L$19*DCF_Base!$B$29),DCF_Base!$L$19*DCF_Base!$B$29))/(1+$A$27/100)^DCF_Base!$L$4+Assumptions!$B$5-Assumptions!$B$4)/Assumptions!$B$3*Assumptions!$B$10</f>
        <v>201.005542852803</v>
      </c>
      <c r="C27" s="0" t="n">
        <f aca="false">(SUMPRODUCT(DCF_Base!$C$19:$L$19/(1+$A$27/100)^DCF_Base!$C$4:$L$4)+MAX(0,MIN(IF($A$27&gt;$C$23,DCF_Base!$L$19*(1+$C$23/100)/(($A$27-$C$23)/100),DCF_Base!$L$19*DCF_Base!$B$29),DCF_Base!$L$19*DCF_Base!$B$29))/(1+$A$27/100)^DCF_Base!$L$4+Assumptions!$B$5-Assumptions!$B$4)/Assumptions!$B$3*Assumptions!$B$10</f>
        <v>207.607485279326</v>
      </c>
      <c r="D27" s="0" t="n">
        <f aca="false">(SUMPRODUCT(DCF_Base!$C$19:$L$19/(1+$A$27/100)^DCF_Base!$C$4:$L$4)+MAX(0,MIN(IF($A$27&gt;$D$23,DCF_Base!$L$19*(1+$D$23/100)/(($A$27-$D$23)/100),DCF_Base!$L$19*DCF_Base!$B$29),DCF_Base!$L$19*DCF_Base!$B$29))/(1+$A$27/100)^DCF_Base!$L$4+Assumptions!$B$5-Assumptions!$B$4)/Assumptions!$B$3*Assumptions!$B$10</f>
        <v>215.309751443603</v>
      </c>
      <c r="E27" s="0" t="n">
        <f aca="false">(SUMPRODUCT(DCF_Base!$C$19:$L$19/(1+$A$27/100)^DCF_Base!$C$4:$L$4)+MAX(0,MIN(IF($A$27&gt;$E$23,DCF_Base!$L$19*(1+$E$23/100)/(($A$27-$E$23)/100),DCF_Base!$L$19*DCF_Base!$B$29),DCF_Base!$L$19*DCF_Base!$B$29))/(1+$A$27/100)^DCF_Base!$L$4+Assumptions!$B$5-Assumptions!$B$4)/Assumptions!$B$3*Assumptions!$B$10</f>
        <v>220.385438362919</v>
      </c>
      <c r="F27" s="0" t="n">
        <f aca="false">(SUMPRODUCT(DCF_Base!$C$19:$L$19/(1+$A$27/100)^DCF_Base!$C$4:$L$4)+MAX(0,MIN(IF($A$27&gt;$F$23,DCF_Base!$L$19*(1+$F$23/100)/(($A$27-$F$23)/100),DCF_Base!$L$19*DCF_Base!$B$29),DCF_Base!$L$19*DCF_Base!$B$29))/(1+$A$27/100)^DCF_Base!$L$4+Assumptions!$B$5-Assumptions!$B$4)/Assumptions!$B$3*Assumptions!$B$10</f>
        <v>220.385438362919</v>
      </c>
    </row>
    <row r="28" customFormat="false" ht="15" hidden="false" customHeight="false" outlineLevel="0" collapsed="false">
      <c r="A28" s="3" t="n">
        <v>9.5</v>
      </c>
      <c r="B28" s="0" t="n">
        <f aca="false">(SUMPRODUCT(DCF_Base!$C$19:$L$19/(1+$A$28/100)^DCF_Base!$C$4:$L$4)+MAX(0,MIN(IF($A$28&gt;$B$23,DCF_Base!$L$19*(1+$B$23/100)/(($A$28-$B$23)/100),DCF_Base!$L$19*DCF_Base!$B$29),DCF_Base!$L$19*DCF_Base!$B$29))/(1+$A$28/100)^DCF_Base!$L$4+Assumptions!$B$5-Assumptions!$B$4)/Assumptions!$B$3*Assumptions!$B$10</f>
        <v>181.692892088344</v>
      </c>
      <c r="C28" s="0" t="n">
        <f aca="false">(SUMPRODUCT(DCF_Base!$C$19:$L$19/(1+$A$28/100)^DCF_Base!$C$4:$L$4)+MAX(0,MIN(IF($A$28&gt;$C$23,DCF_Base!$L$19*(1+$C$23/100)/(($A$28-$C$23)/100),DCF_Base!$L$19*DCF_Base!$B$29),DCF_Base!$L$19*DCF_Base!$B$29))/(1+$A$28/100)^DCF_Base!$L$4+Assumptions!$B$5-Assumptions!$B$4)/Assumptions!$B$3*Assumptions!$B$10</f>
        <v>186.302589834491</v>
      </c>
      <c r="D28" s="0" t="n">
        <f aca="false">(SUMPRODUCT(DCF_Base!$C$19:$L$19/(1+$A$28/100)^DCF_Base!$C$4:$L$4)+MAX(0,MIN(IF($A$28&gt;$D$23,DCF_Base!$L$19*(1+$D$23/100)/(($A$28-$D$23)/100),DCF_Base!$L$19*DCF_Base!$B$29),DCF_Base!$L$19*DCF_Base!$B$29))/(1+$A$28/100)^DCF_Base!$L$4+Assumptions!$B$5-Assumptions!$B$4)/Assumptions!$B$3*Assumptions!$B$10</f>
        <v>191.570815830087</v>
      </c>
      <c r="E28" s="0" t="n">
        <f aca="false">(SUMPRODUCT(DCF_Base!$C$19:$L$19/(1+$A$28/100)^DCF_Base!$C$4:$L$4)+MAX(0,MIN(IF($A$28&gt;$E$23,DCF_Base!$L$19*(1+$E$23/100)/(($A$28-$E$23)/100),DCF_Base!$L$19*DCF_Base!$B$29),DCF_Base!$L$19*DCF_Base!$B$29))/(1+$A$28/100)^DCF_Base!$L$4+Assumptions!$B$5-Assumptions!$B$4)/Assumptions!$B$3*Assumptions!$B$10</f>
        <v>197.649538132699</v>
      </c>
      <c r="F28" s="0" t="n">
        <f aca="false">(SUMPRODUCT(DCF_Base!$C$19:$L$19/(1+$A$28/100)^DCF_Base!$C$4:$L$4)+MAX(0,MIN(IF($A$28&gt;$F$23,DCF_Base!$L$19*(1+$F$23/100)/(($A$28-$F$23)/100),DCF_Base!$L$19*DCF_Base!$B$29),DCF_Base!$L$19*DCF_Base!$B$29))/(1+$A$28/100)^DCF_Base!$L$4+Assumptions!$B$5-Assumptions!$B$4)/Assumptions!$B$3*Assumptions!$B$10</f>
        <v>204.741380819078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2026-10-25T04:51:19Z</dcterms:created>
  <dc:creator>openpyxl</dc:creator>
  <dc:description/>
  <dc:language>en-NZ</dc:language>
  <cp:lastModifiedBy/>
  <dcterms:modified xsi:type="dcterms:W3CDTF">2026-10-25T04:51:19Z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