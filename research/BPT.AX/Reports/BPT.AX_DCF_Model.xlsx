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5" fontId="1" fillId="3" borderId="0" pivotButton="0" quotePrefix="0" xfId="0"/>
    <xf numFmtId="165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BPT.AX - Beach Energy Limited - owner-FCF DCF (depleting-reserve adaptation)</t>
        </is>
      </c>
    </row>
    <row r="2">
      <c r="A2" t="inlineStr">
        <is>
          <t>Version 1.0, 2026-09-21. Fresh build; supersedes nothing (first valuation of this ticker).</t>
        </is>
      </c>
    </row>
    <row r="3">
      <c r="A3" t="inlineStr">
        <is>
          <t>Built by the dcf-analyst agent (Claude Fable 5.1) on 2026-09-21 at the orchestrator's request as part of /research-stock BPT.AX.</t>
        </is>
      </c>
    </row>
    <row r="4">
      <c r="A4" s="1" t="inlineStr">
        <is>
          <t>FIGURES GO STALE. Price, net debt, share count and FY27 guidance are dated below; refresh them before relying on any output.</t>
        </is>
      </c>
    </row>
    <row r="5">
      <c r="A5" t="inlineStr"/>
    </row>
    <row r="6">
      <c r="A6" s="1" t="inlineStr">
        <is>
          <t>DATA VINTAGE</t>
        </is>
      </c>
    </row>
    <row r="7">
      <c r="A7" t="inlineStr">
        <is>
          <t>Price: A$0.87 as of 2026-09-21T06:10:32Z regular close (ASX 16:10 AEST closing auction) (Yahoo Finance chart endpoint).</t>
        </is>
      </c>
    </row>
    <row r="8">
      <c r="A8" t="inlineStr">
        <is>
          <t>Balance sheet: 30 June 2026 (Annual Report FY2026). Debt 596.7 carrying (600.0 drawn face), leases 35.6, cash 213.0 -&gt; net debt 419.3. Company-basis net debt 387.</t>
        </is>
      </c>
    </row>
    <row r="9">
      <c r="A9" t="inlineStr">
        <is>
          <t>Diluted shares: 2284.3m = FY26 weighted-average diluted (Note 6); basic on issue 2,281.3m.</t>
        </is>
      </c>
    </row>
    <row r="10">
      <c r="A10" t="inlineStr">
        <is>
          <t>Guidance: FY27 production 19.5-23.0 MMboe; capex $600-700m incl. abandonment, up to 65% growth, sustaining &lt;$450m (FY26 results, 6 Aug 2026).</t>
        </is>
      </c>
    </row>
    <row r="11">
      <c r="A11" t="inlineStr">
        <is>
          <t>Reserves: 2P 156 MMboe, 2C 174 MMboe, reserve life 8.0 years at 30 June 2026.</t>
        </is>
      </c>
    </row>
    <row r="12">
      <c r="A12" t="inlineStr"/>
    </row>
    <row r="13">
      <c r="A13" s="1" t="inlineStr">
        <is>
          <t>METHODOLOGY</t>
        </is>
      </c>
    </row>
    <row r="14">
      <c r="A14" t="inlineStr">
        <is>
          <t>Model: owner-FCF DCF per .claude/skills/dcf-methods/references/owner-fcf.md, 10-year explicit horizon, end-of-year discounting.</t>
        </is>
      </c>
    </row>
    <row r="15">
      <c r="A15" t="inlineStr">
        <is>
          <t>Depleting-reserve adaptation 1: revenue follows FY27 guidance up (full year of Waitsia) then DECLINES with 2P depletion; trailing CAGRs are not drivers.</t>
        </is>
      </c>
    </row>
    <row r="16">
      <c r="A16" t="inlineStr">
        <is>
          <t>Depleting-reserve adaptation 2: terminal value = MAX(0, MIN(Gordon, cap x FCF10)) with LOW caps (bear 5x / base 7x / bull 9x) tied to remaining reserve life; the cap binds in every scenario, so terminal growth is inert by design.</t>
        </is>
      </c>
    </row>
    <row r="17">
      <c r="A17" t="inlineStr">
        <is>
          <t>Depleting-reserve adaptation 3: all-in capex (development + exploration + ABANDONMENT, Beach's own capex-guidance basis) is a per-year driver at 27-33% of revenue; the $992m restoration provision is charged in the flows this way and NOT also deducted in the bridge.</t>
        </is>
      </c>
    </row>
    <row r="18">
      <c r="A18" t="inlineStr">
        <is>
          <t>Leases: treatment A - lease liabilities (35.6) in net debt; lease principal not deducted from flows.</t>
        </is>
      </c>
    </row>
    <row r="19">
      <c r="A19" t="inlineStr">
        <is>
          <t>SBC: expensed in the flows (0.24% of revenue) AND share count held flat - charged once. Street memo adds the SBC PV back.</t>
        </is>
      </c>
    </row>
    <row r="20">
      <c r="A20" t="inlineStr">
        <is>
          <t>Interest income (8.0) stripped from the FY0 owner-FCF anchor for consistency with the EBITDA-based component build.</t>
        </is>
      </c>
    </row>
    <row r="21">
      <c r="A21" t="inlineStr">
        <is>
          <t>Cash tax 25% flat: statutory 30%, 5-year average cash rate ~19% (exploration/development deductibility); FY26 179.7 included ~66 of FY25 catch-up.</t>
        </is>
      </c>
    </row>
    <row r="22">
      <c r="A22" t="inlineStr">
        <is>
          <t>WACC 10% built in AUD (AU 10yr ~4.4% + 5.5% ERP x beta 1.2; Kd 6.0% pre-tax; 83/17). Same in every scenario - risk is charged once, in the flows and in the 30% bear weight.</t>
        </is>
      </c>
    </row>
    <row r="23">
      <c r="A23" t="inlineStr">
        <is>
          <t>Entry price: 15% IRR with the terminal value REBUILT at the hurdle rate (min(Gordon@15%, cap x FCF10)), all three scenarios, probability-weighted.</t>
        </is>
      </c>
    </row>
    <row r="24">
      <c r="A24" t="inlineStr"/>
    </row>
    <row r="25">
      <c r="A25" s="1" t="inlineStr">
        <is>
          <t>WHOSE JUDGMENT</t>
        </is>
      </c>
    </row>
    <row r="26">
      <c r="A26" t="inlineStr">
        <is>
          <t>Scenario driver paths (growth, margin, capex %, caps, weights) are the dcf-analyst agent's judgment set on 2026-09-21 from the FY26 Annual Report and the Analysis JSON. They have not been reviewed by the user yet.</t>
        </is>
      </c>
    </row>
    <row r="27">
      <c r="A27" t="inlineStr"/>
    </row>
    <row r="28">
      <c r="A28" s="1" t="inlineStr">
        <is>
          <t>REFRESH AFTER THE NEXT PRINT (H1 FY27, ~Feb 2027)</t>
        </is>
      </c>
    </row>
    <row r="29">
      <c r="A29" t="inlineStr">
        <is>
          <t>Price + timestamp; net debt + leases; diluted shares; FY27 production/capex guidance; 2P/2C reserves (annual only); Otway GSA price-review outcome; Waitsia reliability.</t>
        </is>
      </c>
    </row>
    <row r="30">
      <c r="A30" t="inlineStr"/>
    </row>
    <row r="31">
      <c r="A31" s="1" t="inlineStr">
        <is>
          <t>ROW MAP (all DCF_* tabs identical)</t>
        </is>
      </c>
    </row>
    <row r="32">
      <c r="A32" t="inlineStr">
        <is>
          <t>3 headers | 4 year index | 5 growth % (DRIVER) | 6 revenue | 7 EBITDA margin (DRIVER) | 8 EBITDA | 9 SBC % (DRIVER) | 10 SBC $ | 11 owner EBITDA | 12 D&amp;A | 13 EBIT | 14 cash tax rate (DRIVER) | 15 NOPAT | 16 add D&amp;A | 17 all-in capex % (DRIVER) | 18 capex $ | 19 WC | 20 OWNER FCF | 21 discount factor | 22 PV FCF | 24-25 memos | 27-41 valuation block (B40 = value per share) | 43-45 street memo (B45).</t>
        </is>
      </c>
    </row>
    <row r="33">
      <c r="A33" t="inlineStr"/>
    </row>
    <row r="34">
      <c r="A34" s="1" t="inlineStr">
        <is>
          <t>CELL COLOURS</t>
        </is>
      </c>
    </row>
    <row r="35">
      <c r="A35" t="inlineStr">
        <is>
          <t>Blue font = hardcoded input. Yellow fill = key lever (driver row). Black = formula. Green font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t="inlineStr">
        <is>
          <t>Reported history (A$m unless stated). Source: BPT.AX_Metrics.csv / kpis table, adjudicated from Annual Reports FY2021-FY2026.</t>
        </is>
      </c>
    </row>
    <row r="2">
      <c r="A2" t="inlineStr">
        <is>
          <t>Period</t>
        </is>
      </c>
      <c r="B2" t="inlineStr">
        <is>
          <t>Total revenue</t>
        </is>
      </c>
      <c r="C2" t="inlineStr">
        <is>
          <t>Underlying EBITDA</t>
        </is>
      </c>
      <c r="D2" t="inlineStr">
        <is>
          <t>Underlying NPAT</t>
        </is>
      </c>
      <c r="E2" t="inlineStr">
        <is>
          <t>OCF</t>
        </is>
      </c>
      <c r="F2" t="inlineStr">
        <is>
          <t>Investing capex</t>
        </is>
      </c>
      <c r="G2" t="inlineStr">
        <is>
          <t>Reported FCF</t>
        </is>
      </c>
      <c r="H2" t="inlineStr">
        <is>
          <t>SBC</t>
        </is>
      </c>
      <c r="I2" t="inlineStr">
        <is>
          <t>Interest income</t>
        </is>
      </c>
      <c r="J2" t="inlineStr">
        <is>
          <t>Cash tax paid</t>
        </is>
      </c>
      <c r="K2" t="inlineStr">
        <is>
          <t>Production MMboe</t>
        </is>
      </c>
      <c r="L2" t="inlineStr">
        <is>
          <t>2P MMboe</t>
        </is>
      </c>
      <c r="M2" t="inlineStr">
        <is>
          <t>2C MMboe</t>
        </is>
      </c>
      <c r="N2" t="inlineStr">
        <is>
          <t>Reserve life yrs</t>
        </is>
      </c>
      <c r="O2" t="inlineStr">
        <is>
          <t>DPS cps</t>
        </is>
      </c>
    </row>
    <row r="3">
      <c r="A3" t="inlineStr">
        <is>
          <t>FY2021</t>
        </is>
      </c>
      <c r="B3" s="2" t="n">
        <v>1562</v>
      </c>
      <c r="C3" s="2" t="n">
        <v>953</v>
      </c>
      <c r="D3" s="2" t="n">
        <v>363</v>
      </c>
      <c r="E3" s="2" t="n">
        <v>759.8</v>
      </c>
      <c r="F3" s="2" t="n">
        <v>673.6</v>
      </c>
      <c r="G3" s="2" t="n">
        <v>86.2</v>
      </c>
      <c r="H3" s="2" t="n">
        <v>2.6</v>
      </c>
      <c r="I3" s="2" t="n">
        <v>0.2</v>
      </c>
      <c r="J3" s="2" t="n">
        <v>152.9</v>
      </c>
      <c r="K3" s="2" t="n">
        <v>25.6</v>
      </c>
      <c r="L3" s="2" t="n">
        <v>339</v>
      </c>
      <c r="M3" s="2" t="n">
        <v>191</v>
      </c>
      <c r="N3" s="2" t="n">
        <v>13.2</v>
      </c>
      <c r="O3" s="2" t="n">
        <v>2</v>
      </c>
    </row>
    <row r="4">
      <c r="A4" t="inlineStr">
        <is>
          <t>FY2022</t>
        </is>
      </c>
      <c r="B4" s="2" t="n">
        <v>1771.4</v>
      </c>
      <c r="C4" s="2" t="n">
        <v>1111</v>
      </c>
      <c r="D4" s="2" t="n">
        <v>504.3</v>
      </c>
      <c r="E4" s="2" t="n">
        <v>1223.2</v>
      </c>
      <c r="F4" s="2" t="n">
        <v>912.8</v>
      </c>
      <c r="G4" s="2" t="n">
        <v>310.4</v>
      </c>
      <c r="H4" s="2" t="n">
        <v>2.1</v>
      </c>
      <c r="I4" s="2" t="n">
        <v>0.4</v>
      </c>
      <c r="J4" s="2" t="n">
        <v>109.9</v>
      </c>
      <c r="K4" s="2" t="n">
        <v>21.8</v>
      </c>
      <c r="L4" s="2" t="n">
        <v>283</v>
      </c>
      <c r="M4" s="2" t="n">
        <v>221</v>
      </c>
      <c r="N4" s="2" t="n">
        <v>12.9</v>
      </c>
      <c r="O4" s="2" t="n">
        <v>2</v>
      </c>
    </row>
    <row r="5">
      <c r="A5" t="inlineStr">
        <is>
          <t>FY2023</t>
        </is>
      </c>
      <c r="B5" s="2" t="n">
        <v>1646.4</v>
      </c>
      <c r="C5" s="2" t="n">
        <v>982</v>
      </c>
      <c r="D5" s="2" t="n">
        <v>384.8</v>
      </c>
      <c r="E5" s="2" t="n">
        <v>928.6</v>
      </c>
      <c r="F5" s="2" t="n">
        <v>1170.6</v>
      </c>
      <c r="G5" s="2" t="n">
        <v>-242</v>
      </c>
      <c r="H5" s="2" t="n">
        <v>2.4</v>
      </c>
      <c r="I5" s="2" t="n">
        <v>4.2</v>
      </c>
      <c r="J5" s="2" t="n">
        <v>123.7</v>
      </c>
      <c r="K5" s="2" t="n">
        <v>19.5</v>
      </c>
      <c r="L5" s="2" t="n">
        <v>255</v>
      </c>
      <c r="M5" s="2" t="n">
        <v>195</v>
      </c>
      <c r="N5" s="2" t="n">
        <v>13.1</v>
      </c>
      <c r="O5" s="2" t="n">
        <v>4</v>
      </c>
    </row>
    <row r="6">
      <c r="A6" t="inlineStr">
        <is>
          <t>FY2024</t>
        </is>
      </c>
      <c r="B6" s="2" t="n">
        <v>1797.6</v>
      </c>
      <c r="C6" s="2" t="n">
        <v>950</v>
      </c>
      <c r="D6" s="2" t="n">
        <v>341</v>
      </c>
      <c r="E6" s="2" t="n">
        <v>774.1</v>
      </c>
      <c r="F6" s="2" t="n">
        <v>1093</v>
      </c>
      <c r="G6" s="2" t="n">
        <v>-318.9</v>
      </c>
      <c r="H6" s="2" t="n">
        <v>1.2</v>
      </c>
      <c r="I6" s="2" t="n">
        <v>8.4</v>
      </c>
      <c r="J6" s="2" t="n">
        <v>119.6</v>
      </c>
      <c r="K6" s="2" t="n">
        <v>18.2</v>
      </c>
      <c r="L6" s="2" t="n">
        <v>205</v>
      </c>
      <c r="M6" s="2" t="n">
        <v>181</v>
      </c>
      <c r="N6" s="2" t="n">
        <v>11.3</v>
      </c>
      <c r="O6" s="2" t="n">
        <v>4</v>
      </c>
    </row>
    <row r="7">
      <c r="A7" t="inlineStr">
        <is>
          <t>FY2025</t>
        </is>
      </c>
      <c r="B7" s="2" t="n">
        <v>2106</v>
      </c>
      <c r="C7" s="2" t="n">
        <v>1136</v>
      </c>
      <c r="D7" s="2" t="n">
        <v>451</v>
      </c>
      <c r="E7" s="2" t="n">
        <v>1132.5</v>
      </c>
      <c r="F7" s="2" t="n">
        <v>792.6</v>
      </c>
      <c r="G7" s="2" t="n">
        <v>339.9</v>
      </c>
      <c r="H7" s="2" t="n">
        <v>4.4</v>
      </c>
      <c r="I7" s="2" t="n">
        <v>9.800000000000001</v>
      </c>
      <c r="J7" s="2" t="n">
        <v>65.2</v>
      </c>
      <c r="K7" s="2" t="n">
        <v>19.7</v>
      </c>
      <c r="L7" s="2" t="n">
        <v>173</v>
      </c>
      <c r="M7" s="2" t="n">
        <v>179</v>
      </c>
      <c r="N7" s="2" t="n">
        <v>8.800000000000001</v>
      </c>
      <c r="O7" s="2" t="n">
        <v>9</v>
      </c>
    </row>
    <row r="8">
      <c r="A8" t="inlineStr">
        <is>
          <t>FY2026</t>
        </is>
      </c>
      <c r="B8" s="2" t="n">
        <v>1921.2</v>
      </c>
      <c r="C8" s="2" t="n">
        <v>1040</v>
      </c>
      <c r="D8" s="2" t="n">
        <v>355</v>
      </c>
      <c r="E8" s="2" t="n">
        <v>889.7</v>
      </c>
      <c r="F8" s="2" t="n">
        <v>734.2</v>
      </c>
      <c r="G8" s="2" t="n">
        <v>155.5</v>
      </c>
      <c r="H8" s="2" t="n">
        <v>4.6</v>
      </c>
      <c r="I8" s="2" t="n">
        <v>8</v>
      </c>
      <c r="J8" s="2" t="n">
        <v>179.7</v>
      </c>
      <c r="K8" s="2" t="n">
        <v>19.4</v>
      </c>
      <c r="L8" s="2" t="n">
        <v>156</v>
      </c>
      <c r="M8" s="2" t="n">
        <v>174</v>
      </c>
      <c r="N8" s="2" t="n">
        <v>8</v>
      </c>
      <c r="O8" s="2" t="n">
        <v>3</v>
      </c>
    </row>
    <row r="10">
      <c r="A10" t="inlineStr">
        <is>
          <t>Balance sheet snapshot 30 June 2026 (Annual Report FY2026, Statement of Financial Position)</t>
        </is>
      </c>
    </row>
    <row r="11">
      <c r="A11" t="inlineStr">
        <is>
          <t>Interest-bearing liabilities (carrying)</t>
        </is>
      </c>
      <c r="B11" s="2" t="n">
        <v>596.7</v>
      </c>
    </row>
    <row r="12">
      <c r="A12" t="inlineStr">
        <is>
          <t>Drawn facilities (face)</t>
        </is>
      </c>
      <c r="B12" s="2" t="n">
        <v>600</v>
      </c>
    </row>
    <row r="13">
      <c r="A13" t="inlineStr">
        <is>
          <t>Lease liabilities</t>
        </is>
      </c>
      <c r="B13" s="2" t="n">
        <v>35.6</v>
      </c>
    </row>
    <row r="14">
      <c r="A14" t="inlineStr">
        <is>
          <t>Cash</t>
        </is>
      </c>
      <c r="B14" s="2" t="n">
        <v>213</v>
      </c>
    </row>
    <row r="15">
      <c r="A15" t="inlineStr">
        <is>
          <t>Net debt (model: debt + leases - cash)</t>
        </is>
      </c>
      <c r="B15" s="2" t="n">
        <v>419.3</v>
      </c>
    </row>
    <row r="16">
      <c r="A16" t="inlineStr">
        <is>
          <t>Net debt (company basis)</t>
        </is>
      </c>
      <c r="B16" s="2" t="n">
        <v>387</v>
      </c>
    </row>
    <row r="17">
      <c r="A17" t="inlineStr">
        <is>
          <t>Restoration provision (total)</t>
        </is>
      </c>
      <c r="B17" s="2" t="n">
        <v>991.8</v>
      </c>
    </row>
    <row r="18">
      <c r="A18" t="inlineStr">
        <is>
          <t xml:space="preserve">  of which &lt;1yr / 1-5yr / &gt;5yr</t>
        </is>
      </c>
      <c r="B18" s="2" t="inlineStr">
        <is>
          <t>117.0 / 112.4 / 762.4</t>
        </is>
      </c>
    </row>
    <row r="19">
      <c r="A19" t="inlineStr">
        <is>
          <t>Deferred tax asset</t>
        </is>
      </c>
      <c r="B19" s="2" t="n">
        <v>215.9</v>
      </c>
    </row>
    <row r="20">
      <c r="A20" t="inlineStr">
        <is>
          <t>Total equity</t>
        </is>
      </c>
      <c r="B20" s="2" t="n">
        <v>3274.2</v>
      </c>
    </row>
    <row r="22">
      <c r="A22" t="inlineStr">
        <is>
          <t>Share count (Note 6)</t>
        </is>
      </c>
    </row>
    <row r="23">
      <c r="A23" t="inlineStr">
        <is>
          <t>Basic shares on issue (m)</t>
        </is>
      </c>
      <c r="B23" s="2" t="n">
        <v>2281.3</v>
      </c>
    </row>
    <row r="24">
      <c r="A24" t="inlineStr">
        <is>
          <t>Diluted weighted-average FY26 (m) - MODEL DIVISOR</t>
        </is>
      </c>
      <c r="B24" s="2" t="n">
        <v>2284.3</v>
      </c>
    </row>
    <row r="25">
      <c r="A25" t="inlineStr">
        <is>
          <t>Treasury-share purchases FY26 (buyback_cash)</t>
        </is>
      </c>
      <c r="B25" s="2" t="n">
        <v>2.5</v>
      </c>
    </row>
    <row r="27">
      <c r="A27" t="inlineStr">
        <is>
          <t>FY27 guidance (FY26 results, 6 Aug 2026)</t>
        </is>
      </c>
    </row>
    <row r="28">
      <c r="A28" t="inlineStr">
        <is>
          <t>Production MMboe</t>
        </is>
      </c>
      <c r="B28" t="inlineStr">
        <is>
          <t>19.5-23.0</t>
        </is>
      </c>
    </row>
    <row r="29">
      <c r="A29" t="inlineStr">
        <is>
          <t>Capex A$m (incl. abandonment; up to 65% growth; sustaining &lt;450)</t>
        </is>
      </c>
      <c r="B29" t="inlineStr">
        <is>
          <t>600-700</t>
        </is>
      </c>
    </row>
    <row r="30">
      <c r="A30" t="inlineStr">
        <is>
          <t>Net gearing target</t>
        </is>
      </c>
      <c r="B30" t="inlineStr">
        <is>
          <t>&lt;15% (FY26 10.6%)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  <col width="80" customWidth="1" min="3" max="3"/>
    <col width="14" customWidth="1" min="4" max="4"/>
  </cols>
  <sheetData>
    <row r="1">
      <c r="A1" s="1" t="inlineStr">
        <is>
          <t>Global assumptions (blue = input). Notes in column C.</t>
        </is>
      </c>
    </row>
    <row r="3">
      <c r="A3" t="inlineStr">
        <is>
          <t>WACC</t>
        </is>
      </c>
      <c r="B3" s="2" t="n">
        <v>0.1</v>
      </c>
      <c r="C3" t="inlineStr">
        <is>
          <t>AUD-built: AU 10yr ~4.4% + 5.5% ERP x beta 1.2 -&gt; CoE 11.0%; Kd 4.2% post-tax; 83/17 -&gt; 9.85% ~ 10%. Same for all scenarios.</t>
        </is>
      </c>
    </row>
    <row r="4">
      <c r="A4" t="inlineStr">
        <is>
          <t>D&amp;A % of revenue</t>
        </is>
      </c>
      <c r="B4" s="2" t="n">
        <v>0.25</v>
      </c>
      <c r="C4" t="inlineStr">
        <is>
          <t>FY26 481.6 / 1,921.2 = 25.1%.</t>
        </is>
      </c>
    </row>
    <row r="5">
      <c r="A5" t="inlineStr">
        <is>
          <t>WC capture on revenue change</t>
        </is>
      </c>
      <c r="B5" s="2" t="n">
        <v>0</v>
      </c>
      <c r="C5" t="inlineStr">
        <is>
          <t>E&amp;P receivables/payables roughly offset; held at zero.</t>
        </is>
      </c>
    </row>
    <row r="6">
      <c r="A6" t="inlineStr">
        <is>
          <t>Net debt (A$m) at 30-Jun-2026</t>
        </is>
      </c>
      <c r="B6" s="2" t="n">
        <v>419.3</v>
      </c>
      <c r="C6" t="inlineStr">
        <is>
          <t>Debt 596.7 + leases 35.6 - cash 213.0. Restoration provision is in the flows via capex %, not here.</t>
        </is>
      </c>
    </row>
    <row r="7">
      <c r="A7" t="inlineStr">
        <is>
          <t>Diluted shares (m)</t>
        </is>
      </c>
      <c r="B7" s="2" t="n">
        <v>2284.3</v>
      </c>
      <c r="C7" t="inlineStr">
        <is>
          <t>FY26 weighted-average diluted, Note 6. Held flat (SBC expensed).</t>
        </is>
      </c>
    </row>
    <row r="8">
      <c r="A8" t="inlineStr">
        <is>
          <t>Current price (A$)</t>
        </is>
      </c>
      <c r="B8" s="2" t="n">
        <v>0.87</v>
      </c>
      <c r="C8" t="inlineStr">
        <is>
          <t>2026-09-21T06:10:32Z regular close (ASX 16:10 AEST closing auction)</t>
        </is>
      </c>
    </row>
    <row r="9">
      <c r="A9" t="inlineStr">
        <is>
          <t>Hurdle rate (entry price)</t>
        </is>
      </c>
      <c r="B9" s="2" t="n">
        <v>0.15</v>
      </c>
      <c r="C9" t="inlineStr">
        <is>
          <t>IRR the entry price must deliver; TV rebuilt at this rate.</t>
        </is>
      </c>
    </row>
    <row r="10">
      <c r="A10" t="inlineStr">
        <is>
          <t>Horizon (years)</t>
        </is>
      </c>
      <c r="B10" s="2" t="n">
        <v>10</v>
      </c>
      <c r="C10" t="inlineStr">
        <is>
          <t>10 years so the depletion path and restoration profile are explicit.</t>
        </is>
      </c>
    </row>
    <row r="11">
      <c r="A11" t="inlineStr">
        <is>
          <t>FY0 revenue (A$m, FY2026 total revenue)</t>
        </is>
      </c>
      <c r="B11" s="2" t="n">
        <v>1921.2</v>
      </c>
      <c r="C11" t="inlineStr">
        <is>
          <t>Sales revenue 1,801.2 + other revenue 120.0. Margins are on this base.</t>
        </is>
      </c>
    </row>
    <row r="14">
      <c r="A14" s="1" t="inlineStr">
        <is>
          <t>Scenario</t>
        </is>
      </c>
      <c r="B14" s="1" t="inlineStr">
        <is>
          <t>Terminal growth</t>
        </is>
      </c>
      <c r="C14" s="1" t="inlineStr">
        <is>
          <t>TV cap (x FCF10)</t>
        </is>
      </c>
      <c r="D14" s="1" t="inlineStr">
        <is>
          <t>Probability</t>
        </is>
      </c>
    </row>
    <row r="15">
      <c r="A15" t="inlineStr">
        <is>
          <t>Bear</t>
        </is>
      </c>
      <c r="B15" s="2" t="n">
        <v>-0.02</v>
      </c>
      <c r="C15" s="2" t="n">
        <v>5</v>
      </c>
      <c r="D15" s="2" t="n">
        <v>0.3</v>
      </c>
    </row>
    <row r="16">
      <c r="A16" t="inlineStr">
        <is>
          <t>Base</t>
        </is>
      </c>
      <c r="B16" s="2" t="n">
        <v>0</v>
      </c>
      <c r="C16" s="2" t="n">
        <v>7</v>
      </c>
      <c r="D16" s="2" t="n">
        <v>0.5</v>
      </c>
    </row>
    <row r="17">
      <c r="A17" t="inlineStr">
        <is>
          <t>Bull</t>
        </is>
      </c>
      <c r="B17" s="2" t="n">
        <v>0.01</v>
      </c>
      <c r="C17" s="2" t="n">
        <v>9</v>
      </c>
      <c r="D17" s="2" t="n">
        <v>0.2</v>
      </c>
    </row>
    <row r="18">
      <c r="A18" t="inlineStr">
        <is>
          <t>Weights sum (must be 100%)</t>
        </is>
      </c>
      <c r="D18">
        <f>SUM(D15:D17)</f>
        <v/>
      </c>
    </row>
    <row r="19">
      <c r="A19" t="inlineStr">
        <is>
          <t>Weights rationale</t>
        </is>
      </c>
      <c r="B19" t="inlineStr">
        <is>
          <t>Bear 30% (house default 15%) because the central risk - 2P halving in four years with an 8-year reserve life - is already happening, not hypothetical, and Waitsia's steady-state reliability is unproven after a 70% cost overrun. Bull 20% (default 35%) because the bull case needs several independent things to go right: exploration success, Waitsia reliability, firmer gas prices and a benign Gas Reservation Scheme outcome. Base 50%.</t>
        </is>
      </c>
    </row>
    <row r="21">
      <c r="A21" s="1" t="inlineStr">
        <is>
          <t>Scenario narratives</t>
        </is>
      </c>
    </row>
    <row r="22" ht="120" customHeight="1">
      <c r="A22" t="inlineStr">
        <is>
          <t>Bear</t>
        </is>
      </c>
      <c r="B22" s="3" t="inlineStr">
        <is>
          <t>The four-year halving of 2P (283 -&gt; 156 MMboe) continues: exploration disappoints, the Otway GSA price review lands lower, Cooper Basin flooding and Waitsia reliability issues recur, and oil weakens. Production slips 2% in FY28 then 5-6%/yr; EBITDA margin compresses to 46% as fixed field and abandonment costs weigh; all-in capex stays at 30-33% of a shrinking revenue base as the $762m of post-year-5 restoration is brought forward. Terminal cap 5x FCF with -2% growth: the business is a run-off with a residual exploration option. Owner FCF stays positive throughout, so the zero floor is not hit, but per-share value falls below the current price.</t>
        </is>
      </c>
    </row>
    <row r="23" ht="120" customHeight="1">
      <c r="A23" t="inlineStr">
        <is>
          <t>Base</t>
        </is>
      </c>
      <c r="B23" s="3" t="inlineStr">
        <is>
          <t>Waitsia delivers a full year at or near 250 TJ/d and FY27 production lands mid-guidance (~21 MMboe, +8% revenue on flat realised prices); Moomba optimisation and Western Flank drilling add a further +4% in FY28. From FY29 the 8-year 2P reserve life asserts itself: production and revenue decline 2-4%/yr as Otway, Taranaki and Western Flank deplete faster than exploration and 2C conversion replace them. Underlying EBITDA margin holds ~54-55% on the Waitsia mix then drifts to 52% as fixed costs spread over falling volumes. All-in capex (development + exploration + abandonment, Beach's own guidance basis) starts at $700m (top of FY27 guidance) and settles at 28-30% of revenue, ~$100-150m/yr above pure sustaining (&lt;$450m) to fund reserve replacement and the $992m restoration provision. Terminal value is capped at 7x FY36 FCF, roughly the reserve-life-adjusted multiple a buyer would pay for a portfolio with 2P+2C of ~330 MMboe today, rather than a growing perpetuity.</t>
        </is>
      </c>
    </row>
    <row r="24" ht="120" customHeight="1">
      <c r="A24" t="inlineStr">
        <is>
          <t>Bull</t>
        </is>
      </c>
      <c r="B24" s="3" t="inlineStr">
        <is>
          <t>Reserve replacement succeeds: the eight-well Western Flank campaign, Otway nearshore FID (Enterprise East/Selie) and Taroom Trough add 2P at a pace that holds production ~22-24 MMboe through FY31; the WA 70 PJ/yr supply gap and East Coast tightness lift realised gas prices; Waitsia's high-margin LNG cargoes push underlying EBITDA margin to 57-58%. All-in capex converges to 27% of revenue as abandonment spend falls post-Equinox. Terminal cap 9x FCF, 1% growth, reflecting a business that has demonstrated it can replace what it produces. A Domestic Gas Reservation Scheme that makes Beach's domestic-committed East Coast volumes a takeover target is upside to this case, not modelled.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Bear case - owner-FCF DCF, A$m. Drivers (yellow) in rows 5, 7, 9, 14, 17.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0.03</v>
      </c>
      <c r="D5" s="4" t="n">
        <v>-0.02</v>
      </c>
      <c r="E5" s="4" t="n">
        <v>-0.05</v>
      </c>
      <c r="F5" s="4" t="n">
        <v>-0.05</v>
      </c>
      <c r="G5" s="4" t="n">
        <v>-0.06</v>
      </c>
      <c r="H5" s="4" t="n">
        <v>-0.06</v>
      </c>
      <c r="I5" s="4" t="n">
        <v>-0.06</v>
      </c>
      <c r="J5" s="4" t="n">
        <v>-0.06</v>
      </c>
      <c r="K5" s="4" t="n">
        <v>-0.06</v>
      </c>
      <c r="L5" s="4" t="n">
        <v>-0.06</v>
      </c>
    </row>
    <row r="6">
      <c r="A6" t="inlineStr">
        <is>
          <t>Revenue</t>
        </is>
      </c>
      <c r="B6" s="5">
        <f>Assumptions!$B$11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Underlying EBITDA margin</t>
        </is>
      </c>
      <c r="B7" s="2" t="n">
        <v>0.5413283364563815</v>
      </c>
      <c r="C7" s="4" t="n">
        <v>0.5</v>
      </c>
      <c r="D7" s="4" t="n">
        <v>0.48</v>
      </c>
      <c r="E7" s="4" t="n">
        <v>0.47</v>
      </c>
      <c r="F7" s="4" t="n">
        <v>0.47</v>
      </c>
      <c r="G7" s="4" t="n">
        <v>0.46</v>
      </c>
      <c r="H7" s="4" t="n">
        <v>0.46</v>
      </c>
      <c r="I7" s="4" t="n">
        <v>0.46</v>
      </c>
      <c r="J7" s="4" t="n">
        <v>0.46</v>
      </c>
      <c r="K7" s="4" t="n">
        <v>0.46</v>
      </c>
      <c r="L7" s="4" t="n">
        <v>0.46</v>
      </c>
    </row>
    <row r="8">
      <c r="A8" t="inlineStr">
        <is>
          <t>Underlying EBITDA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B9" s="2" t="n">
        <v>0.002394336872787841</v>
      </c>
      <c r="C9" s="4" t="n">
        <v>0.0024</v>
      </c>
      <c r="D9" s="4" t="n">
        <v>0.0024</v>
      </c>
      <c r="E9" s="4" t="n">
        <v>0.0024</v>
      </c>
      <c r="F9" s="4" t="n">
        <v>0.0024</v>
      </c>
      <c r="G9" s="4" t="n">
        <v>0.0024</v>
      </c>
      <c r="H9" s="4" t="n">
        <v>0.0024</v>
      </c>
      <c r="I9" s="4" t="n">
        <v>0.0024</v>
      </c>
      <c r="J9" s="4" t="n">
        <v>0.0024</v>
      </c>
      <c r="K9" s="4" t="n">
        <v>0.0024</v>
      </c>
      <c r="L9" s="4" t="n">
        <v>0.0024</v>
      </c>
    </row>
    <row r="10">
      <c r="A10" t="inlineStr">
        <is>
          <t>SBC (expensed)</t>
        </is>
      </c>
      <c r="B10">
        <f>-B6*B9</f>
        <v/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B12" s="2" t="n">
        <v>-481.6</v>
      </c>
      <c r="C12" s="5">
        <f>-C6*Assumptions!$B$4</f>
        <v/>
      </c>
      <c r="D12" s="5">
        <f>-D6*Assumptions!$B$4</f>
        <v/>
      </c>
      <c r="E12" s="5">
        <f>-E6*Assumptions!$B$4</f>
        <v/>
      </c>
      <c r="F12" s="5">
        <f>-F6*Assumptions!$B$4</f>
        <v/>
      </c>
      <c r="G12" s="5">
        <f>-G6*Assumptions!$B$4</f>
        <v/>
      </c>
      <c r="H12" s="5">
        <f>-H6*Assumptions!$B$4</f>
        <v/>
      </c>
      <c r="I12" s="5">
        <f>-I6*Assumptions!$B$4</f>
        <v/>
      </c>
      <c r="J12" s="5">
        <f>-J6*Assumptions!$B$4</f>
        <v/>
      </c>
      <c r="K12" s="5">
        <f>-K6*Assumptions!$B$4</f>
        <v/>
      </c>
      <c r="L12" s="5">
        <f>-L6*Assumptions!$B$4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4" t="n">
        <v>0.25</v>
      </c>
      <c r="D14" s="4" t="n">
        <v>0.25</v>
      </c>
      <c r="E14" s="4" t="n">
        <v>0.25</v>
      </c>
      <c r="F14" s="4" t="n">
        <v>0.25</v>
      </c>
      <c r="G14" s="4" t="n">
        <v>0.25</v>
      </c>
      <c r="H14" s="4" t="n">
        <v>0.25</v>
      </c>
      <c r="I14" s="4" t="n">
        <v>0.25</v>
      </c>
      <c r="J14" s="4" t="n">
        <v>0.25</v>
      </c>
      <c r="K14" s="4" t="n">
        <v>0.25</v>
      </c>
      <c r="L14" s="4" t="n">
        <v>0.25</v>
      </c>
    </row>
    <row r="15">
      <c r="A15" t="inlineStr">
        <is>
          <t>NOPAT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All-in capex % of revenue (dev + expl + abandonment)</t>
        </is>
      </c>
      <c r="C17" s="4" t="n">
        <v>0.35</v>
      </c>
      <c r="D17" s="4" t="n">
        <v>0.32</v>
      </c>
      <c r="E17" s="4" t="n">
        <v>0.3</v>
      </c>
      <c r="F17" s="4" t="n">
        <v>0.3</v>
      </c>
      <c r="G17" s="4" t="n">
        <v>0.31</v>
      </c>
      <c r="H17" s="4" t="n">
        <v>0.31</v>
      </c>
      <c r="I17" s="4" t="n">
        <v>0.32</v>
      </c>
      <c r="J17" s="4" t="n">
        <v>0.32</v>
      </c>
      <c r="K17" s="4" t="n">
        <v>0.33</v>
      </c>
      <c r="L17" s="4" t="n">
        <v>0.33</v>
      </c>
    </row>
    <row r="18">
      <c r="A18" t="inlineStr">
        <is>
          <t>less all-in capex</t>
        </is>
      </c>
      <c r="C18">
        <f>-C6*C17</f>
        <v/>
      </c>
      <c r="D18">
        <f>-D6*D17</f>
        <v/>
      </c>
      <c r="E18">
        <f>-E6*E17</f>
        <v/>
      </c>
      <c r="F18">
        <f>-F6*F17</f>
        <v/>
      </c>
      <c r="G18">
        <f>-G6*G17</f>
        <v/>
      </c>
      <c r="H18">
        <f>-H6*H17</f>
        <v/>
      </c>
      <c r="I18">
        <f>-I6*I17</f>
        <v/>
      </c>
      <c r="J18">
        <f>-J6*J17</f>
        <v/>
      </c>
      <c r="K18">
        <f>-K6*K17</f>
        <v/>
      </c>
      <c r="L18">
        <f>-L6*L17</f>
        <v/>
      </c>
    </row>
    <row r="19">
      <c r="A19" t="inlineStr">
        <is>
          <t>add working capital</t>
        </is>
      </c>
      <c r="C19" s="5">
        <f>Assumptions!$B$5*(C6-B6)</f>
        <v/>
      </c>
      <c r="D19" s="5">
        <f>Assumptions!$B$5*(D6-C6)</f>
        <v/>
      </c>
      <c r="E19" s="5">
        <f>Assumptions!$B$5*(E6-D6)</f>
        <v/>
      </c>
      <c r="F19" s="5">
        <f>Assumptions!$B$5*(F6-E6)</f>
        <v/>
      </c>
      <c r="G19" s="5">
        <f>Assumptions!$B$5*(G6-F6)</f>
        <v/>
      </c>
      <c r="H19" s="5">
        <f>Assumptions!$B$5*(H6-G6)</f>
        <v/>
      </c>
      <c r="I19" s="5">
        <f>Assumptions!$B$5*(I6-H6)</f>
        <v/>
      </c>
      <c r="J19" s="5">
        <f>Assumptions!$B$5*(J6-I6)</f>
        <v/>
      </c>
      <c r="K19" s="5">
        <f>Assumptions!$B$5*(K6-J6)</f>
        <v/>
      </c>
      <c r="L19" s="5">
        <f>Assumptions!$B$5*(L6-K6)</f>
        <v/>
      </c>
    </row>
    <row r="20">
      <c r="A20" s="1" t="inlineStr">
        <is>
          <t>UNLEVERED OWNER FCF</t>
        </is>
      </c>
      <c r="C20" s="1">
        <f>C15+C16+C18+C19</f>
        <v/>
      </c>
      <c r="D20" s="1">
        <f>D15+D16+D18+D19</f>
        <v/>
      </c>
      <c r="E20" s="1">
        <f>E15+E16+E18+E19</f>
        <v/>
      </c>
      <c r="F20" s="1">
        <f>F15+F16+F18+F19</f>
        <v/>
      </c>
      <c r="G20" s="1">
        <f>G15+G16+G18+G19</f>
        <v/>
      </c>
      <c r="H20" s="1">
        <f>H15+H16+H18+H19</f>
        <v/>
      </c>
      <c r="I20" s="1">
        <f>I15+I16+I18+I19</f>
        <v/>
      </c>
      <c r="J20" s="1">
        <f>J15+J16+J18+J19</f>
        <v/>
      </c>
      <c r="K20" s="1">
        <f>K15+K16+K18+K19</f>
        <v/>
      </c>
      <c r="L20" s="1">
        <f>L15+L16+L18+L19</f>
        <v/>
      </c>
    </row>
    <row r="21">
      <c r="A21" t="inlineStr">
        <is>
          <t>Discount factor</t>
        </is>
      </c>
      <c r="B21" t="n">
        <v>1</v>
      </c>
      <c r="C21" s="6">
        <f>1/(1+Assumptions!$B$3)^C4</f>
        <v/>
      </c>
      <c r="D21" s="6">
        <f>1/(1+Assumptions!$B$3)^D4</f>
        <v/>
      </c>
      <c r="E21" s="6">
        <f>1/(1+Assumptions!$B$3)^E4</f>
        <v/>
      </c>
      <c r="F21" s="6">
        <f>1/(1+Assumptions!$B$3)^F4</f>
        <v/>
      </c>
      <c r="G21" s="6">
        <f>1/(1+Assumptions!$B$3)^G4</f>
        <v/>
      </c>
      <c r="H21" s="6">
        <f>1/(1+Assumptions!$B$3)^H4</f>
        <v/>
      </c>
      <c r="I21" s="6">
        <f>1/(1+Assumptions!$B$3)^I4</f>
        <v/>
      </c>
      <c r="J21" s="6">
        <f>1/(1+Assumptions!$B$3)^J4</f>
        <v/>
      </c>
      <c r="K21" s="6">
        <f>1/(1+Assumptions!$B$3)^K4</f>
        <v/>
      </c>
      <c r="L21" s="6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 (company-style)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owner-FCF margin</t>
        </is>
      </c>
      <c r="C25" s="7">
        <f>C20/C6</f>
        <v/>
      </c>
      <c r="D25" s="7">
        <f>D20/D6</f>
        <v/>
      </c>
      <c r="E25" s="7">
        <f>E20/E6</f>
        <v/>
      </c>
      <c r="F25" s="7">
        <f>F20/F6</f>
        <v/>
      </c>
      <c r="G25" s="7">
        <f>G20/G6</f>
        <v/>
      </c>
      <c r="H25" s="7">
        <f>H20/H6</f>
        <v/>
      </c>
      <c r="I25" s="7">
        <f>I20/I6</f>
        <v/>
      </c>
      <c r="J25" s="7">
        <f>J20/J6</f>
        <v/>
      </c>
      <c r="K25" s="7">
        <f>K20/K6</f>
        <v/>
      </c>
      <c r="L25" s="7">
        <f>L20/L6</f>
        <v/>
      </c>
    </row>
    <row r="27">
      <c r="A27" t="inlineStr">
        <is>
          <t>Sum of PV of FCF</t>
        </is>
      </c>
      <c r="B27">
        <f>SUM(C22:L22)</f>
        <v/>
      </c>
    </row>
    <row r="28">
      <c r="A28" t="inlineStr">
        <is>
          <t>Terminal growth</t>
        </is>
      </c>
      <c r="B28" s="6">
        <f>Assumptions!$B$15</f>
        <v/>
      </c>
    </row>
    <row r="29">
      <c r="A29" t="inlineStr">
        <is>
          <t>Terminal-year FCF x (1+g)</t>
        </is>
      </c>
      <c r="B29">
        <f>L20*(1+B28)</f>
        <v/>
      </c>
    </row>
    <row r="30">
      <c r="A30" t="inlineStr">
        <is>
          <t>Gordon TV</t>
        </is>
      </c>
      <c r="B30">
        <f>IF(Assumptions!$B$3&gt;B28,B29/(Assumptions!$B$3-B28),0)</f>
        <v/>
      </c>
    </row>
    <row r="31">
      <c r="A31" t="inlineStr">
        <is>
          <t>TV cap multiple (x FCF10)</t>
        </is>
      </c>
      <c r="B31" s="5">
        <f>Assumptions!$C$15</f>
        <v/>
      </c>
    </row>
    <row r="32">
      <c r="A32" t="inlineStr">
        <is>
          <t>Cap TV</t>
        </is>
      </c>
      <c r="B32">
        <f>B31*L20</f>
        <v/>
      </c>
    </row>
    <row r="33">
      <c r="A33" t="inlineStr">
        <is>
          <t>TV used = MAX(0, MIN(Gordon, cap))</t>
        </is>
      </c>
      <c r="B33">
        <f>MAX(0,MIN(B30,B32))</f>
        <v/>
      </c>
    </row>
    <row r="34">
      <c r="A34" t="inlineStr">
        <is>
          <t>Implied exit multiple (TV / FCF10)</t>
        </is>
      </c>
      <c r="B34">
        <f>IF(L20&lt;&gt;0,B33/L20,0)</f>
        <v/>
      </c>
    </row>
    <row r="35">
      <c r="A35" t="inlineStr">
        <is>
          <t>PV of TV</t>
        </is>
      </c>
      <c r="B35">
        <f>B33*L21</f>
        <v/>
      </c>
    </row>
    <row r="36">
      <c r="A36" t="inlineStr">
        <is>
          <t>Enterprise value</t>
        </is>
      </c>
      <c r="B36">
        <f>B27+B35</f>
        <v/>
      </c>
    </row>
    <row r="37">
      <c r="A37" t="inlineStr">
        <is>
          <t>less net debt</t>
        </is>
      </c>
      <c r="B37">
        <f>-Assumptions!$B$6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5">
        <f>Assumptions!$B$7</f>
        <v/>
      </c>
    </row>
    <row r="40">
      <c r="A40" s="1" t="inlineStr">
        <is>
          <t>VALUE PER SHARE (A$)</t>
        </is>
      </c>
      <c r="B40" s="8">
        <f>B38/B39</f>
        <v/>
      </c>
    </row>
    <row r="41">
      <c r="A41" t="inlineStr">
        <is>
          <t>Upside vs price</t>
        </is>
      </c>
      <c r="B41" s="7">
        <f>B40/Assumptions!$B$8-1</f>
        <v/>
      </c>
    </row>
    <row r="43">
      <c r="A43" t="inlineStr">
        <is>
          <t>Street memo: PV of explicit SBC</t>
        </is>
      </c>
      <c r="B43">
        <f>SUMPRODUCT(-C10:L10/(1+Assumptions!$B$3)^C4:L4)</f>
        <v/>
      </c>
    </row>
    <row r="44">
      <c r="A44" t="inlineStr">
        <is>
          <t>Street memo: PV of terminal SBC (same cap rule)</t>
        </is>
      </c>
      <c r="B44">
        <f>MAX(0,MIN(IF(Assumptions!$B$3&gt;B28,-L10*(1+B28)/(Assumptions!$B$3-B28),0),B31*-L10))*L21</f>
        <v/>
      </c>
    </row>
    <row r="45">
      <c r="A45" t="inlineStr">
        <is>
          <t>Street value per share (A$)</t>
        </is>
      </c>
      <c r="B45" s="9">
        <f>(B38+B43+B44)/B39</f>
        <v/>
      </c>
    </row>
    <row r="46">
      <c r="A46" t="inlineStr">
        <is>
          <t>Terminal % of EV</t>
        </is>
      </c>
      <c r="B46" s="7">
        <f>B35/B36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Base case - owner-FCF DCF, A$m. Drivers (yellow) in rows 5, 7, 9, 14, 17.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0.08</v>
      </c>
      <c r="D5" s="4" t="n">
        <v>0.04</v>
      </c>
      <c r="E5" s="4" t="n">
        <v>-0.02</v>
      </c>
      <c r="F5" s="4" t="n">
        <v>-0.03</v>
      </c>
      <c r="G5" s="4" t="n">
        <v>-0.03</v>
      </c>
      <c r="H5" s="4" t="n">
        <v>-0.03</v>
      </c>
      <c r="I5" s="4" t="n">
        <v>-0.04</v>
      </c>
      <c r="J5" s="4" t="n">
        <v>-0.04</v>
      </c>
      <c r="K5" s="4" t="n">
        <v>-0.04</v>
      </c>
      <c r="L5" s="4" t="n">
        <v>-0.04</v>
      </c>
    </row>
    <row r="6">
      <c r="A6" t="inlineStr">
        <is>
          <t>Revenue</t>
        </is>
      </c>
      <c r="B6" s="5">
        <f>Assumptions!$B$11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Underlying EBITDA margin</t>
        </is>
      </c>
      <c r="B7" s="2" t="n">
        <v>0.5413283364563815</v>
      </c>
      <c r="C7" s="4" t="n">
        <v>0.54</v>
      </c>
      <c r="D7" s="4" t="n">
        <v>0.55</v>
      </c>
      <c r="E7" s="4" t="n">
        <v>0.55</v>
      </c>
      <c r="F7" s="4" t="n">
        <v>0.55</v>
      </c>
      <c r="G7" s="4" t="n">
        <v>0.54</v>
      </c>
      <c r="H7" s="4" t="n">
        <v>0.54</v>
      </c>
      <c r="I7" s="4" t="n">
        <v>0.53</v>
      </c>
      <c r="J7" s="4" t="n">
        <v>0.53</v>
      </c>
      <c r="K7" s="4" t="n">
        <v>0.52</v>
      </c>
      <c r="L7" s="4" t="n">
        <v>0.52</v>
      </c>
    </row>
    <row r="8">
      <c r="A8" t="inlineStr">
        <is>
          <t>Underlying EBITDA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B9" s="2" t="n">
        <v>0.002394336872787841</v>
      </c>
      <c r="C9" s="4" t="n">
        <v>0.0024</v>
      </c>
      <c r="D9" s="4" t="n">
        <v>0.0024</v>
      </c>
      <c r="E9" s="4" t="n">
        <v>0.0024</v>
      </c>
      <c r="F9" s="4" t="n">
        <v>0.0024</v>
      </c>
      <c r="G9" s="4" t="n">
        <v>0.0024</v>
      </c>
      <c r="H9" s="4" t="n">
        <v>0.0024</v>
      </c>
      <c r="I9" s="4" t="n">
        <v>0.0024</v>
      </c>
      <c r="J9" s="4" t="n">
        <v>0.0024</v>
      </c>
      <c r="K9" s="4" t="n">
        <v>0.0024</v>
      </c>
      <c r="L9" s="4" t="n">
        <v>0.0024</v>
      </c>
    </row>
    <row r="10">
      <c r="A10" t="inlineStr">
        <is>
          <t>SBC (expensed)</t>
        </is>
      </c>
      <c r="B10">
        <f>-B6*B9</f>
        <v/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B12" s="2" t="n">
        <v>-481.6</v>
      </c>
      <c r="C12" s="5">
        <f>-C6*Assumptions!$B$4</f>
        <v/>
      </c>
      <c r="D12" s="5">
        <f>-D6*Assumptions!$B$4</f>
        <v/>
      </c>
      <c r="E12" s="5">
        <f>-E6*Assumptions!$B$4</f>
        <v/>
      </c>
      <c r="F12" s="5">
        <f>-F6*Assumptions!$B$4</f>
        <v/>
      </c>
      <c r="G12" s="5">
        <f>-G6*Assumptions!$B$4</f>
        <v/>
      </c>
      <c r="H12" s="5">
        <f>-H6*Assumptions!$B$4</f>
        <v/>
      </c>
      <c r="I12" s="5">
        <f>-I6*Assumptions!$B$4</f>
        <v/>
      </c>
      <c r="J12" s="5">
        <f>-J6*Assumptions!$B$4</f>
        <v/>
      </c>
      <c r="K12" s="5">
        <f>-K6*Assumptions!$B$4</f>
        <v/>
      </c>
      <c r="L12" s="5">
        <f>-L6*Assumptions!$B$4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4" t="n">
        <v>0.25</v>
      </c>
      <c r="D14" s="4" t="n">
        <v>0.25</v>
      </c>
      <c r="E14" s="4" t="n">
        <v>0.25</v>
      </c>
      <c r="F14" s="4" t="n">
        <v>0.25</v>
      </c>
      <c r="G14" s="4" t="n">
        <v>0.25</v>
      </c>
      <c r="H14" s="4" t="n">
        <v>0.25</v>
      </c>
      <c r="I14" s="4" t="n">
        <v>0.25</v>
      </c>
      <c r="J14" s="4" t="n">
        <v>0.25</v>
      </c>
      <c r="K14" s="4" t="n">
        <v>0.25</v>
      </c>
      <c r="L14" s="4" t="n">
        <v>0.25</v>
      </c>
    </row>
    <row r="15">
      <c r="A15" t="inlineStr">
        <is>
          <t>NOPAT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All-in capex % of revenue (dev + expl + abandonment)</t>
        </is>
      </c>
      <c r="C17" s="4" t="n">
        <v>0.33</v>
      </c>
      <c r="D17" s="4" t="n">
        <v>0.3</v>
      </c>
      <c r="E17" s="4" t="n">
        <v>0.28</v>
      </c>
      <c r="F17" s="4" t="n">
        <v>0.28</v>
      </c>
      <c r="G17" s="4" t="n">
        <v>0.28</v>
      </c>
      <c r="H17" s="4" t="n">
        <v>0.28</v>
      </c>
      <c r="I17" s="4" t="n">
        <v>0.29</v>
      </c>
      <c r="J17" s="4" t="n">
        <v>0.29</v>
      </c>
      <c r="K17" s="4" t="n">
        <v>0.3</v>
      </c>
      <c r="L17" s="4" t="n">
        <v>0.3</v>
      </c>
    </row>
    <row r="18">
      <c r="A18" t="inlineStr">
        <is>
          <t>less all-in capex</t>
        </is>
      </c>
      <c r="C18">
        <f>-C6*C17</f>
        <v/>
      </c>
      <c r="D18">
        <f>-D6*D17</f>
        <v/>
      </c>
      <c r="E18">
        <f>-E6*E17</f>
        <v/>
      </c>
      <c r="F18">
        <f>-F6*F17</f>
        <v/>
      </c>
      <c r="G18">
        <f>-G6*G17</f>
        <v/>
      </c>
      <c r="H18">
        <f>-H6*H17</f>
        <v/>
      </c>
      <c r="I18">
        <f>-I6*I17</f>
        <v/>
      </c>
      <c r="J18">
        <f>-J6*J17</f>
        <v/>
      </c>
      <c r="K18">
        <f>-K6*K17</f>
        <v/>
      </c>
      <c r="L18">
        <f>-L6*L17</f>
        <v/>
      </c>
    </row>
    <row r="19">
      <c r="A19" t="inlineStr">
        <is>
          <t>add working capital</t>
        </is>
      </c>
      <c r="C19" s="5">
        <f>Assumptions!$B$5*(C6-B6)</f>
        <v/>
      </c>
      <c r="D19" s="5">
        <f>Assumptions!$B$5*(D6-C6)</f>
        <v/>
      </c>
      <c r="E19" s="5">
        <f>Assumptions!$B$5*(E6-D6)</f>
        <v/>
      </c>
      <c r="F19" s="5">
        <f>Assumptions!$B$5*(F6-E6)</f>
        <v/>
      </c>
      <c r="G19" s="5">
        <f>Assumptions!$B$5*(G6-F6)</f>
        <v/>
      </c>
      <c r="H19" s="5">
        <f>Assumptions!$B$5*(H6-G6)</f>
        <v/>
      </c>
      <c r="I19" s="5">
        <f>Assumptions!$B$5*(I6-H6)</f>
        <v/>
      </c>
      <c r="J19" s="5">
        <f>Assumptions!$B$5*(J6-I6)</f>
        <v/>
      </c>
      <c r="K19" s="5">
        <f>Assumptions!$B$5*(K6-J6)</f>
        <v/>
      </c>
      <c r="L19" s="5">
        <f>Assumptions!$B$5*(L6-K6)</f>
        <v/>
      </c>
    </row>
    <row r="20">
      <c r="A20" s="1" t="inlineStr">
        <is>
          <t>UNLEVERED OWNER FCF</t>
        </is>
      </c>
      <c r="C20" s="1">
        <f>C15+C16+C18+C19</f>
        <v/>
      </c>
      <c r="D20" s="1">
        <f>D15+D16+D18+D19</f>
        <v/>
      </c>
      <c r="E20" s="1">
        <f>E15+E16+E18+E19</f>
        <v/>
      </c>
      <c r="F20" s="1">
        <f>F15+F16+F18+F19</f>
        <v/>
      </c>
      <c r="G20" s="1">
        <f>G15+G16+G18+G19</f>
        <v/>
      </c>
      <c r="H20" s="1">
        <f>H15+H16+H18+H19</f>
        <v/>
      </c>
      <c r="I20" s="1">
        <f>I15+I16+I18+I19</f>
        <v/>
      </c>
      <c r="J20" s="1">
        <f>J15+J16+J18+J19</f>
        <v/>
      </c>
      <c r="K20" s="1">
        <f>K15+K16+K18+K19</f>
        <v/>
      </c>
      <c r="L20" s="1">
        <f>L15+L16+L18+L19</f>
        <v/>
      </c>
    </row>
    <row r="21">
      <c r="A21" t="inlineStr">
        <is>
          <t>Discount factor</t>
        </is>
      </c>
      <c r="B21" t="n">
        <v>1</v>
      </c>
      <c r="C21" s="6">
        <f>1/(1+Assumptions!$B$3)^C4</f>
        <v/>
      </c>
      <c r="D21" s="6">
        <f>1/(1+Assumptions!$B$3)^D4</f>
        <v/>
      </c>
      <c r="E21" s="6">
        <f>1/(1+Assumptions!$B$3)^E4</f>
        <v/>
      </c>
      <c r="F21" s="6">
        <f>1/(1+Assumptions!$B$3)^F4</f>
        <v/>
      </c>
      <c r="G21" s="6">
        <f>1/(1+Assumptions!$B$3)^G4</f>
        <v/>
      </c>
      <c r="H21" s="6">
        <f>1/(1+Assumptions!$B$3)^H4</f>
        <v/>
      </c>
      <c r="I21" s="6">
        <f>1/(1+Assumptions!$B$3)^I4</f>
        <v/>
      </c>
      <c r="J21" s="6">
        <f>1/(1+Assumptions!$B$3)^J4</f>
        <v/>
      </c>
      <c r="K21" s="6">
        <f>1/(1+Assumptions!$B$3)^K4</f>
        <v/>
      </c>
      <c r="L21" s="6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 (company-style)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owner-FCF margin</t>
        </is>
      </c>
      <c r="C25" s="7">
        <f>C20/C6</f>
        <v/>
      </c>
      <c r="D25" s="7">
        <f>D20/D6</f>
        <v/>
      </c>
      <c r="E25" s="7">
        <f>E20/E6</f>
        <v/>
      </c>
      <c r="F25" s="7">
        <f>F20/F6</f>
        <v/>
      </c>
      <c r="G25" s="7">
        <f>G20/G6</f>
        <v/>
      </c>
      <c r="H25" s="7">
        <f>H20/H6</f>
        <v/>
      </c>
      <c r="I25" s="7">
        <f>I20/I6</f>
        <v/>
      </c>
      <c r="J25" s="7">
        <f>J20/J6</f>
        <v/>
      </c>
      <c r="K25" s="7">
        <f>K20/K6</f>
        <v/>
      </c>
      <c r="L25" s="7">
        <f>L20/L6</f>
        <v/>
      </c>
    </row>
    <row r="27">
      <c r="A27" t="inlineStr">
        <is>
          <t>Sum of PV of FCF</t>
        </is>
      </c>
      <c r="B27">
        <f>SUM(C22:L22)</f>
        <v/>
      </c>
    </row>
    <row r="28">
      <c r="A28" t="inlineStr">
        <is>
          <t>Terminal growth</t>
        </is>
      </c>
      <c r="B28" s="6">
        <f>Assumptions!$B$16</f>
        <v/>
      </c>
    </row>
    <row r="29">
      <c r="A29" t="inlineStr">
        <is>
          <t>Terminal-year FCF x (1+g)</t>
        </is>
      </c>
      <c r="B29">
        <f>L20*(1+B28)</f>
        <v/>
      </c>
    </row>
    <row r="30">
      <c r="A30" t="inlineStr">
        <is>
          <t>Gordon TV</t>
        </is>
      </c>
      <c r="B30">
        <f>IF(Assumptions!$B$3&gt;B28,B29/(Assumptions!$B$3-B28),0)</f>
        <v/>
      </c>
    </row>
    <row r="31">
      <c r="A31" t="inlineStr">
        <is>
          <t>TV cap multiple (x FCF10)</t>
        </is>
      </c>
      <c r="B31" s="5">
        <f>Assumptions!$C$16</f>
        <v/>
      </c>
    </row>
    <row r="32">
      <c r="A32" t="inlineStr">
        <is>
          <t>Cap TV</t>
        </is>
      </c>
      <c r="B32">
        <f>B31*L20</f>
        <v/>
      </c>
    </row>
    <row r="33">
      <c r="A33" t="inlineStr">
        <is>
          <t>TV used = MAX(0, MIN(Gordon, cap))</t>
        </is>
      </c>
      <c r="B33">
        <f>MAX(0,MIN(B30,B32))</f>
        <v/>
      </c>
    </row>
    <row r="34">
      <c r="A34" t="inlineStr">
        <is>
          <t>Implied exit multiple (TV / FCF10)</t>
        </is>
      </c>
      <c r="B34">
        <f>IF(L20&lt;&gt;0,B33/L20,0)</f>
        <v/>
      </c>
    </row>
    <row r="35">
      <c r="A35" t="inlineStr">
        <is>
          <t>PV of TV</t>
        </is>
      </c>
      <c r="B35">
        <f>B33*L21</f>
        <v/>
      </c>
    </row>
    <row r="36">
      <c r="A36" t="inlineStr">
        <is>
          <t>Enterprise value</t>
        </is>
      </c>
      <c r="B36">
        <f>B27+B35</f>
        <v/>
      </c>
    </row>
    <row r="37">
      <c r="A37" t="inlineStr">
        <is>
          <t>less net debt</t>
        </is>
      </c>
      <c r="B37">
        <f>-Assumptions!$B$6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5">
        <f>Assumptions!$B$7</f>
        <v/>
      </c>
    </row>
    <row r="40">
      <c r="A40" s="1" t="inlineStr">
        <is>
          <t>VALUE PER SHARE (A$)</t>
        </is>
      </c>
      <c r="B40" s="8">
        <f>B38/B39</f>
        <v/>
      </c>
    </row>
    <row r="41">
      <c r="A41" t="inlineStr">
        <is>
          <t>Upside vs price</t>
        </is>
      </c>
      <c r="B41" s="7">
        <f>B40/Assumptions!$B$8-1</f>
        <v/>
      </c>
    </row>
    <row r="43">
      <c r="A43" t="inlineStr">
        <is>
          <t>Street memo: PV of explicit SBC</t>
        </is>
      </c>
      <c r="B43">
        <f>SUMPRODUCT(-C10:L10/(1+Assumptions!$B$3)^C4:L4)</f>
        <v/>
      </c>
    </row>
    <row r="44">
      <c r="A44" t="inlineStr">
        <is>
          <t>Street memo: PV of terminal SBC (same cap rule)</t>
        </is>
      </c>
      <c r="B44">
        <f>MAX(0,MIN(IF(Assumptions!$B$3&gt;B28,-L10*(1+B28)/(Assumptions!$B$3-B28),0),B31*-L10))*L21</f>
        <v/>
      </c>
    </row>
    <row r="45">
      <c r="A45" t="inlineStr">
        <is>
          <t>Street value per share (A$)</t>
        </is>
      </c>
      <c r="B45" s="9">
        <f>(B38+B43+B44)/B39</f>
        <v/>
      </c>
    </row>
    <row r="46">
      <c r="A46" t="inlineStr">
        <is>
          <t>Terminal % of EV</t>
        </is>
      </c>
      <c r="B46" s="7">
        <f>B35/B36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Bull case - owner-FCF DCF, A$m. Drivers (yellow) in rows 5, 7, 9, 14, 17.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0.12</v>
      </c>
      <c r="D5" s="4" t="n">
        <v>0.08</v>
      </c>
      <c r="E5" s="4" t="n">
        <v>0.03</v>
      </c>
      <c r="F5" s="4" t="n">
        <v>0.02</v>
      </c>
      <c r="G5" s="4" t="n">
        <v>0.01</v>
      </c>
      <c r="H5" s="4" t="n">
        <v>0</v>
      </c>
      <c r="I5" s="4" t="n">
        <v>0</v>
      </c>
      <c r="J5" s="4" t="n">
        <v>-0.01</v>
      </c>
      <c r="K5" s="4" t="n">
        <v>-0.01</v>
      </c>
      <c r="L5" s="4" t="n">
        <v>-0.01</v>
      </c>
    </row>
    <row r="6">
      <c r="A6" t="inlineStr">
        <is>
          <t>Revenue</t>
        </is>
      </c>
      <c r="B6" s="5">
        <f>Assumptions!$B$11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Underlying EBITDA margin</t>
        </is>
      </c>
      <c r="B7" s="2" t="n">
        <v>0.5413283364563815</v>
      </c>
      <c r="C7" s="4" t="n">
        <v>0.55</v>
      </c>
      <c r="D7" s="4" t="n">
        <v>0.57</v>
      </c>
      <c r="E7" s="4" t="n">
        <v>0.58</v>
      </c>
      <c r="F7" s="4" t="n">
        <v>0.58</v>
      </c>
      <c r="G7" s="4" t="n">
        <v>0.58</v>
      </c>
      <c r="H7" s="4" t="n">
        <v>0.58</v>
      </c>
      <c r="I7" s="4" t="n">
        <v>0.57</v>
      </c>
      <c r="J7" s="4" t="n">
        <v>0.57</v>
      </c>
      <c r="K7" s="4" t="n">
        <v>0.57</v>
      </c>
      <c r="L7" s="4" t="n">
        <v>0.57</v>
      </c>
    </row>
    <row r="8">
      <c r="A8" t="inlineStr">
        <is>
          <t>Underlying EBITDA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B9" s="2" t="n">
        <v>0.002394336872787841</v>
      </c>
      <c r="C9" s="4" t="n">
        <v>0.0024</v>
      </c>
      <c r="D9" s="4" t="n">
        <v>0.0024</v>
      </c>
      <c r="E9" s="4" t="n">
        <v>0.0024</v>
      </c>
      <c r="F9" s="4" t="n">
        <v>0.0024</v>
      </c>
      <c r="G9" s="4" t="n">
        <v>0.0024</v>
      </c>
      <c r="H9" s="4" t="n">
        <v>0.0024</v>
      </c>
      <c r="I9" s="4" t="n">
        <v>0.0024</v>
      </c>
      <c r="J9" s="4" t="n">
        <v>0.0024</v>
      </c>
      <c r="K9" s="4" t="n">
        <v>0.0024</v>
      </c>
      <c r="L9" s="4" t="n">
        <v>0.0024</v>
      </c>
    </row>
    <row r="10">
      <c r="A10" t="inlineStr">
        <is>
          <t>SBC (expensed)</t>
        </is>
      </c>
      <c r="B10">
        <f>-B6*B9</f>
        <v/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B12" s="2" t="n">
        <v>-481.6</v>
      </c>
      <c r="C12" s="5">
        <f>-C6*Assumptions!$B$4</f>
        <v/>
      </c>
      <c r="D12" s="5">
        <f>-D6*Assumptions!$B$4</f>
        <v/>
      </c>
      <c r="E12" s="5">
        <f>-E6*Assumptions!$B$4</f>
        <v/>
      </c>
      <c r="F12" s="5">
        <f>-F6*Assumptions!$B$4</f>
        <v/>
      </c>
      <c r="G12" s="5">
        <f>-G6*Assumptions!$B$4</f>
        <v/>
      </c>
      <c r="H12" s="5">
        <f>-H6*Assumptions!$B$4</f>
        <v/>
      </c>
      <c r="I12" s="5">
        <f>-I6*Assumptions!$B$4</f>
        <v/>
      </c>
      <c r="J12" s="5">
        <f>-J6*Assumptions!$B$4</f>
        <v/>
      </c>
      <c r="K12" s="5">
        <f>-K6*Assumptions!$B$4</f>
        <v/>
      </c>
      <c r="L12" s="5">
        <f>-L6*Assumptions!$B$4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4" t="n">
        <v>0.25</v>
      </c>
      <c r="D14" s="4" t="n">
        <v>0.25</v>
      </c>
      <c r="E14" s="4" t="n">
        <v>0.25</v>
      </c>
      <c r="F14" s="4" t="n">
        <v>0.25</v>
      </c>
      <c r="G14" s="4" t="n">
        <v>0.25</v>
      </c>
      <c r="H14" s="4" t="n">
        <v>0.25</v>
      </c>
      <c r="I14" s="4" t="n">
        <v>0.25</v>
      </c>
      <c r="J14" s="4" t="n">
        <v>0.25</v>
      </c>
      <c r="K14" s="4" t="n">
        <v>0.25</v>
      </c>
      <c r="L14" s="4" t="n">
        <v>0.25</v>
      </c>
    </row>
    <row r="15">
      <c r="A15" t="inlineStr">
        <is>
          <t>NOPAT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All-in capex % of revenue (dev + expl + abandonment)</t>
        </is>
      </c>
      <c r="C17" s="4" t="n">
        <v>0.32</v>
      </c>
      <c r="D17" s="4" t="n">
        <v>0.29</v>
      </c>
      <c r="E17" s="4" t="n">
        <v>0.27</v>
      </c>
      <c r="F17" s="4" t="n">
        <v>0.27</v>
      </c>
      <c r="G17" s="4" t="n">
        <v>0.27</v>
      </c>
      <c r="H17" s="4" t="n">
        <v>0.27</v>
      </c>
      <c r="I17" s="4" t="n">
        <v>0.27</v>
      </c>
      <c r="J17" s="4" t="n">
        <v>0.27</v>
      </c>
      <c r="K17" s="4" t="n">
        <v>0.27</v>
      </c>
      <c r="L17" s="4" t="n">
        <v>0.27</v>
      </c>
    </row>
    <row r="18">
      <c r="A18" t="inlineStr">
        <is>
          <t>less all-in capex</t>
        </is>
      </c>
      <c r="C18">
        <f>-C6*C17</f>
        <v/>
      </c>
      <c r="D18">
        <f>-D6*D17</f>
        <v/>
      </c>
      <c r="E18">
        <f>-E6*E17</f>
        <v/>
      </c>
      <c r="F18">
        <f>-F6*F17</f>
        <v/>
      </c>
      <c r="G18">
        <f>-G6*G17</f>
        <v/>
      </c>
      <c r="H18">
        <f>-H6*H17</f>
        <v/>
      </c>
      <c r="I18">
        <f>-I6*I17</f>
        <v/>
      </c>
      <c r="J18">
        <f>-J6*J17</f>
        <v/>
      </c>
      <c r="K18">
        <f>-K6*K17</f>
        <v/>
      </c>
      <c r="L18">
        <f>-L6*L17</f>
        <v/>
      </c>
    </row>
    <row r="19">
      <c r="A19" t="inlineStr">
        <is>
          <t>add working capital</t>
        </is>
      </c>
      <c r="C19" s="5">
        <f>Assumptions!$B$5*(C6-B6)</f>
        <v/>
      </c>
      <c r="D19" s="5">
        <f>Assumptions!$B$5*(D6-C6)</f>
        <v/>
      </c>
      <c r="E19" s="5">
        <f>Assumptions!$B$5*(E6-D6)</f>
        <v/>
      </c>
      <c r="F19" s="5">
        <f>Assumptions!$B$5*(F6-E6)</f>
        <v/>
      </c>
      <c r="G19" s="5">
        <f>Assumptions!$B$5*(G6-F6)</f>
        <v/>
      </c>
      <c r="H19" s="5">
        <f>Assumptions!$B$5*(H6-G6)</f>
        <v/>
      </c>
      <c r="I19" s="5">
        <f>Assumptions!$B$5*(I6-H6)</f>
        <v/>
      </c>
      <c r="J19" s="5">
        <f>Assumptions!$B$5*(J6-I6)</f>
        <v/>
      </c>
      <c r="K19" s="5">
        <f>Assumptions!$B$5*(K6-J6)</f>
        <v/>
      </c>
      <c r="L19" s="5">
        <f>Assumptions!$B$5*(L6-K6)</f>
        <v/>
      </c>
    </row>
    <row r="20">
      <c r="A20" s="1" t="inlineStr">
        <is>
          <t>UNLEVERED OWNER FCF</t>
        </is>
      </c>
      <c r="C20" s="1">
        <f>C15+C16+C18+C19</f>
        <v/>
      </c>
      <c r="D20" s="1">
        <f>D15+D16+D18+D19</f>
        <v/>
      </c>
      <c r="E20" s="1">
        <f>E15+E16+E18+E19</f>
        <v/>
      </c>
      <c r="F20" s="1">
        <f>F15+F16+F18+F19</f>
        <v/>
      </c>
      <c r="G20" s="1">
        <f>G15+G16+G18+G19</f>
        <v/>
      </c>
      <c r="H20" s="1">
        <f>H15+H16+H18+H19</f>
        <v/>
      </c>
      <c r="I20" s="1">
        <f>I15+I16+I18+I19</f>
        <v/>
      </c>
      <c r="J20" s="1">
        <f>J15+J16+J18+J19</f>
        <v/>
      </c>
      <c r="K20" s="1">
        <f>K15+K16+K18+K19</f>
        <v/>
      </c>
      <c r="L20" s="1">
        <f>L15+L16+L18+L19</f>
        <v/>
      </c>
    </row>
    <row r="21">
      <c r="A21" t="inlineStr">
        <is>
          <t>Discount factor</t>
        </is>
      </c>
      <c r="B21" t="n">
        <v>1</v>
      </c>
      <c r="C21" s="6">
        <f>1/(1+Assumptions!$B$3)^C4</f>
        <v/>
      </c>
      <c r="D21" s="6">
        <f>1/(1+Assumptions!$B$3)^D4</f>
        <v/>
      </c>
      <c r="E21" s="6">
        <f>1/(1+Assumptions!$B$3)^E4</f>
        <v/>
      </c>
      <c r="F21" s="6">
        <f>1/(1+Assumptions!$B$3)^F4</f>
        <v/>
      </c>
      <c r="G21" s="6">
        <f>1/(1+Assumptions!$B$3)^G4</f>
        <v/>
      </c>
      <c r="H21" s="6">
        <f>1/(1+Assumptions!$B$3)^H4</f>
        <v/>
      </c>
      <c r="I21" s="6">
        <f>1/(1+Assumptions!$B$3)^I4</f>
        <v/>
      </c>
      <c r="J21" s="6">
        <f>1/(1+Assumptions!$B$3)^J4</f>
        <v/>
      </c>
      <c r="K21" s="6">
        <f>1/(1+Assumptions!$B$3)^K4</f>
        <v/>
      </c>
      <c r="L21" s="6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 (company-style)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owner-FCF margin</t>
        </is>
      </c>
      <c r="C25" s="7">
        <f>C20/C6</f>
        <v/>
      </c>
      <c r="D25" s="7">
        <f>D20/D6</f>
        <v/>
      </c>
      <c r="E25" s="7">
        <f>E20/E6</f>
        <v/>
      </c>
      <c r="F25" s="7">
        <f>F20/F6</f>
        <v/>
      </c>
      <c r="G25" s="7">
        <f>G20/G6</f>
        <v/>
      </c>
      <c r="H25" s="7">
        <f>H20/H6</f>
        <v/>
      </c>
      <c r="I25" s="7">
        <f>I20/I6</f>
        <v/>
      </c>
      <c r="J25" s="7">
        <f>J20/J6</f>
        <v/>
      </c>
      <c r="K25" s="7">
        <f>K20/K6</f>
        <v/>
      </c>
      <c r="L25" s="7">
        <f>L20/L6</f>
        <v/>
      </c>
    </row>
    <row r="27">
      <c r="A27" t="inlineStr">
        <is>
          <t>Sum of PV of FCF</t>
        </is>
      </c>
      <c r="B27">
        <f>SUM(C22:L22)</f>
        <v/>
      </c>
    </row>
    <row r="28">
      <c r="A28" t="inlineStr">
        <is>
          <t>Terminal growth</t>
        </is>
      </c>
      <c r="B28" s="6">
        <f>Assumptions!$B$17</f>
        <v/>
      </c>
    </row>
    <row r="29">
      <c r="A29" t="inlineStr">
        <is>
          <t>Terminal-year FCF x (1+g)</t>
        </is>
      </c>
      <c r="B29">
        <f>L20*(1+B28)</f>
        <v/>
      </c>
    </row>
    <row r="30">
      <c r="A30" t="inlineStr">
        <is>
          <t>Gordon TV</t>
        </is>
      </c>
      <c r="B30">
        <f>IF(Assumptions!$B$3&gt;B28,B29/(Assumptions!$B$3-B28),0)</f>
        <v/>
      </c>
    </row>
    <row r="31">
      <c r="A31" t="inlineStr">
        <is>
          <t>TV cap multiple (x FCF10)</t>
        </is>
      </c>
      <c r="B31" s="5">
        <f>Assumptions!$C$17</f>
        <v/>
      </c>
    </row>
    <row r="32">
      <c r="A32" t="inlineStr">
        <is>
          <t>Cap TV</t>
        </is>
      </c>
      <c r="B32">
        <f>B31*L20</f>
        <v/>
      </c>
    </row>
    <row r="33">
      <c r="A33" t="inlineStr">
        <is>
          <t>TV used = MAX(0, MIN(Gordon, cap))</t>
        </is>
      </c>
      <c r="B33">
        <f>MAX(0,MIN(B30,B32))</f>
        <v/>
      </c>
    </row>
    <row r="34">
      <c r="A34" t="inlineStr">
        <is>
          <t>Implied exit multiple (TV / FCF10)</t>
        </is>
      </c>
      <c r="B34">
        <f>IF(L20&lt;&gt;0,B33/L20,0)</f>
        <v/>
      </c>
    </row>
    <row r="35">
      <c r="A35" t="inlineStr">
        <is>
          <t>PV of TV</t>
        </is>
      </c>
      <c r="B35">
        <f>B33*L21</f>
        <v/>
      </c>
    </row>
    <row r="36">
      <c r="A36" t="inlineStr">
        <is>
          <t>Enterprise value</t>
        </is>
      </c>
      <c r="B36">
        <f>B27+B35</f>
        <v/>
      </c>
    </row>
    <row r="37">
      <c r="A37" t="inlineStr">
        <is>
          <t>less net debt</t>
        </is>
      </c>
      <c r="B37">
        <f>-Assumptions!$B$6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5">
        <f>Assumptions!$B$7</f>
        <v/>
      </c>
    </row>
    <row r="40">
      <c r="A40" s="1" t="inlineStr">
        <is>
          <t>VALUE PER SHARE (A$)</t>
        </is>
      </c>
      <c r="B40" s="8">
        <f>B38/B39</f>
        <v/>
      </c>
    </row>
    <row r="41">
      <c r="A41" t="inlineStr">
        <is>
          <t>Upside vs price</t>
        </is>
      </c>
      <c r="B41" s="7">
        <f>B40/Assumptions!$B$8-1</f>
        <v/>
      </c>
    </row>
    <row r="43">
      <c r="A43" t="inlineStr">
        <is>
          <t>Street memo: PV of explicit SBC</t>
        </is>
      </c>
      <c r="B43">
        <f>SUMPRODUCT(-C10:L10/(1+Assumptions!$B$3)^C4:L4)</f>
        <v/>
      </c>
    </row>
    <row r="44">
      <c r="A44" t="inlineStr">
        <is>
          <t>Street memo: PV of terminal SBC (same cap rule)</t>
        </is>
      </c>
      <c r="B44">
        <f>MAX(0,MIN(IF(Assumptions!$B$3&gt;B28,-L10*(1+B28)/(Assumptions!$B$3-B28),0),B31*-L10))*L21</f>
        <v/>
      </c>
    </row>
    <row r="45">
      <c r="A45" t="inlineStr">
        <is>
          <t>Street value per share (A$)</t>
        </is>
      </c>
      <c r="B45" s="9">
        <f>(B38+B43+B44)/B39</f>
        <v/>
      </c>
    </row>
    <row r="46">
      <c r="A46" t="inlineStr">
        <is>
          <t>Terminal % of EV</t>
        </is>
      </c>
      <c r="B46" s="7">
        <f>B35/B36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Reported FCF reconciled to owner FCF (A$m). Sources: cash flow statements FY2021-FY2026; SBC from statement of changes in equity.</t>
        </is>
      </c>
    </row>
    <row r="2">
      <c r="A2" t="inlineStr">
        <is>
          <t>Period</t>
        </is>
      </c>
      <c r="B2" t="inlineStr">
        <is>
          <t>Revenue</t>
        </is>
      </c>
      <c r="C2" t="inlineStr">
        <is>
          <t>FCF (company: OCF - investing capex)</t>
        </is>
      </c>
      <c r="D2" t="inlineStr">
        <is>
          <t>less SBC</t>
        </is>
      </c>
      <c r="E2" t="inlineStr">
        <is>
          <t>less interest income</t>
        </is>
      </c>
      <c r="F2" t="inlineStr">
        <is>
          <t>Owner FCF</t>
        </is>
      </c>
      <c r="G2" t="inlineStr">
        <is>
          <t>Reported FCF margin</t>
        </is>
      </c>
      <c r="H2" t="inlineStr">
        <is>
          <t>Owner FCF margin</t>
        </is>
      </c>
      <c r="I2" t="inlineStr">
        <is>
          <t>Memo: cash tax paid</t>
        </is>
      </c>
      <c r="J2" t="inlineStr">
        <is>
          <t>Memo: restoration paid (in OCF)</t>
        </is>
      </c>
    </row>
    <row r="3">
      <c r="A3" t="inlineStr">
        <is>
          <t>FY2021</t>
        </is>
      </c>
      <c r="B3" s="2" t="n">
        <v>1562</v>
      </c>
      <c r="C3" s="2" t="n">
        <v>86.2</v>
      </c>
      <c r="D3" s="2" t="n">
        <v>2.6</v>
      </c>
      <c r="E3" s="2" t="n">
        <v>0.2</v>
      </c>
      <c r="F3">
        <f>C3-D3-E3</f>
        <v/>
      </c>
      <c r="G3" s="7">
        <f>C3/B3</f>
        <v/>
      </c>
      <c r="H3" s="7">
        <f>F3/B3</f>
        <v/>
      </c>
      <c r="I3" s="2" t="n">
        <v>152.9</v>
      </c>
      <c r="J3" s="2" t="n"/>
    </row>
    <row r="4">
      <c r="A4" t="inlineStr">
        <is>
          <t>FY2022</t>
        </is>
      </c>
      <c r="B4" s="2" t="n">
        <v>1771.4</v>
      </c>
      <c r="C4" s="2" t="n">
        <v>310.4</v>
      </c>
      <c r="D4" s="2" t="n">
        <v>2.1</v>
      </c>
      <c r="E4" s="2" t="n">
        <v>0.4</v>
      </c>
      <c r="F4">
        <f>C4-D4-E4</f>
        <v/>
      </c>
      <c r="G4" s="7">
        <f>C4/B4</f>
        <v/>
      </c>
      <c r="H4" s="7">
        <f>F4/B4</f>
        <v/>
      </c>
      <c r="I4" s="2" t="n">
        <v>109.9</v>
      </c>
      <c r="J4" s="2" t="n"/>
    </row>
    <row r="5">
      <c r="A5" t="inlineStr">
        <is>
          <t>FY2023</t>
        </is>
      </c>
      <c r="B5" s="2" t="n">
        <v>1646.4</v>
      </c>
      <c r="C5" s="2" t="n">
        <v>-242</v>
      </c>
      <c r="D5" s="2" t="n">
        <v>2.4</v>
      </c>
      <c r="E5" s="2" t="n">
        <v>4.2</v>
      </c>
      <c r="F5">
        <f>C5-D5-E5</f>
        <v/>
      </c>
      <c r="G5" s="7">
        <f>C5/B5</f>
        <v/>
      </c>
      <c r="H5" s="7">
        <f>F5/B5</f>
        <v/>
      </c>
      <c r="I5" s="2" t="n">
        <v>123.7</v>
      </c>
      <c r="J5" s="2" t="n"/>
    </row>
    <row r="6">
      <c r="A6" t="inlineStr">
        <is>
          <t>FY2024</t>
        </is>
      </c>
      <c r="B6" s="2" t="n">
        <v>1797.6</v>
      </c>
      <c r="C6" s="2" t="n">
        <v>-318.9</v>
      </c>
      <c r="D6" s="2" t="n">
        <v>1.2</v>
      </c>
      <c r="E6" s="2" t="n">
        <v>8.4</v>
      </c>
      <c r="F6">
        <f>C6-D6-E6</f>
        <v/>
      </c>
      <c r="G6" s="7">
        <f>C6/B6</f>
        <v/>
      </c>
      <c r="H6" s="7">
        <f>F6/B6</f>
        <v/>
      </c>
      <c r="I6" s="2" t="n">
        <v>119.6</v>
      </c>
      <c r="J6" s="2" t="n"/>
    </row>
    <row r="7">
      <c r="A7" t="inlineStr">
        <is>
          <t>FY2025</t>
        </is>
      </c>
      <c r="B7" s="2" t="n">
        <v>2106</v>
      </c>
      <c r="C7" s="2" t="n">
        <v>339.9</v>
      </c>
      <c r="D7" s="2" t="n">
        <v>4.4</v>
      </c>
      <c r="E7" s="2" t="n">
        <v>9.800000000000001</v>
      </c>
      <c r="F7">
        <f>C7-D7-E7</f>
        <v/>
      </c>
      <c r="G7" s="7">
        <f>C7/B7</f>
        <v/>
      </c>
      <c r="H7" s="7">
        <f>F7/B7</f>
        <v/>
      </c>
      <c r="I7" s="2" t="n">
        <v>65.2</v>
      </c>
      <c r="J7" s="2" t="n">
        <v>46.7</v>
      </c>
    </row>
    <row r="8">
      <c r="A8" t="inlineStr">
        <is>
          <t>FY2026</t>
        </is>
      </c>
      <c r="B8" s="2" t="n">
        <v>1921.2</v>
      </c>
      <c r="C8" s="2" t="n">
        <v>155.5</v>
      </c>
      <c r="D8" s="2" t="n">
        <v>4.6</v>
      </c>
      <c r="E8" s="2" t="n">
        <v>8</v>
      </c>
      <c r="F8">
        <f>C8-D8-E8</f>
        <v/>
      </c>
      <c r="G8" s="7">
        <f>C8/B8</f>
        <v/>
      </c>
      <c r="H8" s="7">
        <f>F8/B8</f>
        <v/>
      </c>
      <c r="I8" s="2" t="n">
        <v>179.7</v>
      </c>
      <c r="J8" s="2" t="n">
        <v>124.7</v>
      </c>
    </row>
    <row r="10">
      <c r="A10" t="inlineStr">
        <is>
          <t>Notes: FY23/FY24 owner FCF negative during Waitsia construction. Reported FCF is levered (financing costs 39.6 inside OCF) and includes restoration payments; the forward build is unlevered, EBITDA-based, and charges restoration inside all-in capex. FY26 cash tax 179.7 includes ~66 of FY25 catch-up (current tax liability 72.4 -&gt; 6.3): abnormal, ramped to 25% in the model.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Valuation summary (A$ per share). Green = links; every closed-form cell rebuilds the terminal value at its own rate.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share</t>
        </is>
      </c>
      <c r="F3" s="1" t="inlineStr">
        <is>
          <t>TV bound</t>
        </is>
      </c>
    </row>
    <row r="4">
      <c r="A4" t="inlineStr">
        <is>
          <t>Bear</t>
        </is>
      </c>
      <c r="B4" s="10">
        <f>DCF_Bear!$B$40</f>
        <v/>
      </c>
      <c r="C4" s="7">
        <f>B4/Assumptions!$B$8-1</f>
        <v/>
      </c>
      <c r="D4" s="5">
        <f>Assumptions!$D$15</f>
        <v/>
      </c>
      <c r="E4" s="10">
        <f>DCF_Bear!$B$45</f>
        <v/>
      </c>
      <c r="F4">
        <f>IF(DCF_Bear!$B$33=0,"floor",IF(DCF_Bear!$B$30&lt;=DCF_Bear!$B$32,"gordon","cap"))</f>
        <v/>
      </c>
    </row>
    <row r="5">
      <c r="A5" t="inlineStr">
        <is>
          <t>Base</t>
        </is>
      </c>
      <c r="B5" s="10">
        <f>DCF_Base!$B$40</f>
        <v/>
      </c>
      <c r="C5" s="7">
        <f>B5/Assumptions!$B$8-1</f>
        <v/>
      </c>
      <c r="D5" s="5">
        <f>Assumptions!$D$16</f>
        <v/>
      </c>
      <c r="E5" s="10">
        <f>DCF_Base!$B$45</f>
        <v/>
      </c>
      <c r="F5">
        <f>IF(DCF_Base!$B$33=0,"floor",IF(DCF_Base!$B$30&lt;=DCF_Base!$B$32,"gordon","cap"))</f>
        <v/>
      </c>
    </row>
    <row r="6">
      <c r="A6" t="inlineStr">
        <is>
          <t>Bull</t>
        </is>
      </c>
      <c r="B6" s="10">
        <f>DCF_Bull!$B$40</f>
        <v/>
      </c>
      <c r="C6" s="7">
        <f>B6/Assumptions!$B$8-1</f>
        <v/>
      </c>
      <c r="D6" s="5">
        <f>Assumptions!$D$17</f>
        <v/>
      </c>
      <c r="E6" s="10">
        <f>DCF_Bull!$B$45</f>
        <v/>
      </c>
      <c r="F6">
        <f>IF(DCF_Bull!$B$33=0,"floor",IF(DCF_Bull!$B$30&lt;=DCF_Bull!$B$32,"gordon","cap"))</f>
        <v/>
      </c>
    </row>
    <row r="8">
      <c r="A8" t="inlineStr">
        <is>
          <t>Probability-weighted value (house)</t>
        </is>
      </c>
      <c r="B8" s="8">
        <f>SUMPRODUCT(B4:B6,D4:D6)</f>
        <v/>
      </c>
    </row>
    <row r="9">
      <c r="A9" t="inlineStr">
        <is>
          <t>Street weighted value</t>
        </is>
      </c>
      <c r="B9" s="9">
        <f>SUMPRODUCT(E4:E6,D4:D6)</f>
        <v/>
      </c>
    </row>
    <row r="10">
      <c r="A10" t="inlineStr">
        <is>
          <t>Current price</t>
        </is>
      </c>
      <c r="B10" s="10">
        <f>Assumptions!$B$8</f>
        <v/>
      </c>
    </row>
    <row r="11">
      <c r="A11" t="inlineStr">
        <is>
          <t>Margin of safety (1 - price/weighted)</t>
        </is>
      </c>
      <c r="B11" s="7">
        <f>1-B10/B8</f>
        <v/>
      </c>
    </row>
    <row r="12">
      <c r="A12" t="inlineStr">
        <is>
          <t>Band position (price-house)/(street-house)</t>
        </is>
      </c>
      <c r="B12">
        <f>IF(ABS(B9-B8)&lt;0.02,"n/a - band collapsed (SBC ~0.2% of revenue)",(B10-B8)/(B9-B8))</f>
        <v/>
      </c>
    </row>
    <row r="14">
      <c r="A14" s="1" t="inlineStr">
        <is>
          <t>15%-hurdle entry prices (TV rebuilt at the hurdle)</t>
        </is>
      </c>
    </row>
    <row r="15">
      <c r="A15" t="inlineStr">
        <is>
          <t>Scenario</t>
        </is>
      </c>
      <c r="B15" t="inlineStr">
        <is>
          <t>Entry price</t>
        </is>
      </c>
      <c r="C15" t="inlineStr">
        <is>
          <t>vs current price</t>
        </is>
      </c>
      <c r="D15" t="inlineStr">
        <is>
          <t>Probability</t>
        </is>
      </c>
    </row>
    <row r="16">
      <c r="A16" t="inlineStr">
        <is>
          <t>Bear</t>
        </is>
      </c>
      <c r="B16" s="9">
        <f>IF(Assumptions!$B$9&gt;Assumptions!$B$15,(SUMPRODUCT(DCF_Bear!$C$20:$L$20/(1+Assumptions!$B$9)^DCF_Bear!$C$4:$L$4)+MAX(0,MIN(DCF_Bear!$L$20*(1+Assumptions!$B$15)/(Assumptions!$B$9-Assumptions!$B$15),Assumptions!$C$15*DCF_Bear!$L$20))/(1+Assumptions!$B$9)^Assumptions!$B$10-Assumptions!$B$6)/Assumptions!$B$7,"n/a")</f>
        <v/>
      </c>
      <c r="C16" s="7">
        <f>B16/Assumptions!$B$8-1</f>
        <v/>
      </c>
      <c r="D16" s="5">
        <f>Assumptions!$D$15</f>
        <v/>
      </c>
    </row>
    <row r="17">
      <c r="A17" t="inlineStr">
        <is>
          <t>Base</t>
        </is>
      </c>
      <c r="B17" s="9">
        <f>IF(Assumptions!$B$9&gt;Assumptions!$B$16,(SUMPRODUCT(DCF_Base!$C$20:$L$20/(1+Assumptions!$B$9)^DCF_Base!$C$4:$L$4)+MAX(0,MIN(DCF_Base!$L$20*(1+Assumptions!$B$16)/(Assumptions!$B$9-Assumptions!$B$16),Assumptions!$C$16*DCF_Base!$L$20))/(1+Assumptions!$B$9)^Assumptions!$B$10-Assumptions!$B$6)/Assumptions!$B$7,"n/a")</f>
        <v/>
      </c>
      <c r="C17" s="7">
        <f>B17/Assumptions!$B$8-1</f>
        <v/>
      </c>
      <c r="D17" s="5">
        <f>Assumptions!$D$16</f>
        <v/>
      </c>
    </row>
    <row r="18">
      <c r="A18" t="inlineStr">
        <is>
          <t>Bull</t>
        </is>
      </c>
      <c r="B18" s="9">
        <f>IF(Assumptions!$B$9&gt;Assumptions!$B$17,(SUMPRODUCT(DCF_Bull!$C$20:$L$20/(1+Assumptions!$B$9)^DCF_Bull!$C$4:$L$4)+MAX(0,MIN(DCF_Bull!$L$20*(1+Assumptions!$B$17)/(Assumptions!$B$9-Assumptions!$B$17),Assumptions!$C$17*DCF_Bull!$L$20))/(1+Assumptions!$B$9)^Assumptions!$B$10-Assumptions!$B$6)/Assumptions!$B$7,"n/a")</f>
        <v/>
      </c>
      <c r="C18" s="7">
        <f>B18/Assumptions!$B$8-1</f>
        <v/>
      </c>
      <c r="D18" s="5">
        <f>Assumptions!$D$17</f>
        <v/>
      </c>
    </row>
    <row r="19">
      <c r="A19" t="inlineStr">
        <is>
          <t>Weighted entry price (buy-below)</t>
        </is>
      </c>
      <c r="B19" s="8">
        <f>SUMPRODUCT(B16:B18,D16:D18)</f>
        <v/>
      </c>
      <c r="C19" s="7">
        <f>B19/Assumptions!$B$8-1</f>
        <v/>
      </c>
    </row>
    <row r="21">
      <c r="A21" s="1" t="inlineStr">
        <is>
          <t>Required-return table (base case; each row rebuilds TV at that rate)</t>
        </is>
      </c>
    </row>
    <row r="22">
      <c r="A22" t="inlineStr">
        <is>
          <t>Required return</t>
        </is>
      </c>
      <c r="B22" t="inlineStr">
        <is>
          <t>Value per share</t>
        </is>
      </c>
    </row>
    <row r="23">
      <c r="A23" s="11" t="n">
        <v>0.09</v>
      </c>
      <c r="B23" s="9">
        <f>IF($A$23&gt;Assumptions!$B$16,(SUMPRODUCT(DCF_Base!$C$20:$L$20/(1+$A$23)^DCF_Base!$C$4:$L$4)+MAX(0,MIN(DCF_Base!$L$20*(1+Assumptions!$B$16)/($A$23-Assumptions!$B$16),Assumptions!$C$16*DCF_Base!$L$20))/(1+$A$23)^Assumptions!$B$10-Assumptions!$B$6)/Assumptions!$B$7,"n/a")</f>
        <v/>
      </c>
    </row>
    <row r="24">
      <c r="A24" s="11" t="n">
        <v>0.1</v>
      </c>
      <c r="B24" s="9">
        <f>IF($A$24&gt;Assumptions!$B$16,(SUMPRODUCT(DCF_Base!$C$20:$L$20/(1+$A$24)^DCF_Base!$C$4:$L$4)+MAX(0,MIN(DCF_Base!$L$20*(1+Assumptions!$B$16)/($A$24-Assumptions!$B$16),Assumptions!$C$16*DCF_Base!$L$20))/(1+$A$24)^Assumptions!$B$10-Assumptions!$B$6)/Assumptions!$B$7,"n/a")</f>
        <v/>
      </c>
    </row>
    <row r="25">
      <c r="A25" s="11" t="n">
        <v>0.11</v>
      </c>
      <c r="B25" s="9">
        <f>IF($A$25&gt;Assumptions!$B$16,(SUMPRODUCT(DCF_Base!$C$20:$L$20/(1+$A$25)^DCF_Base!$C$4:$L$4)+MAX(0,MIN(DCF_Base!$L$20*(1+Assumptions!$B$16)/($A$25-Assumptions!$B$16),Assumptions!$C$16*DCF_Base!$L$20))/(1+$A$25)^Assumptions!$B$10-Assumptions!$B$6)/Assumptions!$B$7,"n/a")</f>
        <v/>
      </c>
    </row>
    <row r="26">
      <c r="A26" s="11" t="n">
        <v>0.12</v>
      </c>
      <c r="B26" s="9">
        <f>IF($A$26&gt;Assumptions!$B$16,(SUMPRODUCT(DCF_Base!$C$20:$L$20/(1+$A$26)^DCF_Base!$C$4:$L$4)+MAX(0,MIN(DCF_Base!$L$20*(1+Assumptions!$B$16)/($A$26-Assumptions!$B$16),Assumptions!$C$16*DCF_Base!$L$20))/(1+$A$26)^Assumptions!$B$10-Assumptions!$B$6)/Assumptions!$B$7,"n/a")</f>
        <v/>
      </c>
    </row>
    <row r="27">
      <c r="A27" s="11" t="n">
        <v>0.15</v>
      </c>
      <c r="B27" s="9">
        <f>IF($A$27&gt;Assumptions!$B$16,(SUMPRODUCT(DCF_Base!$C$20:$L$20/(1+$A$27)^DCF_Base!$C$4:$L$4)+MAX(0,MIN(DCF_Base!$L$20*(1+Assumptions!$B$16)/($A$27-Assumptions!$B$16),Assumptions!$C$16*DCF_Base!$L$20))/(1+$A$27)^Assumptions!$B$10-Assumptions!$B$6)/Assumptions!$B$7,"n/a")</f>
        <v/>
      </c>
    </row>
    <row r="28">
      <c r="A28" s="6">
        <f>Assumptions!$B$3</f>
        <v/>
      </c>
      <c r="B28" s="9">
        <f>IF($A$28&gt;Assumptions!$B$16,(SUMPRODUCT(DCF_Base!$C$20:$L$20/(1+$A$28)^DCF_Base!$C$4:$L$4)+MAX(0,MIN(DCF_Base!$L$20*(1+Assumptions!$B$16)/($A$28-Assumptions!$B$16),Assumptions!$C$16*DCF_Base!$L$20))/(1+$A$28)^Assumptions!$B$10-Assumptions!$B$6)/Assumptions!$B$7,"n/a")</f>
        <v/>
      </c>
      <c r="C28" t="inlineStr">
        <is>
          <t>model WACC - must equal DCF_Base!B40</t>
        </is>
      </c>
    </row>
    <row r="30">
      <c r="A30" s="1" t="inlineStr">
        <is>
          <t>Sensitivity: base-case value per share, WACC (rows) x terminal growth (cols). Cap binds throughout -&gt; flat across g by design.</t>
        </is>
      </c>
    </row>
    <row r="31">
      <c r="A31" t="inlineStr">
        <is>
          <t>WACC \ g</t>
        </is>
      </c>
      <c r="B31" s="11" t="n">
        <v>-0.01</v>
      </c>
      <c r="C31" s="11" t="n">
        <v>-0.005</v>
      </c>
      <c r="D31" s="11" t="n">
        <v>0</v>
      </c>
      <c r="E31" s="11" t="n">
        <v>0.005</v>
      </c>
      <c r="F31" s="11" t="n">
        <v>0.01</v>
      </c>
    </row>
    <row r="32">
      <c r="A32" s="11" t="n">
        <v>0.08</v>
      </c>
      <c r="B32" s="9">
        <f>IF($A$32&gt;B$31,(SUMPRODUCT(DCF_Base!$C$20:$L$20/(1+$A$32)^DCF_Base!$C$4:$L$4)+MAX(0,MIN(DCF_Base!$L$20*(1+B$31)/($A$32-B$31),Assumptions!$C$16*DCF_Base!$L$20))/(1+$A$32)^Assumptions!$B$10-Assumptions!$B$6)/Assumptions!$B$7,"n/a")</f>
        <v/>
      </c>
      <c r="C32" s="9">
        <f>IF($A$32&gt;C$31,(SUMPRODUCT(DCF_Base!$C$20:$L$20/(1+$A$32)^DCF_Base!$C$4:$L$4)+MAX(0,MIN(DCF_Base!$L$20*(1+C$31)/($A$32-C$31),Assumptions!$C$16*DCF_Base!$L$20))/(1+$A$32)^Assumptions!$B$10-Assumptions!$B$6)/Assumptions!$B$7,"n/a")</f>
        <v/>
      </c>
      <c r="D32" s="9">
        <f>IF($A$32&gt;D$31,(SUMPRODUCT(DCF_Base!$C$20:$L$20/(1+$A$32)^DCF_Base!$C$4:$L$4)+MAX(0,MIN(DCF_Base!$L$20*(1+D$31)/($A$32-D$31),Assumptions!$C$16*DCF_Base!$L$20))/(1+$A$32)^Assumptions!$B$10-Assumptions!$B$6)/Assumptions!$B$7,"n/a")</f>
        <v/>
      </c>
      <c r="E32" s="9">
        <f>IF($A$32&gt;E$31,(SUMPRODUCT(DCF_Base!$C$20:$L$20/(1+$A$32)^DCF_Base!$C$4:$L$4)+MAX(0,MIN(DCF_Base!$L$20*(1+E$31)/($A$32-E$31),Assumptions!$C$16*DCF_Base!$L$20))/(1+$A$32)^Assumptions!$B$10-Assumptions!$B$6)/Assumptions!$B$7,"n/a")</f>
        <v/>
      </c>
      <c r="F32" s="9">
        <f>IF($A$32&gt;F$31,(SUMPRODUCT(DCF_Base!$C$20:$L$20/(1+$A$32)^DCF_Base!$C$4:$L$4)+MAX(0,MIN(DCF_Base!$L$20*(1+F$31)/($A$32-F$31),Assumptions!$C$16*DCF_Base!$L$20))/(1+$A$32)^Assumptions!$B$10-Assumptions!$B$6)/Assumptions!$B$7,"n/a")</f>
        <v/>
      </c>
    </row>
    <row r="33">
      <c r="A33" s="11" t="n">
        <v>0.09</v>
      </c>
      <c r="B33" s="9">
        <f>IF($A$33&gt;B$31,(SUMPRODUCT(DCF_Base!$C$20:$L$20/(1+$A$33)^DCF_Base!$C$4:$L$4)+MAX(0,MIN(DCF_Base!$L$20*(1+B$31)/($A$33-B$31),Assumptions!$C$16*DCF_Base!$L$20))/(1+$A$33)^Assumptions!$B$10-Assumptions!$B$6)/Assumptions!$B$7,"n/a")</f>
        <v/>
      </c>
      <c r="C33" s="9">
        <f>IF($A$33&gt;C$31,(SUMPRODUCT(DCF_Base!$C$20:$L$20/(1+$A$33)^DCF_Base!$C$4:$L$4)+MAX(0,MIN(DCF_Base!$L$20*(1+C$31)/($A$33-C$31),Assumptions!$C$16*DCF_Base!$L$20))/(1+$A$33)^Assumptions!$B$10-Assumptions!$B$6)/Assumptions!$B$7,"n/a")</f>
        <v/>
      </c>
      <c r="D33" s="9">
        <f>IF($A$33&gt;D$31,(SUMPRODUCT(DCF_Base!$C$20:$L$20/(1+$A$33)^DCF_Base!$C$4:$L$4)+MAX(0,MIN(DCF_Base!$L$20*(1+D$31)/($A$33-D$31),Assumptions!$C$16*DCF_Base!$L$20))/(1+$A$33)^Assumptions!$B$10-Assumptions!$B$6)/Assumptions!$B$7,"n/a")</f>
        <v/>
      </c>
      <c r="E33" s="9">
        <f>IF($A$33&gt;E$31,(SUMPRODUCT(DCF_Base!$C$20:$L$20/(1+$A$33)^DCF_Base!$C$4:$L$4)+MAX(0,MIN(DCF_Base!$L$20*(1+E$31)/($A$33-E$31),Assumptions!$C$16*DCF_Base!$L$20))/(1+$A$33)^Assumptions!$B$10-Assumptions!$B$6)/Assumptions!$B$7,"n/a")</f>
        <v/>
      </c>
      <c r="F33" s="9">
        <f>IF($A$33&gt;F$31,(SUMPRODUCT(DCF_Base!$C$20:$L$20/(1+$A$33)^DCF_Base!$C$4:$L$4)+MAX(0,MIN(DCF_Base!$L$20*(1+F$31)/($A$33-F$31),Assumptions!$C$16*DCF_Base!$L$20))/(1+$A$33)^Assumptions!$B$10-Assumptions!$B$6)/Assumptions!$B$7,"n/a")</f>
        <v/>
      </c>
    </row>
    <row r="34">
      <c r="A34" s="11" t="n">
        <v>0.1</v>
      </c>
      <c r="B34" s="9">
        <f>IF($A$34&gt;B$31,(SUMPRODUCT(DCF_Base!$C$20:$L$20/(1+$A$34)^DCF_Base!$C$4:$L$4)+MAX(0,MIN(DCF_Base!$L$20*(1+B$31)/($A$34-B$31),Assumptions!$C$16*DCF_Base!$L$20))/(1+$A$34)^Assumptions!$B$10-Assumptions!$B$6)/Assumptions!$B$7,"n/a")</f>
        <v/>
      </c>
      <c r="C34" s="9">
        <f>IF($A$34&gt;C$31,(SUMPRODUCT(DCF_Base!$C$20:$L$20/(1+$A$34)^DCF_Base!$C$4:$L$4)+MAX(0,MIN(DCF_Base!$L$20*(1+C$31)/($A$34-C$31),Assumptions!$C$16*DCF_Base!$L$20))/(1+$A$34)^Assumptions!$B$10-Assumptions!$B$6)/Assumptions!$B$7,"n/a")</f>
        <v/>
      </c>
      <c r="D34" s="12">
        <f>IF($A$34&gt;D$31,(SUMPRODUCT(DCF_Base!$C$20:$L$20/(1+$A$34)^DCF_Base!$C$4:$L$4)+MAX(0,MIN(DCF_Base!$L$20*(1+D$31)/($A$34-D$31),Assumptions!$C$16*DCF_Base!$L$20))/(1+$A$34)^Assumptions!$B$10-Assumptions!$B$6)/Assumptions!$B$7,"n/a")</f>
        <v/>
      </c>
      <c r="E34" s="9">
        <f>IF($A$34&gt;E$31,(SUMPRODUCT(DCF_Base!$C$20:$L$20/(1+$A$34)^DCF_Base!$C$4:$L$4)+MAX(0,MIN(DCF_Base!$L$20*(1+E$31)/($A$34-E$31),Assumptions!$C$16*DCF_Base!$L$20))/(1+$A$34)^Assumptions!$B$10-Assumptions!$B$6)/Assumptions!$B$7,"n/a")</f>
        <v/>
      </c>
      <c r="F34" s="9">
        <f>IF($A$34&gt;F$31,(SUMPRODUCT(DCF_Base!$C$20:$L$20/(1+$A$34)^DCF_Base!$C$4:$L$4)+MAX(0,MIN(DCF_Base!$L$20*(1+F$31)/($A$34-F$31),Assumptions!$C$16*DCF_Base!$L$20))/(1+$A$34)^Assumptions!$B$10-Assumptions!$B$6)/Assumptions!$B$7,"n/a")</f>
        <v/>
      </c>
    </row>
    <row r="35">
      <c r="A35" s="11" t="n">
        <v>0.11</v>
      </c>
      <c r="B35" s="9">
        <f>IF($A$35&gt;B$31,(SUMPRODUCT(DCF_Base!$C$20:$L$20/(1+$A$35)^DCF_Base!$C$4:$L$4)+MAX(0,MIN(DCF_Base!$L$20*(1+B$31)/($A$35-B$31),Assumptions!$C$16*DCF_Base!$L$20))/(1+$A$35)^Assumptions!$B$10-Assumptions!$B$6)/Assumptions!$B$7,"n/a")</f>
        <v/>
      </c>
      <c r="C35" s="9">
        <f>IF($A$35&gt;C$31,(SUMPRODUCT(DCF_Base!$C$20:$L$20/(1+$A$35)^DCF_Base!$C$4:$L$4)+MAX(0,MIN(DCF_Base!$L$20*(1+C$31)/($A$35-C$31),Assumptions!$C$16*DCF_Base!$L$20))/(1+$A$35)^Assumptions!$B$10-Assumptions!$B$6)/Assumptions!$B$7,"n/a")</f>
        <v/>
      </c>
      <c r="D35" s="9">
        <f>IF($A$35&gt;D$31,(SUMPRODUCT(DCF_Base!$C$20:$L$20/(1+$A$35)^DCF_Base!$C$4:$L$4)+MAX(0,MIN(DCF_Base!$L$20*(1+D$31)/($A$35-D$31),Assumptions!$C$16*DCF_Base!$L$20))/(1+$A$35)^Assumptions!$B$10-Assumptions!$B$6)/Assumptions!$B$7,"n/a")</f>
        <v/>
      </c>
      <c r="E35" s="9">
        <f>IF($A$35&gt;E$31,(SUMPRODUCT(DCF_Base!$C$20:$L$20/(1+$A$35)^DCF_Base!$C$4:$L$4)+MAX(0,MIN(DCF_Base!$L$20*(1+E$31)/($A$35-E$31),Assumptions!$C$16*DCF_Base!$L$20))/(1+$A$35)^Assumptions!$B$10-Assumptions!$B$6)/Assumptions!$B$7,"n/a")</f>
        <v/>
      </c>
      <c r="F35" s="9">
        <f>IF($A$35&gt;F$31,(SUMPRODUCT(DCF_Base!$C$20:$L$20/(1+$A$35)^DCF_Base!$C$4:$L$4)+MAX(0,MIN(DCF_Base!$L$20*(1+F$31)/($A$35-F$31),Assumptions!$C$16*DCF_Base!$L$20))/(1+$A$35)^Assumptions!$B$10-Assumptions!$B$6)/Assumptions!$B$7,"n/a")</f>
        <v/>
      </c>
    </row>
    <row r="36">
      <c r="A36" s="11" t="n">
        <v>0.12</v>
      </c>
      <c r="B36" s="9">
        <f>IF($A$36&gt;B$31,(SUMPRODUCT(DCF_Base!$C$20:$L$20/(1+$A$36)^DCF_Base!$C$4:$L$4)+MAX(0,MIN(DCF_Base!$L$20*(1+B$31)/($A$36-B$31),Assumptions!$C$16*DCF_Base!$L$20))/(1+$A$36)^Assumptions!$B$10-Assumptions!$B$6)/Assumptions!$B$7,"n/a")</f>
        <v/>
      </c>
      <c r="C36" s="9">
        <f>IF($A$36&gt;C$31,(SUMPRODUCT(DCF_Base!$C$20:$L$20/(1+$A$36)^DCF_Base!$C$4:$L$4)+MAX(0,MIN(DCF_Base!$L$20*(1+C$31)/($A$36-C$31),Assumptions!$C$16*DCF_Base!$L$20))/(1+$A$36)^Assumptions!$B$10-Assumptions!$B$6)/Assumptions!$B$7,"n/a")</f>
        <v/>
      </c>
      <c r="D36" s="9">
        <f>IF($A$36&gt;D$31,(SUMPRODUCT(DCF_Base!$C$20:$L$20/(1+$A$36)^DCF_Base!$C$4:$L$4)+MAX(0,MIN(DCF_Base!$L$20*(1+D$31)/($A$36-D$31),Assumptions!$C$16*DCF_Base!$L$20))/(1+$A$36)^Assumptions!$B$10-Assumptions!$B$6)/Assumptions!$B$7,"n/a")</f>
        <v/>
      </c>
      <c r="E36" s="9">
        <f>IF($A$36&gt;E$31,(SUMPRODUCT(DCF_Base!$C$20:$L$20/(1+$A$36)^DCF_Base!$C$4:$L$4)+MAX(0,MIN(DCF_Base!$L$20*(1+E$31)/($A$36-E$31),Assumptions!$C$16*DCF_Base!$L$20))/(1+$A$36)^Assumptions!$B$10-Assumptions!$B$6)/Assumptions!$B$7,"n/a")</f>
        <v/>
      </c>
      <c r="F36" s="9">
        <f>IF($A$36&gt;F$31,(SUMPRODUCT(DCF_Base!$C$20:$L$20/(1+$A$36)^DCF_Base!$C$4:$L$4)+MAX(0,MIN(DCF_Base!$L$20*(1+F$31)/($A$36-F$31),Assumptions!$C$16*DCF_Base!$L$20))/(1+$A$36)^Assumptions!$B$10-Assumptions!$B$6)/Assumptions!$B$7,"n/a")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2026-09-21T12:03:26Z</dcterms:created>
  <dcterms:modified xmlns:dcterms="http://purl.org/dc/terms/" xmlns:xsi="http://www.w3.org/2001/XMLSchema-instance" xsi:type="dcterms:W3CDTF">2026-09-21T12:03:26Z</dcterms:modified>
</cp:coreProperties>
</file>