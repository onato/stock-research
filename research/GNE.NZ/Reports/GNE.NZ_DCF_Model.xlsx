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<sst xmlns="http://schemas.openxmlformats.org/spreadsheetml/2006/main" count="143" uniqueCount="138">
  <si>
    <t>GNE.NZ (Genesis Energy) DCF Valuation Model</t>
  </si>
  <si>
    <t>Gray cells are INPUTS - adjust to see valuation change. EBITDAF-anchored component build (10yr horizon).</t>
  </si>
  <si>
    <t>KEY INPUTS</t>
  </si>
  <si>
    <t>Current Stock Price (NZ$)</t>
  </si>
  <si>
    <t>Shares Outstanding, post-raise (M)</t>
  </si>
  <si>
    <t>Net Debt, pro-forma (NZ$M)</t>
  </si>
  <si>
    <t>DRP annual dilution %</t>
  </si>
  <si>
    <t>WACC (Base)</t>
  </si>
  <si>
    <t>Terminal Growth Rate (Base)</t>
  </si>
  <si>
    <t>Terminal Cap: EV/EBITDAF multiple</t>
  </si>
  <si>
    <t>SBC (immaterial, NZ$M/yr)</t>
  </si>
  <si>
    <t>EBITDAF PATH (Base, NZ$M) - anchored to guidance, not extrapolated flat</t>
  </si>
  <si>
    <t>Year</t>
  </si>
  <si>
    <t>EBITDAF (guided/mid-cycle build)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</si>
  <si>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</si>
  <si>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</si>
  <si>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</si>
  <si>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</si>
  <si>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</si>
  <si>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</si>
  <si>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</si>
  <si>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</si>
  <si>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</si>
  <si>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</si>
  <si>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COMPONENT BUILD (Base)</t>
  </si>
  <si>
    <t>Revenue (smoothed reference, 4%/yr)</t>
  </si>
  <si>
    <t>less: SBC (immaterial)</t>
  </si>
  <si>
    <t>Owner EBITDAF</t>
  </si>
  <si>
    <t>less: D&amp;A</t>
  </si>
  <si>
    <t>EBIT</t>
  </si>
  <si>
    <t>NOPAT (post-tax, 28% NZ rate)</t>
  </si>
  <si>
    <t>add back: D&amp;A</t>
  </si>
  <si>
    <t>less: SIB Capex</t>
  </si>
  <si>
    <t>less: Growth Capex (Gen35)</t>
  </si>
  <si>
    <t>add: Working Capital (on rev change)</t>
  </si>
  <si>
    <t>Owner FCF</t>
  </si>
  <si>
    <t>Owner FCF Margin %</t>
  </si>
  <si>
    <t>DISCOUNTING &amp; VALUATION</t>
  </si>
  <si>
    <t>Discount Factor</t>
  </si>
  <si>
    <t>PV of Owner FCF</t>
  </si>
  <si>
    <t>Sum of PV of FCF (10yr)</t>
  </si>
  <si>
    <t>Terminal FCF (Y10 * (1+g))</t>
  </si>
  <si>
    <t>Terminal Value - Gordon Growth</t>
  </si>
  <si>
    <t>Terminal Value - EV/EBITDAF Cap</t>
  </si>
  <si>
    <t>Terminal Value (lower of the two)</t>
  </si>
  <si>
    <t>PV of Terminal Value</t>
  </si>
  <si>
    <t>Enterprise Value</t>
  </si>
  <si>
    <t>less: Net Debt</t>
  </si>
  <si>
    <t>Equity Value</t>
  </si>
  <si>
    <t>Terminal-Year (Y10) Diluted Shares (M)</t>
  </si>
  <si>
    <t>INTRINSIC VALUE / SHARE</t>
  </si>
  <si>
    <t>ENTRY PRICE (15% IRR Target)</t>
  </si>
  <si>
    <t>PV of Yrs 1-10 FCF @15%</t>
  </si>
  <si>
    <t>PV of Terminal Value @15%</t>
  </si>
  <si>
    <t>Entry Price (15% IRR)</t>
  </si>
  <si>
    <t>Upside to Intrinsic Value</t>
  </si>
  <si>
    <t>Upside to Entry Price</t>
  </si>
  <si>
    <t>Bull / Base / Bear Scenario Comparison</t>
  </si>
  <si>
    <t>Metric</t>
  </si>
  <si>
    <t>Bull</t>
  </si>
  <si>
    <t>Base</t>
  </si>
  <si>
    <t>Bear</t>
  </si>
  <si>
    <t>WACC</t>
  </si>
  <si>
    <t>Terminal Growth</t>
  </si>
  <si>
    <t>Terminal Cap (EV/EBITDAF x)</t>
  </si>
  <si>
    <t>Y10 EBITDAF (NZ$M)</t>
  </si>
  <si>
    <t>Y10 Owner FCF (NZ$M)</t>
  </si>
  <si>
    <t>Terminal Value Bound</t>
  </si>
  <si>
    <t>cap</t>
  </si>
  <si>
    <t>gordon</t>
  </si>
  <si>
    <t>Enterprise Value (NZ$M)</t>
  </si>
  <si>
    <t>Equity Value (NZ$M)</t>
  </si>
  <si>
    <t>Intrinsic Value / Share</t>
  </si>
  <si>
    <t>Upside vs Current (%)</t>
  </si>
  <si>
    <t>Terminal % of EV</t>
  </si>
  <si>
    <t>Probability Weighted IV</t>
  </si>
  <si>
    <t>Weights (Bull/Base/Bear)</t>
  </si>
  <si>
    <t>25% / 50% / 25%</t>
  </si>
  <si>
    <t>Bull narrative:</t>
  </si>
  <si>
    <t>Hydrology stays favourable, Gen35 solar/BESS/HFO delivery on or ahead of schedule and capital-efficient, FY32 outlook upper end ($830m by FY35) achieved, regulatory review outcome benign.</t>
  </si>
  <si>
    <t>Bear narrative:</t>
  </si>
  <si>
    <t>Dry-year reversion is sharp (FY27 EBITDAF troughs at $425m) and the Energy Competition Task Force non-discrimination rules plus continued Kupe decline keep margins structurally weaker than base for the full decade -- Y10 EBITDAF reaches only $533m, 28% below base's $740m. Critically, this scenario assumes RATIONAL management: when early returns on the Gen35 pipeline disappoint, the board stage-gates and curtails the DISCRETIONARY portion of growth capex rather than continuing to fund a programme that is not paying off. Only the already-committed ~236MW (~$371m), the in-flight Huntly BESS Stage 1, and a partial Leeston/Edgecumbe solar tranche are completed (front-loaded FY26-28); everything beyond that is deferred or cancelled from FY29 onward as new FIDs stop being approved. Total growth capex is $1,020m over 10 years (47% of the base case's $2,170m). SIB capex stays at $140m/yr (non-discretionary, cannot be deferred without risking plant/network reliability).</t>
  </si>
  <si>
    <t>Sensitivity Analysis (Base Case)</t>
  </si>
  <si>
    <t>Intrinsic Value by WACC &amp; Terminal Growth (values from JSON; cap-bound rows are flat by design)</t>
  </si>
  <si>
    <t>WACC \ Term G</t>
  </si>
  <si>
    <t>FCF Quality: Reported vs Owner FCF (Historical)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</si>
  <si>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</si>
  <si>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</si>
  <si>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</si>
  <si>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</si>
  <si>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</si>
  <si>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</si>
  <si>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</si>
  <si>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</si>
  <si>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Revenue</t>
  </si>
  <si>
    <t>EBITDAF (reported)</t>
  </si>
  <si>
    <t>Reported FCF (company definition)</t>
  </si>
  <si>
    <t>less: SBC (immaterial, ~$0.4-0.9M)</t>
  </si>
  <si>
    <t>Reported FCF Margin %</t>
  </si>
  <si>
    <t>Capex</t>
  </si>
  <si>
    <t>Capex % of Revenue</t>
  </si>
  <si>
    <t>Memo: SBC is verified immaterial across all years (~$0.4-0.9M vs ~$355-524M EBITDAF, i.e. &lt;0.3% of EBITDAF). No equity-award-tax add-back applies. Genesis holds net DEBT (not net cash) so no interest-income double-count to strip. Effective cash tax rate FY2025 was 25.8% (vs 28% NZ statutory) -- not abnormal, no ramp required. The real FCF-quality story at GNE is CAPEX, not working capital or tax: FY2024 capex spiked to 4.98% of revenue (technology transformation + hydro SIB) and FY26+ capex is guided materially higher again ($130-140M SIB/yr plus ~$2bn Gen35 growth capex to FY32), which is why reported/owner FCF is projected to be suppressed for several years despite EBITDAF guidance rising.</t>
  </si>
  <si>
    <t>Model Provenance &amp; Methodology Notes</t>
  </si>
  <si>
    <t>Ticker</t>
  </si>
  <si>
    <t>GNE.NZ (Genesis Energy Limited)</t>
  </si>
  <si>
    <t>Built by</t>
  </si>
  <si>
    <t>Claude dcf-analyst agent, per .claude/agents/dcf-analyst.md</t>
  </si>
  <si>
    <t>Valuation date</t>
  </si>
  <si>
    <t>2026-08-11</t>
  </si>
  <si>
    <t>Share price date/source</t>
  </si>
  <si>
    <t>NZ$2.63, Yahoo Finance live quote, 11-Aug-2026 (fetched via query1.finance.yahoo.com chart API)</t>
  </si>
  <si>
    <t>Data vintage</t>
  </si>
  <si>
    <t>FY2025 Annual Report (25-Aug-2025), H1 FY26 results + presentation (23-Feb-2026), Q3/Q4 FY26 quarterly operational updates (through ~Apr/Jul-2026), FY26 guidance upgraded 23-Apr-2026 to $515-545m normalised EBITDAF</t>
  </si>
  <si>
    <t>Share count</t>
  </si>
  <si>
    <t>Post Feb-2026 NZ$400m equity raise: 1,110.4M (pre-raise, 31-Dec-2025) + 146.3M (rights offer) + 46.5M (placement) = 1,303.2M. CSV SharesOutstanding column is STALE (pre-raise) -- do not use directly.</t>
  </si>
  <si>
    <t>Net debt</t>
  </si>
  <si>
    <t>NZ$1,300M pro-forma (reported NZ$1,315.0M at 31-Dec-2025; raise proceeds fund growth capex, not debt paydown, so not simply netted off).</t>
  </si>
  <si>
    <t>Methodology</t>
  </si>
  <si>
    <t>EBITDAF-anchored 10-year component build (NOT flat-margin or revenue-growth-rate extrapolation). Revenue is highly noisy at GNE due to wholesale fuel-cost pass-through (historical YoY swings -16% to +28%; H1 FY26 revenue FELL 12.9% YoY even as EBITDAF rose 38%), so EBITDAF is projected directly off management guidance markers (FY26 guided midpoint, FY27 mid-cycle reversion, FY28 guidance, FY32 outlook, then decelerating to terminal growth), while revenue is only a smoothed reference series for D&amp;A%/SBC%/working-capital purposes.</t>
  </si>
  <si>
    <t>Horizon</t>
  </si>
  <si>
    <t>10 years (Y10 owner-FCF growth 2.3% vs 2.25% terminal growth -- confirmed mature before capitalizing, per Step 1c(d)).</t>
  </si>
  <si>
    <t>Terminal value</t>
  </si>
  <si>
    <t>Lower of Gordon Growth and an EV/EBITDAF cap (8.0x base, 9.0x bull, 7.0x bear) -- historical GNE EV/EBITDAF ran 8.1-13.6x, so caps sit at/below the historical floor by design.</t>
  </si>
  <si>
    <t>SBC treatment</t>
  </si>
  <si>
    <t>Verified immaterial (~$0.4-0.9M/yr vs ~$355-524M EBITDAF). No equity-award-tax add-back needed; no material dilution from SBC. Share count instead grown ~0.75%/yr for ongoing DRP issuance (no buybacks).</t>
  </si>
  <si>
    <t>Interest income</t>
  </si>
  <si>
    <t>Not stripped -- Genesis holds net DEBT, not net cash; finance revenue is trivial ($2.8M FY25).</t>
  </si>
  <si>
    <t>SIB capex $130-140M/yr (guided) plus ~$2bn Gen35 growth capex pipeline (solar to 500MW by FY28, Huntly BESS, wind, HFO-related firming) concentrated FY26-FY32, explicitly modelled per year (not flat maintenance capex) -- this is why the Feb-2026 equity raise happened and why reported FCF is suppressed for years.</t>
  </si>
  <si>
    <t>Tax rate</t>
  </si>
  <si>
    <t>Held at 28% (NZ statutory rate); FY2025 effective rate was 25.8%, not abnormal enough to require a ramp.</t>
  </si>
  <si>
    <t>Dividend</t>
  </si>
  <si>
    <t>Not explicitly modelled as a distribution in the DCF cash flows (DCF values the whole equity claim); dividend sustainability is discussed qualitatively in valuation_philosophy given the ~90%+ payout ratio and heavy capex programme. FY25 DPS 14.3cps, H1 FY26 interim 7.30cps, ~6.4% gross imputed yield at $2.63.</t>
  </si>
  <si>
    <t>Cell colour convention</t>
  </si>
  <si>
    <t>Grey-filled cells (light blue-grey, #dfe6e9) are INPUTS -- edit freely. White cells are FORMULAS that recalculate automatically. Green cells are headline OUTPUTS (Intrinsic Value, Entry Price).</t>
  </si>
  <si>
    <t>What to refresh after next print</t>
  </si>
  <si>
    <t>FY26 full-year results (due ~late Aug 2026) will convert Y1 FY26 EBITDAF from guidance to actual -- refresh the EBITDAF path, revenue base, D&amp;A%, and net debt/share count once FY26 Annual Report is available. Also re-check Energy Competition Task Force non-discrimination rule outcomes (targeted mid-2026) and Commerce Commission clearance of the Huntly Firming Options, both of which could move the base-case EBITDAF path materially.</t>
  </si>
  <si>
    <t>Staleness warning</t>
  </si>
  <si>
    <t>All figures in this model will go stale. Re-verify current price, guidance, net debt and share count before relying on this valuation for a live decision.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</si>
</sst>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.00%"/>
    <numFmt numFmtId="166" formatCode="#,##0.0"/>
    <numFmt numFmtId="167" formatCode="0.0%"/>
    <numFmt numFmtId="168" formatCode="&quot;$&quot;#,##0.0000"/>
    <numFmt numFmtId="169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4" fillId="3" borderId="2" xfId="0" applyFont="1" applyFill="1" applyBorder="1"/>
    <xf numFmtId="166" fontId="0" fillId="0" borderId="2" xfId="0" applyNumberFormat="1" applyBorder="1"/>
    <xf numFmtId="0" fontId="5" fillId="0" borderId="0" xfId="0" applyFont="1"/>
    <xf numFmtId="167" fontId="0" fillId="0" borderId="2" xfId="0" applyNumberFormat="1" applyBorder="1"/>
    <xf numFmtId="168" fontId="4" fillId="4" borderId="2" xfId="0" applyNumberFormat="1" applyFont="1" applyFill="1" applyBorder="1"/>
    <xf numFmtId="168" fontId="0" fillId="0" borderId="2" xfId="0" applyNumberFormat="1" applyBorder="1"/>
    <xf numFmtId="0" fontId="0" fillId="0" borderId="0" xfId="0" applyAlignment="1">
      <alignment vertical="top" wrapText="1"/>
    </xf>
    <xf numFmtId="165" fontId="4" fillId="3" borderId="0" xfId="0" applyNumberFormat="1" applyFont="1" applyFill="1"/>
    <xf numFmtId="167" fontId="4" fillId="3" borderId="0" xfId="0" applyNumberFormat="1" applyFont="1" applyFill="1"/>
    <xf numFmtId="169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cols>
    <col min="1" max="1" width="30.7109375" customWidth="1"/>
    <col min="2" max="2" width="14.7109375" customWidth="1"/>
    <col min="3" max="12" width="12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</row>
    <row r="5" spans="1:11">
      <c r="A5" t="s">
        <v>3</v>
      </c>
      <c r="B5" s="4">
        <v>2.63</v>
      </c>
    </row>
    <row r="6" spans="1:11">
      <c r="A6" t="s">
        <v>4</v>
      </c>
      <c r="B6" s="4">
        <v>1303.2</v>
      </c>
    </row>
    <row r="7" spans="1:11">
      <c r="A7" t="s">
        <v>5</v>
      </c>
      <c r="B7" s="4">
        <v>1300</v>
      </c>
    </row>
    <row r="8" spans="1:11">
      <c r="A8" t="s">
        <v>6</v>
      </c>
      <c r="B8" s="5">
        <v>0.0075</v>
      </c>
    </row>
    <row r="9" spans="1:11">
      <c r="A9" t="s">
        <v>7</v>
      </c>
      <c r="B9" s="5">
        <v>0.09</v>
      </c>
    </row>
    <row r="10" spans="1:11">
      <c r="A10" t="s">
        <v>8</v>
      </c>
      <c r="B10" s="5">
        <v>0.0225</v>
      </c>
    </row>
    <row r="11" spans="1:11">
      <c r="A11" t="s">
        <v>9</v>
      </c>
      <c r="B11" s="4">
        <v>8</v>
      </c>
    </row>
    <row r="12" spans="1:11">
      <c r="A12" t="s">
        <v>10</v>
      </c>
      <c r="B12" s="4">
        <v>0.9</v>
      </c>
    </row>
    <row r="14" spans="1:11">
      <c r="A14" s="3" t="s">
        <v>11</v>
      </c>
    </row>
    <row r="15" spans="1:11">
      <c r="A15" t="s">
        <v>12</v>
      </c>
      <c r="B15" s="6" t="s">
        <v>14</v>
      </c>
      <c r="C15" s="6" t="s">
        <v>15</v>
      </c>
      <c r="D15" s="6" t="s">
        <v>16</v>
      </c>
      <c r="E15" s="6" t="s">
        <v>17</v>
      </c>
      <c r="F15" s="6" t="s">
        <v>18</v>
      </c>
      <c r="G15" s="6" t="s">
        <v>19</v>
      </c>
      <c r="H15" s="6" t="s">
        <v>20</v>
      </c>
      <c r="I15" s="6" t="s">
        <v>21</v>
      </c>
      <c r="J15" s="6" t="s">
        <v>22</v>
      </c>
      <c r="K15" s="6" t="s">
        <v>23</v>
      </c>
    </row>
    <row r="16" spans="1:11">
      <c r="A16" t="s">
        <v>13</v>
      </c>
      <c r="B16" s="4">
        <v>530</v>
      </c>
      <c r="C16" s="4">
        <v>490</v>
      </c>
      <c r="D16" s="4">
        <v>545</v>
      </c>
      <c r="E16" s="4">
        <v>575</v>
      </c>
      <c r="F16" s="4">
        <v>605</v>
      </c>
      <c r="G16" s="4">
        <v>645</v>
      </c>
      <c r="H16" s="4">
        <v>700</v>
      </c>
      <c r="I16" s="4">
        <v>715</v>
      </c>
      <c r="J16" s="4">
        <v>728</v>
      </c>
      <c r="K16" s="4">
        <v>740</v>
      </c>
    </row>
    <row r="18" spans="1:11">
      <c r="A18" s="3" t="s">
        <v>24</v>
      </c>
    </row>
    <row r="20" spans="1:11">
      <c r="A20" t="s">
        <v>25</v>
      </c>
      <c r="B20" s="7">
        <v>3808.6</v>
      </c>
      <c r="C20" s="7">
        <v>3960.9</v>
      </c>
      <c r="D20" s="7">
        <v>4119.4</v>
      </c>
      <c r="E20" s="7">
        <v>4284.1</v>
      </c>
      <c r="F20" s="7">
        <v>4455.5</v>
      </c>
      <c r="G20" s="7">
        <v>4633.7</v>
      </c>
      <c r="H20" s="7">
        <v>4819.1</v>
      </c>
      <c r="I20" s="7">
        <v>5011.8</v>
      </c>
      <c r="J20" s="7">
        <v>5212.3</v>
      </c>
      <c r="K20" s="7">
        <v>5420.8</v>
      </c>
    </row>
    <row r="21" spans="1:11">
      <c r="A21" t="s">
        <v>26</v>
      </c>
      <c r="B21" s="7">
        <v>0.95</v>
      </c>
      <c r="C21" s="7">
        <v>0.99</v>
      </c>
      <c r="D21" s="7">
        <v>1.03</v>
      </c>
      <c r="E21" s="7">
        <v>1.07</v>
      </c>
      <c r="F21" s="7">
        <v>1.11</v>
      </c>
      <c r="G21" s="7">
        <v>1.16</v>
      </c>
      <c r="H21" s="7">
        <v>1.2</v>
      </c>
      <c r="I21" s="7">
        <v>1.25</v>
      </c>
      <c r="J21" s="7">
        <v>1.3</v>
      </c>
      <c r="K21" s="7">
        <v>1.36</v>
      </c>
    </row>
    <row r="22" spans="1:11">
      <c r="A22" t="s">
        <v>27</v>
      </c>
      <c r="B22" s="7">
        <v>529</v>
      </c>
      <c r="C22" s="7">
        <v>489</v>
      </c>
      <c r="D22" s="7">
        <v>544</v>
      </c>
      <c r="E22" s="7">
        <v>573.9</v>
      </c>
      <c r="F22" s="7">
        <v>603.9</v>
      </c>
      <c r="G22" s="7">
        <v>643.8</v>
      </c>
      <c r="H22" s="7">
        <v>698.8</v>
      </c>
      <c r="I22" s="7">
        <v>713.8</v>
      </c>
      <c r="J22" s="7">
        <v>726.7</v>
      </c>
      <c r="K22" s="7">
        <v>738.6</v>
      </c>
    </row>
    <row r="23" spans="1:11">
      <c r="A23" t="s">
        <v>28</v>
      </c>
      <c r="B23" s="7">
        <v>251.4</v>
      </c>
      <c r="C23" s="7">
        <v>265.4</v>
      </c>
      <c r="D23" s="7">
        <v>280.1</v>
      </c>
      <c r="E23" s="7">
        <v>295.6</v>
      </c>
      <c r="F23" s="7">
        <v>311.9</v>
      </c>
      <c r="G23" s="7">
        <v>324.4</v>
      </c>
      <c r="H23" s="7">
        <v>337.3</v>
      </c>
      <c r="I23" s="7">
        <v>350.8</v>
      </c>
      <c r="J23" s="7">
        <v>364.9</v>
      </c>
      <c r="K23" s="7">
        <v>379.5</v>
      </c>
    </row>
    <row r="24" spans="1:11">
      <c r="A24" t="s">
        <v>29</v>
      </c>
      <c r="B24" s="7">
        <v>277.6</v>
      </c>
      <c r="C24" s="7">
        <v>223.6</v>
      </c>
      <c r="D24" s="7">
        <v>263.9</v>
      </c>
      <c r="E24" s="7">
        <v>278.3</v>
      </c>
      <c r="F24" s="7">
        <v>292</v>
      </c>
      <c r="G24" s="7">
        <v>319.4</v>
      </c>
      <c r="H24" s="7">
        <v>361.5</v>
      </c>
      <c r="I24" s="7">
        <v>363</v>
      </c>
      <c r="J24" s="7">
        <v>361.8</v>
      </c>
      <c r="K24" s="7">
        <v>359.1</v>
      </c>
    </row>
    <row r="25" spans="1:11">
      <c r="A25" t="s">
        <v>30</v>
      </c>
      <c r="B25" s="7">
        <v>199.9</v>
      </c>
      <c r="C25" s="7">
        <v>161</v>
      </c>
      <c r="D25" s="7">
        <v>190</v>
      </c>
      <c r="E25" s="7">
        <v>200.4</v>
      </c>
      <c r="F25" s="7">
        <v>210.2</v>
      </c>
      <c r="G25" s="7">
        <v>230</v>
      </c>
      <c r="H25" s="7">
        <v>260.3</v>
      </c>
      <c r="I25" s="7">
        <v>261.4</v>
      </c>
      <c r="J25" s="7">
        <v>260.5</v>
      </c>
      <c r="K25" s="7">
        <v>258.6</v>
      </c>
    </row>
    <row r="26" spans="1:11">
      <c r="A26" t="s">
        <v>31</v>
      </c>
      <c r="B26" s="7">
        <v>251.4</v>
      </c>
      <c r="C26" s="7">
        <v>265.4</v>
      </c>
      <c r="D26" s="7">
        <v>280.1</v>
      </c>
      <c r="E26" s="7">
        <v>295.6</v>
      </c>
      <c r="F26" s="7">
        <v>311.9</v>
      </c>
      <c r="G26" s="7">
        <v>324.4</v>
      </c>
      <c r="H26" s="7">
        <v>337.3</v>
      </c>
      <c r="I26" s="7">
        <v>350.8</v>
      </c>
      <c r="J26" s="7">
        <v>364.9</v>
      </c>
      <c r="K26" s="7">
        <v>379.5</v>
      </c>
    </row>
    <row r="27" spans="1:11">
      <c r="A27" t="s">
        <v>32</v>
      </c>
      <c r="B27" s="7">
        <v>135</v>
      </c>
      <c r="C27" s="7">
        <v>138.4</v>
      </c>
      <c r="D27" s="7">
        <v>141.8</v>
      </c>
      <c r="E27" s="7">
        <v>145.4</v>
      </c>
      <c r="F27" s="7">
        <v>149</v>
      </c>
      <c r="G27" s="7">
        <v>152.7</v>
      </c>
      <c r="H27" s="7">
        <v>156.6</v>
      </c>
      <c r="I27" s="7">
        <v>160.5</v>
      </c>
      <c r="J27" s="7">
        <v>164.5</v>
      </c>
      <c r="K27" s="7">
        <v>168.6</v>
      </c>
    </row>
    <row r="28" spans="1:11">
      <c r="A28" t="s">
        <v>33</v>
      </c>
      <c r="B28" s="7">
        <v>230</v>
      </c>
      <c r="C28" s="7">
        <v>280</v>
      </c>
      <c r="D28" s="7">
        <v>320</v>
      </c>
      <c r="E28" s="7">
        <v>320</v>
      </c>
      <c r="F28" s="7">
        <v>300</v>
      </c>
      <c r="G28" s="7">
        <v>260</v>
      </c>
      <c r="H28" s="7">
        <v>200</v>
      </c>
      <c r="I28" s="7">
        <v>100</v>
      </c>
      <c r="J28" s="7">
        <v>80</v>
      </c>
      <c r="K28" s="7">
        <v>80</v>
      </c>
    </row>
    <row r="29" spans="1:11">
      <c r="A29" t="s">
        <v>34</v>
      </c>
      <c r="B29" s="7">
        <v>7.3</v>
      </c>
      <c r="C29" s="7">
        <v>7.6</v>
      </c>
      <c r="D29" s="7">
        <v>7.9</v>
      </c>
      <c r="E29" s="7">
        <v>8.199999999999999</v>
      </c>
      <c r="F29" s="7">
        <v>8.6</v>
      </c>
      <c r="G29" s="7">
        <v>8.9</v>
      </c>
      <c r="H29" s="7">
        <v>9.300000000000001</v>
      </c>
      <c r="I29" s="7">
        <v>9.6</v>
      </c>
      <c r="J29" s="7">
        <v>10</v>
      </c>
      <c r="K29" s="7">
        <v>10.4</v>
      </c>
    </row>
    <row r="30" spans="1:11">
      <c r="A30" s="8" t="s">
        <v>35</v>
      </c>
      <c r="B30" s="7">
        <v>93.59999999999999</v>
      </c>
      <c r="C30" s="7">
        <v>15.6</v>
      </c>
      <c r="D30" s="7">
        <v>16.2</v>
      </c>
      <c r="E30" s="7">
        <v>38.8</v>
      </c>
      <c r="F30" s="7">
        <v>81.7</v>
      </c>
      <c r="G30" s="7">
        <v>150.6</v>
      </c>
      <c r="H30" s="7">
        <v>250.3</v>
      </c>
      <c r="I30" s="7">
        <v>361.3</v>
      </c>
      <c r="J30" s="7">
        <v>390.9</v>
      </c>
      <c r="K30" s="7">
        <v>399.9</v>
      </c>
    </row>
    <row r="31" spans="1:11">
      <c r="A31" t="s">
        <v>36</v>
      </c>
      <c r="B31" s="9">
        <v>0.025</v>
      </c>
      <c r="C31" s="9">
        <v>0.004</v>
      </c>
      <c r="D31" s="9">
        <v>0.004</v>
      </c>
      <c r="E31" s="9">
        <v>0.009000000000000001</v>
      </c>
      <c r="F31" s="9">
        <v>0.018</v>
      </c>
      <c r="G31" s="9">
        <v>0.033</v>
      </c>
      <c r="H31" s="9">
        <v>0.052</v>
      </c>
      <c r="I31" s="9">
        <v>0.07200000000000001</v>
      </c>
      <c r="J31" s="9">
        <v>0.075</v>
      </c>
      <c r="K31" s="9">
        <v>0.07400000000000001</v>
      </c>
    </row>
    <row r="33" spans="1:11">
      <c r="A33" s="3" t="s">
        <v>37</v>
      </c>
    </row>
    <row r="34" spans="1:11">
      <c r="A34" t="s">
        <v>38</v>
      </c>
      <c r="B34" s="7">
        <f>1/(1+$B$9)^1</f>
        <v>0</v>
      </c>
      <c r="C34" s="7">
        <f>1/(1+$B$9)^2</f>
        <v>0</v>
      </c>
      <c r="D34" s="7">
        <f>1/(1+$B$9)^3</f>
        <v>0</v>
      </c>
      <c r="E34" s="7">
        <f>1/(1+$B$9)^4</f>
        <v>0</v>
      </c>
      <c r="F34" s="7">
        <f>1/(1+$B$9)^5</f>
        <v>0</v>
      </c>
      <c r="G34" s="7">
        <f>1/(1+$B$9)^6</f>
        <v>0</v>
      </c>
      <c r="H34" s="7">
        <f>1/(1+$B$9)^7</f>
        <v>0</v>
      </c>
      <c r="I34" s="7">
        <f>1/(1+$B$9)^8</f>
        <v>0</v>
      </c>
      <c r="J34" s="7">
        <f>1/(1+$B$9)^9</f>
        <v>0</v>
      </c>
      <c r="K34" s="7">
        <f>1/(1+$B$9)^10</f>
        <v>0</v>
      </c>
    </row>
    <row r="35" spans="1:11">
      <c r="A35" t="s">
        <v>39</v>
      </c>
      <c r="B35" s="7">
        <f>B30*B34</f>
        <v>0</v>
      </c>
      <c r="C35" s="7">
        <f>C30*C34</f>
        <v>0</v>
      </c>
      <c r="D35" s="7">
        <f>D30*D34</f>
        <v>0</v>
      </c>
      <c r="E35" s="7">
        <f>E30*E34</f>
        <v>0</v>
      </c>
      <c r="F35" s="7">
        <f>F30*F34</f>
        <v>0</v>
      </c>
      <c r="G35" s="7">
        <f>G30*G34</f>
        <v>0</v>
      </c>
      <c r="H35" s="7">
        <f>H30*H34</f>
        <v>0</v>
      </c>
      <c r="I35" s="7">
        <f>I30*I34</f>
        <v>0</v>
      </c>
      <c r="J35" s="7">
        <f>J30*J34</f>
        <v>0</v>
      </c>
      <c r="K35" s="7">
        <f>K30*K34</f>
        <v>0</v>
      </c>
    </row>
    <row r="37" spans="1:11">
      <c r="A37" s="8" t="s">
        <v>40</v>
      </c>
      <c r="B37" s="7">
        <f>SUM(B35:K35)</f>
        <v>0</v>
      </c>
    </row>
    <row r="38" spans="1:11">
      <c r="A38" t="s">
        <v>41</v>
      </c>
      <c r="B38" s="7">
        <f>K30*(1+$B$10)</f>
        <v>0</v>
      </c>
    </row>
    <row r="39" spans="1:11">
      <c r="A39" t="s">
        <v>42</v>
      </c>
      <c r="B39" s="7">
        <f>B38/($B$9-$B$10)</f>
        <v>0</v>
      </c>
    </row>
    <row r="40" spans="1:11">
      <c r="A40" t="s">
        <v>43</v>
      </c>
      <c r="B40" s="7">
        <f>$B$11*K16</f>
        <v>0</v>
      </c>
    </row>
    <row r="41" spans="1:11">
      <c r="A41" s="8" t="s">
        <v>44</v>
      </c>
      <c r="B41" s="7">
        <f>MIN(B39,B40)</f>
        <v>0</v>
      </c>
    </row>
    <row r="42" spans="1:11">
      <c r="A42" t="s">
        <v>45</v>
      </c>
      <c r="B42" s="7">
        <f>B41*K34</f>
        <v>0</v>
      </c>
    </row>
    <row r="43" spans="1:11">
      <c r="A43" s="8" t="s">
        <v>46</v>
      </c>
      <c r="B43" s="7">
        <f>B37+B42</f>
        <v>0</v>
      </c>
    </row>
    <row r="44" spans="1:11">
      <c r="A44" t="s">
        <v>47</v>
      </c>
      <c r="B44" s="7">
        <f>B7</f>
        <v>0</v>
      </c>
    </row>
    <row r="45" spans="1:11">
      <c r="A45" s="8" t="s">
        <v>48</v>
      </c>
      <c r="B45" s="7">
        <f>B43-B44</f>
        <v>0</v>
      </c>
    </row>
    <row r="46" spans="1:11">
      <c r="A46" t="s">
        <v>49</v>
      </c>
      <c r="B46" s="7">
        <f>$B$6*(1+$B$8)^10</f>
        <v>0</v>
      </c>
    </row>
    <row r="47" spans="1:11">
      <c r="A47" s="8" t="s">
        <v>50</v>
      </c>
      <c r="B47" s="10">
        <f>B45/B46</f>
        <v>0</v>
      </c>
    </row>
    <row r="49" spans="1:2">
      <c r="A49" s="3" t="s">
        <v>51</v>
      </c>
    </row>
    <row r="50" spans="1:2">
      <c r="A50" t="s">
        <v>52</v>
      </c>
      <c r="B50" s="7">
        <f>NPV(0.15,B30:K30)</f>
        <v>0</v>
      </c>
    </row>
    <row r="51" spans="1:2">
      <c r="A51" t="s">
        <v>53</v>
      </c>
      <c r="B51" s="7">
        <f>B41/(1.15^10)</f>
        <v>0</v>
      </c>
    </row>
    <row r="52" spans="1:2">
      <c r="A52" t="s">
        <v>47</v>
      </c>
      <c r="B52" s="7">
        <f>B7</f>
        <v>0</v>
      </c>
    </row>
    <row r="53" spans="1:2">
      <c r="A53" s="8" t="s">
        <v>54</v>
      </c>
      <c r="B53" s="10">
        <f>(B50+B51-B52)/B46</f>
        <v>0</v>
      </c>
    </row>
    <row r="55" spans="1:2">
      <c r="A55" t="s">
        <v>55</v>
      </c>
      <c r="B55" s="9">
        <f>(B47-B5)/B5</f>
        <v>0</v>
      </c>
    </row>
    <row r="56" spans="1:2">
      <c r="A56" t="s">
        <v>56</v>
      </c>
      <c r="B56" s="9">
        <f>(B5-B53)/B5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1" width="30.7109375" customWidth="1"/>
    <col min="2" max="12" width="12.7109375" customWidth="1"/>
  </cols>
  <sheetData>
    <row r="1" spans="1:4">
      <c r="A1" s="1" t="s">
        <v>57</v>
      </c>
    </row>
    <row r="3" spans="1:4">
      <c r="A3" s="6" t="s">
        <v>58</v>
      </c>
      <c r="B3" s="6" t="s">
        <v>59</v>
      </c>
      <c r="C3" s="6" t="s">
        <v>60</v>
      </c>
      <c r="D3" s="6" t="s">
        <v>61</v>
      </c>
    </row>
    <row r="4" spans="1:4">
      <c r="A4" t="s">
        <v>62</v>
      </c>
      <c r="B4" s="9">
        <v>0.08</v>
      </c>
      <c r="C4" s="9">
        <v>0.09</v>
      </c>
      <c r="D4" s="9">
        <v>0.105</v>
      </c>
    </row>
    <row r="5" spans="1:4">
      <c r="A5" t="s">
        <v>63</v>
      </c>
      <c r="B5" s="9">
        <v>0.0275</v>
      </c>
      <c r="C5" s="9">
        <v>0.0225</v>
      </c>
      <c r="D5" s="9">
        <v>0.0175</v>
      </c>
    </row>
    <row r="6" spans="1:4">
      <c r="A6" t="s">
        <v>64</v>
      </c>
      <c r="B6" s="7">
        <v>9</v>
      </c>
      <c r="C6" s="7">
        <v>8</v>
      </c>
      <c r="D6" s="7">
        <v>7</v>
      </c>
    </row>
    <row r="7" spans="1:4">
      <c r="A7" t="s">
        <v>65</v>
      </c>
      <c r="B7" s="7">
        <v>830</v>
      </c>
      <c r="C7" s="7">
        <v>740</v>
      </c>
      <c r="D7" s="7">
        <v>533</v>
      </c>
    </row>
    <row r="8" spans="1:4">
      <c r="A8" t="s">
        <v>66</v>
      </c>
      <c r="B8" s="7">
        <v>503.1</v>
      </c>
      <c r="C8" s="7">
        <v>399.9</v>
      </c>
      <c r="D8" s="7">
        <v>291.2</v>
      </c>
    </row>
    <row r="9" spans="1:4">
      <c r="A9" t="s">
        <v>67</v>
      </c>
      <c r="B9" t="s">
        <v>68</v>
      </c>
      <c r="C9" t="s">
        <v>68</v>
      </c>
      <c r="D9" t="s">
        <v>69</v>
      </c>
    </row>
    <row r="10" spans="1:4">
      <c r="A10" t="s">
        <v>70</v>
      </c>
      <c r="B10" s="7">
        <v>5044.3</v>
      </c>
      <c r="C10" s="7">
        <v>3449.7</v>
      </c>
      <c r="D10" s="7">
        <v>2163.9</v>
      </c>
    </row>
    <row r="11" spans="1:4">
      <c r="A11" t="s">
        <v>71</v>
      </c>
      <c r="B11" s="7">
        <v>3744.3</v>
      </c>
      <c r="C11" s="7">
        <v>2149.7</v>
      </c>
      <c r="D11" s="7">
        <v>863.9</v>
      </c>
    </row>
    <row r="12" spans="1:4">
      <c r="A12" t="s">
        <v>72</v>
      </c>
      <c r="B12" s="11">
        <v>2.6663</v>
      </c>
      <c r="C12" s="11">
        <v>1.5308</v>
      </c>
      <c r="D12" s="11">
        <v>0.6152</v>
      </c>
    </row>
    <row r="13" spans="1:4">
      <c r="A13" t="s">
        <v>73</v>
      </c>
      <c r="B13" s="9">
        <v>0.014</v>
      </c>
      <c r="C13" s="9">
        <v>-0.418</v>
      </c>
      <c r="D13" s="9">
        <v>-0.7659999999999999</v>
      </c>
    </row>
    <row r="14" spans="1:4">
      <c r="A14" t="s">
        <v>74</v>
      </c>
      <c r="B14" s="9">
        <v>0.6859999999999999</v>
      </c>
      <c r="C14" s="9">
        <v>0.725</v>
      </c>
      <c r="D14" s="9">
        <v>0.5770000000000001</v>
      </c>
    </row>
    <row r="16" spans="1:4">
      <c r="A16" s="8" t="s">
        <v>75</v>
      </c>
      <c r="B16" s="11">
        <v>1.5858</v>
      </c>
    </row>
    <row r="17" spans="1:6">
      <c r="A17" t="s">
        <v>76</v>
      </c>
      <c r="B17" t="s">
        <v>77</v>
      </c>
    </row>
    <row r="19" spans="1:6">
      <c r="A19" s="8" t="s">
        <v>78</v>
      </c>
    </row>
    <row r="20" spans="1:6">
      <c r="A20" s="12" t="s">
        <v>79</v>
      </c>
      <c r="B20" s="12"/>
      <c r="C20" s="12"/>
      <c r="D20" s="12"/>
      <c r="E20" s="12"/>
      <c r="F20" s="12"/>
    </row>
    <row r="22" spans="1:6">
      <c r="A22" s="8" t="s">
        <v>80</v>
      </c>
    </row>
    <row r="23" spans="1:6">
      <c r="A23" s="12" t="s">
        <v>81</v>
      </c>
      <c r="B23" s="12"/>
      <c r="C23" s="12"/>
      <c r="D23" s="12"/>
      <c r="E23" s="12"/>
      <c r="F23" s="12"/>
    </row>
  </sheetData>
  <mergeCells count="2">
    <mergeCell ref="A20:F20"/>
    <mergeCell ref="A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82</v>
      </c>
    </row>
    <row r="2" spans="1:6">
      <c r="A2" t="s">
        <v>83</v>
      </c>
    </row>
    <row r="4" spans="1:6">
      <c r="A4" s="6" t="s">
        <v>84</v>
      </c>
      <c r="B4" s="13">
        <v>0.0125</v>
      </c>
      <c r="C4" s="13">
        <v>0.0175</v>
      </c>
      <c r="D4" s="13">
        <v>0.0225</v>
      </c>
      <c r="E4" s="13">
        <v>0.0275</v>
      </c>
      <c r="F4" s="13">
        <v>0.0325</v>
      </c>
    </row>
    <row r="5" spans="1:6">
      <c r="A5" s="14">
        <v>0.07000000000000001</v>
      </c>
      <c r="B5" s="15">
        <v>1.99</v>
      </c>
      <c r="C5" s="15">
        <v>1.99</v>
      </c>
      <c r="D5" s="15">
        <v>1.99</v>
      </c>
      <c r="E5" s="15">
        <v>1.99</v>
      </c>
      <c r="F5" s="15">
        <v>1.99</v>
      </c>
    </row>
    <row r="6" spans="1:6">
      <c r="A6" s="14">
        <v>0.08</v>
      </c>
      <c r="B6" s="15">
        <v>1.75</v>
      </c>
      <c r="C6" s="15">
        <v>1.75</v>
      </c>
      <c r="D6" s="15">
        <v>1.75</v>
      </c>
      <c r="E6" s="15">
        <v>1.75</v>
      </c>
      <c r="F6" s="15">
        <v>1.75</v>
      </c>
    </row>
    <row r="7" spans="1:6">
      <c r="A7" s="14">
        <v>0.09</v>
      </c>
      <c r="B7" s="15">
        <v>1.32</v>
      </c>
      <c r="C7" s="15">
        <v>1.44</v>
      </c>
      <c r="D7" s="15">
        <v>1.53</v>
      </c>
      <c r="E7" s="15">
        <v>1.53</v>
      </c>
      <c r="F7" s="15">
        <v>1.53</v>
      </c>
    </row>
    <row r="8" spans="1:6">
      <c r="A8" s="14">
        <v>0.1</v>
      </c>
      <c r="B8" s="15">
        <v>0.98</v>
      </c>
      <c r="C8" s="15">
        <v>1.06</v>
      </c>
      <c r="D8" s="15">
        <v>1.16</v>
      </c>
      <c r="E8" s="15">
        <v>1.26</v>
      </c>
      <c r="F8" s="15">
        <v>1.33</v>
      </c>
    </row>
    <row r="9" spans="1:6">
      <c r="A9" s="14">
        <v>0.11</v>
      </c>
      <c r="B9" s="15">
        <v>0.71</v>
      </c>
      <c r="C9" s="15">
        <v>0.77</v>
      </c>
      <c r="D9" s="15">
        <v>0.84</v>
      </c>
      <c r="E9" s="15">
        <v>0.92</v>
      </c>
      <c r="F9" s="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1" width="32.7109375" customWidth="1"/>
    <col min="2" max="10" width="11.7109375" customWidth="1"/>
  </cols>
  <sheetData>
    <row r="1" spans="1:9">
      <c r="A1" s="1" t="s">
        <v>85</v>
      </c>
    </row>
    <row r="3" spans="1:9">
      <c r="A3" s="6" t="s">
        <v>58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93</v>
      </c>
    </row>
    <row r="4" spans="1:9">
      <c r="A4" t="s">
        <v>94</v>
      </c>
      <c r="B4" s="7">
        <v>2304.5</v>
      </c>
      <c r="C4" s="7">
        <v>2700.7</v>
      </c>
      <c r="D4" s="7">
        <v>2591.5</v>
      </c>
      <c r="E4" s="7">
        <v>3221.2</v>
      </c>
      <c r="F4" s="7">
        <v>2834.1</v>
      </c>
      <c r="G4" s="7">
        <v>2374.2</v>
      </c>
      <c r="H4" s="7">
        <v>3047.8</v>
      </c>
      <c r="I4" s="7">
        <v>3662.1</v>
      </c>
    </row>
    <row r="5" spans="1:9">
      <c r="A5" t="s">
        <v>95</v>
      </c>
      <c r="B5" s="7">
        <v>360.5</v>
      </c>
      <c r="C5" s="7">
        <v>363.4</v>
      </c>
      <c r="D5" s="7">
        <v>355.6</v>
      </c>
      <c r="E5" s="7">
        <v>357.9</v>
      </c>
      <c r="F5" s="7">
        <v>440.3</v>
      </c>
      <c r="G5" s="7">
        <v>523.5</v>
      </c>
      <c r="H5" s="7">
        <v>407.2</v>
      </c>
      <c r="I5" s="7">
        <v>454.3</v>
      </c>
    </row>
    <row r="6" spans="1:9">
      <c r="A6" t="s">
        <v>96</v>
      </c>
      <c r="B6" s="7">
        <v>279.8</v>
      </c>
      <c r="C6" s="7">
        <v>236.8</v>
      </c>
      <c r="D6" s="7">
        <v>211.9</v>
      </c>
      <c r="E6" s="7">
        <v>233.4</v>
      </c>
      <c r="F6" s="7">
        <v>177.5</v>
      </c>
      <c r="G6" s="7">
        <v>340.1</v>
      </c>
      <c r="H6" s="7">
        <v>288.1</v>
      </c>
      <c r="I6" s="7">
        <v>176.6</v>
      </c>
    </row>
    <row r="7" spans="1:9">
      <c r="A7" t="s">
        <v>97</v>
      </c>
      <c r="B7" s="7">
        <v>0.5</v>
      </c>
      <c r="C7" s="7">
        <v>0.5</v>
      </c>
      <c r="D7" s="7">
        <v>0.4</v>
      </c>
      <c r="E7" s="7">
        <v>0.4</v>
      </c>
      <c r="F7" s="7">
        <v>0.5</v>
      </c>
      <c r="G7" s="7">
        <v>0.5</v>
      </c>
      <c r="H7" s="7">
        <v>0.5</v>
      </c>
      <c r="I7" s="7">
        <v>0.9</v>
      </c>
    </row>
    <row r="8" spans="1:9">
      <c r="A8" t="inlineStr">
        <is>
          <t>= Owner FCF</t>
        </is>
      </c>
      <c r="B8" s="7">
        <v>279.3</v>
      </c>
      <c r="C8" s="7">
        <v>236.3</v>
      </c>
      <c r="D8" s="7">
        <v>211.5</v>
      </c>
      <c r="E8" s="7">
        <v>233</v>
      </c>
      <c r="F8" s="7">
        <v>177</v>
      </c>
      <c r="G8" s="7">
        <v>339.6</v>
      </c>
      <c r="H8" s="7">
        <v>287.6</v>
      </c>
      <c r="I8" s="7">
        <v>175.7</v>
      </c>
    </row>
    <row r="9" spans="1:9">
      <c r="A9" t="s">
        <v>98</v>
      </c>
      <c r="B9" s="9">
        <v>0.121</v>
      </c>
      <c r="C9" s="9">
        <v>0.08800000000000001</v>
      </c>
      <c r="D9" s="9">
        <v>0.08199999999999999</v>
      </c>
      <c r="E9" s="9">
        <v>0.07200000000000001</v>
      </c>
      <c r="F9" s="9">
        <v>0.063</v>
      </c>
      <c r="G9" s="9">
        <v>0.143</v>
      </c>
      <c r="H9" s="9">
        <v>0.095</v>
      </c>
      <c r="I9" s="9">
        <v>0.048</v>
      </c>
    </row>
    <row r="10" spans="1:9">
      <c r="A10" t="s">
        <v>36</v>
      </c>
      <c r="B10" s="9">
        <v>0.121</v>
      </c>
      <c r="C10" s="9">
        <v>0.08699999999999999</v>
      </c>
      <c r="D10" s="9">
        <v>0.08199999999999999</v>
      </c>
      <c r="E10" s="9">
        <v>0.07200000000000001</v>
      </c>
      <c r="F10" s="9">
        <v>0.062</v>
      </c>
      <c r="G10" s="9">
        <v>0.143</v>
      </c>
      <c r="H10" s="9">
        <v>0.094</v>
      </c>
      <c r="I10" s="9">
        <v>0.048</v>
      </c>
    </row>
    <row r="11" spans="1:9">
      <c r="A11" t="s">
        <v>99</v>
      </c>
      <c r="B11" s="7">
        <v>50.8</v>
      </c>
      <c r="C11" s="7">
        <v>64.59999999999999</v>
      </c>
      <c r="D11" s="7">
        <v>95.59999999999999</v>
      </c>
      <c r="E11" s="7">
        <v>90.40000000000001</v>
      </c>
      <c r="F11" s="7">
        <v>84.2</v>
      </c>
      <c r="G11" s="7">
        <v>82.5</v>
      </c>
      <c r="H11" s="7">
        <v>151.7</v>
      </c>
      <c r="I11" s="7">
        <v>135.1</v>
      </c>
    </row>
    <row r="12" spans="1:9">
      <c r="A12" t="s">
        <v>100</v>
      </c>
      <c r="B12" s="9">
        <v>0.022</v>
      </c>
      <c r="C12" s="9">
        <v>0.024</v>
      </c>
      <c r="D12" s="9">
        <v>0.03700000000000001</v>
      </c>
      <c r="E12" s="9">
        <v>0.028</v>
      </c>
      <c r="F12" s="9">
        <v>0.03</v>
      </c>
      <c r="G12" s="9">
        <v>0.035</v>
      </c>
      <c r="H12" s="9">
        <v>0.05</v>
      </c>
      <c r="I12" s="9">
        <v>0.03700000000000001</v>
      </c>
    </row>
    <row r="14" spans="1:9">
      <c r="A14" s="12" t="s">
        <v>101</v>
      </c>
      <c r="B14" s="12"/>
      <c r="C14" s="12"/>
      <c r="D14" s="12"/>
      <c r="E14" s="12"/>
      <c r="F14" s="12"/>
      <c r="G14" s="12"/>
      <c r="H14" s="12"/>
      <c r="I14" s="12"/>
    </row>
  </sheetData>
  <mergeCells count="1">
    <mergeCell ref="A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102</v>
      </c>
    </row>
    <row r="4" spans="1:2">
      <c r="A4" s="8" t="s">
        <v>103</v>
      </c>
      <c r="B4" s="12" t="s">
        <v>104</v>
      </c>
    </row>
    <row r="5" spans="1:2">
      <c r="A5" s="8" t="s">
        <v>105</v>
      </c>
      <c r="B5" s="12" t="s">
        <v>106</v>
      </c>
    </row>
    <row r="6" spans="1:2">
      <c r="A6" s="8" t="s">
        <v>107</v>
      </c>
      <c r="B6" s="12" t="s">
        <v>108</v>
      </c>
    </row>
    <row r="7" spans="1:2">
      <c r="A7" s="8" t="s">
        <v>109</v>
      </c>
      <c r="B7" s="12" t="s">
        <v>110</v>
      </c>
    </row>
    <row r="8" spans="1:2">
      <c r="A8" s="8" t="s">
        <v>111</v>
      </c>
      <c r="B8" s="12" t="s">
        <v>112</v>
      </c>
    </row>
    <row r="9" spans="1:2">
      <c r="A9" s="8" t="s">
        <v>113</v>
      </c>
      <c r="B9" s="12" t="s">
        <v>114</v>
      </c>
    </row>
    <row r="10" spans="1:2">
      <c r="A10" s="8" t="s">
        <v>115</v>
      </c>
      <c r="B10" s="12" t="s">
        <v>116</v>
      </c>
    </row>
    <row r="11" spans="1:2">
      <c r="A11" s="8" t="s">
        <v>117</v>
      </c>
      <c r="B11" s="12" t="s">
        <v>118</v>
      </c>
    </row>
    <row r="12" spans="1:2">
      <c r="A12" s="8" t="s">
        <v>119</v>
      </c>
      <c r="B12" s="12" t="s">
        <v>120</v>
      </c>
    </row>
    <row r="13" spans="1:2">
      <c r="A13" s="8" t="s">
        <v>121</v>
      </c>
      <c r="B13" s="12" t="s">
        <v>122</v>
      </c>
    </row>
    <row r="14" spans="1:2">
      <c r="A14" s="8" t="s">
        <v>123</v>
      </c>
      <c r="B14" s="12" t="s">
        <v>124</v>
      </c>
    </row>
    <row r="15" spans="1:2">
      <c r="A15" s="8" t="s">
        <v>125</v>
      </c>
      <c r="B15" s="12" t="s">
        <v>126</v>
      </c>
    </row>
    <row r="16" spans="1:2">
      <c r="A16" s="8" t="s">
        <v>99</v>
      </c>
      <c r="B16" s="12" t="s">
        <v>127</v>
      </c>
    </row>
    <row r="17" spans="1:2">
      <c r="A17" s="8" t="s">
        <v>128</v>
      </c>
      <c r="B17" s="12" t="s">
        <v>129</v>
      </c>
    </row>
    <row r="18" spans="1:2">
      <c r="A18" s="8" t="s">
        <v>130</v>
      </c>
      <c r="B18" s="12" t="s">
        <v>131</v>
      </c>
    </row>
    <row r="19" spans="1:2">
      <c r="A19" s="8" t="s">
        <v>132</v>
      </c>
      <c r="B19" s="12" t="s">
        <v>133</v>
      </c>
    </row>
    <row r="20" spans="1:2">
      <c r="A20" s="8" t="s">
        <v>134</v>
      </c>
      <c r="B20" s="12" t="s">
        <v>135</v>
      </c>
    </row>
    <row r="21" spans="1:2">
      <c r="A21" s="8" t="s">
        <v>136</v>
      </c>
      <c r="B21" s="1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2026-08-11T06:40:17Z</dcterms:created>
  <dcterms:modified xsi:type="dcterms:W3CDTF">2026-08-11T06:40:17Z</dcterms:modified>
</cp:coreProperties>
</file>