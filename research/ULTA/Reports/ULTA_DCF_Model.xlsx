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<sst xmlns="http://schemas.openxmlformats.org/spreadsheetml/2006/main" count="383" uniqueCount="172">
  <si>
    <t xml:space="preserve">Ticker</t>
  </si>
  <si>
    <t xml:space="preserve">ULTA</t>
  </si>
  <si>
    <t xml:space="preserve">Company</t>
  </si>
  <si>
    <t xml:space="preserve">Ulta Beauty, Inc.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</si>
  <si>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</si>
  <si>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</si>
  <si>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</si>
  <si>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</si>
  <si>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2026-10-02T20:00:00Z regular close (Yahoo chart API)</t>
  </si>
  <si>
    <t xml:space="preserve">Balance sheet date</t>
  </si>
  <si>
    <t xml:space="preserve">2026-08-01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</si>
  <si>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</si>
  <si>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</si>
  <si>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</si>
  <si>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</si>
  <si>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</si>
  <si>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</si>
  <si>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</si>
  <si>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</si>
  <si>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</si>
  <si>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</si>
  <si>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2026-10-02T21:12:12Z</t>
  </si>
  <si>
    <t xml:space="preserve">Drivers file</t>
  </si>
  <si>
    <t xml:space="preserve">ULTA_Drivers.json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</si>
  <si>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</si>
  <si>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</si>
  <si>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</si>
  <si>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Ulta is a mature, cash-generative specialty retailer with negligible SBC (0.3% of revenue), so the house (SBC-expensed) and street bases sit close together; the valuation turns on margin durability against Sephora/Amazon competition and on how long mid-single-digit growth lasts. Buybacks shrink the count ~4-5%/yr but are value-neutral in this model -- they return the same owner FCF the DCF already counts.
key_risks_to_valuation: Margin: each 1pp of adj EBITDA margin is worth roughly $40/share; the base holds ~15.6% vs 14.8% GAAP EBITDA in fiscal 2025.; Competition: Sephora at Kohl's, Amazon Premium Beauty and mass-channel prestige compress traffic and promotional economics.; Seasonal balance sheet: net debt is taken at the Q2 trough (2026-08-01); at fiscal year-end Ulta is typically ~$400M net cash (~$10-13/share).; Terminal value carries ~55-60% of EV; the 15x base cap binds (Gordon at 9%/2.5% is ~15.8x).; Space NK integration and international expansion are unproven at scale.</t>
  </si>
  <si>
    <t xml:space="preserve">Data sources</t>
  </si>
  <si>
    <t xml:space="preserve">price: Yahoo Finance chart API at inputs.price_as_of; 52-week range 443.60-714.97
financials: research/ULTA/Reports/ULTA_Metrics.csv (SEC XBRL); SEC companyfacts API (CIK 1403568) for Q2 fiscal 2026 balance sheet, diluted/basic shares, SBC, lease cost, Space NK consideration
qualitative: Q2 fiscal 2026 earnings release, 8-K Exhibit 99.1 filed 2026-08-27 (results, raised fiscal 2026 outlook, $1.8B buyback plan); no Analysis.json existed at build time</t>
  </si>
  <si>
    <t xml:space="preserve">Scenario narrative: bear</t>
  </si>
  <si>
    <t xml:space="preserve">Beauty normalises after a multi-year boom and Ulta's moat thins: Sephora (Kohl's ~850 shops plus own stores), Amazon Premium Beauty, TikTok Shop dupes and mass-channel prestige launches pressure traffic and force promotional loyalty spend. Fiscal 2026 lands at the low end of guidance (H1 already banked), then comps go flat-to-negative and growth is store-count only (~2%). Deleverage on a high fixed-cost lease base takes adj EBITDA from 15.1% to 13.0%; Space NK proves a low-margin distraction. Terminal growth 2%, 12x cap (a mature, share-donating retailer).</t>
  </si>
  <si>
    <t xml:space="preserve">Scenario narrative: base</t>
  </si>
  <si>
    <t xml:space="preserve">Ulta delivers the raised fiscal 2026 guide (sales ~+7%, operating income ~+9%), then settles into mid-single-digit growth: ~3% comps from loyalty (45M+ Ulta Beauty Rewards members), new-brand launches and wellness, 1-2% from ~50 net new US stores a year plus Space NK's UK/US rollout, fading to 3% by year 10 as the US store base saturates. 'Ulta Beauty Unleashed' cost work holds adj EBITDA ~15.5% -- recovering a little of the 2022-25 compression from shrink, wage and marketing investment, but not back to the post-COVID peak while Sephora-at-Kohl's and Amazon Premium Beauty keep promotions elevated. Capex trends to ~2.9-3.0% of sales as remodels dominate new builds.</t>
  </si>
  <si>
    <t xml:space="preserve">Scenario narrative: bull</t>
  </si>
  <si>
    <t xml:space="preserve">Prestige/mass beauty stays the most resilient consumer category and Ulta keeps taking share: Sephora's Kohl's partnership underdelivers as Kohl's shrinks, Target shop-in-shops and the Ulta marketplace/UB Media retail-media business scale, and Space NK becomes a credible second growth engine (UK plus US expansion, Middle East franchise). Growth runs 6-7% for five years and operating leverage, retail-media margin and lower shrink take adj EBITDA to ~17% -- between today and the fiscal 2022 high. Terminal growth 3%, 16x cap.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</si>
  <si>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</si>
  <si>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</si>
  <si>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</si>
  <si>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</si>
  <si>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</si>
  <si>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</si>
  <si>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</si>
  <si>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</si>
  <si>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</si>
  <si>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</si>
  <si>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</si>
  <si>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</si>
  <si>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</si>
  <si>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</si>
  <si>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</si>
  <si>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</si>
  <si>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</si>
  <si>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</si>
  <si>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</si>
  <si>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</si>
  <si>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</si>
  <si>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</si>
  <si>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</si>
  <si>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</si>
  <si>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</si>
  <si>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</si>
  <si>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</si>
  <si>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</si>
  <si>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</si>
  <si>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</si>
  <si>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</si>
  <si>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</si>
  <si>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</si>
  <si>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</si>
  <si>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</si>
  <si>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</si>
  <si>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</si>
  <si>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</si>
  <si>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</si>
  <si>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</si>
  <si>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</si>
  <si>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</si>
  <si>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</si>
  <si>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</si>
  <si>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</si>
  <si>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</si>
  <si>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</si>
  <si>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</si>
  <si>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</si>
  <si>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</si>
  <si>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</si>
  <si>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</si>
  <si>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</si>
  <si>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</si>
  <si>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</si>
  <si>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</si>
  <si>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</si>
  <si>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</si>
  <si>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</si>
  <si>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</si>
  <si>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</si>
  <si>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</si>
  <si>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</si>
  <si>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</si>
  <si>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</si>
  <si>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</si>
  <si>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</si>
  <si>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</si>
  <si>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</si>
  <si>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</si>
  <si>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</si>
  <si>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</si>
  <si>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</si>
  <si>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</si>
  <si>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</si>
  <si>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</si>
  <si>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</si>
  <si>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</si>
  <si>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</si>
  <si>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</si>
  <si>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</si>
  <si>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</si>
  <si>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ULTA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</si>
  <si>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</si>
  <si>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</si>
  <si>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</si>
  <si>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</si>
  <si>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</si>
  <si>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</si>
  <si>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</si>
  <si>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</si>
  <si>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</si>
  <si>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</si>
  <si>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</si>
  <si>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</si>
  <si>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</si>
  <si>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</si>
  <si>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</si>
  <si>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</si>
  <si>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</si>
  <si>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</si>
  <si>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</si>
  <si>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</si>
  <si>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</si>
  <si>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</si>
  <si>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</si>
  <si>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</si>
  <si>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</si>
  <si>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</si>
  <si>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</si>
  <si>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</si>
  <si>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</si>
  <si>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</si>
  <si>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ULTA owner-FCF component DCF: base case (millions, USD)</t>
  </si>
  <si>
    <t xml:space="preserve">ULTA owner-FCF component DCF: bull case (millions, USD)</t>
  </si>
  <si>
    <t xml:space="preserve">ULTA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</si>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</sst>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543.69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244.968</v>
      </c>
      <c r="S2" s="0" t="n">
        <v>3.638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1222.771</v>
      </c>
      <c r="C3" s="0" t="n">
        <v>846.202</v>
      </c>
      <c r="D3" s="0" t="n">
        <v>376.569</v>
      </c>
      <c r="E3" s="0" t="n">
        <v>30.7963633419504</v>
      </c>
      <c r="F3" s="0" t="n">
        <v>68.153</v>
      </c>
      <c r="G3" s="0" t="n">
        <v>5.57365197571745</v>
      </c>
      <c r="H3" s="0" t="n">
        <v>130.319</v>
      </c>
      <c r="I3" s="0" t="n">
        <v>39.356</v>
      </c>
      <c r="J3" s="0" t="n">
        <v>3.2185912161803</v>
      </c>
      <c r="K3" s="0" t="n">
        <v>0.68</v>
      </c>
      <c r="L3" s="0" t="n">
        <v>172.827</v>
      </c>
      <c r="M3" s="0" t="n">
        <v>68.105</v>
      </c>
      <c r="N3" s="0" t="n">
        <v>104.722</v>
      </c>
      <c r="O3" s="0" t="n">
        <v>292.608</v>
      </c>
      <c r="S3" s="0" t="n">
        <v>4.017</v>
      </c>
      <c r="T3" s="0" t="n">
        <v>59.237</v>
      </c>
      <c r="U3" s="0" t="n">
        <v>5.949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1454.838</v>
      </c>
      <c r="C4" s="0" t="n">
        <v>970.753</v>
      </c>
      <c r="D4" s="0" t="n">
        <v>484.085</v>
      </c>
      <c r="E4" s="0" t="n">
        <v>33.2741514862823</v>
      </c>
      <c r="F4" s="0" t="n">
        <v>118.884</v>
      </c>
      <c r="G4" s="0" t="n">
        <v>8.17163148061846</v>
      </c>
      <c r="H4" s="0" t="n">
        <v>183.82</v>
      </c>
      <c r="I4" s="0" t="n">
        <v>71.03</v>
      </c>
      <c r="J4" s="0" t="n">
        <v>4.88233054126989</v>
      </c>
      <c r="K4" s="0" t="n">
        <v>1.2</v>
      </c>
      <c r="L4" s="0" t="n">
        <v>176.543</v>
      </c>
      <c r="M4" s="0" t="n">
        <v>97.115</v>
      </c>
      <c r="N4" s="0" t="n">
        <v>79.428</v>
      </c>
      <c r="O4" s="0" t="n">
        <v>402.533</v>
      </c>
      <c r="P4" s="0" t="n">
        <v>730.488</v>
      </c>
      <c r="Q4" s="0" t="n">
        <v>327.955</v>
      </c>
      <c r="S4" s="0" t="n">
        <v>111.185</v>
      </c>
      <c r="T4" s="0" t="n">
        <v>61.288</v>
      </c>
      <c r="U4" s="0" t="n">
        <v>11.155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1776.151</v>
      </c>
      <c r="C5" s="0" t="n">
        <v>1159.311</v>
      </c>
      <c r="D5" s="0" t="n">
        <v>616.84</v>
      </c>
      <c r="E5" s="0" t="n">
        <v>34.7290292323119</v>
      </c>
      <c r="F5" s="0" t="n">
        <v>196.195</v>
      </c>
      <c r="G5" s="0" t="n">
        <v>11.0460766004692</v>
      </c>
      <c r="H5" s="0" t="n">
        <v>272.126</v>
      </c>
      <c r="I5" s="0" t="n">
        <v>120.264</v>
      </c>
      <c r="J5" s="0" t="n">
        <v>6.77104593021652</v>
      </c>
      <c r="K5" s="0" t="n">
        <v>1.96</v>
      </c>
      <c r="L5" s="0" t="n">
        <v>220.887</v>
      </c>
      <c r="M5" s="0" t="n">
        <v>128.636</v>
      </c>
      <c r="N5" s="0" t="n">
        <v>92.251</v>
      </c>
      <c r="O5" s="0" t="n">
        <v>584.704</v>
      </c>
      <c r="P5" s="0" t="n">
        <v>957.217</v>
      </c>
      <c r="Q5" s="0" t="n">
        <v>372.513</v>
      </c>
      <c r="S5" s="0" t="n">
        <v>253.738</v>
      </c>
      <c r="T5" s="0" t="n">
        <v>63.334</v>
      </c>
      <c r="U5" s="0" t="n">
        <v>11.605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2220.256</v>
      </c>
      <c r="C6" s="0" t="n">
        <v>1436.582</v>
      </c>
      <c r="D6" s="0" t="n">
        <v>783.674</v>
      </c>
      <c r="E6" s="0" t="n">
        <v>35.296560396639</v>
      </c>
      <c r="F6" s="0" t="n">
        <v>279.978</v>
      </c>
      <c r="G6" s="0" t="n">
        <v>12.6101674761829</v>
      </c>
      <c r="H6" s="0" t="n">
        <v>368.211</v>
      </c>
      <c r="I6" s="0" t="n">
        <v>172.549</v>
      </c>
      <c r="J6" s="0" t="n">
        <v>7.77158129512993</v>
      </c>
      <c r="K6" s="0" t="n">
        <v>2.73</v>
      </c>
      <c r="L6" s="0" t="n">
        <v>239.001</v>
      </c>
      <c r="M6" s="0" t="n">
        <v>188.578</v>
      </c>
      <c r="N6" s="0" t="n">
        <v>50.423</v>
      </c>
      <c r="O6" s="0" t="n">
        <v>786.942</v>
      </c>
      <c r="P6" s="0" t="n">
        <v>1275.249</v>
      </c>
      <c r="Q6" s="0" t="n">
        <v>488.307</v>
      </c>
      <c r="S6" s="0" t="n">
        <v>320.475</v>
      </c>
      <c r="T6" s="0" t="n">
        <v>64.396</v>
      </c>
      <c r="U6" s="0" t="n">
        <v>13.375</v>
      </c>
      <c r="V6" s="0" t="n">
        <v>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2670.573</v>
      </c>
      <c r="C7" s="0" t="n">
        <v>1729.325</v>
      </c>
      <c r="D7" s="0" t="n">
        <v>941.248</v>
      </c>
      <c r="E7" s="0" t="n">
        <v>35.2451702312575</v>
      </c>
      <c r="F7" s="0" t="n">
        <v>327.588</v>
      </c>
      <c r="G7" s="0" t="n">
        <v>12.2665809921691</v>
      </c>
      <c r="H7" s="0" t="n">
        <v>433.871</v>
      </c>
      <c r="I7" s="0" t="n">
        <v>202.849</v>
      </c>
      <c r="J7" s="0" t="n">
        <v>7.59571073323965</v>
      </c>
      <c r="K7" s="0" t="n">
        <v>3.17</v>
      </c>
      <c r="M7" s="0" t="n">
        <v>226.024</v>
      </c>
      <c r="O7" s="0" t="n">
        <v>1003.094</v>
      </c>
      <c r="P7" s="0" t="n">
        <v>1602.727</v>
      </c>
      <c r="Q7" s="0" t="n">
        <v>599.633</v>
      </c>
      <c r="S7" s="0" t="n">
        <v>419.476</v>
      </c>
      <c r="T7" s="0" t="n">
        <v>64.461</v>
      </c>
      <c r="U7" s="0" t="n">
        <v>16.003</v>
      </c>
      <c r="V7" s="0" t="n">
        <v>0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3241.369</v>
      </c>
      <c r="C8" s="0" t="n">
        <v>2104.582</v>
      </c>
      <c r="D8" s="0" t="n">
        <v>1136.787</v>
      </c>
      <c r="E8" s="0" t="n">
        <v>35.0711998541357</v>
      </c>
      <c r="F8" s="0" t="n">
        <v>410.415</v>
      </c>
      <c r="G8" s="0" t="n">
        <v>12.6617796369374</v>
      </c>
      <c r="H8" s="0" t="n">
        <v>542.179</v>
      </c>
      <c r="I8" s="0" t="n">
        <v>257.135</v>
      </c>
      <c r="J8" s="0" t="n">
        <v>7.93291353128879</v>
      </c>
      <c r="K8" s="0" t="n">
        <v>4</v>
      </c>
      <c r="M8" s="0" t="n">
        <v>249.067</v>
      </c>
      <c r="O8" s="0" t="n">
        <v>1247.509</v>
      </c>
      <c r="P8" s="0" t="n">
        <v>1983.17</v>
      </c>
      <c r="Q8" s="0" t="n">
        <v>735.661</v>
      </c>
      <c r="S8" s="0" t="n">
        <v>389.149</v>
      </c>
      <c r="T8" s="0" t="n">
        <v>64.651</v>
      </c>
      <c r="U8" s="0" t="n">
        <v>14.923</v>
      </c>
      <c r="V8" s="0" t="n">
        <v>0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3924.116</v>
      </c>
      <c r="C9" s="0" t="n">
        <v>2539.783</v>
      </c>
      <c r="D9" s="0" t="n">
        <v>1384.333</v>
      </c>
      <c r="E9" s="0" t="n">
        <v>35.2775758922519</v>
      </c>
      <c r="F9" s="0" t="n">
        <v>506.297</v>
      </c>
      <c r="G9" s="0" t="n">
        <v>12.9021924937999</v>
      </c>
      <c r="H9" s="0" t="n">
        <v>671.346</v>
      </c>
      <c r="I9" s="0" t="n">
        <v>320.008</v>
      </c>
      <c r="J9" s="0" t="n">
        <v>8.15490673568264</v>
      </c>
      <c r="K9" s="0" t="n">
        <v>5</v>
      </c>
      <c r="L9" s="0" t="n">
        <v>375.874</v>
      </c>
      <c r="M9" s="0" t="n">
        <v>299.167</v>
      </c>
      <c r="N9" s="0" t="n">
        <v>76.7070000000001</v>
      </c>
      <c r="O9" s="0" t="n">
        <v>1442.886</v>
      </c>
      <c r="P9" s="0" t="n">
        <v>2230.918</v>
      </c>
      <c r="Q9" s="0" t="n">
        <v>788.032</v>
      </c>
      <c r="S9" s="0" t="n">
        <v>345.84</v>
      </c>
      <c r="T9" s="0" t="n">
        <v>64.275</v>
      </c>
      <c r="U9" s="0" t="n">
        <v>15.594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4854.737</v>
      </c>
      <c r="C10" s="0" t="n">
        <v>3107.508</v>
      </c>
      <c r="D10" s="0" t="n">
        <v>1747.229</v>
      </c>
      <c r="E10" s="0" t="n">
        <v>35.9901885519236</v>
      </c>
      <c r="F10" s="0" t="n">
        <v>654.824</v>
      </c>
      <c r="G10" s="0" t="n">
        <v>13.4883516861985</v>
      </c>
      <c r="H10" s="0" t="n">
        <v>865.119</v>
      </c>
      <c r="I10" s="0" t="n">
        <v>409.76</v>
      </c>
      <c r="J10" s="0" t="n">
        <v>8.44041603077572</v>
      </c>
      <c r="K10" s="0" t="n">
        <v>6.55</v>
      </c>
      <c r="L10" s="0" t="n">
        <v>634.385</v>
      </c>
      <c r="M10" s="0" t="n">
        <v>373.447</v>
      </c>
      <c r="N10" s="0" t="n">
        <v>260.938</v>
      </c>
      <c r="O10" s="0" t="n">
        <v>1550.218</v>
      </c>
      <c r="P10" s="0" t="n">
        <v>2551.878</v>
      </c>
      <c r="Q10" s="0" t="n">
        <v>1001.66</v>
      </c>
      <c r="S10" s="0" t="n">
        <v>385.01</v>
      </c>
      <c r="T10" s="0" t="n">
        <v>62.851</v>
      </c>
      <c r="U10" s="0" t="n">
        <v>19.34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5884.506</v>
      </c>
      <c r="C11" s="0" t="n">
        <v>3787.697</v>
      </c>
      <c r="D11" s="0" t="n">
        <v>2096.809</v>
      </c>
      <c r="E11" s="0" t="n">
        <v>35.632710715224</v>
      </c>
      <c r="F11" s="0" t="n">
        <v>785.291</v>
      </c>
      <c r="G11" s="0" t="n">
        <v>13.3450624402456</v>
      </c>
      <c r="H11" s="0" t="n">
        <v>1038.004</v>
      </c>
      <c r="I11" s="0" t="n">
        <v>555.234</v>
      </c>
      <c r="J11" s="0" t="n">
        <v>9.43552440935569</v>
      </c>
      <c r="K11" s="0" t="n">
        <v>9.02</v>
      </c>
      <c r="L11" s="0" t="n">
        <v>779.366</v>
      </c>
      <c r="M11" s="0" t="n">
        <v>440.714</v>
      </c>
      <c r="N11" s="0" t="n">
        <v>338.652</v>
      </c>
      <c r="O11" s="0" t="n">
        <v>1774.217</v>
      </c>
      <c r="P11" s="0" t="n">
        <v>2908.687</v>
      </c>
      <c r="Q11" s="0" t="n">
        <v>1134.47</v>
      </c>
      <c r="S11" s="0" t="n">
        <v>277.445</v>
      </c>
      <c r="T11" s="0" t="n">
        <v>61.975</v>
      </c>
      <c r="U11" s="0" t="n">
        <v>24.399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6716.615</v>
      </c>
      <c r="C12" s="0" t="n">
        <v>4307.304</v>
      </c>
      <c r="D12" s="0" t="n">
        <v>2409.311</v>
      </c>
      <c r="E12" s="0" t="n">
        <v>35.8709111658179</v>
      </c>
      <c r="F12" s="0" t="n">
        <v>854.08</v>
      </c>
      <c r="G12" s="0" t="n">
        <v>12.7159290803478</v>
      </c>
      <c r="H12" s="0" t="n">
        <v>1133.552</v>
      </c>
      <c r="I12" s="0" t="n">
        <v>658.559</v>
      </c>
      <c r="J12" s="0" t="n">
        <v>9.80492405772849</v>
      </c>
      <c r="K12" s="0" t="n">
        <v>11</v>
      </c>
      <c r="L12" s="0" t="n">
        <v>956.127</v>
      </c>
      <c r="M12" s="0" t="n">
        <v>319.4</v>
      </c>
      <c r="N12" s="0" t="n">
        <v>636.727</v>
      </c>
      <c r="O12" s="0" t="n">
        <v>1820.218</v>
      </c>
      <c r="P12" s="0" t="n">
        <v>3191.172</v>
      </c>
      <c r="Q12" s="0" t="n">
        <v>1370.954</v>
      </c>
      <c r="S12" s="0" t="n">
        <v>409.251</v>
      </c>
      <c r="T12" s="0" t="n">
        <v>60.181</v>
      </c>
      <c r="U12" s="0" t="n">
        <v>27.489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7398.068</v>
      </c>
      <c r="C13" s="0" t="n">
        <v>4717.004</v>
      </c>
      <c r="D13" s="0" t="n">
        <v>2681.064</v>
      </c>
      <c r="E13" s="0" t="n">
        <v>36.2400561876425</v>
      </c>
      <c r="F13" s="0" t="n">
        <v>901.094</v>
      </c>
      <c r="G13" s="0" t="n">
        <v>12.1801259463957</v>
      </c>
      <c r="H13" s="0" t="n">
        <v>1196.693</v>
      </c>
      <c r="I13" s="0" t="n">
        <v>705.945</v>
      </c>
      <c r="J13" s="0" t="n">
        <v>9.54228860832315</v>
      </c>
      <c r="K13" s="0" t="n">
        <v>12.21</v>
      </c>
      <c r="L13" s="0" t="n">
        <v>1101.293</v>
      </c>
      <c r="M13" s="0" t="n">
        <v>298.534</v>
      </c>
      <c r="N13" s="0" t="n">
        <v>802.759</v>
      </c>
      <c r="O13" s="0" t="n">
        <v>1902.094</v>
      </c>
      <c r="P13" s="0" t="n">
        <v>4863.872</v>
      </c>
      <c r="Q13" s="0" t="n">
        <v>2961.778</v>
      </c>
      <c r="S13" s="0" t="n">
        <v>392.325</v>
      </c>
      <c r="T13" s="0" t="n">
        <v>58.105</v>
      </c>
      <c r="U13" s="0" t="n">
        <v>25.642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6151.953</v>
      </c>
      <c r="C14" s="0" t="n">
        <v>4202.794</v>
      </c>
      <c r="D14" s="0" t="n">
        <v>1949.159</v>
      </c>
      <c r="E14" s="0" t="n">
        <v>31.6835808075907</v>
      </c>
      <c r="F14" s="0" t="n">
        <v>236.82</v>
      </c>
      <c r="G14" s="0" t="n">
        <v>3.84950925340294</v>
      </c>
      <c r="H14" s="0" t="n">
        <v>534.592</v>
      </c>
      <c r="I14" s="0" t="n">
        <v>175.835</v>
      </c>
      <c r="J14" s="0" t="n">
        <v>2.85819803889919</v>
      </c>
      <c r="K14" s="0" t="n">
        <v>3.12</v>
      </c>
      <c r="L14" s="0" t="n">
        <v>810.355</v>
      </c>
      <c r="M14" s="0" t="n">
        <v>151.866</v>
      </c>
      <c r="N14" s="0" t="n">
        <v>658.489</v>
      </c>
      <c r="O14" s="0" t="n">
        <v>1999.549</v>
      </c>
      <c r="P14" s="0" t="n">
        <v>5089.969</v>
      </c>
      <c r="Q14" s="0" t="n">
        <v>3090.42</v>
      </c>
      <c r="S14" s="0" t="n">
        <v>1046.051</v>
      </c>
      <c r="T14" s="0" t="n">
        <v>56.558</v>
      </c>
      <c r="U14" s="0" t="n">
        <v>27.583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8630.889</v>
      </c>
      <c r="C15" s="0" t="n">
        <v>5262.335</v>
      </c>
      <c r="D15" s="0" t="n">
        <v>3368.554</v>
      </c>
      <c r="E15" s="0" t="n">
        <v>39.0290501940183</v>
      </c>
      <c r="F15" s="0" t="n">
        <v>1297.492</v>
      </c>
      <c r="G15" s="0" t="n">
        <v>15.0331211535683</v>
      </c>
      <c r="H15" s="0" t="n">
        <v>1565.952</v>
      </c>
      <c r="I15" s="0" t="n">
        <v>985.837</v>
      </c>
      <c r="J15" s="0" t="n">
        <v>11.4221953265764</v>
      </c>
      <c r="K15" s="0" t="n">
        <v>18.09</v>
      </c>
      <c r="L15" s="0" t="n">
        <v>1059.265</v>
      </c>
      <c r="M15" s="0" t="n">
        <v>172.187</v>
      </c>
      <c r="N15" s="0" t="n">
        <v>887.078</v>
      </c>
      <c r="O15" s="0" t="n">
        <v>1535.373</v>
      </c>
      <c r="P15" s="0" t="n">
        <v>4764.379</v>
      </c>
      <c r="Q15" s="0" t="n">
        <v>3229.006</v>
      </c>
      <c r="S15" s="0" t="n">
        <v>431.56</v>
      </c>
      <c r="T15" s="0" t="n">
        <v>54.841</v>
      </c>
      <c r="U15" s="0" t="n">
        <v>47.259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10208.58</v>
      </c>
      <c r="C16" s="0" t="n">
        <v>6164.07</v>
      </c>
      <c r="D16" s="0" t="n">
        <v>4044.51</v>
      </c>
      <c r="E16" s="0" t="n">
        <v>39.6187324779744</v>
      </c>
      <c r="F16" s="0" t="n">
        <v>1638.61</v>
      </c>
      <c r="G16" s="0" t="n">
        <v>16.051301944051</v>
      </c>
      <c r="H16" s="0" t="n">
        <v>1879.982</v>
      </c>
      <c r="I16" s="0" t="n">
        <v>1242.408</v>
      </c>
      <c r="J16" s="0" t="n">
        <v>12.1702332743633</v>
      </c>
      <c r="K16" s="0" t="n">
        <v>24.17</v>
      </c>
      <c r="L16" s="0" t="n">
        <v>1481.915</v>
      </c>
      <c r="M16" s="0" t="n">
        <v>312.126</v>
      </c>
      <c r="N16" s="0" t="n">
        <v>1169.789</v>
      </c>
      <c r="O16" s="0" t="n">
        <v>1959.811</v>
      </c>
      <c r="P16" s="0" t="n">
        <v>5370.411</v>
      </c>
      <c r="Q16" s="0" t="n">
        <v>3410.6</v>
      </c>
      <c r="S16" s="0" t="n">
        <v>737.877</v>
      </c>
      <c r="T16" s="0" t="n">
        <v>51.738</v>
      </c>
      <c r="U16" s="0" t="n">
        <v>43.044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11207.303</v>
      </c>
      <c r="C17" s="0" t="n">
        <v>6826.203</v>
      </c>
      <c r="D17" s="0" t="n">
        <v>4381.1</v>
      </c>
      <c r="E17" s="0" t="n">
        <v>39.0914745501215</v>
      </c>
      <c r="F17" s="0" t="n">
        <v>1678.029</v>
      </c>
      <c r="G17" s="0" t="n">
        <v>14.972638823096</v>
      </c>
      <c r="H17" s="0" t="n">
        <v>1921.869</v>
      </c>
      <c r="I17" s="0" t="n">
        <v>1291.005</v>
      </c>
      <c r="J17" s="0" t="n">
        <v>11.5193191439546</v>
      </c>
      <c r="K17" s="0" t="n">
        <v>26.18</v>
      </c>
      <c r="L17" s="0" t="n">
        <v>1476.266</v>
      </c>
      <c r="M17" s="0" t="n">
        <v>435.267</v>
      </c>
      <c r="N17" s="0" t="n">
        <v>1040.999</v>
      </c>
      <c r="O17" s="0" t="n">
        <v>2279.328</v>
      </c>
      <c r="P17" s="0" t="n">
        <v>5707.011</v>
      </c>
      <c r="Q17" s="0" t="n">
        <v>3427.683</v>
      </c>
      <c r="S17" s="0" t="n">
        <v>766.594</v>
      </c>
      <c r="T17" s="0" t="n">
        <v>49.596</v>
      </c>
      <c r="U17" s="0" t="n">
        <v>48.246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11295.654</v>
      </c>
      <c r="C18" s="0" t="n">
        <v>6908.401</v>
      </c>
      <c r="D18" s="0" t="n">
        <v>4387.253</v>
      </c>
      <c r="E18" s="0" t="n">
        <v>38.8401857918098</v>
      </c>
      <c r="F18" s="0" t="n">
        <v>1564.972</v>
      </c>
      <c r="G18" s="0" t="n">
        <v>13.8546382529068</v>
      </c>
      <c r="H18" s="0" t="n">
        <v>1832.014</v>
      </c>
      <c r="I18" s="0" t="n">
        <v>1201.118</v>
      </c>
      <c r="J18" s="0" t="n">
        <v>10.6334524765011</v>
      </c>
      <c r="K18" s="0" t="n">
        <v>25.44</v>
      </c>
      <c r="L18" s="0" t="n">
        <v>1338.605</v>
      </c>
      <c r="M18" s="0" t="n">
        <v>374.458</v>
      </c>
      <c r="N18" s="0" t="n">
        <v>964.147</v>
      </c>
      <c r="O18" s="0" t="n">
        <v>2488.353</v>
      </c>
      <c r="P18" s="0" t="n">
        <v>6001.693</v>
      </c>
      <c r="Q18" s="0" t="n">
        <v>3513.34</v>
      </c>
      <c r="S18" s="0" t="n">
        <v>703.201</v>
      </c>
      <c r="T18" s="0" t="n">
        <v>47.404</v>
      </c>
      <c r="U18" s="0" t="n">
        <v>42.787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12392.82</v>
      </c>
      <c r="C19" s="0" t="n">
        <v>7547.596</v>
      </c>
      <c r="D19" s="0" t="n">
        <v>4845.224</v>
      </c>
      <c r="E19" s="0" t="n">
        <v>39.0970255357538</v>
      </c>
      <c r="F19" s="0" t="n">
        <v>1532.992</v>
      </c>
      <c r="G19" s="0" t="n">
        <v>12.3700013394853</v>
      </c>
      <c r="H19" s="0" t="n">
        <v>1833.764</v>
      </c>
      <c r="I19" s="0" t="n">
        <v>1153.479</v>
      </c>
      <c r="J19" s="0" t="n">
        <v>9.30763942347262</v>
      </c>
      <c r="K19" s="0" t="n">
        <v>25.72</v>
      </c>
      <c r="L19" s="0" t="n">
        <v>1502.78</v>
      </c>
      <c r="M19" s="0" t="n">
        <v>434.829</v>
      </c>
      <c r="N19" s="0" t="n">
        <v>1067.951</v>
      </c>
      <c r="O19" s="0" t="n">
        <v>2803.451</v>
      </c>
      <c r="P19" s="0" t="n">
        <v>6999.294</v>
      </c>
      <c r="Q19" s="0" t="n">
        <v>4195.843</v>
      </c>
      <c r="S19" s="0" t="n">
        <v>424.243</v>
      </c>
      <c r="T19" s="0" t="n">
        <v>44.991</v>
      </c>
      <c r="U19" s="0" t="n">
        <v>37.426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543.69</v>
      </c>
    </row>
    <row r="3" customFormat="false" ht="15" hidden="false" customHeight="false" outlineLevel="0" collapsed="false">
      <c r="A3" s="0" t="s">
        <v>84</v>
      </c>
      <c r="B3" s="3" t="n">
        <v>42.864</v>
      </c>
    </row>
    <row r="4" customFormat="false" ht="15" hidden="false" customHeight="false" outlineLevel="0" collapsed="false">
      <c r="A4" s="0" t="s">
        <v>85</v>
      </c>
      <c r="B4" s="3" t="n">
        <v>126.1</v>
      </c>
    </row>
    <row r="5" customFormat="false" ht="15" hidden="false" customHeight="false" outlineLevel="0" collapsed="false">
      <c r="A5" s="0" t="s">
        <v>86</v>
      </c>
      <c r="B5" s="3" t="n">
        <v>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12392.82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6.3</v>
      </c>
      <c r="D13" s="3" t="n">
        <v>3</v>
      </c>
      <c r="E13" s="3" t="n">
        <v>2.5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105</v>
      </c>
      <c r="C14" s="3" t="n">
        <v>15.1</v>
      </c>
      <c r="D14" s="3" t="n">
        <v>14.6</v>
      </c>
      <c r="E14" s="3" t="n">
        <v>14.1</v>
      </c>
      <c r="F14" s="3" t="n">
        <v>13.7</v>
      </c>
      <c r="G14" s="3" t="n">
        <v>13.4</v>
      </c>
      <c r="H14" s="3" t="n">
        <v>13.2</v>
      </c>
      <c r="I14" s="3" t="n">
        <v>13</v>
      </c>
      <c r="J14" s="3" t="n">
        <v>13</v>
      </c>
      <c r="K14" s="3" t="n">
        <v>13</v>
      </c>
      <c r="L14" s="3" t="n">
        <v>13</v>
      </c>
    </row>
    <row r="15" customFormat="false" ht="15" hidden="false" customHeight="false" outlineLevel="0" collapsed="false">
      <c r="A15" s="0" t="s">
        <v>106</v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2.45</v>
      </c>
      <c r="D17" s="3" t="n">
        <v>2.5</v>
      </c>
      <c r="E17" s="3" t="n">
        <v>2.55</v>
      </c>
      <c r="F17" s="3" t="n">
        <v>2.6</v>
      </c>
      <c r="G17" s="3" t="n">
        <v>2.6</v>
      </c>
      <c r="H17" s="3" t="n">
        <v>2.6</v>
      </c>
      <c r="I17" s="3" t="n">
        <v>2.6</v>
      </c>
      <c r="J17" s="3" t="n">
        <v>2.6</v>
      </c>
      <c r="K17" s="3" t="n">
        <v>2.6</v>
      </c>
      <c r="L17" s="3" t="n">
        <v>2.6</v>
      </c>
    </row>
    <row r="18" customFormat="false" ht="15" hidden="false" customHeight="false" outlineLevel="0" collapsed="false">
      <c r="A18" s="0" t="s">
        <v>109</v>
      </c>
      <c r="C18" s="3" t="n">
        <v>3.2</v>
      </c>
      <c r="D18" s="3" t="n">
        <v>3</v>
      </c>
      <c r="E18" s="3" t="n">
        <v>2.9</v>
      </c>
      <c r="F18" s="3" t="n">
        <v>2.8</v>
      </c>
      <c r="G18" s="3" t="n">
        <v>2.8</v>
      </c>
      <c r="H18" s="3" t="n">
        <v>2.8</v>
      </c>
      <c r="I18" s="3" t="n">
        <v>2.8</v>
      </c>
      <c r="J18" s="3" t="n">
        <v>2.8</v>
      </c>
      <c r="K18" s="3" t="n">
        <v>2.8</v>
      </c>
      <c r="L18" s="3" t="n">
        <v>2.8</v>
      </c>
    </row>
    <row r="19" customFormat="false" ht="15" hidden="false" customHeight="false" outlineLevel="0" collapsed="false">
      <c r="A19" s="0" t="s">
        <v>110</v>
      </c>
      <c r="C19" s="3" t="n">
        <v>24.5</v>
      </c>
      <c r="D19" s="3" t="n">
        <v>24.5</v>
      </c>
      <c r="E19" s="3" t="n">
        <v>24.5</v>
      </c>
      <c r="F19" s="3" t="n">
        <v>24.5</v>
      </c>
      <c r="G19" s="3" t="n">
        <v>24.5</v>
      </c>
      <c r="H19" s="3" t="n">
        <v>24.5</v>
      </c>
      <c r="I19" s="3" t="n">
        <v>24.5</v>
      </c>
      <c r="J19" s="3" t="n">
        <v>24.5</v>
      </c>
      <c r="K19" s="3" t="n">
        <v>24.5</v>
      </c>
      <c r="L19" s="3" t="n">
        <v>24.5</v>
      </c>
    </row>
    <row r="20" customFormat="false" ht="15" hidden="false" customHeight="false" outlineLevel="0" collapsed="false">
      <c r="A20" s="0" t="s">
        <v>111</v>
      </c>
      <c r="B20" s="3" t="n">
        <v>9</v>
      </c>
    </row>
    <row r="21" customFormat="false" ht="15" hidden="false" customHeight="false" outlineLevel="0" collapsed="false">
      <c r="A21" s="0" t="s">
        <v>112</v>
      </c>
      <c r="B21" s="3" t="n">
        <v>2</v>
      </c>
    </row>
    <row r="22" customFormat="false" ht="15" hidden="false" customHeight="false" outlineLevel="0" collapsed="false">
      <c r="A22" s="0" t="s">
        <v>113</v>
      </c>
      <c r="B22" s="3" t="n">
        <v>12</v>
      </c>
    </row>
    <row r="23" customFormat="false" ht="15" hidden="false" customHeight="false" outlineLevel="0" collapsed="false">
      <c r="A23" s="0" t="s">
        <v>114</v>
      </c>
      <c r="B23" s="3" t="n">
        <v>-5</v>
      </c>
    </row>
    <row r="24" customFormat="false" ht="15" hidden="false" customHeight="false" outlineLevel="0" collapsed="false">
      <c r="A24" s="0" t="s">
        <v>115</v>
      </c>
      <c r="B24" s="3" t="n">
        <v>0.2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7</v>
      </c>
      <c r="D27" s="3" t="n">
        <v>5.5</v>
      </c>
      <c r="E27" s="3" t="n">
        <v>5</v>
      </c>
      <c r="F27" s="3" t="n">
        <v>4.5</v>
      </c>
      <c r="G27" s="3" t="n">
        <v>4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105</v>
      </c>
      <c r="C28" s="3" t="n">
        <v>15.35</v>
      </c>
      <c r="D28" s="3" t="n">
        <v>15.4</v>
      </c>
      <c r="E28" s="3" t="n">
        <v>15.5</v>
      </c>
      <c r="F28" s="3" t="n">
        <v>15.6</v>
      </c>
      <c r="G28" s="3" t="n">
        <v>15.6</v>
      </c>
      <c r="H28" s="3" t="n">
        <v>15.6</v>
      </c>
      <c r="I28" s="3" t="n">
        <v>15.6</v>
      </c>
      <c r="J28" s="3" t="n">
        <v>15.6</v>
      </c>
      <c r="K28" s="3" t="n">
        <v>15.6</v>
      </c>
      <c r="L28" s="3" t="n">
        <v>15.6</v>
      </c>
    </row>
    <row r="29" customFormat="false" ht="15" hidden="false" customHeight="false" outlineLevel="0" collapsed="false">
      <c r="A29" s="0" t="s">
        <v>106</v>
      </c>
      <c r="C29" s="3" t="n">
        <v>0.3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2.45</v>
      </c>
      <c r="D31" s="3" t="n">
        <v>2.5</v>
      </c>
      <c r="E31" s="3" t="n">
        <v>2.5</v>
      </c>
      <c r="F31" s="3" t="n">
        <v>2.5</v>
      </c>
      <c r="G31" s="3" t="n">
        <v>2.5</v>
      </c>
      <c r="H31" s="3" t="n">
        <v>2.5</v>
      </c>
      <c r="I31" s="3" t="n">
        <v>2.5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109</v>
      </c>
      <c r="C32" s="3" t="n">
        <v>3.2</v>
      </c>
      <c r="D32" s="3" t="n">
        <v>3.2</v>
      </c>
      <c r="E32" s="3" t="n">
        <v>3.1</v>
      </c>
      <c r="F32" s="3" t="n">
        <v>3.1</v>
      </c>
      <c r="G32" s="3" t="n">
        <v>3</v>
      </c>
      <c r="H32" s="3" t="n">
        <v>3</v>
      </c>
      <c r="I32" s="3" t="n">
        <v>3</v>
      </c>
      <c r="J32" s="3" t="n">
        <v>2.9</v>
      </c>
      <c r="K32" s="3" t="n">
        <v>2.9</v>
      </c>
      <c r="L32" s="3" t="n">
        <v>2.9</v>
      </c>
    </row>
    <row r="33" customFormat="false" ht="15" hidden="false" customHeight="false" outlineLevel="0" collapsed="false">
      <c r="A33" s="0" t="s">
        <v>110</v>
      </c>
      <c r="C33" s="3" t="n">
        <v>24.5</v>
      </c>
      <c r="D33" s="3" t="n">
        <v>24.5</v>
      </c>
      <c r="E33" s="3" t="n">
        <v>24.5</v>
      </c>
      <c r="F33" s="3" t="n">
        <v>24.5</v>
      </c>
      <c r="G33" s="3" t="n">
        <v>24.5</v>
      </c>
      <c r="H33" s="3" t="n">
        <v>24.5</v>
      </c>
      <c r="I33" s="3" t="n">
        <v>24.5</v>
      </c>
      <c r="J33" s="3" t="n">
        <v>24.5</v>
      </c>
      <c r="K33" s="3" t="n">
        <v>24.5</v>
      </c>
      <c r="L33" s="3" t="n">
        <v>24.5</v>
      </c>
    </row>
    <row r="34" customFormat="false" ht="15" hidden="false" customHeight="false" outlineLevel="0" collapsed="false">
      <c r="A34" s="0" t="s">
        <v>111</v>
      </c>
      <c r="B34" s="3" t="n">
        <v>9</v>
      </c>
    </row>
    <row r="35" customFormat="false" ht="15" hidden="false" customHeight="false" outlineLevel="0" collapsed="false">
      <c r="A35" s="0" t="s">
        <v>112</v>
      </c>
      <c r="B35" s="3" t="n">
        <v>2.5</v>
      </c>
    </row>
    <row r="36" customFormat="false" ht="15" hidden="false" customHeight="false" outlineLevel="0" collapsed="false">
      <c r="A36" s="0" t="s">
        <v>113</v>
      </c>
      <c r="B36" s="3" t="n">
        <v>15</v>
      </c>
    </row>
    <row r="37" customFormat="false" ht="15" hidden="false" customHeight="false" outlineLevel="0" collapsed="false">
      <c r="A37" s="0" t="s">
        <v>114</v>
      </c>
      <c r="B37" s="3" t="n">
        <v>-5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7.3</v>
      </c>
      <c r="D41" s="3" t="n">
        <v>7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105</v>
      </c>
      <c r="C42" s="3" t="n">
        <v>15.5</v>
      </c>
      <c r="D42" s="3" t="n">
        <v>15.9</v>
      </c>
      <c r="E42" s="3" t="n">
        <v>16.3</v>
      </c>
      <c r="F42" s="3" t="n">
        <v>16.6</v>
      </c>
      <c r="G42" s="3" t="n">
        <v>16.9</v>
      </c>
      <c r="H42" s="3" t="n">
        <v>17</v>
      </c>
      <c r="I42" s="3" t="n">
        <v>17</v>
      </c>
      <c r="J42" s="3" t="n">
        <v>17</v>
      </c>
      <c r="K42" s="3" t="n">
        <v>17</v>
      </c>
      <c r="L42" s="3" t="n">
        <v>17</v>
      </c>
    </row>
    <row r="43" customFormat="false" ht="15" hidden="false" customHeight="false" outlineLevel="0" collapsed="false">
      <c r="A43" s="0" t="s">
        <v>106</v>
      </c>
      <c r="C43" s="3" t="n">
        <v>0.3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2.45</v>
      </c>
      <c r="D45" s="3" t="n">
        <v>2.5</v>
      </c>
      <c r="E45" s="3" t="n">
        <v>2.5</v>
      </c>
      <c r="F45" s="3" t="n">
        <v>2.5</v>
      </c>
      <c r="G45" s="3" t="n">
        <v>2.5</v>
      </c>
      <c r="H45" s="3" t="n">
        <v>2.5</v>
      </c>
      <c r="I45" s="3" t="n">
        <v>2.5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109</v>
      </c>
      <c r="C46" s="3" t="n">
        <v>3.2</v>
      </c>
      <c r="D46" s="3" t="n">
        <v>3.3</v>
      </c>
      <c r="E46" s="3" t="n">
        <v>3.3</v>
      </c>
      <c r="F46" s="3" t="n">
        <v>3.2</v>
      </c>
      <c r="G46" s="3" t="n">
        <v>3.1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110</v>
      </c>
      <c r="C47" s="3" t="n">
        <v>24.5</v>
      </c>
      <c r="D47" s="3" t="n">
        <v>24.5</v>
      </c>
      <c r="E47" s="3" t="n">
        <v>24.5</v>
      </c>
      <c r="F47" s="3" t="n">
        <v>24.5</v>
      </c>
      <c r="G47" s="3" t="n">
        <v>24.5</v>
      </c>
      <c r="H47" s="3" t="n">
        <v>24.5</v>
      </c>
      <c r="I47" s="3" t="n">
        <v>24.5</v>
      </c>
      <c r="J47" s="3" t="n">
        <v>24.5</v>
      </c>
      <c r="K47" s="3" t="n">
        <v>24.5</v>
      </c>
      <c r="L47" s="3" t="n">
        <v>24.5</v>
      </c>
    </row>
    <row r="48" customFormat="false" ht="15" hidden="false" customHeight="false" outlineLevel="0" collapsed="false">
      <c r="A48" s="0" t="s">
        <v>111</v>
      </c>
      <c r="B48" s="3" t="n">
        <v>9</v>
      </c>
    </row>
    <row r="49" customFormat="false" ht="15" hidden="false" customHeight="false" outlineLevel="0" collapsed="false">
      <c r="A49" s="0" t="s">
        <v>112</v>
      </c>
      <c r="B49" s="3" t="n">
        <v>3</v>
      </c>
    </row>
    <row r="50" customFormat="false" ht="15" hidden="false" customHeight="false" outlineLevel="0" collapsed="false">
      <c r="A50" s="0" t="s">
        <v>113</v>
      </c>
      <c r="B50" s="3" t="n">
        <v>16</v>
      </c>
    </row>
    <row r="51" customFormat="false" ht="15" hidden="false" customHeight="false" outlineLevel="0" collapsed="false">
      <c r="A51" s="0" t="s">
        <v>114</v>
      </c>
      <c r="B51" s="3" t="n">
        <v>-5</v>
      </c>
    </row>
    <row r="52" customFormat="false" ht="15" hidden="false" customHeight="false" outlineLevel="0" collapsed="false">
      <c r="A52" s="0" t="s">
        <v>115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6.3</v>
      </c>
      <c r="D5" s="4" t="n">
        <f aca="false">Assumptions!D13</f>
        <v>3</v>
      </c>
      <c r="E5" s="4" t="n">
        <f aca="false">Assumptions!E13</f>
        <v>2.5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12392.82</v>
      </c>
      <c r="C6" s="0" t="n">
        <f aca="false">B6*(1+C5/100)</f>
        <v>13173.56766</v>
      </c>
      <c r="D6" s="0" t="n">
        <f aca="false">C6*(1+D5/100)</f>
        <v>13568.7746898</v>
      </c>
      <c r="E6" s="0" t="n">
        <f aca="false">D6*(1+E5/100)</f>
        <v>13907.994057045</v>
      </c>
      <c r="F6" s="0" t="n">
        <f aca="false">E6*(1+F5/100)</f>
        <v>14186.1539381859</v>
      </c>
      <c r="G6" s="0" t="n">
        <f aca="false">F6*(1+G5/100)</f>
        <v>14469.8770169496</v>
      </c>
      <c r="H6" s="0" t="n">
        <f aca="false">G6*(1+H5/100)</f>
        <v>14759.2745572886</v>
      </c>
      <c r="I6" s="0" t="n">
        <f aca="false">H6*(1+I5/100)</f>
        <v>15054.4600484344</v>
      </c>
      <c r="J6" s="0" t="n">
        <f aca="false">I6*(1+J5/100)</f>
        <v>15355.5492494031</v>
      </c>
      <c r="K6" s="0" t="n">
        <f aca="false">J6*(1+K5/100)</f>
        <v>15662.6602343911</v>
      </c>
      <c r="L6" s="0" t="n">
        <f aca="false">K6*(1+L5/100)</f>
        <v>15975.913439079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15.1</v>
      </c>
      <c r="D7" s="4" t="n">
        <f aca="false">Assumptions!D14</f>
        <v>14.6</v>
      </c>
      <c r="E7" s="4" t="n">
        <f aca="false">Assumptions!E14</f>
        <v>14.1</v>
      </c>
      <c r="F7" s="4" t="n">
        <f aca="false">Assumptions!F14</f>
        <v>13.7</v>
      </c>
      <c r="G7" s="4" t="n">
        <f aca="false">Assumptions!G14</f>
        <v>13.4</v>
      </c>
      <c r="H7" s="4" t="n">
        <f aca="false">Assumptions!H14</f>
        <v>13.2</v>
      </c>
      <c r="I7" s="4" t="n">
        <f aca="false">Assumptions!I14</f>
        <v>13</v>
      </c>
      <c r="J7" s="4" t="n">
        <f aca="false">Assumptions!J14</f>
        <v>13</v>
      </c>
      <c r="K7" s="4" t="n">
        <f aca="false">Assumptions!K14</f>
        <v>13</v>
      </c>
      <c r="L7" s="4" t="n">
        <f aca="false">Assumptions!L14</f>
        <v>13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1989.20871666</v>
      </c>
      <c r="D8" s="0" t="n">
        <f aca="false">D6*D7/100</f>
        <v>1981.0411047108</v>
      </c>
      <c r="E8" s="0" t="n">
        <f aca="false">E6*E7/100</f>
        <v>1961.02716204334</v>
      </c>
      <c r="F8" s="0" t="n">
        <f aca="false">F6*F7/100</f>
        <v>1943.50308953147</v>
      </c>
      <c r="G8" s="0" t="n">
        <f aca="false">G6*G7/100</f>
        <v>1938.96352027125</v>
      </c>
      <c r="H8" s="0" t="n">
        <f aca="false">H6*H7/100</f>
        <v>1948.2242415621</v>
      </c>
      <c r="I8" s="0" t="n">
        <f aca="false">I6*I7/100</f>
        <v>1957.07980629647</v>
      </c>
      <c r="J8" s="0" t="n">
        <f aca="false">J6*J7/100</f>
        <v>1996.2214024224</v>
      </c>
      <c r="K8" s="0" t="n">
        <f aca="false">K6*K7/100</f>
        <v>2036.14583047085</v>
      </c>
      <c r="L8" s="0" t="n">
        <f aca="false">L6*L7/100</f>
        <v>2076.86874708026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0.3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-39.52070298</v>
      </c>
      <c r="D10" s="0" t="n">
        <f aca="false">-D6*D9/100</f>
        <v>-40.7063240694</v>
      </c>
      <c r="E10" s="0" t="n">
        <f aca="false">-E6*E9/100</f>
        <v>-41.723982171135</v>
      </c>
      <c r="F10" s="0" t="n">
        <f aca="false">-F6*F9/100</f>
        <v>-42.5584618145577</v>
      </c>
      <c r="G10" s="0" t="n">
        <f aca="false">-G6*G9/100</f>
        <v>-43.4096310508488</v>
      </c>
      <c r="H10" s="0" t="n">
        <f aca="false">-H6*H9/100</f>
        <v>-44.2778236718658</v>
      </c>
      <c r="I10" s="0" t="n">
        <f aca="false">-I6*I9/100</f>
        <v>-45.1633801453031</v>
      </c>
      <c r="J10" s="0" t="n">
        <f aca="false">-J6*J9/100</f>
        <v>-46.0666477482092</v>
      </c>
      <c r="K10" s="0" t="n">
        <f aca="false">-K6*K9/100</f>
        <v>-46.9879807031734</v>
      </c>
      <c r="L10" s="0" t="n">
        <f aca="false">-L6*L9/100</f>
        <v>-47.9277403172369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1949.68801368</v>
      </c>
      <c r="D11" s="0" t="n">
        <f aca="false">D8+D10+D24</f>
        <v>1940.3347806414</v>
      </c>
      <c r="E11" s="0" t="n">
        <f aca="false">E8+E10+E24</f>
        <v>1919.30317987221</v>
      </c>
      <c r="F11" s="0" t="n">
        <f aca="false">F8+F10+F24</f>
        <v>1900.94462771691</v>
      </c>
      <c r="G11" s="0" t="n">
        <f aca="false">G8+G10+G24</f>
        <v>1895.5538892204</v>
      </c>
      <c r="H11" s="0" t="n">
        <f aca="false">H8+H10+H24</f>
        <v>1903.94641789023</v>
      </c>
      <c r="I11" s="0" t="n">
        <f aca="false">I8+I10+I24</f>
        <v>1911.91642615117</v>
      </c>
      <c r="J11" s="0" t="n">
        <f aca="false">J8+J10+J24</f>
        <v>1950.15475467419</v>
      </c>
      <c r="K11" s="0" t="n">
        <f aca="false">K8+K10+K24</f>
        <v>1989.15784976767</v>
      </c>
      <c r="L11" s="0" t="n">
        <f aca="false">L8+L10+L24</f>
        <v>2028.94100676303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-322.75240767</v>
      </c>
      <c r="D12" s="4" t="n">
        <f aca="false">-D6*Assumptions!D17/100</f>
        <v>-339.219367245</v>
      </c>
      <c r="E12" s="4" t="n">
        <f aca="false">-E6*Assumptions!E17/100</f>
        <v>-354.653848454647</v>
      </c>
      <c r="F12" s="4" t="n">
        <f aca="false">-F6*Assumptions!F17/100</f>
        <v>-368.840002392833</v>
      </c>
      <c r="G12" s="4" t="n">
        <f aca="false">-G6*Assumptions!G17/100</f>
        <v>-376.21680244069</v>
      </c>
      <c r="H12" s="4" t="n">
        <f aca="false">-H6*Assumptions!H17/100</f>
        <v>-383.741138489504</v>
      </c>
      <c r="I12" s="4" t="n">
        <f aca="false">-I6*Assumptions!I17/100</f>
        <v>-391.415961259294</v>
      </c>
      <c r="J12" s="4" t="n">
        <f aca="false">-J6*Assumptions!J17/100</f>
        <v>-399.24428048448</v>
      </c>
      <c r="K12" s="4" t="n">
        <f aca="false">-K6*Assumptions!K17/100</f>
        <v>-407.229166094169</v>
      </c>
      <c r="L12" s="4" t="n">
        <f aca="false">-L6*Assumptions!L17/100</f>
        <v>-415.373749416053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1626.93560601</v>
      </c>
      <c r="D13" s="0" t="n">
        <f aca="false">D11+D12</f>
        <v>1601.1154133964</v>
      </c>
      <c r="E13" s="0" t="n">
        <f aca="false">E11+E12</f>
        <v>1564.64933141756</v>
      </c>
      <c r="F13" s="0" t="n">
        <f aca="false">F11+F12</f>
        <v>1532.10462532408</v>
      </c>
      <c r="G13" s="0" t="n">
        <f aca="false">G11+G12</f>
        <v>1519.33708677971</v>
      </c>
      <c r="H13" s="0" t="n">
        <f aca="false">H11+H12</f>
        <v>1520.20527940073</v>
      </c>
      <c r="I13" s="0" t="n">
        <f aca="false">I11+I12</f>
        <v>1520.50046489187</v>
      </c>
      <c r="J13" s="0" t="n">
        <f aca="false">J11+J12</f>
        <v>1550.91047418971</v>
      </c>
      <c r="K13" s="0" t="n">
        <f aca="false">K11+K12</f>
        <v>1581.9286836735</v>
      </c>
      <c r="L13" s="0" t="n">
        <f aca="false">L11+L12</f>
        <v>1613.56725734697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24.5</v>
      </c>
      <c r="D14" s="4" t="n">
        <f aca="false">Assumptions!D19</f>
        <v>24.5</v>
      </c>
      <c r="E14" s="4" t="n">
        <f aca="false">Assumptions!E19</f>
        <v>24.5</v>
      </c>
      <c r="F14" s="4" t="n">
        <f aca="false">Assumptions!F19</f>
        <v>24.5</v>
      </c>
      <c r="G14" s="4" t="n">
        <f aca="false">Assumptions!G19</f>
        <v>24.5</v>
      </c>
      <c r="H14" s="4" t="n">
        <f aca="false">Assumptions!H19</f>
        <v>24.5</v>
      </c>
      <c r="I14" s="4" t="n">
        <f aca="false">Assumptions!I19</f>
        <v>24.5</v>
      </c>
      <c r="J14" s="4" t="n">
        <f aca="false">Assumptions!J19</f>
        <v>24.5</v>
      </c>
      <c r="K14" s="4" t="n">
        <f aca="false">Assumptions!K19</f>
        <v>24.5</v>
      </c>
      <c r="L14" s="4" t="n">
        <f aca="false">Assumptions!L19</f>
        <v>24.5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1228.33638253755</v>
      </c>
      <c r="D15" s="0" t="n">
        <f aca="false">D13-MAX(0,D13)*D14/100</f>
        <v>1208.84213711428</v>
      </c>
      <c r="E15" s="0" t="n">
        <f aca="false">E13-MAX(0,E13)*E14/100</f>
        <v>1181.31024522026</v>
      </c>
      <c r="F15" s="0" t="n">
        <f aca="false">F13-MAX(0,F13)*F14/100</f>
        <v>1156.73899211968</v>
      </c>
      <c r="G15" s="0" t="n">
        <f aca="false">G13-MAX(0,G13)*G14/100</f>
        <v>1147.09950051868</v>
      </c>
      <c r="H15" s="0" t="n">
        <f aca="false">H13-MAX(0,H13)*H14/100</f>
        <v>1147.75498594755</v>
      </c>
      <c r="I15" s="0" t="n">
        <f aca="false">I13-MAX(0,I13)*I14/100</f>
        <v>1147.97785099336</v>
      </c>
      <c r="J15" s="0" t="n">
        <f aca="false">J13-MAX(0,J13)*J14/100</f>
        <v>1170.93740801323</v>
      </c>
      <c r="K15" s="0" t="n">
        <f aca="false">K13-MAX(0,K13)*K14/100</f>
        <v>1194.3561561735</v>
      </c>
      <c r="L15" s="0" t="n">
        <f aca="false">L13-MAX(0,L13)*L14/100</f>
        <v>1218.24327929697</v>
      </c>
    </row>
    <row r="16" customFormat="false" ht="15" hidden="false" customHeight="false" outlineLevel="0" collapsed="false">
      <c r="A16" s="0" t="s">
        <v>126</v>
      </c>
      <c r="C16" s="0" t="n">
        <f aca="false">-C12</f>
        <v>322.75240767</v>
      </c>
      <c r="D16" s="0" t="n">
        <f aca="false">-D12</f>
        <v>339.219367245</v>
      </c>
      <c r="E16" s="0" t="n">
        <f aca="false">-E12</f>
        <v>354.653848454647</v>
      </c>
      <c r="F16" s="0" t="n">
        <f aca="false">-F12</f>
        <v>368.840002392833</v>
      </c>
      <c r="G16" s="0" t="n">
        <f aca="false">-G12</f>
        <v>376.21680244069</v>
      </c>
      <c r="H16" s="0" t="n">
        <f aca="false">-H12</f>
        <v>383.741138489504</v>
      </c>
      <c r="I16" s="0" t="n">
        <f aca="false">-I12</f>
        <v>391.415961259294</v>
      </c>
      <c r="J16" s="0" t="n">
        <f aca="false">-J12</f>
        <v>399.24428048448</v>
      </c>
      <c r="K16" s="0" t="n">
        <f aca="false">-K12</f>
        <v>407.229166094169</v>
      </c>
      <c r="L16" s="0" t="n">
        <f aca="false">-L12</f>
        <v>415.373749416053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-421.55416512</v>
      </c>
      <c r="D17" s="4" t="n">
        <f aca="false">-D6*Assumptions!D18/100</f>
        <v>-407.063240694</v>
      </c>
      <c r="E17" s="4" t="n">
        <f aca="false">-E6*Assumptions!E18/100</f>
        <v>-403.331827654305</v>
      </c>
      <c r="F17" s="4" t="n">
        <f aca="false">-F6*Assumptions!F18/100</f>
        <v>-397.212310269205</v>
      </c>
      <c r="G17" s="4" t="n">
        <f aca="false">-G6*Assumptions!G18/100</f>
        <v>-405.156556474589</v>
      </c>
      <c r="H17" s="4" t="n">
        <f aca="false">-H6*Assumptions!H18/100</f>
        <v>-413.259687604081</v>
      </c>
      <c r="I17" s="4" t="n">
        <f aca="false">-I6*Assumptions!I18/100</f>
        <v>-421.524881356163</v>
      </c>
      <c r="J17" s="4" t="n">
        <f aca="false">-J6*Assumptions!J18/100</f>
        <v>-429.955378983286</v>
      </c>
      <c r="K17" s="4" t="n">
        <f aca="false">-K6*Assumptions!K18/100</f>
        <v>-438.554486562952</v>
      </c>
      <c r="L17" s="4" t="n">
        <f aca="false">-L6*Assumptions!L18/100</f>
        <v>-447.325576294211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-39.037383</v>
      </c>
      <c r="D18" s="4" t="n">
        <f aca="false">(D6-C6)*Assumptions!$B$23/100</f>
        <v>-19.76035149</v>
      </c>
      <c r="E18" s="4" t="n">
        <f aca="false">(E6-D6)*Assumptions!$B$23/100</f>
        <v>-16.96096836225</v>
      </c>
      <c r="F18" s="4" t="n">
        <f aca="false">(F6-E6)*Assumptions!$B$23/100</f>
        <v>-13.907994057045</v>
      </c>
      <c r="G18" s="4" t="n">
        <f aca="false">(G6-F6)*Assumptions!$B$23/100</f>
        <v>-14.1861539381859</v>
      </c>
      <c r="H18" s="4" t="n">
        <f aca="false">(H6-G6)*Assumptions!$B$23/100</f>
        <v>-14.4698770169496</v>
      </c>
      <c r="I18" s="4" t="n">
        <f aca="false">(I6-H6)*Assumptions!$B$23/100</f>
        <v>-14.7592745572886</v>
      </c>
      <c r="J18" s="4" t="n">
        <f aca="false">(J6-I6)*Assumptions!$B$23/100</f>
        <v>-15.0544600484344</v>
      </c>
      <c r="K18" s="4" t="n">
        <f aca="false">(K6-J6)*Assumptions!$B$23/100</f>
        <v>-15.3555492494031</v>
      </c>
      <c r="L18" s="4" t="n">
        <f aca="false">(L6-K6)*Assumptions!$B$23/100</f>
        <v>-15.6626602343911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1090.49724208755</v>
      </c>
      <c r="D19" s="0" t="n">
        <f aca="false">D15+D16+D17+D18</f>
        <v>1121.23791217528</v>
      </c>
      <c r="E19" s="0" t="n">
        <f aca="false">E15+E16+E17+E18</f>
        <v>1115.67129765835</v>
      </c>
      <c r="F19" s="0" t="n">
        <f aca="false">F15+F16+F17+F18</f>
        <v>1114.45869018626</v>
      </c>
      <c r="G19" s="0" t="n">
        <f aca="false">G15+G16+G17+G18</f>
        <v>1103.9735925466</v>
      </c>
      <c r="H19" s="0" t="n">
        <f aca="false">H15+H16+H17+H18</f>
        <v>1103.76655981602</v>
      </c>
      <c r="I19" s="0" t="n">
        <f aca="false">I15+I16+I17+I18</f>
        <v>1103.10965633921</v>
      </c>
      <c r="J19" s="0" t="n">
        <f aca="false">J15+J16+J17+J18</f>
        <v>1125.17184946599</v>
      </c>
      <c r="K19" s="0" t="n">
        <f aca="false">K15+K16+K17+K18</f>
        <v>1147.67528645531</v>
      </c>
      <c r="L19" s="0" t="n">
        <f aca="false">L15+L16+L17+L18</f>
        <v>1170.62879218442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1000.45618540142</v>
      </c>
      <c r="D21" s="0" t="n">
        <f aca="false">D19*D20</f>
        <v>943.723518369903</v>
      </c>
      <c r="E21" s="0" t="n">
        <f aca="false">E19*E20</f>
        <v>861.50294523007</v>
      </c>
      <c r="F21" s="0" t="n">
        <f aca="false">F19*F20</f>
        <v>789.510632818645</v>
      </c>
      <c r="G21" s="0" t="n">
        <f aca="false">G19*G20</f>
        <v>717.507087440574</v>
      </c>
      <c r="H21" s="0" t="n">
        <f aca="false">H19*H20</f>
        <v>658.139936120167</v>
      </c>
      <c r="I21" s="0" t="n">
        <f aca="false">I19*I20</f>
        <v>603.438757834889</v>
      </c>
      <c r="J21" s="0" t="n">
        <f aca="false">J19*J20</f>
        <v>564.685810084024</v>
      </c>
      <c r="K21" s="0" t="n">
        <f aca="false">K19*K20</f>
        <v>528.421583748353</v>
      </c>
      <c r="L21" s="0" t="n">
        <f aca="false">L19*L20</f>
        <v>494.486252681945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7161.87270972999</v>
      </c>
    </row>
    <row r="31" customFormat="false" ht="15" hidden="false" customHeight="false" outlineLevel="0" collapsed="false">
      <c r="A31" s="0" t="s">
        <v>135</v>
      </c>
      <c r="B31" s="0" t="n">
        <f aca="false">L19</f>
        <v>1170.62879218442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17057.7338289729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14047.545506213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14047.545506213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5933.83503218334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13095.7077419133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12969.6077419133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302.575768521681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-0.443477407122292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277.206962289251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295.001419561327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315.925161528647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9184.93360021619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180.461449089295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7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12392.82</v>
      </c>
      <c r="C6" s="0" t="n">
        <f aca="false">B6*(1+C5/100)</f>
        <v>13260.3174</v>
      </c>
      <c r="D6" s="0" t="n">
        <f aca="false">C6*(1+D5/100)</f>
        <v>13989.634857</v>
      </c>
      <c r="E6" s="0" t="n">
        <f aca="false">D6*(1+E5/100)</f>
        <v>14689.11659985</v>
      </c>
      <c r="F6" s="0" t="n">
        <f aca="false">E6*(1+F5/100)</f>
        <v>15350.1268468432</v>
      </c>
      <c r="G6" s="0" t="n">
        <f aca="false">F6*(1+G5/100)</f>
        <v>15964.131920717</v>
      </c>
      <c r="H6" s="0" t="n">
        <f aca="false">G6*(1+H5/100)</f>
        <v>16602.6971975457</v>
      </c>
      <c r="I6" s="0" t="n">
        <f aca="false">H6*(1+I5/100)</f>
        <v>17183.7915994598</v>
      </c>
      <c r="J6" s="0" t="n">
        <f aca="false">I6*(1+J5/100)</f>
        <v>17785.2243054408</v>
      </c>
      <c r="K6" s="0" t="n">
        <f aca="false">J6*(1+K5/100)</f>
        <v>18318.7810346041</v>
      </c>
      <c r="L6" s="0" t="n">
        <f aca="false">K6*(1+L5/100)</f>
        <v>18868.3444656422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15.35</v>
      </c>
      <c r="D7" s="4" t="n">
        <f aca="false">Assumptions!D28</f>
        <v>15.4</v>
      </c>
      <c r="E7" s="4" t="n">
        <f aca="false">Assumptions!E28</f>
        <v>15.5</v>
      </c>
      <c r="F7" s="4" t="n">
        <f aca="false">Assumptions!F28</f>
        <v>15.6</v>
      </c>
      <c r="G7" s="4" t="n">
        <f aca="false">Assumptions!G28</f>
        <v>15.6</v>
      </c>
      <c r="H7" s="4" t="n">
        <f aca="false">Assumptions!H28</f>
        <v>15.6</v>
      </c>
      <c r="I7" s="4" t="n">
        <f aca="false">Assumptions!I28</f>
        <v>15.6</v>
      </c>
      <c r="J7" s="4" t="n">
        <f aca="false">Assumptions!J28</f>
        <v>15.6</v>
      </c>
      <c r="K7" s="4" t="n">
        <f aca="false">Assumptions!K28</f>
        <v>15.6</v>
      </c>
      <c r="L7" s="4" t="n">
        <f aca="false">Assumptions!L28</f>
        <v>15.6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2035.4587209</v>
      </c>
      <c r="D8" s="0" t="n">
        <f aca="false">D6*D7/100</f>
        <v>2154.403767978</v>
      </c>
      <c r="E8" s="0" t="n">
        <f aca="false">E6*E7/100</f>
        <v>2276.81307297675</v>
      </c>
      <c r="F8" s="0" t="n">
        <f aca="false">F6*F7/100</f>
        <v>2394.61978810755</v>
      </c>
      <c r="G8" s="0" t="n">
        <f aca="false">G6*G7/100</f>
        <v>2490.40457963185</v>
      </c>
      <c r="H8" s="0" t="n">
        <f aca="false">H6*H7/100</f>
        <v>2590.02076281712</v>
      </c>
      <c r="I8" s="0" t="n">
        <f aca="false">I6*I7/100</f>
        <v>2680.67148951572</v>
      </c>
      <c r="J8" s="0" t="n">
        <f aca="false">J6*J7/100</f>
        <v>2774.49499164877</v>
      </c>
      <c r="K8" s="0" t="n">
        <f aca="false">K6*K7/100</f>
        <v>2857.72984139824</v>
      </c>
      <c r="L8" s="0" t="n">
        <f aca="false">L6*L7/100</f>
        <v>2943.46173664018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0.3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-39.7809522</v>
      </c>
      <c r="D10" s="0" t="n">
        <f aca="false">-D6*D9/100</f>
        <v>-41.968904571</v>
      </c>
      <c r="E10" s="0" t="n">
        <f aca="false">-E6*E9/100</f>
        <v>-44.06734979955</v>
      </c>
      <c r="F10" s="0" t="n">
        <f aca="false">-F6*F9/100</f>
        <v>-46.0503805405297</v>
      </c>
      <c r="G10" s="0" t="n">
        <f aca="false">-G6*G9/100</f>
        <v>-47.8923957621509</v>
      </c>
      <c r="H10" s="0" t="n">
        <f aca="false">-H6*H9/100</f>
        <v>-49.808091592637</v>
      </c>
      <c r="I10" s="0" t="n">
        <f aca="false">-I6*I9/100</f>
        <v>-51.5513747983793</v>
      </c>
      <c r="J10" s="0" t="n">
        <f aca="false">-J6*J9/100</f>
        <v>-53.3556729163225</v>
      </c>
      <c r="K10" s="0" t="n">
        <f aca="false">-K6*K9/100</f>
        <v>-54.9563431038122</v>
      </c>
      <c r="L10" s="0" t="n">
        <f aca="false">-L6*L9/100</f>
        <v>-56.6050333969266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1995.6777687</v>
      </c>
      <c r="D11" s="0" t="n">
        <f aca="false">D8+D10+D24</f>
        <v>2112.434863407</v>
      </c>
      <c r="E11" s="0" t="n">
        <f aca="false">E8+E10+E24</f>
        <v>2232.7457231772</v>
      </c>
      <c r="F11" s="0" t="n">
        <f aca="false">F8+F10+F24</f>
        <v>2348.56940756702</v>
      </c>
      <c r="G11" s="0" t="n">
        <f aca="false">G8+G10+G24</f>
        <v>2442.5121838697</v>
      </c>
      <c r="H11" s="0" t="n">
        <f aca="false">H8+H10+H24</f>
        <v>2540.21267122449</v>
      </c>
      <c r="I11" s="0" t="n">
        <f aca="false">I8+I10+I24</f>
        <v>2629.12011471734</v>
      </c>
      <c r="J11" s="0" t="n">
        <f aca="false">J8+J10+J24</f>
        <v>2721.13931873245</v>
      </c>
      <c r="K11" s="0" t="n">
        <f aca="false">K8+K10+K24</f>
        <v>2802.77349829442</v>
      </c>
      <c r="L11" s="0" t="n">
        <f aca="false">L8+L10+L24</f>
        <v>2886.85670324326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-324.8777763</v>
      </c>
      <c r="D12" s="4" t="n">
        <f aca="false">-D6*Assumptions!D31/100</f>
        <v>-349.740871425</v>
      </c>
      <c r="E12" s="4" t="n">
        <f aca="false">-E6*Assumptions!E31/100</f>
        <v>-367.22791499625</v>
      </c>
      <c r="F12" s="4" t="n">
        <f aca="false">-F6*Assumptions!F31/100</f>
        <v>-383.753171171081</v>
      </c>
      <c r="G12" s="4" t="n">
        <f aca="false">-G6*Assumptions!G31/100</f>
        <v>-399.103298017925</v>
      </c>
      <c r="H12" s="4" t="n">
        <f aca="false">-H6*Assumptions!H31/100</f>
        <v>-415.067429938641</v>
      </c>
      <c r="I12" s="4" t="n">
        <f aca="false">-I6*Assumptions!I31/100</f>
        <v>-429.594789986494</v>
      </c>
      <c r="J12" s="4" t="n">
        <f aca="false">-J6*Assumptions!J31/100</f>
        <v>-444.630607636021</v>
      </c>
      <c r="K12" s="4" t="n">
        <f aca="false">-K6*Assumptions!K31/100</f>
        <v>-457.969525865102</v>
      </c>
      <c r="L12" s="4" t="n">
        <f aca="false">-L6*Assumptions!L31/100</f>
        <v>-471.708611641055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1670.7999924</v>
      </c>
      <c r="D13" s="0" t="n">
        <f aca="false">D11+D12</f>
        <v>1762.693991982</v>
      </c>
      <c r="E13" s="0" t="n">
        <f aca="false">E11+E12</f>
        <v>1865.51780818095</v>
      </c>
      <c r="F13" s="0" t="n">
        <f aca="false">F11+F12</f>
        <v>1964.81623639594</v>
      </c>
      <c r="G13" s="0" t="n">
        <f aca="false">G11+G12</f>
        <v>2043.40888585177</v>
      </c>
      <c r="H13" s="0" t="n">
        <f aca="false">H11+H12</f>
        <v>2125.14524128584</v>
      </c>
      <c r="I13" s="0" t="n">
        <f aca="false">I11+I12</f>
        <v>2199.52532473085</v>
      </c>
      <c r="J13" s="0" t="n">
        <f aca="false">J11+J12</f>
        <v>2276.50871109643</v>
      </c>
      <c r="K13" s="0" t="n">
        <f aca="false">K11+K12</f>
        <v>2344.80397242932</v>
      </c>
      <c r="L13" s="0" t="n">
        <f aca="false">L11+L12</f>
        <v>2415.1480916022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24.5</v>
      </c>
      <c r="D14" s="4" t="n">
        <f aca="false">Assumptions!D33</f>
        <v>24.5</v>
      </c>
      <c r="E14" s="4" t="n">
        <f aca="false">Assumptions!E33</f>
        <v>24.5</v>
      </c>
      <c r="F14" s="4" t="n">
        <f aca="false">Assumptions!F33</f>
        <v>24.5</v>
      </c>
      <c r="G14" s="4" t="n">
        <f aca="false">Assumptions!G33</f>
        <v>24.5</v>
      </c>
      <c r="H14" s="4" t="n">
        <f aca="false">Assumptions!H33</f>
        <v>24.5</v>
      </c>
      <c r="I14" s="4" t="n">
        <f aca="false">Assumptions!I33</f>
        <v>24.5</v>
      </c>
      <c r="J14" s="4" t="n">
        <f aca="false">Assumptions!J33</f>
        <v>24.5</v>
      </c>
      <c r="K14" s="4" t="n">
        <f aca="false">Assumptions!K33</f>
        <v>24.5</v>
      </c>
      <c r="L14" s="4" t="n">
        <f aca="false">Assumptions!L33</f>
        <v>24.5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1261.453994262</v>
      </c>
      <c r="D15" s="0" t="n">
        <f aca="false">D13-MAX(0,D13)*D14/100</f>
        <v>1330.83396394641</v>
      </c>
      <c r="E15" s="0" t="n">
        <f aca="false">E13-MAX(0,E13)*E14/100</f>
        <v>1408.46594517662</v>
      </c>
      <c r="F15" s="0" t="n">
        <f aca="false">F13-MAX(0,F13)*F14/100</f>
        <v>1483.43625847893</v>
      </c>
      <c r="G15" s="0" t="n">
        <f aca="false">G13-MAX(0,G13)*G14/100</f>
        <v>1542.77370881809</v>
      </c>
      <c r="H15" s="0" t="n">
        <f aca="false">H13-MAX(0,H13)*H14/100</f>
        <v>1604.48465717081</v>
      </c>
      <c r="I15" s="0" t="n">
        <f aca="false">I13-MAX(0,I13)*I14/100</f>
        <v>1660.64162017179</v>
      </c>
      <c r="J15" s="0" t="n">
        <f aca="false">J13-MAX(0,J13)*J14/100</f>
        <v>1718.7640768778</v>
      </c>
      <c r="K15" s="0" t="n">
        <f aca="false">K13-MAX(0,K13)*K14/100</f>
        <v>1770.32699918414</v>
      </c>
      <c r="L15" s="0" t="n">
        <f aca="false">L13-MAX(0,L13)*L14/100</f>
        <v>1823.43680915966</v>
      </c>
    </row>
    <row r="16" customFormat="false" ht="15" hidden="false" customHeight="false" outlineLevel="0" collapsed="false">
      <c r="A16" s="0" t="s">
        <v>126</v>
      </c>
      <c r="C16" s="0" t="n">
        <f aca="false">-C12</f>
        <v>324.8777763</v>
      </c>
      <c r="D16" s="0" t="n">
        <f aca="false">-D12</f>
        <v>349.740871425</v>
      </c>
      <c r="E16" s="0" t="n">
        <f aca="false">-E12</f>
        <v>367.22791499625</v>
      </c>
      <c r="F16" s="0" t="n">
        <f aca="false">-F12</f>
        <v>383.753171171081</v>
      </c>
      <c r="G16" s="0" t="n">
        <f aca="false">-G12</f>
        <v>399.103298017925</v>
      </c>
      <c r="H16" s="0" t="n">
        <f aca="false">-H12</f>
        <v>415.067429938641</v>
      </c>
      <c r="I16" s="0" t="n">
        <f aca="false">-I12</f>
        <v>429.594789986494</v>
      </c>
      <c r="J16" s="0" t="n">
        <f aca="false">-J12</f>
        <v>444.630607636021</v>
      </c>
      <c r="K16" s="0" t="n">
        <f aca="false">-K12</f>
        <v>457.969525865102</v>
      </c>
      <c r="L16" s="0" t="n">
        <f aca="false">-L12</f>
        <v>471.708611641055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-424.3301568</v>
      </c>
      <c r="D17" s="4" t="n">
        <f aca="false">-D6*Assumptions!D32/100</f>
        <v>-447.668315424</v>
      </c>
      <c r="E17" s="4" t="n">
        <f aca="false">-E6*Assumptions!E32/100</f>
        <v>-455.36261459535</v>
      </c>
      <c r="F17" s="4" t="n">
        <f aca="false">-F6*Assumptions!F32/100</f>
        <v>-475.853932252141</v>
      </c>
      <c r="G17" s="4" t="n">
        <f aca="false">-G6*Assumptions!G32/100</f>
        <v>-478.923957621509</v>
      </c>
      <c r="H17" s="4" t="n">
        <f aca="false">-H6*Assumptions!H32/100</f>
        <v>-498.08091592637</v>
      </c>
      <c r="I17" s="4" t="n">
        <f aca="false">-I6*Assumptions!I32/100</f>
        <v>-515.513747983793</v>
      </c>
      <c r="J17" s="4" t="n">
        <f aca="false">-J6*Assumptions!J32/100</f>
        <v>-515.771504857784</v>
      </c>
      <c r="K17" s="4" t="n">
        <f aca="false">-K6*Assumptions!K32/100</f>
        <v>-531.244650003518</v>
      </c>
      <c r="L17" s="4" t="n">
        <f aca="false">-L6*Assumptions!L32/100</f>
        <v>-547.181989503624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-43.37487</v>
      </c>
      <c r="D18" s="4" t="n">
        <f aca="false">(D6-C6)*Assumptions!$B$37/100</f>
        <v>-36.46587285</v>
      </c>
      <c r="E18" s="4" t="n">
        <f aca="false">(E6-D6)*Assumptions!$B$37/100</f>
        <v>-34.9740871425</v>
      </c>
      <c r="F18" s="4" t="n">
        <f aca="false">(F6-E6)*Assumptions!$B$37/100</f>
        <v>-33.0505123496624</v>
      </c>
      <c r="G18" s="4" t="n">
        <f aca="false">(G6-F6)*Assumptions!$B$37/100</f>
        <v>-30.7002536936865</v>
      </c>
      <c r="H18" s="4" t="n">
        <f aca="false">(H6-G6)*Assumptions!$B$37/100</f>
        <v>-31.928263841434</v>
      </c>
      <c r="I18" s="4" t="n">
        <f aca="false">(I6-H6)*Assumptions!$B$37/100</f>
        <v>-29.0547200957048</v>
      </c>
      <c r="J18" s="4" t="n">
        <f aca="false">(J6-I6)*Assumptions!$B$37/100</f>
        <v>-30.0716352990545</v>
      </c>
      <c r="K18" s="4" t="n">
        <f aca="false">(K6-J6)*Assumptions!$B$37/100</f>
        <v>-26.6778364581613</v>
      </c>
      <c r="L18" s="4" t="n">
        <f aca="false">(L6-K6)*Assumptions!$B$37/100</f>
        <v>-27.4781715519061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1118.626743762</v>
      </c>
      <c r="D19" s="0" t="n">
        <f aca="false">D15+D16+D17+D18</f>
        <v>1196.44064709741</v>
      </c>
      <c r="E19" s="0" t="n">
        <f aca="false">E15+E16+E17+E18</f>
        <v>1285.35715843502</v>
      </c>
      <c r="F19" s="0" t="n">
        <f aca="false">F15+F16+F17+F18</f>
        <v>1358.28498504821</v>
      </c>
      <c r="G19" s="0" t="n">
        <f aca="false">G15+G16+G17+G18</f>
        <v>1432.25279552082</v>
      </c>
      <c r="H19" s="0" t="n">
        <f aca="false">H15+H16+H17+H18</f>
        <v>1489.54290734165</v>
      </c>
      <c r="I19" s="0" t="n">
        <f aca="false">I15+I16+I17+I18</f>
        <v>1545.66794207879</v>
      </c>
      <c r="J19" s="0" t="n">
        <f aca="false">J15+J16+J17+J18</f>
        <v>1617.55154435699</v>
      </c>
      <c r="K19" s="0" t="n">
        <f aca="false">K15+K16+K17+K18</f>
        <v>1670.37403858756</v>
      </c>
      <c r="L19" s="0" t="n">
        <f aca="false">L15+L16+L17+L18</f>
        <v>1720.48525974519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1026.26306767156</v>
      </c>
      <c r="D21" s="0" t="n">
        <f aca="false">D19*D20</f>
        <v>1007.02015579279</v>
      </c>
      <c r="E21" s="0" t="n">
        <f aca="false">E19*E20</f>
        <v>992.531563721752</v>
      </c>
      <c r="F21" s="0" t="n">
        <f aca="false">F19*F20</f>
        <v>962.243327219465</v>
      </c>
      <c r="G21" s="0" t="n">
        <f aca="false">G19*G20</f>
        <v>930.866044922525</v>
      </c>
      <c r="H21" s="0" t="n">
        <f aca="false">H19*H20</f>
        <v>888.165767632501</v>
      </c>
      <c r="I21" s="0" t="n">
        <f aca="false">I19*I20</f>
        <v>845.533295473593</v>
      </c>
      <c r="J21" s="0" t="n">
        <f aca="false">J19*J20</f>
        <v>811.794575745381</v>
      </c>
      <c r="K21" s="0" t="n">
        <f aca="false">K19*K20</f>
        <v>769.086609548546</v>
      </c>
      <c r="L21" s="0" t="n">
        <f aca="false">L19*L20</f>
        <v>726.751566821103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8960.25597454921</v>
      </c>
    </row>
    <row r="31" customFormat="false" ht="15" hidden="false" customHeight="false" outlineLevel="0" collapsed="false">
      <c r="A31" s="0" t="s">
        <v>135</v>
      </c>
      <c r="B31" s="0" t="n">
        <f aca="false">L19</f>
        <v>1720.48525974519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27130.7290959818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25807.2788961778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25807.2788961778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10901.2735023165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19861.5294768658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19735.4294768658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460.419687310231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-0.153157705107264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303.489497926421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377.051419651415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476.2964351074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14107.9791299105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238.576274166275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7.3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12392.82</v>
      </c>
      <c r="C6" s="0" t="n">
        <f aca="false">B6*(1+C5/100)</f>
        <v>13297.49586</v>
      </c>
      <c r="D6" s="0" t="n">
        <f aca="false">C6*(1+D5/100)</f>
        <v>14228.3205702</v>
      </c>
      <c r="E6" s="0" t="n">
        <f aca="false">D6*(1+E5/100)</f>
        <v>15153.161407263</v>
      </c>
      <c r="F6" s="0" t="n">
        <f aca="false">E6*(1+F5/100)</f>
        <v>16062.3510916988</v>
      </c>
      <c r="G6" s="0" t="n">
        <f aca="false">F6*(1+G5/100)</f>
        <v>16945.7804017422</v>
      </c>
      <c r="H6" s="0" t="n">
        <f aca="false">G6*(1+H5/100)</f>
        <v>17793.0694218293</v>
      </c>
      <c r="I6" s="0" t="n">
        <f aca="false">H6*(1+I5/100)</f>
        <v>18593.7575458116</v>
      </c>
      <c r="J6" s="0" t="n">
        <f aca="false">I6*(1+J5/100)</f>
        <v>19337.5078476441</v>
      </c>
      <c r="K6" s="0" t="n">
        <f aca="false">J6*(1+K5/100)</f>
        <v>20014.3206223117</v>
      </c>
      <c r="L6" s="0" t="n">
        <f aca="false">K6*(1+L5/100)</f>
        <v>20714.8218440926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15.5</v>
      </c>
      <c r="D7" s="4" t="n">
        <f aca="false">Assumptions!D42</f>
        <v>15.9</v>
      </c>
      <c r="E7" s="4" t="n">
        <f aca="false">Assumptions!E42</f>
        <v>16.3</v>
      </c>
      <c r="F7" s="4" t="n">
        <f aca="false">Assumptions!F42</f>
        <v>16.6</v>
      </c>
      <c r="G7" s="4" t="n">
        <f aca="false">Assumptions!G42</f>
        <v>16.9</v>
      </c>
      <c r="H7" s="4" t="n">
        <f aca="false">Assumptions!H42</f>
        <v>17</v>
      </c>
      <c r="I7" s="4" t="n">
        <f aca="false">Assumptions!I42</f>
        <v>17</v>
      </c>
      <c r="J7" s="4" t="n">
        <f aca="false">Assumptions!J42</f>
        <v>17</v>
      </c>
      <c r="K7" s="4" t="n">
        <f aca="false">Assumptions!K42</f>
        <v>17</v>
      </c>
      <c r="L7" s="4" t="n">
        <f aca="false">Assumptions!L42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2061.1118583</v>
      </c>
      <c r="D8" s="0" t="n">
        <f aca="false">D6*D7/100</f>
        <v>2262.3029706618</v>
      </c>
      <c r="E8" s="0" t="n">
        <f aca="false">E6*E7/100</f>
        <v>2469.96530938387</v>
      </c>
      <c r="F8" s="0" t="n">
        <f aca="false">F6*F7/100</f>
        <v>2666.350281222</v>
      </c>
      <c r="G8" s="0" t="n">
        <f aca="false">G6*G7/100</f>
        <v>2863.83688789443</v>
      </c>
      <c r="H8" s="0" t="n">
        <f aca="false">H6*H7/100</f>
        <v>3024.82180171099</v>
      </c>
      <c r="I8" s="0" t="n">
        <f aca="false">I6*I7/100</f>
        <v>3160.93878278798</v>
      </c>
      <c r="J8" s="0" t="n">
        <f aca="false">J6*J7/100</f>
        <v>3287.3763340995</v>
      </c>
      <c r="K8" s="0" t="n">
        <f aca="false">K6*K7/100</f>
        <v>3402.43450579298</v>
      </c>
      <c r="L8" s="0" t="n">
        <f aca="false">L6*L7/100</f>
        <v>3521.51971349574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0.3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-39.89248758</v>
      </c>
      <c r="D10" s="0" t="n">
        <f aca="false">-D6*D9/100</f>
        <v>-42.6849617106</v>
      </c>
      <c r="E10" s="0" t="n">
        <f aca="false">-E6*E9/100</f>
        <v>-45.459484221789</v>
      </c>
      <c r="F10" s="0" t="n">
        <f aca="false">-F6*F9/100</f>
        <v>-48.1870532750963</v>
      </c>
      <c r="G10" s="0" t="n">
        <f aca="false">-G6*G9/100</f>
        <v>-50.8373412052266</v>
      </c>
      <c r="H10" s="0" t="n">
        <f aca="false">-H6*H9/100</f>
        <v>-53.379208265488</v>
      </c>
      <c r="I10" s="0" t="n">
        <f aca="false">-I6*I9/100</f>
        <v>-55.7812726374349</v>
      </c>
      <c r="J10" s="0" t="n">
        <f aca="false">-J6*J9/100</f>
        <v>-58.0125235429323</v>
      </c>
      <c r="K10" s="0" t="n">
        <f aca="false">-K6*K9/100</f>
        <v>-60.042961866935</v>
      </c>
      <c r="L10" s="0" t="n">
        <f aca="false">-L6*L9/100</f>
        <v>-62.1444655322777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2021.21937072</v>
      </c>
      <c r="D11" s="0" t="n">
        <f aca="false">D8+D10+D24</f>
        <v>2219.6180089512</v>
      </c>
      <c r="E11" s="0" t="n">
        <f aca="false">E8+E10+E24</f>
        <v>2424.50582516208</v>
      </c>
      <c r="F11" s="0" t="n">
        <f aca="false">F8+F10+F24</f>
        <v>2618.1632279469</v>
      </c>
      <c r="G11" s="0" t="n">
        <f aca="false">G8+G10+G24</f>
        <v>2812.99954668921</v>
      </c>
      <c r="H11" s="0" t="n">
        <f aca="false">H8+H10+H24</f>
        <v>2971.4425934455</v>
      </c>
      <c r="I11" s="0" t="n">
        <f aca="false">I8+I10+I24</f>
        <v>3105.15751015054</v>
      </c>
      <c r="J11" s="0" t="n">
        <f aca="false">J8+J10+J24</f>
        <v>3229.36381055657</v>
      </c>
      <c r="K11" s="0" t="n">
        <f aca="false">K8+K10+K24</f>
        <v>3342.39154392605</v>
      </c>
      <c r="L11" s="0" t="n">
        <f aca="false">L8+L10+L24</f>
        <v>3459.37524796346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-325.78864857</v>
      </c>
      <c r="D12" s="4" t="n">
        <f aca="false">-D6*Assumptions!D45/100</f>
        <v>-355.708014255</v>
      </c>
      <c r="E12" s="4" t="n">
        <f aca="false">-E6*Assumptions!E45/100</f>
        <v>-378.829035181575</v>
      </c>
      <c r="F12" s="4" t="n">
        <f aca="false">-F6*Assumptions!F45/100</f>
        <v>-401.55877729247</v>
      </c>
      <c r="G12" s="4" t="n">
        <f aca="false">-G6*Assumptions!G45/100</f>
        <v>-423.644510043555</v>
      </c>
      <c r="H12" s="4" t="n">
        <f aca="false">-H6*Assumptions!H45/100</f>
        <v>-444.826735545733</v>
      </c>
      <c r="I12" s="4" t="n">
        <f aca="false">-I6*Assumptions!I45/100</f>
        <v>-464.843938645291</v>
      </c>
      <c r="J12" s="4" t="n">
        <f aca="false">-J6*Assumptions!J45/100</f>
        <v>-483.437696191103</v>
      </c>
      <c r="K12" s="4" t="n">
        <f aca="false">-K6*Assumptions!K45/100</f>
        <v>-500.358015557791</v>
      </c>
      <c r="L12" s="4" t="n">
        <f aca="false">-L6*Assumptions!L45/100</f>
        <v>-517.870546102314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1695.43072215</v>
      </c>
      <c r="D13" s="0" t="n">
        <f aca="false">D11+D12</f>
        <v>1863.9099946962</v>
      </c>
      <c r="E13" s="0" t="n">
        <f aca="false">E11+E12</f>
        <v>2045.67678998051</v>
      </c>
      <c r="F13" s="0" t="n">
        <f aca="false">F11+F12</f>
        <v>2216.60445065443</v>
      </c>
      <c r="G13" s="0" t="n">
        <f aca="false">G11+G12</f>
        <v>2389.35503664565</v>
      </c>
      <c r="H13" s="0" t="n">
        <f aca="false">H11+H12</f>
        <v>2526.61585789976</v>
      </c>
      <c r="I13" s="0" t="n">
        <f aca="false">I11+I12</f>
        <v>2640.31357150525</v>
      </c>
      <c r="J13" s="0" t="n">
        <f aca="false">J11+J12</f>
        <v>2745.92611436546</v>
      </c>
      <c r="K13" s="0" t="n">
        <f aca="false">K11+K12</f>
        <v>2842.03352836826</v>
      </c>
      <c r="L13" s="0" t="n">
        <f aca="false">L11+L12</f>
        <v>2941.50470186114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24.5</v>
      </c>
      <c r="D14" s="4" t="n">
        <f aca="false">Assumptions!D47</f>
        <v>24.5</v>
      </c>
      <c r="E14" s="4" t="n">
        <f aca="false">Assumptions!E47</f>
        <v>24.5</v>
      </c>
      <c r="F14" s="4" t="n">
        <f aca="false">Assumptions!F47</f>
        <v>24.5</v>
      </c>
      <c r="G14" s="4" t="n">
        <f aca="false">Assumptions!G47</f>
        <v>24.5</v>
      </c>
      <c r="H14" s="4" t="n">
        <f aca="false">Assumptions!H47</f>
        <v>24.5</v>
      </c>
      <c r="I14" s="4" t="n">
        <f aca="false">Assumptions!I47</f>
        <v>24.5</v>
      </c>
      <c r="J14" s="4" t="n">
        <f aca="false">Assumptions!J47</f>
        <v>24.5</v>
      </c>
      <c r="K14" s="4" t="n">
        <f aca="false">Assumptions!K47</f>
        <v>24.5</v>
      </c>
      <c r="L14" s="4" t="n">
        <f aca="false">Assumptions!L47</f>
        <v>24.5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1280.05019522325</v>
      </c>
      <c r="D15" s="0" t="n">
        <f aca="false">D13-MAX(0,D13)*D14/100</f>
        <v>1407.25204599563</v>
      </c>
      <c r="E15" s="0" t="n">
        <f aca="false">E13-MAX(0,E13)*E14/100</f>
        <v>1544.48597643528</v>
      </c>
      <c r="F15" s="0" t="n">
        <f aca="false">F13-MAX(0,F13)*F14/100</f>
        <v>1673.5363602441</v>
      </c>
      <c r="G15" s="0" t="n">
        <f aca="false">G13-MAX(0,G13)*G14/100</f>
        <v>1803.96305266747</v>
      </c>
      <c r="H15" s="0" t="n">
        <f aca="false">H13-MAX(0,H13)*H14/100</f>
        <v>1907.59497271432</v>
      </c>
      <c r="I15" s="0" t="n">
        <f aca="false">I13-MAX(0,I13)*I14/100</f>
        <v>1993.43674648647</v>
      </c>
      <c r="J15" s="0" t="n">
        <f aca="false">J13-MAX(0,J13)*J14/100</f>
        <v>2073.17421634593</v>
      </c>
      <c r="K15" s="0" t="n">
        <f aca="false">K13-MAX(0,K13)*K14/100</f>
        <v>2145.73531391803</v>
      </c>
      <c r="L15" s="0" t="n">
        <f aca="false">L13-MAX(0,L13)*L14/100</f>
        <v>2220.83604990516</v>
      </c>
    </row>
    <row r="16" customFormat="false" ht="15" hidden="false" customHeight="false" outlineLevel="0" collapsed="false">
      <c r="A16" s="0" t="s">
        <v>126</v>
      </c>
      <c r="C16" s="0" t="n">
        <f aca="false">-C12</f>
        <v>325.78864857</v>
      </c>
      <c r="D16" s="0" t="n">
        <f aca="false">-D12</f>
        <v>355.708014255</v>
      </c>
      <c r="E16" s="0" t="n">
        <f aca="false">-E12</f>
        <v>378.829035181575</v>
      </c>
      <c r="F16" s="0" t="n">
        <f aca="false">-F12</f>
        <v>401.55877729247</v>
      </c>
      <c r="G16" s="0" t="n">
        <f aca="false">-G12</f>
        <v>423.644510043555</v>
      </c>
      <c r="H16" s="0" t="n">
        <f aca="false">-H12</f>
        <v>444.826735545733</v>
      </c>
      <c r="I16" s="0" t="n">
        <f aca="false">-I12</f>
        <v>464.843938645291</v>
      </c>
      <c r="J16" s="0" t="n">
        <f aca="false">-J12</f>
        <v>483.437696191103</v>
      </c>
      <c r="K16" s="0" t="n">
        <f aca="false">-K12</f>
        <v>500.358015557791</v>
      </c>
      <c r="L16" s="0" t="n">
        <f aca="false">-L12</f>
        <v>517.870546102314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-425.51986752</v>
      </c>
      <c r="D17" s="4" t="n">
        <f aca="false">-D6*Assumptions!D46/100</f>
        <v>-469.5345788166</v>
      </c>
      <c r="E17" s="4" t="n">
        <f aca="false">-E6*Assumptions!E46/100</f>
        <v>-500.054326439679</v>
      </c>
      <c r="F17" s="4" t="n">
        <f aca="false">-F6*Assumptions!F46/100</f>
        <v>-513.995234934361</v>
      </c>
      <c r="G17" s="4" t="n">
        <f aca="false">-G6*Assumptions!G46/100</f>
        <v>-525.319192454009</v>
      </c>
      <c r="H17" s="4" t="n">
        <f aca="false">-H6*Assumptions!H46/100</f>
        <v>-533.79208265488</v>
      </c>
      <c r="I17" s="4" t="n">
        <f aca="false">-I6*Assumptions!I46/100</f>
        <v>-557.812726374349</v>
      </c>
      <c r="J17" s="4" t="n">
        <f aca="false">-J6*Assumptions!J46/100</f>
        <v>-580.125235429323</v>
      </c>
      <c r="K17" s="4" t="n">
        <f aca="false">-K6*Assumptions!K46/100</f>
        <v>-600.42961866935</v>
      </c>
      <c r="L17" s="4" t="n">
        <f aca="false">-L6*Assumptions!L46/100</f>
        <v>-621.444655322777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-45.233793</v>
      </c>
      <c r="D18" s="4" t="n">
        <f aca="false">(D6-C6)*Assumptions!$B$51/100</f>
        <v>-46.54123551</v>
      </c>
      <c r="E18" s="4" t="n">
        <f aca="false">(E6-D6)*Assumptions!$B$51/100</f>
        <v>-46.2420418531499</v>
      </c>
      <c r="F18" s="4" t="n">
        <f aca="false">(F6-E6)*Assumptions!$B$51/100</f>
        <v>-45.4594842217891</v>
      </c>
      <c r="G18" s="4" t="n">
        <f aca="false">(G6-F6)*Assumptions!$B$51/100</f>
        <v>-44.1714655021717</v>
      </c>
      <c r="H18" s="4" t="n">
        <f aca="false">(H6-G6)*Assumptions!$B$51/100</f>
        <v>-42.3644510043556</v>
      </c>
      <c r="I18" s="4" t="n">
        <f aca="false">(I6-H6)*Assumptions!$B$51/100</f>
        <v>-40.034406199116</v>
      </c>
      <c r="J18" s="4" t="n">
        <f aca="false">(J6-I6)*Assumptions!$B$51/100</f>
        <v>-37.1875150916234</v>
      </c>
      <c r="K18" s="4" t="n">
        <f aca="false">(K6-J6)*Assumptions!$B$51/100</f>
        <v>-33.8406387333771</v>
      </c>
      <c r="L18" s="4" t="n">
        <f aca="false">(L6-K6)*Assumptions!$B$51/100</f>
        <v>-35.0250610890453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1135.08518327325</v>
      </c>
      <c r="D19" s="0" t="n">
        <f aca="false">D15+D16+D17+D18</f>
        <v>1246.88424592403</v>
      </c>
      <c r="E19" s="0" t="n">
        <f aca="false">E15+E16+E17+E18</f>
        <v>1377.01864332403</v>
      </c>
      <c r="F19" s="0" t="n">
        <f aca="false">F15+F16+F17+F18</f>
        <v>1515.64041838042</v>
      </c>
      <c r="G19" s="0" t="n">
        <f aca="false">G15+G16+G17+G18</f>
        <v>1658.11690475484</v>
      </c>
      <c r="H19" s="0" t="n">
        <f aca="false">H15+H16+H17+H18</f>
        <v>1776.26517460082</v>
      </c>
      <c r="I19" s="0" t="n">
        <f aca="false">I15+I16+I17+I18</f>
        <v>1860.43355255829</v>
      </c>
      <c r="J19" s="0" t="n">
        <f aca="false">J15+J16+J17+J18</f>
        <v>1939.29916201608</v>
      </c>
      <c r="K19" s="0" t="n">
        <f aca="false">K15+K16+K17+K18</f>
        <v>2011.8230720731</v>
      </c>
      <c r="L19" s="0" t="n">
        <f aca="false">L15+L16+L17+L18</f>
        <v>2082.23687959566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1041.3625534617</v>
      </c>
      <c r="D21" s="0" t="n">
        <f aca="false">D19*D20</f>
        <v>1049.47752371352</v>
      </c>
      <c r="E21" s="0" t="n">
        <f aca="false">E19*E20</f>
        <v>1063.31104811091</v>
      </c>
      <c r="F21" s="0" t="n">
        <f aca="false">F19*F20</f>
        <v>1073.71788329009</v>
      </c>
      <c r="G21" s="0" t="n">
        <f aca="false">G19*G20</f>
        <v>1077.66221855204</v>
      </c>
      <c r="H21" s="0" t="n">
        <f aca="false">H19*H20</f>
        <v>1059.12888748787</v>
      </c>
      <c r="I21" s="0" t="n">
        <f aca="false">I19*I20</f>
        <v>1017.7208635049</v>
      </c>
      <c r="J21" s="0" t="n">
        <f aca="false">J19*J20</f>
        <v>973.268855613527</v>
      </c>
      <c r="K21" s="0" t="n">
        <f aca="false">K19*K20</f>
        <v>926.299229854279</v>
      </c>
      <c r="L21" s="0" t="n">
        <f aca="false">L19*L20</f>
        <v>879.559360457962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10161.5084240468</v>
      </c>
    </row>
    <row r="31" customFormat="false" ht="15" hidden="false" customHeight="false" outlineLevel="0" collapsed="false">
      <c r="A31" s="0" t="s">
        <v>135</v>
      </c>
      <c r="B31" s="0" t="n">
        <f aca="false">L19</f>
        <v>2082.23687959566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35745.0664330588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33315.7900735305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33315.7900735305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14072.9497673274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24234.4581913742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24108.3581913742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562.438367659906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0.0344835616985881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320.159475483789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450.633477407974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580.420659394036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17872.5332165294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280.090755439556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302.575768521681</v>
      </c>
      <c r="C4" s="0" t="n">
        <f aca="false">B4/Assumptions!$B$2-1</f>
        <v>-0.443477407122292</v>
      </c>
      <c r="D4" s="4" t="n">
        <f aca="false">Assumptions!$B$24</f>
        <v>0.2</v>
      </c>
      <c r="E4" s="4" t="n">
        <f aca="false">DCF_Bear!$B$43</f>
        <v>315.925161528647</v>
      </c>
      <c r="F4" s="4" t="n">
        <f aca="false">DCF_Bear!$B$47</f>
        <v>180.461449089295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460.419687310231</v>
      </c>
      <c r="C5" s="0" t="n">
        <f aca="false">B5/Assumptions!$B$2-1</f>
        <v>-0.153157705107264</v>
      </c>
      <c r="D5" s="4" t="n">
        <f aca="false">Assumptions!$B$38</f>
        <v>0.5</v>
      </c>
      <c r="E5" s="4" t="n">
        <f aca="false">DCF_Base!$B$43</f>
        <v>476.2964351074</v>
      </c>
      <c r="F5" s="4" t="n">
        <f aca="false">DCF_Base!$B$47</f>
        <v>238.576274166275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562.438367659906</v>
      </c>
      <c r="C6" s="0" t="n">
        <f aca="false">B6/Assumptions!$B$2-1</f>
        <v>0.0344835616985881</v>
      </c>
      <c r="D6" s="4" t="n">
        <f aca="false">Assumptions!$B$52</f>
        <v>0.3</v>
      </c>
      <c r="E6" s="4" t="n">
        <f aca="false">DCF_Bull!$B$43</f>
        <v>580.420659394036</v>
      </c>
      <c r="F6" s="4" t="n">
        <f aca="false">DCF_Bull!$B$47</f>
        <v>280.090755439556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459.456507657424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475.45944767764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-0.183332896452045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526.362607346924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239.407653532864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460.419687310231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407.989828224326</v>
      </c>
      <c r="C16" s="3" t="n">
        <v>10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358.010024460759</v>
      </c>
      <c r="C17" s="3" t="n">
        <v>11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318.624992287833</v>
      </c>
      <c r="C18" s="3" t="n">
        <v>12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238.576274166275</v>
      </c>
      <c r="C19" s="3" t="n">
        <v>15</v>
      </c>
    </row>
    <row r="21" customFormat="false" ht="15" hidden="false" customHeight="false" outlineLevel="0" collapsed="false">
      <c r="A21" s="2" t="s">
        <v>171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533.544107604228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533.544107604228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533.544107604228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533.544107604228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533.544107604228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495.279710721332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495.279710721332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495.279710721332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495.279710721332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495.279710721332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435.552612422114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453.153334258509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460.419687310231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460.419687310231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460.419687310231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381.287821289382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393.804387040137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407.989828224326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424.201761006257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428.623197219511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338.578408448038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347.754449342934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358.010024460759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369.547546468312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382.623404743539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2026-10-02T21:12:12Z</dcterms:created>
  <dc:creator>openpyxl</dc:creator>
  <dc:description/>
  <dc:language>en-NZ</dc:language>
  <cp:lastModifiedBy/>
  <dcterms:modified xsi:type="dcterms:W3CDTF">2026-10-02T21:12:12Z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