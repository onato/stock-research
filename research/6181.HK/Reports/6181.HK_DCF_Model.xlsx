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<sst xmlns="http://schemas.openxmlformats.org/spreadsheetml/2006/main" count="352" uniqueCount="168">
  <si>
    <t xml:space="preserve">Ticker</t>
  </si>
  <si>
    <t xml:space="preserve">6181.HK</t>
  </si>
  <si>
    <t xml:space="preserve">Company</t>
  </si>
  <si>
    <t xml:space="preserve">Laopu Gold Co., Ltd.</t>
  </si>
  <si>
    <t xml:space="preserve">Valuation date</t>
  </si>
  <si>
    <t xml:space="preserve">2026-10-24</t>
  </si>
  <si>
    <t xml:space="preserve">Current price</t>
  </si>
  <si>
    <t xml:space="preserve">Price as of</t>
  </si>
  <si>
    <t xml:space="preserve">2026-10-23T08:08:08Z (HKEX regular close 16:08 HKT; 52-week range 274.0-898.0)</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</si>
  <si>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</si>
  <si>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</si>
  <si>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</si>
  <si>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</si>
  <si>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</si>
  <si>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</si>
  <si>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</si>
  <si>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</si>
  <si>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</si>
  <si>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</si>
  <si>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</si>
  <si>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</si>
  <si>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</si>
  <si>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2026-10-23T13:49:56Z</t>
  </si>
  <si>
    <t xml:space="preserve">Drivers file</t>
  </si>
  <si>
    <t xml:space="preserve">6181.HK_Drivers.json</t>
  </si>
  <si>
    <t xml:space="preserve">Convention</t>
  </si>
  <si>
    <t xml:space="preserve">Percents stored as percents; formulas divide by 100. Blue = input, green = link, black = formula.</t>
  </si>
  <si>
    <t xml:space="preserve">Methodology</t>
  </si>
  <si>
    <t xml:space="preserve">summary: Value Laopu on what a 45-55 boutique Chinese heritage-gold luxury brand earns through a cycle, not on the FY2025 peak and not on the inventory-distorted FY2025 cash flow. The component build normalises revenue down in FY2027, resets EBITDA margin to the FY2024 level, charges the gold inventory as working capital that must be funded whenever revenue grows, treats the capitalised leases as operating cost, discounts in CNY at 10.5% with the same rate in every scenario, caps the terminal multiple at 15x (12x bear) for a cyclical discretionary retailer, and weights the bear at 30%. At roughly 7x trailing earnings the market is already pricing a sharp earnings decline; the finding is where the current price sits relative to the bear path, which is what a buyer is being asked to underwrite.
key_risks_to_valuation: Revenue normalisation deeper than the base -12% FY2027: a quarter of FY2025 demand may have been gold-investment or reseller arbitrage that does not return; Gold price direction, both ways: a further fall widens the fixed-price premium over spot and triggers inventory write-downs on RMB19bn of stock; a sharp rise compresses gross margin until the next list-price increase; Working-capital intensity: inventory at 271 days and ~50% of revenue means any return to growth re-absorbs cash at ~RMB0.45 per RMB1 of revenue, and the wc_capture assumption is the single most value-sensitive driver after the margin; Leverage and dilution: RMB6.8bn of short-term bank borrowings and two discounted H-share placements in 2025; a third placement would dilute the flat share count the model assumes; China discretionary-luxury cyclicality and the HK-listed-China equity risk premium, partly in the 10.5% CNY WACC and partly in the 30% bear weight; Short public history: listed June 2024, one full demand cycle, founder-family control; the normalised margin of 24-25% has never actually been observed on a flat-revenue year</t>
  </si>
  <si>
    <t xml:space="preserve">Data sources</t>
  </si>
  <si>
    <t xml:space="preserve">price: Yahoo Finance chart API for 6181.HK at inputs.price_as_of; 52-week range 274.0-898.0 HKD. FX from Yahoo CNYHKD=X, dated in inputs.fx_note.
financials: 6181.HK_Metrics.csv (FY2021-H1 FY2026, CNY millions) exported from core_metrics; owner-FCF component lines from 6181.HK_Annual_FY2025.txt (SBC :5501, lease interest :6825, income tax paid :5514, borrowings :7821-7827, D&amp;A split :5497-5499) and 6181.HK_HalfYear_H1-2026.txt (balance sheet :1490-1541, diluted shares :2075, lease payments :1675/:1892, D&amp;A split :1624-1626, pledged deposit :816).
qualitative: 6181.HK_Analysis.json (2026-10-24): business model, July 2026 profit alert and ~24% one-day fall, H1 FY2026 results, broker target cuts (Macquarie Underperform; CICC, JPMorgan, Citi, UBS cuts), Goldman Sachs Tmall tracking, interim 'Outlook and Prospect' section (6181.HK_HalfYear_H1-2026.txt:516-528, qualitative only, no numeric guidance).</t>
  </si>
  <si>
    <t xml:space="preserve">Scenario narrative: bear</t>
  </si>
  <si>
    <t xml:space="preserve">The 2025 boom half-reverses. Gold's correction turns the fixed-price model against the company: products look 60% dearer than by-weight gold, price-sensitive and investment-motivated buyers defect, Tmall volumes keep falling, and a China discretionary slowdown lands on top. Revenue falls to ~RMB22bn by FY2028 (still 2.6x FY2024), gross margin drops to ~36% with write-downs on inventory bought at 2025 gold prices, EBITDA margin 18-19%. The company liquidates inventory, which releases RMB4-5bn of cash in FY2027-28 and covers the bank debt, so this is a de-rating bear and not a solvency bear; a further discounted H-share placement to fund inventory would dilute and is the residual risk below this path.</t>
  </si>
  <si>
    <t xml:space="preserve">Scenario narrative: base</t>
  </si>
  <si>
    <t xml:space="preserve">Normalisation, not collapse. Laopu's FY2025 was a once-in-a-category year: SSS +160%, ~RMB1bn per boutique, gold up 55% and the fixed-price product trading at a discount to spot, which pulled investment and reseller demand into a luxury-jewelry P&amp;L. The base case takes FY2026 to ~RMB34bn (H2 slightly below the prior-year H2), lets FY2027 fall 12% as that demand unwinds and gold's 25% correction leaves the brand at a ~60% premium to spot, and then compounds at 5-6% on the things management can control: 10-12 relocations to larger flagship sites, 6-9 overseas stores, goldware, and a 730k-member loyalty base. EBITDA margin resets from the 29.7% H1 FY2026 peak to 24-25%, the FY2024 level. The RMB19bn gold inventory is treated as working capital that stops growing when revenue does; the ~RMB4.2bn of bank debt that funded it is deducted at face.</t>
  </si>
  <si>
    <t xml:space="preserve">Scenario narrative: bull</t>
  </si>
  <si>
    <t xml:space="preserve">The Q2 FY2026 online air-pocket was reseller destocking, end-customer demand (84.6% overlap with LV/Hermes/Cartier buyers) holds, and gold stabilises so the premium-to-spot debate fades. H2 FY2026 grows 12%, there is no FY2027 down year, overseas scales as a second engine and goldware adds a non-wearable category; margins hold 26.5% on flagship productivity. Revenue reaches ~RMB68bn by FY2035, about 2.5x FY2025, which is the sell-side bull framing (JPMorgan, Citi) of a cyclical pause in a structural luxury-brand story. Requires three independent things to go right (demand, gold, overseas), hence the 20% weight.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</si>
  <si>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</si>
  <si>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</si>
  <si>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</si>
  <si>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</si>
  <si>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</si>
  <si>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</si>
  <si>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</si>
  <si>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</si>
  <si>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</si>
  <si>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</si>
  <si>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</si>
  <si>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</si>
  <si>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</si>
  <si>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</si>
  <si>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</si>
  <si>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</si>
  <si>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</si>
  <si>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</si>
  <si>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</si>
  <si>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</si>
  <si>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</si>
  <si>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</si>
  <si>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</si>
  <si>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</si>
  <si>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</si>
  <si>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</si>
  <si>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</si>
  <si>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CashGeneratedFromOperations</t>
  </si>
  <si>
    <t xml:space="preserve">LeasePrincipalPaid</t>
  </si>
  <si>
    <t xml:space="preserve">OnlineSales</t>
  </si>
  <si>
    <t xml:space="preserve">OnlineSalesPct</t>
  </si>
  <si>
    <t xml:space="preserve">SameStoreSalesGrowth</t>
  </si>
  <si>
    <t xml:space="preserve">SegmentRevenueRetail</t>
  </si>
  <si>
    <t xml:space="preserve">SharesInIssuePeriodEnd</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</si>
  <si>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</si>
  <si>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</si>
  <si>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</si>
  <si>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</si>
  <si>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</si>
  <si>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</si>
  <si>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</si>
  <si>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</si>
  <si>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</si>
  <si>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</si>
  <si>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</si>
  <si>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</si>
  <si>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</si>
  <si>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</si>
  <si>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</si>
  <si>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</si>
  <si>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</si>
  <si>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</si>
  <si>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</si>
  <si>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</si>
  <si>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</si>
  <si>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</si>
  <si>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</si>
  <si>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</si>
  <si>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</si>
  <si>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</si>
  <si>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</si>
  <si>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</si>
  <si>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</si>
  <si>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</si>
  <si>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</si>
  <si>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</si>
  <si>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</si>
  <si>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</si>
  <si>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</si>
  <si>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</si>
  <si>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</si>
  <si>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</si>
  <si>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</si>
  <si>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</si>
  <si>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</si>
  <si>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</si>
  <si>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6181.HK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</si>
  <si>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</si>
  <si>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</si>
  <si>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</si>
  <si>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</si>
  <si>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</si>
  <si>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</si>
  <si>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</si>
  <si>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</si>
  <si>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</si>
  <si>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</si>
  <si>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</si>
  <si>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</si>
  <si>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</si>
  <si>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</si>
  <si>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</si>
  <si>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</si>
  <si>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</si>
  <si>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</si>
  <si>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</si>
  <si>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</si>
  <si>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</si>
  <si>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</si>
  <si>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</si>
  <si>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</si>
  <si>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</si>
  <si>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</si>
  <si>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</si>
  <si>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</si>
  <si>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</si>
  <si>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</si>
  <si>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6181.HK owner-FCF component DCF: base case (millions, CNY)</t>
  </si>
  <si>
    <t xml:space="preserve">6181.HK owner-FCF component DCF: bull case (millions, CNY)</t>
  </si>
  <si>
    <t xml:space="preserve">6181.HK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</si>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</sst>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284.6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1264.603</v>
      </c>
      <c r="D2" s="0" t="n">
        <v>521.001</v>
      </c>
      <c r="E2" s="0" t="n">
        <v>41.2</v>
      </c>
      <c r="I2" s="0" t="n">
        <v>113.88</v>
      </c>
      <c r="J2" s="0" t="n">
        <v>9</v>
      </c>
      <c r="K2" s="0" t="n">
        <v>0.83</v>
      </c>
      <c r="O2" s="0" t="n">
        <v>770.312</v>
      </c>
      <c r="P2" s="0" t="n">
        <v>1168.97</v>
      </c>
      <c r="Q2" s="0" t="n">
        <v>398.658</v>
      </c>
      <c r="AA2" s="0" t="s">
        <v>18</v>
      </c>
      <c r="AB2" s="0" t="s">
        <v>14</v>
      </c>
    </row>
    <row r="3" customFormat="false" ht="15" hidden="false" customHeight="false" outlineLevel="0" collapsed="false">
      <c r="A3" s="0" t="s">
        <v>72</v>
      </c>
      <c r="B3" s="0" t="n">
        <v>1294.22</v>
      </c>
      <c r="D3" s="0" t="n">
        <v>542.138</v>
      </c>
      <c r="E3" s="0" t="n">
        <v>41.9</v>
      </c>
      <c r="I3" s="0" t="n">
        <v>94.529</v>
      </c>
      <c r="J3" s="0" t="n">
        <v>7.3</v>
      </c>
      <c r="K3" s="0" t="n">
        <v>0.69</v>
      </c>
      <c r="O3" s="0" t="n">
        <v>869.569</v>
      </c>
      <c r="P3" s="0" t="n">
        <v>1291.212</v>
      </c>
      <c r="Q3" s="0" t="n">
        <v>421.643</v>
      </c>
      <c r="S3" s="0" t="n">
        <v>60.282</v>
      </c>
      <c r="AA3" s="0" t="s">
        <v>18</v>
      </c>
      <c r="AB3" s="0" t="s">
        <v>14</v>
      </c>
    </row>
    <row r="4" customFormat="false" ht="15" hidden="false" customHeight="false" outlineLevel="0" collapsed="false">
      <c r="A4" s="0" t="s">
        <v>73</v>
      </c>
      <c r="B4" s="0" t="n">
        <v>3179.564</v>
      </c>
      <c r="C4" s="0" t="n">
        <v>1847.607</v>
      </c>
      <c r="D4" s="0" t="n">
        <v>1331.957</v>
      </c>
      <c r="E4" s="0" t="n">
        <v>41.9</v>
      </c>
      <c r="F4" s="0" t="n">
        <v>571.651</v>
      </c>
      <c r="G4" s="0" t="n">
        <v>18</v>
      </c>
      <c r="H4" s="0" t="n">
        <v>691.418</v>
      </c>
      <c r="I4" s="0" t="n">
        <v>416.302</v>
      </c>
      <c r="J4" s="0" t="n">
        <v>13.1</v>
      </c>
      <c r="K4" s="0" t="n">
        <v>3.03</v>
      </c>
      <c r="L4" s="0" t="n">
        <v>-29.196</v>
      </c>
      <c r="M4" s="0" t="n">
        <v>59.541</v>
      </c>
      <c r="N4" s="0" t="n">
        <v>-88.737</v>
      </c>
      <c r="O4" s="0" t="n">
        <v>1515.416</v>
      </c>
      <c r="P4" s="0" t="n">
        <v>2158.547</v>
      </c>
      <c r="Q4" s="0" t="n">
        <v>643.131</v>
      </c>
      <c r="R4" s="0" t="n">
        <v>127.754</v>
      </c>
      <c r="S4" s="0" t="n">
        <v>69.838</v>
      </c>
      <c r="T4" s="0" t="n">
        <v>137.426</v>
      </c>
      <c r="U4" s="0" t="n">
        <v>8.633</v>
      </c>
      <c r="AA4" s="0" t="s">
        <v>18</v>
      </c>
      <c r="AB4" s="0" t="s">
        <v>14</v>
      </c>
      <c r="AC4" s="0" t="n">
        <v>97.363</v>
      </c>
      <c r="AD4" s="0" t="n">
        <v>89.69</v>
      </c>
      <c r="AI4" s="0" t="n">
        <v>142.643</v>
      </c>
    </row>
    <row r="5" customFormat="false" ht="15" hidden="false" customHeight="false" outlineLevel="0" collapsed="false">
      <c r="A5" s="0" t="s">
        <v>74</v>
      </c>
      <c r="B5" s="0" t="n">
        <v>8505.56</v>
      </c>
      <c r="C5" s="0" t="n">
        <v>5004.34</v>
      </c>
      <c r="D5" s="0" t="n">
        <v>3501.22</v>
      </c>
      <c r="E5" s="0" t="n">
        <v>41.2</v>
      </c>
      <c r="F5" s="0" t="n">
        <v>1976.981</v>
      </c>
      <c r="G5" s="0" t="n">
        <v>23.2</v>
      </c>
      <c r="H5" s="0" t="n">
        <v>2158.324</v>
      </c>
      <c r="I5" s="0" t="n">
        <v>1473.106</v>
      </c>
      <c r="J5" s="0" t="n">
        <v>17.3</v>
      </c>
      <c r="K5" s="0" t="n">
        <v>9.47</v>
      </c>
      <c r="L5" s="0" t="n">
        <v>-1228.472</v>
      </c>
      <c r="M5" s="0" t="n">
        <v>70.919</v>
      </c>
      <c r="N5" s="0" t="n">
        <v>-1299.391</v>
      </c>
      <c r="O5" s="0" t="n">
        <v>3920.323</v>
      </c>
      <c r="P5" s="0" t="n">
        <v>6336.758</v>
      </c>
      <c r="Q5" s="0" t="n">
        <v>2416.435</v>
      </c>
      <c r="R5" s="0" t="n">
        <v>1373.461</v>
      </c>
      <c r="S5" s="0" t="n">
        <v>732.65</v>
      </c>
      <c r="T5" s="0" t="n">
        <v>155.538</v>
      </c>
      <c r="U5" s="0" t="n">
        <v>28.626</v>
      </c>
      <c r="AA5" s="0" t="s">
        <v>18</v>
      </c>
      <c r="AB5" s="0" t="s">
        <v>14</v>
      </c>
      <c r="AC5" s="0" t="n">
        <v>-843.02</v>
      </c>
      <c r="AD5" s="0" t="n">
        <v>150.812</v>
      </c>
      <c r="AE5" s="0" t="n">
        <v>1055.227</v>
      </c>
      <c r="AF5" s="0" t="n">
        <v>12.4</v>
      </c>
      <c r="AG5" s="0" t="n">
        <v>120.9</v>
      </c>
      <c r="AH5" s="0" t="n">
        <v>7450.333</v>
      </c>
      <c r="AI5" s="0" t="n">
        <v>168.367</v>
      </c>
    </row>
    <row r="6" customFormat="false" ht="15" hidden="false" customHeight="false" outlineLevel="0" collapsed="false">
      <c r="A6" s="0" t="s">
        <v>75</v>
      </c>
      <c r="B6" s="0" t="n">
        <v>27303.184</v>
      </c>
      <c r="C6" s="0" t="n">
        <v>17029.455</v>
      </c>
      <c r="D6" s="0" t="n">
        <v>10273.729</v>
      </c>
      <c r="E6" s="0" t="n">
        <v>37.6</v>
      </c>
      <c r="F6" s="0" t="n">
        <v>6523.007</v>
      </c>
      <c r="G6" s="0" t="n">
        <v>23.9</v>
      </c>
      <c r="H6" s="0" t="n">
        <v>6862.221</v>
      </c>
      <c r="I6" s="0" t="n">
        <v>4867.936</v>
      </c>
      <c r="J6" s="0" t="n">
        <v>17.8</v>
      </c>
      <c r="K6" s="0" t="n">
        <v>28.25</v>
      </c>
      <c r="L6" s="0" t="n">
        <v>-6848.198</v>
      </c>
      <c r="M6" s="0" t="n">
        <v>145.128</v>
      </c>
      <c r="N6" s="0" t="n">
        <v>-6993.326</v>
      </c>
      <c r="O6" s="0" t="n">
        <v>11095.146</v>
      </c>
      <c r="P6" s="0" t="n">
        <v>21252.523</v>
      </c>
      <c r="Q6" s="0" t="n">
        <v>10157.377</v>
      </c>
      <c r="R6" s="0" t="n">
        <v>6264.277</v>
      </c>
      <c r="S6" s="0" t="n">
        <v>1918.109</v>
      </c>
      <c r="T6" s="0" t="n">
        <v>172.316</v>
      </c>
      <c r="U6" s="0" t="n">
        <v>161.392</v>
      </c>
      <c r="AA6" s="0" t="s">
        <v>18</v>
      </c>
      <c r="AB6" s="0" t="s">
        <v>14</v>
      </c>
      <c r="AC6" s="0" t="n">
        <v>-5505.389</v>
      </c>
      <c r="AD6" s="0" t="n">
        <v>234.467</v>
      </c>
      <c r="AE6" s="0" t="n">
        <v>4657.163</v>
      </c>
      <c r="AF6" s="0" t="n">
        <v>17.1</v>
      </c>
      <c r="AG6" s="0" t="n">
        <v>160.6</v>
      </c>
      <c r="AH6" s="0" t="n">
        <v>22646.021</v>
      </c>
      <c r="AI6" s="0" t="n">
        <v>176.389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284.6</v>
      </c>
    </row>
    <row r="3" customFormat="false" ht="15" hidden="false" customHeight="false" outlineLevel="0" collapsed="false">
      <c r="A3" s="0" t="s">
        <v>79</v>
      </c>
      <c r="B3" s="3" t="n">
        <v>176.856</v>
      </c>
    </row>
    <row r="4" customFormat="false" ht="15" hidden="false" customHeight="false" outlineLevel="0" collapsed="false">
      <c r="A4" s="0" t="s">
        <v>80</v>
      </c>
      <c r="B4" s="3" t="n">
        <v>4151.615</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27303.184</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1.1746</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17</v>
      </c>
      <c r="D13" s="3" t="n">
        <v>-25</v>
      </c>
      <c r="E13" s="3" t="n">
        <v>-8</v>
      </c>
      <c r="F13" s="3" t="n">
        <v>0</v>
      </c>
      <c r="G13" s="3" t="n">
        <v>2</v>
      </c>
      <c r="H13" s="3" t="n">
        <v>3</v>
      </c>
      <c r="I13" s="3" t="n">
        <v>3</v>
      </c>
      <c r="J13" s="3" t="n">
        <v>3</v>
      </c>
      <c r="K13" s="3" t="n">
        <v>2.5</v>
      </c>
      <c r="L13" s="3" t="n">
        <v>2.5</v>
      </c>
    </row>
    <row r="14" customFormat="false" ht="15" hidden="false" customHeight="false" outlineLevel="0" collapsed="false">
      <c r="A14" s="0" t="s">
        <v>100</v>
      </c>
      <c r="C14" s="3" t="n">
        <v>26</v>
      </c>
      <c r="D14" s="3" t="n">
        <v>19</v>
      </c>
      <c r="E14" s="3" t="n">
        <v>18</v>
      </c>
      <c r="F14" s="3" t="n">
        <v>18</v>
      </c>
      <c r="G14" s="3" t="n">
        <v>18.5</v>
      </c>
      <c r="H14" s="3" t="n">
        <v>19</v>
      </c>
      <c r="I14" s="3" t="n">
        <v>19</v>
      </c>
      <c r="J14" s="3" t="n">
        <v>19</v>
      </c>
      <c r="K14" s="3" t="n">
        <v>19</v>
      </c>
      <c r="L14" s="3" t="n">
        <v>19</v>
      </c>
    </row>
    <row r="15" customFormat="false" ht="15" hidden="false" customHeight="false" outlineLevel="0" collapsed="false">
      <c r="A15" s="0" t="s">
        <v>101</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102</v>
      </c>
      <c r="C16" s="3" t="n">
        <v>0.85</v>
      </c>
      <c r="D16" s="3" t="n">
        <v>1.2</v>
      </c>
      <c r="E16" s="3" t="n">
        <v>1.3</v>
      </c>
      <c r="F16" s="3" t="n">
        <v>1.3</v>
      </c>
      <c r="G16" s="3" t="n">
        <v>1.3</v>
      </c>
      <c r="H16" s="3" t="n">
        <v>1.3</v>
      </c>
      <c r="I16" s="3" t="n">
        <v>1.3</v>
      </c>
      <c r="J16" s="3" t="n">
        <v>1.3</v>
      </c>
      <c r="K16" s="3" t="n">
        <v>1.3</v>
      </c>
      <c r="L16" s="3" t="n">
        <v>1.3</v>
      </c>
    </row>
    <row r="17" customFormat="false" ht="15" hidden="false" customHeight="false" outlineLevel="0" collapsed="false">
      <c r="A17" s="0" t="s">
        <v>103</v>
      </c>
      <c r="C17" s="3" t="n">
        <v>0.4</v>
      </c>
      <c r="D17" s="3" t="n">
        <v>0.6</v>
      </c>
      <c r="E17" s="3" t="n">
        <v>0.65</v>
      </c>
      <c r="F17" s="3" t="n">
        <v>0.65</v>
      </c>
      <c r="G17" s="3" t="n">
        <v>0.65</v>
      </c>
      <c r="H17" s="3" t="n">
        <v>0.65</v>
      </c>
      <c r="I17" s="3" t="n">
        <v>0.65</v>
      </c>
      <c r="J17" s="3" t="n">
        <v>0.65</v>
      </c>
      <c r="K17" s="3" t="n">
        <v>0.65</v>
      </c>
      <c r="L17" s="3" t="n">
        <v>0.65</v>
      </c>
    </row>
    <row r="18" customFormat="false" ht="15" hidden="false" customHeight="false" outlineLevel="0" collapsed="false">
      <c r="A18" s="0" t="s">
        <v>104</v>
      </c>
      <c r="C18" s="3" t="n">
        <v>0.9</v>
      </c>
      <c r="D18" s="3" t="n">
        <v>0.8</v>
      </c>
      <c r="E18" s="3" t="n">
        <v>0.7</v>
      </c>
      <c r="F18" s="3" t="n">
        <v>0.7</v>
      </c>
      <c r="G18" s="3" t="n">
        <v>0.7</v>
      </c>
      <c r="H18" s="3" t="n">
        <v>0.7</v>
      </c>
      <c r="I18" s="3" t="n">
        <v>0.7</v>
      </c>
      <c r="J18" s="3" t="n">
        <v>0.7</v>
      </c>
      <c r="K18" s="3" t="n">
        <v>0.7</v>
      </c>
      <c r="L18" s="3" t="n">
        <v>0.7</v>
      </c>
    </row>
    <row r="19" customFormat="false" ht="15" hidden="false" customHeight="false" outlineLevel="0" collapsed="false">
      <c r="A19" s="0" t="s">
        <v>105</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106</v>
      </c>
      <c r="B20" s="3" t="n">
        <v>10.5</v>
      </c>
    </row>
    <row r="21" customFormat="false" ht="15" hidden="false" customHeight="false" outlineLevel="0" collapsed="false">
      <c r="A21" s="0" t="s">
        <v>107</v>
      </c>
      <c r="B21" s="3" t="n">
        <v>2</v>
      </c>
    </row>
    <row r="22" customFormat="false" ht="15" hidden="false" customHeight="false" outlineLevel="0" collapsed="false">
      <c r="A22" s="0" t="s">
        <v>108</v>
      </c>
      <c r="B22" s="3" t="n">
        <v>12</v>
      </c>
    </row>
    <row r="23" customFormat="false" ht="15" hidden="false" customHeight="false" outlineLevel="0" collapsed="false">
      <c r="A23" s="0" t="s">
        <v>109</v>
      </c>
      <c r="B23" s="3" t="n">
        <v>-50</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24.5</v>
      </c>
      <c r="D27" s="3" t="n">
        <v>-12</v>
      </c>
      <c r="E27" s="3" t="n">
        <v>2</v>
      </c>
      <c r="F27" s="3" t="n">
        <v>5</v>
      </c>
      <c r="G27" s="3" t="n">
        <v>6</v>
      </c>
      <c r="H27" s="3" t="n">
        <v>6</v>
      </c>
      <c r="I27" s="3" t="n">
        <v>5</v>
      </c>
      <c r="J27" s="3" t="n">
        <v>4.5</v>
      </c>
      <c r="K27" s="3" t="n">
        <v>4</v>
      </c>
      <c r="L27" s="3" t="n">
        <v>3.5</v>
      </c>
    </row>
    <row r="28" customFormat="false" ht="15" hidden="false" customHeight="false" outlineLevel="0" collapsed="false">
      <c r="A28" s="0" t="s">
        <v>100</v>
      </c>
      <c r="C28" s="3" t="n">
        <v>28</v>
      </c>
      <c r="D28" s="3" t="n">
        <v>24.5</v>
      </c>
      <c r="E28" s="3" t="n">
        <v>24</v>
      </c>
      <c r="F28" s="3" t="n">
        <v>24</v>
      </c>
      <c r="G28" s="3" t="n">
        <v>24.5</v>
      </c>
      <c r="H28" s="3" t="n">
        <v>24.5</v>
      </c>
      <c r="I28" s="3" t="n">
        <v>25</v>
      </c>
      <c r="J28" s="3" t="n">
        <v>25</v>
      </c>
      <c r="K28" s="3" t="n">
        <v>25</v>
      </c>
      <c r="L28" s="3" t="n">
        <v>25</v>
      </c>
    </row>
    <row r="29" customFormat="false" ht="15" hidden="false" customHeight="false" outlineLevel="0" collapsed="false">
      <c r="A29" s="0" t="s">
        <v>101</v>
      </c>
      <c r="C29" s="3" t="n">
        <v>0.35</v>
      </c>
      <c r="D29" s="3" t="n">
        <v>0.4</v>
      </c>
      <c r="E29" s="3" t="n">
        <v>0.4</v>
      </c>
      <c r="F29" s="3" t="n">
        <v>0.4</v>
      </c>
      <c r="G29" s="3" t="n">
        <v>0.4</v>
      </c>
      <c r="H29" s="3" t="n">
        <v>0.4</v>
      </c>
      <c r="I29" s="3" t="n">
        <v>0.4</v>
      </c>
      <c r="J29" s="3" t="n">
        <v>0.4</v>
      </c>
      <c r="K29" s="3" t="n">
        <v>0.4</v>
      </c>
      <c r="L29" s="3" t="n">
        <v>0.4</v>
      </c>
    </row>
    <row r="30" customFormat="false" ht="15" hidden="false" customHeight="false" outlineLevel="0" collapsed="false">
      <c r="A30" s="0" t="s">
        <v>102</v>
      </c>
      <c r="C30" s="3" t="n">
        <v>0.8</v>
      </c>
      <c r="D30" s="3" t="n">
        <v>0.95</v>
      </c>
      <c r="E30" s="3" t="n">
        <v>1</v>
      </c>
      <c r="F30" s="3" t="n">
        <v>1</v>
      </c>
      <c r="G30" s="3" t="n">
        <v>1</v>
      </c>
      <c r="H30" s="3" t="n">
        <v>1</v>
      </c>
      <c r="I30" s="3" t="n">
        <v>1</v>
      </c>
      <c r="J30" s="3" t="n">
        <v>1</v>
      </c>
      <c r="K30" s="3" t="n">
        <v>1</v>
      </c>
      <c r="L30" s="3" t="n">
        <v>1</v>
      </c>
    </row>
    <row r="31" customFormat="false" ht="15" hidden="false" customHeight="false" outlineLevel="0" collapsed="false">
      <c r="A31" s="0" t="s">
        <v>103</v>
      </c>
      <c r="C31" s="3" t="n">
        <v>0.4</v>
      </c>
      <c r="D31" s="3" t="n">
        <v>0.5</v>
      </c>
      <c r="E31" s="3" t="n">
        <v>0.55</v>
      </c>
      <c r="F31" s="3" t="n">
        <v>0.55</v>
      </c>
      <c r="G31" s="3" t="n">
        <v>0.55</v>
      </c>
      <c r="H31" s="3" t="n">
        <v>0.55</v>
      </c>
      <c r="I31" s="3" t="n">
        <v>0.55</v>
      </c>
      <c r="J31" s="3" t="n">
        <v>0.55</v>
      </c>
      <c r="K31" s="3" t="n">
        <v>0.55</v>
      </c>
      <c r="L31" s="3" t="n">
        <v>0.55</v>
      </c>
    </row>
    <row r="32" customFormat="false" ht="15" hidden="false" customHeight="false" outlineLevel="0" collapsed="false">
      <c r="A32" s="0" t="s">
        <v>104</v>
      </c>
      <c r="C32" s="3" t="n">
        <v>0.8</v>
      </c>
      <c r="D32" s="3" t="n">
        <v>0.9</v>
      </c>
      <c r="E32" s="3" t="n">
        <v>0.8</v>
      </c>
      <c r="F32" s="3" t="n">
        <v>0.8</v>
      </c>
      <c r="G32" s="3" t="n">
        <v>0.7</v>
      </c>
      <c r="H32" s="3" t="n">
        <v>0.7</v>
      </c>
      <c r="I32" s="3" t="n">
        <v>0.7</v>
      </c>
      <c r="J32" s="3" t="n">
        <v>0.7</v>
      </c>
      <c r="K32" s="3" t="n">
        <v>0.7</v>
      </c>
      <c r="L32" s="3" t="n">
        <v>0.7</v>
      </c>
    </row>
    <row r="33" customFormat="false" ht="15" hidden="false" customHeight="false" outlineLevel="0" collapsed="false">
      <c r="A33" s="0" t="s">
        <v>105</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106</v>
      </c>
      <c r="B34" s="3" t="n">
        <v>10.5</v>
      </c>
    </row>
    <row r="35" customFormat="false" ht="15" hidden="false" customHeight="false" outlineLevel="0" collapsed="false">
      <c r="A35" s="0" t="s">
        <v>107</v>
      </c>
      <c r="B35" s="3" t="n">
        <v>3</v>
      </c>
    </row>
    <row r="36" customFormat="false" ht="15" hidden="false" customHeight="false" outlineLevel="0" collapsed="false">
      <c r="A36" s="0" t="s">
        <v>108</v>
      </c>
      <c r="B36" s="3" t="n">
        <v>15</v>
      </c>
    </row>
    <row r="37" customFormat="false" ht="15" hidden="false" customHeight="false" outlineLevel="0" collapsed="false">
      <c r="A37" s="0" t="s">
        <v>109</v>
      </c>
      <c r="B37" s="3" t="n">
        <v>-45</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34</v>
      </c>
      <c r="D41" s="3" t="n">
        <v>5</v>
      </c>
      <c r="E41" s="3" t="n">
        <v>8</v>
      </c>
      <c r="F41" s="3" t="n">
        <v>8</v>
      </c>
      <c r="G41" s="3" t="n">
        <v>8</v>
      </c>
      <c r="H41" s="3" t="n">
        <v>7</v>
      </c>
      <c r="I41" s="3" t="n">
        <v>6</v>
      </c>
      <c r="J41" s="3" t="n">
        <v>5</v>
      </c>
      <c r="K41" s="3" t="n">
        <v>4.5</v>
      </c>
      <c r="L41" s="3" t="n">
        <v>4</v>
      </c>
    </row>
    <row r="42" customFormat="false" ht="15" hidden="false" customHeight="false" outlineLevel="0" collapsed="false">
      <c r="A42" s="0" t="s">
        <v>100</v>
      </c>
      <c r="C42" s="3" t="n">
        <v>29</v>
      </c>
      <c r="D42" s="3" t="n">
        <v>27</v>
      </c>
      <c r="E42" s="3" t="n">
        <v>26.5</v>
      </c>
      <c r="F42" s="3" t="n">
        <v>26.5</v>
      </c>
      <c r="G42" s="3" t="n">
        <v>26.5</v>
      </c>
      <c r="H42" s="3" t="n">
        <v>26.5</v>
      </c>
      <c r="I42" s="3" t="n">
        <v>26.5</v>
      </c>
      <c r="J42" s="3" t="n">
        <v>26.5</v>
      </c>
      <c r="K42" s="3" t="n">
        <v>26.5</v>
      </c>
      <c r="L42" s="3" t="n">
        <v>26.5</v>
      </c>
    </row>
    <row r="43" customFormat="false" ht="15" hidden="false" customHeight="false" outlineLevel="0" collapsed="false">
      <c r="A43" s="0" t="s">
        <v>101</v>
      </c>
      <c r="C43" s="3" t="n">
        <v>0.35</v>
      </c>
      <c r="D43" s="3" t="n">
        <v>0.4</v>
      </c>
      <c r="E43" s="3" t="n">
        <v>0.4</v>
      </c>
      <c r="F43" s="3" t="n">
        <v>0.4</v>
      </c>
      <c r="G43" s="3" t="n">
        <v>0.4</v>
      </c>
      <c r="H43" s="3" t="n">
        <v>0.4</v>
      </c>
      <c r="I43" s="3" t="n">
        <v>0.4</v>
      </c>
      <c r="J43" s="3" t="n">
        <v>0.4</v>
      </c>
      <c r="K43" s="3" t="n">
        <v>0.4</v>
      </c>
      <c r="L43" s="3" t="n">
        <v>0.4</v>
      </c>
    </row>
    <row r="44" customFormat="false" ht="15" hidden="false" customHeight="false" outlineLevel="0" collapsed="false">
      <c r="A44" s="0" t="s">
        <v>102</v>
      </c>
      <c r="C44" s="3" t="n">
        <v>0.75</v>
      </c>
      <c r="D44" s="3" t="n">
        <v>0.8</v>
      </c>
      <c r="E44" s="3" t="n">
        <v>0.85</v>
      </c>
      <c r="F44" s="3" t="n">
        <v>0.85</v>
      </c>
      <c r="G44" s="3" t="n">
        <v>0.85</v>
      </c>
      <c r="H44" s="3" t="n">
        <v>0.85</v>
      </c>
      <c r="I44" s="3" t="n">
        <v>0.85</v>
      </c>
      <c r="J44" s="3" t="n">
        <v>0.85</v>
      </c>
      <c r="K44" s="3" t="n">
        <v>0.85</v>
      </c>
      <c r="L44" s="3" t="n">
        <v>0.85</v>
      </c>
    </row>
    <row r="45" customFormat="false" ht="15" hidden="false" customHeight="false" outlineLevel="0" collapsed="false">
      <c r="A45" s="0" t="s">
        <v>103</v>
      </c>
      <c r="C45" s="3" t="n">
        <v>0.4</v>
      </c>
      <c r="D45" s="3" t="n">
        <v>0.45</v>
      </c>
      <c r="E45" s="3" t="n">
        <v>0.5</v>
      </c>
      <c r="F45" s="3" t="n">
        <v>0.5</v>
      </c>
      <c r="G45" s="3" t="n">
        <v>0.5</v>
      </c>
      <c r="H45" s="3" t="n">
        <v>0.5</v>
      </c>
      <c r="I45" s="3" t="n">
        <v>0.5</v>
      </c>
      <c r="J45" s="3" t="n">
        <v>0.5</v>
      </c>
      <c r="K45" s="3" t="n">
        <v>0.5</v>
      </c>
      <c r="L45" s="3" t="n">
        <v>0.5</v>
      </c>
    </row>
    <row r="46" customFormat="false" ht="15" hidden="false" customHeight="false" outlineLevel="0" collapsed="false">
      <c r="A46" s="0" t="s">
        <v>104</v>
      </c>
      <c r="C46" s="3" t="n">
        <v>0.8</v>
      </c>
      <c r="D46" s="3" t="n">
        <v>0.8</v>
      </c>
      <c r="E46" s="3" t="n">
        <v>0.8</v>
      </c>
      <c r="F46" s="3" t="n">
        <v>0.7</v>
      </c>
      <c r="G46" s="3" t="n">
        <v>0.7</v>
      </c>
      <c r="H46" s="3" t="n">
        <v>0.7</v>
      </c>
      <c r="I46" s="3" t="n">
        <v>0.7</v>
      </c>
      <c r="J46" s="3" t="n">
        <v>0.7</v>
      </c>
      <c r="K46" s="3" t="n">
        <v>0.7</v>
      </c>
      <c r="L46" s="3" t="n">
        <v>0.7</v>
      </c>
    </row>
    <row r="47" customFormat="false" ht="15" hidden="false" customHeight="false" outlineLevel="0" collapsed="false">
      <c r="A47" s="0" t="s">
        <v>105</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106</v>
      </c>
      <c r="B48" s="3" t="n">
        <v>10.5</v>
      </c>
    </row>
    <row r="49" customFormat="false" ht="15" hidden="false" customHeight="false" outlineLevel="0" collapsed="false">
      <c r="A49" s="0" t="s">
        <v>107</v>
      </c>
      <c r="B49" s="3" t="n">
        <v>3.5</v>
      </c>
    </row>
    <row r="50" customFormat="false" ht="15" hidden="false" customHeight="false" outlineLevel="0" collapsed="false">
      <c r="A50" s="0" t="s">
        <v>108</v>
      </c>
      <c r="B50" s="3" t="n">
        <v>15</v>
      </c>
    </row>
    <row r="51" customFormat="false" ht="15" hidden="false" customHeight="false" outlineLevel="0" collapsed="false">
      <c r="A51" s="0" t="s">
        <v>109</v>
      </c>
      <c r="B51" s="3" t="n">
        <v>-40</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17</v>
      </c>
      <c r="D5" s="4" t="n">
        <f aca="false">Assumptions!D13</f>
        <v>-25</v>
      </c>
      <c r="E5" s="4" t="n">
        <f aca="false">Assumptions!E13</f>
        <v>-8</v>
      </c>
      <c r="F5" s="4" t="n">
        <f aca="false">Assumptions!F13</f>
        <v>0</v>
      </c>
      <c r="G5" s="4" t="n">
        <f aca="false">Assumptions!G13</f>
        <v>2</v>
      </c>
      <c r="H5" s="4" t="n">
        <f aca="false">Assumptions!H13</f>
        <v>3</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38</v>
      </c>
      <c r="B6" s="3" t="n">
        <v>27303.184</v>
      </c>
      <c r="C6" s="0" t="n">
        <f aca="false">B6*(1+C5/100)</f>
        <v>31944.72528</v>
      </c>
      <c r="D6" s="0" t="n">
        <f aca="false">C6*(1+D5/100)</f>
        <v>23958.54396</v>
      </c>
      <c r="E6" s="0" t="n">
        <f aca="false">D6*(1+E5/100)</f>
        <v>22041.8604432</v>
      </c>
      <c r="F6" s="0" t="n">
        <f aca="false">E6*(1+F5/100)</f>
        <v>22041.8604432</v>
      </c>
      <c r="G6" s="0" t="n">
        <f aca="false">F6*(1+G5/100)</f>
        <v>22482.697652064</v>
      </c>
      <c r="H6" s="0" t="n">
        <f aca="false">G6*(1+H5/100)</f>
        <v>23157.1785816259</v>
      </c>
      <c r="I6" s="0" t="n">
        <f aca="false">H6*(1+I5/100)</f>
        <v>23851.8939390747</v>
      </c>
      <c r="J6" s="0" t="n">
        <f aca="false">I6*(1+J5/100)</f>
        <v>24567.4507572469</v>
      </c>
      <c r="K6" s="0" t="n">
        <f aca="false">J6*(1+K5/100)</f>
        <v>25181.6370261781</v>
      </c>
      <c r="L6" s="0" t="n">
        <f aca="false">K6*(1+L5/100)</f>
        <v>25811.1779518326</v>
      </c>
    </row>
    <row r="7" customFormat="false" ht="15" hidden="false" customHeight="false" outlineLevel="0" collapsed="false">
      <c r="A7" s="0" t="s">
        <v>100</v>
      </c>
      <c r="C7" s="4" t="n">
        <f aca="false">Assumptions!C14</f>
        <v>26</v>
      </c>
      <c r="D7" s="4" t="n">
        <f aca="false">Assumptions!D14</f>
        <v>19</v>
      </c>
      <c r="E7" s="4" t="n">
        <f aca="false">Assumptions!E14</f>
        <v>18</v>
      </c>
      <c r="F7" s="4" t="n">
        <f aca="false">Assumptions!F14</f>
        <v>18</v>
      </c>
      <c r="G7" s="4" t="n">
        <f aca="false">Assumptions!G14</f>
        <v>18.5</v>
      </c>
      <c r="H7" s="4" t="n">
        <f aca="false">Assumptions!H14</f>
        <v>19</v>
      </c>
      <c r="I7" s="4" t="n">
        <f aca="false">Assumptions!I14</f>
        <v>19</v>
      </c>
      <c r="J7" s="4" t="n">
        <f aca="false">Assumptions!J14</f>
        <v>19</v>
      </c>
      <c r="K7" s="4" t="n">
        <f aca="false">Assumptions!K14</f>
        <v>19</v>
      </c>
      <c r="L7" s="4" t="n">
        <f aca="false">Assumptions!L14</f>
        <v>19</v>
      </c>
    </row>
    <row r="8" customFormat="false" ht="15" hidden="false" customHeight="false" outlineLevel="0" collapsed="false">
      <c r="A8" s="0" t="s">
        <v>44</v>
      </c>
      <c r="C8" s="0" t="n">
        <f aca="false">C6*C7/100</f>
        <v>8305.6285728</v>
      </c>
      <c r="D8" s="0" t="n">
        <f aca="false">D6*D7/100</f>
        <v>4552.1233524</v>
      </c>
      <c r="E8" s="0" t="n">
        <f aca="false">E6*E7/100</f>
        <v>3967.534879776</v>
      </c>
      <c r="F8" s="0" t="n">
        <f aca="false">F6*F7/100</f>
        <v>3967.534879776</v>
      </c>
      <c r="G8" s="0" t="n">
        <f aca="false">G6*G7/100</f>
        <v>4159.29906563184</v>
      </c>
      <c r="H8" s="0" t="n">
        <f aca="false">H6*H7/100</f>
        <v>4399.86393050893</v>
      </c>
      <c r="I8" s="0" t="n">
        <f aca="false">I6*I7/100</f>
        <v>4531.85984842419</v>
      </c>
      <c r="J8" s="0" t="n">
        <f aca="false">J6*J7/100</f>
        <v>4667.81564387692</v>
      </c>
      <c r="K8" s="0" t="n">
        <f aca="false">K6*K7/100</f>
        <v>4784.51103497384</v>
      </c>
      <c r="L8" s="0" t="n">
        <f aca="false">L6*L7/100</f>
        <v>4904.12381084819</v>
      </c>
    </row>
    <row r="9" customFormat="false" ht="15" hidden="false" customHeight="false" outlineLevel="0" collapsed="false">
      <c r="A9" s="0" t="s">
        <v>101</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116</v>
      </c>
      <c r="C10" s="0" t="n">
        <f aca="false">-C6*C9/100</f>
        <v>-127.77890112</v>
      </c>
      <c r="D10" s="0" t="n">
        <f aca="false">-D6*D9/100</f>
        <v>-95.83417584</v>
      </c>
      <c r="E10" s="0" t="n">
        <f aca="false">-E6*E9/100</f>
        <v>-88.1674417728</v>
      </c>
      <c r="F10" s="0" t="n">
        <f aca="false">-F6*F9/100</f>
        <v>-88.1674417728</v>
      </c>
      <c r="G10" s="0" t="n">
        <f aca="false">-G6*G9/100</f>
        <v>-89.930790608256</v>
      </c>
      <c r="H10" s="0" t="n">
        <f aca="false">-H6*H9/100</f>
        <v>-92.6287143265037</v>
      </c>
      <c r="I10" s="0" t="n">
        <f aca="false">-I6*I9/100</f>
        <v>-95.4075757562988</v>
      </c>
      <c r="J10" s="0" t="n">
        <f aca="false">-J6*J9/100</f>
        <v>-98.2698030289878</v>
      </c>
      <c r="K10" s="0" t="n">
        <f aca="false">-K6*K9/100</f>
        <v>-100.726548104712</v>
      </c>
      <c r="L10" s="0" t="n">
        <f aca="false">-L6*L9/100</f>
        <v>-103.24471180733</v>
      </c>
    </row>
    <row r="11" customFormat="false" ht="15" hidden="false" customHeight="false" outlineLevel="0" collapsed="false">
      <c r="A11" s="0" t="s">
        <v>117</v>
      </c>
      <c r="C11" s="0" t="n">
        <f aca="false">C8+C10+C24</f>
        <v>7906.3195068</v>
      </c>
      <c r="D11" s="0" t="n">
        <f aca="false">D8+D10+D24</f>
        <v>4168.78664904</v>
      </c>
      <c r="E11" s="0" t="n">
        <f aca="false">E8+E10+E24</f>
        <v>3592.8232522416</v>
      </c>
      <c r="F11" s="0" t="n">
        <f aca="false">F8+F10+F24</f>
        <v>3592.8232522416</v>
      </c>
      <c r="G11" s="0" t="n">
        <f aca="false">G8+G10+G24</f>
        <v>3777.09320554675</v>
      </c>
      <c r="H11" s="0" t="n">
        <f aca="false">H8+H10+H24</f>
        <v>4006.19189462128</v>
      </c>
      <c r="I11" s="0" t="n">
        <f aca="false">I8+I10+I24</f>
        <v>4126.37765145992</v>
      </c>
      <c r="J11" s="0" t="n">
        <f aca="false">J8+J10+J24</f>
        <v>4250.16898100372</v>
      </c>
      <c r="K11" s="0" t="n">
        <f aca="false">K8+K10+K24</f>
        <v>4356.42320552881</v>
      </c>
      <c r="L11" s="0" t="n">
        <f aca="false">L8+L10+L24</f>
        <v>4465.33378566703</v>
      </c>
    </row>
    <row r="12" customFormat="false" ht="15" hidden="false" customHeight="false" outlineLevel="0" collapsed="false">
      <c r="A12" s="0" t="s">
        <v>118</v>
      </c>
      <c r="C12" s="4" t="n">
        <f aca="false">-C6*Assumptions!C17/100</f>
        <v>-127.77890112</v>
      </c>
      <c r="D12" s="4" t="n">
        <f aca="false">-D6*Assumptions!D17/100</f>
        <v>-143.75126376</v>
      </c>
      <c r="E12" s="4" t="n">
        <f aca="false">-E6*Assumptions!E17/100</f>
        <v>-143.2720928808</v>
      </c>
      <c r="F12" s="4" t="n">
        <f aca="false">-F6*Assumptions!F17/100</f>
        <v>-143.2720928808</v>
      </c>
      <c r="G12" s="4" t="n">
        <f aca="false">-G6*Assumptions!G17/100</f>
        <v>-146.137534738416</v>
      </c>
      <c r="H12" s="4" t="n">
        <f aca="false">-H6*Assumptions!H17/100</f>
        <v>-150.521660780568</v>
      </c>
      <c r="I12" s="4" t="n">
        <f aca="false">-I6*Assumptions!I17/100</f>
        <v>-155.037310603986</v>
      </c>
      <c r="J12" s="4" t="n">
        <f aca="false">-J6*Assumptions!J17/100</f>
        <v>-159.688429922105</v>
      </c>
      <c r="K12" s="4" t="n">
        <f aca="false">-K6*Assumptions!K17/100</f>
        <v>-163.680640670158</v>
      </c>
      <c r="L12" s="4" t="n">
        <f aca="false">-L6*Assumptions!L17/100</f>
        <v>-167.772656686912</v>
      </c>
    </row>
    <row r="13" customFormat="false" ht="15" hidden="false" customHeight="false" outlineLevel="0" collapsed="false">
      <c r="A13" s="0" t="s">
        <v>119</v>
      </c>
      <c r="C13" s="0" t="n">
        <f aca="false">C11+C12</f>
        <v>7778.54060568</v>
      </c>
      <c r="D13" s="0" t="n">
        <f aca="false">D11+D12</f>
        <v>4025.03538528</v>
      </c>
      <c r="E13" s="0" t="n">
        <f aca="false">E11+E12</f>
        <v>3449.5511593608</v>
      </c>
      <c r="F13" s="0" t="n">
        <f aca="false">F11+F12</f>
        <v>3449.5511593608</v>
      </c>
      <c r="G13" s="0" t="n">
        <f aca="false">G11+G12</f>
        <v>3630.95567080834</v>
      </c>
      <c r="H13" s="0" t="n">
        <f aca="false">H11+H12</f>
        <v>3855.67023384072</v>
      </c>
      <c r="I13" s="0" t="n">
        <f aca="false">I11+I12</f>
        <v>3971.34034085594</v>
      </c>
      <c r="J13" s="0" t="n">
        <f aca="false">J11+J12</f>
        <v>4090.48055108162</v>
      </c>
      <c r="K13" s="0" t="n">
        <f aca="false">K11+K12</f>
        <v>4192.74256485866</v>
      </c>
      <c r="L13" s="0" t="n">
        <f aca="false">L11+L12</f>
        <v>4297.56112898012</v>
      </c>
    </row>
    <row r="14" customFormat="false" ht="15" hidden="false" customHeight="false" outlineLevel="0" collapsed="false">
      <c r="A14" s="0" t="s">
        <v>105</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120</v>
      </c>
      <c r="C15" s="0" t="n">
        <f aca="false">C13-MAX(0,C13)*C14/100</f>
        <v>5911.6908603168</v>
      </c>
      <c r="D15" s="0" t="n">
        <f aca="false">D13-MAX(0,D13)*D14/100</f>
        <v>3059.0268928128</v>
      </c>
      <c r="E15" s="0" t="n">
        <f aca="false">E13-MAX(0,E13)*E14/100</f>
        <v>2621.65888111421</v>
      </c>
      <c r="F15" s="0" t="n">
        <f aca="false">F13-MAX(0,F13)*F14/100</f>
        <v>2621.65888111421</v>
      </c>
      <c r="G15" s="0" t="n">
        <f aca="false">G13-MAX(0,G13)*G14/100</f>
        <v>2759.52630981434</v>
      </c>
      <c r="H15" s="0" t="n">
        <f aca="false">H13-MAX(0,H13)*H14/100</f>
        <v>2930.30937771894</v>
      </c>
      <c r="I15" s="0" t="n">
        <f aca="false">I13-MAX(0,I13)*I14/100</f>
        <v>3018.21865905051</v>
      </c>
      <c r="J15" s="0" t="n">
        <f aca="false">J13-MAX(0,J13)*J14/100</f>
        <v>3108.76521882203</v>
      </c>
      <c r="K15" s="0" t="n">
        <f aca="false">K13-MAX(0,K13)*K14/100</f>
        <v>3186.48434929258</v>
      </c>
      <c r="L15" s="0" t="n">
        <f aca="false">L13-MAX(0,L13)*L14/100</f>
        <v>3266.14645802489</v>
      </c>
    </row>
    <row r="16" customFormat="false" ht="15" hidden="false" customHeight="false" outlineLevel="0" collapsed="false">
      <c r="A16" s="0" t="s">
        <v>121</v>
      </c>
      <c r="C16" s="0" t="n">
        <f aca="false">-C12</f>
        <v>127.77890112</v>
      </c>
      <c r="D16" s="0" t="n">
        <f aca="false">-D12</f>
        <v>143.75126376</v>
      </c>
      <c r="E16" s="0" t="n">
        <f aca="false">-E12</f>
        <v>143.2720928808</v>
      </c>
      <c r="F16" s="0" t="n">
        <f aca="false">-F12</f>
        <v>143.2720928808</v>
      </c>
      <c r="G16" s="0" t="n">
        <f aca="false">-G12</f>
        <v>146.137534738416</v>
      </c>
      <c r="H16" s="0" t="n">
        <f aca="false">-H12</f>
        <v>150.521660780568</v>
      </c>
      <c r="I16" s="0" t="n">
        <f aca="false">-I12</f>
        <v>155.037310603986</v>
      </c>
      <c r="J16" s="0" t="n">
        <f aca="false">-J12</f>
        <v>159.688429922105</v>
      </c>
      <c r="K16" s="0" t="n">
        <f aca="false">-K12</f>
        <v>163.680640670158</v>
      </c>
      <c r="L16" s="0" t="n">
        <f aca="false">-L12</f>
        <v>167.772656686912</v>
      </c>
    </row>
    <row r="17" customFormat="false" ht="15" hidden="false" customHeight="false" outlineLevel="0" collapsed="false">
      <c r="A17" s="0" t="s">
        <v>122</v>
      </c>
      <c r="C17" s="4" t="n">
        <f aca="false">-C6*Assumptions!C18/100</f>
        <v>-287.50252752</v>
      </c>
      <c r="D17" s="4" t="n">
        <f aca="false">-D6*Assumptions!D18/100</f>
        <v>-191.66835168</v>
      </c>
      <c r="E17" s="4" t="n">
        <f aca="false">-E6*Assumptions!E18/100</f>
        <v>-154.2930231024</v>
      </c>
      <c r="F17" s="4" t="n">
        <f aca="false">-F6*Assumptions!F18/100</f>
        <v>-154.2930231024</v>
      </c>
      <c r="G17" s="4" t="n">
        <f aca="false">-G6*Assumptions!G18/100</f>
        <v>-157.378883564448</v>
      </c>
      <c r="H17" s="4" t="n">
        <f aca="false">-H6*Assumptions!H18/100</f>
        <v>-162.100250071381</v>
      </c>
      <c r="I17" s="4" t="n">
        <f aca="false">-I6*Assumptions!I18/100</f>
        <v>-166.963257573523</v>
      </c>
      <c r="J17" s="4" t="n">
        <f aca="false">-J6*Assumptions!J18/100</f>
        <v>-171.972155300729</v>
      </c>
      <c r="K17" s="4" t="n">
        <f aca="false">-K6*Assumptions!K18/100</f>
        <v>-176.271459183247</v>
      </c>
      <c r="L17" s="4" t="n">
        <f aca="false">-L6*Assumptions!L18/100</f>
        <v>-180.678245662828</v>
      </c>
    </row>
    <row r="18" customFormat="false" ht="15" hidden="false" customHeight="false" outlineLevel="0" collapsed="false">
      <c r="A18" s="0" t="s">
        <v>123</v>
      </c>
      <c r="C18" s="4" t="n">
        <f aca="false">(C6-B6)*Assumptions!$B$23/100</f>
        <v>-2320.77064</v>
      </c>
      <c r="D18" s="4" t="n">
        <f aca="false">(D6-C6)*Assumptions!$B$23/100</f>
        <v>3993.09066</v>
      </c>
      <c r="E18" s="4" t="n">
        <f aca="false">(E6-D6)*Assumptions!$B$23/100</f>
        <v>958.3417584</v>
      </c>
      <c r="F18" s="4" t="n">
        <f aca="false">(F6-E6)*Assumptions!$B$23/100</f>
        <v>-0</v>
      </c>
      <c r="G18" s="4" t="n">
        <f aca="false">(G6-F6)*Assumptions!$B$23/100</f>
        <v>-220.418604431999</v>
      </c>
      <c r="H18" s="4" t="n">
        <f aca="false">(H6-G6)*Assumptions!$B$23/100</f>
        <v>-337.24046478096</v>
      </c>
      <c r="I18" s="4" t="n">
        <f aca="false">(I6-H6)*Assumptions!$B$23/100</f>
        <v>-347.357678724389</v>
      </c>
      <c r="J18" s="4" t="n">
        <f aca="false">(J6-I6)*Assumptions!$B$23/100</f>
        <v>-357.778409086121</v>
      </c>
      <c r="K18" s="4" t="n">
        <f aca="false">(K6-J6)*Assumptions!$B$23/100</f>
        <v>-307.093134465586</v>
      </c>
      <c r="L18" s="4" t="n">
        <f aca="false">(L6-K6)*Assumptions!$B$23/100</f>
        <v>-314.770462827226</v>
      </c>
    </row>
    <row r="19" customFormat="false" ht="15" hidden="false" customHeight="false" outlineLevel="0" collapsed="false">
      <c r="A19" s="0" t="s">
        <v>124</v>
      </c>
      <c r="C19" s="0" t="n">
        <f aca="false">C15+C16+C17+C18</f>
        <v>3431.1965939168</v>
      </c>
      <c r="D19" s="0" t="n">
        <f aca="false">D15+D16+D17+D18</f>
        <v>7004.2004648928</v>
      </c>
      <c r="E19" s="0" t="n">
        <f aca="false">E15+E16+E17+E18</f>
        <v>3568.97970929261</v>
      </c>
      <c r="F19" s="0" t="n">
        <f aca="false">F15+F16+F17+F18</f>
        <v>2610.63795089261</v>
      </c>
      <c r="G19" s="0" t="n">
        <f aca="false">G15+G16+G17+G18</f>
        <v>2527.8663565563</v>
      </c>
      <c r="H19" s="0" t="n">
        <f aca="false">H15+H16+H17+H18</f>
        <v>2581.49032364717</v>
      </c>
      <c r="I19" s="0" t="n">
        <f aca="false">I15+I16+I17+I18</f>
        <v>2658.93503335659</v>
      </c>
      <c r="J19" s="0" t="n">
        <f aca="false">J15+J16+J17+J18</f>
        <v>2738.70308435728</v>
      </c>
      <c r="K19" s="0" t="n">
        <f aca="false">K15+K16+K17+K18</f>
        <v>2866.8003963139</v>
      </c>
      <c r="L19" s="0" t="n">
        <f aca="false">L15+L16+L17+L18</f>
        <v>2938.47040622175</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3105.15528861249</v>
      </c>
      <c r="D21" s="0" t="n">
        <f aca="false">D19*D20</f>
        <v>5736.32846575033</v>
      </c>
      <c r="E21" s="0" t="n">
        <f aca="false">E19*E20</f>
        <v>2645.19226941507</v>
      </c>
      <c r="F21" s="0" t="n">
        <f aca="false">F19*F20</f>
        <v>1751.04591867602</v>
      </c>
      <c r="G21" s="0" t="n">
        <f aca="false">G19*G20</f>
        <v>1534.41459160776</v>
      </c>
      <c r="H21" s="0" t="n">
        <f aca="false">H19*H20</f>
        <v>1418.06727017875</v>
      </c>
      <c r="I21" s="0" t="n">
        <f aca="false">I19*I20</f>
        <v>1321.81836043811</v>
      </c>
      <c r="J21" s="0" t="n">
        <f aca="false">J19*J20</f>
        <v>1232.10218212783</v>
      </c>
      <c r="K21" s="0" t="n">
        <f aca="false">K19*K20</f>
        <v>1167.17762548808</v>
      </c>
      <c r="L21" s="0" t="n">
        <f aca="false">L19*L20</f>
        <v>1082.67607794143</v>
      </c>
    </row>
    <row r="23" customFormat="false" ht="15" hidden="false" customHeight="false" outlineLevel="0" collapsed="false">
      <c r="A23" s="0" t="s">
        <v>102</v>
      </c>
      <c r="C23" s="4" t="n">
        <f aca="false">Assumptions!C16</f>
        <v>0.85</v>
      </c>
      <c r="D23" s="4" t="n">
        <f aca="false">Assumptions!D16</f>
        <v>1.2</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127</v>
      </c>
      <c r="C24" s="0" t="n">
        <f aca="false">-C6*C23/100</f>
        <v>-271.53016488</v>
      </c>
      <c r="D24" s="0" t="n">
        <f aca="false">-D6*D23/100</f>
        <v>-287.50252752</v>
      </c>
      <c r="E24" s="0" t="n">
        <f aca="false">-E6*E23/100</f>
        <v>-286.5441857616</v>
      </c>
      <c r="F24" s="0" t="n">
        <f aca="false">-F6*F23/100</f>
        <v>-286.5441857616</v>
      </c>
      <c r="G24" s="0" t="n">
        <f aca="false">-G6*G23/100</f>
        <v>-292.275069476832</v>
      </c>
      <c r="H24" s="0" t="n">
        <f aca="false">-H6*H23/100</f>
        <v>-301.043321561137</v>
      </c>
      <c r="I24" s="0" t="n">
        <f aca="false">-I6*I23/100</f>
        <v>-310.074621207971</v>
      </c>
      <c r="J24" s="0" t="n">
        <f aca="false">-J6*J23/100</f>
        <v>-319.37685984421</v>
      </c>
      <c r="K24" s="0" t="n">
        <f aca="false">-K6*K23/100</f>
        <v>-327.361281340315</v>
      </c>
      <c r="L24" s="0" t="n">
        <f aca="false">-L6*L23/100</f>
        <v>-335.545313373823</v>
      </c>
    </row>
    <row r="26" customFormat="false" ht="15" hidden="false" customHeight="false" outlineLevel="0" collapsed="false">
      <c r="A26" s="2" t="s">
        <v>128</v>
      </c>
    </row>
    <row r="27" customFormat="false" ht="15" hidden="false" customHeight="false" outlineLevel="0" collapsed="false">
      <c r="A27" s="0" t="s">
        <v>106</v>
      </c>
      <c r="B27" s="4" t="n">
        <f aca="false">Assumptions!$B$20</f>
        <v>10.5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12</v>
      </c>
    </row>
    <row r="30" customFormat="false" ht="15" hidden="false" customHeight="false" outlineLevel="0" collapsed="false">
      <c r="A30" s="0" t="s">
        <v>129</v>
      </c>
      <c r="B30" s="0" t="n">
        <f aca="false">SUM(C21:L21)</f>
        <v>20993.9780502359</v>
      </c>
    </row>
    <row r="31" customFormat="false" ht="15" hidden="false" customHeight="false" outlineLevel="0" collapsed="false">
      <c r="A31" s="0" t="s">
        <v>130</v>
      </c>
      <c r="B31" s="0" t="n">
        <f aca="false">L19</f>
        <v>2938.47040622175</v>
      </c>
    </row>
    <row r="32" customFormat="false" ht="15" hidden="false" customHeight="false" outlineLevel="0" collapsed="false">
      <c r="A32" s="0" t="s">
        <v>131</v>
      </c>
      <c r="B32" s="0" t="n">
        <f aca="false">IF(B27&gt;B28,B31*(1+B28/100)/((B27-B28)/100),B31*B29)</f>
        <v>35261.644874661</v>
      </c>
    </row>
    <row r="33" customFormat="false" ht="15" hidden="false" customHeight="false" outlineLevel="0" collapsed="false">
      <c r="A33" s="0" t="s">
        <v>132</v>
      </c>
      <c r="B33" s="0" t="n">
        <f aca="false">B31*B29</f>
        <v>35261.644874661</v>
      </c>
    </row>
    <row r="34" customFormat="false" ht="15" hidden="false" customHeight="false" outlineLevel="0" collapsed="false">
      <c r="A34" s="0" t="s">
        <v>133</v>
      </c>
      <c r="B34" s="0" t="n">
        <f aca="false">MAX(0,MIN(B32,B33))</f>
        <v>35261.644874661</v>
      </c>
    </row>
    <row r="35" customFormat="false" ht="15" hidden="false" customHeight="false" outlineLevel="0" collapsed="false">
      <c r="A35" s="0" t="s">
        <v>134</v>
      </c>
      <c r="B35" s="0" t="n">
        <f aca="false">B34/(1+B27/100)^L4</f>
        <v>12992.1129352972</v>
      </c>
    </row>
    <row r="36" customFormat="false" ht="15" hidden="false" customHeight="false" outlineLevel="0" collapsed="false">
      <c r="A36" s="0" t="s">
        <v>135</v>
      </c>
      <c r="B36" s="0" t="n">
        <f aca="false">B30+B35</f>
        <v>33986.0909855331</v>
      </c>
    </row>
    <row r="37" customFormat="false" ht="15" hidden="false" customHeight="false" outlineLevel="0" collapsed="false">
      <c r="A37" s="0" t="s">
        <v>136</v>
      </c>
      <c r="B37" s="0" t="n">
        <f aca="false">B36+Assumptions!$B$5-Assumptions!$B$4</f>
        <v>29834.4759855331</v>
      </c>
    </row>
    <row r="38" customFormat="false" ht="15" hidden="false" customHeight="false" outlineLevel="0" collapsed="false">
      <c r="A38" s="0" t="s">
        <v>137</v>
      </c>
      <c r="B38" s="0" t="n">
        <f aca="false">B37/Assumptions!$B$3*Assumptions!$B$10</f>
        <v>198.147506969552</v>
      </c>
    </row>
    <row r="39" customFormat="false" ht="15" hidden="false" customHeight="false" outlineLevel="0" collapsed="false">
      <c r="A39" s="0" t="s">
        <v>138</v>
      </c>
      <c r="B39" s="4" t="n">
        <f aca="false">B38/Assumptions!$B$2-1</f>
        <v>-0.303768422454138</v>
      </c>
    </row>
    <row r="41" customFormat="false" ht="15" hidden="false" customHeight="false" outlineLevel="0" collapsed="false">
      <c r="A41" s="0" t="s">
        <v>139</v>
      </c>
      <c r="B41" s="0" t="n">
        <f aca="false">SUMPRODUCT(-C10:L10/(1+$B$27/100)^C4:L4)</f>
        <v>594.767166302965</v>
      </c>
    </row>
    <row r="42" customFormat="false" ht="15" hidden="false" customHeight="false" outlineLevel="0" collapsed="false">
      <c r="A42" s="0" t="s">
        <v>140</v>
      </c>
      <c r="B42" s="0" t="n">
        <f aca="false">IF(B27&gt;B28,-L10*(1+B28/100)/((B27-B28)/100),-L10*20)/(1+B27/100)^L4</f>
        <v>456.484759190669</v>
      </c>
    </row>
    <row r="43" customFormat="false" ht="15" hidden="false" customHeight="false" outlineLevel="0" collapsed="false">
      <c r="A43" s="0" t="s">
        <v>141</v>
      </c>
      <c r="B43" s="0" t="n">
        <f aca="false">(B37+B41+B42)/Assumptions!$B$3*Assumptions!$B$10</f>
        <v>205.129461280884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23055.690879586</v>
      </c>
    </row>
    <row r="47" customFormat="false" ht="15" hidden="false" customHeight="false" outlineLevel="0" collapsed="false">
      <c r="A47" s="0" t="s">
        <v>143</v>
      </c>
      <c r="B47" s="0" t="n">
        <f aca="false">(SUMPRODUCT(C19:L19/(1+B45/100)^C4:L4)+B46/(1+B45/100)^L4+Assumptions!$B$5-Assumptions!$B$4)/Assumptions!$B$3*Assumptions!$B$10</f>
        <v>129.347906761035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24.5</v>
      </c>
      <c r="D5" s="4" t="n">
        <f aca="false">Assumptions!D27</f>
        <v>-12</v>
      </c>
      <c r="E5" s="4" t="n">
        <f aca="false">Assumptions!E27</f>
        <v>2</v>
      </c>
      <c r="F5" s="4" t="n">
        <f aca="false">Assumptions!F27</f>
        <v>5</v>
      </c>
      <c r="G5" s="4" t="n">
        <f aca="false">Assumptions!G27</f>
        <v>6</v>
      </c>
      <c r="H5" s="4" t="n">
        <f aca="false">Assumptions!H27</f>
        <v>6</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38</v>
      </c>
      <c r="B6" s="3" t="n">
        <v>27303.184</v>
      </c>
      <c r="C6" s="0" t="n">
        <f aca="false">B6*(1+C5/100)</f>
        <v>33992.46408</v>
      </c>
      <c r="D6" s="0" t="n">
        <f aca="false">C6*(1+D5/100)</f>
        <v>29913.3683904</v>
      </c>
      <c r="E6" s="0" t="n">
        <f aca="false">D6*(1+E5/100)</f>
        <v>30511.635758208</v>
      </c>
      <c r="F6" s="0" t="n">
        <f aca="false">E6*(1+F5/100)</f>
        <v>32037.2175461184</v>
      </c>
      <c r="G6" s="0" t="n">
        <f aca="false">F6*(1+G5/100)</f>
        <v>33959.4505988855</v>
      </c>
      <c r="H6" s="0" t="n">
        <f aca="false">G6*(1+H5/100)</f>
        <v>35997.0176348187</v>
      </c>
      <c r="I6" s="0" t="n">
        <f aca="false">H6*(1+I5/100)</f>
        <v>37796.8685165596</v>
      </c>
      <c r="J6" s="0" t="n">
        <f aca="false">I6*(1+J5/100)</f>
        <v>39497.7275998048</v>
      </c>
      <c r="K6" s="0" t="n">
        <f aca="false">J6*(1+K5/100)</f>
        <v>41077.636703797</v>
      </c>
      <c r="L6" s="0" t="n">
        <f aca="false">K6*(1+L5/100)</f>
        <v>42515.3539884298</v>
      </c>
    </row>
    <row r="7" customFormat="false" ht="15" hidden="false" customHeight="false" outlineLevel="0" collapsed="false">
      <c r="A7" s="0" t="s">
        <v>100</v>
      </c>
      <c r="C7" s="4" t="n">
        <f aca="false">Assumptions!C28</f>
        <v>28</v>
      </c>
      <c r="D7" s="4" t="n">
        <f aca="false">Assumptions!D28</f>
        <v>24.5</v>
      </c>
      <c r="E7" s="4" t="n">
        <f aca="false">Assumptions!E28</f>
        <v>24</v>
      </c>
      <c r="F7" s="4" t="n">
        <f aca="false">Assumptions!F28</f>
        <v>24</v>
      </c>
      <c r="G7" s="4" t="n">
        <f aca="false">Assumptions!G28</f>
        <v>24.5</v>
      </c>
      <c r="H7" s="4" t="n">
        <f aca="false">Assumptions!H28</f>
        <v>24.5</v>
      </c>
      <c r="I7" s="4" t="n">
        <f aca="false">Assumptions!I28</f>
        <v>25</v>
      </c>
      <c r="J7" s="4" t="n">
        <f aca="false">Assumptions!J28</f>
        <v>25</v>
      </c>
      <c r="K7" s="4" t="n">
        <f aca="false">Assumptions!K28</f>
        <v>25</v>
      </c>
      <c r="L7" s="4" t="n">
        <f aca="false">Assumptions!L28</f>
        <v>25</v>
      </c>
    </row>
    <row r="8" customFormat="false" ht="15" hidden="false" customHeight="false" outlineLevel="0" collapsed="false">
      <c r="A8" s="0" t="s">
        <v>44</v>
      </c>
      <c r="C8" s="0" t="n">
        <f aca="false">C6*C7/100</f>
        <v>9517.8899424</v>
      </c>
      <c r="D8" s="0" t="n">
        <f aca="false">D6*D7/100</f>
        <v>7328.775255648</v>
      </c>
      <c r="E8" s="0" t="n">
        <f aca="false">E6*E7/100</f>
        <v>7322.79258196992</v>
      </c>
      <c r="F8" s="0" t="n">
        <f aca="false">F6*F7/100</f>
        <v>7688.93221106842</v>
      </c>
      <c r="G8" s="0" t="n">
        <f aca="false">G6*G7/100</f>
        <v>8320.06539672695</v>
      </c>
      <c r="H8" s="0" t="n">
        <f aca="false">H6*H7/100</f>
        <v>8819.26932053057</v>
      </c>
      <c r="I8" s="0" t="n">
        <f aca="false">I6*I7/100</f>
        <v>9449.2171291399</v>
      </c>
      <c r="J8" s="0" t="n">
        <f aca="false">J6*J7/100</f>
        <v>9874.43189995119</v>
      </c>
      <c r="K8" s="0" t="n">
        <f aca="false">K6*K7/100</f>
        <v>10269.4091759492</v>
      </c>
      <c r="L8" s="0" t="n">
        <f aca="false">L6*L7/100</f>
        <v>10628.8384971075</v>
      </c>
    </row>
    <row r="9" customFormat="false" ht="15" hidden="false" customHeight="false" outlineLevel="0" collapsed="false">
      <c r="A9" s="0" t="s">
        <v>101</v>
      </c>
      <c r="C9" s="4" t="n">
        <f aca="false">Assumptions!C29</f>
        <v>0.35</v>
      </c>
      <c r="D9" s="4" t="n">
        <f aca="false">Assumptions!D29</f>
        <v>0.4</v>
      </c>
      <c r="E9" s="4" t="n">
        <f aca="false">Assumptions!E29</f>
        <v>0.4</v>
      </c>
      <c r="F9" s="4" t="n">
        <f aca="false">Assumptions!F29</f>
        <v>0.4</v>
      </c>
      <c r="G9" s="4" t="n">
        <f aca="false">Assumptions!G29</f>
        <v>0.4</v>
      </c>
      <c r="H9" s="4" t="n">
        <f aca="false">Assumptions!H29</f>
        <v>0.4</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116</v>
      </c>
      <c r="C10" s="0" t="n">
        <f aca="false">-C6*C9/100</f>
        <v>-118.97362428</v>
      </c>
      <c r="D10" s="0" t="n">
        <f aca="false">-D6*D9/100</f>
        <v>-119.6534735616</v>
      </c>
      <c r="E10" s="0" t="n">
        <f aca="false">-E6*E9/100</f>
        <v>-122.046543032832</v>
      </c>
      <c r="F10" s="0" t="n">
        <f aca="false">-F6*F9/100</f>
        <v>-128.148870184474</v>
      </c>
      <c r="G10" s="0" t="n">
        <f aca="false">-G6*G9/100</f>
        <v>-135.837802395542</v>
      </c>
      <c r="H10" s="0" t="n">
        <f aca="false">-H6*H9/100</f>
        <v>-143.988070539275</v>
      </c>
      <c r="I10" s="0" t="n">
        <f aca="false">-I6*I9/100</f>
        <v>-151.187474066238</v>
      </c>
      <c r="J10" s="0" t="n">
        <f aca="false">-J6*J9/100</f>
        <v>-157.990910399219</v>
      </c>
      <c r="K10" s="0" t="n">
        <f aca="false">-K6*K9/100</f>
        <v>-164.310546815188</v>
      </c>
      <c r="L10" s="0" t="n">
        <f aca="false">-L6*L9/100</f>
        <v>-170.061415953719</v>
      </c>
    </row>
    <row r="11" customFormat="false" ht="15" hidden="false" customHeight="false" outlineLevel="0" collapsed="false">
      <c r="A11" s="0" t="s">
        <v>117</v>
      </c>
      <c r="C11" s="0" t="n">
        <f aca="false">C8+C10+C24</f>
        <v>9126.97660548</v>
      </c>
      <c r="D11" s="0" t="n">
        <f aca="false">D8+D10+D24</f>
        <v>6924.9447823776</v>
      </c>
      <c r="E11" s="0" t="n">
        <f aca="false">E8+E10+E24</f>
        <v>6895.62968135501</v>
      </c>
      <c r="F11" s="0" t="n">
        <f aca="false">F8+F10+F24</f>
        <v>7240.41116542276</v>
      </c>
      <c r="G11" s="0" t="n">
        <f aca="false">G8+G10+G24</f>
        <v>7844.63308834255</v>
      </c>
      <c r="H11" s="0" t="n">
        <f aca="false">H8+H10+H24</f>
        <v>8315.31107364311</v>
      </c>
      <c r="I11" s="0" t="n">
        <f aca="false">I8+I10+I24</f>
        <v>8920.06096990806</v>
      </c>
      <c r="J11" s="0" t="n">
        <f aca="false">J8+J10+J24</f>
        <v>9321.46371355392</v>
      </c>
      <c r="K11" s="0" t="n">
        <f aca="false">K8+K10+K24</f>
        <v>9694.32226209608</v>
      </c>
      <c r="L11" s="0" t="n">
        <f aca="false">L8+L10+L24</f>
        <v>10033.6235412694</v>
      </c>
    </row>
    <row r="12" customFormat="false" ht="15" hidden="false" customHeight="false" outlineLevel="0" collapsed="false">
      <c r="A12" s="0" t="s">
        <v>118</v>
      </c>
      <c r="C12" s="4" t="n">
        <f aca="false">-C6*Assumptions!C31/100</f>
        <v>-135.96985632</v>
      </c>
      <c r="D12" s="4" t="n">
        <f aca="false">-D6*Assumptions!D31/100</f>
        <v>-149.566841952</v>
      </c>
      <c r="E12" s="4" t="n">
        <f aca="false">-E6*Assumptions!E31/100</f>
        <v>-167.813996670144</v>
      </c>
      <c r="F12" s="4" t="n">
        <f aca="false">-F6*Assumptions!F31/100</f>
        <v>-176.204696503651</v>
      </c>
      <c r="G12" s="4" t="n">
        <f aca="false">-G6*Assumptions!G31/100</f>
        <v>-186.77697829387</v>
      </c>
      <c r="H12" s="4" t="n">
        <f aca="false">-H6*Assumptions!H31/100</f>
        <v>-197.983596991503</v>
      </c>
      <c r="I12" s="4" t="n">
        <f aca="false">-I6*Assumptions!I31/100</f>
        <v>-207.882776841078</v>
      </c>
      <c r="J12" s="4" t="n">
        <f aca="false">-J6*Assumptions!J31/100</f>
        <v>-217.237501798926</v>
      </c>
      <c r="K12" s="4" t="n">
        <f aca="false">-K6*Assumptions!K31/100</f>
        <v>-225.927001870883</v>
      </c>
      <c r="L12" s="4" t="n">
        <f aca="false">-L6*Assumptions!L31/100</f>
        <v>-233.834446936364</v>
      </c>
    </row>
    <row r="13" customFormat="false" ht="15" hidden="false" customHeight="false" outlineLevel="0" collapsed="false">
      <c r="A13" s="0" t="s">
        <v>119</v>
      </c>
      <c r="C13" s="0" t="n">
        <f aca="false">C11+C12</f>
        <v>8991.00674916</v>
      </c>
      <c r="D13" s="0" t="n">
        <f aca="false">D11+D12</f>
        <v>6775.3779404256</v>
      </c>
      <c r="E13" s="0" t="n">
        <f aca="false">E11+E12</f>
        <v>6727.81568468487</v>
      </c>
      <c r="F13" s="0" t="n">
        <f aca="false">F11+F12</f>
        <v>7064.20646891911</v>
      </c>
      <c r="G13" s="0" t="n">
        <f aca="false">G11+G12</f>
        <v>7657.85611004868</v>
      </c>
      <c r="H13" s="0" t="n">
        <f aca="false">H11+H12</f>
        <v>8117.32747665161</v>
      </c>
      <c r="I13" s="0" t="n">
        <f aca="false">I11+I12</f>
        <v>8712.17819306698</v>
      </c>
      <c r="J13" s="0" t="n">
        <f aca="false">J11+J12</f>
        <v>9104.226211755</v>
      </c>
      <c r="K13" s="0" t="n">
        <f aca="false">K11+K12</f>
        <v>9468.3952602252</v>
      </c>
      <c r="L13" s="0" t="n">
        <f aca="false">L11+L12</f>
        <v>9799.78909433308</v>
      </c>
    </row>
    <row r="14" customFormat="false" ht="15" hidden="false" customHeight="false" outlineLevel="0" collapsed="false">
      <c r="A14" s="0" t="s">
        <v>105</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120</v>
      </c>
      <c r="C15" s="0" t="n">
        <f aca="false">C13-MAX(0,C13)*C14/100</f>
        <v>6833.1651293616</v>
      </c>
      <c r="D15" s="0" t="n">
        <f aca="false">D13-MAX(0,D13)*D14/100</f>
        <v>5149.28723472346</v>
      </c>
      <c r="E15" s="0" t="n">
        <f aca="false">E13-MAX(0,E13)*E14/100</f>
        <v>5113.1399203605</v>
      </c>
      <c r="F15" s="0" t="n">
        <f aca="false">F13-MAX(0,F13)*F14/100</f>
        <v>5368.79691637852</v>
      </c>
      <c r="G15" s="0" t="n">
        <f aca="false">G13-MAX(0,G13)*G14/100</f>
        <v>5819.970643637</v>
      </c>
      <c r="H15" s="0" t="n">
        <f aca="false">H13-MAX(0,H13)*H14/100</f>
        <v>6169.16888225522</v>
      </c>
      <c r="I15" s="0" t="n">
        <f aca="false">I13-MAX(0,I13)*I14/100</f>
        <v>6621.25542673091</v>
      </c>
      <c r="J15" s="0" t="n">
        <f aca="false">J13-MAX(0,J13)*J14/100</f>
        <v>6919.2119209338</v>
      </c>
      <c r="K15" s="0" t="n">
        <f aca="false">K13-MAX(0,K13)*K14/100</f>
        <v>7195.98039777115</v>
      </c>
      <c r="L15" s="0" t="n">
        <f aca="false">L13-MAX(0,L13)*L14/100</f>
        <v>7447.83971169314</v>
      </c>
    </row>
    <row r="16" customFormat="false" ht="15" hidden="false" customHeight="false" outlineLevel="0" collapsed="false">
      <c r="A16" s="0" t="s">
        <v>121</v>
      </c>
      <c r="C16" s="0" t="n">
        <f aca="false">-C12</f>
        <v>135.96985632</v>
      </c>
      <c r="D16" s="0" t="n">
        <f aca="false">-D12</f>
        <v>149.566841952</v>
      </c>
      <c r="E16" s="0" t="n">
        <f aca="false">-E12</f>
        <v>167.813996670144</v>
      </c>
      <c r="F16" s="0" t="n">
        <f aca="false">-F12</f>
        <v>176.204696503651</v>
      </c>
      <c r="G16" s="0" t="n">
        <f aca="false">-G12</f>
        <v>186.77697829387</v>
      </c>
      <c r="H16" s="0" t="n">
        <f aca="false">-H12</f>
        <v>197.983596991503</v>
      </c>
      <c r="I16" s="0" t="n">
        <f aca="false">-I12</f>
        <v>207.882776841078</v>
      </c>
      <c r="J16" s="0" t="n">
        <f aca="false">-J12</f>
        <v>217.237501798926</v>
      </c>
      <c r="K16" s="0" t="n">
        <f aca="false">-K12</f>
        <v>225.927001870883</v>
      </c>
      <c r="L16" s="0" t="n">
        <f aca="false">-L12</f>
        <v>233.834446936364</v>
      </c>
    </row>
    <row r="17" customFormat="false" ht="15" hidden="false" customHeight="false" outlineLevel="0" collapsed="false">
      <c r="A17" s="0" t="s">
        <v>122</v>
      </c>
      <c r="C17" s="4" t="n">
        <f aca="false">-C6*Assumptions!C32/100</f>
        <v>-271.93971264</v>
      </c>
      <c r="D17" s="4" t="n">
        <f aca="false">-D6*Assumptions!D32/100</f>
        <v>-269.2203155136</v>
      </c>
      <c r="E17" s="4" t="n">
        <f aca="false">-E6*Assumptions!E32/100</f>
        <v>-244.093086065664</v>
      </c>
      <c r="F17" s="4" t="n">
        <f aca="false">-F6*Assumptions!F32/100</f>
        <v>-256.297740368947</v>
      </c>
      <c r="G17" s="4" t="n">
        <f aca="false">-G6*Assumptions!G32/100</f>
        <v>-237.716154192199</v>
      </c>
      <c r="H17" s="4" t="n">
        <f aca="false">-H6*Assumptions!H32/100</f>
        <v>-251.979123443731</v>
      </c>
      <c r="I17" s="4" t="n">
        <f aca="false">-I6*Assumptions!I32/100</f>
        <v>-264.578079615917</v>
      </c>
      <c r="J17" s="4" t="n">
        <f aca="false">-J6*Assumptions!J32/100</f>
        <v>-276.484093198633</v>
      </c>
      <c r="K17" s="4" t="n">
        <f aca="false">-K6*Assumptions!K32/100</f>
        <v>-287.543456926579</v>
      </c>
      <c r="L17" s="4" t="n">
        <f aca="false">-L6*Assumptions!L32/100</f>
        <v>-297.607477919009</v>
      </c>
    </row>
    <row r="18" customFormat="false" ht="15" hidden="false" customHeight="false" outlineLevel="0" collapsed="false">
      <c r="A18" s="0" t="s">
        <v>123</v>
      </c>
      <c r="C18" s="4" t="n">
        <f aca="false">(C6-B6)*Assumptions!$B$37/100</f>
        <v>-3010.176036</v>
      </c>
      <c r="D18" s="4" t="n">
        <f aca="false">(D6-C6)*Assumptions!$B$37/100</f>
        <v>1835.59306032</v>
      </c>
      <c r="E18" s="4" t="n">
        <f aca="false">(E6-D6)*Assumptions!$B$37/100</f>
        <v>-269.2203155136</v>
      </c>
      <c r="F18" s="4" t="n">
        <f aca="false">(F6-E6)*Assumptions!$B$37/100</f>
        <v>-686.511804559681</v>
      </c>
      <c r="G18" s="4" t="n">
        <f aca="false">(G6-F6)*Assumptions!$B$37/100</f>
        <v>-865.004873745198</v>
      </c>
      <c r="H18" s="4" t="n">
        <f aca="false">(H6-G6)*Assumptions!$B$37/100</f>
        <v>-916.905166169911</v>
      </c>
      <c r="I18" s="4" t="n">
        <f aca="false">(I6-H6)*Assumptions!$B$37/100</f>
        <v>-809.932896783419</v>
      </c>
      <c r="J18" s="4" t="n">
        <f aca="false">(J6-I6)*Assumptions!$B$37/100</f>
        <v>-765.386587460332</v>
      </c>
      <c r="K18" s="4" t="n">
        <f aca="false">(K6-J6)*Assumptions!$B$37/100</f>
        <v>-710.959096796486</v>
      </c>
      <c r="L18" s="4" t="n">
        <f aca="false">(L6-K6)*Assumptions!$B$37/100</f>
        <v>-646.972778084801</v>
      </c>
    </row>
    <row r="19" customFormat="false" ht="15" hidden="false" customHeight="false" outlineLevel="0" collapsed="false">
      <c r="A19" s="0" t="s">
        <v>124</v>
      </c>
      <c r="C19" s="0" t="n">
        <f aca="false">C15+C16+C17+C18</f>
        <v>3687.0192370416</v>
      </c>
      <c r="D19" s="0" t="n">
        <f aca="false">D15+D16+D17+D18</f>
        <v>6865.22682148186</v>
      </c>
      <c r="E19" s="0" t="n">
        <f aca="false">E15+E16+E17+E18</f>
        <v>4767.64051545138</v>
      </c>
      <c r="F19" s="0" t="n">
        <f aca="false">F15+F16+F17+F18</f>
        <v>4602.19206795355</v>
      </c>
      <c r="G19" s="0" t="n">
        <f aca="false">G15+G16+G17+G18</f>
        <v>4904.02659399347</v>
      </c>
      <c r="H19" s="0" t="n">
        <f aca="false">H15+H16+H17+H18</f>
        <v>5198.26818963308</v>
      </c>
      <c r="I19" s="0" t="n">
        <f aca="false">I15+I16+I17+I18</f>
        <v>5754.62722717265</v>
      </c>
      <c r="J19" s="0" t="n">
        <f aca="false">J15+J16+J17+J18</f>
        <v>6094.57874207376</v>
      </c>
      <c r="K19" s="0" t="n">
        <f aca="false">K15+K16+K17+K18</f>
        <v>6423.40484591897</v>
      </c>
      <c r="L19" s="0" t="n">
        <f aca="false">L15+L16+L17+L18</f>
        <v>6737.0939026257</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3336.66899279783</v>
      </c>
      <c r="D21" s="0" t="n">
        <f aca="false">D19*D20</f>
        <v>5622.51126838669</v>
      </c>
      <c r="E21" s="0" t="n">
        <f aca="false">E19*E20</f>
        <v>3533.59415352959</v>
      </c>
      <c r="F21" s="0" t="n">
        <f aca="false">F19*F20</f>
        <v>3086.85071968629</v>
      </c>
      <c r="G21" s="0" t="n">
        <f aca="false">G19*G20</f>
        <v>2976.74358612339</v>
      </c>
      <c r="H21" s="0" t="n">
        <f aca="false">H19*H20</f>
        <v>2855.51873419981</v>
      </c>
      <c r="I21" s="0" t="n">
        <f aca="false">I19*I20</f>
        <v>2860.75884928692</v>
      </c>
      <c r="J21" s="0" t="n">
        <f aca="false">J19*J20</f>
        <v>2741.86121531361</v>
      </c>
      <c r="K21" s="0" t="n">
        <f aca="false">K19*K20</f>
        <v>2615.1993090444</v>
      </c>
      <c r="L21" s="0" t="n">
        <f aca="false">L19*L20</f>
        <v>2482.27458332533</v>
      </c>
    </row>
    <row r="23" customFormat="false" ht="15" hidden="false" customHeight="false" outlineLevel="0" collapsed="false">
      <c r="A23" s="0" t="s">
        <v>102</v>
      </c>
      <c r="C23" s="4" t="n">
        <f aca="false">Assumptions!C30</f>
        <v>0.8</v>
      </c>
      <c r="D23" s="4" t="n">
        <f aca="false">Assumptions!D30</f>
        <v>0.95</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127</v>
      </c>
      <c r="C24" s="0" t="n">
        <f aca="false">-C6*C23/100</f>
        <v>-271.93971264</v>
      </c>
      <c r="D24" s="0" t="n">
        <f aca="false">-D6*D23/100</f>
        <v>-284.1769997088</v>
      </c>
      <c r="E24" s="0" t="n">
        <f aca="false">-E6*E23/100</f>
        <v>-305.11635758208</v>
      </c>
      <c r="F24" s="0" t="n">
        <f aca="false">-F6*F23/100</f>
        <v>-320.372175461184</v>
      </c>
      <c r="G24" s="0" t="n">
        <f aca="false">-G6*G23/100</f>
        <v>-339.594505988855</v>
      </c>
      <c r="H24" s="0" t="n">
        <f aca="false">-H6*H23/100</f>
        <v>-359.970176348187</v>
      </c>
      <c r="I24" s="0" t="n">
        <f aca="false">-I6*I23/100</f>
        <v>-377.968685165596</v>
      </c>
      <c r="J24" s="0" t="n">
        <f aca="false">-J6*J23/100</f>
        <v>-394.977275998048</v>
      </c>
      <c r="K24" s="0" t="n">
        <f aca="false">-K6*K23/100</f>
        <v>-410.77636703797</v>
      </c>
      <c r="L24" s="0" t="n">
        <f aca="false">-L6*L23/100</f>
        <v>-425.153539884298</v>
      </c>
    </row>
    <row r="26" customFormat="false" ht="15" hidden="false" customHeight="false" outlineLevel="0" collapsed="false">
      <c r="A26" s="2" t="s">
        <v>128</v>
      </c>
    </row>
    <row r="27" customFormat="false" ht="15" hidden="false" customHeight="false" outlineLevel="0" collapsed="false">
      <c r="A27" s="0" t="s">
        <v>106</v>
      </c>
      <c r="B27" s="4" t="n">
        <f aca="false">Assumptions!$B$34</f>
        <v>10.5</v>
      </c>
    </row>
    <row r="28" customFormat="false" ht="15" hidden="false" customHeight="false" outlineLevel="0" collapsed="false">
      <c r="A28" s="0" t="s">
        <v>107</v>
      </c>
      <c r="B28" s="4" t="n">
        <f aca="false">Assumptions!$B$35</f>
        <v>3</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32111.9814116939</v>
      </c>
    </row>
    <row r="31" customFormat="false" ht="15" hidden="false" customHeight="false" outlineLevel="0" collapsed="false">
      <c r="A31" s="0" t="s">
        <v>130</v>
      </c>
      <c r="B31" s="0" t="n">
        <f aca="false">L19</f>
        <v>6737.0939026257</v>
      </c>
    </row>
    <row r="32" customFormat="false" ht="15" hidden="false" customHeight="false" outlineLevel="0" collapsed="false">
      <c r="A32" s="0" t="s">
        <v>131</v>
      </c>
      <c r="B32" s="0" t="n">
        <f aca="false">IF(B27&gt;B28,B31*(1+B28/100)/((B27-B28)/100),B31*B29)</f>
        <v>92522.7562627262</v>
      </c>
    </row>
    <row r="33" customFormat="false" ht="15" hidden="false" customHeight="false" outlineLevel="0" collapsed="false">
      <c r="A33" s="0" t="s">
        <v>132</v>
      </c>
      <c r="B33" s="0" t="n">
        <f aca="false">B31*B29</f>
        <v>101056.408539385</v>
      </c>
    </row>
    <row r="34" customFormat="false" ht="15" hidden="false" customHeight="false" outlineLevel="0" collapsed="false">
      <c r="A34" s="0" t="s">
        <v>133</v>
      </c>
      <c r="B34" s="0" t="n">
        <f aca="false">MAX(0,MIN(B32,B33))</f>
        <v>92522.7562627262</v>
      </c>
    </row>
    <row r="35" customFormat="false" ht="15" hidden="false" customHeight="false" outlineLevel="0" collapsed="false">
      <c r="A35" s="0" t="s">
        <v>134</v>
      </c>
      <c r="B35" s="0" t="n">
        <f aca="false">B34/(1+B27/100)^L4</f>
        <v>34089.9042776679</v>
      </c>
    </row>
    <row r="36" customFormat="false" ht="15" hidden="false" customHeight="false" outlineLevel="0" collapsed="false">
      <c r="A36" s="0" t="s">
        <v>135</v>
      </c>
      <c r="B36" s="0" t="n">
        <f aca="false">B30+B35</f>
        <v>66201.8856893618</v>
      </c>
    </row>
    <row r="37" customFormat="false" ht="15" hidden="false" customHeight="false" outlineLevel="0" collapsed="false">
      <c r="A37" s="0" t="s">
        <v>136</v>
      </c>
      <c r="B37" s="0" t="n">
        <f aca="false">B36+Assumptions!$B$5-Assumptions!$B$4</f>
        <v>62050.2706893618</v>
      </c>
    </row>
    <row r="38" customFormat="false" ht="15" hidden="false" customHeight="false" outlineLevel="0" collapsed="false">
      <c r="A38" s="0" t="s">
        <v>137</v>
      </c>
      <c r="B38" s="0" t="n">
        <f aca="false">B37/Assumptions!$B$3*Assumptions!$B$10</f>
        <v>412.110688649095</v>
      </c>
    </row>
    <row r="39" customFormat="false" ht="15" hidden="false" customHeight="false" outlineLevel="0" collapsed="false">
      <c r="A39" s="0" t="s">
        <v>138</v>
      </c>
      <c r="B39" s="4" t="n">
        <f aca="false">B38/Assumptions!$B$2-1</f>
        <v>0.448034745780376</v>
      </c>
    </row>
    <row r="41" customFormat="false" ht="15" hidden="false" customHeight="false" outlineLevel="0" collapsed="false">
      <c r="A41" s="0" t="s">
        <v>139</v>
      </c>
      <c r="B41" s="0" t="n">
        <f aca="false">SUMPRODUCT(-C10:L10/(1+$B$27/100)^C4:L4)</f>
        <v>819.414391924005</v>
      </c>
    </row>
    <row r="42" customFormat="false" ht="15" hidden="false" customHeight="false" outlineLevel="0" collapsed="false">
      <c r="A42" s="0" t="s">
        <v>140</v>
      </c>
      <c r="B42" s="0" t="n">
        <f aca="false">IF(B27&gt;B28,-L10*(1+B28/100)/((B27-B28)/100),-L10*20)/(1+B27/100)^L4</f>
        <v>860.516043709515</v>
      </c>
    </row>
    <row r="43" customFormat="false" ht="15" hidden="false" customHeight="false" outlineLevel="0" collapsed="false">
      <c r="A43" s="0" t="s">
        <v>141</v>
      </c>
      <c r="B43" s="0" t="n">
        <f aca="false">(B37+B41+B42)/Assumptions!$B$3*Assumptions!$B$10</f>
        <v>423.268049946959</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57826.7226642039</v>
      </c>
    </row>
    <row r="47" customFormat="false" ht="15" hidden="false" customHeight="false" outlineLevel="0" collapsed="false">
      <c r="A47" s="0" t="s">
        <v>143</v>
      </c>
      <c r="B47" s="0" t="n">
        <f aca="false">(SUMPRODUCT(C19:L19/(1+B45/100)^C4:L4)+B46/(1+B45/100)^L4+Assumptions!$B$5-Assumptions!$B$4)/Assumptions!$B$3*Assumptions!$B$10</f>
        <v>243.333896575757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34</v>
      </c>
      <c r="D5" s="4" t="n">
        <f aca="false">Assumptions!D41</f>
        <v>5</v>
      </c>
      <c r="E5" s="4" t="n">
        <f aca="false">Assumptions!E41</f>
        <v>8</v>
      </c>
      <c r="F5" s="4" t="n">
        <f aca="false">Assumptions!F41</f>
        <v>8</v>
      </c>
      <c r="G5" s="4" t="n">
        <f aca="false">Assumptions!G41</f>
        <v>8</v>
      </c>
      <c r="H5" s="4" t="n">
        <f aca="false">Assumptions!H41</f>
        <v>7</v>
      </c>
      <c r="I5" s="4" t="n">
        <f aca="false">Assumptions!I41</f>
        <v>6</v>
      </c>
      <c r="J5" s="4" t="n">
        <f aca="false">Assumptions!J41</f>
        <v>5</v>
      </c>
      <c r="K5" s="4" t="n">
        <f aca="false">Assumptions!K41</f>
        <v>4.5</v>
      </c>
      <c r="L5" s="4" t="n">
        <f aca="false">Assumptions!L41</f>
        <v>4</v>
      </c>
    </row>
    <row r="6" customFormat="false" ht="15" hidden="false" customHeight="false" outlineLevel="0" collapsed="false">
      <c r="A6" s="0" t="s">
        <v>38</v>
      </c>
      <c r="B6" s="3" t="n">
        <v>27303.184</v>
      </c>
      <c r="C6" s="0" t="n">
        <f aca="false">B6*(1+C5/100)</f>
        <v>36586.26656</v>
      </c>
      <c r="D6" s="0" t="n">
        <f aca="false">C6*(1+D5/100)</f>
        <v>38415.579888</v>
      </c>
      <c r="E6" s="0" t="n">
        <f aca="false">D6*(1+E5/100)</f>
        <v>41488.82627904</v>
      </c>
      <c r="F6" s="0" t="n">
        <f aca="false">E6*(1+F5/100)</f>
        <v>44807.9323813632</v>
      </c>
      <c r="G6" s="0" t="n">
        <f aca="false">F6*(1+G5/100)</f>
        <v>48392.5669718723</v>
      </c>
      <c r="H6" s="0" t="n">
        <f aca="false">G6*(1+H5/100)</f>
        <v>51780.0466599033</v>
      </c>
      <c r="I6" s="0" t="n">
        <f aca="false">H6*(1+I5/100)</f>
        <v>54886.8494594975</v>
      </c>
      <c r="J6" s="0" t="n">
        <f aca="false">I6*(1+J5/100)</f>
        <v>57631.1919324724</v>
      </c>
      <c r="K6" s="0" t="n">
        <f aca="false">J6*(1+K5/100)</f>
        <v>60224.5955694337</v>
      </c>
      <c r="L6" s="0" t="n">
        <f aca="false">K6*(1+L5/100)</f>
        <v>62633.579392211</v>
      </c>
    </row>
    <row r="7" customFormat="false" ht="15" hidden="false" customHeight="false" outlineLevel="0" collapsed="false">
      <c r="A7" s="0" t="s">
        <v>100</v>
      </c>
      <c r="C7" s="4" t="n">
        <f aca="false">Assumptions!C42</f>
        <v>29</v>
      </c>
      <c r="D7" s="4" t="n">
        <f aca="false">Assumptions!D42</f>
        <v>27</v>
      </c>
      <c r="E7" s="4" t="n">
        <f aca="false">Assumptions!E42</f>
        <v>26.5</v>
      </c>
      <c r="F7" s="4" t="n">
        <f aca="false">Assumptions!F42</f>
        <v>26.5</v>
      </c>
      <c r="G7" s="4" t="n">
        <f aca="false">Assumptions!G42</f>
        <v>26.5</v>
      </c>
      <c r="H7" s="4" t="n">
        <f aca="false">Assumptions!H42</f>
        <v>26.5</v>
      </c>
      <c r="I7" s="4" t="n">
        <f aca="false">Assumptions!I42</f>
        <v>26.5</v>
      </c>
      <c r="J7" s="4" t="n">
        <f aca="false">Assumptions!J42</f>
        <v>26.5</v>
      </c>
      <c r="K7" s="4" t="n">
        <f aca="false">Assumptions!K42</f>
        <v>26.5</v>
      </c>
      <c r="L7" s="4" t="n">
        <f aca="false">Assumptions!L42</f>
        <v>26.5</v>
      </c>
    </row>
    <row r="8" customFormat="false" ht="15" hidden="false" customHeight="false" outlineLevel="0" collapsed="false">
      <c r="A8" s="0" t="s">
        <v>44</v>
      </c>
      <c r="C8" s="0" t="n">
        <f aca="false">C6*C7/100</f>
        <v>10610.0173024</v>
      </c>
      <c r="D8" s="0" t="n">
        <f aca="false">D6*D7/100</f>
        <v>10372.20656976</v>
      </c>
      <c r="E8" s="0" t="n">
        <f aca="false">E6*E7/100</f>
        <v>10994.5389639456</v>
      </c>
      <c r="F8" s="0" t="n">
        <f aca="false">F6*F7/100</f>
        <v>11874.1020810613</v>
      </c>
      <c r="G8" s="0" t="n">
        <f aca="false">G6*G7/100</f>
        <v>12824.0302475462</v>
      </c>
      <c r="H8" s="0" t="n">
        <f aca="false">H6*H7/100</f>
        <v>13721.7123648744</v>
      </c>
      <c r="I8" s="0" t="n">
        <f aca="false">I6*I7/100</f>
        <v>14545.0151067668</v>
      </c>
      <c r="J8" s="0" t="n">
        <f aca="false">J6*J7/100</f>
        <v>15272.2658621052</v>
      </c>
      <c r="K8" s="0" t="n">
        <f aca="false">K6*K7/100</f>
        <v>15959.5178258999</v>
      </c>
      <c r="L8" s="0" t="n">
        <f aca="false">L6*L7/100</f>
        <v>16597.8985389359</v>
      </c>
    </row>
    <row r="9" customFormat="false" ht="15" hidden="false" customHeight="false" outlineLevel="0" collapsed="false">
      <c r="A9" s="0" t="s">
        <v>101</v>
      </c>
      <c r="C9" s="4" t="n">
        <f aca="false">Assumptions!C43</f>
        <v>0.35</v>
      </c>
      <c r="D9" s="4" t="n">
        <f aca="false">Assumptions!D43</f>
        <v>0.4</v>
      </c>
      <c r="E9" s="4" t="n">
        <f aca="false">Assumptions!E43</f>
        <v>0.4</v>
      </c>
      <c r="F9" s="4" t="n">
        <f aca="false">Assumptions!F43</f>
        <v>0.4</v>
      </c>
      <c r="G9" s="4" t="n">
        <f aca="false">Assumptions!G43</f>
        <v>0.4</v>
      </c>
      <c r="H9" s="4" t="n">
        <f aca="false">Assumptions!H43</f>
        <v>0.4</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116</v>
      </c>
      <c r="C10" s="0" t="n">
        <f aca="false">-C6*C9/100</f>
        <v>-128.05193296</v>
      </c>
      <c r="D10" s="0" t="n">
        <f aca="false">-D6*D9/100</f>
        <v>-153.662319552</v>
      </c>
      <c r="E10" s="0" t="n">
        <f aca="false">-E6*E9/100</f>
        <v>-165.95530511616</v>
      </c>
      <c r="F10" s="0" t="n">
        <f aca="false">-F6*F9/100</f>
        <v>-179.231729525453</v>
      </c>
      <c r="G10" s="0" t="n">
        <f aca="false">-G6*G9/100</f>
        <v>-193.570267887489</v>
      </c>
      <c r="H10" s="0" t="n">
        <f aca="false">-H6*H9/100</f>
        <v>-207.120186639613</v>
      </c>
      <c r="I10" s="0" t="n">
        <f aca="false">-I6*I9/100</f>
        <v>-219.54739783799</v>
      </c>
      <c r="J10" s="0" t="n">
        <f aca="false">-J6*J9/100</f>
        <v>-230.52476772989</v>
      </c>
      <c r="K10" s="0" t="n">
        <f aca="false">-K6*K9/100</f>
        <v>-240.898382277735</v>
      </c>
      <c r="L10" s="0" t="n">
        <f aca="false">-L6*L9/100</f>
        <v>-250.534317568844</v>
      </c>
    </row>
    <row r="11" customFormat="false" ht="15" hidden="false" customHeight="false" outlineLevel="0" collapsed="false">
      <c r="A11" s="0" t="s">
        <v>117</v>
      </c>
      <c r="C11" s="0" t="n">
        <f aca="false">C8+C10+C24</f>
        <v>10207.56837024</v>
      </c>
      <c r="D11" s="0" t="n">
        <f aca="false">D8+D10+D24</f>
        <v>9911.219611104</v>
      </c>
      <c r="E11" s="0" t="n">
        <f aca="false">E8+E10+E24</f>
        <v>10475.9286354576</v>
      </c>
      <c r="F11" s="0" t="n">
        <f aca="false">F8+F10+F24</f>
        <v>11314.0029262942</v>
      </c>
      <c r="G11" s="0" t="n">
        <f aca="false">G8+G10+G24</f>
        <v>12219.1231603977</v>
      </c>
      <c r="H11" s="0" t="n">
        <f aca="false">H8+H10+H24</f>
        <v>13074.4617816256</v>
      </c>
      <c r="I11" s="0" t="n">
        <f aca="false">I8+I10+I24</f>
        <v>13858.9294885231</v>
      </c>
      <c r="J11" s="0" t="n">
        <f aca="false">J8+J10+J24</f>
        <v>14551.8759629493</v>
      </c>
      <c r="K11" s="0" t="n">
        <f aca="false">K8+K10+K24</f>
        <v>15206.710381282</v>
      </c>
      <c r="L11" s="0" t="n">
        <f aca="false">L8+L10+L24</f>
        <v>15814.9787965333</v>
      </c>
    </row>
    <row r="12" customFormat="false" ht="15" hidden="false" customHeight="false" outlineLevel="0" collapsed="false">
      <c r="A12" s="0" t="s">
        <v>118</v>
      </c>
      <c r="C12" s="4" t="n">
        <f aca="false">-C6*Assumptions!C45/100</f>
        <v>-146.34506624</v>
      </c>
      <c r="D12" s="4" t="n">
        <f aca="false">-D6*Assumptions!D45/100</f>
        <v>-172.870109496</v>
      </c>
      <c r="E12" s="4" t="n">
        <f aca="false">-E6*Assumptions!E45/100</f>
        <v>-207.4441313952</v>
      </c>
      <c r="F12" s="4" t="n">
        <f aca="false">-F6*Assumptions!F45/100</f>
        <v>-224.039661906816</v>
      </c>
      <c r="G12" s="4" t="n">
        <f aca="false">-G6*Assumptions!G45/100</f>
        <v>-241.962834859361</v>
      </c>
      <c r="H12" s="4" t="n">
        <f aca="false">-H6*Assumptions!H45/100</f>
        <v>-258.900233299517</v>
      </c>
      <c r="I12" s="4" t="n">
        <f aca="false">-I6*Assumptions!I45/100</f>
        <v>-274.434247297488</v>
      </c>
      <c r="J12" s="4" t="n">
        <f aca="false">-J6*Assumptions!J45/100</f>
        <v>-288.155959662362</v>
      </c>
      <c r="K12" s="4" t="n">
        <f aca="false">-K6*Assumptions!K45/100</f>
        <v>-301.122977847168</v>
      </c>
      <c r="L12" s="4" t="n">
        <f aca="false">-L6*Assumptions!L45/100</f>
        <v>-313.167896961055</v>
      </c>
    </row>
    <row r="13" customFormat="false" ht="15" hidden="false" customHeight="false" outlineLevel="0" collapsed="false">
      <c r="A13" s="0" t="s">
        <v>119</v>
      </c>
      <c r="C13" s="0" t="n">
        <f aca="false">C11+C12</f>
        <v>10061.223304</v>
      </c>
      <c r="D13" s="0" t="n">
        <f aca="false">D11+D12</f>
        <v>9738.349501608</v>
      </c>
      <c r="E13" s="0" t="n">
        <f aca="false">E11+E12</f>
        <v>10268.4845040624</v>
      </c>
      <c r="F13" s="0" t="n">
        <f aca="false">F11+F12</f>
        <v>11089.9632643874</v>
      </c>
      <c r="G13" s="0" t="n">
        <f aca="false">G11+G12</f>
        <v>11977.1603255384</v>
      </c>
      <c r="H13" s="0" t="n">
        <f aca="false">H11+H12</f>
        <v>12815.5615483261</v>
      </c>
      <c r="I13" s="0" t="n">
        <f aca="false">I11+I12</f>
        <v>13584.4952412256</v>
      </c>
      <c r="J13" s="0" t="n">
        <f aca="false">J11+J12</f>
        <v>14263.7200032869</v>
      </c>
      <c r="K13" s="0" t="n">
        <f aca="false">K11+K12</f>
        <v>14905.5874034348</v>
      </c>
      <c r="L13" s="0" t="n">
        <f aca="false">L11+L12</f>
        <v>15501.8108995722</v>
      </c>
    </row>
    <row r="14" customFormat="false" ht="15" hidden="false" customHeight="false" outlineLevel="0" collapsed="false">
      <c r="A14" s="0" t="s">
        <v>105</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120</v>
      </c>
      <c r="C15" s="0" t="n">
        <f aca="false">C13-MAX(0,C13)*C14/100</f>
        <v>7646.52971104</v>
      </c>
      <c r="D15" s="0" t="n">
        <f aca="false">D13-MAX(0,D13)*D14/100</f>
        <v>7401.14562122208</v>
      </c>
      <c r="E15" s="0" t="n">
        <f aca="false">E13-MAX(0,E13)*E14/100</f>
        <v>7804.04822308743</v>
      </c>
      <c r="F15" s="0" t="n">
        <f aca="false">F13-MAX(0,F13)*F14/100</f>
        <v>8428.37208093442</v>
      </c>
      <c r="G15" s="0" t="n">
        <f aca="false">G13-MAX(0,G13)*G14/100</f>
        <v>9102.64184740917</v>
      </c>
      <c r="H15" s="0" t="n">
        <f aca="false">H13-MAX(0,H13)*H14/100</f>
        <v>9739.82677672782</v>
      </c>
      <c r="I15" s="0" t="n">
        <f aca="false">I13-MAX(0,I13)*I14/100</f>
        <v>10324.2163833315</v>
      </c>
      <c r="J15" s="0" t="n">
        <f aca="false">J13-MAX(0,J13)*J14/100</f>
        <v>10840.4272024981</v>
      </c>
      <c r="K15" s="0" t="n">
        <f aca="false">K13-MAX(0,K13)*K14/100</f>
        <v>11328.2464266105</v>
      </c>
      <c r="L15" s="0" t="n">
        <f aca="false">L13-MAX(0,L13)*L14/100</f>
        <v>11781.3762836749</v>
      </c>
    </row>
    <row r="16" customFormat="false" ht="15" hidden="false" customHeight="false" outlineLevel="0" collapsed="false">
      <c r="A16" s="0" t="s">
        <v>121</v>
      </c>
      <c r="C16" s="0" t="n">
        <f aca="false">-C12</f>
        <v>146.34506624</v>
      </c>
      <c r="D16" s="0" t="n">
        <f aca="false">-D12</f>
        <v>172.870109496</v>
      </c>
      <c r="E16" s="0" t="n">
        <f aca="false">-E12</f>
        <v>207.4441313952</v>
      </c>
      <c r="F16" s="0" t="n">
        <f aca="false">-F12</f>
        <v>224.039661906816</v>
      </c>
      <c r="G16" s="0" t="n">
        <f aca="false">-G12</f>
        <v>241.962834859361</v>
      </c>
      <c r="H16" s="0" t="n">
        <f aca="false">-H12</f>
        <v>258.900233299517</v>
      </c>
      <c r="I16" s="0" t="n">
        <f aca="false">-I12</f>
        <v>274.434247297488</v>
      </c>
      <c r="J16" s="0" t="n">
        <f aca="false">-J12</f>
        <v>288.155959662362</v>
      </c>
      <c r="K16" s="0" t="n">
        <f aca="false">-K12</f>
        <v>301.122977847168</v>
      </c>
      <c r="L16" s="0" t="n">
        <f aca="false">-L12</f>
        <v>313.167896961055</v>
      </c>
    </row>
    <row r="17" customFormat="false" ht="15" hidden="false" customHeight="false" outlineLevel="0" collapsed="false">
      <c r="A17" s="0" t="s">
        <v>122</v>
      </c>
      <c r="C17" s="4" t="n">
        <f aca="false">-C6*Assumptions!C46/100</f>
        <v>-292.69013248</v>
      </c>
      <c r="D17" s="4" t="n">
        <f aca="false">-D6*Assumptions!D46/100</f>
        <v>-307.324639104</v>
      </c>
      <c r="E17" s="4" t="n">
        <f aca="false">-E6*Assumptions!E46/100</f>
        <v>-331.91061023232</v>
      </c>
      <c r="F17" s="4" t="n">
        <f aca="false">-F6*Assumptions!F46/100</f>
        <v>-313.655526669543</v>
      </c>
      <c r="G17" s="4" t="n">
        <f aca="false">-G6*Assumptions!G46/100</f>
        <v>-338.747968803106</v>
      </c>
      <c r="H17" s="4" t="n">
        <f aca="false">-H6*Assumptions!H46/100</f>
        <v>-362.460326619323</v>
      </c>
      <c r="I17" s="4" t="n">
        <f aca="false">-I6*Assumptions!I46/100</f>
        <v>-384.207946216483</v>
      </c>
      <c r="J17" s="4" t="n">
        <f aca="false">-J6*Assumptions!J46/100</f>
        <v>-403.418343527307</v>
      </c>
      <c r="K17" s="4" t="n">
        <f aca="false">-K6*Assumptions!K46/100</f>
        <v>-421.572168986036</v>
      </c>
      <c r="L17" s="4" t="n">
        <f aca="false">-L6*Assumptions!L46/100</f>
        <v>-438.435055745477</v>
      </c>
    </row>
    <row r="18" customFormat="false" ht="15" hidden="false" customHeight="false" outlineLevel="0" collapsed="false">
      <c r="A18" s="0" t="s">
        <v>123</v>
      </c>
      <c r="C18" s="4" t="n">
        <f aca="false">(C6-B6)*Assumptions!$B$51/100</f>
        <v>-3713.233024</v>
      </c>
      <c r="D18" s="4" t="n">
        <f aca="false">(D6-C6)*Assumptions!$B$51/100</f>
        <v>-731.725331200002</v>
      </c>
      <c r="E18" s="4" t="n">
        <f aca="false">(E6-D6)*Assumptions!$B$51/100</f>
        <v>-1229.298556416</v>
      </c>
      <c r="F18" s="4" t="n">
        <f aca="false">(F6-E6)*Assumptions!$B$51/100</f>
        <v>-1327.64244092928</v>
      </c>
      <c r="G18" s="4" t="n">
        <f aca="false">(G6-F6)*Assumptions!$B$51/100</f>
        <v>-1433.85383620363</v>
      </c>
      <c r="H18" s="4" t="n">
        <f aca="false">(H6-G6)*Assumptions!$B$51/100</f>
        <v>-1354.99187521242</v>
      </c>
      <c r="I18" s="4" t="n">
        <f aca="false">(I6-H6)*Assumptions!$B$51/100</f>
        <v>-1242.72111983768</v>
      </c>
      <c r="J18" s="4" t="n">
        <f aca="false">(J6-I6)*Assumptions!$B$51/100</f>
        <v>-1097.73698918995</v>
      </c>
      <c r="K18" s="4" t="n">
        <f aca="false">(K6-J6)*Assumptions!$B$51/100</f>
        <v>-1037.3614547845</v>
      </c>
      <c r="L18" s="4" t="n">
        <f aca="false">(L6-K6)*Assumptions!$B$51/100</f>
        <v>-963.59352911094</v>
      </c>
    </row>
    <row r="19" customFormat="false" ht="15" hidden="false" customHeight="false" outlineLevel="0" collapsed="false">
      <c r="A19" s="0" t="s">
        <v>124</v>
      </c>
      <c r="C19" s="0" t="n">
        <f aca="false">C15+C16+C17+C18</f>
        <v>3786.9516208</v>
      </c>
      <c r="D19" s="0" t="n">
        <f aca="false">D15+D16+D17+D18</f>
        <v>6534.96576041408</v>
      </c>
      <c r="E19" s="0" t="n">
        <f aca="false">E15+E16+E17+E18</f>
        <v>6450.28318783431</v>
      </c>
      <c r="F19" s="0" t="n">
        <f aca="false">F15+F16+F17+F18</f>
        <v>7011.11377524241</v>
      </c>
      <c r="G19" s="0" t="n">
        <f aca="false">G15+G16+G17+G18</f>
        <v>7572.0028772618</v>
      </c>
      <c r="H19" s="0" t="n">
        <f aca="false">H15+H16+H17+H18</f>
        <v>8281.27480819559</v>
      </c>
      <c r="I19" s="0" t="n">
        <f aca="false">I15+I16+I17+I18</f>
        <v>8971.72156457481</v>
      </c>
      <c r="J19" s="0" t="n">
        <f aca="false">J15+J16+J17+J18</f>
        <v>9627.42782944316</v>
      </c>
      <c r="K19" s="0" t="n">
        <f aca="false">K15+K16+K17+K18</f>
        <v>10170.4357806871</v>
      </c>
      <c r="L19" s="0" t="n">
        <f aca="false">L15+L16+L17+L18</f>
        <v>10692.5155957795</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3427.10553918552</v>
      </c>
      <c r="D21" s="0" t="n">
        <f aca="false">D19*D20</f>
        <v>5352.03272694177</v>
      </c>
      <c r="E21" s="0" t="n">
        <f aca="false">E19*E20</f>
        <v>4780.70502322334</v>
      </c>
      <c r="F21" s="0" t="n">
        <f aca="false">F19*F20</f>
        <v>4702.59851899948</v>
      </c>
      <c r="G21" s="0" t="n">
        <f aca="false">G19*G20</f>
        <v>4596.20488734791</v>
      </c>
      <c r="H21" s="0" t="n">
        <f aca="false">H19*H20</f>
        <v>4549.07951940983</v>
      </c>
      <c r="I21" s="0" t="n">
        <f aca="false">I19*I20</f>
        <v>4460.05116334978</v>
      </c>
      <c r="J21" s="0" t="n">
        <f aca="false">J19*J20</f>
        <v>4331.23798804167</v>
      </c>
      <c r="K21" s="0" t="n">
        <f aca="false">K19*K20</f>
        <v>4140.75046869136</v>
      </c>
      <c r="L21" s="0" t="n">
        <f aca="false">L19*L20</f>
        <v>3939.64520590532</v>
      </c>
    </row>
    <row r="23" customFormat="false" ht="15" hidden="false" customHeight="false" outlineLevel="0" collapsed="false">
      <c r="A23" s="0" t="s">
        <v>102</v>
      </c>
      <c r="C23" s="4" t="n">
        <f aca="false">Assumptions!C44</f>
        <v>0.75</v>
      </c>
      <c r="D23" s="4" t="n">
        <f aca="false">Assumptions!D44</f>
        <v>0.8</v>
      </c>
      <c r="E23" s="4" t="n">
        <f aca="false">Assumptions!E44</f>
        <v>0.85</v>
      </c>
      <c r="F23" s="4" t="n">
        <f aca="false">Assumptions!F44</f>
        <v>0.85</v>
      </c>
      <c r="G23" s="4" t="n">
        <f aca="false">Assumptions!G44</f>
        <v>0.85</v>
      </c>
      <c r="H23" s="4" t="n">
        <f aca="false">Assumptions!H44</f>
        <v>0.85</v>
      </c>
      <c r="I23" s="4" t="n">
        <f aca="false">Assumptions!I44</f>
        <v>0.85</v>
      </c>
      <c r="J23" s="4" t="n">
        <f aca="false">Assumptions!J44</f>
        <v>0.85</v>
      </c>
      <c r="K23" s="4" t="n">
        <f aca="false">Assumptions!K44</f>
        <v>0.85</v>
      </c>
      <c r="L23" s="4" t="n">
        <f aca="false">Assumptions!L44</f>
        <v>0.85</v>
      </c>
    </row>
    <row r="24" customFormat="false" ht="15" hidden="false" customHeight="false" outlineLevel="0" collapsed="false">
      <c r="A24" s="0" t="s">
        <v>127</v>
      </c>
      <c r="C24" s="0" t="n">
        <f aca="false">-C6*C23/100</f>
        <v>-274.3969992</v>
      </c>
      <c r="D24" s="0" t="n">
        <f aca="false">-D6*D23/100</f>
        <v>-307.324639104</v>
      </c>
      <c r="E24" s="0" t="n">
        <f aca="false">-E6*E23/100</f>
        <v>-352.65502337184</v>
      </c>
      <c r="F24" s="0" t="n">
        <f aca="false">-F6*F23/100</f>
        <v>-380.867425241587</v>
      </c>
      <c r="G24" s="0" t="n">
        <f aca="false">-G6*G23/100</f>
        <v>-411.336819260914</v>
      </c>
      <c r="H24" s="0" t="n">
        <f aca="false">-H6*H23/100</f>
        <v>-440.130396609178</v>
      </c>
      <c r="I24" s="0" t="n">
        <f aca="false">-I6*I23/100</f>
        <v>-466.538220405729</v>
      </c>
      <c r="J24" s="0" t="n">
        <f aca="false">-J6*J23/100</f>
        <v>-489.865131426016</v>
      </c>
      <c r="K24" s="0" t="n">
        <f aca="false">-K6*K23/100</f>
        <v>-511.909062340186</v>
      </c>
      <c r="L24" s="0" t="n">
        <f aca="false">-L6*L23/100</f>
        <v>-532.385424833794</v>
      </c>
    </row>
    <row r="26" customFormat="false" ht="15" hidden="false" customHeight="false" outlineLevel="0" collapsed="false">
      <c r="A26" s="2" t="s">
        <v>128</v>
      </c>
    </row>
    <row r="27" customFormat="false" ht="15" hidden="false" customHeight="false" outlineLevel="0" collapsed="false">
      <c r="A27" s="0" t="s">
        <v>106</v>
      </c>
      <c r="B27" s="4" t="n">
        <f aca="false">Assumptions!$B$48</f>
        <v>10.5</v>
      </c>
    </row>
    <row r="28" customFormat="false" ht="15" hidden="false" customHeight="false" outlineLevel="0" collapsed="false">
      <c r="A28" s="0" t="s">
        <v>107</v>
      </c>
      <c r="B28" s="4" t="n">
        <f aca="false">Assumptions!$B$49</f>
        <v>3.5</v>
      </c>
    </row>
    <row r="29" customFormat="false" ht="15" hidden="false" customHeight="false" outlineLevel="0" collapsed="false">
      <c r="A29" s="0" t="s">
        <v>108</v>
      </c>
      <c r="B29" s="4" t="n">
        <f aca="false">Assumptions!$B$50</f>
        <v>15</v>
      </c>
    </row>
    <row r="30" customFormat="false" ht="15" hidden="false" customHeight="false" outlineLevel="0" collapsed="false">
      <c r="A30" s="0" t="s">
        <v>129</v>
      </c>
      <c r="B30" s="0" t="n">
        <f aca="false">SUM(C21:L21)</f>
        <v>44279.411041096</v>
      </c>
    </row>
    <row r="31" customFormat="false" ht="15" hidden="false" customHeight="false" outlineLevel="0" collapsed="false">
      <c r="A31" s="0" t="s">
        <v>130</v>
      </c>
      <c r="B31" s="0" t="n">
        <f aca="false">L19</f>
        <v>10692.5155957795</v>
      </c>
    </row>
    <row r="32" customFormat="false" ht="15" hidden="false" customHeight="false" outlineLevel="0" collapsed="false">
      <c r="A32" s="0" t="s">
        <v>131</v>
      </c>
      <c r="B32" s="0" t="n">
        <f aca="false">IF(B27&gt;B28,B31*(1+B28/100)/((B27-B28)/100),B31*B29)</f>
        <v>158096.48059474</v>
      </c>
    </row>
    <row r="33" customFormat="false" ht="15" hidden="false" customHeight="false" outlineLevel="0" collapsed="false">
      <c r="A33" s="0" t="s">
        <v>132</v>
      </c>
      <c r="B33" s="0" t="n">
        <f aca="false">B31*B29</f>
        <v>160387.733936693</v>
      </c>
    </row>
    <row r="34" customFormat="false" ht="15" hidden="false" customHeight="false" outlineLevel="0" collapsed="false">
      <c r="A34" s="0" t="s">
        <v>133</v>
      </c>
      <c r="B34" s="0" t="n">
        <f aca="false">MAX(0,MIN(B32,B33))</f>
        <v>158096.48059474</v>
      </c>
    </row>
    <row r="35" customFormat="false" ht="15" hidden="false" customHeight="false" outlineLevel="0" collapsed="false">
      <c r="A35" s="0" t="s">
        <v>134</v>
      </c>
      <c r="B35" s="0" t="n">
        <f aca="false">B34/(1+B27/100)^L4</f>
        <v>58250.4684016</v>
      </c>
    </row>
    <row r="36" customFormat="false" ht="15" hidden="false" customHeight="false" outlineLevel="0" collapsed="false">
      <c r="A36" s="0" t="s">
        <v>135</v>
      </c>
      <c r="B36" s="0" t="n">
        <f aca="false">B30+B35</f>
        <v>102529.879442696</v>
      </c>
    </row>
    <row r="37" customFormat="false" ht="15" hidden="false" customHeight="false" outlineLevel="0" collapsed="false">
      <c r="A37" s="0" t="s">
        <v>136</v>
      </c>
      <c r="B37" s="0" t="n">
        <f aca="false">B36+Assumptions!$B$5-Assumptions!$B$4</f>
        <v>98378.264442696</v>
      </c>
    </row>
    <row r="38" customFormat="false" ht="15" hidden="false" customHeight="false" outlineLevel="0" collapsed="false">
      <c r="A38" s="0" t="s">
        <v>137</v>
      </c>
      <c r="B38" s="0" t="n">
        <f aca="false">B37/Assumptions!$B$3*Assumptions!$B$10</f>
        <v>653.385293201196</v>
      </c>
    </row>
    <row r="39" customFormat="false" ht="15" hidden="false" customHeight="false" outlineLevel="0" collapsed="false">
      <c r="A39" s="0" t="s">
        <v>138</v>
      </c>
      <c r="B39" s="4" t="n">
        <f aca="false">B38/Assumptions!$B$2-1</f>
        <v>1.29580215460715</v>
      </c>
    </row>
    <row r="41" customFormat="false" ht="15" hidden="false" customHeight="false" outlineLevel="0" collapsed="false">
      <c r="A41" s="0" t="s">
        <v>139</v>
      </c>
      <c r="B41" s="0" t="n">
        <f aca="false">SUMPRODUCT(-C10:L10/(1+$B$27/100)^C4:L4)</f>
        <v>1119.45976203831</v>
      </c>
    </row>
    <row r="42" customFormat="false" ht="15" hidden="false" customHeight="false" outlineLevel="0" collapsed="false">
      <c r="A42" s="0" t="s">
        <v>140</v>
      </c>
      <c r="B42" s="0" t="n">
        <f aca="false">IF(B27&gt;B28,-L10*(1+B28/100)/((B27-B28)/100),-L10*20)/(1+B27/100)^L4</f>
        <v>1364.8557459033</v>
      </c>
    </row>
    <row r="43" customFormat="false" ht="15" hidden="false" customHeight="false" outlineLevel="0" collapsed="false">
      <c r="A43" s="0" t="s">
        <v>141</v>
      </c>
      <c r="B43" s="0" t="n">
        <f aca="false">(B37+B41+B42)/Assumptions!$B$3*Assumptions!$B$10</f>
        <v>669.885027423548</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96232.6403620158</v>
      </c>
    </row>
    <row r="47" customFormat="false" ht="15" hidden="false" customHeight="false" outlineLevel="0" collapsed="false">
      <c r="A47" s="0" t="s">
        <v>143</v>
      </c>
      <c r="B47" s="0" t="n">
        <f aca="false">(SUMPRODUCT(C19:L19/(1+B45/100)^C4:L4)+B46/(1+B45/100)^L4+Assumptions!$B$5-Assumptions!$B$4)/Assumptions!$B$3*Assumptions!$B$10</f>
        <v>368.731266593418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198.147506969552</v>
      </c>
      <c r="C4" s="0" t="n">
        <f aca="false">B4/Assumptions!$B$2-1</f>
        <v>-0.303768422454138</v>
      </c>
      <c r="D4" s="4" t="n">
        <f aca="false">Assumptions!$B$24</f>
        <v>0.3</v>
      </c>
      <c r="E4" s="4" t="n">
        <f aca="false">DCF_Bear!$B$43</f>
        <v>205.129461280884</v>
      </c>
      <c r="F4" s="4" t="n">
        <f aca="false">DCF_Bear!$B$47</f>
        <v>129.347906761035</v>
      </c>
    </row>
    <row r="5" customFormat="false" ht="15" hidden="false" customHeight="false" outlineLevel="0" collapsed="false">
      <c r="A5" s="0" t="s">
        <v>152</v>
      </c>
      <c r="B5" s="4" t="n">
        <f aca="false">DCF_Base!$B$38</f>
        <v>412.110688649095</v>
      </c>
      <c r="C5" s="0" t="n">
        <f aca="false">B5/Assumptions!$B$2-1</f>
        <v>0.448034745780376</v>
      </c>
      <c r="D5" s="4" t="n">
        <f aca="false">Assumptions!$B$38</f>
        <v>0.5</v>
      </c>
      <c r="E5" s="4" t="n">
        <f aca="false">DCF_Base!$B$43</f>
        <v>423.268049946959</v>
      </c>
      <c r="F5" s="4" t="n">
        <f aca="false">DCF_Base!$B$47</f>
        <v>243.333896575757</v>
      </c>
    </row>
    <row r="6" customFormat="false" ht="15" hidden="false" customHeight="false" outlineLevel="0" collapsed="false">
      <c r="A6" s="0" t="s">
        <v>153</v>
      </c>
      <c r="B6" s="4" t="n">
        <f aca="false">DCF_Bull!$B$38</f>
        <v>653.385293201196</v>
      </c>
      <c r="C6" s="0" t="n">
        <f aca="false">B6/Assumptions!$B$2-1</f>
        <v>1.29580215460715</v>
      </c>
      <c r="D6" s="4" t="n">
        <f aca="false">Assumptions!$B$52</f>
        <v>0.2</v>
      </c>
      <c r="E6" s="4" t="n">
        <f aca="false">DCF_Bull!$B$43</f>
        <v>669.885027423548</v>
      </c>
      <c r="F6" s="4" t="n">
        <f aca="false">DCF_Bull!$B$47</f>
        <v>368.731266593418</v>
      </c>
    </row>
    <row r="8" customFormat="false" ht="15" hidden="false" customHeight="false" outlineLevel="0" collapsed="false">
      <c r="A8" s="0" t="s">
        <v>154</v>
      </c>
      <c r="B8" s="0" t="n">
        <f aca="false">SUMPRODUCT(B4:B6,D4:D6)</f>
        <v>396.176655055652</v>
      </c>
    </row>
    <row r="9" customFormat="false" ht="15" hidden="false" customHeight="false" outlineLevel="0" collapsed="false">
      <c r="A9" s="0" t="s">
        <v>155</v>
      </c>
      <c r="B9" s="0" t="n">
        <f aca="false">SUMPRODUCT(E4:E6,D4:D6)</f>
        <v>407.149868842454</v>
      </c>
    </row>
    <row r="10" customFormat="false" ht="15" hidden="false" customHeight="false" outlineLevel="0" collapsed="false">
      <c r="A10" s="0" t="s">
        <v>156</v>
      </c>
      <c r="B10" s="0" t="n">
        <f aca="false">1-Assumptions!$B$2/B8</f>
        <v>0.281633593579558</v>
      </c>
    </row>
    <row r="11" customFormat="false" ht="15" hidden="false" customHeight="false" outlineLevel="0" collapsed="false">
      <c r="A11" s="0" t="s">
        <v>157</v>
      </c>
      <c r="B11" s="0" t="n">
        <f aca="false">IF(ABS(B9-B8)&gt;0.01*ABS(B8),(Assumptions!$B$2-B8)/(B9-B8)*100,"n/a")</f>
        <v>-1016.80927049695</v>
      </c>
    </row>
    <row r="12" customFormat="false" ht="15" hidden="false" customHeight="false" outlineLevel="0" collapsed="false">
      <c r="A12" s="0" t="s">
        <v>158</v>
      </c>
      <c r="B12" s="0" t="n">
        <f aca="false">SUMPRODUCT(F4:F6,D4:D6)</f>
        <v>234.217573634872</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484.403828759881</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444.426112369893</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412.110688649095</v>
      </c>
      <c r="C17" s="3" t="n">
        <v>10.5</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383.867714561305</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336.878835391156</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243.333896575757</v>
      </c>
      <c r="C20" s="3" t="n">
        <v>15</v>
      </c>
    </row>
    <row r="22" customFormat="false" ht="15" hidden="false" customHeight="false" outlineLevel="0" collapsed="false">
      <c r="A22" s="2" t="s">
        <v>167</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503.174799194403</v>
      </c>
      <c r="C24" s="0" t="n">
        <f aca="false">(SUMPRODUCT(DCF_Base!$C$19:$L$19/(1+$A$24/100)^DCF_Base!$C$4:$L$4)+MAX(0,MIN(IF($A$24&gt;$C$23,DCF_Base!$L$19*(1+$C$23/100)/(($A$24-$C$23)/100),DCF_Base!$L$19*DCF_Base!$B$29),DCF_Base!$L$19*DCF_Base!$B$29))/(1+$A$24/100)^DCF_Base!$L$4+Assumptions!$B$5-Assumptions!$B$4)/Assumptions!$B$3*Assumptions!$B$10</f>
        <v>503.174799194403</v>
      </c>
      <c r="D24" s="0" t="n">
        <f aca="false">(SUMPRODUCT(DCF_Base!$C$19:$L$19/(1+$A$24/100)^DCF_Base!$C$4:$L$4)+MAX(0,MIN(IF($A$24&gt;$D$23,DCF_Base!$L$19*(1+$D$23/100)/(($A$24-$D$23)/100),DCF_Base!$L$19*DCF_Base!$B$29),DCF_Base!$L$19*DCF_Base!$B$29))/(1+$A$24/100)^DCF_Base!$L$4+Assumptions!$B$5-Assumptions!$B$4)/Assumptions!$B$3*Assumptions!$B$10</f>
        <v>503.174799194403</v>
      </c>
      <c r="E24" s="0" t="n">
        <f aca="false">(SUMPRODUCT(DCF_Base!$C$19:$L$19/(1+$A$24/100)^DCF_Base!$C$4:$L$4)+MAX(0,MIN(IF($A$24&gt;$E$23,DCF_Base!$L$19*(1+$E$23/100)/(($A$24-$E$23)/100),DCF_Base!$L$19*DCF_Base!$B$29),DCF_Base!$L$19*DCF_Base!$B$29))/(1+$A$24/100)^DCF_Base!$L$4+Assumptions!$B$5-Assumptions!$B$4)/Assumptions!$B$3*Assumptions!$B$10</f>
        <v>503.174799194403</v>
      </c>
      <c r="F24" s="0" t="n">
        <f aca="false">(SUMPRODUCT(DCF_Base!$C$19:$L$19/(1+$A$24/100)^DCF_Base!$C$4:$L$4)+MAX(0,MIN(IF($A$24&gt;$F$23,DCF_Base!$L$19*(1+$F$23/100)/(($A$24-$F$23)/100),DCF_Base!$L$19*DCF_Base!$B$29),DCF_Base!$L$19*DCF_Base!$B$29))/(1+$A$24/100)^DCF_Base!$L$4+Assumptions!$B$5-Assumptions!$B$4)/Assumptions!$B$3*Assumptions!$B$10</f>
        <v>503.174799194403</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441.20104528237</v>
      </c>
      <c r="C25" s="0" t="n">
        <f aca="false">(SUMPRODUCT(DCF_Base!$C$19:$L$19/(1+$A$25/100)^DCF_Base!$C$4:$L$4)+MAX(0,MIN(IF($A$25&gt;$C$23,DCF_Base!$L$19*(1+$C$23/100)/(($A$25-$C$23)/100),DCF_Base!$L$19*DCF_Base!$B$29),DCF_Base!$L$19*DCF_Base!$B$29))/(1+$A$25/100)^DCF_Base!$L$4+Assumptions!$B$5-Assumptions!$B$4)/Assumptions!$B$3*Assumptions!$B$10</f>
        <v>460.030009377034</v>
      </c>
      <c r="D25" s="0" t="n">
        <f aca="false">(SUMPRODUCT(DCF_Base!$C$19:$L$19/(1+$A$25/100)^DCF_Base!$C$4:$L$4)+MAX(0,MIN(IF($A$25&gt;$D$23,DCF_Base!$L$19*(1+$D$23/100)/(($A$25-$D$23)/100),DCF_Base!$L$19*DCF_Base!$B$29),DCF_Base!$L$19*DCF_Base!$B$29))/(1+$A$25/100)^DCF_Base!$L$4+Assumptions!$B$5-Assumptions!$B$4)/Assumptions!$B$3*Assumptions!$B$10</f>
        <v>466.478284751919</v>
      </c>
      <c r="E25" s="0" t="n">
        <f aca="false">(SUMPRODUCT(DCF_Base!$C$19:$L$19/(1+$A$25/100)^DCF_Base!$C$4:$L$4)+MAX(0,MIN(IF($A$25&gt;$E$23,DCF_Base!$L$19*(1+$E$23/100)/(($A$25-$E$23)/100),DCF_Base!$L$19*DCF_Base!$B$29),DCF_Base!$L$19*DCF_Base!$B$29))/(1+$A$25/100)^DCF_Base!$L$4+Assumptions!$B$5-Assumptions!$B$4)/Assumptions!$B$3*Assumptions!$B$10</f>
        <v>466.478284751919</v>
      </c>
      <c r="F25" s="0" t="n">
        <f aca="false">(SUMPRODUCT(DCF_Base!$C$19:$L$19/(1+$A$25/100)^DCF_Base!$C$4:$L$4)+MAX(0,MIN(IF($A$25&gt;$F$23,DCF_Base!$L$19*(1+$F$23/100)/(($A$25-$F$23)/100),DCF_Base!$L$19*DCF_Base!$B$29),DCF_Base!$L$19*DCF_Base!$B$29))/(1+$A$25/100)^DCF_Base!$L$4+Assumptions!$B$5-Assumptions!$B$4)/Assumptions!$B$3*Assumptions!$B$10</f>
        <v>466.478284751919</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383.534644536023</v>
      </c>
      <c r="C26" s="0" t="n">
        <f aca="false">(SUMPRODUCT(DCF_Base!$C$19:$L$19/(1+$A$26/100)^DCF_Base!$C$4:$L$4)+MAX(0,MIN(IF($A$26&gt;$C$23,DCF_Base!$L$19*(1+$C$23/100)/(($A$26-$C$23)/100),DCF_Base!$L$19*DCF_Base!$B$29),DCF_Base!$L$19*DCF_Base!$B$29))/(1+$A$26/100)^DCF_Base!$L$4+Assumptions!$B$5-Assumptions!$B$4)/Assumptions!$B$3*Assumptions!$B$10</f>
        <v>396.929665214025</v>
      </c>
      <c r="D26" s="0" t="n">
        <f aca="false">(SUMPRODUCT(DCF_Base!$C$19:$L$19/(1+$A$26/100)^DCF_Base!$C$4:$L$4)+MAX(0,MIN(IF($A$26&gt;$D$23,DCF_Base!$L$19*(1+$D$23/100)/(($A$26-$D$23)/100),DCF_Base!$L$19*DCF_Base!$B$29),DCF_Base!$L$19*DCF_Base!$B$29))/(1+$A$26/100)^DCF_Base!$L$4+Assumptions!$B$5-Assumptions!$B$4)/Assumptions!$B$3*Assumptions!$B$10</f>
        <v>412.110688649095</v>
      </c>
      <c r="E26" s="0" t="n">
        <f aca="false">(SUMPRODUCT(DCF_Base!$C$19:$L$19/(1+$A$26/100)^DCF_Base!$C$4:$L$4)+MAX(0,MIN(IF($A$26&gt;$E$23,DCF_Base!$L$19*(1+$E$23/100)/(($A$26-$E$23)/100),DCF_Base!$L$19*DCF_Base!$B$29),DCF_Base!$L$19*DCF_Base!$B$29))/(1+$A$26/100)^DCF_Base!$L$4+Assumptions!$B$5-Assumptions!$B$4)/Assumptions!$B$3*Assumptions!$B$10</f>
        <v>429.460429717746</v>
      </c>
      <c r="F26" s="0" t="n">
        <f aca="false">(SUMPRODUCT(DCF_Base!$C$19:$L$19/(1+$A$26/100)^DCF_Base!$C$4:$L$4)+MAX(0,MIN(IF($A$26&gt;$F$23,DCF_Base!$L$19*(1+$F$23/100)/(($A$26-$F$23)/100),DCF_Base!$L$19*DCF_Base!$B$29),DCF_Base!$L$19*DCF_Base!$B$29))/(1+$A$26/100)^DCF_Base!$L$4+Assumptions!$B$5-Assumptions!$B$4)/Assumptions!$B$3*Assumptions!$B$10</f>
        <v>432.993182424032</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338.174075411385</v>
      </c>
      <c r="C27" s="0" t="n">
        <f aca="false">(SUMPRODUCT(DCF_Base!$C$19:$L$19/(1+$A$27/100)^DCF_Base!$C$4:$L$4)+MAX(0,MIN(IF($A$27&gt;$C$23,DCF_Base!$L$19*(1+$C$23/100)/(($A$27-$C$23)/100),DCF_Base!$L$19*DCF_Base!$B$29),DCF_Base!$L$19*DCF_Base!$B$29))/(1+$A$27/100)^DCF_Base!$L$4+Assumptions!$B$5-Assumptions!$B$4)/Assumptions!$B$3*Assumptions!$B$10</f>
        <v>347.997725438142</v>
      </c>
      <c r="D27" s="0" t="n">
        <f aca="false">(SUMPRODUCT(DCF_Base!$C$19:$L$19/(1+$A$27/100)^DCF_Base!$C$4:$L$4)+MAX(0,MIN(IF($A$27&gt;$D$23,DCF_Base!$L$19*(1+$D$23/100)/(($A$27-$D$23)/100),DCF_Base!$L$19*DCF_Base!$B$29),DCF_Base!$L$19*DCF_Base!$B$29))/(1+$A$27/100)^DCF_Base!$L$4+Assumptions!$B$5-Assumptions!$B$4)/Assumptions!$B$3*Assumptions!$B$10</f>
        <v>358.977098997458</v>
      </c>
      <c r="E27" s="0" t="n">
        <f aca="false">(SUMPRODUCT(DCF_Base!$C$19:$L$19/(1+$A$27/100)^DCF_Base!$C$4:$L$4)+MAX(0,MIN(IF($A$27&gt;$E$23,DCF_Base!$L$19*(1+$E$23/100)/(($A$27-$E$23)/100),DCF_Base!$L$19*DCF_Base!$B$29),DCF_Base!$L$19*DCF_Base!$B$29))/(1+$A$27/100)^DCF_Base!$L$4+Assumptions!$B$5-Assumptions!$B$4)/Assumptions!$B$3*Assumptions!$B$10</f>
        <v>371.328894251689</v>
      </c>
      <c r="F27" s="0" t="n">
        <f aca="false">(SUMPRODUCT(DCF_Base!$C$19:$L$19/(1+$A$27/100)^DCF_Base!$C$4:$L$4)+MAX(0,MIN(IF($A$27&gt;$F$23,DCF_Base!$L$19*(1+$F$23/100)/(($A$27-$F$23)/100),DCF_Base!$L$19*DCF_Base!$B$29),DCF_Base!$L$19*DCF_Base!$B$29))/(1+$A$27/100)^DCF_Base!$L$4+Assumptions!$B$5-Assumptions!$B$4)/Assumptions!$B$3*Assumptions!$B$10</f>
        <v>385.327595539817</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301.590650022395</v>
      </c>
      <c r="C28" s="0" t="n">
        <f aca="false">(SUMPRODUCT(DCF_Base!$C$19:$L$19/(1+$A$28/100)^DCF_Base!$C$4:$L$4)+MAX(0,MIN(IF($A$28&gt;$C$23,DCF_Base!$L$19*(1+$C$23/100)/(($A$28-$C$23)/100),DCF_Base!$L$19*DCF_Base!$B$29),DCF_Base!$L$19*DCF_Base!$B$29))/(1+$A$28/100)^DCF_Base!$L$4+Assumptions!$B$5-Assumptions!$B$4)/Assumptions!$B$3*Assumptions!$B$10</f>
        <v>308.972255029058</v>
      </c>
      <c r="D28" s="0" t="n">
        <f aca="false">(SUMPRODUCT(DCF_Base!$C$19:$L$19/(1+$A$28/100)^DCF_Base!$C$4:$L$4)+MAX(0,MIN(IF($A$28&gt;$D$23,DCF_Base!$L$19*(1+$D$23/100)/(($A$28-$D$23)/100),DCF_Base!$L$19*DCF_Base!$B$29),DCF_Base!$L$19*DCF_Base!$B$29))/(1+$A$28/100)^DCF_Base!$L$4+Assumptions!$B$5-Assumptions!$B$4)/Assumptions!$B$3*Assumptions!$B$10</f>
        <v>317.130871089053</v>
      </c>
      <c r="E28" s="0" t="n">
        <f aca="false">(SUMPRODUCT(DCF_Base!$C$19:$L$19/(1+$A$28/100)^DCF_Base!$C$4:$L$4)+MAX(0,MIN(IF($A$28&gt;$E$23,DCF_Base!$L$19*(1+$E$23/100)/(($A$28-$E$23)/100),DCF_Base!$L$19*DCF_Base!$B$29),DCF_Base!$L$19*DCF_Base!$B$29))/(1+$A$28/100)^DCF_Base!$L$4+Assumptions!$B$5-Assumptions!$B$4)/Assumptions!$B$3*Assumptions!$B$10</f>
        <v>326.196000044604</v>
      </c>
      <c r="F28" s="0" t="n">
        <f aca="false">(SUMPRODUCT(DCF_Base!$C$19:$L$19/(1+$A$28/100)^DCF_Base!$C$4:$L$4)+MAX(0,MIN(IF($A$28&gt;$F$23,DCF_Base!$L$19*(1+$F$23/100)/(($A$28-$F$23)/100),DCF_Base!$L$19*DCF_Base!$B$29),DCF_Base!$L$19*DCF_Base!$B$29))/(1+$A$28/100)^DCF_Base!$L$4+Assumptions!$B$5-Assumptions!$B$4)/Assumptions!$B$3*Assumptions!$B$10</f>
        <v>336.327614759631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2026-10-23T13:49:56Z</dcterms:created>
  <dc:creator>openpyxl</dc:creator>
  <dc:description/>
  <dc:language>en-NZ</dc:language>
  <cp:lastModifiedBy/>
  <dcterms:modified xsi:type="dcterms:W3CDTF">2026-10-23T13:49:56Z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