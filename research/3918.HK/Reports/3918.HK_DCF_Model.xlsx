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Reconciliation" sheetId="2" state="visible" r:id="rId4"/>
    <sheet name="Actuals" sheetId="3" state="visible" r:id="rId5"/>
    <sheet name="Assumptions" sheetId="4" state="visible" r:id="rId6"/>
    <sheet name="DCF_Bear" sheetId="5" state="visible" r:id="rId7"/>
    <sheet name="DCF_Base" sheetId="6" state="visible" r:id="rId8"/>
    <sheet name="DCF_Bull" sheetId="7" state="visible" r:id="rId9"/>
    <sheet name="Valuation"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<sst xmlns="http://schemas.openxmlformats.org/spreadsheetml/2006/main" count="380" uniqueCount="187">
  <si>
    <t xml:space="preserve">Ticker</t>
  </si>
  <si>
    <t xml:space="preserve">3918.HK</t>
  </si>
  <si>
    <t xml:space="preserve">Company</t>
  </si>
  <si>
    <t xml:space="preserve">NagaCorp Ltd.</t>
  </si>
  <si>
    <t xml:space="preserve">Valuation date</t>
  </si>
  <si>
    <t xml:space="preserve">2026-10-23</t>
  </si>
  <si>
    <t xml:space="preserve">Current price</t>
  </si>
  <si>
    <t xml:space="preserve">Price as of</t>
  </si>
  <si>
    <t xml:space="preserve">2026-10-22T08:08:34Z (HKEX regular close)</t>
  </si>
  <si>
    <t xml:space="preserve">Balance sheet date</t>
  </si>
  <si>
    <t xml:space="preserve">2026-06-30</t>
  </si>
  <si>
    <t xml:space="preserve">Model</t>
  </si>
  <si>
    <t xml:space="preserve">owner_fcf_dcf_component</t>
  </si>
  <si>
    <t xml:space="preserve">Currency (model)</t>
  </si>
  <si>
    <t xml:space="preserve">USD</t>
  </si>
  <si>
    <t xml:space="preserve">Currency (quote)</t>
  </si>
  <si>
    <t xml:space="preserve">HKD</t>
  </si>
  <si>
    <t xml:space="preserve">Units</t>
  </si>
  <si>
    <t xml:space="preserve">millions</t>
  </si>
  <si>
    <t xml:space="preserve">Engine</t>
  </si>
  <si>
    <t xml:space="preserve">dcf_engine v1</t>
  </si>
  <si>
    <t xml:space="preserve">Built at</t>
  </si>
  <si>
    <t xml:space="preserve">2026-10-22T15:38:25Z</t>
  </si>
  <si>
    <t xml:space="preserve">Drivers file</t>
  </si>
  <si>
    <t xml:space="preserve">3918.HK_Drivers.json</t>
  </si>
  <si>
    <t xml:space="preserve">Convention</t>
  </si>
  <si>
    <t xml:space="preserve">Percents stored as percents; formulas divide by 100. Blue = input, green = link, black = formula.</t>
  </si>
  <si>
    <t xml:space="preserve">Methodology</t>
  </si>
  <si>
    <t xml:space="preserve">summary: NagaCorp is a legally protected monopoly casino in a frontier market generating ~US$300m of owner FCF on a US$1.25bn market cap with US$416m net cash -- about 2x EV/EBITDA. The cheapness is not a mispricing of the operating business; it is the market pricing the bear case on Naga3 capital allocation (the full US$3.08bn GMP commitment) together with Cambodia/sanctions country risk. The valuation therefore turns almost entirely on how much of the contracted Naga3 spend actually happens and at what return, which is why the scenarios differ mainly in the FY2027-30 capex path and the bear carries 35%. Cash flows are USD and the HKD quote is pegged, so FX is not a value driver. SBC is nil, so house and street bases coincide. Sanity check (2026-10-23): the multiples check tripped on 'base upside 168% with price in the upper half of the 10yr range'. The price-position and historical-multiple figures in that block are an fx artefact (the HKD price series was multiplied by fx_rate 7.84 instead of divided, so printed P/B ~128x, EV/EBITDA ~2250x and a 126% range position; the real position is the 10-year LOW, and real history is P/B 0.7-3.5x, EV/EBITDA 5-18x ex-COVID, P/S 2.8-8.7x ex-COVID). The one diagnosis candidate that is real -- regulatory single point of failure -- was applied as a +1.0pp WACC premium (11.5% -&gt; 12.5%); the growth candidate (4.0% vs a -9.9% COVID-distorted through-cycle CAGR) was justified rather than capped. At the post-fix base IV the implied multiples sit inside the real historical range, so the thesis framing is unchanged: a net-cash monopoly casino at ~2x EV/EBITDA whose discount is the market pricing the Naga3 capital-allocation bear case.
key_risks_to_valuation: Naga3 proceeds at or near the full US$3.08bn contracted scope, self-funded with debt, with returns far below the cost of capital (the bear case, and roughly what the current price implies); US/UK sanctions on Cambodia's Prince Group network broaden into AML enforcement, correspondent-banking or visa restrictions that hit NagaWorld's VIP and junket channels directly; Thailand-Cambodia border conflict or China outbound-travel policy depresses international arrivals for longer than the FY2026-27 dip assumed; MOEF reassesses gaming Obligation Payments or the SDA/SSDA tax exemption is eroded despite Casino Law Article 94 protection; Governance: founder-estate control (Sakai Trust) and related-party structures could divert cash flow from minorities (the Naga3 contractor relationship and the forfeited US$316m advance deserve continued scrutiny); Upside risk: a formal Naga3 downsizing announcement or a special dividend from the cash pile would move the base toward the bull case quickly</t>
  </si>
  <si>
    <t xml:space="preserve">Data sources</t>
  </si>
  <si>
    <t xml:space="preserve">price: Yahoo Finance chart API at inputs.price_as_of (HKEX regular close); 52-week range 2.20-5.80; USD/HKD from Yahoo HKD=X same date
financials: 3918.HK_Metrics.csv (FY2018-FY2025 annual, H1 FY2024-H1 FY2026 interims, USD millions, derived from core_metrics); FY2025 Annual Report cash flow statement (3918.HK_Annual_FY2025.txt:11600-11670), note 11 gaming and income tax (:12751-12890), note 30(c) Naga3 subscription termination (:14278-14312); H1 FY2026 Interim Report balance sheet (:1966-2012), cash flow (:2125-2160), note 17 capital commitments (:2622-2632), share option scheme (:1406-1428)
qualitative: 3918.HK_Analysis.json (2026-10-23): license moat, Naga3 resizing, Prince Group sanctions overhang, Thailand-Cambodia border conflict, VIP volatility</t>
  </si>
  <si>
    <t xml:space="preserve">Scenario narrative: bear</t>
  </si>
  <si>
    <t xml:space="preserve">The US$3.08bn GMP contract is honoured at full scale with no external funding: capex of ~US$700m a year FY2027-29 overwhelms ~US$300m of FCF, cash is exhausted and the company levers up for a project sized for 2019 junket demand that no longer exists. Meanwhile sanctions-driven AML scrutiny and recurring border clashes push VIP rollings down and keep Chinese arrivals subdued (revenue -10% FY2026, -3% FY2027, flat to FY2029), margins compress to 50-52%, and the MOEF chips away at the tax exemption via Obligation Payment reassessments (cash tax ramps to 10%). Naga3's eventual opening adds only ~14% to revenue against ~US$3bn invested. Terminal 10x FCF, 2% growth. This scenario values the equity at roughly today's price -- it is what the market is pricing.</t>
  </si>
  <si>
    <t xml:space="preserve">Scenario narrative: base</t>
  </si>
  <si>
    <t xml:space="preserve">Mass Market keeps compounding on Phnom Penh's growing resident/expatriate base, the new Techo airport and Chinese visa facilitation, while VIP stays volatile and flat-to-down: FY2026 revenue falls ~7% then grows 2-4% a year. Management resizes Naga3 to roughly half the 2019 GMP scope (~US$1.3bn still to spend FY2027-30), funds it from cash flow without debt or equity, and opens it late 2029 for a two-year revenue step-up of ~18% at a temporarily diluted margin. The license exclusivity holds, the SDA tax exemption is respected, and the Prince Group sanctions fallout stays a sentiment rather than a regulatory event for NagaCorp. EBITDA margin 55-58%, terminal 56%; terminal value capped at 12x FCF (Gordon at 12.5%/2.5% is 10x, so Gordon binds).</t>
  </si>
  <si>
    <t xml:space="preserve">Scenario narrative: bull</t>
  </si>
  <si>
    <t xml:space="preserve">VIP recovers as Thailand-Cambodia tensions ease and Chinese business travel returns through the new airport; Mass Market win rates and premium-mass yield hold near H1 FY2026 levels, so margins sit at 59-60%. Naga3 is phased and downsized to ~US$0.8bn of remaining spend, funded comfortably from cash, and still lifts revenue ~21% over FY2030-31. The 30% dividend payout and net cash position earn a re-rating toward a regional-peer multiple; terminal 14x FCF, 3% growth. Does NOT assume a return to 2019 junket-era VIP volumes.</t>
  </si>
  <si>
    <t xml:space="preserve">Item</t>
  </si>
  <si>
    <t xml:space="preserve">Value</t>
  </si>
  <si>
    <t xml:space="preserve">Note</t>
  </si>
  <si>
    <t xml:space="preserve">Prior valuation_date</t>
  </si>
  <si>
    <t xml:space="preserve">Prior note</t>
  </si>
  <si>
    <t xml:space="preserve">same-session fresh build, before sanity-check fix</t>
  </si>
  <si>
    <t xml:space="preserve">Prior price_then</t>
  </si>
  <si>
    <t xml:space="preserve">Prior bear</t>
  </si>
  <si>
    <t xml:space="preserve">Prior base</t>
  </si>
  <si>
    <t xml:space="preserve">Prior bull</t>
  </si>
  <si>
    <t xml:space="preserve">Prior weighted</t>
  </si>
  <si>
    <t xml:space="preserve">New valuation_date</t>
  </si>
  <si>
    <t xml:space="preserve">New price_then</t>
  </si>
  <si>
    <t xml:space="preserve">New bear</t>
  </si>
  <si>
    <t xml:space="preserve">New base</t>
  </si>
  <si>
    <t xml:space="preserve">New bull</t>
  </si>
  <si>
    <t xml:space="preserve">New weighted</t>
  </si>
  <si>
    <t xml:space="preserve">Bridge</t>
  </si>
  <si>
    <t xml:space="preserve">Prior weighted IV</t>
  </si>
  <si>
    <t xml:space="preserve">Anchor refresh (price, net cash, shares unchanged -- same session)</t>
  </si>
  <si>
    <t xml:space="preserve">Driver paths (growth, margin, capex, tax, weights) unchanged</t>
  </si>
  <si>
    <t xml:space="preserve">WACC +1.0pp regulatory single-point-of-failure premium (11.5% -&gt; 12.5%, all scenarios; bear 2.08-&gt;1.88, base 5.95-&gt;5.30, bull 8.24-&gt;7.33)</t>
  </si>
  <si>
    <t xml:space="preserve">New weighted IV</t>
  </si>
  <si>
    <t xml:space="preserve">ties to probability_weighted.weighted_iv</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</si>
  <si>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</si>
  <si>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</si>
  <si>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</si>
  <si>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</si>
  <si>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</si>
  <si>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</si>
  <si>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</si>
  <si>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</si>
  <si>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</si>
  <si>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</si>
  <si>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</si>
  <si>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</si>
  <si>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</si>
  <si>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</si>
  <si>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</si>
  <si>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</si>
  <si>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</si>
  <si>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</si>
  <si>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</si>
  <si>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</si>
  <si>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</si>
  <si>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</si>
  <si>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</si>
  <si>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</si>
  <si>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</si>
  <si>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</si>
  <si>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</si>
  <si>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</si>
  <si>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</si>
  <si>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</si>
  <si>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</si>
  <si>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</si>
  <si>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</si>
  <si>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</si>
  <si>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</si>
  <si>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</si>
  <si>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</si>
  <si>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</si>
  <si>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</si>
  <si>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</si>
  <si>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</si>
  <si>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</si>
  <si>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</si>
  <si>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</si>
  <si>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USD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</si>
  <si>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</si>
  <si>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</si>
  <si>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</si>
  <si>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</si>
  <si>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</si>
  <si>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</si>
  <si>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</si>
  <si>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</si>
  <si>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</si>
  <si>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</si>
  <si>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</si>
  <si>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</si>
  <si>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</si>
  <si>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</si>
  <si>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</si>
  <si>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</si>
  <si>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</si>
  <si>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</si>
  <si>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</si>
  <si>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</si>
  <si>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</si>
  <si>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</si>
  <si>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</si>
  <si>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</si>
  <si>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</si>
  <si>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</si>
  <si>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3918.HK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</si>
  <si>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</si>
  <si>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</si>
  <si>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</si>
  <si>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</si>
  <si>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</si>
  <si>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</si>
  <si>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</si>
  <si>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</si>
  <si>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</si>
  <si>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</si>
  <si>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</si>
  <si>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</si>
  <si>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</si>
  <si>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</si>
  <si>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</si>
  <si>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</si>
  <si>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</si>
  <si>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</si>
  <si>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</si>
  <si>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</si>
  <si>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</si>
  <si>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</si>
  <si>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</si>
  <si>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</si>
  <si>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</si>
  <si>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</si>
  <si>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</si>
  <si>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</si>
  <si>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</si>
  <si>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</si>
  <si>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3918.HK owner-FCF component DCF: base case (millions, USD)</t>
  </si>
  <si>
    <t xml:space="preserve">3918.HK owner-FCF component DCF: bull case (millions, USD)</t>
  </si>
  <si>
    <t xml:space="preserve">3918.HK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</si>
  <si>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</si>
  <si>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</si>
  <si>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</si>
  <si>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</si>
  <si>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</si>
  <si>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</si>
  <si>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</si>
  <si>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</si>
  <si>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</si>
  <si>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</si>
  <si>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</si>
  <si>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</si>
  <si>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</si>
  <si>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</si>
  <si>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</si>
  <si>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</si>
  <si>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11%</t>
  </si>
  <si>
    <t xml:space="preserve">Value per share at 12%</t>
  </si>
  <si>
    <t xml:space="preserve">Value per share at 12.5% (WACC)</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</si>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</sst>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2.22</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8"/>
  </cols>
  <sheetData>
    <row r="1" customFormat="false" ht="15" hidden="false" customHeight="false" outlineLevel="0" collapsed="false">
      <c r="A1" s="2" t="s">
        <v>37</v>
      </c>
      <c r="B1" s="2" t="s">
        <v>38</v>
      </c>
      <c r="C1" s="2" t="s">
        <v>39</v>
      </c>
    </row>
    <row r="2" customFormat="false" ht="15" hidden="false" customHeight="false" outlineLevel="0" collapsed="false">
      <c r="A2" s="0" t="s">
        <v>40</v>
      </c>
      <c r="B2" s="0" t="s">
        <v>5</v>
      </c>
    </row>
    <row r="3" customFormat="false" ht="15" hidden="false" customHeight="false" outlineLevel="0" collapsed="false">
      <c r="A3" s="0" t="s">
        <v>41</v>
      </c>
      <c r="B3" s="0" t="s">
        <v>42</v>
      </c>
    </row>
    <row r="4" customFormat="false" ht="15" hidden="false" customHeight="false" outlineLevel="0" collapsed="false">
      <c r="A4" s="0" t="s">
        <v>43</v>
      </c>
      <c r="B4" s="0" t="n">
        <v>2.22</v>
      </c>
    </row>
    <row r="5" customFormat="false" ht="15" hidden="false" customHeight="false" outlineLevel="0" collapsed="false">
      <c r="A5" s="0" t="s">
        <v>44</v>
      </c>
      <c r="B5" s="0" t="n">
        <v>2.08</v>
      </c>
    </row>
    <row r="6" customFormat="false" ht="15" hidden="false" customHeight="false" outlineLevel="0" collapsed="false">
      <c r="A6" s="0" t="s">
        <v>45</v>
      </c>
      <c r="B6" s="0" t="n">
        <v>5.95</v>
      </c>
    </row>
    <row r="7" customFormat="false" ht="15" hidden="false" customHeight="false" outlineLevel="0" collapsed="false">
      <c r="A7" s="0" t="s">
        <v>46</v>
      </c>
      <c r="B7" s="0" t="n">
        <v>8.24</v>
      </c>
    </row>
    <row r="8" customFormat="false" ht="15" hidden="false" customHeight="false" outlineLevel="0" collapsed="false">
      <c r="A8" s="0" t="s">
        <v>47</v>
      </c>
      <c r="B8" s="0" t="n">
        <v>5.05</v>
      </c>
    </row>
    <row r="9" customFormat="false" ht="15" hidden="false" customHeight="false" outlineLevel="0" collapsed="false">
      <c r="A9" s="0" t="s">
        <v>48</v>
      </c>
      <c r="B9" s="0" t="s">
        <v>5</v>
      </c>
    </row>
    <row r="10" customFormat="false" ht="15" hidden="false" customHeight="false" outlineLevel="0" collapsed="false">
      <c r="A10" s="0" t="s">
        <v>49</v>
      </c>
      <c r="B10" s="0" t="n">
        <v>2.22</v>
      </c>
    </row>
    <row r="11" customFormat="false" ht="15" hidden="false" customHeight="false" outlineLevel="0" collapsed="false">
      <c r="A11" s="0" t="s">
        <v>50</v>
      </c>
      <c r="B11" s="0" t="n">
        <v>1.88</v>
      </c>
    </row>
    <row r="12" customFormat="false" ht="15" hidden="false" customHeight="false" outlineLevel="0" collapsed="false">
      <c r="A12" s="0" t="s">
        <v>51</v>
      </c>
      <c r="B12" s="0" t="n">
        <v>5.3</v>
      </c>
    </row>
    <row r="13" customFormat="false" ht="15" hidden="false" customHeight="false" outlineLevel="0" collapsed="false">
      <c r="A13" s="0" t="s">
        <v>52</v>
      </c>
      <c r="B13" s="0" t="n">
        <v>7.33</v>
      </c>
    </row>
    <row r="14" customFormat="false" ht="15" hidden="false" customHeight="false" outlineLevel="0" collapsed="false">
      <c r="A14" s="0" t="s">
        <v>53</v>
      </c>
      <c r="B14" s="0" t="n">
        <v>4.51</v>
      </c>
    </row>
    <row r="16" customFormat="false" ht="15" hidden="false" customHeight="false" outlineLevel="0" collapsed="false">
      <c r="A16" s="2" t="s">
        <v>54</v>
      </c>
    </row>
    <row r="17" customFormat="false" ht="15" hidden="false" customHeight="false" outlineLevel="0" collapsed="false">
      <c r="A17" s="0" t="s">
        <v>55</v>
      </c>
      <c r="B17" s="0" t="n">
        <v>5.05</v>
      </c>
    </row>
    <row r="18" customFormat="false" ht="15" hidden="false" customHeight="false" outlineLevel="0" collapsed="false">
      <c r="A18" s="0" t="s">
        <v>56</v>
      </c>
      <c r="B18" s="0" t="n">
        <v>0</v>
      </c>
    </row>
    <row r="19" customFormat="false" ht="15" hidden="false" customHeight="false" outlineLevel="0" collapsed="false">
      <c r="A19" s="0" t="s">
        <v>57</v>
      </c>
      <c r="B19" s="0" t="n">
        <v>0</v>
      </c>
    </row>
    <row r="20" customFormat="false" ht="15" hidden="false" customHeight="false" outlineLevel="0" collapsed="false">
      <c r="A20" s="0" t="s">
        <v>58</v>
      </c>
      <c r="B20" s="0" t="n">
        <v>-0.54</v>
      </c>
    </row>
    <row r="21" customFormat="false" ht="15" hidden="false" customHeight="false" outlineLevel="0" collapsed="false">
      <c r="A21" s="0" t="s">
        <v>59</v>
      </c>
      <c r="B21" s="0" t="n">
        <v>4.51</v>
      </c>
      <c r="C21" s="0" t="s">
        <v>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61</v>
      </c>
      <c r="B1" s="2" t="s">
        <v>62</v>
      </c>
      <c r="C1" s="2" t="s">
        <v>63</v>
      </c>
      <c r="D1" s="2" t="s">
        <v>64</v>
      </c>
      <c r="E1" s="2" t="s">
        <v>65</v>
      </c>
      <c r="F1" s="2" t="s">
        <v>66</v>
      </c>
      <c r="G1" s="2" t="s">
        <v>67</v>
      </c>
      <c r="H1" s="2" t="s">
        <v>68</v>
      </c>
      <c r="I1" s="2" t="s">
        <v>69</v>
      </c>
      <c r="J1" s="2" t="s">
        <v>70</v>
      </c>
      <c r="K1" s="2" t="s">
        <v>71</v>
      </c>
      <c r="L1" s="2" t="s">
        <v>72</v>
      </c>
      <c r="M1" s="2" t="s">
        <v>73</v>
      </c>
      <c r="N1" s="2" t="s">
        <v>74</v>
      </c>
      <c r="O1" s="2" t="s">
        <v>75</v>
      </c>
      <c r="P1" s="2" t="s">
        <v>76</v>
      </c>
      <c r="Q1" s="2" t="s">
        <v>77</v>
      </c>
      <c r="R1" s="2" t="s">
        <v>78</v>
      </c>
      <c r="S1" s="2" t="s">
        <v>79</v>
      </c>
      <c r="T1" s="2" t="s">
        <v>80</v>
      </c>
      <c r="U1" s="2" t="s">
        <v>81</v>
      </c>
      <c r="V1" s="2" t="s">
        <v>82</v>
      </c>
      <c r="W1" s="2" t="s">
        <v>83</v>
      </c>
      <c r="X1" s="2" t="s">
        <v>84</v>
      </c>
      <c r="Y1" s="2" t="s">
        <v>85</v>
      </c>
      <c r="Z1" s="2" t="s">
        <v>86</v>
      </c>
      <c r="AA1" s="2" t="s">
        <v>17</v>
      </c>
      <c r="AB1" s="2" t="s">
        <v>87</v>
      </c>
    </row>
    <row r="2" customFormat="false" ht="15" hidden="false" customHeight="false" outlineLevel="0" collapsed="false">
      <c r="A2" s="0" t="s">
        <v>88</v>
      </c>
      <c r="B2" s="0" t="n">
        <v>1474.287</v>
      </c>
      <c r="C2" s="0" t="n">
        <v>800.806</v>
      </c>
      <c r="D2" s="0" t="n">
        <v>673.481</v>
      </c>
      <c r="E2" s="0" t="n">
        <v>45.7</v>
      </c>
      <c r="F2" s="0" t="n">
        <v>418.861</v>
      </c>
      <c r="G2" s="0" t="n">
        <v>28.4</v>
      </c>
      <c r="H2" s="0" t="n">
        <v>511.841</v>
      </c>
      <c r="I2" s="0" t="n">
        <v>390.578</v>
      </c>
      <c r="J2" s="0" t="n">
        <v>26.5</v>
      </c>
      <c r="K2" s="0" t="n">
        <v>0.09</v>
      </c>
      <c r="L2" s="0" t="n">
        <v>476.682</v>
      </c>
      <c r="M2" s="0" t="n">
        <v>243.275</v>
      </c>
      <c r="N2" s="0" t="n">
        <v>233.407</v>
      </c>
      <c r="O2" s="0" t="n">
        <v>1539.869</v>
      </c>
      <c r="P2" s="0" t="n">
        <v>1967.241</v>
      </c>
      <c r="Q2" s="0" t="n">
        <v>427.372</v>
      </c>
      <c r="R2" s="0" t="n">
        <v>291.118</v>
      </c>
      <c r="S2" s="0" t="n">
        <v>316.536</v>
      </c>
      <c r="T2" s="0" t="n">
        <v>4341.04</v>
      </c>
      <c r="U2" s="0" t="n">
        <v>0</v>
      </c>
      <c r="AA2" s="0" t="s">
        <v>18</v>
      </c>
      <c r="AB2" s="0" t="s">
        <v>14</v>
      </c>
    </row>
    <row r="3" customFormat="false" ht="15" hidden="false" customHeight="false" outlineLevel="0" collapsed="false">
      <c r="A3" s="0" t="s">
        <v>89</v>
      </c>
      <c r="B3" s="0" t="n">
        <v>1755.466</v>
      </c>
      <c r="C3" s="0" t="n">
        <v>909.162</v>
      </c>
      <c r="D3" s="0" t="n">
        <v>846.304</v>
      </c>
      <c r="E3" s="0" t="n">
        <v>48.2</v>
      </c>
      <c r="F3" s="0" t="n">
        <v>571.852</v>
      </c>
      <c r="G3" s="0" t="n">
        <v>32.6</v>
      </c>
      <c r="H3" s="0" t="n">
        <v>671.699</v>
      </c>
      <c r="I3" s="0" t="n">
        <v>521.278</v>
      </c>
      <c r="J3" s="0" t="n">
        <v>29.7</v>
      </c>
      <c r="K3" s="0" t="n">
        <v>0.1201</v>
      </c>
      <c r="L3" s="0" t="n">
        <v>690.218</v>
      </c>
      <c r="M3" s="0" t="n">
        <v>432.484</v>
      </c>
      <c r="N3" s="0" t="n">
        <v>257.734</v>
      </c>
      <c r="O3" s="0" t="n">
        <v>1788.371</v>
      </c>
      <c r="P3" s="0" t="n">
        <v>2347.021</v>
      </c>
      <c r="Q3" s="0" t="n">
        <v>558.65</v>
      </c>
      <c r="R3" s="0" t="n">
        <v>294.813</v>
      </c>
      <c r="S3" s="0" t="n">
        <v>273.377</v>
      </c>
      <c r="T3" s="0" t="n">
        <v>4341.04</v>
      </c>
      <c r="U3" s="0" t="n">
        <v>0</v>
      </c>
      <c r="AA3" s="0" t="s">
        <v>18</v>
      </c>
      <c r="AB3" s="0" t="s">
        <v>14</v>
      </c>
    </row>
    <row r="4" customFormat="false" ht="15" hidden="false" customHeight="false" outlineLevel="0" collapsed="false">
      <c r="A4" s="0" t="s">
        <v>90</v>
      </c>
      <c r="B4" s="0" t="n">
        <v>878.681</v>
      </c>
      <c r="C4" s="0" t="n">
        <v>451.676</v>
      </c>
      <c r="D4" s="0" t="n">
        <v>427.005</v>
      </c>
      <c r="E4" s="0" t="n">
        <v>48.6</v>
      </c>
      <c r="F4" s="0" t="n">
        <v>165.361</v>
      </c>
      <c r="G4" s="0" t="n">
        <v>18.8</v>
      </c>
      <c r="H4" s="0" t="n">
        <v>265.229</v>
      </c>
      <c r="I4" s="0" t="n">
        <v>102.303</v>
      </c>
      <c r="J4" s="0" t="n">
        <v>11.6</v>
      </c>
      <c r="K4" s="0" t="n">
        <v>0.0236</v>
      </c>
      <c r="L4" s="0" t="n">
        <v>213.116</v>
      </c>
      <c r="M4" s="0" t="n">
        <v>161.828</v>
      </c>
      <c r="N4" s="0" t="n">
        <v>51.288</v>
      </c>
      <c r="O4" s="0" t="n">
        <v>1656.466</v>
      </c>
      <c r="P4" s="0" t="n">
        <v>2549.33</v>
      </c>
      <c r="Q4" s="0" t="n">
        <v>892.864</v>
      </c>
      <c r="R4" s="0" t="n">
        <v>635.649</v>
      </c>
      <c r="S4" s="0" t="n">
        <v>437.741</v>
      </c>
      <c r="T4" s="0" t="n">
        <v>4341.04</v>
      </c>
      <c r="U4" s="0" t="n">
        <v>0</v>
      </c>
      <c r="AA4" s="0" t="s">
        <v>18</v>
      </c>
      <c r="AB4" s="0" t="s">
        <v>14</v>
      </c>
    </row>
    <row r="5" customFormat="false" ht="15" hidden="false" customHeight="false" outlineLevel="0" collapsed="false">
      <c r="A5" s="0" t="s">
        <v>91</v>
      </c>
      <c r="B5" s="0" t="n">
        <v>225.857</v>
      </c>
      <c r="C5" s="0" t="n">
        <v>82.331</v>
      </c>
      <c r="D5" s="0" t="n">
        <v>143.526</v>
      </c>
      <c r="E5" s="0" t="n">
        <v>63.5</v>
      </c>
      <c r="F5" s="0" t="n">
        <v>-103.606</v>
      </c>
      <c r="G5" s="0" t="n">
        <v>-45.9</v>
      </c>
      <c r="H5" s="0" t="n">
        <v>15.566</v>
      </c>
      <c r="I5" s="0" t="n">
        <v>-147.022</v>
      </c>
      <c r="J5" s="0" t="n">
        <v>-65.1</v>
      </c>
      <c r="K5" s="0" t="n">
        <v>-0.0336</v>
      </c>
      <c r="L5" s="0" t="n">
        <v>35.954</v>
      </c>
      <c r="M5" s="0" t="n">
        <v>150.249</v>
      </c>
      <c r="N5" s="0" t="n">
        <v>-114.295</v>
      </c>
      <c r="O5" s="0" t="n">
        <v>1649.523</v>
      </c>
      <c r="P5" s="0" t="n">
        <v>2427.143</v>
      </c>
      <c r="Q5" s="0" t="n">
        <v>777.62</v>
      </c>
      <c r="R5" s="0" t="n">
        <v>542.952</v>
      </c>
      <c r="S5" s="0" t="n">
        <v>102.724</v>
      </c>
      <c r="T5" s="0" t="n">
        <v>4341.04</v>
      </c>
      <c r="U5" s="0" t="n">
        <v>0</v>
      </c>
      <c r="AA5" s="0" t="s">
        <v>18</v>
      </c>
      <c r="AB5" s="0" t="s">
        <v>14</v>
      </c>
    </row>
    <row r="6" customFormat="false" ht="15" hidden="false" customHeight="false" outlineLevel="0" collapsed="false">
      <c r="A6" s="0" t="s">
        <v>92</v>
      </c>
      <c r="B6" s="0" t="n">
        <v>460.693</v>
      </c>
      <c r="C6" s="0" t="n">
        <v>84.727</v>
      </c>
      <c r="D6" s="0" t="n">
        <v>375.966</v>
      </c>
      <c r="E6" s="0" t="n">
        <v>81.6</v>
      </c>
      <c r="F6" s="0" t="n">
        <v>131.722</v>
      </c>
      <c r="G6" s="0" t="n">
        <v>28.6</v>
      </c>
      <c r="H6" s="0" t="n">
        <v>245.416</v>
      </c>
      <c r="I6" s="0" t="n">
        <v>107.254</v>
      </c>
      <c r="J6" s="0" t="n">
        <v>23.3</v>
      </c>
      <c r="K6" s="0" t="n">
        <v>0.0242</v>
      </c>
      <c r="L6" s="0" t="n">
        <v>306.539</v>
      </c>
      <c r="M6" s="0" t="n">
        <v>128.208</v>
      </c>
      <c r="N6" s="0" t="n">
        <v>178.331</v>
      </c>
      <c r="O6" s="0" t="n">
        <v>1849.327</v>
      </c>
      <c r="P6" s="0" t="n">
        <v>2589.656</v>
      </c>
      <c r="Q6" s="0" t="n">
        <v>740.329</v>
      </c>
      <c r="R6" s="0" t="n">
        <v>468.827</v>
      </c>
      <c r="S6" s="0" t="n">
        <v>156.004</v>
      </c>
      <c r="T6" s="0" t="n">
        <v>4382.16</v>
      </c>
      <c r="U6" s="0" t="n">
        <v>0</v>
      </c>
      <c r="AA6" s="0" t="s">
        <v>18</v>
      </c>
      <c r="AB6" s="0" t="s">
        <v>14</v>
      </c>
    </row>
    <row r="7" customFormat="false" ht="15" hidden="false" customHeight="false" outlineLevel="0" collapsed="false">
      <c r="A7" s="0" t="s">
        <v>93</v>
      </c>
      <c r="B7" s="0" t="n">
        <v>533.247</v>
      </c>
      <c r="C7" s="0" t="n">
        <v>111.611</v>
      </c>
      <c r="D7" s="0" t="n">
        <v>421.636</v>
      </c>
      <c r="E7" s="0" t="n">
        <v>79.1</v>
      </c>
      <c r="F7" s="0" t="n">
        <v>198.676</v>
      </c>
      <c r="G7" s="0" t="n">
        <v>37.3</v>
      </c>
      <c r="H7" s="0" t="n">
        <v>295.338</v>
      </c>
      <c r="I7" s="0" t="n">
        <v>177.732</v>
      </c>
      <c r="J7" s="0" t="n">
        <v>33.3</v>
      </c>
      <c r="K7" s="0" t="n">
        <v>0.0402</v>
      </c>
      <c r="L7" s="0" t="n">
        <v>289.117</v>
      </c>
      <c r="M7" s="0" t="n">
        <v>54.863</v>
      </c>
      <c r="N7" s="0" t="n">
        <v>234.254</v>
      </c>
      <c r="O7" s="0" t="n">
        <v>2024.646</v>
      </c>
      <c r="P7" s="0" t="n">
        <v>2750.856</v>
      </c>
      <c r="Q7" s="0" t="n">
        <v>726.21</v>
      </c>
      <c r="R7" s="0" t="n">
        <v>471.021</v>
      </c>
      <c r="S7" s="0" t="n">
        <v>348.381</v>
      </c>
      <c r="T7" s="0" t="n">
        <v>4423.04</v>
      </c>
      <c r="U7" s="0" t="n">
        <v>0</v>
      </c>
      <c r="AA7" s="0" t="s">
        <v>18</v>
      </c>
      <c r="AB7" s="0" t="s">
        <v>14</v>
      </c>
    </row>
    <row r="8" customFormat="false" ht="15" hidden="false" customHeight="false" outlineLevel="0" collapsed="false">
      <c r="A8" s="0" t="s">
        <v>94</v>
      </c>
      <c r="B8" s="0" t="n">
        <v>562.512</v>
      </c>
      <c r="C8" s="0" t="n">
        <v>105.826</v>
      </c>
      <c r="D8" s="0" t="n">
        <v>456.686</v>
      </c>
      <c r="E8" s="0" t="n">
        <v>81.2</v>
      </c>
      <c r="F8" s="0" t="n">
        <v>110.859</v>
      </c>
      <c r="G8" s="0" t="n">
        <v>19.7</v>
      </c>
      <c r="H8" s="0" t="n">
        <v>202.847</v>
      </c>
      <c r="I8" s="0" t="n">
        <v>109.592</v>
      </c>
      <c r="J8" s="0" t="n">
        <v>19.5</v>
      </c>
      <c r="K8" s="0" t="n">
        <v>0.0248</v>
      </c>
      <c r="L8" s="0" t="n">
        <v>306.62</v>
      </c>
      <c r="M8" s="0" t="n">
        <v>115.945</v>
      </c>
      <c r="N8" s="0" t="n">
        <v>190.675</v>
      </c>
      <c r="O8" s="0" t="n">
        <v>2155.381</v>
      </c>
      <c r="P8" s="0" t="n">
        <v>2459.846</v>
      </c>
      <c r="Q8" s="0" t="n">
        <v>304.465</v>
      </c>
      <c r="R8" s="0" t="n">
        <v>70</v>
      </c>
      <c r="S8" s="0" t="n">
        <v>120.395</v>
      </c>
      <c r="T8" s="0" t="n">
        <v>4423.04</v>
      </c>
      <c r="U8" s="0" t="n">
        <v>0</v>
      </c>
      <c r="AA8" s="0" t="s">
        <v>18</v>
      </c>
      <c r="AB8" s="0" t="s">
        <v>14</v>
      </c>
    </row>
    <row r="9" customFormat="false" ht="15" hidden="false" customHeight="false" outlineLevel="0" collapsed="false">
      <c r="A9" s="0" t="s">
        <v>95</v>
      </c>
      <c r="B9" s="0" t="n">
        <v>709.673</v>
      </c>
      <c r="C9" s="0" t="n">
        <v>132.758</v>
      </c>
      <c r="D9" s="0" t="n">
        <v>576.915</v>
      </c>
      <c r="E9" s="0" t="n">
        <v>81.3</v>
      </c>
      <c r="F9" s="0" t="n">
        <v>311.253</v>
      </c>
      <c r="G9" s="0" t="n">
        <v>43.9</v>
      </c>
      <c r="H9" s="0" t="n">
        <v>404.44</v>
      </c>
      <c r="I9" s="0" t="n">
        <v>309.907</v>
      </c>
      <c r="J9" s="0" t="n">
        <v>43.7</v>
      </c>
      <c r="K9" s="0" t="n">
        <v>0.0701</v>
      </c>
      <c r="L9" s="0" t="n">
        <v>388.545</v>
      </c>
      <c r="M9" s="0" t="n">
        <v>85.312</v>
      </c>
      <c r="N9" s="0" t="n">
        <v>303.233</v>
      </c>
      <c r="O9" s="0" t="n">
        <v>2401.522</v>
      </c>
      <c r="P9" s="0" t="n">
        <v>2769.098</v>
      </c>
      <c r="Q9" s="0" t="n">
        <v>367.576</v>
      </c>
      <c r="R9" s="0" t="n">
        <v>70</v>
      </c>
      <c r="S9" s="0" t="n">
        <v>372.094</v>
      </c>
      <c r="T9" s="0" t="n">
        <v>4423.04</v>
      </c>
      <c r="U9" s="0" t="n">
        <v>0</v>
      </c>
      <c r="AA9" s="0" t="s">
        <v>18</v>
      </c>
      <c r="AB9"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96</v>
      </c>
      <c r="B1" s="2" t="s">
        <v>38</v>
      </c>
    </row>
    <row r="2" customFormat="false" ht="15" hidden="false" customHeight="false" outlineLevel="0" collapsed="false">
      <c r="A2" s="0" t="s">
        <v>97</v>
      </c>
      <c r="B2" s="3" t="n">
        <v>2.22</v>
      </c>
    </row>
    <row r="3" customFormat="false" ht="15" hidden="false" customHeight="false" outlineLevel="0" collapsed="false">
      <c r="A3" s="0" t="s">
        <v>98</v>
      </c>
      <c r="B3" s="3" t="n">
        <v>4422.99</v>
      </c>
    </row>
    <row r="4" customFormat="false" ht="15" hidden="false" customHeight="false" outlineLevel="0" collapsed="false">
      <c r="A4" s="0" t="s">
        <v>99</v>
      </c>
      <c r="B4" s="3" t="n">
        <v>-416.101</v>
      </c>
    </row>
    <row r="5" customFormat="false" ht="15" hidden="false" customHeight="false" outlineLevel="0" collapsed="false">
      <c r="A5" s="0" t="s">
        <v>100</v>
      </c>
      <c r="B5" s="3" t="n">
        <v>0</v>
      </c>
    </row>
    <row r="6" customFormat="false" ht="15" hidden="false" customHeight="false" outlineLevel="0" collapsed="false">
      <c r="A6" s="0" t="s">
        <v>101</v>
      </c>
      <c r="B6" s="3" t="n">
        <v>15</v>
      </c>
    </row>
    <row r="7" customFormat="false" ht="15" hidden="false" customHeight="false" outlineLevel="0" collapsed="false">
      <c r="A7" s="0" t="s">
        <v>102</v>
      </c>
      <c r="B7" s="3" t="n">
        <v>709.673</v>
      </c>
    </row>
    <row r="8" customFormat="false" ht="15" hidden="false" customHeight="false" outlineLevel="0" collapsed="false">
      <c r="A8" s="0" t="s">
        <v>103</v>
      </c>
      <c r="B8" s="3" t="s">
        <v>95</v>
      </c>
    </row>
    <row r="9" customFormat="false" ht="15" hidden="false" customHeight="false" outlineLevel="0" collapsed="false">
      <c r="A9" s="0" t="s">
        <v>104</v>
      </c>
      <c r="B9" s="3" t="s">
        <v>105</v>
      </c>
    </row>
    <row r="10" customFormat="false" ht="15" hidden="false" customHeight="false" outlineLevel="0" collapsed="false">
      <c r="A10" s="0" t="s">
        <v>106</v>
      </c>
      <c r="B10" s="3" t="n">
        <v>7.8365</v>
      </c>
    </row>
    <row r="12" customFormat="false" ht="15" hidden="false" customHeight="false" outlineLevel="0" collapsed="false">
      <c r="A12" s="2" t="s">
        <v>107</v>
      </c>
      <c r="C12" s="2" t="s">
        <v>108</v>
      </c>
      <c r="D12" s="2" t="s">
        <v>109</v>
      </c>
      <c r="E12" s="2" t="s">
        <v>110</v>
      </c>
      <c r="F12" s="2" t="s">
        <v>111</v>
      </c>
      <c r="G12" s="2" t="s">
        <v>112</v>
      </c>
      <c r="H12" s="2" t="s">
        <v>113</v>
      </c>
      <c r="I12" s="2" t="s">
        <v>114</v>
      </c>
      <c r="J12" s="2" t="s">
        <v>115</v>
      </c>
      <c r="K12" s="2" t="s">
        <v>116</v>
      </c>
      <c r="L12" s="2" t="s">
        <v>117</v>
      </c>
    </row>
    <row r="13" customFormat="false" ht="15" hidden="false" customHeight="false" outlineLevel="0" collapsed="false">
      <c r="A13" s="0" t="s">
        <v>118</v>
      </c>
      <c r="C13" s="3" t="n">
        <v>-10</v>
      </c>
      <c r="D13" s="3" t="n">
        <v>-3</v>
      </c>
      <c r="E13" s="3" t="n">
        <v>0</v>
      </c>
      <c r="F13" s="3" t="n">
        <v>0</v>
      </c>
      <c r="G13" s="3" t="n">
        <v>8</v>
      </c>
      <c r="H13" s="3" t="n">
        <v>6</v>
      </c>
      <c r="I13" s="3" t="n">
        <v>3</v>
      </c>
      <c r="J13" s="3" t="n">
        <v>2</v>
      </c>
      <c r="K13" s="3" t="n">
        <v>2</v>
      </c>
      <c r="L13" s="3" t="n">
        <v>2</v>
      </c>
    </row>
    <row r="14" customFormat="false" ht="15" hidden="false" customHeight="false" outlineLevel="0" collapsed="false">
      <c r="A14" s="0" t="s">
        <v>119</v>
      </c>
      <c r="C14" s="3" t="n">
        <v>55</v>
      </c>
      <c r="D14" s="3" t="n">
        <v>52</v>
      </c>
      <c r="E14" s="3" t="n">
        <v>52</v>
      </c>
      <c r="F14" s="3" t="n">
        <v>52</v>
      </c>
      <c r="G14" s="3" t="n">
        <v>50</v>
      </c>
      <c r="H14" s="3" t="n">
        <v>51</v>
      </c>
      <c r="I14" s="3" t="n">
        <v>52</v>
      </c>
      <c r="J14" s="3" t="n">
        <v>52</v>
      </c>
      <c r="K14" s="3" t="n">
        <v>52</v>
      </c>
      <c r="L14" s="3" t="n">
        <v>52</v>
      </c>
    </row>
    <row r="15" customFormat="false" ht="15" hidden="false" customHeight="false" outlineLevel="0" collapsed="false">
      <c r="A15" s="0" t="s">
        <v>120</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121</v>
      </c>
      <c r="C16" s="3" t="n">
        <v>3</v>
      </c>
      <c r="D16" s="3" t="n">
        <v>3</v>
      </c>
      <c r="E16" s="3" t="n">
        <v>3</v>
      </c>
      <c r="F16" s="3" t="n">
        <v>3</v>
      </c>
      <c r="G16" s="3" t="n">
        <v>3</v>
      </c>
      <c r="H16" s="3" t="n">
        <v>3</v>
      </c>
      <c r="I16" s="3" t="n">
        <v>3</v>
      </c>
      <c r="J16" s="3" t="n">
        <v>3</v>
      </c>
      <c r="K16" s="3" t="n">
        <v>3</v>
      </c>
      <c r="L16" s="3" t="n">
        <v>3</v>
      </c>
    </row>
    <row r="17" customFormat="false" ht="15" hidden="false" customHeight="false" outlineLevel="0" collapsed="false">
      <c r="A17" s="0" t="s">
        <v>122</v>
      </c>
      <c r="C17" s="3" t="n">
        <v>14</v>
      </c>
      <c r="D17" s="3" t="n">
        <v>14</v>
      </c>
      <c r="E17" s="3" t="n">
        <v>14</v>
      </c>
      <c r="F17" s="3" t="n">
        <v>14</v>
      </c>
      <c r="G17" s="3" t="n">
        <v>25</v>
      </c>
      <c r="H17" s="3" t="n">
        <v>25</v>
      </c>
      <c r="I17" s="3" t="n">
        <v>24</v>
      </c>
      <c r="J17" s="3" t="n">
        <v>23</v>
      </c>
      <c r="K17" s="3" t="n">
        <v>22</v>
      </c>
      <c r="L17" s="3" t="n">
        <v>22</v>
      </c>
    </row>
    <row r="18" customFormat="false" ht="15" hidden="false" customHeight="false" outlineLevel="0" collapsed="false">
      <c r="A18" s="0" t="s">
        <v>123</v>
      </c>
      <c r="C18" s="3" t="n">
        <v>15</v>
      </c>
      <c r="D18" s="3" t="n">
        <v>110</v>
      </c>
      <c r="E18" s="3" t="n">
        <v>110</v>
      </c>
      <c r="F18" s="3" t="n">
        <v>110</v>
      </c>
      <c r="G18" s="3" t="n">
        <v>60</v>
      </c>
      <c r="H18" s="3" t="n">
        <v>12</v>
      </c>
      <c r="I18" s="3" t="n">
        <v>12</v>
      </c>
      <c r="J18" s="3" t="n">
        <v>12</v>
      </c>
      <c r="K18" s="3" t="n">
        <v>12</v>
      </c>
      <c r="L18" s="3" t="n">
        <v>12</v>
      </c>
    </row>
    <row r="19" customFormat="false" ht="15" hidden="false" customHeight="false" outlineLevel="0" collapsed="false">
      <c r="A19" s="0" t="s">
        <v>124</v>
      </c>
      <c r="C19" s="3" t="n">
        <v>0.5</v>
      </c>
      <c r="D19" s="3" t="n">
        <v>1</v>
      </c>
      <c r="E19" s="3" t="n">
        <v>2</v>
      </c>
      <c r="F19" s="3" t="n">
        <v>3</v>
      </c>
      <c r="G19" s="3" t="n">
        <v>5</v>
      </c>
      <c r="H19" s="3" t="n">
        <v>7</v>
      </c>
      <c r="I19" s="3" t="n">
        <v>10</v>
      </c>
      <c r="J19" s="3" t="n">
        <v>10</v>
      </c>
      <c r="K19" s="3" t="n">
        <v>10</v>
      </c>
      <c r="L19" s="3" t="n">
        <v>10</v>
      </c>
    </row>
    <row r="20" customFormat="false" ht="15" hidden="false" customHeight="false" outlineLevel="0" collapsed="false">
      <c r="A20" s="0" t="s">
        <v>125</v>
      </c>
      <c r="B20" s="3" t="n">
        <v>12.5</v>
      </c>
    </row>
    <row r="21" customFormat="false" ht="15" hidden="false" customHeight="false" outlineLevel="0" collapsed="false">
      <c r="A21" s="0" t="s">
        <v>126</v>
      </c>
      <c r="B21" s="3" t="n">
        <v>2</v>
      </c>
    </row>
    <row r="22" customFormat="false" ht="15" hidden="false" customHeight="false" outlineLevel="0" collapsed="false">
      <c r="A22" s="0" t="s">
        <v>127</v>
      </c>
      <c r="B22" s="3" t="n">
        <v>10</v>
      </c>
    </row>
    <row r="23" customFormat="false" ht="15" hidden="false" customHeight="false" outlineLevel="0" collapsed="false">
      <c r="A23" s="0" t="s">
        <v>128</v>
      </c>
      <c r="B23" s="3" t="n">
        <v>0</v>
      </c>
    </row>
    <row r="24" customFormat="false" ht="15" hidden="false" customHeight="false" outlineLevel="0" collapsed="false">
      <c r="A24" s="0" t="s">
        <v>129</v>
      </c>
      <c r="B24" s="3" t="n">
        <v>0.35</v>
      </c>
    </row>
    <row r="26" customFormat="false" ht="15" hidden="false" customHeight="false" outlineLevel="0" collapsed="false">
      <c r="A26" s="2" t="s">
        <v>130</v>
      </c>
      <c r="C26" s="2" t="s">
        <v>108</v>
      </c>
      <c r="D26" s="2" t="s">
        <v>109</v>
      </c>
      <c r="E26" s="2" t="s">
        <v>110</v>
      </c>
      <c r="F26" s="2" t="s">
        <v>111</v>
      </c>
      <c r="G26" s="2" t="s">
        <v>112</v>
      </c>
      <c r="H26" s="2" t="s">
        <v>113</v>
      </c>
      <c r="I26" s="2" t="s">
        <v>114</v>
      </c>
      <c r="J26" s="2" t="s">
        <v>115</v>
      </c>
      <c r="K26" s="2" t="s">
        <v>116</v>
      </c>
      <c r="L26" s="2" t="s">
        <v>117</v>
      </c>
    </row>
    <row r="27" customFormat="false" ht="15" hidden="false" customHeight="false" outlineLevel="0" collapsed="false">
      <c r="A27" s="0" t="s">
        <v>118</v>
      </c>
      <c r="C27" s="3" t="n">
        <v>-7</v>
      </c>
      <c r="D27" s="3" t="n">
        <v>2</v>
      </c>
      <c r="E27" s="3" t="n">
        <v>4</v>
      </c>
      <c r="F27" s="3" t="n">
        <v>4</v>
      </c>
      <c r="G27" s="3" t="n">
        <v>10</v>
      </c>
      <c r="H27" s="3" t="n">
        <v>8</v>
      </c>
      <c r="I27" s="3" t="n">
        <v>5</v>
      </c>
      <c r="J27" s="3" t="n">
        <v>3.5</v>
      </c>
      <c r="K27" s="3" t="n">
        <v>3</v>
      </c>
      <c r="L27" s="3" t="n">
        <v>2.5</v>
      </c>
    </row>
    <row r="28" customFormat="false" ht="15" hidden="false" customHeight="false" outlineLevel="0" collapsed="false">
      <c r="A28" s="0" t="s">
        <v>119</v>
      </c>
      <c r="C28" s="3" t="n">
        <v>58</v>
      </c>
      <c r="D28" s="3" t="n">
        <v>57</v>
      </c>
      <c r="E28" s="3" t="n">
        <v>57</v>
      </c>
      <c r="F28" s="3" t="n">
        <v>57</v>
      </c>
      <c r="G28" s="3" t="n">
        <v>55</v>
      </c>
      <c r="H28" s="3" t="n">
        <v>55</v>
      </c>
      <c r="I28" s="3" t="n">
        <v>56</v>
      </c>
      <c r="J28" s="3" t="n">
        <v>56</v>
      </c>
      <c r="K28" s="3" t="n">
        <v>56</v>
      </c>
      <c r="L28" s="3" t="n">
        <v>56</v>
      </c>
    </row>
    <row r="29" customFormat="false" ht="15" hidden="false" customHeight="false" outlineLevel="0" collapsed="false">
      <c r="A29" s="0" t="s">
        <v>120</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121</v>
      </c>
      <c r="C30" s="3" t="n">
        <v>3</v>
      </c>
      <c r="D30" s="3" t="n">
        <v>3</v>
      </c>
      <c r="E30" s="3" t="n">
        <v>3</v>
      </c>
      <c r="F30" s="3" t="n">
        <v>3</v>
      </c>
      <c r="G30" s="3" t="n">
        <v>3</v>
      </c>
      <c r="H30" s="3" t="n">
        <v>3</v>
      </c>
      <c r="I30" s="3" t="n">
        <v>3</v>
      </c>
      <c r="J30" s="3" t="n">
        <v>3</v>
      </c>
      <c r="K30" s="3" t="n">
        <v>3</v>
      </c>
      <c r="L30" s="3" t="n">
        <v>3</v>
      </c>
    </row>
    <row r="31" customFormat="false" ht="15" hidden="false" customHeight="false" outlineLevel="0" collapsed="false">
      <c r="A31" s="0" t="s">
        <v>122</v>
      </c>
      <c r="C31" s="3" t="n">
        <v>14</v>
      </c>
      <c r="D31" s="3" t="n">
        <v>14</v>
      </c>
      <c r="E31" s="3" t="n">
        <v>14</v>
      </c>
      <c r="F31" s="3" t="n">
        <v>14</v>
      </c>
      <c r="G31" s="3" t="n">
        <v>20</v>
      </c>
      <c r="H31" s="3" t="n">
        <v>20</v>
      </c>
      <c r="I31" s="3" t="n">
        <v>19</v>
      </c>
      <c r="J31" s="3" t="n">
        <v>18</v>
      </c>
      <c r="K31" s="3" t="n">
        <v>18</v>
      </c>
      <c r="L31" s="3" t="n">
        <v>18</v>
      </c>
    </row>
    <row r="32" customFormat="false" ht="15" hidden="false" customHeight="false" outlineLevel="0" collapsed="false">
      <c r="A32" s="0" t="s">
        <v>123</v>
      </c>
      <c r="C32" s="3" t="n">
        <v>15</v>
      </c>
      <c r="D32" s="3" t="n">
        <v>40</v>
      </c>
      <c r="E32" s="3" t="n">
        <v>55</v>
      </c>
      <c r="F32" s="3" t="n">
        <v>55</v>
      </c>
      <c r="G32" s="3" t="n">
        <v>30</v>
      </c>
      <c r="H32" s="3" t="n">
        <v>10</v>
      </c>
      <c r="I32" s="3" t="n">
        <v>8</v>
      </c>
      <c r="J32" s="3" t="n">
        <v>8</v>
      </c>
      <c r="K32" s="3" t="n">
        <v>8</v>
      </c>
      <c r="L32" s="3" t="n">
        <v>8</v>
      </c>
    </row>
    <row r="33" customFormat="false" ht="15" hidden="false" customHeight="false" outlineLevel="0" collapsed="false">
      <c r="A33" s="0" t="s">
        <v>124</v>
      </c>
      <c r="C33" s="3" t="n">
        <v>0.5</v>
      </c>
      <c r="D33" s="3" t="n">
        <v>0.5</v>
      </c>
      <c r="E33" s="3" t="n">
        <v>1</v>
      </c>
      <c r="F33" s="3" t="n">
        <v>1</v>
      </c>
      <c r="G33" s="3" t="n">
        <v>1.5</v>
      </c>
      <c r="H33" s="3" t="n">
        <v>2</v>
      </c>
      <c r="I33" s="3" t="n">
        <v>2</v>
      </c>
      <c r="J33" s="3" t="n">
        <v>2</v>
      </c>
      <c r="K33" s="3" t="n">
        <v>2</v>
      </c>
      <c r="L33" s="3" t="n">
        <v>2</v>
      </c>
    </row>
    <row r="34" customFormat="false" ht="15" hidden="false" customHeight="false" outlineLevel="0" collapsed="false">
      <c r="A34" s="0" t="s">
        <v>125</v>
      </c>
      <c r="B34" s="3" t="n">
        <v>12.5</v>
      </c>
    </row>
    <row r="35" customFormat="false" ht="15" hidden="false" customHeight="false" outlineLevel="0" collapsed="false">
      <c r="A35" s="0" t="s">
        <v>126</v>
      </c>
      <c r="B35" s="3" t="n">
        <v>2.5</v>
      </c>
    </row>
    <row r="36" customFormat="false" ht="15" hidden="false" customHeight="false" outlineLevel="0" collapsed="false">
      <c r="A36" s="0" t="s">
        <v>127</v>
      </c>
      <c r="B36" s="3" t="n">
        <v>12</v>
      </c>
    </row>
    <row r="37" customFormat="false" ht="15" hidden="false" customHeight="false" outlineLevel="0" collapsed="false">
      <c r="A37" s="0" t="s">
        <v>128</v>
      </c>
      <c r="B37" s="3" t="n">
        <v>0</v>
      </c>
    </row>
    <row r="38" customFormat="false" ht="15" hidden="false" customHeight="false" outlineLevel="0" collapsed="false">
      <c r="A38" s="0" t="s">
        <v>129</v>
      </c>
      <c r="B38" s="3" t="n">
        <v>0.45</v>
      </c>
    </row>
    <row r="40" customFormat="false" ht="15" hidden="false" customHeight="false" outlineLevel="0" collapsed="false">
      <c r="A40" s="2" t="s">
        <v>131</v>
      </c>
      <c r="C40" s="2" t="s">
        <v>108</v>
      </c>
      <c r="D40" s="2" t="s">
        <v>109</v>
      </c>
      <c r="E40" s="2" t="s">
        <v>110</v>
      </c>
      <c r="F40" s="2" t="s">
        <v>111</v>
      </c>
      <c r="G40" s="2" t="s">
        <v>112</v>
      </c>
      <c r="H40" s="2" t="s">
        <v>113</v>
      </c>
      <c r="I40" s="2" t="s">
        <v>114</v>
      </c>
      <c r="J40" s="2" t="s">
        <v>115</v>
      </c>
      <c r="K40" s="2" t="s">
        <v>116</v>
      </c>
      <c r="L40" s="2" t="s">
        <v>117</v>
      </c>
    </row>
    <row r="41" customFormat="false" ht="15" hidden="false" customHeight="false" outlineLevel="0" collapsed="false">
      <c r="A41" s="0" t="s">
        <v>118</v>
      </c>
      <c r="C41" s="3" t="n">
        <v>-4</v>
      </c>
      <c r="D41" s="3" t="n">
        <v>6</v>
      </c>
      <c r="E41" s="3" t="n">
        <v>7</v>
      </c>
      <c r="F41" s="3" t="n">
        <v>6</v>
      </c>
      <c r="G41" s="3" t="n">
        <v>12</v>
      </c>
      <c r="H41" s="3" t="n">
        <v>9</v>
      </c>
      <c r="I41" s="3" t="n">
        <v>6</v>
      </c>
      <c r="J41" s="3" t="n">
        <v>4</v>
      </c>
      <c r="K41" s="3" t="n">
        <v>3</v>
      </c>
      <c r="L41" s="3" t="n">
        <v>3</v>
      </c>
    </row>
    <row r="42" customFormat="false" ht="15" hidden="false" customHeight="false" outlineLevel="0" collapsed="false">
      <c r="A42" s="0" t="s">
        <v>119</v>
      </c>
      <c r="C42" s="3" t="n">
        <v>60</v>
      </c>
      <c r="D42" s="3" t="n">
        <v>59</v>
      </c>
      <c r="E42" s="3" t="n">
        <v>59</v>
      </c>
      <c r="F42" s="3" t="n">
        <v>59</v>
      </c>
      <c r="G42" s="3" t="n">
        <v>57</v>
      </c>
      <c r="H42" s="3" t="n">
        <v>58</v>
      </c>
      <c r="I42" s="3" t="n">
        <v>59</v>
      </c>
      <c r="J42" s="3" t="n">
        <v>59</v>
      </c>
      <c r="K42" s="3" t="n">
        <v>59</v>
      </c>
      <c r="L42" s="3" t="n">
        <v>59</v>
      </c>
    </row>
    <row r="43" customFormat="false" ht="15" hidden="false" customHeight="false" outlineLevel="0" collapsed="false">
      <c r="A43" s="0" t="s">
        <v>120</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121</v>
      </c>
      <c r="C44" s="3" t="n">
        <v>3</v>
      </c>
      <c r="D44" s="3" t="n">
        <v>3</v>
      </c>
      <c r="E44" s="3" t="n">
        <v>3</v>
      </c>
      <c r="F44" s="3" t="n">
        <v>3</v>
      </c>
      <c r="G44" s="3" t="n">
        <v>3</v>
      </c>
      <c r="H44" s="3" t="n">
        <v>3</v>
      </c>
      <c r="I44" s="3" t="n">
        <v>3</v>
      </c>
      <c r="J44" s="3" t="n">
        <v>3</v>
      </c>
      <c r="K44" s="3" t="n">
        <v>3</v>
      </c>
      <c r="L44" s="3" t="n">
        <v>3</v>
      </c>
    </row>
    <row r="45" customFormat="false" ht="15" hidden="false" customHeight="false" outlineLevel="0" collapsed="false">
      <c r="A45" s="0" t="s">
        <v>122</v>
      </c>
      <c r="C45" s="3" t="n">
        <v>14</v>
      </c>
      <c r="D45" s="3" t="n">
        <v>14</v>
      </c>
      <c r="E45" s="3" t="n">
        <v>14</v>
      </c>
      <c r="F45" s="3" t="n">
        <v>14</v>
      </c>
      <c r="G45" s="3" t="n">
        <v>18</v>
      </c>
      <c r="H45" s="3" t="n">
        <v>18</v>
      </c>
      <c r="I45" s="3" t="n">
        <v>17</v>
      </c>
      <c r="J45" s="3" t="n">
        <v>16</v>
      </c>
      <c r="K45" s="3" t="n">
        <v>16</v>
      </c>
      <c r="L45" s="3" t="n">
        <v>16</v>
      </c>
    </row>
    <row r="46" customFormat="false" ht="15" hidden="false" customHeight="false" outlineLevel="0" collapsed="false">
      <c r="A46" s="0" t="s">
        <v>123</v>
      </c>
      <c r="C46" s="3" t="n">
        <v>14</v>
      </c>
      <c r="D46" s="3" t="n">
        <v>30</v>
      </c>
      <c r="E46" s="3" t="n">
        <v>35</v>
      </c>
      <c r="F46" s="3" t="n">
        <v>35</v>
      </c>
      <c r="G46" s="3" t="n">
        <v>20</v>
      </c>
      <c r="H46" s="3" t="n">
        <v>9</v>
      </c>
      <c r="I46" s="3" t="n">
        <v>7</v>
      </c>
      <c r="J46" s="3" t="n">
        <v>7</v>
      </c>
      <c r="K46" s="3" t="n">
        <v>7</v>
      </c>
      <c r="L46" s="3" t="n">
        <v>7</v>
      </c>
    </row>
    <row r="47" customFormat="false" ht="15" hidden="false" customHeight="false" outlineLevel="0" collapsed="false">
      <c r="A47" s="0" t="s">
        <v>124</v>
      </c>
      <c r="C47" s="3" t="n">
        <v>0.5</v>
      </c>
      <c r="D47" s="3" t="n">
        <v>0.5</v>
      </c>
      <c r="E47" s="3" t="n">
        <v>0.5</v>
      </c>
      <c r="F47" s="3" t="n">
        <v>1</v>
      </c>
      <c r="G47" s="3" t="n">
        <v>1</v>
      </c>
      <c r="H47" s="3" t="n">
        <v>1</v>
      </c>
      <c r="I47" s="3" t="n">
        <v>1</v>
      </c>
      <c r="J47" s="3" t="n">
        <v>1</v>
      </c>
      <c r="K47" s="3" t="n">
        <v>1</v>
      </c>
      <c r="L47" s="3" t="n">
        <v>1</v>
      </c>
    </row>
    <row r="48" customFormat="false" ht="15" hidden="false" customHeight="false" outlineLevel="0" collapsed="false">
      <c r="A48" s="0" t="s">
        <v>125</v>
      </c>
      <c r="B48" s="3" t="n">
        <v>12.5</v>
      </c>
    </row>
    <row r="49" customFormat="false" ht="15" hidden="false" customHeight="false" outlineLevel="0" collapsed="false">
      <c r="A49" s="0" t="s">
        <v>126</v>
      </c>
      <c r="B49" s="3" t="n">
        <v>3</v>
      </c>
    </row>
    <row r="50" customFormat="false" ht="15" hidden="false" customHeight="false" outlineLevel="0" collapsed="false">
      <c r="A50" s="0" t="s">
        <v>127</v>
      </c>
      <c r="B50" s="3" t="n">
        <v>14</v>
      </c>
    </row>
    <row r="51" customFormat="false" ht="15" hidden="false" customHeight="false" outlineLevel="0" collapsed="false">
      <c r="A51" s="0" t="s">
        <v>128</v>
      </c>
      <c r="B51" s="3" t="n">
        <v>0</v>
      </c>
    </row>
    <row r="52" customFormat="false" ht="15" hidden="false" customHeight="false" outlineLevel="0" collapsed="false">
      <c r="A52" s="0" t="s">
        <v>129</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132</v>
      </c>
    </row>
    <row r="3" customFormat="false" ht="15" hidden="false" customHeight="false" outlineLevel="0" collapsed="false">
      <c r="A3" s="0" t="s">
        <v>133</v>
      </c>
      <c r="B3" s="0" t="s">
        <v>95</v>
      </c>
      <c r="C3" s="2" t="s">
        <v>108</v>
      </c>
      <c r="D3" s="2" t="s">
        <v>109</v>
      </c>
      <c r="E3" s="2" t="s">
        <v>110</v>
      </c>
      <c r="F3" s="2" t="s">
        <v>111</v>
      </c>
      <c r="G3" s="2" t="s">
        <v>112</v>
      </c>
      <c r="H3" s="2" t="s">
        <v>113</v>
      </c>
      <c r="I3" s="2" t="s">
        <v>114</v>
      </c>
      <c r="J3" s="2" t="s">
        <v>115</v>
      </c>
      <c r="K3" s="2" t="s">
        <v>116</v>
      </c>
      <c r="L3" s="2" t="s">
        <v>117</v>
      </c>
    </row>
    <row r="4" customFormat="false" ht="15" hidden="false" customHeight="false" outlineLevel="0" collapsed="false">
      <c r="A4" s="0" t="s">
        <v>134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118</v>
      </c>
      <c r="C5" s="4" t="n">
        <f aca="false">Assumptions!C13</f>
        <v>-10</v>
      </c>
      <c r="D5" s="4" t="n">
        <f aca="false">Assumptions!D13</f>
        <v>-3</v>
      </c>
      <c r="E5" s="4" t="n">
        <f aca="false">Assumptions!E13</f>
        <v>0</v>
      </c>
      <c r="F5" s="4" t="n">
        <f aca="false">Assumptions!F13</f>
        <v>0</v>
      </c>
      <c r="G5" s="4" t="n">
        <f aca="false">Assumptions!G13</f>
        <v>8</v>
      </c>
      <c r="H5" s="4" t="n">
        <f aca="false">Assumptions!H13</f>
        <v>6</v>
      </c>
      <c r="I5" s="4" t="n">
        <f aca="false">Assumptions!I13</f>
        <v>3</v>
      </c>
      <c r="J5" s="4" t="n">
        <f aca="false">Assumptions!J13</f>
        <v>2</v>
      </c>
      <c r="K5" s="4" t="n">
        <f aca="false">Assumptions!K13</f>
        <v>2</v>
      </c>
      <c r="L5" s="4" t="n">
        <f aca="false">Assumptions!L13</f>
        <v>2</v>
      </c>
    </row>
    <row r="6" customFormat="false" ht="15" hidden="false" customHeight="false" outlineLevel="0" collapsed="false">
      <c r="A6" s="0" t="s">
        <v>62</v>
      </c>
      <c r="B6" s="3" t="n">
        <v>709.673</v>
      </c>
      <c r="C6" s="0" t="n">
        <f aca="false">B6*(1+C5/100)</f>
        <v>638.7057</v>
      </c>
      <c r="D6" s="0" t="n">
        <f aca="false">C6*(1+D5/100)</f>
        <v>619.544529</v>
      </c>
      <c r="E6" s="0" t="n">
        <f aca="false">D6*(1+E5/100)</f>
        <v>619.544529</v>
      </c>
      <c r="F6" s="0" t="n">
        <f aca="false">E6*(1+F5/100)</f>
        <v>619.544529</v>
      </c>
      <c r="G6" s="0" t="n">
        <f aca="false">F6*(1+G5/100)</f>
        <v>669.10809132</v>
      </c>
      <c r="H6" s="0" t="n">
        <f aca="false">G6*(1+H5/100)</f>
        <v>709.2545767992</v>
      </c>
      <c r="I6" s="0" t="n">
        <f aca="false">H6*(1+I5/100)</f>
        <v>730.532214103176</v>
      </c>
      <c r="J6" s="0" t="n">
        <f aca="false">I6*(1+J5/100)</f>
        <v>745.14285838524</v>
      </c>
      <c r="K6" s="0" t="n">
        <f aca="false">J6*(1+K5/100)</f>
        <v>760.045715552944</v>
      </c>
      <c r="L6" s="0" t="n">
        <f aca="false">K6*(1+L5/100)</f>
        <v>775.246629864003</v>
      </c>
    </row>
    <row r="7" customFormat="false" ht="15" hidden="false" customHeight="false" outlineLevel="0" collapsed="false">
      <c r="A7" s="0" t="s">
        <v>119</v>
      </c>
      <c r="C7" s="4" t="n">
        <f aca="false">Assumptions!C14</f>
        <v>55</v>
      </c>
      <c r="D7" s="4" t="n">
        <f aca="false">Assumptions!D14</f>
        <v>52</v>
      </c>
      <c r="E7" s="4" t="n">
        <f aca="false">Assumptions!E14</f>
        <v>52</v>
      </c>
      <c r="F7" s="4" t="n">
        <f aca="false">Assumptions!F14</f>
        <v>52</v>
      </c>
      <c r="G7" s="4" t="n">
        <f aca="false">Assumptions!G14</f>
        <v>50</v>
      </c>
      <c r="H7" s="4" t="n">
        <f aca="false">Assumptions!H14</f>
        <v>51</v>
      </c>
      <c r="I7" s="4" t="n">
        <f aca="false">Assumptions!I14</f>
        <v>52</v>
      </c>
      <c r="J7" s="4" t="n">
        <f aca="false">Assumptions!J14</f>
        <v>52</v>
      </c>
      <c r="K7" s="4" t="n">
        <f aca="false">Assumptions!K14</f>
        <v>52</v>
      </c>
      <c r="L7" s="4" t="n">
        <f aca="false">Assumptions!L14</f>
        <v>52</v>
      </c>
    </row>
    <row r="8" customFormat="false" ht="15" hidden="false" customHeight="false" outlineLevel="0" collapsed="false">
      <c r="A8" s="0" t="s">
        <v>68</v>
      </c>
      <c r="C8" s="0" t="n">
        <f aca="false">C6*C7/100</f>
        <v>351.288135</v>
      </c>
      <c r="D8" s="0" t="n">
        <f aca="false">D6*D7/100</f>
        <v>322.16315508</v>
      </c>
      <c r="E8" s="0" t="n">
        <f aca="false">E6*E7/100</f>
        <v>322.16315508</v>
      </c>
      <c r="F8" s="0" t="n">
        <f aca="false">F6*F7/100</f>
        <v>322.16315508</v>
      </c>
      <c r="G8" s="0" t="n">
        <f aca="false">G6*G7/100</f>
        <v>334.55404566</v>
      </c>
      <c r="H8" s="0" t="n">
        <f aca="false">H6*H7/100</f>
        <v>361.719834167592</v>
      </c>
      <c r="I8" s="0" t="n">
        <f aca="false">I6*I7/100</f>
        <v>379.876751333652</v>
      </c>
      <c r="J8" s="0" t="n">
        <f aca="false">J6*J7/100</f>
        <v>387.474286360325</v>
      </c>
      <c r="K8" s="0" t="n">
        <f aca="false">K6*K7/100</f>
        <v>395.223772087531</v>
      </c>
      <c r="L8" s="0" t="n">
        <f aca="false">L6*L7/100</f>
        <v>403.128247529282</v>
      </c>
    </row>
    <row r="9" customFormat="false" ht="15" hidden="false" customHeight="false" outlineLevel="0" collapsed="false">
      <c r="A9" s="0" t="s">
        <v>120</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135</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136</v>
      </c>
      <c r="C11" s="0" t="n">
        <f aca="false">C8+C10+C24</f>
        <v>332.126964</v>
      </c>
      <c r="D11" s="0" t="n">
        <f aca="false">D8+D10+D24</f>
        <v>303.57681921</v>
      </c>
      <c r="E11" s="0" t="n">
        <f aca="false">E8+E10+E24</f>
        <v>303.57681921</v>
      </c>
      <c r="F11" s="0" t="n">
        <f aca="false">F8+F10+F24</f>
        <v>303.57681921</v>
      </c>
      <c r="G11" s="0" t="n">
        <f aca="false">G8+G10+G24</f>
        <v>314.4808029204</v>
      </c>
      <c r="H11" s="0" t="n">
        <f aca="false">H8+H10+H24</f>
        <v>340.442196863616</v>
      </c>
      <c r="I11" s="0" t="n">
        <f aca="false">I8+I10+I24</f>
        <v>357.960784910556</v>
      </c>
      <c r="J11" s="0" t="n">
        <f aca="false">J8+J10+J24</f>
        <v>365.120000608767</v>
      </c>
      <c r="K11" s="0" t="n">
        <f aca="false">K8+K10+K24</f>
        <v>372.422400620943</v>
      </c>
      <c r="L11" s="0" t="n">
        <f aca="false">L8+L10+L24</f>
        <v>379.870848633362</v>
      </c>
    </row>
    <row r="12" customFormat="false" ht="15" hidden="false" customHeight="false" outlineLevel="0" collapsed="false">
      <c r="A12" s="0" t="s">
        <v>137</v>
      </c>
      <c r="C12" s="4" t="n">
        <f aca="false">-C6*Assumptions!C17/100</f>
        <v>-89.418798</v>
      </c>
      <c r="D12" s="4" t="n">
        <f aca="false">-D6*Assumptions!D17/100</f>
        <v>-86.73623406</v>
      </c>
      <c r="E12" s="4" t="n">
        <f aca="false">-E6*Assumptions!E17/100</f>
        <v>-86.73623406</v>
      </c>
      <c r="F12" s="4" t="n">
        <f aca="false">-F6*Assumptions!F17/100</f>
        <v>-86.73623406</v>
      </c>
      <c r="G12" s="4" t="n">
        <f aca="false">-G6*Assumptions!G17/100</f>
        <v>-167.27702283</v>
      </c>
      <c r="H12" s="4" t="n">
        <f aca="false">-H6*Assumptions!H17/100</f>
        <v>-177.3136441998</v>
      </c>
      <c r="I12" s="4" t="n">
        <f aca="false">-I6*Assumptions!I17/100</f>
        <v>-175.327731384762</v>
      </c>
      <c r="J12" s="4" t="n">
        <f aca="false">-J6*Assumptions!J17/100</f>
        <v>-171.382857428605</v>
      </c>
      <c r="K12" s="4" t="n">
        <f aca="false">-K6*Assumptions!K17/100</f>
        <v>-167.210057421648</v>
      </c>
      <c r="L12" s="4" t="n">
        <f aca="false">-L6*Assumptions!L17/100</f>
        <v>-170.554258570081</v>
      </c>
    </row>
    <row r="13" customFormat="false" ht="15" hidden="false" customHeight="false" outlineLevel="0" collapsed="false">
      <c r="A13" s="0" t="s">
        <v>138</v>
      </c>
      <c r="C13" s="0" t="n">
        <f aca="false">C11+C12</f>
        <v>242.708166</v>
      </c>
      <c r="D13" s="0" t="n">
        <f aca="false">D11+D12</f>
        <v>216.84058515</v>
      </c>
      <c r="E13" s="0" t="n">
        <f aca="false">E11+E12</f>
        <v>216.84058515</v>
      </c>
      <c r="F13" s="0" t="n">
        <f aca="false">F11+F12</f>
        <v>216.84058515</v>
      </c>
      <c r="G13" s="0" t="n">
        <f aca="false">G11+G12</f>
        <v>147.2037800904</v>
      </c>
      <c r="H13" s="0" t="n">
        <f aca="false">H11+H12</f>
        <v>163.128552663816</v>
      </c>
      <c r="I13" s="0" t="n">
        <f aca="false">I11+I12</f>
        <v>182.633053525794</v>
      </c>
      <c r="J13" s="0" t="n">
        <f aca="false">J11+J12</f>
        <v>193.737143180162</v>
      </c>
      <c r="K13" s="0" t="n">
        <f aca="false">K11+K12</f>
        <v>205.212343199295</v>
      </c>
      <c r="L13" s="0" t="n">
        <f aca="false">L11+L12</f>
        <v>209.316590063281</v>
      </c>
    </row>
    <row r="14" customFormat="false" ht="15" hidden="false" customHeight="false" outlineLevel="0" collapsed="false">
      <c r="A14" s="0" t="s">
        <v>124</v>
      </c>
      <c r="C14" s="4" t="n">
        <f aca="false">Assumptions!C19</f>
        <v>0.5</v>
      </c>
      <c r="D14" s="4" t="n">
        <f aca="false">Assumptions!D19</f>
        <v>1</v>
      </c>
      <c r="E14" s="4" t="n">
        <f aca="false">Assumptions!E19</f>
        <v>2</v>
      </c>
      <c r="F14" s="4" t="n">
        <f aca="false">Assumptions!F19</f>
        <v>3</v>
      </c>
      <c r="G14" s="4" t="n">
        <f aca="false">Assumptions!G19</f>
        <v>5</v>
      </c>
      <c r="H14" s="4" t="n">
        <f aca="false">Assumptions!H19</f>
        <v>7</v>
      </c>
      <c r="I14" s="4" t="n">
        <f aca="false">Assumptions!I19</f>
        <v>10</v>
      </c>
      <c r="J14" s="4" t="n">
        <f aca="false">Assumptions!J19</f>
        <v>10</v>
      </c>
      <c r="K14" s="4" t="n">
        <f aca="false">Assumptions!K19</f>
        <v>10</v>
      </c>
      <c r="L14" s="4" t="n">
        <f aca="false">Assumptions!L19</f>
        <v>10</v>
      </c>
    </row>
    <row r="15" customFormat="false" ht="15" hidden="false" customHeight="false" outlineLevel="0" collapsed="false">
      <c r="A15" s="0" t="s">
        <v>139</v>
      </c>
      <c r="C15" s="0" t="n">
        <f aca="false">C13-MAX(0,C13)*C14/100</f>
        <v>241.49462517</v>
      </c>
      <c r="D15" s="0" t="n">
        <f aca="false">D13-MAX(0,D13)*D14/100</f>
        <v>214.6721792985</v>
      </c>
      <c r="E15" s="0" t="n">
        <f aca="false">E13-MAX(0,E13)*E14/100</f>
        <v>212.503773447</v>
      </c>
      <c r="F15" s="0" t="n">
        <f aca="false">F13-MAX(0,F13)*F14/100</f>
        <v>210.3353675955</v>
      </c>
      <c r="G15" s="0" t="n">
        <f aca="false">G13-MAX(0,G13)*G14/100</f>
        <v>139.84359108588</v>
      </c>
      <c r="H15" s="0" t="n">
        <f aca="false">H13-MAX(0,H13)*H14/100</f>
        <v>151.709553977349</v>
      </c>
      <c r="I15" s="0" t="n">
        <f aca="false">I13-MAX(0,I13)*I14/100</f>
        <v>164.369748173215</v>
      </c>
      <c r="J15" s="0" t="n">
        <f aca="false">J13-MAX(0,J13)*J14/100</f>
        <v>174.363428862146</v>
      </c>
      <c r="K15" s="0" t="n">
        <f aca="false">K13-MAX(0,K13)*K14/100</f>
        <v>184.691108879366</v>
      </c>
      <c r="L15" s="0" t="n">
        <f aca="false">L13-MAX(0,L13)*L14/100</f>
        <v>188.384931056953</v>
      </c>
    </row>
    <row r="16" customFormat="false" ht="15" hidden="false" customHeight="false" outlineLevel="0" collapsed="false">
      <c r="A16" s="0" t="s">
        <v>140</v>
      </c>
      <c r="C16" s="0" t="n">
        <f aca="false">-C12</f>
        <v>89.418798</v>
      </c>
      <c r="D16" s="0" t="n">
        <f aca="false">-D12</f>
        <v>86.73623406</v>
      </c>
      <c r="E16" s="0" t="n">
        <f aca="false">-E12</f>
        <v>86.73623406</v>
      </c>
      <c r="F16" s="0" t="n">
        <f aca="false">-F12</f>
        <v>86.73623406</v>
      </c>
      <c r="G16" s="0" t="n">
        <f aca="false">-G12</f>
        <v>167.27702283</v>
      </c>
      <c r="H16" s="0" t="n">
        <f aca="false">-H12</f>
        <v>177.3136441998</v>
      </c>
      <c r="I16" s="0" t="n">
        <f aca="false">-I12</f>
        <v>175.327731384762</v>
      </c>
      <c r="J16" s="0" t="n">
        <f aca="false">-J12</f>
        <v>171.382857428605</v>
      </c>
      <c r="K16" s="0" t="n">
        <f aca="false">-K12</f>
        <v>167.210057421648</v>
      </c>
      <c r="L16" s="0" t="n">
        <f aca="false">-L12</f>
        <v>170.554258570081</v>
      </c>
    </row>
    <row r="17" customFormat="false" ht="15" hidden="false" customHeight="false" outlineLevel="0" collapsed="false">
      <c r="A17" s="0" t="s">
        <v>141</v>
      </c>
      <c r="C17" s="4" t="n">
        <f aca="false">-C6*Assumptions!C18/100</f>
        <v>-95.805855</v>
      </c>
      <c r="D17" s="4" t="n">
        <f aca="false">-D6*Assumptions!D18/100</f>
        <v>-681.4989819</v>
      </c>
      <c r="E17" s="4" t="n">
        <f aca="false">-E6*Assumptions!E18/100</f>
        <v>-681.4989819</v>
      </c>
      <c r="F17" s="4" t="n">
        <f aca="false">-F6*Assumptions!F18/100</f>
        <v>-681.4989819</v>
      </c>
      <c r="G17" s="4" t="n">
        <f aca="false">-G6*Assumptions!G18/100</f>
        <v>-401.464854792</v>
      </c>
      <c r="H17" s="4" t="n">
        <f aca="false">-H6*Assumptions!H18/100</f>
        <v>-85.110549215904</v>
      </c>
      <c r="I17" s="4" t="n">
        <f aca="false">-I6*Assumptions!I18/100</f>
        <v>-87.6638656923811</v>
      </c>
      <c r="J17" s="4" t="n">
        <f aca="false">-J6*Assumptions!J18/100</f>
        <v>-89.4171430062288</v>
      </c>
      <c r="K17" s="4" t="n">
        <f aca="false">-K6*Assumptions!K18/100</f>
        <v>-91.2054858663533</v>
      </c>
      <c r="L17" s="4" t="n">
        <f aca="false">-L6*Assumptions!L18/100</f>
        <v>-93.0295955836804</v>
      </c>
    </row>
    <row r="18" customFormat="false" ht="15" hidden="false" customHeight="false" outlineLevel="0" collapsed="false">
      <c r="A18" s="0" t="s">
        <v>142</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143</v>
      </c>
      <c r="C19" s="0" t="n">
        <f aca="false">C15+C16+C17+C18</f>
        <v>235.10756817</v>
      </c>
      <c r="D19" s="0" t="n">
        <f aca="false">D15+D16+D17+D18</f>
        <v>-380.0905685415</v>
      </c>
      <c r="E19" s="0" t="n">
        <f aca="false">E15+E16+E17+E18</f>
        <v>-382.258974393</v>
      </c>
      <c r="F19" s="0" t="n">
        <f aca="false">F15+F16+F17+F18</f>
        <v>-384.4273802445</v>
      </c>
      <c r="G19" s="0" t="n">
        <f aca="false">G15+G16+G17+G18</f>
        <v>-94.34424087612</v>
      </c>
      <c r="H19" s="0" t="n">
        <f aca="false">H15+H16+H17+H18</f>
        <v>243.912648961245</v>
      </c>
      <c r="I19" s="0" t="n">
        <f aca="false">I15+I16+I17+I18</f>
        <v>252.033613865596</v>
      </c>
      <c r="J19" s="0" t="n">
        <f aca="false">J15+J16+J17+J18</f>
        <v>256.329143284522</v>
      </c>
      <c r="K19" s="0" t="n">
        <f aca="false">K15+K16+K17+K18</f>
        <v>260.69568043466</v>
      </c>
      <c r="L19" s="0" t="n">
        <f aca="false">L15+L16+L17+L18</f>
        <v>265.909594043353</v>
      </c>
    </row>
    <row r="20" customFormat="false" ht="15" hidden="false" customHeight="false" outlineLevel="0" collapsed="false">
      <c r="A20" s="0" t="s">
        <v>144</v>
      </c>
      <c r="C20" s="0" t="n">
        <f aca="false">1/(1+$B$27/100)^C4</f>
        <v>0.888888888888889</v>
      </c>
      <c r="D20" s="0" t="n">
        <f aca="false">1/(1+$B$27/100)^D4</f>
        <v>0.790123456790123</v>
      </c>
      <c r="E20" s="0" t="n">
        <f aca="false">1/(1+$B$27/100)^E4</f>
        <v>0.702331961591221</v>
      </c>
      <c r="F20" s="0" t="n">
        <f aca="false">1/(1+$B$27/100)^F4</f>
        <v>0.624295076969974</v>
      </c>
      <c r="G20" s="0" t="n">
        <f aca="false">1/(1+$B$27/100)^G4</f>
        <v>0.554928957306644</v>
      </c>
      <c r="H20" s="0" t="n">
        <f aca="false">1/(1+$B$27/100)^H4</f>
        <v>0.493270184272572</v>
      </c>
      <c r="I20" s="0" t="n">
        <f aca="false">1/(1+$B$27/100)^I4</f>
        <v>0.438462386020064</v>
      </c>
      <c r="J20" s="0" t="n">
        <f aca="false">1/(1+$B$27/100)^J4</f>
        <v>0.389744343128946</v>
      </c>
      <c r="K20" s="0" t="n">
        <f aca="false">1/(1+$B$27/100)^K4</f>
        <v>0.346439416114619</v>
      </c>
      <c r="L20" s="0" t="n">
        <f aca="false">1/(1+$B$27/100)^L4</f>
        <v>0.307946147657439</v>
      </c>
    </row>
    <row r="21" customFormat="false" ht="15" hidden="false" customHeight="false" outlineLevel="0" collapsed="false">
      <c r="A21" s="0" t="s">
        <v>145</v>
      </c>
      <c r="C21" s="0" t="n">
        <f aca="false">C19*C20</f>
        <v>208.98450504</v>
      </c>
      <c r="D21" s="0" t="n">
        <f aca="false">D19*D20</f>
        <v>-300.318473909333</v>
      </c>
      <c r="E21" s="0" t="n">
        <f aca="false">E19*E20</f>
        <v>-268.472695321284</v>
      </c>
      <c r="F21" s="0" t="n">
        <f aca="false">F19*F20</f>
        <v>-239.996120939106</v>
      </c>
      <c r="G21" s="0" t="n">
        <f aca="false">G19*G20</f>
        <v>-52.3543512172721</v>
      </c>
      <c r="H21" s="0" t="n">
        <f aca="false">H19*H20</f>
        <v>120.314837299525</v>
      </c>
      <c r="I21" s="0" t="n">
        <f aca="false">I19*I20</f>
        <v>110.507259692769</v>
      </c>
      <c r="J21" s="0" t="n">
        <f aca="false">J19*J20</f>
        <v>99.9028335742316</v>
      </c>
      <c r="K21" s="0" t="n">
        <f aca="false">K19*K20</f>
        <v>90.3152593133868</v>
      </c>
      <c r="L21" s="0" t="n">
        <f aca="false">L19*L20</f>
        <v>81.885835110804</v>
      </c>
    </row>
    <row r="23" customFormat="false" ht="15" hidden="false" customHeight="false" outlineLevel="0" collapsed="false">
      <c r="A23" s="0" t="s">
        <v>121</v>
      </c>
      <c r="C23" s="4" t="n">
        <f aca="false">Assumptions!C16</f>
        <v>3</v>
      </c>
      <c r="D23" s="4" t="n">
        <f aca="false">Assumptions!D16</f>
        <v>3</v>
      </c>
      <c r="E23" s="4" t="n">
        <f aca="false">Assumptions!E16</f>
        <v>3</v>
      </c>
      <c r="F23" s="4" t="n">
        <f aca="false">Assumptions!F16</f>
        <v>3</v>
      </c>
      <c r="G23" s="4" t="n">
        <f aca="false">Assumptions!G16</f>
        <v>3</v>
      </c>
      <c r="H23" s="4" t="n">
        <f aca="false">Assumptions!H16</f>
        <v>3</v>
      </c>
      <c r="I23" s="4" t="n">
        <f aca="false">Assumptions!I16</f>
        <v>3</v>
      </c>
      <c r="J23" s="4" t="n">
        <f aca="false">Assumptions!J16</f>
        <v>3</v>
      </c>
      <c r="K23" s="4" t="n">
        <f aca="false">Assumptions!K16</f>
        <v>3</v>
      </c>
      <c r="L23" s="4" t="n">
        <f aca="false">Assumptions!L16</f>
        <v>3</v>
      </c>
    </row>
    <row r="24" customFormat="false" ht="15" hidden="false" customHeight="false" outlineLevel="0" collapsed="false">
      <c r="A24" s="0" t="s">
        <v>146</v>
      </c>
      <c r="C24" s="0" t="n">
        <f aca="false">-C6*C23/100</f>
        <v>-19.161171</v>
      </c>
      <c r="D24" s="0" t="n">
        <f aca="false">-D6*D23/100</f>
        <v>-18.58633587</v>
      </c>
      <c r="E24" s="0" t="n">
        <f aca="false">-E6*E23/100</f>
        <v>-18.58633587</v>
      </c>
      <c r="F24" s="0" t="n">
        <f aca="false">-F6*F23/100</f>
        <v>-18.58633587</v>
      </c>
      <c r="G24" s="0" t="n">
        <f aca="false">-G6*G23/100</f>
        <v>-20.0732427396</v>
      </c>
      <c r="H24" s="0" t="n">
        <f aca="false">-H6*H23/100</f>
        <v>-21.277637303976</v>
      </c>
      <c r="I24" s="0" t="n">
        <f aca="false">-I6*I23/100</f>
        <v>-21.9159664230953</v>
      </c>
      <c r="J24" s="0" t="n">
        <f aca="false">-J6*J23/100</f>
        <v>-22.3542857515572</v>
      </c>
      <c r="K24" s="0" t="n">
        <f aca="false">-K6*K23/100</f>
        <v>-22.8013714665883</v>
      </c>
      <c r="L24" s="0" t="n">
        <f aca="false">-L6*L23/100</f>
        <v>-23.2573988959201</v>
      </c>
    </row>
    <row r="26" customFormat="false" ht="15" hidden="false" customHeight="false" outlineLevel="0" collapsed="false">
      <c r="A26" s="2" t="s">
        <v>147</v>
      </c>
    </row>
    <row r="27" customFormat="false" ht="15" hidden="false" customHeight="false" outlineLevel="0" collapsed="false">
      <c r="A27" s="0" t="s">
        <v>125</v>
      </c>
      <c r="B27" s="4" t="n">
        <f aca="false">Assumptions!$B$20</f>
        <v>12.5</v>
      </c>
    </row>
    <row r="28" customFormat="false" ht="15" hidden="false" customHeight="false" outlineLevel="0" collapsed="false">
      <c r="A28" s="0" t="s">
        <v>126</v>
      </c>
      <c r="B28" s="4" t="n">
        <f aca="false">Assumptions!$B$21</f>
        <v>2</v>
      </c>
    </row>
    <row r="29" customFormat="false" ht="15" hidden="false" customHeight="false" outlineLevel="0" collapsed="false">
      <c r="A29" s="0" t="s">
        <v>127</v>
      </c>
      <c r="B29" s="4" t="n">
        <f aca="false">Assumptions!$B$22</f>
        <v>10</v>
      </c>
    </row>
    <row r="30" customFormat="false" ht="15" hidden="false" customHeight="false" outlineLevel="0" collapsed="false">
      <c r="A30" s="0" t="s">
        <v>148</v>
      </c>
      <c r="B30" s="0" t="n">
        <f aca="false">SUM(C21:L21)</f>
        <v>-149.23111135628</v>
      </c>
    </row>
    <row r="31" customFormat="false" ht="15" hidden="false" customHeight="false" outlineLevel="0" collapsed="false">
      <c r="A31" s="0" t="s">
        <v>149</v>
      </c>
      <c r="B31" s="0" t="n">
        <f aca="false">L19</f>
        <v>265.909594043353</v>
      </c>
    </row>
    <row r="32" customFormat="false" ht="15" hidden="false" customHeight="false" outlineLevel="0" collapsed="false">
      <c r="A32" s="0" t="s">
        <v>150</v>
      </c>
      <c r="B32" s="0" t="n">
        <f aca="false">IF(B27&gt;B28,B31*(1+B28/100)/((B27-B28)/100),B31*B29)</f>
        <v>2583.12177070686</v>
      </c>
    </row>
    <row r="33" customFormat="false" ht="15" hidden="false" customHeight="false" outlineLevel="0" collapsed="false">
      <c r="A33" s="0" t="s">
        <v>151</v>
      </c>
      <c r="B33" s="0" t="n">
        <f aca="false">B31*B29</f>
        <v>2659.09594043353</v>
      </c>
    </row>
    <row r="34" customFormat="false" ht="15" hidden="false" customHeight="false" outlineLevel="0" collapsed="false">
      <c r="A34" s="0" t="s">
        <v>152</v>
      </c>
      <c r="B34" s="0" t="n">
        <f aca="false">MAX(0,MIN(B32,B33))</f>
        <v>2583.12177070686</v>
      </c>
    </row>
    <row r="35" customFormat="false" ht="15" hidden="false" customHeight="false" outlineLevel="0" collapsed="false">
      <c r="A35" s="0" t="s">
        <v>153</v>
      </c>
      <c r="B35" s="0" t="n">
        <f aca="false">B34/(1+B27/100)^L4</f>
        <v>795.462398219239</v>
      </c>
    </row>
    <row r="36" customFormat="false" ht="15" hidden="false" customHeight="false" outlineLevel="0" collapsed="false">
      <c r="A36" s="0" t="s">
        <v>154</v>
      </c>
      <c r="B36" s="0" t="n">
        <f aca="false">B30+B35</f>
        <v>646.231286862959</v>
      </c>
    </row>
    <row r="37" customFormat="false" ht="15" hidden="false" customHeight="false" outlineLevel="0" collapsed="false">
      <c r="A37" s="0" t="s">
        <v>155</v>
      </c>
      <c r="B37" s="0" t="n">
        <f aca="false">B36+Assumptions!$B$5-Assumptions!$B$4</f>
        <v>1062.33228686296</v>
      </c>
    </row>
    <row r="38" customFormat="false" ht="15" hidden="false" customHeight="false" outlineLevel="0" collapsed="false">
      <c r="A38" s="0" t="s">
        <v>156</v>
      </c>
      <c r="B38" s="0" t="n">
        <f aca="false">B37/Assumptions!$B$3*Assumptions!$B$10</f>
        <v>1.88220343387654</v>
      </c>
    </row>
    <row r="39" customFormat="false" ht="15" hidden="false" customHeight="false" outlineLevel="0" collapsed="false">
      <c r="A39" s="0" t="s">
        <v>157</v>
      </c>
      <c r="B39" s="4" t="n">
        <f aca="false">B38/Assumptions!$B$2-1</f>
        <v>-0.15216061537093</v>
      </c>
    </row>
    <row r="41" customFormat="false" ht="15" hidden="false" customHeight="false" outlineLevel="0" collapsed="false">
      <c r="A41" s="0" t="s">
        <v>158</v>
      </c>
      <c r="B41" s="0" t="n">
        <f aca="false">SUMPRODUCT(-C10:L10/(1+$B$27/100)^C4:L4)</f>
        <v>0</v>
      </c>
    </row>
    <row r="42" customFormat="false" ht="15" hidden="false" customHeight="false" outlineLevel="0" collapsed="false">
      <c r="A42" s="0" t="s">
        <v>159</v>
      </c>
      <c r="B42" s="0" t="n">
        <f aca="false">IF(B27&gt;B28,-L10*(1+B28/100)/((B27-B28)/100),-L10*20)/(1+B27/100)^L4</f>
        <v>0</v>
      </c>
    </row>
    <row r="43" customFormat="false" ht="15" hidden="false" customHeight="false" outlineLevel="0" collapsed="false">
      <c r="A43" s="0" t="s">
        <v>160</v>
      </c>
      <c r="B43" s="0" t="n">
        <f aca="false">(B37+B41+B42)/Assumptions!$B$3*Assumptions!$B$10</f>
        <v>1.88220343387654</v>
      </c>
    </row>
    <row r="45" customFormat="false" ht="15" hidden="false" customHeight="false" outlineLevel="0" collapsed="false">
      <c r="A45" s="0" t="s">
        <v>101</v>
      </c>
      <c r="B45" s="4" t="n">
        <f aca="false">Assumptions!$B$6</f>
        <v>15</v>
      </c>
    </row>
    <row r="46" customFormat="false" ht="15" hidden="false" customHeight="false" outlineLevel="0" collapsed="false">
      <c r="A46" s="0" t="s">
        <v>161</v>
      </c>
      <c r="B46" s="0" t="n">
        <f aca="false">MAX(0,MIN(IF(B45&gt;B28,B31*(1+B28/100)/((B45-B28)/100),B31*B29),B31*B29))</f>
        <v>2086.36758403246</v>
      </c>
    </row>
    <row r="47" customFormat="false" ht="15" hidden="false" customHeight="false" outlineLevel="0" collapsed="false">
      <c r="A47" s="0" t="s">
        <v>162</v>
      </c>
      <c r="B47" s="0" t="n">
        <f aca="false">(SUMPRODUCT(C19:L19/(1+B45/100)^C4:L4)+B46/(1+B45/100)^L4+Assumptions!$B$5-Assumptions!$B$4)/Assumptions!$B$3*Assumptions!$B$10</f>
        <v>1.33704627764613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163</v>
      </c>
    </row>
    <row r="3" customFormat="false" ht="15" hidden="false" customHeight="false" outlineLevel="0" collapsed="false">
      <c r="A3" s="0" t="s">
        <v>133</v>
      </c>
      <c r="B3" s="0" t="s">
        <v>95</v>
      </c>
      <c r="C3" s="2" t="s">
        <v>108</v>
      </c>
      <c r="D3" s="2" t="s">
        <v>109</v>
      </c>
      <c r="E3" s="2" t="s">
        <v>110</v>
      </c>
      <c r="F3" s="2" t="s">
        <v>111</v>
      </c>
      <c r="G3" s="2" t="s">
        <v>112</v>
      </c>
      <c r="H3" s="2" t="s">
        <v>113</v>
      </c>
      <c r="I3" s="2" t="s">
        <v>114</v>
      </c>
      <c r="J3" s="2" t="s">
        <v>115</v>
      </c>
      <c r="K3" s="2" t="s">
        <v>116</v>
      </c>
      <c r="L3" s="2" t="s">
        <v>117</v>
      </c>
    </row>
    <row r="4" customFormat="false" ht="15" hidden="false" customHeight="false" outlineLevel="0" collapsed="false">
      <c r="A4" s="0" t="s">
        <v>134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118</v>
      </c>
      <c r="C5" s="4" t="n">
        <f aca="false">Assumptions!C27</f>
        <v>-7</v>
      </c>
      <c r="D5" s="4" t="n">
        <f aca="false">Assumptions!D27</f>
        <v>2</v>
      </c>
      <c r="E5" s="4" t="n">
        <f aca="false">Assumptions!E27</f>
        <v>4</v>
      </c>
      <c r="F5" s="4" t="n">
        <f aca="false">Assumptions!F27</f>
        <v>4</v>
      </c>
      <c r="G5" s="4" t="n">
        <f aca="false">Assumptions!G27</f>
        <v>10</v>
      </c>
      <c r="H5" s="4" t="n">
        <f aca="false">Assumptions!H27</f>
        <v>8</v>
      </c>
      <c r="I5" s="4" t="n">
        <f aca="false">Assumptions!I27</f>
        <v>5</v>
      </c>
      <c r="J5" s="4" t="n">
        <f aca="false">Assumptions!J27</f>
        <v>3.5</v>
      </c>
      <c r="K5" s="4" t="n">
        <f aca="false">Assumptions!K27</f>
        <v>3</v>
      </c>
      <c r="L5" s="4" t="n">
        <f aca="false">Assumptions!L27</f>
        <v>2.5</v>
      </c>
    </row>
    <row r="6" customFormat="false" ht="15" hidden="false" customHeight="false" outlineLevel="0" collapsed="false">
      <c r="A6" s="0" t="s">
        <v>62</v>
      </c>
      <c r="B6" s="3" t="n">
        <v>709.673</v>
      </c>
      <c r="C6" s="0" t="n">
        <f aca="false">B6*(1+C5/100)</f>
        <v>659.99589</v>
      </c>
      <c r="D6" s="0" t="n">
        <f aca="false">C6*(1+D5/100)</f>
        <v>673.1958078</v>
      </c>
      <c r="E6" s="0" t="n">
        <f aca="false">D6*(1+E5/100)</f>
        <v>700.123640112</v>
      </c>
      <c r="F6" s="0" t="n">
        <f aca="false">E6*(1+F5/100)</f>
        <v>728.12858571648</v>
      </c>
      <c r="G6" s="0" t="n">
        <f aca="false">F6*(1+G5/100)</f>
        <v>800.941444288128</v>
      </c>
      <c r="H6" s="0" t="n">
        <f aca="false">G6*(1+H5/100)</f>
        <v>865.016759831178</v>
      </c>
      <c r="I6" s="0" t="n">
        <f aca="false">H6*(1+I5/100)</f>
        <v>908.267597822737</v>
      </c>
      <c r="J6" s="0" t="n">
        <f aca="false">I6*(1+J5/100)</f>
        <v>940.056963746533</v>
      </c>
      <c r="K6" s="0" t="n">
        <f aca="false">J6*(1+K5/100)</f>
        <v>968.258672658929</v>
      </c>
      <c r="L6" s="0" t="n">
        <f aca="false">K6*(1+L5/100)</f>
        <v>992.465139475402</v>
      </c>
    </row>
    <row r="7" customFormat="false" ht="15" hidden="false" customHeight="false" outlineLevel="0" collapsed="false">
      <c r="A7" s="0" t="s">
        <v>119</v>
      </c>
      <c r="C7" s="4" t="n">
        <f aca="false">Assumptions!C28</f>
        <v>58</v>
      </c>
      <c r="D7" s="4" t="n">
        <f aca="false">Assumptions!D28</f>
        <v>57</v>
      </c>
      <c r="E7" s="4" t="n">
        <f aca="false">Assumptions!E28</f>
        <v>57</v>
      </c>
      <c r="F7" s="4" t="n">
        <f aca="false">Assumptions!F28</f>
        <v>57</v>
      </c>
      <c r="G7" s="4" t="n">
        <f aca="false">Assumptions!G28</f>
        <v>55</v>
      </c>
      <c r="H7" s="4" t="n">
        <f aca="false">Assumptions!H28</f>
        <v>55</v>
      </c>
      <c r="I7" s="4" t="n">
        <f aca="false">Assumptions!I28</f>
        <v>56</v>
      </c>
      <c r="J7" s="4" t="n">
        <f aca="false">Assumptions!J28</f>
        <v>56</v>
      </c>
      <c r="K7" s="4" t="n">
        <f aca="false">Assumptions!K28</f>
        <v>56</v>
      </c>
      <c r="L7" s="4" t="n">
        <f aca="false">Assumptions!L28</f>
        <v>56</v>
      </c>
    </row>
    <row r="8" customFormat="false" ht="15" hidden="false" customHeight="false" outlineLevel="0" collapsed="false">
      <c r="A8" s="0" t="s">
        <v>68</v>
      </c>
      <c r="C8" s="0" t="n">
        <f aca="false">C6*C7/100</f>
        <v>382.7976162</v>
      </c>
      <c r="D8" s="0" t="n">
        <f aca="false">D6*D7/100</f>
        <v>383.721610446</v>
      </c>
      <c r="E8" s="0" t="n">
        <f aca="false">E6*E7/100</f>
        <v>399.07047486384</v>
      </c>
      <c r="F8" s="0" t="n">
        <f aca="false">F6*F7/100</f>
        <v>415.033293858394</v>
      </c>
      <c r="G8" s="0" t="n">
        <f aca="false">G6*G7/100</f>
        <v>440.51779435847</v>
      </c>
      <c r="H8" s="0" t="n">
        <f aca="false">H6*H7/100</f>
        <v>475.759217907148</v>
      </c>
      <c r="I8" s="0" t="n">
        <f aca="false">I6*I7/100</f>
        <v>508.629854780733</v>
      </c>
      <c r="J8" s="0" t="n">
        <f aca="false">J6*J7/100</f>
        <v>526.431899698058</v>
      </c>
      <c r="K8" s="0" t="n">
        <f aca="false">K6*K7/100</f>
        <v>542.224856689</v>
      </c>
      <c r="L8" s="0" t="n">
        <f aca="false">L6*L7/100</f>
        <v>555.780478106225</v>
      </c>
    </row>
    <row r="9" customFormat="false" ht="15" hidden="false" customHeight="false" outlineLevel="0" collapsed="false">
      <c r="A9" s="0" t="s">
        <v>120</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135</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136</v>
      </c>
      <c r="C11" s="0" t="n">
        <f aca="false">C8+C10+C24</f>
        <v>362.9977395</v>
      </c>
      <c r="D11" s="0" t="n">
        <f aca="false">D8+D10+D24</f>
        <v>363.525736212</v>
      </c>
      <c r="E11" s="0" t="n">
        <f aca="false">E8+E10+E24</f>
        <v>378.06676566048</v>
      </c>
      <c r="F11" s="0" t="n">
        <f aca="false">F8+F10+F24</f>
        <v>393.189436286899</v>
      </c>
      <c r="G11" s="0" t="n">
        <f aca="false">G8+G10+G24</f>
        <v>416.489551029827</v>
      </c>
      <c r="H11" s="0" t="n">
        <f aca="false">H8+H10+H24</f>
        <v>449.808715112213</v>
      </c>
      <c r="I11" s="0" t="n">
        <f aca="false">I8+I10+I24</f>
        <v>481.381826846051</v>
      </c>
      <c r="J11" s="0" t="n">
        <f aca="false">J8+J10+J24</f>
        <v>498.230190785662</v>
      </c>
      <c r="K11" s="0" t="n">
        <f aca="false">K8+K10+K24</f>
        <v>513.177096509232</v>
      </c>
      <c r="L11" s="0" t="n">
        <f aca="false">L8+L10+L24</f>
        <v>526.006523921963</v>
      </c>
    </row>
    <row r="12" customFormat="false" ht="15" hidden="false" customHeight="false" outlineLevel="0" collapsed="false">
      <c r="A12" s="0" t="s">
        <v>137</v>
      </c>
      <c r="C12" s="4" t="n">
        <f aca="false">-C6*Assumptions!C31/100</f>
        <v>-92.3994246</v>
      </c>
      <c r="D12" s="4" t="n">
        <f aca="false">-D6*Assumptions!D31/100</f>
        <v>-94.247413092</v>
      </c>
      <c r="E12" s="4" t="n">
        <f aca="false">-E6*Assumptions!E31/100</f>
        <v>-98.01730961568</v>
      </c>
      <c r="F12" s="4" t="n">
        <f aca="false">-F6*Assumptions!F31/100</f>
        <v>-101.938002000307</v>
      </c>
      <c r="G12" s="4" t="n">
        <f aca="false">-G6*Assumptions!G31/100</f>
        <v>-160.188288857626</v>
      </c>
      <c r="H12" s="4" t="n">
        <f aca="false">-H6*Assumptions!H31/100</f>
        <v>-173.003351966236</v>
      </c>
      <c r="I12" s="4" t="n">
        <f aca="false">-I6*Assumptions!I31/100</f>
        <v>-172.57084358632</v>
      </c>
      <c r="J12" s="4" t="n">
        <f aca="false">-J6*Assumptions!J31/100</f>
        <v>-169.210253474376</v>
      </c>
      <c r="K12" s="4" t="n">
        <f aca="false">-K6*Assumptions!K31/100</f>
        <v>-174.286561078607</v>
      </c>
      <c r="L12" s="4" t="n">
        <f aca="false">-L6*Assumptions!L31/100</f>
        <v>-178.643725105572</v>
      </c>
    </row>
    <row r="13" customFormat="false" ht="15" hidden="false" customHeight="false" outlineLevel="0" collapsed="false">
      <c r="A13" s="0" t="s">
        <v>138</v>
      </c>
      <c r="C13" s="0" t="n">
        <f aca="false">C11+C12</f>
        <v>270.5983149</v>
      </c>
      <c r="D13" s="0" t="n">
        <f aca="false">D11+D12</f>
        <v>269.27832312</v>
      </c>
      <c r="E13" s="0" t="n">
        <f aca="false">E11+E12</f>
        <v>280.0494560448</v>
      </c>
      <c r="F13" s="0" t="n">
        <f aca="false">F11+F12</f>
        <v>291.251434286592</v>
      </c>
      <c r="G13" s="0" t="n">
        <f aca="false">G11+G12</f>
        <v>256.301262172201</v>
      </c>
      <c r="H13" s="0" t="n">
        <f aca="false">H11+H12</f>
        <v>276.805363145977</v>
      </c>
      <c r="I13" s="0" t="n">
        <f aca="false">I11+I12</f>
        <v>308.810983259731</v>
      </c>
      <c r="J13" s="0" t="n">
        <f aca="false">J11+J12</f>
        <v>329.019937311287</v>
      </c>
      <c r="K13" s="0" t="n">
        <f aca="false">K11+K12</f>
        <v>338.890535430625</v>
      </c>
      <c r="L13" s="0" t="n">
        <f aca="false">L11+L12</f>
        <v>347.362798816391</v>
      </c>
    </row>
    <row r="14" customFormat="false" ht="15" hidden="false" customHeight="false" outlineLevel="0" collapsed="false">
      <c r="A14" s="0" t="s">
        <v>124</v>
      </c>
      <c r="C14" s="4" t="n">
        <f aca="false">Assumptions!C33</f>
        <v>0.5</v>
      </c>
      <c r="D14" s="4" t="n">
        <f aca="false">Assumptions!D33</f>
        <v>0.5</v>
      </c>
      <c r="E14" s="4" t="n">
        <f aca="false">Assumptions!E33</f>
        <v>1</v>
      </c>
      <c r="F14" s="4" t="n">
        <f aca="false">Assumptions!F33</f>
        <v>1</v>
      </c>
      <c r="G14" s="4" t="n">
        <f aca="false">Assumptions!G33</f>
        <v>1.5</v>
      </c>
      <c r="H14" s="4" t="n">
        <f aca="false">Assumptions!H33</f>
        <v>2</v>
      </c>
      <c r="I14" s="4" t="n">
        <f aca="false">Assumptions!I33</f>
        <v>2</v>
      </c>
      <c r="J14" s="4" t="n">
        <f aca="false">Assumptions!J33</f>
        <v>2</v>
      </c>
      <c r="K14" s="4" t="n">
        <f aca="false">Assumptions!K33</f>
        <v>2</v>
      </c>
      <c r="L14" s="4" t="n">
        <f aca="false">Assumptions!L33</f>
        <v>2</v>
      </c>
    </row>
    <row r="15" customFormat="false" ht="15" hidden="false" customHeight="false" outlineLevel="0" collapsed="false">
      <c r="A15" s="0" t="s">
        <v>139</v>
      </c>
      <c r="C15" s="0" t="n">
        <f aca="false">C13-MAX(0,C13)*C14/100</f>
        <v>269.2453233255</v>
      </c>
      <c r="D15" s="0" t="n">
        <f aca="false">D13-MAX(0,D13)*D14/100</f>
        <v>267.9319315044</v>
      </c>
      <c r="E15" s="0" t="n">
        <f aca="false">E13-MAX(0,E13)*E14/100</f>
        <v>277.248961484352</v>
      </c>
      <c r="F15" s="0" t="n">
        <f aca="false">F13-MAX(0,F13)*F14/100</f>
        <v>288.338919943726</v>
      </c>
      <c r="G15" s="0" t="n">
        <f aca="false">G13-MAX(0,G13)*G14/100</f>
        <v>252.456743239618</v>
      </c>
      <c r="H15" s="0" t="n">
        <f aca="false">H13-MAX(0,H13)*H14/100</f>
        <v>271.269255883058</v>
      </c>
      <c r="I15" s="0" t="n">
        <f aca="false">I13-MAX(0,I13)*I14/100</f>
        <v>302.634763594536</v>
      </c>
      <c r="J15" s="0" t="n">
        <f aca="false">J13-MAX(0,J13)*J14/100</f>
        <v>322.439538565061</v>
      </c>
      <c r="K15" s="0" t="n">
        <f aca="false">K13-MAX(0,K13)*K14/100</f>
        <v>332.112724722013</v>
      </c>
      <c r="L15" s="0" t="n">
        <f aca="false">L13-MAX(0,L13)*L14/100</f>
        <v>340.415542840063</v>
      </c>
    </row>
    <row r="16" customFormat="false" ht="15" hidden="false" customHeight="false" outlineLevel="0" collapsed="false">
      <c r="A16" s="0" t="s">
        <v>140</v>
      </c>
      <c r="C16" s="0" t="n">
        <f aca="false">-C12</f>
        <v>92.3994246</v>
      </c>
      <c r="D16" s="0" t="n">
        <f aca="false">-D12</f>
        <v>94.247413092</v>
      </c>
      <c r="E16" s="0" t="n">
        <f aca="false">-E12</f>
        <v>98.01730961568</v>
      </c>
      <c r="F16" s="0" t="n">
        <f aca="false">-F12</f>
        <v>101.938002000307</v>
      </c>
      <c r="G16" s="0" t="n">
        <f aca="false">-G12</f>
        <v>160.188288857626</v>
      </c>
      <c r="H16" s="0" t="n">
        <f aca="false">-H12</f>
        <v>173.003351966236</v>
      </c>
      <c r="I16" s="0" t="n">
        <f aca="false">-I12</f>
        <v>172.57084358632</v>
      </c>
      <c r="J16" s="0" t="n">
        <f aca="false">-J12</f>
        <v>169.210253474376</v>
      </c>
      <c r="K16" s="0" t="n">
        <f aca="false">-K12</f>
        <v>174.286561078607</v>
      </c>
      <c r="L16" s="0" t="n">
        <f aca="false">-L12</f>
        <v>178.643725105572</v>
      </c>
    </row>
    <row r="17" customFormat="false" ht="15" hidden="false" customHeight="false" outlineLevel="0" collapsed="false">
      <c r="A17" s="0" t="s">
        <v>141</v>
      </c>
      <c r="C17" s="4" t="n">
        <f aca="false">-C6*Assumptions!C32/100</f>
        <v>-98.9993835</v>
      </c>
      <c r="D17" s="4" t="n">
        <f aca="false">-D6*Assumptions!D32/100</f>
        <v>-269.27832312</v>
      </c>
      <c r="E17" s="4" t="n">
        <f aca="false">-E6*Assumptions!E32/100</f>
        <v>-385.0680020616</v>
      </c>
      <c r="F17" s="4" t="n">
        <f aca="false">-F6*Assumptions!F32/100</f>
        <v>-400.470722144064</v>
      </c>
      <c r="G17" s="4" t="n">
        <f aca="false">-G6*Assumptions!G32/100</f>
        <v>-240.282433286438</v>
      </c>
      <c r="H17" s="4" t="n">
        <f aca="false">-H6*Assumptions!H32/100</f>
        <v>-86.5016759831178</v>
      </c>
      <c r="I17" s="4" t="n">
        <f aca="false">-I6*Assumptions!I32/100</f>
        <v>-72.661407825819</v>
      </c>
      <c r="J17" s="4" t="n">
        <f aca="false">-J6*Assumptions!J32/100</f>
        <v>-75.2045570997226</v>
      </c>
      <c r="K17" s="4" t="n">
        <f aca="false">-K6*Assumptions!K32/100</f>
        <v>-77.4606938127143</v>
      </c>
      <c r="L17" s="4" t="n">
        <f aca="false">-L6*Assumptions!L32/100</f>
        <v>-79.3972111580322</v>
      </c>
    </row>
    <row r="18" customFormat="false" ht="15" hidden="false" customHeight="false" outlineLevel="0" collapsed="false">
      <c r="A18" s="0" t="s">
        <v>142</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143</v>
      </c>
      <c r="C19" s="0" t="n">
        <f aca="false">C15+C16+C17+C18</f>
        <v>262.6453644255</v>
      </c>
      <c r="D19" s="0" t="n">
        <f aca="false">D15+D16+D17+D18</f>
        <v>92.9010214764001</v>
      </c>
      <c r="E19" s="0" t="n">
        <f aca="false">E15+E16+E17+E18</f>
        <v>-9.80173096156796</v>
      </c>
      <c r="F19" s="0" t="n">
        <f aca="false">F15+F16+F17+F18</f>
        <v>-10.1938002000308</v>
      </c>
      <c r="G19" s="0" t="n">
        <f aca="false">G15+G16+G17+G18</f>
        <v>172.362598810805</v>
      </c>
      <c r="H19" s="0" t="n">
        <f aca="false">H15+H16+H17+H18</f>
        <v>357.770931866175</v>
      </c>
      <c r="I19" s="0" t="n">
        <f aca="false">I15+I16+I17+I18</f>
        <v>402.544199355037</v>
      </c>
      <c r="J19" s="0" t="n">
        <f aca="false">J15+J16+J17+J18</f>
        <v>416.445234939714</v>
      </c>
      <c r="K19" s="0" t="n">
        <f aca="false">K15+K16+K17+K18</f>
        <v>428.938591987905</v>
      </c>
      <c r="L19" s="0" t="n">
        <f aca="false">L15+L16+L17+L18</f>
        <v>439.662056787603</v>
      </c>
    </row>
    <row r="20" customFormat="false" ht="15" hidden="false" customHeight="false" outlineLevel="0" collapsed="false">
      <c r="A20" s="0" t="s">
        <v>144</v>
      </c>
      <c r="C20" s="0" t="n">
        <f aca="false">1/(1+$B$27/100)^C4</f>
        <v>0.888888888888889</v>
      </c>
      <c r="D20" s="0" t="n">
        <f aca="false">1/(1+$B$27/100)^D4</f>
        <v>0.790123456790123</v>
      </c>
      <c r="E20" s="0" t="n">
        <f aca="false">1/(1+$B$27/100)^E4</f>
        <v>0.702331961591221</v>
      </c>
      <c r="F20" s="0" t="n">
        <f aca="false">1/(1+$B$27/100)^F4</f>
        <v>0.624295076969974</v>
      </c>
      <c r="G20" s="0" t="n">
        <f aca="false">1/(1+$B$27/100)^G4</f>
        <v>0.554928957306644</v>
      </c>
      <c r="H20" s="0" t="n">
        <f aca="false">1/(1+$B$27/100)^H4</f>
        <v>0.493270184272572</v>
      </c>
      <c r="I20" s="0" t="n">
        <f aca="false">1/(1+$B$27/100)^I4</f>
        <v>0.438462386020064</v>
      </c>
      <c r="J20" s="0" t="n">
        <f aca="false">1/(1+$B$27/100)^J4</f>
        <v>0.389744343128946</v>
      </c>
      <c r="K20" s="0" t="n">
        <f aca="false">1/(1+$B$27/100)^K4</f>
        <v>0.346439416114619</v>
      </c>
      <c r="L20" s="0" t="n">
        <f aca="false">1/(1+$B$27/100)^L4</f>
        <v>0.307946147657439</v>
      </c>
    </row>
    <row r="21" customFormat="false" ht="15" hidden="false" customHeight="false" outlineLevel="0" collapsed="false">
      <c r="A21" s="0" t="s">
        <v>145</v>
      </c>
      <c r="C21" s="0" t="n">
        <f aca="false">C19*C20</f>
        <v>233.462546156</v>
      </c>
      <c r="D21" s="0" t="n">
        <f aca="false">D19*D20</f>
        <v>73.4032762282668</v>
      </c>
      <c r="E21" s="0" t="n">
        <f aca="false">E19*E20</f>
        <v>-6.88406893322742</v>
      </c>
      <c r="F21" s="0" t="n">
        <f aca="false">F19*F20</f>
        <v>-6.36393928049474</v>
      </c>
      <c r="G21" s="0" t="n">
        <f aca="false">G19*G20</f>
        <v>95.6489972367434</v>
      </c>
      <c r="H21" s="0" t="n">
        <f aca="false">H19*H20</f>
        <v>176.477733488998</v>
      </c>
      <c r="I21" s="0" t="n">
        <f aca="false">I19*I20</f>
        <v>176.500490127746</v>
      </c>
      <c r="J21" s="0" t="n">
        <f aca="false">J19*J20</f>
        <v>162.307174540758</v>
      </c>
      <c r="K21" s="0" t="n">
        <f aca="false">K19*K20</f>
        <v>148.601235357317</v>
      </c>
      <c r="L21" s="0" t="n">
        <f aca="false">L19*L20</f>
        <v>135.392236658888</v>
      </c>
    </row>
    <row r="23" customFormat="false" ht="15" hidden="false" customHeight="false" outlineLevel="0" collapsed="false">
      <c r="A23" s="0" t="s">
        <v>121</v>
      </c>
      <c r="C23" s="4" t="n">
        <f aca="false">Assumptions!C30</f>
        <v>3</v>
      </c>
      <c r="D23" s="4" t="n">
        <f aca="false">Assumptions!D30</f>
        <v>3</v>
      </c>
      <c r="E23" s="4" t="n">
        <f aca="false">Assumptions!E30</f>
        <v>3</v>
      </c>
      <c r="F23" s="4" t="n">
        <f aca="false">Assumptions!F30</f>
        <v>3</v>
      </c>
      <c r="G23" s="4" t="n">
        <f aca="false">Assumptions!G30</f>
        <v>3</v>
      </c>
      <c r="H23" s="4" t="n">
        <f aca="false">Assumptions!H30</f>
        <v>3</v>
      </c>
      <c r="I23" s="4" t="n">
        <f aca="false">Assumptions!I30</f>
        <v>3</v>
      </c>
      <c r="J23" s="4" t="n">
        <f aca="false">Assumptions!J30</f>
        <v>3</v>
      </c>
      <c r="K23" s="4" t="n">
        <f aca="false">Assumptions!K30</f>
        <v>3</v>
      </c>
      <c r="L23" s="4" t="n">
        <f aca="false">Assumptions!L30</f>
        <v>3</v>
      </c>
    </row>
    <row r="24" customFormat="false" ht="15" hidden="false" customHeight="false" outlineLevel="0" collapsed="false">
      <c r="A24" s="0" t="s">
        <v>146</v>
      </c>
      <c r="C24" s="0" t="n">
        <f aca="false">-C6*C23/100</f>
        <v>-19.7998767</v>
      </c>
      <c r="D24" s="0" t="n">
        <f aca="false">-D6*D23/100</f>
        <v>-20.195874234</v>
      </c>
      <c r="E24" s="0" t="n">
        <f aca="false">-E6*E23/100</f>
        <v>-21.00370920336</v>
      </c>
      <c r="F24" s="0" t="n">
        <f aca="false">-F6*F23/100</f>
        <v>-21.8438575714944</v>
      </c>
      <c r="G24" s="0" t="n">
        <f aca="false">-G6*G23/100</f>
        <v>-24.0282433286438</v>
      </c>
      <c r="H24" s="0" t="n">
        <f aca="false">-H6*H23/100</f>
        <v>-25.9505027949353</v>
      </c>
      <c r="I24" s="0" t="n">
        <f aca="false">-I6*I23/100</f>
        <v>-27.2480279346821</v>
      </c>
      <c r="J24" s="0" t="n">
        <f aca="false">-J6*J23/100</f>
        <v>-28.201708912396</v>
      </c>
      <c r="K24" s="0" t="n">
        <f aca="false">-K6*K23/100</f>
        <v>-29.0477601797679</v>
      </c>
      <c r="L24" s="0" t="n">
        <f aca="false">-L6*L23/100</f>
        <v>-29.7739541842621</v>
      </c>
    </row>
    <row r="26" customFormat="false" ht="15" hidden="false" customHeight="false" outlineLevel="0" collapsed="false">
      <c r="A26" s="2" t="s">
        <v>147</v>
      </c>
    </row>
    <row r="27" customFormat="false" ht="15" hidden="false" customHeight="false" outlineLevel="0" collapsed="false">
      <c r="A27" s="0" t="s">
        <v>125</v>
      </c>
      <c r="B27" s="4" t="n">
        <f aca="false">Assumptions!$B$34</f>
        <v>12.5</v>
      </c>
    </row>
    <row r="28" customFormat="false" ht="15" hidden="false" customHeight="false" outlineLevel="0" collapsed="false">
      <c r="A28" s="0" t="s">
        <v>126</v>
      </c>
      <c r="B28" s="4" t="n">
        <f aca="false">Assumptions!$B$35</f>
        <v>2.5</v>
      </c>
    </row>
    <row r="29" customFormat="false" ht="15" hidden="false" customHeight="false" outlineLevel="0" collapsed="false">
      <c r="A29" s="0" t="s">
        <v>127</v>
      </c>
      <c r="B29" s="4" t="n">
        <f aca="false">Assumptions!$B$36</f>
        <v>12</v>
      </c>
    </row>
    <row r="30" customFormat="false" ht="15" hidden="false" customHeight="false" outlineLevel="0" collapsed="false">
      <c r="A30" s="0" t="s">
        <v>148</v>
      </c>
      <c r="B30" s="0" t="n">
        <f aca="false">SUM(C21:L21)</f>
        <v>1188.545681581</v>
      </c>
    </row>
    <row r="31" customFormat="false" ht="15" hidden="false" customHeight="false" outlineLevel="0" collapsed="false">
      <c r="A31" s="0" t="s">
        <v>149</v>
      </c>
      <c r="B31" s="0" t="n">
        <f aca="false">L19</f>
        <v>439.662056787603</v>
      </c>
    </row>
    <row r="32" customFormat="false" ht="15" hidden="false" customHeight="false" outlineLevel="0" collapsed="false">
      <c r="A32" s="0" t="s">
        <v>150</v>
      </c>
      <c r="B32" s="0" t="n">
        <f aca="false">IF(B27&gt;B28,B31*(1+B28/100)/((B27-B28)/100),B31*B29)</f>
        <v>4506.53608207293</v>
      </c>
    </row>
    <row r="33" customFormat="false" ht="15" hidden="false" customHeight="false" outlineLevel="0" collapsed="false">
      <c r="A33" s="0" t="s">
        <v>151</v>
      </c>
      <c r="B33" s="0" t="n">
        <f aca="false">B31*B29</f>
        <v>5275.94468145124</v>
      </c>
    </row>
    <row r="34" customFormat="false" ht="15" hidden="false" customHeight="false" outlineLevel="0" collapsed="false">
      <c r="A34" s="0" t="s">
        <v>152</v>
      </c>
      <c r="B34" s="0" t="n">
        <f aca="false">MAX(0,MIN(B32,B33))</f>
        <v>4506.53608207293</v>
      </c>
    </row>
    <row r="35" customFormat="false" ht="15" hidden="false" customHeight="false" outlineLevel="0" collapsed="false">
      <c r="A35" s="0" t="s">
        <v>153</v>
      </c>
      <c r="B35" s="0" t="n">
        <f aca="false">B34/(1+B27/100)^L4</f>
        <v>1387.77042575361</v>
      </c>
    </row>
    <row r="36" customFormat="false" ht="15" hidden="false" customHeight="false" outlineLevel="0" collapsed="false">
      <c r="A36" s="0" t="s">
        <v>154</v>
      </c>
      <c r="B36" s="0" t="n">
        <f aca="false">B30+B35</f>
        <v>2576.3161073346</v>
      </c>
    </row>
    <row r="37" customFormat="false" ht="15" hidden="false" customHeight="false" outlineLevel="0" collapsed="false">
      <c r="A37" s="0" t="s">
        <v>155</v>
      </c>
      <c r="B37" s="0" t="n">
        <f aca="false">B36+Assumptions!$B$5-Assumptions!$B$4</f>
        <v>2992.4171073346</v>
      </c>
    </row>
    <row r="38" customFormat="false" ht="15" hidden="false" customHeight="false" outlineLevel="0" collapsed="false">
      <c r="A38" s="0" t="s">
        <v>156</v>
      </c>
      <c r="B38" s="0" t="n">
        <f aca="false">B37/Assumptions!$B$3*Assumptions!$B$10</f>
        <v>5.30186065571652</v>
      </c>
    </row>
    <row r="39" customFormat="false" ht="15" hidden="false" customHeight="false" outlineLevel="0" collapsed="false">
      <c r="A39" s="0" t="s">
        <v>157</v>
      </c>
      <c r="B39" s="4" t="n">
        <f aca="false">B38/Assumptions!$B$2-1</f>
        <v>1.38822552059303</v>
      </c>
    </row>
    <row r="41" customFormat="false" ht="15" hidden="false" customHeight="false" outlineLevel="0" collapsed="false">
      <c r="A41" s="0" t="s">
        <v>158</v>
      </c>
      <c r="B41" s="0" t="n">
        <f aca="false">SUMPRODUCT(-C10:L10/(1+$B$27/100)^C4:L4)</f>
        <v>0</v>
      </c>
    </row>
    <row r="42" customFormat="false" ht="15" hidden="false" customHeight="false" outlineLevel="0" collapsed="false">
      <c r="A42" s="0" t="s">
        <v>159</v>
      </c>
      <c r="B42" s="0" t="n">
        <f aca="false">IF(B27&gt;B28,-L10*(1+B28/100)/((B27-B28)/100),-L10*20)/(1+B27/100)^L4</f>
        <v>0</v>
      </c>
    </row>
    <row r="43" customFormat="false" ht="15" hidden="false" customHeight="false" outlineLevel="0" collapsed="false">
      <c r="A43" s="0" t="s">
        <v>160</v>
      </c>
      <c r="B43" s="0" t="n">
        <f aca="false">(B37+B41+B42)/Assumptions!$B$3*Assumptions!$B$10</f>
        <v>5.30186065571652</v>
      </c>
    </row>
    <row r="45" customFormat="false" ht="15" hidden="false" customHeight="false" outlineLevel="0" collapsed="false">
      <c r="A45" s="0" t="s">
        <v>101</v>
      </c>
      <c r="B45" s="4" t="n">
        <f aca="false">Assumptions!$B$6</f>
        <v>15</v>
      </c>
    </row>
    <row r="46" customFormat="false" ht="15" hidden="false" customHeight="false" outlineLevel="0" collapsed="false">
      <c r="A46" s="0" t="s">
        <v>161</v>
      </c>
      <c r="B46" s="0" t="n">
        <f aca="false">MAX(0,MIN(IF(B45&gt;B28,B31*(1+B28/100)/((B45-B28)/100),B31*B29),B31*B29))</f>
        <v>3605.22886565834</v>
      </c>
    </row>
    <row r="47" customFormat="false" ht="15" hidden="false" customHeight="false" outlineLevel="0" collapsed="false">
      <c r="A47" s="0" t="s">
        <v>162</v>
      </c>
      <c r="B47" s="0" t="n">
        <f aca="false">(SUMPRODUCT(C19:L19/(1+B45/100)^C4:L4)+B46/(1+B45/100)^L4+Assumptions!$B$5-Assumptions!$B$4)/Assumptions!$B$3*Assumptions!$B$10</f>
        <v>4.16730674308367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164</v>
      </c>
    </row>
    <row r="3" customFormat="false" ht="15" hidden="false" customHeight="false" outlineLevel="0" collapsed="false">
      <c r="A3" s="0" t="s">
        <v>133</v>
      </c>
      <c r="B3" s="0" t="s">
        <v>95</v>
      </c>
      <c r="C3" s="2" t="s">
        <v>108</v>
      </c>
      <c r="D3" s="2" t="s">
        <v>109</v>
      </c>
      <c r="E3" s="2" t="s">
        <v>110</v>
      </c>
      <c r="F3" s="2" t="s">
        <v>111</v>
      </c>
      <c r="G3" s="2" t="s">
        <v>112</v>
      </c>
      <c r="H3" s="2" t="s">
        <v>113</v>
      </c>
      <c r="I3" s="2" t="s">
        <v>114</v>
      </c>
      <c r="J3" s="2" t="s">
        <v>115</v>
      </c>
      <c r="K3" s="2" t="s">
        <v>116</v>
      </c>
      <c r="L3" s="2" t="s">
        <v>117</v>
      </c>
    </row>
    <row r="4" customFormat="false" ht="15" hidden="false" customHeight="false" outlineLevel="0" collapsed="false">
      <c r="A4" s="0" t="s">
        <v>134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118</v>
      </c>
      <c r="C5" s="4" t="n">
        <f aca="false">Assumptions!C41</f>
        <v>-4</v>
      </c>
      <c r="D5" s="4" t="n">
        <f aca="false">Assumptions!D41</f>
        <v>6</v>
      </c>
      <c r="E5" s="4" t="n">
        <f aca="false">Assumptions!E41</f>
        <v>7</v>
      </c>
      <c r="F5" s="4" t="n">
        <f aca="false">Assumptions!F41</f>
        <v>6</v>
      </c>
      <c r="G5" s="4" t="n">
        <f aca="false">Assumptions!G41</f>
        <v>12</v>
      </c>
      <c r="H5" s="4" t="n">
        <f aca="false">Assumptions!H41</f>
        <v>9</v>
      </c>
      <c r="I5" s="4" t="n">
        <f aca="false">Assumptions!I41</f>
        <v>6</v>
      </c>
      <c r="J5" s="4" t="n">
        <f aca="false">Assumptions!J41</f>
        <v>4</v>
      </c>
      <c r="K5" s="4" t="n">
        <f aca="false">Assumptions!K41</f>
        <v>3</v>
      </c>
      <c r="L5" s="4" t="n">
        <f aca="false">Assumptions!L41</f>
        <v>3</v>
      </c>
    </row>
    <row r="6" customFormat="false" ht="15" hidden="false" customHeight="false" outlineLevel="0" collapsed="false">
      <c r="A6" s="0" t="s">
        <v>62</v>
      </c>
      <c r="B6" s="3" t="n">
        <v>709.673</v>
      </c>
      <c r="C6" s="0" t="n">
        <f aca="false">B6*(1+C5/100)</f>
        <v>681.28608</v>
      </c>
      <c r="D6" s="0" t="n">
        <f aca="false">C6*(1+D5/100)</f>
        <v>722.1632448</v>
      </c>
      <c r="E6" s="0" t="n">
        <f aca="false">D6*(1+E5/100)</f>
        <v>772.714671936</v>
      </c>
      <c r="F6" s="0" t="n">
        <f aca="false">E6*(1+F5/100)</f>
        <v>819.07755225216</v>
      </c>
      <c r="G6" s="0" t="n">
        <f aca="false">F6*(1+G5/100)</f>
        <v>917.366858522419</v>
      </c>
      <c r="H6" s="0" t="n">
        <f aca="false">G6*(1+H5/100)</f>
        <v>999.929875789437</v>
      </c>
      <c r="I6" s="0" t="n">
        <f aca="false">H6*(1+I5/100)</f>
        <v>1059.9256683368</v>
      </c>
      <c r="J6" s="0" t="n">
        <f aca="false">I6*(1+J5/100)</f>
        <v>1102.32269507028</v>
      </c>
      <c r="K6" s="0" t="n">
        <f aca="false">J6*(1+K5/100)</f>
        <v>1135.39237592238</v>
      </c>
      <c r="L6" s="0" t="n">
        <f aca="false">K6*(1+L5/100)</f>
        <v>1169.45414720006</v>
      </c>
    </row>
    <row r="7" customFormat="false" ht="15" hidden="false" customHeight="false" outlineLevel="0" collapsed="false">
      <c r="A7" s="0" t="s">
        <v>119</v>
      </c>
      <c r="C7" s="4" t="n">
        <f aca="false">Assumptions!C42</f>
        <v>60</v>
      </c>
      <c r="D7" s="4" t="n">
        <f aca="false">Assumptions!D42</f>
        <v>59</v>
      </c>
      <c r="E7" s="4" t="n">
        <f aca="false">Assumptions!E42</f>
        <v>59</v>
      </c>
      <c r="F7" s="4" t="n">
        <f aca="false">Assumptions!F42</f>
        <v>59</v>
      </c>
      <c r="G7" s="4" t="n">
        <f aca="false">Assumptions!G42</f>
        <v>57</v>
      </c>
      <c r="H7" s="4" t="n">
        <f aca="false">Assumptions!H42</f>
        <v>58</v>
      </c>
      <c r="I7" s="4" t="n">
        <f aca="false">Assumptions!I42</f>
        <v>59</v>
      </c>
      <c r="J7" s="4" t="n">
        <f aca="false">Assumptions!J42</f>
        <v>59</v>
      </c>
      <c r="K7" s="4" t="n">
        <f aca="false">Assumptions!K42</f>
        <v>59</v>
      </c>
      <c r="L7" s="4" t="n">
        <f aca="false">Assumptions!L42</f>
        <v>59</v>
      </c>
    </row>
    <row r="8" customFormat="false" ht="15" hidden="false" customHeight="false" outlineLevel="0" collapsed="false">
      <c r="A8" s="0" t="s">
        <v>68</v>
      </c>
      <c r="C8" s="0" t="n">
        <f aca="false">C6*C7/100</f>
        <v>408.771648</v>
      </c>
      <c r="D8" s="0" t="n">
        <f aca="false">D6*D7/100</f>
        <v>426.076314432</v>
      </c>
      <c r="E8" s="0" t="n">
        <f aca="false">E6*E7/100</f>
        <v>455.90165644224</v>
      </c>
      <c r="F8" s="0" t="n">
        <f aca="false">F6*F7/100</f>
        <v>483.255755828775</v>
      </c>
      <c r="G8" s="0" t="n">
        <f aca="false">G6*G7/100</f>
        <v>522.899109357779</v>
      </c>
      <c r="H8" s="0" t="n">
        <f aca="false">H6*H7/100</f>
        <v>579.959327957874</v>
      </c>
      <c r="I8" s="0" t="n">
        <f aca="false">I6*I7/100</f>
        <v>625.356144318714</v>
      </c>
      <c r="J8" s="0" t="n">
        <f aca="false">J6*J7/100</f>
        <v>650.370390091463</v>
      </c>
      <c r="K8" s="0" t="n">
        <f aca="false">K6*K7/100</f>
        <v>669.881501794207</v>
      </c>
      <c r="L8" s="0" t="n">
        <f aca="false">L6*L7/100</f>
        <v>689.977946848033</v>
      </c>
    </row>
    <row r="9" customFormat="false" ht="15" hidden="false" customHeight="false" outlineLevel="0" collapsed="false">
      <c r="A9" s="0" t="s">
        <v>120</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135</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136</v>
      </c>
      <c r="C11" s="0" t="n">
        <f aca="false">C8+C10+C24</f>
        <v>388.3330656</v>
      </c>
      <c r="D11" s="0" t="n">
        <f aca="false">D8+D10+D24</f>
        <v>404.411417088</v>
      </c>
      <c r="E11" s="0" t="n">
        <f aca="false">E8+E10+E24</f>
        <v>432.72021628416</v>
      </c>
      <c r="F11" s="0" t="n">
        <f aca="false">F8+F10+F24</f>
        <v>458.68342926121</v>
      </c>
      <c r="G11" s="0" t="n">
        <f aca="false">G8+G10+G24</f>
        <v>495.378103602107</v>
      </c>
      <c r="H11" s="0" t="n">
        <f aca="false">H8+H10+H24</f>
        <v>549.961431684191</v>
      </c>
      <c r="I11" s="0" t="n">
        <f aca="false">I8+I10+I24</f>
        <v>593.55837426861</v>
      </c>
      <c r="J11" s="0" t="n">
        <f aca="false">J8+J10+J24</f>
        <v>617.300709239354</v>
      </c>
      <c r="K11" s="0" t="n">
        <f aca="false">K8+K10+K24</f>
        <v>635.819730516535</v>
      </c>
      <c r="L11" s="0" t="n">
        <f aca="false">L8+L10+L24</f>
        <v>654.894322432031</v>
      </c>
    </row>
    <row r="12" customFormat="false" ht="15" hidden="false" customHeight="false" outlineLevel="0" collapsed="false">
      <c r="A12" s="0" t="s">
        <v>137</v>
      </c>
      <c r="C12" s="4" t="n">
        <f aca="false">-C6*Assumptions!C45/100</f>
        <v>-95.3800512</v>
      </c>
      <c r="D12" s="4" t="n">
        <f aca="false">-D6*Assumptions!D45/100</f>
        <v>-101.102854272</v>
      </c>
      <c r="E12" s="4" t="n">
        <f aca="false">-E6*Assumptions!E45/100</f>
        <v>-108.18005407104</v>
      </c>
      <c r="F12" s="4" t="n">
        <f aca="false">-F6*Assumptions!F45/100</f>
        <v>-114.670857315302</v>
      </c>
      <c r="G12" s="4" t="n">
        <f aca="false">-G6*Assumptions!G45/100</f>
        <v>-165.126034534036</v>
      </c>
      <c r="H12" s="4" t="n">
        <f aca="false">-H6*Assumptions!H45/100</f>
        <v>-179.987377642099</v>
      </c>
      <c r="I12" s="4" t="n">
        <f aca="false">-I6*Assumptions!I45/100</f>
        <v>-180.187363617257</v>
      </c>
      <c r="J12" s="4" t="n">
        <f aca="false">-J6*Assumptions!J45/100</f>
        <v>-176.371631211244</v>
      </c>
      <c r="K12" s="4" t="n">
        <f aca="false">-K6*Assumptions!K45/100</f>
        <v>-181.662780147581</v>
      </c>
      <c r="L12" s="4" t="n">
        <f aca="false">-L6*Assumptions!L45/100</f>
        <v>-187.112663552009</v>
      </c>
    </row>
    <row r="13" customFormat="false" ht="15" hidden="false" customHeight="false" outlineLevel="0" collapsed="false">
      <c r="A13" s="0" t="s">
        <v>138</v>
      </c>
      <c r="C13" s="0" t="n">
        <f aca="false">C11+C12</f>
        <v>292.9530144</v>
      </c>
      <c r="D13" s="0" t="n">
        <f aca="false">D11+D12</f>
        <v>303.308562816</v>
      </c>
      <c r="E13" s="0" t="n">
        <f aca="false">E11+E12</f>
        <v>324.54016221312</v>
      </c>
      <c r="F13" s="0" t="n">
        <f aca="false">F11+F12</f>
        <v>344.012571945907</v>
      </c>
      <c r="G13" s="0" t="n">
        <f aca="false">G11+G12</f>
        <v>330.252069068071</v>
      </c>
      <c r="H13" s="0" t="n">
        <f aca="false">H11+H12</f>
        <v>369.974054042092</v>
      </c>
      <c r="I13" s="0" t="n">
        <f aca="false">I11+I12</f>
        <v>413.371010651353</v>
      </c>
      <c r="J13" s="0" t="n">
        <f aca="false">J11+J12</f>
        <v>440.92907802811</v>
      </c>
      <c r="K13" s="0" t="n">
        <f aca="false">K11+K12</f>
        <v>454.156950368954</v>
      </c>
      <c r="L13" s="0" t="n">
        <f aca="false">L11+L12</f>
        <v>467.781658880022</v>
      </c>
    </row>
    <row r="14" customFormat="false" ht="15" hidden="false" customHeight="false" outlineLevel="0" collapsed="false">
      <c r="A14" s="0" t="s">
        <v>124</v>
      </c>
      <c r="C14" s="4" t="n">
        <f aca="false">Assumptions!C47</f>
        <v>0.5</v>
      </c>
      <c r="D14" s="4" t="n">
        <f aca="false">Assumptions!D47</f>
        <v>0.5</v>
      </c>
      <c r="E14" s="4" t="n">
        <f aca="false">Assumptions!E47</f>
        <v>0.5</v>
      </c>
      <c r="F14" s="4" t="n">
        <f aca="false">Assumptions!F47</f>
        <v>1</v>
      </c>
      <c r="G14" s="4" t="n">
        <f aca="false">Assumptions!G47</f>
        <v>1</v>
      </c>
      <c r="H14" s="4" t="n">
        <f aca="false">Assumptions!H47</f>
        <v>1</v>
      </c>
      <c r="I14" s="4" t="n">
        <f aca="false">Assumptions!I47</f>
        <v>1</v>
      </c>
      <c r="J14" s="4" t="n">
        <f aca="false">Assumptions!J47</f>
        <v>1</v>
      </c>
      <c r="K14" s="4" t="n">
        <f aca="false">Assumptions!K47</f>
        <v>1</v>
      </c>
      <c r="L14" s="4" t="n">
        <f aca="false">Assumptions!L47</f>
        <v>1</v>
      </c>
    </row>
    <row r="15" customFormat="false" ht="15" hidden="false" customHeight="false" outlineLevel="0" collapsed="false">
      <c r="A15" s="0" t="s">
        <v>139</v>
      </c>
      <c r="C15" s="0" t="n">
        <f aca="false">C13-MAX(0,C13)*C14/100</f>
        <v>291.488249328</v>
      </c>
      <c r="D15" s="0" t="n">
        <f aca="false">D13-MAX(0,D13)*D14/100</f>
        <v>301.79202000192</v>
      </c>
      <c r="E15" s="0" t="n">
        <f aca="false">E13-MAX(0,E13)*E14/100</f>
        <v>322.917461402054</v>
      </c>
      <c r="F15" s="0" t="n">
        <f aca="false">F13-MAX(0,F13)*F14/100</f>
        <v>340.572446226448</v>
      </c>
      <c r="G15" s="0" t="n">
        <f aca="false">G13-MAX(0,G13)*G14/100</f>
        <v>326.94954837739</v>
      </c>
      <c r="H15" s="0" t="n">
        <f aca="false">H13-MAX(0,H13)*H14/100</f>
        <v>366.274313501671</v>
      </c>
      <c r="I15" s="0" t="n">
        <f aca="false">I13-MAX(0,I13)*I14/100</f>
        <v>409.23730054484</v>
      </c>
      <c r="J15" s="0" t="n">
        <f aca="false">J13-MAX(0,J13)*J14/100</f>
        <v>436.519787247829</v>
      </c>
      <c r="K15" s="0" t="n">
        <f aca="false">K13-MAX(0,K13)*K14/100</f>
        <v>449.615380865264</v>
      </c>
      <c r="L15" s="0" t="n">
        <f aca="false">L13-MAX(0,L13)*L14/100</f>
        <v>463.103842291222</v>
      </c>
    </row>
    <row r="16" customFormat="false" ht="15" hidden="false" customHeight="false" outlineLevel="0" collapsed="false">
      <c r="A16" s="0" t="s">
        <v>140</v>
      </c>
      <c r="C16" s="0" t="n">
        <f aca="false">-C12</f>
        <v>95.3800512</v>
      </c>
      <c r="D16" s="0" t="n">
        <f aca="false">-D12</f>
        <v>101.102854272</v>
      </c>
      <c r="E16" s="0" t="n">
        <f aca="false">-E12</f>
        <v>108.18005407104</v>
      </c>
      <c r="F16" s="0" t="n">
        <f aca="false">-F12</f>
        <v>114.670857315302</v>
      </c>
      <c r="G16" s="0" t="n">
        <f aca="false">-G12</f>
        <v>165.126034534036</v>
      </c>
      <c r="H16" s="0" t="n">
        <f aca="false">-H12</f>
        <v>179.987377642099</v>
      </c>
      <c r="I16" s="0" t="n">
        <f aca="false">-I12</f>
        <v>180.187363617257</v>
      </c>
      <c r="J16" s="0" t="n">
        <f aca="false">-J12</f>
        <v>176.371631211244</v>
      </c>
      <c r="K16" s="0" t="n">
        <f aca="false">-K12</f>
        <v>181.662780147581</v>
      </c>
      <c r="L16" s="0" t="n">
        <f aca="false">-L12</f>
        <v>187.112663552009</v>
      </c>
    </row>
    <row r="17" customFormat="false" ht="15" hidden="false" customHeight="false" outlineLevel="0" collapsed="false">
      <c r="A17" s="0" t="s">
        <v>141</v>
      </c>
      <c r="C17" s="4" t="n">
        <f aca="false">-C6*Assumptions!C46/100</f>
        <v>-95.3800512</v>
      </c>
      <c r="D17" s="4" t="n">
        <f aca="false">-D6*Assumptions!D46/100</f>
        <v>-216.64897344</v>
      </c>
      <c r="E17" s="4" t="n">
        <f aca="false">-E6*Assumptions!E46/100</f>
        <v>-270.4501351776</v>
      </c>
      <c r="F17" s="4" t="n">
        <f aca="false">-F6*Assumptions!F46/100</f>
        <v>-286.677143288256</v>
      </c>
      <c r="G17" s="4" t="n">
        <f aca="false">-G6*Assumptions!G46/100</f>
        <v>-183.473371704484</v>
      </c>
      <c r="H17" s="4" t="n">
        <f aca="false">-H6*Assumptions!H46/100</f>
        <v>-89.9936888210494</v>
      </c>
      <c r="I17" s="4" t="n">
        <f aca="false">-I6*Assumptions!I46/100</f>
        <v>-74.1947967835762</v>
      </c>
      <c r="J17" s="4" t="n">
        <f aca="false">-J6*Assumptions!J46/100</f>
        <v>-77.1625886549193</v>
      </c>
      <c r="K17" s="4" t="n">
        <f aca="false">-K6*Assumptions!K46/100</f>
        <v>-79.4774663145669</v>
      </c>
      <c r="L17" s="4" t="n">
        <f aca="false">-L6*Assumptions!L46/100</f>
        <v>-81.8617903040039</v>
      </c>
    </row>
    <row r="18" customFormat="false" ht="15" hidden="false" customHeight="false" outlineLevel="0" collapsed="false">
      <c r="A18" s="0" t="s">
        <v>142</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143</v>
      </c>
      <c r="C19" s="0" t="n">
        <f aca="false">C15+C16+C17+C18</f>
        <v>291.488249328</v>
      </c>
      <c r="D19" s="0" t="n">
        <f aca="false">D15+D16+D17+D18</f>
        <v>186.24590083392</v>
      </c>
      <c r="E19" s="0" t="n">
        <f aca="false">E15+E16+E17+E18</f>
        <v>160.647380295494</v>
      </c>
      <c r="F19" s="0" t="n">
        <f aca="false">F15+F16+F17+F18</f>
        <v>168.566160253495</v>
      </c>
      <c r="G19" s="0" t="n">
        <f aca="false">G15+G16+G17+G18</f>
        <v>308.602211206942</v>
      </c>
      <c r="H19" s="0" t="n">
        <f aca="false">H15+H16+H17+H18</f>
        <v>456.26800232272</v>
      </c>
      <c r="I19" s="0" t="n">
        <f aca="false">I15+I16+I17+I18</f>
        <v>515.22986737852</v>
      </c>
      <c r="J19" s="0" t="n">
        <f aca="false">J15+J16+J17+J18</f>
        <v>535.728829804154</v>
      </c>
      <c r="K19" s="0" t="n">
        <f aca="false">K15+K16+K17+K18</f>
        <v>551.800694698279</v>
      </c>
      <c r="L19" s="0" t="n">
        <f aca="false">L15+L16+L17+L18</f>
        <v>568.354715539227</v>
      </c>
    </row>
    <row r="20" customFormat="false" ht="15" hidden="false" customHeight="false" outlineLevel="0" collapsed="false">
      <c r="A20" s="0" t="s">
        <v>144</v>
      </c>
      <c r="C20" s="0" t="n">
        <f aca="false">1/(1+$B$27/100)^C4</f>
        <v>0.888888888888889</v>
      </c>
      <c r="D20" s="0" t="n">
        <f aca="false">1/(1+$B$27/100)^D4</f>
        <v>0.790123456790123</v>
      </c>
      <c r="E20" s="0" t="n">
        <f aca="false">1/(1+$B$27/100)^E4</f>
        <v>0.702331961591221</v>
      </c>
      <c r="F20" s="0" t="n">
        <f aca="false">1/(1+$B$27/100)^F4</f>
        <v>0.624295076969974</v>
      </c>
      <c r="G20" s="0" t="n">
        <f aca="false">1/(1+$B$27/100)^G4</f>
        <v>0.554928957306644</v>
      </c>
      <c r="H20" s="0" t="n">
        <f aca="false">1/(1+$B$27/100)^H4</f>
        <v>0.493270184272572</v>
      </c>
      <c r="I20" s="0" t="n">
        <f aca="false">1/(1+$B$27/100)^I4</f>
        <v>0.438462386020064</v>
      </c>
      <c r="J20" s="0" t="n">
        <f aca="false">1/(1+$B$27/100)^J4</f>
        <v>0.389744343128946</v>
      </c>
      <c r="K20" s="0" t="n">
        <f aca="false">1/(1+$B$27/100)^K4</f>
        <v>0.346439416114619</v>
      </c>
      <c r="L20" s="0" t="n">
        <f aca="false">1/(1+$B$27/100)^L4</f>
        <v>0.307946147657439</v>
      </c>
    </row>
    <row r="21" customFormat="false" ht="15" hidden="false" customHeight="false" outlineLevel="0" collapsed="false">
      <c r="A21" s="0" t="s">
        <v>145</v>
      </c>
      <c r="C21" s="0" t="n">
        <f aca="false">C19*C20</f>
        <v>259.100666069333</v>
      </c>
      <c r="D21" s="0" t="n">
        <f aca="false">D19*D20</f>
        <v>147.157254979887</v>
      </c>
      <c r="E21" s="0" t="n">
        <f aca="false">E19*E20</f>
        <v>112.827789727425</v>
      </c>
      <c r="F21" s="0" t="n">
        <f aca="false">F19*F20</f>
        <v>105.235023989988</v>
      </c>
      <c r="G21" s="0" t="n">
        <f aca="false">G19*G20</f>
        <v>171.252303287593</v>
      </c>
      <c r="H21" s="0" t="n">
        <f aca="false">H19*H20</f>
        <v>225.063401583407</v>
      </c>
      <c r="I21" s="0" t="n">
        <f aca="false">I19*I20</f>
        <v>225.908916999587</v>
      </c>
      <c r="J21" s="0" t="n">
        <f aca="false">J19*J20</f>
        <v>208.797280867259</v>
      </c>
      <c r="K21" s="0" t="n">
        <f aca="false">K19*K20</f>
        <v>191.165510482913</v>
      </c>
      <c r="L21" s="0" t="n">
        <f aca="false">L19*L20</f>
        <v>175.022645153244</v>
      </c>
    </row>
    <row r="23" customFormat="false" ht="15" hidden="false" customHeight="false" outlineLevel="0" collapsed="false">
      <c r="A23" s="0" t="s">
        <v>121</v>
      </c>
      <c r="C23" s="4" t="n">
        <f aca="false">Assumptions!C44</f>
        <v>3</v>
      </c>
      <c r="D23" s="4" t="n">
        <f aca="false">Assumptions!D44</f>
        <v>3</v>
      </c>
      <c r="E23" s="4" t="n">
        <f aca="false">Assumptions!E44</f>
        <v>3</v>
      </c>
      <c r="F23" s="4" t="n">
        <f aca="false">Assumptions!F44</f>
        <v>3</v>
      </c>
      <c r="G23" s="4" t="n">
        <f aca="false">Assumptions!G44</f>
        <v>3</v>
      </c>
      <c r="H23" s="4" t="n">
        <f aca="false">Assumptions!H44</f>
        <v>3</v>
      </c>
      <c r="I23" s="4" t="n">
        <f aca="false">Assumptions!I44</f>
        <v>3</v>
      </c>
      <c r="J23" s="4" t="n">
        <f aca="false">Assumptions!J44</f>
        <v>3</v>
      </c>
      <c r="K23" s="4" t="n">
        <f aca="false">Assumptions!K44</f>
        <v>3</v>
      </c>
      <c r="L23" s="4" t="n">
        <f aca="false">Assumptions!L44</f>
        <v>3</v>
      </c>
    </row>
    <row r="24" customFormat="false" ht="15" hidden="false" customHeight="false" outlineLevel="0" collapsed="false">
      <c r="A24" s="0" t="s">
        <v>146</v>
      </c>
      <c r="C24" s="0" t="n">
        <f aca="false">-C6*C23/100</f>
        <v>-20.4385824</v>
      </c>
      <c r="D24" s="0" t="n">
        <f aca="false">-D6*D23/100</f>
        <v>-21.664897344</v>
      </c>
      <c r="E24" s="0" t="n">
        <f aca="false">-E6*E23/100</f>
        <v>-23.18144015808</v>
      </c>
      <c r="F24" s="0" t="n">
        <f aca="false">-F6*F23/100</f>
        <v>-24.5723265675648</v>
      </c>
      <c r="G24" s="0" t="n">
        <f aca="false">-G6*G23/100</f>
        <v>-27.5210057556726</v>
      </c>
      <c r="H24" s="0" t="n">
        <f aca="false">-H6*H23/100</f>
        <v>-29.9978962736831</v>
      </c>
      <c r="I24" s="0" t="n">
        <f aca="false">-I6*I23/100</f>
        <v>-31.7977700501041</v>
      </c>
      <c r="J24" s="0" t="n">
        <f aca="false">-J6*J23/100</f>
        <v>-33.0696808521083</v>
      </c>
      <c r="K24" s="0" t="n">
        <f aca="false">-K6*K23/100</f>
        <v>-34.0617712776715</v>
      </c>
      <c r="L24" s="0" t="n">
        <f aca="false">-L6*L23/100</f>
        <v>-35.0836244160017</v>
      </c>
    </row>
    <row r="26" customFormat="false" ht="15" hidden="false" customHeight="false" outlineLevel="0" collapsed="false">
      <c r="A26" s="2" t="s">
        <v>147</v>
      </c>
    </row>
    <row r="27" customFormat="false" ht="15" hidden="false" customHeight="false" outlineLevel="0" collapsed="false">
      <c r="A27" s="0" t="s">
        <v>125</v>
      </c>
      <c r="B27" s="4" t="n">
        <f aca="false">Assumptions!$B$48</f>
        <v>12.5</v>
      </c>
    </row>
    <row r="28" customFormat="false" ht="15" hidden="false" customHeight="false" outlineLevel="0" collapsed="false">
      <c r="A28" s="0" t="s">
        <v>126</v>
      </c>
      <c r="B28" s="4" t="n">
        <f aca="false">Assumptions!$B$49</f>
        <v>3</v>
      </c>
    </row>
    <row r="29" customFormat="false" ht="15" hidden="false" customHeight="false" outlineLevel="0" collapsed="false">
      <c r="A29" s="0" t="s">
        <v>127</v>
      </c>
      <c r="B29" s="4" t="n">
        <f aca="false">Assumptions!$B$50</f>
        <v>14</v>
      </c>
    </row>
    <row r="30" customFormat="false" ht="15" hidden="false" customHeight="false" outlineLevel="0" collapsed="false">
      <c r="A30" s="0" t="s">
        <v>148</v>
      </c>
      <c r="B30" s="0" t="n">
        <f aca="false">SUM(C21:L21)</f>
        <v>1821.53079314064</v>
      </c>
    </row>
    <row r="31" customFormat="false" ht="15" hidden="false" customHeight="false" outlineLevel="0" collapsed="false">
      <c r="A31" s="0" t="s">
        <v>149</v>
      </c>
      <c r="B31" s="0" t="n">
        <f aca="false">L19</f>
        <v>568.354715539227</v>
      </c>
    </row>
    <row r="32" customFormat="false" ht="15" hidden="false" customHeight="false" outlineLevel="0" collapsed="false">
      <c r="A32" s="0" t="s">
        <v>150</v>
      </c>
      <c r="B32" s="0" t="n">
        <f aca="false">IF(B27&gt;B28,B31*(1+B28/100)/((B27-B28)/100),B31*B29)</f>
        <v>6162.16165268846</v>
      </c>
    </row>
    <row r="33" customFormat="false" ht="15" hidden="false" customHeight="false" outlineLevel="0" collapsed="false">
      <c r="A33" s="0" t="s">
        <v>151</v>
      </c>
      <c r="B33" s="0" t="n">
        <f aca="false">B31*B29</f>
        <v>7956.96601754918</v>
      </c>
    </row>
    <row r="34" customFormat="false" ht="15" hidden="false" customHeight="false" outlineLevel="0" collapsed="false">
      <c r="A34" s="0" t="s">
        <v>152</v>
      </c>
      <c r="B34" s="0" t="n">
        <f aca="false">MAX(0,MIN(B32,B33))</f>
        <v>6162.16165268846</v>
      </c>
    </row>
    <row r="35" customFormat="false" ht="15" hidden="false" customHeight="false" outlineLevel="0" collapsed="false">
      <c r="A35" s="0" t="s">
        <v>153</v>
      </c>
      <c r="B35" s="0" t="n">
        <f aca="false">B34/(1+B27/100)^L4</f>
        <v>1897.61394218781</v>
      </c>
    </row>
    <row r="36" customFormat="false" ht="15" hidden="false" customHeight="false" outlineLevel="0" collapsed="false">
      <c r="A36" s="0" t="s">
        <v>154</v>
      </c>
      <c r="B36" s="0" t="n">
        <f aca="false">B30+B35</f>
        <v>3719.14473532844</v>
      </c>
    </row>
    <row r="37" customFormat="false" ht="15" hidden="false" customHeight="false" outlineLevel="0" collapsed="false">
      <c r="A37" s="0" t="s">
        <v>155</v>
      </c>
      <c r="B37" s="0" t="n">
        <f aca="false">B36+Assumptions!$B$5-Assumptions!$B$4</f>
        <v>4135.24573532844</v>
      </c>
    </row>
    <row r="38" customFormat="false" ht="15" hidden="false" customHeight="false" outlineLevel="0" collapsed="false">
      <c r="A38" s="0" t="s">
        <v>156</v>
      </c>
      <c r="B38" s="0" t="n">
        <f aca="false">B37/Assumptions!$B$3*Assumptions!$B$10</f>
        <v>7.32668470986852</v>
      </c>
    </row>
    <row r="39" customFormat="false" ht="15" hidden="false" customHeight="false" outlineLevel="0" collapsed="false">
      <c r="A39" s="0" t="s">
        <v>157</v>
      </c>
      <c r="B39" s="4" t="n">
        <f aca="false">B38/Assumptions!$B$2-1</f>
        <v>2.3003084278687</v>
      </c>
    </row>
    <row r="41" customFormat="false" ht="15" hidden="false" customHeight="false" outlineLevel="0" collapsed="false">
      <c r="A41" s="0" t="s">
        <v>158</v>
      </c>
      <c r="B41" s="0" t="n">
        <f aca="false">SUMPRODUCT(-C10:L10/(1+$B$27/100)^C4:L4)</f>
        <v>0</v>
      </c>
    </row>
    <row r="42" customFormat="false" ht="15" hidden="false" customHeight="false" outlineLevel="0" collapsed="false">
      <c r="A42" s="0" t="s">
        <v>159</v>
      </c>
      <c r="B42" s="0" t="n">
        <f aca="false">IF(B27&gt;B28,-L10*(1+B28/100)/((B27-B28)/100),-L10*20)/(1+B27/100)^L4</f>
        <v>0</v>
      </c>
    </row>
    <row r="43" customFormat="false" ht="15" hidden="false" customHeight="false" outlineLevel="0" collapsed="false">
      <c r="A43" s="0" t="s">
        <v>160</v>
      </c>
      <c r="B43" s="0" t="n">
        <f aca="false">(B37+B41+B42)/Assumptions!$B$3*Assumptions!$B$10</f>
        <v>7.32668470986852</v>
      </c>
    </row>
    <row r="45" customFormat="false" ht="15" hidden="false" customHeight="false" outlineLevel="0" collapsed="false">
      <c r="A45" s="0" t="s">
        <v>101</v>
      </c>
      <c r="B45" s="4" t="n">
        <f aca="false">Assumptions!$B$6</f>
        <v>15</v>
      </c>
    </row>
    <row r="46" customFormat="false" ht="15" hidden="false" customHeight="false" outlineLevel="0" collapsed="false">
      <c r="A46" s="0" t="s">
        <v>161</v>
      </c>
      <c r="B46" s="0" t="n">
        <f aca="false">MAX(0,MIN(IF(B45&gt;B28,B31*(1+B28/100)/((B45-B28)/100),B31*B29),B31*B29))</f>
        <v>4878.37797504503</v>
      </c>
    </row>
    <row r="47" customFormat="false" ht="15" hidden="false" customHeight="false" outlineLevel="0" collapsed="false">
      <c r="A47" s="0" t="s">
        <v>162</v>
      </c>
      <c r="B47" s="0" t="n">
        <f aca="false">(SUMPRODUCT(C19:L19/(1+B45/100)^C4:L4)+B46/(1+B45/100)^L4+Assumptions!$B$5-Assumptions!$B$4)/Assumptions!$B$3*Assumptions!$B$10</f>
        <v>5.73187535375508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165</v>
      </c>
    </row>
    <row r="3" customFormat="false" ht="15" hidden="false" customHeight="false" outlineLevel="0" collapsed="false">
      <c r="A3" s="2" t="s">
        <v>166</v>
      </c>
      <c r="B3" s="2" t="s">
        <v>167</v>
      </c>
      <c r="C3" s="2" t="s">
        <v>157</v>
      </c>
      <c r="D3" s="2" t="s">
        <v>168</v>
      </c>
      <c r="E3" s="2" t="s">
        <v>160</v>
      </c>
      <c r="F3" s="2" t="s">
        <v>169</v>
      </c>
    </row>
    <row r="4" customFormat="false" ht="15" hidden="false" customHeight="false" outlineLevel="0" collapsed="false">
      <c r="A4" s="0" t="s">
        <v>170</v>
      </c>
      <c r="B4" s="4" t="n">
        <f aca="false">DCF_Bear!$B$38</f>
        <v>1.88220343387654</v>
      </c>
      <c r="C4" s="0" t="n">
        <f aca="false">B4/Assumptions!$B$2-1</f>
        <v>-0.15216061537093</v>
      </c>
      <c r="D4" s="4" t="n">
        <f aca="false">Assumptions!$B$24</f>
        <v>0.35</v>
      </c>
      <c r="E4" s="4" t="n">
        <f aca="false">DCF_Bear!$B$43</f>
        <v>1.88220343387654</v>
      </c>
      <c r="F4" s="4" t="n">
        <f aca="false">DCF_Bear!$B$47</f>
        <v>1.33704627764613</v>
      </c>
    </row>
    <row r="5" customFormat="false" ht="15" hidden="false" customHeight="false" outlineLevel="0" collapsed="false">
      <c r="A5" s="0" t="s">
        <v>171</v>
      </c>
      <c r="B5" s="4" t="n">
        <f aca="false">DCF_Base!$B$38</f>
        <v>5.30186065571652</v>
      </c>
      <c r="C5" s="0" t="n">
        <f aca="false">B5/Assumptions!$B$2-1</f>
        <v>1.38822552059303</v>
      </c>
      <c r="D5" s="4" t="n">
        <f aca="false">Assumptions!$B$38</f>
        <v>0.45</v>
      </c>
      <c r="E5" s="4" t="n">
        <f aca="false">DCF_Base!$B$43</f>
        <v>5.30186065571652</v>
      </c>
      <c r="F5" s="4" t="n">
        <f aca="false">DCF_Base!$B$47</f>
        <v>4.16730674308367</v>
      </c>
    </row>
    <row r="6" customFormat="false" ht="15" hidden="false" customHeight="false" outlineLevel="0" collapsed="false">
      <c r="A6" s="0" t="s">
        <v>172</v>
      </c>
      <c r="B6" s="4" t="n">
        <f aca="false">DCF_Bull!$B$38</f>
        <v>7.32668470986852</v>
      </c>
      <c r="C6" s="0" t="n">
        <f aca="false">B6/Assumptions!$B$2-1</f>
        <v>2.3003084278687</v>
      </c>
      <c r="D6" s="4" t="n">
        <f aca="false">Assumptions!$B$52</f>
        <v>0.2</v>
      </c>
      <c r="E6" s="4" t="n">
        <f aca="false">DCF_Bull!$B$43</f>
        <v>7.32668470986852</v>
      </c>
      <c r="F6" s="4" t="n">
        <f aca="false">DCF_Bull!$B$47</f>
        <v>5.73187535375508</v>
      </c>
    </row>
    <row r="8" customFormat="false" ht="15" hidden="false" customHeight="false" outlineLevel="0" collapsed="false">
      <c r="A8" s="0" t="s">
        <v>173</v>
      </c>
      <c r="B8" s="0" t="n">
        <f aca="false">SUMPRODUCT(B4:B6,D4:D6)</f>
        <v>4.50994543890293</v>
      </c>
    </row>
    <row r="9" customFormat="false" ht="15" hidden="false" customHeight="false" outlineLevel="0" collapsed="false">
      <c r="A9" s="0" t="s">
        <v>174</v>
      </c>
      <c r="B9" s="0" t="n">
        <f aca="false">SUMPRODUCT(E4:E6,D4:D6)</f>
        <v>4.50994543890293</v>
      </c>
    </row>
    <row r="10" customFormat="false" ht="15" hidden="false" customHeight="false" outlineLevel="0" collapsed="false">
      <c r="A10" s="0" t="s">
        <v>175</v>
      </c>
      <c r="B10" s="0" t="n">
        <f aca="false">1-Assumptions!$B$2/B8</f>
        <v>0.507754577062016</v>
      </c>
    </row>
    <row r="11" customFormat="false" ht="15" hidden="false" customHeight="false" outlineLevel="0" collapsed="false">
      <c r="A11" s="0" t="s">
        <v>176</v>
      </c>
      <c r="B11" s="0" t="str">
        <f aca="false">IF(ABS(B9-B8)&gt;0.01*ABS(B8),(Assumptions!$B$2-B8)/(B9-B8)*100,"n/a")</f>
        <v>n/a</v>
      </c>
    </row>
    <row r="12" customFormat="false" ht="15" hidden="false" customHeight="false" outlineLevel="0" collapsed="false">
      <c r="A12" s="0" t="s">
        <v>177</v>
      </c>
      <c r="B12" s="0" t="n">
        <f aca="false">SUMPRODUCT(F4:F6,D4:D6)</f>
        <v>3.48962930231481</v>
      </c>
    </row>
    <row r="14" customFormat="false" ht="15" hidden="false" customHeight="false" outlineLevel="0" collapsed="false">
      <c r="A14" s="2" t="s">
        <v>178</v>
      </c>
      <c r="C14" s="0" t="s">
        <v>179</v>
      </c>
    </row>
    <row r="15" customFormat="false" ht="15" hidden="false" customHeight="false" outlineLevel="0" collapsed="false">
      <c r="A15" s="0" t="s">
        <v>180</v>
      </c>
      <c r="B15" s="0" t="n">
        <f aca="false">(SUMPRODUCT(DCF_Base!$C$19:$L$19/(1+$C$15/100)^DCF_Base!$C$4:$L$4)+MAX(0,MIN(IF($C$15&gt;DCF_Base!$B$28,DCF_Base!$L$19*(1+DCF_Base!$B$28/100)/(($C$15-DCF_Base!$B$28)/100),DCF_Base!$L$19*DCF_Base!$B$29),DCF_Base!$L$19*DCF_Base!$B$29))/(1+$C$15/100)^DCF_Base!$L$4+Assumptions!$B$5-Assumptions!$B$4)/Assumptions!$B$3*Assumptions!$B$10</f>
        <v>7.24093574783115</v>
      </c>
      <c r="C15" s="3" t="n">
        <v>9</v>
      </c>
    </row>
    <row r="16" customFormat="false" ht="15" hidden="false" customHeight="false" outlineLevel="0" collapsed="false">
      <c r="A16" s="0" t="s">
        <v>181</v>
      </c>
      <c r="B16" s="0" t="n">
        <f aca="false">(SUMPRODUCT(DCF_Base!$C$19:$L$19/(1+$C$16/100)^DCF_Base!$C$4:$L$4)+MAX(0,MIN(IF($C$16&gt;DCF_Base!$B$28,DCF_Base!$L$19*(1+DCF_Base!$B$28/100)/(($C$16-DCF_Base!$B$28)/100),DCF_Base!$L$19*DCF_Base!$B$29),DCF_Base!$L$19*DCF_Base!$B$29))/(1+$C$16/100)^DCF_Base!$L$4+Assumptions!$B$5-Assumptions!$B$4)/Assumptions!$B$3*Assumptions!$B$10</f>
        <v>6.75514872344832</v>
      </c>
      <c r="C16" s="3" t="n">
        <v>10</v>
      </c>
    </row>
    <row r="17" customFormat="false" ht="15" hidden="false" customHeight="false" outlineLevel="0" collapsed="false">
      <c r="A17" s="0" t="s">
        <v>182</v>
      </c>
      <c r="B17" s="0" t="n">
        <f aca="false">(SUMPRODUCT(DCF_Base!$C$19:$L$19/(1+$C$17/100)^DCF_Base!$C$4:$L$4)+MAX(0,MIN(IF($C$17&gt;DCF_Base!$B$28,DCF_Base!$L$19*(1+DCF_Base!$B$28/100)/(($C$17-DCF_Base!$B$28)/100),DCF_Base!$L$19*DCF_Base!$B$29),DCF_Base!$L$19*DCF_Base!$B$29))/(1+$C$17/100)^DCF_Base!$L$4+Assumptions!$B$5-Assumptions!$B$4)/Assumptions!$B$3*Assumptions!$B$10</f>
        <v>6.31285447235181</v>
      </c>
      <c r="C17" s="3" t="n">
        <v>11</v>
      </c>
    </row>
    <row r="18" customFormat="false" ht="15" hidden="false" customHeight="false" outlineLevel="0" collapsed="false">
      <c r="A18" s="0" t="s">
        <v>183</v>
      </c>
      <c r="B18" s="0" t="n">
        <f aca="false">(SUMPRODUCT(DCF_Base!$C$19:$L$19/(1+$C$18/100)^DCF_Base!$C$4:$L$4)+MAX(0,MIN(IF($C$18&gt;DCF_Base!$B$28,DCF_Base!$L$19*(1+DCF_Base!$B$28/100)/(($C$18-DCF_Base!$B$28)/100),DCF_Base!$L$19*DCF_Base!$B$29),DCF_Base!$L$19*DCF_Base!$B$29))/(1+$C$18/100)^DCF_Base!$L$4+Assumptions!$B$5-Assumptions!$B$4)/Assumptions!$B$3*Assumptions!$B$10</f>
        <v>5.60612802657555</v>
      </c>
      <c r="C18" s="3" t="n">
        <v>12</v>
      </c>
    </row>
    <row r="19" customFormat="false" ht="15" hidden="false" customHeight="false" outlineLevel="0" collapsed="false">
      <c r="A19" s="0" t="s">
        <v>184</v>
      </c>
      <c r="B19" s="0" t="n">
        <f aca="false">(SUMPRODUCT(DCF_Base!$C$19:$L$19/(1+$C$19/100)^DCF_Base!$C$4:$L$4)+MAX(0,MIN(IF($C$19&gt;DCF_Base!$B$28,DCF_Base!$L$19*(1+DCF_Base!$B$28/100)/(($C$19-DCF_Base!$B$28)/100),DCF_Base!$L$19*DCF_Base!$B$29),DCF_Base!$L$19*DCF_Base!$B$29))/(1+$C$19/100)^DCF_Base!$L$4+Assumptions!$B$5-Assumptions!$B$4)/Assumptions!$B$3*Assumptions!$B$10</f>
        <v>5.30186065571652</v>
      </c>
      <c r="C19" s="3" t="n">
        <v>12.5</v>
      </c>
    </row>
    <row r="20" customFormat="false" ht="15" hidden="false" customHeight="false" outlineLevel="0" collapsed="false">
      <c r="A20" s="0" t="s">
        <v>185</v>
      </c>
      <c r="B20" s="0" t="n">
        <f aca="false">(SUMPRODUCT(DCF_Base!$C$19:$L$19/(1+$C$20/100)^DCF_Base!$C$4:$L$4)+MAX(0,MIN(IF($C$20&gt;DCF_Base!$B$28,DCF_Base!$L$19*(1+DCF_Base!$B$28/100)/(($C$20-DCF_Base!$B$28)/100),DCF_Base!$L$19*DCF_Base!$B$29),DCF_Base!$L$19*DCF_Base!$B$29))/(1+$C$20/100)^DCF_Base!$L$4+Assumptions!$B$5-Assumptions!$B$4)/Assumptions!$B$3*Assumptions!$B$10</f>
        <v>4.16730674308367</v>
      </c>
      <c r="C20" s="3" t="n">
        <v>15</v>
      </c>
    </row>
    <row r="22" customFormat="false" ht="15" hidden="false" customHeight="false" outlineLevel="0" collapsed="false">
      <c r="A22" s="2" t="s">
        <v>186</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10.5</v>
      </c>
      <c r="B24" s="0" t="n">
        <f aca="false">(SUMPRODUCT(DCF_Base!$C$19:$L$19/(1+$A$24/100)^DCF_Base!$C$4:$L$4)+MAX(0,MIN(IF($A$24&gt;$B$23,DCF_Base!$L$19*(1+$B$23/100)/(($A$24-$B$23)/100),DCF_Base!$L$19*DCF_Base!$B$29),DCF_Base!$L$19*DCF_Base!$B$29))/(1+$A$24/100)^DCF_Base!$L$4+Assumptions!$B$5-Assumptions!$B$4)/Assumptions!$B$3*Assumptions!$B$10</f>
        <v>6.32155856299059</v>
      </c>
      <c r="C24" s="0" t="n">
        <f aca="false">(SUMPRODUCT(DCF_Base!$C$19:$L$19/(1+$A$24/100)^DCF_Base!$C$4:$L$4)+MAX(0,MIN(IF($A$24&gt;$C$23,DCF_Base!$L$19*(1+$C$23/100)/(($A$24-$C$23)/100),DCF_Base!$L$19*DCF_Base!$B$29),DCF_Base!$L$19*DCF_Base!$B$29))/(1+$A$24/100)^DCF_Base!$L$4+Assumptions!$B$5-Assumptions!$B$4)/Assumptions!$B$3*Assumptions!$B$10</f>
        <v>6.528846120724</v>
      </c>
      <c r="D24" s="0" t="n">
        <f aca="false">(SUMPRODUCT(DCF_Base!$C$19:$L$19/(1+$A$24/100)^DCF_Base!$C$4:$L$4)+MAX(0,MIN(IF($A$24&gt;$D$23,DCF_Base!$L$19*(1+$D$23/100)/(($A$24-$D$23)/100),DCF_Base!$L$19*DCF_Base!$B$29),DCF_Base!$L$19*DCF_Base!$B$29))/(1+$A$24/100)^DCF_Base!$L$4+Assumptions!$B$5-Assumptions!$B$4)/Assumptions!$B$3*Assumptions!$B$10</f>
        <v>6.528846120724</v>
      </c>
      <c r="E24" s="0" t="n">
        <f aca="false">(SUMPRODUCT(DCF_Base!$C$19:$L$19/(1+$A$24/100)^DCF_Base!$C$4:$L$4)+MAX(0,MIN(IF($A$24&gt;$E$23,DCF_Base!$L$19*(1+$E$23/100)/(($A$24-$E$23)/100),DCF_Base!$L$19*DCF_Base!$B$29),DCF_Base!$L$19*DCF_Base!$B$29))/(1+$A$24/100)^DCF_Base!$L$4+Assumptions!$B$5-Assumptions!$B$4)/Assumptions!$B$3*Assumptions!$B$10</f>
        <v>6.528846120724</v>
      </c>
      <c r="F24" s="0" t="n">
        <f aca="false">(SUMPRODUCT(DCF_Base!$C$19:$L$19/(1+$A$24/100)^DCF_Base!$C$4:$L$4)+MAX(0,MIN(IF($A$24&gt;$F$23,DCF_Base!$L$19*(1+$F$23/100)/(($A$24-$F$23)/100),DCF_Base!$L$19*DCF_Base!$B$29),DCF_Base!$L$19*DCF_Base!$B$29))/(1+$A$24/100)^DCF_Base!$L$4+Assumptions!$B$5-Assumptions!$B$4)/Assumptions!$B$3*Assumptions!$B$10</f>
        <v>6.528846120724</v>
      </c>
    </row>
    <row r="25" customFormat="false" ht="15" hidden="false" customHeight="false" outlineLevel="0" collapsed="false">
      <c r="A25" s="3" t="n">
        <v>11.5</v>
      </c>
      <c r="B25" s="0" t="n">
        <f aca="false">(SUMPRODUCT(DCF_Base!$C$19:$L$19/(1+$A$25/100)^DCF_Base!$C$4:$L$4)+MAX(0,MIN(IF($A$25&gt;$B$23,DCF_Base!$L$19*(1+$B$23/100)/(($A$25-$B$23)/100),DCF_Base!$L$19*DCF_Base!$B$29),DCF_Base!$L$19*DCF_Base!$B$29))/(1+$A$25/100)^DCF_Base!$L$4+Assumptions!$B$5-Assumptions!$B$4)/Assumptions!$B$3*Assumptions!$B$10</f>
        <v>5.62141992697398</v>
      </c>
      <c r="C25" s="0" t="n">
        <f aca="false">(SUMPRODUCT(DCF_Base!$C$19:$L$19/(1+$A$25/100)^DCF_Base!$C$4:$L$4)+MAX(0,MIN(IF($A$25&gt;$C$23,DCF_Base!$L$19*(1+$C$23/100)/(($A$25-$C$23)/100),DCF_Base!$L$19*DCF_Base!$B$29),DCF_Base!$L$19*DCF_Base!$B$29))/(1+$A$25/100)^DCF_Base!$L$4+Assumptions!$B$5-Assumptions!$B$4)/Assumptions!$B$3*Assumptions!$B$10</f>
        <v>5.77534088588193</v>
      </c>
      <c r="D25" s="0" t="n">
        <f aca="false">(SUMPRODUCT(DCF_Base!$C$19:$L$19/(1+$A$25/100)^DCF_Base!$C$4:$L$4)+MAX(0,MIN(IF($A$25&gt;$D$23,DCF_Base!$L$19*(1+$D$23/100)/(($A$25-$D$23)/100),DCF_Base!$L$19*DCF_Base!$B$29),DCF_Base!$L$19*DCF_Base!$B$29))/(1+$A$25/100)^DCF_Base!$L$4+Assumptions!$B$5-Assumptions!$B$4)/Assumptions!$B$3*Assumptions!$B$10</f>
        <v>5.94636417355744</v>
      </c>
      <c r="E25" s="0" t="n">
        <f aca="false">(SUMPRODUCT(DCF_Base!$C$19:$L$19/(1+$A$25/100)^DCF_Base!$C$4:$L$4)+MAX(0,MIN(IF($A$25&gt;$E$23,DCF_Base!$L$19*(1+$E$23/100)/(($A$25-$E$23)/100),DCF_Base!$L$19*DCF_Base!$B$29),DCF_Base!$L$19*DCF_Base!$B$29))/(1+$A$25/100)^DCF_Base!$L$4+Assumptions!$B$5-Assumptions!$B$4)/Assumptions!$B$3*Assumptions!$B$10</f>
        <v>6.10665057321744</v>
      </c>
      <c r="F25" s="0" t="n">
        <f aca="false">(SUMPRODUCT(DCF_Base!$C$19:$L$19/(1+$A$25/100)^DCF_Base!$C$4:$L$4)+MAX(0,MIN(IF($A$25&gt;$F$23,DCF_Base!$L$19*(1+$F$23/100)/(($A$25-$F$23)/100),DCF_Base!$L$19*DCF_Base!$B$29),DCF_Base!$L$19*DCF_Base!$B$29))/(1+$A$25/100)^DCF_Base!$L$4+Assumptions!$B$5-Assumptions!$B$4)/Assumptions!$B$3*Assumptions!$B$10</f>
        <v>6.10665057321744</v>
      </c>
    </row>
    <row r="26" customFormat="false" ht="15" hidden="false" customHeight="false" outlineLevel="0" collapsed="false">
      <c r="A26" s="3" t="n">
        <v>12.5</v>
      </c>
      <c r="B26" s="0" t="n">
        <f aca="false">(SUMPRODUCT(DCF_Base!$C$19:$L$19/(1+$A$26/100)^DCF_Base!$C$4:$L$4)+MAX(0,MIN(IF($A$26&gt;$B$23,DCF_Base!$L$19*(1+$B$23/100)/(($A$26-$B$23)/100),DCF_Base!$L$19*DCF_Base!$B$29),DCF_Base!$L$19*DCF_Base!$B$29))/(1+$A$26/100)^DCF_Base!$L$4+Assumptions!$B$5-Assumptions!$B$4)/Assumptions!$B$3*Assumptions!$B$10</f>
        <v>5.05652550288191</v>
      </c>
      <c r="C26" s="0" t="n">
        <f aca="false">(SUMPRODUCT(DCF_Base!$C$19:$L$19/(1+$A$26/100)^DCF_Base!$C$4:$L$4)+MAX(0,MIN(IF($A$26&gt;$C$23,DCF_Base!$L$19*(1+$C$23/100)/(($A$26-$C$23)/100),DCF_Base!$L$19*DCF_Base!$B$29),DCF_Base!$L$19*DCF_Base!$B$29))/(1+$A$26/100)^DCF_Base!$L$4+Assumptions!$B$5-Assumptions!$B$4)/Assumptions!$B$3*Assumptions!$B$10</f>
        <v>5.17335176613649</v>
      </c>
      <c r="D26" s="0" t="n">
        <f aca="false">(SUMPRODUCT(DCF_Base!$C$19:$L$19/(1+$A$26/100)^DCF_Base!$C$4:$L$4)+MAX(0,MIN(IF($A$26&gt;$D$23,DCF_Base!$L$19*(1+$D$23/100)/(($A$26-$D$23)/100),DCF_Base!$L$19*DCF_Base!$B$29),DCF_Base!$L$19*DCF_Base!$B$29))/(1+$A$26/100)^DCF_Base!$L$4+Assumptions!$B$5-Assumptions!$B$4)/Assumptions!$B$3*Assumptions!$B$10</f>
        <v>5.30186065571652</v>
      </c>
      <c r="E26" s="0" t="n">
        <f aca="false">(SUMPRODUCT(DCF_Base!$C$19:$L$19/(1+$A$26/100)^DCF_Base!$C$4:$L$4)+MAX(0,MIN(IF($A$26&gt;$E$23,DCF_Base!$L$19*(1+$E$23/100)/(($A$26-$E$23)/100),DCF_Base!$L$19*DCF_Base!$B$29),DCF_Base!$L$19*DCF_Base!$B$29))/(1+$A$26/100)^DCF_Base!$L$4+Assumptions!$B$5-Assumptions!$B$4)/Assumptions!$B$3*Assumptions!$B$10</f>
        <v>5.44389679683129</v>
      </c>
      <c r="F26" s="0" t="n">
        <f aca="false">(SUMPRODUCT(DCF_Base!$C$19:$L$19/(1+$A$26/100)^DCF_Base!$C$4:$L$4)+MAX(0,MIN(IF($A$26&gt;$F$23,DCF_Base!$L$19*(1+$F$23/100)/(($A$26-$F$23)/100),DCF_Base!$L$19*DCF_Base!$B$29),DCF_Base!$L$19*DCF_Base!$B$29))/(1+$A$26/100)^DCF_Base!$L$4+Assumptions!$B$5-Assumptions!$B$4)/Assumptions!$B$3*Assumptions!$B$10</f>
        <v>5.60171473140326</v>
      </c>
    </row>
    <row r="27" customFormat="false" ht="15" hidden="false" customHeight="false" outlineLevel="0" collapsed="false">
      <c r="A27" s="3" t="n">
        <v>13.5</v>
      </c>
      <c r="B27" s="0" t="n">
        <f aca="false">(SUMPRODUCT(DCF_Base!$C$19:$L$19/(1+$A$27/100)^DCF_Base!$C$4:$L$4)+MAX(0,MIN(IF($A$27&gt;$B$23,DCF_Base!$L$19*(1+$B$23/100)/(($A$27-$B$23)/100),DCF_Base!$L$19*DCF_Base!$B$29),DCF_Base!$L$19*DCF_Base!$B$29))/(1+$A$27/100)^DCF_Base!$L$4+Assumptions!$B$5-Assumptions!$B$4)/Assumptions!$B$3*Assumptions!$B$10</f>
        <v>4.59259478701552</v>
      </c>
      <c r="C27" s="0" t="n">
        <f aca="false">(SUMPRODUCT(DCF_Base!$C$19:$L$19/(1+$A$27/100)^DCF_Base!$C$4:$L$4)+MAX(0,MIN(IF($A$27&gt;$C$23,DCF_Base!$L$19*(1+$C$23/100)/(($A$27-$C$23)/100),DCF_Base!$L$19*DCF_Base!$B$29),DCF_Base!$L$19*DCF_Base!$B$29))/(1+$A$27/100)^DCF_Base!$L$4+Assumptions!$B$5-Assumptions!$B$4)/Assumptions!$B$3*Assumptions!$B$10</f>
        <v>4.68288763090112</v>
      </c>
      <c r="D27" s="0" t="n">
        <f aca="false">(SUMPRODUCT(DCF_Base!$C$19:$L$19/(1+$A$27/100)^DCF_Base!$C$4:$L$4)+MAX(0,MIN(IF($A$27&gt;$D$23,DCF_Base!$L$19*(1+$D$23/100)/(($A$27-$D$23)/100),DCF_Base!$L$19*DCF_Base!$B$29),DCF_Base!$L$19*DCF_Base!$B$29))/(1+$A$27/100)^DCF_Base!$L$4+Assumptions!$B$5-Assumptions!$B$4)/Assumptions!$B$3*Assumptions!$B$10</f>
        <v>4.78138891513995</v>
      </c>
      <c r="E27" s="0" t="n">
        <f aca="false">(SUMPRODUCT(DCF_Base!$C$19:$L$19/(1+$A$27/100)^DCF_Base!$C$4:$L$4)+MAX(0,MIN(IF($A$27&gt;$E$23,DCF_Base!$L$19*(1+$E$23/100)/(($A$27-$E$23)/100),DCF_Base!$L$19*DCF_Base!$B$29),DCF_Base!$L$19*DCF_Base!$B$29))/(1+$A$27/100)^DCF_Base!$L$4+Assumptions!$B$5-Assumptions!$B$4)/Assumptions!$B$3*Assumptions!$B$10</f>
        <v>4.8892712740682</v>
      </c>
      <c r="F27" s="0" t="n">
        <f aca="false">(SUMPRODUCT(DCF_Base!$C$19:$L$19/(1+$A$27/100)^DCF_Base!$C$4:$L$4)+MAX(0,MIN(IF($A$27&gt;$F$23,DCF_Base!$L$19*(1+$F$23/100)/(($A$27-$F$23)/100),DCF_Base!$L$19*DCF_Base!$B$29),DCF_Base!$L$19*DCF_Base!$B$29))/(1+$A$27/100)^DCF_Base!$L$4+Assumptions!$B$5-Assumptions!$B$4)/Assumptions!$B$3*Assumptions!$B$10</f>
        <v>5.00794186888927</v>
      </c>
    </row>
    <row r="28" customFormat="false" ht="15" hidden="false" customHeight="false" outlineLevel="0" collapsed="false">
      <c r="A28" s="3" t="n">
        <v>14.5</v>
      </c>
      <c r="B28" s="0" t="n">
        <f aca="false">(SUMPRODUCT(DCF_Base!$C$19:$L$19/(1+$A$28/100)^DCF_Base!$C$4:$L$4)+MAX(0,MIN(IF($A$28&gt;$B$23,DCF_Base!$L$19*(1+$B$23/100)/(($A$28-$B$23)/100),DCF_Base!$L$19*DCF_Base!$B$29),DCF_Base!$L$19*DCF_Base!$B$29))/(1+$A$28/100)^DCF_Base!$L$4+Assumptions!$B$5-Assumptions!$B$4)/Assumptions!$B$3*Assumptions!$B$10</f>
        <v>4.20592628070282</v>
      </c>
      <c r="C28" s="0" t="n">
        <f aca="false">(SUMPRODUCT(DCF_Base!$C$19:$L$19/(1+$A$28/100)^DCF_Base!$C$4:$L$4)+MAX(0,MIN(IF($A$28&gt;$C$23,DCF_Base!$L$19*(1+$C$23/100)/(($A$28-$C$23)/100),DCF_Base!$L$19*DCF_Base!$B$29),DCF_Base!$L$19*DCF_Base!$B$29))/(1+$A$28/100)^DCF_Base!$L$4+Assumptions!$B$5-Assumptions!$B$4)/Assumptions!$B$3*Assumptions!$B$10</f>
        <v>4.27678485773179</v>
      </c>
      <c r="D28" s="0" t="n">
        <f aca="false">(SUMPRODUCT(DCF_Base!$C$19:$L$19/(1+$A$28/100)^DCF_Base!$C$4:$L$4)+MAX(0,MIN(IF($A$28&gt;$D$23,DCF_Base!$L$19*(1+$D$23/100)/(($A$28-$D$23)/100),DCF_Base!$L$19*DCF_Base!$B$29),DCF_Base!$L$19*DCF_Base!$B$29))/(1+$A$28/100)^DCF_Base!$L$4+Assumptions!$B$5-Assumptions!$B$4)/Assumptions!$B$3*Assumptions!$B$10</f>
        <v>4.35354831617985</v>
      </c>
      <c r="E28" s="0" t="n">
        <f aca="false">(SUMPRODUCT(DCF_Base!$C$19:$L$19/(1+$A$28/100)^DCF_Base!$C$4:$L$4)+MAX(0,MIN(IF($A$28&gt;$E$23,DCF_Base!$L$19*(1+$E$23/100)/(($A$28-$E$23)/100),DCF_Base!$L$19*DCF_Base!$B$29),DCF_Base!$L$19*DCF_Base!$B$29))/(1+$A$28/100)^DCF_Base!$L$4+Assumptions!$B$5-Assumptions!$B$4)/Assumptions!$B$3*Assumptions!$B$10</f>
        <v>4.43698685797121</v>
      </c>
      <c r="F28" s="0" t="n">
        <f aca="false">(SUMPRODUCT(DCF_Base!$C$19:$L$19/(1+$A$28/100)^DCF_Base!$C$4:$L$4)+MAX(0,MIN(IF($A$28&gt;$F$23,DCF_Base!$L$19*(1+$F$23/100)/(($A$28-$F$23)/100),DCF_Base!$L$19*DCF_Base!$B$29),DCF_Base!$L$19*DCF_Base!$B$29))/(1+$A$28/100)^DCF_Base!$L$4+Assumptions!$B$5-Assumptions!$B$4)/Assumptions!$B$3*Assumptions!$B$10</f>
        <v>4.5280107217436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2026-10-22T15:38:25Z</dcterms:created>
  <dc:creator>openpyxl</dc:creator>
  <dc:description/>
  <dc:language>en-NZ</dc:language>
  <cp:lastModifiedBy/>
  <dcterms:modified xsi:type="dcterms:W3CDTF">2026-10-22T15:38:25Z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