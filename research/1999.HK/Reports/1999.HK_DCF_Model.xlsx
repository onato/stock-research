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<sst xmlns="http://schemas.openxmlformats.org/spreadsheetml/2006/main" count="357" uniqueCount="164">
  <si>
    <t xml:space="preserve">Ticker</t>
  </si>
  <si>
    <t xml:space="preserve">1999.HK</t>
  </si>
  <si>
    <t xml:space="preserve">Company</t>
  </si>
  <si>
    <t xml:space="preserve">Man Wah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</si>
  <si>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</si>
  <si>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</si>
  <si>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</si>
  <si>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</si>
  <si>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(HKEX), Yahoo Finance chart API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</si>
  <si>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</si>
  <si>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</si>
  <si>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</si>
  <si>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</si>
  <si>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</si>
  <si>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</si>
  <si>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</si>
  <si>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</si>
  <si>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</si>
  <si>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</si>
  <si>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</si>
  <si>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</si>
  <si>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2026-10-17T00:57:29Z</t>
  </si>
  <si>
    <t xml:space="preserve">Drivers file</t>
  </si>
  <si>
    <t xml:space="preserve">1999.HK_Drivers.json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</si>
  <si>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</si>
  <si>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</si>
  <si>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</si>
  <si>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mature, cyclical, low-SBC furniture manufacturer valued on owner FCF with a 12x terminal cap (Gordon at 10%/2% is ~12.75x, so the cap and Gordon nearly coincide). Value rests on whether the ~17-19% EBITDA margin survives China price competition and US tariffs, not on growth; at the current price the market is pricing something close to the bear case.
key_risks_to_valuation: China property-linked demand: PRC revenue -6.8% in FY2026 and 1,000+ stores closed; Section 232 furniture tariffs: duties up from ~HK$8m to ~HK$283m in FY2026; step-up to 30% upholstered scheduled January 2027; Gainline (first US manufacturing) integration and its margin dilution; No FX hedging across RMB/USD/EUR/UAH/PLN; Properties under development (HK$951m) realisation in a weak China property market; Governance: combined Chairman/CEO, founding-family control; Unexplained ~25% share-price fall Sep-Oct 2026 ahead of H1 FY2027 results (late Nov 2026) -- possible earnings deterioration not yet in the filings</t>
  </si>
  <si>
    <t xml:space="preserve">Data sources</t>
  </si>
  <si>
    <t xml:space="preserve">price: Yahoo Finance chart API at inputs.price_as_of; 52-week range 2.18-5.29
financials: 1999.HK_Metrics.csv (core_metrics) FY2018-FY2026 + H1 FY2024-FY2026; FY2026 Annual Report (year ended 31-Mar-2026): balance sheet p.60-61, note 12 EPS, note 34(b) net debt, note 36 Gainline acquisition and pro forma revenue
qualitative: 1999.HK_Analysis.json (2026-10-17)</t>
  </si>
  <si>
    <t xml:space="preserve">Scenario narrative: bear</t>
  </si>
  <si>
    <t xml:space="preserve">No turn in China housing: PRC revenue falls another 15-20% over three years as homogenised recliner competition crushes ASPs, while the Section 232 step-up to 30% in January 2027 and possible further reciprocal tariffs hit the ~28% North American business harder than Gainline's small US base can offset. Gainline integration disappoints (first US manufacturing at this scale). Revenue declines in FY2028-FY2029, EBITDA margin falls to ~14.5-15% (FY2022-trough-type levels), and unhedged RMB/EUR/UAH translation adds noise. Terminal growth 1%.</t>
  </si>
  <si>
    <t xml:space="preserve">Scenario narrative: base</t>
  </si>
  <si>
    <t xml:space="preserve">China (56% of revenue) keeps shrinking mid-single digits through FY2027 as the property slump and small-brand price competition persist, then stabilises on replacement demand and the 15th Five-Year Plan consumption push without a real recovery. Gainline adds ~HK$1.4bn of US-made revenue at a thin margin, partly insulating North America from Section 232 duties, but the January-2027 step-up still costs margin. EBITDA margin settles ~17.5% (ex interest income), a point and a half below FY2024-FY2025, and growth fades to 2%.</t>
  </si>
  <si>
    <t xml:space="preserve">Scenario narrative: bull</t>
  </si>
  <si>
    <t xml:space="preserve">Management's call that the China sofa market 'has bottomed' proves right: online channels and the First Class Cheers lifestyle upgrade lift same-store productivity after the 1,000-store cull, and China returns to low-single-digit growth. Gainline's US plants plus the five-business-unit North American reorganisation win share from import-dependent competitors as tariffs rise, and Europe/emerging markets keep growing. Margins return to the FY2024-FY2025 ~19% band; capex stays light with no new plant programme.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</si>
  <si>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</si>
  <si>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</si>
  <si>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</si>
  <si>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</si>
  <si>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</si>
  <si>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</si>
  <si>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</si>
  <si>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</si>
  <si>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</si>
  <si>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</si>
  <si>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</si>
  <si>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</si>
  <si>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</si>
  <si>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</si>
  <si>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</si>
  <si>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</si>
  <si>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</si>
  <si>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</si>
  <si>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</si>
  <si>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</si>
  <si>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</si>
  <si>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</si>
  <si>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</si>
  <si>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</si>
  <si>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</si>
  <si>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</si>
  <si>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</si>
  <si>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</si>
  <si>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</si>
  <si>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</si>
  <si>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</si>
  <si>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</si>
  <si>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</si>
  <si>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</si>
  <si>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</si>
  <si>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</si>
  <si>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</si>
  <si>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</si>
  <si>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</si>
  <si>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</si>
  <si>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</si>
  <si>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</si>
  <si>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</si>
  <si>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</si>
  <si>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</si>
  <si>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</si>
  <si>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</si>
  <si>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</si>
  <si>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</si>
  <si>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</si>
  <si>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</si>
  <si>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</si>
  <si>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</si>
  <si>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</si>
  <si>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</si>
  <si>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</si>
  <si>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</si>
  <si>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</si>
  <si>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</si>
  <si>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</si>
  <si>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</si>
  <si>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</si>
  <si>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</si>
  <si>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</si>
  <si>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</si>
  <si>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</si>
  <si>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</si>
  <si>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</si>
  <si>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</si>
  <si>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</si>
  <si>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</si>
  <si>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</si>
  <si>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</si>
  <si>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</si>
  <si>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1999.HK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</si>
  <si>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</si>
  <si>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</si>
  <si>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</si>
  <si>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</si>
  <si>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</si>
  <si>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</si>
  <si>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</si>
  <si>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</si>
  <si>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</si>
  <si>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</si>
  <si>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</si>
  <si>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</si>
  <si>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</si>
  <si>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</si>
  <si>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</si>
  <si>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</si>
  <si>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</si>
  <si>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</si>
  <si>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</si>
  <si>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</si>
  <si>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</si>
  <si>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</si>
  <si>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</si>
  <si>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</si>
  <si>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</si>
  <si>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</si>
  <si>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</si>
  <si>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</si>
  <si>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</si>
  <si>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</si>
  <si>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1999.HK owner-FCF component DCF: base case (millions, HKD)</t>
  </si>
  <si>
    <t xml:space="preserve">1999.HK owner-FCF component DCF: bull case (millions, HKD)</t>
  </si>
  <si>
    <t xml:space="preserve">1999.HK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</si>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</sst>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2.275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10026.573</v>
      </c>
      <c r="C2" s="0" t="n">
        <v>6283.633</v>
      </c>
      <c r="D2" s="0" t="n">
        <v>3742.94</v>
      </c>
      <c r="E2" s="0" t="n">
        <v>37.3</v>
      </c>
      <c r="F2" s="0" t="n">
        <v>1946.127</v>
      </c>
      <c r="G2" s="0" t="n">
        <v>19.4</v>
      </c>
      <c r="H2" s="0" t="n">
        <v>2160.645</v>
      </c>
      <c r="I2" s="0" t="n">
        <v>1535.908</v>
      </c>
      <c r="J2" s="0" t="n">
        <v>15.3</v>
      </c>
      <c r="K2" s="0" t="n">
        <v>0.4022</v>
      </c>
      <c r="L2" s="0" t="n">
        <v>1461.724</v>
      </c>
      <c r="M2" s="0" t="n">
        <v>725.484</v>
      </c>
      <c r="N2" s="0" t="n">
        <v>736.24</v>
      </c>
      <c r="O2" s="0" t="n">
        <v>5963.217</v>
      </c>
      <c r="P2" s="0" t="n">
        <v>9470.739</v>
      </c>
      <c r="Q2" s="0" t="n">
        <v>3026.255</v>
      </c>
      <c r="R2" s="0" t="n">
        <v>1340.708</v>
      </c>
      <c r="S2" s="0" t="n">
        <v>1406.959</v>
      </c>
      <c r="T2" s="0" t="n">
        <v>3818.8</v>
      </c>
      <c r="U2" s="0" t="n">
        <v>8.734</v>
      </c>
      <c r="AA2" s="0" t="s">
        <v>17</v>
      </c>
      <c r="AB2" s="0" t="s">
        <v>14</v>
      </c>
      <c r="AC2" s="0" t="n">
        <v>1553.946</v>
      </c>
    </row>
    <row r="3" customFormat="false" ht="15" hidden="false" customHeight="false" outlineLevel="0" collapsed="false">
      <c r="A3" s="0" t="s">
        <v>65</v>
      </c>
      <c r="B3" s="0" t="n">
        <v>11257.792</v>
      </c>
      <c r="C3" s="0" t="n">
        <v>7420.694</v>
      </c>
      <c r="D3" s="0" t="n">
        <v>3837.098</v>
      </c>
      <c r="E3" s="0" t="n">
        <v>34.1</v>
      </c>
      <c r="F3" s="0" t="n">
        <v>1799.501</v>
      </c>
      <c r="G3" s="0" t="n">
        <v>16</v>
      </c>
      <c r="H3" s="0" t="n">
        <v>2086.971</v>
      </c>
      <c r="I3" s="0" t="n">
        <v>1363.801</v>
      </c>
      <c r="J3" s="0" t="n">
        <v>12.1</v>
      </c>
      <c r="K3" s="0" t="n">
        <v>0.3562</v>
      </c>
      <c r="L3" s="0" t="n">
        <v>1129.073</v>
      </c>
      <c r="M3" s="0" t="n">
        <v>1083.646</v>
      </c>
      <c r="N3" s="0" t="n">
        <v>45.427</v>
      </c>
      <c r="O3" s="0" t="n">
        <v>6223.237</v>
      </c>
      <c r="P3" s="0" t="n">
        <v>13145.787</v>
      </c>
      <c r="Q3" s="0" t="n">
        <v>6429.724</v>
      </c>
      <c r="R3" s="0" t="n">
        <v>4552.769</v>
      </c>
      <c r="S3" s="0" t="n">
        <v>1438.339</v>
      </c>
      <c r="T3" s="0" t="n">
        <v>3828.8</v>
      </c>
      <c r="U3" s="0" t="n">
        <v>8.629</v>
      </c>
      <c r="AA3" s="0" t="s">
        <v>17</v>
      </c>
      <c r="AB3" s="0" t="s">
        <v>14</v>
      </c>
      <c r="AC3" s="0" t="n">
        <v>1404.676</v>
      </c>
    </row>
    <row r="4" customFormat="false" ht="15" hidden="false" customHeight="false" outlineLevel="0" collapsed="false">
      <c r="A4" s="0" t="s">
        <v>66</v>
      </c>
      <c r="B4" s="0" t="n">
        <v>12144.299</v>
      </c>
      <c r="C4" s="0" t="n">
        <v>7726.6</v>
      </c>
      <c r="D4" s="0" t="n">
        <v>4417.699</v>
      </c>
      <c r="E4" s="0" t="n">
        <v>36.4</v>
      </c>
      <c r="F4" s="0" t="n">
        <v>2264.386</v>
      </c>
      <c r="G4" s="0" t="n">
        <v>18.6</v>
      </c>
      <c r="H4" s="0" t="n">
        <v>2666.255</v>
      </c>
      <c r="I4" s="0" t="n">
        <v>1638.069</v>
      </c>
      <c r="J4" s="0" t="n">
        <v>13.5</v>
      </c>
      <c r="K4" s="0" t="n">
        <v>0.4289</v>
      </c>
      <c r="L4" s="0" t="n">
        <v>2682.449</v>
      </c>
      <c r="M4" s="0" t="n">
        <v>840.896</v>
      </c>
      <c r="N4" s="0" t="n">
        <v>1841.553</v>
      </c>
      <c r="O4" s="0" t="n">
        <v>6704.147</v>
      </c>
      <c r="P4" s="0" t="n">
        <v>13213.802</v>
      </c>
      <c r="Q4" s="0" t="n">
        <v>5981.106</v>
      </c>
      <c r="R4" s="0" t="n">
        <v>3979.285</v>
      </c>
      <c r="S4" s="0" t="n">
        <v>2020.245</v>
      </c>
      <c r="T4" s="0" t="n">
        <v>3819.2</v>
      </c>
      <c r="U4" s="0" t="n">
        <v>9.254</v>
      </c>
      <c r="AA4" s="0" t="s">
        <v>17</v>
      </c>
      <c r="AB4" s="0" t="s">
        <v>14</v>
      </c>
      <c r="AC4" s="0" t="n">
        <v>1691.997</v>
      </c>
    </row>
    <row r="5" customFormat="false" ht="15" hidden="false" customHeight="false" outlineLevel="0" collapsed="false">
      <c r="A5" s="0" t="s">
        <v>67</v>
      </c>
      <c r="B5" s="0" t="n">
        <v>16434.071</v>
      </c>
      <c r="C5" s="0" t="n">
        <v>10504.964</v>
      </c>
      <c r="D5" s="0" t="n">
        <v>5929.107</v>
      </c>
      <c r="E5" s="0" t="n">
        <v>36.1</v>
      </c>
      <c r="F5" s="0" t="n">
        <v>2450.653</v>
      </c>
      <c r="G5" s="0" t="n">
        <v>14.9</v>
      </c>
      <c r="H5" s="0" t="n">
        <v>2944.447</v>
      </c>
      <c r="I5" s="0" t="n">
        <v>1924.513</v>
      </c>
      <c r="J5" s="0" t="n">
        <v>11.7</v>
      </c>
      <c r="K5" s="0" t="n">
        <v>0.5026</v>
      </c>
      <c r="L5" s="0" t="n">
        <v>1922.387</v>
      </c>
      <c r="M5" s="0" t="n">
        <v>1266.535</v>
      </c>
      <c r="N5" s="0" t="n">
        <v>655.852</v>
      </c>
      <c r="O5" s="0" t="n">
        <v>10741.332</v>
      </c>
      <c r="P5" s="0" t="n">
        <v>17438.861</v>
      </c>
      <c r="Q5" s="0" t="n">
        <v>6033.802</v>
      </c>
      <c r="R5" s="0" t="n">
        <v>3589.909</v>
      </c>
      <c r="S5" s="0" t="n">
        <v>3296.093</v>
      </c>
      <c r="T5" s="0" t="n">
        <v>3829.1</v>
      </c>
      <c r="U5" s="0" t="n">
        <v>7.509</v>
      </c>
      <c r="AA5" s="0" t="s">
        <v>17</v>
      </c>
      <c r="AB5" s="0" t="s">
        <v>14</v>
      </c>
      <c r="AC5" s="0" t="n">
        <v>2023.406</v>
      </c>
    </row>
    <row r="6" customFormat="false" ht="15" hidden="false" customHeight="false" outlineLevel="0" collapsed="false">
      <c r="A6" s="0" t="s">
        <v>68</v>
      </c>
      <c r="B6" s="0" t="n">
        <v>21496.783</v>
      </c>
      <c r="C6" s="0" t="n">
        <v>13606.188</v>
      </c>
      <c r="D6" s="0" t="n">
        <v>7890.595</v>
      </c>
      <c r="E6" s="0" t="n">
        <v>36.7</v>
      </c>
      <c r="F6" s="0" t="n">
        <v>2889.53</v>
      </c>
      <c r="G6" s="0" t="n">
        <v>13.4</v>
      </c>
      <c r="H6" s="0" t="n">
        <v>3574.063</v>
      </c>
      <c r="I6" s="0" t="n">
        <v>2247.491</v>
      </c>
      <c r="J6" s="0" t="n">
        <v>10.5</v>
      </c>
      <c r="K6" s="0" t="n">
        <v>0.569</v>
      </c>
      <c r="L6" s="0" t="n">
        <v>2323.657</v>
      </c>
      <c r="M6" s="0" t="n">
        <v>1742.434</v>
      </c>
      <c r="N6" s="0" t="n">
        <v>581.223</v>
      </c>
      <c r="O6" s="0" t="n">
        <v>11709.703</v>
      </c>
      <c r="P6" s="0" t="n">
        <v>20521.244</v>
      </c>
      <c r="Q6" s="0" t="n">
        <v>7773.071</v>
      </c>
      <c r="R6" s="0" t="n">
        <v>4335.582</v>
      </c>
      <c r="S6" s="0" t="n">
        <v>2831.559</v>
      </c>
      <c r="T6" s="0" t="n">
        <v>3949.9</v>
      </c>
      <c r="U6" s="0" t="n">
        <v>12.659</v>
      </c>
      <c r="AA6" s="0" t="s">
        <v>17</v>
      </c>
      <c r="AB6" s="0" t="s">
        <v>14</v>
      </c>
      <c r="AC6" s="0" t="n">
        <v>2316.56</v>
      </c>
    </row>
    <row r="7" customFormat="false" ht="15" hidden="false" customHeight="false" outlineLevel="0" collapsed="false">
      <c r="A7" s="0" t="s">
        <v>69</v>
      </c>
      <c r="B7" s="0" t="n">
        <v>17351.106</v>
      </c>
      <c r="C7" s="0" t="n">
        <v>10672.839</v>
      </c>
      <c r="D7" s="0" t="n">
        <v>6678.267</v>
      </c>
      <c r="E7" s="0" t="n">
        <v>38.5</v>
      </c>
      <c r="F7" s="0" t="n">
        <v>2509.734</v>
      </c>
      <c r="G7" s="0" t="n">
        <v>14.5</v>
      </c>
      <c r="H7" s="0" t="n">
        <v>3194.249</v>
      </c>
      <c r="I7" s="0" t="n">
        <v>1914.914</v>
      </c>
      <c r="J7" s="0" t="n">
        <v>11</v>
      </c>
      <c r="K7" s="0" t="n">
        <v>0.488</v>
      </c>
      <c r="L7" s="0" t="n">
        <v>4059.016</v>
      </c>
      <c r="M7" s="0" t="n">
        <v>1560.757</v>
      </c>
      <c r="N7" s="0" t="n">
        <v>2498.259</v>
      </c>
      <c r="O7" s="0" t="n">
        <v>11556.777</v>
      </c>
      <c r="P7" s="0" t="n">
        <v>19640.488</v>
      </c>
      <c r="Q7" s="0" t="n">
        <v>7112.718</v>
      </c>
      <c r="R7" s="0" t="n">
        <v>4176.429</v>
      </c>
      <c r="S7" s="0" t="n">
        <v>3738.234</v>
      </c>
      <c r="T7" s="0" t="n">
        <v>3924</v>
      </c>
      <c r="U7" s="0" t="n">
        <v>18.722</v>
      </c>
      <c r="AA7" s="0" t="s">
        <v>17</v>
      </c>
      <c r="AB7" s="0" t="s">
        <v>14</v>
      </c>
      <c r="AC7" s="0" t="n">
        <v>1858.178</v>
      </c>
    </row>
    <row r="8" customFormat="false" ht="15" hidden="false" customHeight="false" outlineLevel="0" collapsed="false">
      <c r="A8" s="0" t="s">
        <v>70</v>
      </c>
      <c r="B8" s="0" t="n">
        <v>18411.197</v>
      </c>
      <c r="C8" s="0" t="n">
        <v>11163.17</v>
      </c>
      <c r="D8" s="0" t="n">
        <v>7248.027</v>
      </c>
      <c r="E8" s="0" t="n">
        <v>39.4</v>
      </c>
      <c r="F8" s="0" t="n">
        <v>3060.922</v>
      </c>
      <c r="G8" s="0" t="n">
        <v>16.6</v>
      </c>
      <c r="H8" s="0" t="n">
        <v>3633.8</v>
      </c>
      <c r="I8" s="0" t="n">
        <v>2302.366</v>
      </c>
      <c r="J8" s="0" t="n">
        <v>12.5</v>
      </c>
      <c r="K8" s="0" t="n">
        <v>0.5909</v>
      </c>
      <c r="L8" s="0" t="n">
        <v>2554.725</v>
      </c>
      <c r="M8" s="0" t="n">
        <v>1176.562</v>
      </c>
      <c r="N8" s="0" t="n">
        <v>1378.163</v>
      </c>
      <c r="O8" s="0" t="n">
        <v>12083.386</v>
      </c>
      <c r="P8" s="0" t="n">
        <v>19807.52</v>
      </c>
      <c r="Q8" s="0" t="n">
        <v>6731.851</v>
      </c>
      <c r="R8" s="0" t="n">
        <v>4114.218</v>
      </c>
      <c r="S8" s="0" t="n">
        <v>3273.83</v>
      </c>
      <c r="T8" s="0" t="n">
        <v>3896.4</v>
      </c>
      <c r="U8" s="0" t="n">
        <v>6.059</v>
      </c>
      <c r="AA8" s="0" t="s">
        <v>17</v>
      </c>
      <c r="AB8" s="0" t="s">
        <v>14</v>
      </c>
      <c r="AC8" s="0" t="n">
        <v>2396.002</v>
      </c>
    </row>
    <row r="9" customFormat="false" ht="15" hidden="false" customHeight="false" outlineLevel="0" collapsed="false">
      <c r="A9" s="0" t="s">
        <v>71</v>
      </c>
      <c r="B9" s="0" t="n">
        <v>16902.634</v>
      </c>
      <c r="C9" s="0" t="n">
        <v>10058.472</v>
      </c>
      <c r="D9" s="0" t="n">
        <v>6844.162</v>
      </c>
      <c r="E9" s="0" t="n">
        <v>40.5</v>
      </c>
      <c r="F9" s="0" t="n">
        <v>2824.388</v>
      </c>
      <c r="G9" s="0" t="n">
        <v>16.7</v>
      </c>
      <c r="H9" s="0" t="n">
        <v>3360.085</v>
      </c>
      <c r="I9" s="0" t="n">
        <v>2062.617</v>
      </c>
      <c r="J9" s="0" t="n">
        <v>12.2</v>
      </c>
      <c r="K9" s="0" t="n">
        <v>0.5319</v>
      </c>
      <c r="L9" s="0" t="n">
        <v>3323.348</v>
      </c>
      <c r="M9" s="0" t="n">
        <v>738.151</v>
      </c>
      <c r="N9" s="0" t="n">
        <v>2585.197</v>
      </c>
      <c r="O9" s="0" t="n">
        <v>12710.656</v>
      </c>
      <c r="P9" s="0" t="n">
        <v>20023.592</v>
      </c>
      <c r="Q9" s="0" t="n">
        <v>6374.426</v>
      </c>
      <c r="R9" s="0" t="n">
        <v>4214.549</v>
      </c>
      <c r="S9" s="0" t="n">
        <v>4006.314</v>
      </c>
      <c r="T9" s="0" t="n">
        <v>3877.8</v>
      </c>
      <c r="U9" s="0" t="n">
        <v>-0.713</v>
      </c>
      <c r="AA9" s="0" t="s">
        <v>17</v>
      </c>
      <c r="AB9" s="0" t="s">
        <v>14</v>
      </c>
      <c r="AC9" s="0" t="n">
        <v>2154.808</v>
      </c>
    </row>
    <row r="10" customFormat="false" ht="15" hidden="false" customHeight="false" outlineLevel="0" collapsed="false">
      <c r="A10" s="0" t="s">
        <v>72</v>
      </c>
      <c r="B10" s="0" t="n">
        <v>16429.24</v>
      </c>
      <c r="C10" s="0" t="n">
        <v>9950.889</v>
      </c>
      <c r="D10" s="0" t="n">
        <v>6478.351</v>
      </c>
      <c r="E10" s="0" t="n">
        <v>39.4</v>
      </c>
      <c r="F10" s="0" t="n">
        <v>2445.019</v>
      </c>
      <c r="G10" s="0" t="n">
        <v>14.9</v>
      </c>
      <c r="H10" s="0" t="n">
        <v>3096.857</v>
      </c>
      <c r="I10" s="0" t="n">
        <v>1812.423</v>
      </c>
      <c r="J10" s="0" t="n">
        <v>11</v>
      </c>
      <c r="K10" s="0" t="n">
        <v>0.4674</v>
      </c>
      <c r="L10" s="0" t="n">
        <v>2379.752</v>
      </c>
      <c r="M10" s="0" t="n">
        <v>1310.849</v>
      </c>
      <c r="N10" s="0" t="n">
        <v>1068.903</v>
      </c>
      <c r="O10" s="0" t="n">
        <v>14182.067</v>
      </c>
      <c r="P10" s="0" t="n">
        <v>22404.116</v>
      </c>
      <c r="Q10" s="0" t="n">
        <v>7204.408</v>
      </c>
      <c r="R10" s="0" t="n">
        <v>4240.294</v>
      </c>
      <c r="S10" s="0" t="n">
        <v>3318.7</v>
      </c>
      <c r="T10" s="0" t="n">
        <v>3877.7</v>
      </c>
      <c r="U10" s="0" t="n">
        <v>7.353</v>
      </c>
      <c r="AA10" s="0" t="s">
        <v>17</v>
      </c>
      <c r="AB10" s="0" t="s">
        <v>14</v>
      </c>
      <c r="AC10" s="0" t="n">
        <v>1903.575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2.275</v>
      </c>
    </row>
    <row r="3" customFormat="false" ht="15" hidden="false" customHeight="false" outlineLevel="0" collapsed="false">
      <c r="A3" s="0" t="s">
        <v>76</v>
      </c>
      <c r="B3" s="3" t="n">
        <v>3878.7</v>
      </c>
    </row>
    <row r="4" customFormat="false" ht="15" hidden="false" customHeight="false" outlineLevel="0" collapsed="false">
      <c r="A4" s="0" t="s">
        <v>77</v>
      </c>
      <c r="B4" s="3" t="n">
        <v>1521.4</v>
      </c>
    </row>
    <row r="5" customFormat="false" ht="15" hidden="false" customHeight="false" outlineLevel="0" collapsed="false">
      <c r="A5" s="0" t="s">
        <v>78</v>
      </c>
      <c r="B5" s="3" t="n">
        <v>-610.1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16429.24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1</v>
      </c>
      <c r="D13" s="3" t="n">
        <v>-4</v>
      </c>
      <c r="E13" s="3" t="n">
        <v>-2</v>
      </c>
      <c r="F13" s="3" t="n">
        <v>0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97</v>
      </c>
      <c r="C14" s="3" t="n">
        <v>15.5</v>
      </c>
      <c r="D14" s="3" t="n">
        <v>14.5</v>
      </c>
      <c r="E14" s="3" t="n">
        <v>14.5</v>
      </c>
      <c r="F14" s="3" t="n">
        <v>15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98</v>
      </c>
      <c r="C15" s="3" t="n">
        <v>0.05</v>
      </c>
      <c r="D15" s="3" t="n">
        <v>0.05</v>
      </c>
      <c r="E15" s="3" t="n">
        <v>0.05</v>
      </c>
      <c r="F15" s="3" t="n">
        <v>0.05</v>
      </c>
      <c r="G15" s="3" t="n">
        <v>0.05</v>
      </c>
      <c r="H15" s="3" t="n">
        <v>0.05</v>
      </c>
      <c r="I15" s="3" t="n">
        <v>0.05</v>
      </c>
      <c r="J15" s="3" t="n">
        <v>0.05</v>
      </c>
      <c r="K15" s="3" t="n">
        <v>0.05</v>
      </c>
      <c r="L15" s="3" t="n">
        <v>0.05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4.3</v>
      </c>
      <c r="D17" s="3" t="n">
        <v>4.5</v>
      </c>
      <c r="E17" s="3" t="n">
        <v>4.5</v>
      </c>
      <c r="F17" s="3" t="n">
        <v>4.5</v>
      </c>
      <c r="G17" s="3" t="n">
        <v>4.5</v>
      </c>
      <c r="H17" s="3" t="n">
        <v>4.5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101</v>
      </c>
      <c r="C18" s="3" t="n">
        <v>6</v>
      </c>
      <c r="D18" s="3" t="n">
        <v>6</v>
      </c>
      <c r="E18" s="3" t="n">
        <v>6</v>
      </c>
      <c r="F18" s="3" t="n">
        <v>6</v>
      </c>
      <c r="G18" s="3" t="n">
        <v>6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102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1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-15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4</v>
      </c>
      <c r="D27" s="3" t="n">
        <v>1</v>
      </c>
      <c r="E27" s="3" t="n">
        <v>2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16.8</v>
      </c>
      <c r="D28" s="3" t="n">
        <v>17</v>
      </c>
      <c r="E28" s="3" t="n">
        <v>17.3</v>
      </c>
      <c r="F28" s="3" t="n">
        <v>17.5</v>
      </c>
      <c r="G28" s="3" t="n">
        <v>17.5</v>
      </c>
      <c r="H28" s="3" t="n">
        <v>17.5</v>
      </c>
      <c r="I28" s="3" t="n">
        <v>17.5</v>
      </c>
      <c r="J28" s="3" t="n">
        <v>17.5</v>
      </c>
      <c r="K28" s="3" t="n">
        <v>17.5</v>
      </c>
      <c r="L28" s="3" t="n">
        <v>17.5</v>
      </c>
    </row>
    <row r="29" customFormat="false" ht="15" hidden="false" customHeight="false" outlineLevel="0" collapsed="false">
      <c r="A29" s="0" t="s">
        <v>98</v>
      </c>
      <c r="C29" s="3" t="n">
        <v>0.05</v>
      </c>
      <c r="D29" s="3" t="n">
        <v>0.05</v>
      </c>
      <c r="E29" s="3" t="n">
        <v>0.05</v>
      </c>
      <c r="F29" s="3" t="n">
        <v>0.05</v>
      </c>
      <c r="G29" s="3" t="n">
        <v>0.05</v>
      </c>
      <c r="H29" s="3" t="n">
        <v>0.05</v>
      </c>
      <c r="I29" s="3" t="n">
        <v>0.05</v>
      </c>
      <c r="J29" s="3" t="n">
        <v>0.05</v>
      </c>
      <c r="K29" s="3" t="n">
        <v>0.05</v>
      </c>
      <c r="L29" s="3" t="n">
        <v>0.05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4.2</v>
      </c>
      <c r="D31" s="3" t="n">
        <v>4.3</v>
      </c>
      <c r="E31" s="3" t="n">
        <v>4.3</v>
      </c>
      <c r="F31" s="3" t="n">
        <v>4.3</v>
      </c>
      <c r="G31" s="3" t="n">
        <v>4.3</v>
      </c>
      <c r="H31" s="3" t="n">
        <v>4.3</v>
      </c>
      <c r="I31" s="3" t="n">
        <v>4.3</v>
      </c>
      <c r="J31" s="3" t="n">
        <v>4.3</v>
      </c>
      <c r="K31" s="3" t="n">
        <v>4.3</v>
      </c>
      <c r="L31" s="3" t="n">
        <v>4.3</v>
      </c>
    </row>
    <row r="32" customFormat="false" ht="15" hidden="false" customHeight="false" outlineLevel="0" collapsed="false">
      <c r="A32" s="0" t="s">
        <v>101</v>
      </c>
      <c r="C32" s="3" t="n">
        <v>6</v>
      </c>
      <c r="D32" s="3" t="n">
        <v>6</v>
      </c>
      <c r="E32" s="3" t="n">
        <v>6</v>
      </c>
      <c r="F32" s="3" t="n">
        <v>6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102</v>
      </c>
      <c r="C33" s="3" t="n">
        <v>19.5</v>
      </c>
      <c r="D33" s="3" t="n">
        <v>19.5</v>
      </c>
      <c r="E33" s="3" t="n">
        <v>19.5</v>
      </c>
      <c r="F33" s="3" t="n">
        <v>19.5</v>
      </c>
      <c r="G33" s="3" t="n">
        <v>19.5</v>
      </c>
      <c r="H33" s="3" t="n">
        <v>19.5</v>
      </c>
      <c r="I33" s="3" t="n">
        <v>19.5</v>
      </c>
      <c r="J33" s="3" t="n">
        <v>19.5</v>
      </c>
      <c r="K33" s="3" t="n">
        <v>19.5</v>
      </c>
      <c r="L33" s="3" t="n">
        <v>19.5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-15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7</v>
      </c>
      <c r="D41" s="3" t="n">
        <v>4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17.5</v>
      </c>
      <c r="D42" s="3" t="n">
        <v>18</v>
      </c>
      <c r="E42" s="3" t="n">
        <v>18.5</v>
      </c>
      <c r="F42" s="3" t="n">
        <v>19</v>
      </c>
      <c r="G42" s="3" t="n">
        <v>19</v>
      </c>
      <c r="H42" s="3" t="n">
        <v>19</v>
      </c>
      <c r="I42" s="3" t="n">
        <v>19</v>
      </c>
      <c r="J42" s="3" t="n">
        <v>19</v>
      </c>
      <c r="K42" s="3" t="n">
        <v>19</v>
      </c>
      <c r="L42" s="3" t="n">
        <v>19</v>
      </c>
    </row>
    <row r="43" customFormat="false" ht="15" hidden="false" customHeight="false" outlineLevel="0" collapsed="false">
      <c r="A43" s="0" t="s">
        <v>98</v>
      </c>
      <c r="C43" s="3" t="n">
        <v>0.05</v>
      </c>
      <c r="D43" s="3" t="n">
        <v>0.05</v>
      </c>
      <c r="E43" s="3" t="n">
        <v>0.05</v>
      </c>
      <c r="F43" s="3" t="n">
        <v>0.05</v>
      </c>
      <c r="G43" s="3" t="n">
        <v>0.05</v>
      </c>
      <c r="H43" s="3" t="n">
        <v>0.05</v>
      </c>
      <c r="I43" s="3" t="n">
        <v>0.05</v>
      </c>
      <c r="J43" s="3" t="n">
        <v>0.05</v>
      </c>
      <c r="K43" s="3" t="n">
        <v>0.05</v>
      </c>
      <c r="L43" s="3" t="n">
        <v>0.05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4.2</v>
      </c>
      <c r="D45" s="3" t="n">
        <v>4.3</v>
      </c>
      <c r="E45" s="3" t="n">
        <v>4.3</v>
      </c>
      <c r="F45" s="3" t="n">
        <v>4.3</v>
      </c>
      <c r="G45" s="3" t="n">
        <v>4.3</v>
      </c>
      <c r="H45" s="3" t="n">
        <v>4.3</v>
      </c>
      <c r="I45" s="3" t="n">
        <v>4.3</v>
      </c>
      <c r="J45" s="3" t="n">
        <v>4.3</v>
      </c>
      <c r="K45" s="3" t="n">
        <v>4.3</v>
      </c>
      <c r="L45" s="3" t="n">
        <v>4.3</v>
      </c>
    </row>
    <row r="46" customFormat="false" ht="15" hidden="false" customHeight="false" outlineLevel="0" collapsed="false">
      <c r="A46" s="0" t="s">
        <v>101</v>
      </c>
      <c r="C46" s="3" t="n">
        <v>5.5</v>
      </c>
      <c r="D46" s="3" t="n">
        <v>5.5</v>
      </c>
      <c r="E46" s="3" t="n">
        <v>5.5</v>
      </c>
      <c r="F46" s="3" t="n">
        <v>5.5</v>
      </c>
      <c r="G46" s="3" t="n">
        <v>5.5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102</v>
      </c>
      <c r="C47" s="3" t="n">
        <v>19.5</v>
      </c>
      <c r="D47" s="3" t="n">
        <v>19.5</v>
      </c>
      <c r="E47" s="3" t="n">
        <v>19.5</v>
      </c>
      <c r="F47" s="3" t="n">
        <v>19.5</v>
      </c>
      <c r="G47" s="3" t="n">
        <v>19.5</v>
      </c>
      <c r="H47" s="3" t="n">
        <v>19.5</v>
      </c>
      <c r="I47" s="3" t="n">
        <v>19.5</v>
      </c>
      <c r="J47" s="3" t="n">
        <v>19.5</v>
      </c>
      <c r="K47" s="3" t="n">
        <v>19.5</v>
      </c>
      <c r="L47" s="3" t="n">
        <v>19.5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-15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1</v>
      </c>
      <c r="D5" s="4" t="n">
        <f aca="false">Assumptions!D13</f>
        <v>-4</v>
      </c>
      <c r="E5" s="4" t="n">
        <f aca="false">Assumptions!E13</f>
        <v>-2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16429.24</v>
      </c>
      <c r="C6" s="0" t="n">
        <f aca="false">B6*(1+C5/100)</f>
        <v>16593.5324</v>
      </c>
      <c r="D6" s="0" t="n">
        <f aca="false">C6*(1+D5/100)</f>
        <v>15929.791104</v>
      </c>
      <c r="E6" s="0" t="n">
        <f aca="false">D6*(1+E5/100)</f>
        <v>15611.19528192</v>
      </c>
      <c r="F6" s="0" t="n">
        <f aca="false">E6*(1+F5/100)</f>
        <v>15611.19528192</v>
      </c>
      <c r="G6" s="0" t="n">
        <f aca="false">F6*(1+G5/100)</f>
        <v>15767.3072347392</v>
      </c>
      <c r="H6" s="0" t="n">
        <f aca="false">G6*(1+H5/100)</f>
        <v>16003.8168432603</v>
      </c>
      <c r="I6" s="0" t="n">
        <f aca="false">H6*(1+I5/100)</f>
        <v>16243.8740959092</v>
      </c>
      <c r="J6" s="0" t="n">
        <f aca="false">I6*(1+J5/100)</f>
        <v>16487.5322073478</v>
      </c>
      <c r="K6" s="0" t="n">
        <f aca="false">J6*(1+K5/100)</f>
        <v>16734.845190458</v>
      </c>
      <c r="L6" s="0" t="n">
        <f aca="false">K6*(1+L5/100)</f>
        <v>16985.8678683149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15.5</v>
      </c>
      <c r="D7" s="4" t="n">
        <f aca="false">Assumptions!D14</f>
        <v>14.5</v>
      </c>
      <c r="E7" s="4" t="n">
        <f aca="false">Assumptions!E14</f>
        <v>14.5</v>
      </c>
      <c r="F7" s="4" t="n">
        <f aca="false">Assumptions!F14</f>
        <v>15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2571.997522</v>
      </c>
      <c r="D8" s="0" t="n">
        <f aca="false">D6*D7/100</f>
        <v>2309.81971008</v>
      </c>
      <c r="E8" s="0" t="n">
        <f aca="false">E6*E7/100</f>
        <v>2263.6233158784</v>
      </c>
      <c r="F8" s="0" t="n">
        <f aca="false">F6*F7/100</f>
        <v>2341.679292288</v>
      </c>
      <c r="G8" s="0" t="n">
        <f aca="false">G6*G7/100</f>
        <v>2365.09608521088</v>
      </c>
      <c r="H8" s="0" t="n">
        <f aca="false">H6*H7/100</f>
        <v>2400.57252648904</v>
      </c>
      <c r="I8" s="0" t="n">
        <f aca="false">I6*I7/100</f>
        <v>2436.58111438638</v>
      </c>
      <c r="J8" s="0" t="n">
        <f aca="false">J6*J7/100</f>
        <v>2473.12983110217</v>
      </c>
      <c r="K8" s="0" t="n">
        <f aca="false">K6*K7/100</f>
        <v>2510.22677856871</v>
      </c>
      <c r="L8" s="0" t="n">
        <f aca="false">L6*L7/100</f>
        <v>2547.88018024724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0.05</v>
      </c>
      <c r="D9" s="4" t="n">
        <f aca="false">Assumptions!D15</f>
        <v>0.05</v>
      </c>
      <c r="E9" s="4" t="n">
        <f aca="false">Assumptions!E15</f>
        <v>0.05</v>
      </c>
      <c r="F9" s="4" t="n">
        <f aca="false">Assumptions!F15</f>
        <v>0.05</v>
      </c>
      <c r="G9" s="4" t="n">
        <f aca="false">Assumptions!G15</f>
        <v>0.05</v>
      </c>
      <c r="H9" s="4" t="n">
        <f aca="false">Assumptions!H15</f>
        <v>0.05</v>
      </c>
      <c r="I9" s="4" t="n">
        <f aca="false">Assumptions!I15</f>
        <v>0.05</v>
      </c>
      <c r="J9" s="4" t="n">
        <f aca="false">Assumptions!J15</f>
        <v>0.05</v>
      </c>
      <c r="K9" s="4" t="n">
        <f aca="false">Assumptions!K15</f>
        <v>0.05</v>
      </c>
      <c r="L9" s="4" t="n">
        <f aca="false">Assumptions!L15</f>
        <v>0.05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-8.2967662</v>
      </c>
      <c r="D10" s="0" t="n">
        <f aca="false">-D6*D9/100</f>
        <v>-7.964895552</v>
      </c>
      <c r="E10" s="0" t="n">
        <f aca="false">-E6*E9/100</f>
        <v>-7.80559764096</v>
      </c>
      <c r="F10" s="0" t="n">
        <f aca="false">-F6*F9/100</f>
        <v>-7.80559764096</v>
      </c>
      <c r="G10" s="0" t="n">
        <f aca="false">-G6*G9/100</f>
        <v>-7.8836536173696</v>
      </c>
      <c r="H10" s="0" t="n">
        <f aca="false">-H6*H9/100</f>
        <v>-8.00190842163014</v>
      </c>
      <c r="I10" s="0" t="n">
        <f aca="false">-I6*I9/100</f>
        <v>-8.12193704795459</v>
      </c>
      <c r="J10" s="0" t="n">
        <f aca="false">-J6*J9/100</f>
        <v>-8.24376610367391</v>
      </c>
      <c r="K10" s="0" t="n">
        <f aca="false">-K6*K9/100</f>
        <v>-8.36742259522902</v>
      </c>
      <c r="L10" s="0" t="n">
        <f aca="false">-L6*L9/100</f>
        <v>-8.49293393415745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2563.7007558</v>
      </c>
      <c r="D11" s="0" t="n">
        <f aca="false">D8+D10+D24</f>
        <v>2301.854814528</v>
      </c>
      <c r="E11" s="0" t="n">
        <f aca="false">E8+E10+E24</f>
        <v>2255.81771823744</v>
      </c>
      <c r="F11" s="0" t="n">
        <f aca="false">F8+F10+F24</f>
        <v>2333.87369464704</v>
      </c>
      <c r="G11" s="0" t="n">
        <f aca="false">G8+G10+G24</f>
        <v>2357.21243159351</v>
      </c>
      <c r="H11" s="0" t="n">
        <f aca="false">H8+H10+H24</f>
        <v>2392.57061806741</v>
      </c>
      <c r="I11" s="0" t="n">
        <f aca="false">I8+I10+I24</f>
        <v>2428.45917733842</v>
      </c>
      <c r="J11" s="0" t="n">
        <f aca="false">J8+J10+J24</f>
        <v>2464.8860649985</v>
      </c>
      <c r="K11" s="0" t="n">
        <f aca="false">K8+K10+K24</f>
        <v>2501.85935597348</v>
      </c>
      <c r="L11" s="0" t="n">
        <f aca="false">L8+L10+L24</f>
        <v>2539.38724631308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-713.5218932</v>
      </c>
      <c r="D12" s="4" t="n">
        <f aca="false">-D6*Assumptions!D17/100</f>
        <v>-716.84059968</v>
      </c>
      <c r="E12" s="4" t="n">
        <f aca="false">-E6*Assumptions!E17/100</f>
        <v>-702.5037876864</v>
      </c>
      <c r="F12" s="4" t="n">
        <f aca="false">-F6*Assumptions!F17/100</f>
        <v>-702.5037876864</v>
      </c>
      <c r="G12" s="4" t="n">
        <f aca="false">-G6*Assumptions!G17/100</f>
        <v>-709.528825563264</v>
      </c>
      <c r="H12" s="4" t="n">
        <f aca="false">-H6*Assumptions!H17/100</f>
        <v>-720.171757946713</v>
      </c>
      <c r="I12" s="4" t="n">
        <f aca="false">-I6*Assumptions!I17/100</f>
        <v>-730.974334315913</v>
      </c>
      <c r="J12" s="4" t="n">
        <f aca="false">-J6*Assumptions!J17/100</f>
        <v>-741.938949330652</v>
      </c>
      <c r="K12" s="4" t="n">
        <f aca="false">-K6*Assumptions!K17/100</f>
        <v>-753.068033570612</v>
      </c>
      <c r="L12" s="4" t="n">
        <f aca="false">-L6*Assumptions!L17/100</f>
        <v>-764.364054074171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1850.1788626</v>
      </c>
      <c r="D13" s="0" t="n">
        <f aca="false">D11+D12</f>
        <v>1585.014214848</v>
      </c>
      <c r="E13" s="0" t="n">
        <f aca="false">E11+E12</f>
        <v>1553.31393055104</v>
      </c>
      <c r="F13" s="0" t="n">
        <f aca="false">F11+F12</f>
        <v>1631.36990696064</v>
      </c>
      <c r="G13" s="0" t="n">
        <f aca="false">G11+G12</f>
        <v>1647.68360603025</v>
      </c>
      <c r="H13" s="0" t="n">
        <f aca="false">H11+H12</f>
        <v>1672.3988601207</v>
      </c>
      <c r="I13" s="0" t="n">
        <f aca="false">I11+I12</f>
        <v>1697.48484302251</v>
      </c>
      <c r="J13" s="0" t="n">
        <f aca="false">J11+J12</f>
        <v>1722.94711566785</v>
      </c>
      <c r="K13" s="0" t="n">
        <f aca="false">K11+K12</f>
        <v>1748.79132240287</v>
      </c>
      <c r="L13" s="0" t="n">
        <f aca="false">L11+L12</f>
        <v>1775.02319223891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1480.14309008</v>
      </c>
      <c r="D15" s="0" t="n">
        <f aca="false">D13-MAX(0,D13)*D14/100</f>
        <v>1268.0113718784</v>
      </c>
      <c r="E15" s="0" t="n">
        <f aca="false">E13-MAX(0,E13)*E14/100</f>
        <v>1242.65114444083</v>
      </c>
      <c r="F15" s="0" t="n">
        <f aca="false">F13-MAX(0,F13)*F14/100</f>
        <v>1305.09592556851</v>
      </c>
      <c r="G15" s="0" t="n">
        <f aca="false">G13-MAX(0,G13)*G14/100</f>
        <v>1318.1468848242</v>
      </c>
      <c r="H15" s="0" t="n">
        <f aca="false">H13-MAX(0,H13)*H14/100</f>
        <v>1337.91908809656</v>
      </c>
      <c r="I15" s="0" t="n">
        <f aca="false">I13-MAX(0,I13)*I14/100</f>
        <v>1357.98787441801</v>
      </c>
      <c r="J15" s="0" t="n">
        <f aca="false">J13-MAX(0,J13)*J14/100</f>
        <v>1378.35769253428</v>
      </c>
      <c r="K15" s="0" t="n">
        <f aca="false">K13-MAX(0,K13)*K14/100</f>
        <v>1399.03305792229</v>
      </c>
      <c r="L15" s="0" t="n">
        <f aca="false">L13-MAX(0,L13)*L14/100</f>
        <v>1420.01855379113</v>
      </c>
    </row>
    <row r="16" customFormat="false" ht="15" hidden="false" customHeight="false" outlineLevel="0" collapsed="false">
      <c r="A16" s="0" t="s">
        <v>118</v>
      </c>
      <c r="C16" s="0" t="n">
        <f aca="false">-C12</f>
        <v>713.5218932</v>
      </c>
      <c r="D16" s="0" t="n">
        <f aca="false">-D12</f>
        <v>716.84059968</v>
      </c>
      <c r="E16" s="0" t="n">
        <f aca="false">-E12</f>
        <v>702.5037876864</v>
      </c>
      <c r="F16" s="0" t="n">
        <f aca="false">-F12</f>
        <v>702.5037876864</v>
      </c>
      <c r="G16" s="0" t="n">
        <f aca="false">-G12</f>
        <v>709.528825563264</v>
      </c>
      <c r="H16" s="0" t="n">
        <f aca="false">-H12</f>
        <v>720.171757946713</v>
      </c>
      <c r="I16" s="0" t="n">
        <f aca="false">-I12</f>
        <v>730.974334315913</v>
      </c>
      <c r="J16" s="0" t="n">
        <f aca="false">-J12</f>
        <v>741.938949330652</v>
      </c>
      <c r="K16" s="0" t="n">
        <f aca="false">-K12</f>
        <v>753.068033570612</v>
      </c>
      <c r="L16" s="0" t="n">
        <f aca="false">-L12</f>
        <v>764.364054074171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-995.611944</v>
      </c>
      <c r="D17" s="4" t="n">
        <f aca="false">-D6*Assumptions!D18/100</f>
        <v>-955.78746624</v>
      </c>
      <c r="E17" s="4" t="n">
        <f aca="false">-E6*Assumptions!E18/100</f>
        <v>-936.6717169152</v>
      </c>
      <c r="F17" s="4" t="n">
        <f aca="false">-F6*Assumptions!F18/100</f>
        <v>-936.6717169152</v>
      </c>
      <c r="G17" s="4" t="n">
        <f aca="false">-G6*Assumptions!G18/100</f>
        <v>-946.038434084352</v>
      </c>
      <c r="H17" s="4" t="n">
        <f aca="false">-H6*Assumptions!H18/100</f>
        <v>-960.229010595617</v>
      </c>
      <c r="I17" s="4" t="n">
        <f aca="false">-I6*Assumptions!I18/100</f>
        <v>-974.632445754551</v>
      </c>
      <c r="J17" s="4" t="n">
        <f aca="false">-J6*Assumptions!J18/100</f>
        <v>-989.251932440869</v>
      </c>
      <c r="K17" s="4" t="n">
        <f aca="false">-K6*Assumptions!K18/100</f>
        <v>-1004.09071142748</v>
      </c>
      <c r="L17" s="4" t="n">
        <f aca="false">-L6*Assumptions!L18/100</f>
        <v>-1019.15207209889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-24.6438599999998</v>
      </c>
      <c r="D18" s="4" t="n">
        <f aca="false">(D6-C6)*Assumptions!$B$23/100</f>
        <v>99.5611944</v>
      </c>
      <c r="E18" s="4" t="n">
        <f aca="false">(E6-D6)*Assumptions!$B$23/100</f>
        <v>47.789373312</v>
      </c>
      <c r="F18" s="4" t="n">
        <f aca="false">(F6-E6)*Assumptions!$B$23/100</f>
        <v>-0</v>
      </c>
      <c r="G18" s="4" t="n">
        <f aca="false">(G6-F6)*Assumptions!$B$23/100</f>
        <v>-23.4167929228799</v>
      </c>
      <c r="H18" s="4" t="n">
        <f aca="false">(H6-G6)*Assumptions!$B$23/100</f>
        <v>-35.4764412781629</v>
      </c>
      <c r="I18" s="4" t="n">
        <f aca="false">(I6-H6)*Assumptions!$B$23/100</f>
        <v>-36.0085878973355</v>
      </c>
      <c r="J18" s="4" t="n">
        <f aca="false">(J6-I6)*Assumptions!$B$23/100</f>
        <v>-36.5487167157953</v>
      </c>
      <c r="K18" s="4" t="n">
        <f aca="false">(K6-J6)*Assumptions!$B$23/100</f>
        <v>-37.0969474665324</v>
      </c>
      <c r="L18" s="4" t="n">
        <f aca="false">(L6-K6)*Assumptions!$B$23/100</f>
        <v>-37.6534016785303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1173.40917928</v>
      </c>
      <c r="D19" s="0" t="n">
        <f aca="false">D15+D16+D17+D18</f>
        <v>1128.6256997184</v>
      </c>
      <c r="E19" s="0" t="n">
        <f aca="false">E15+E16+E17+E18</f>
        <v>1056.27258852403</v>
      </c>
      <c r="F19" s="0" t="n">
        <f aca="false">F15+F16+F17+F18</f>
        <v>1070.92799633971</v>
      </c>
      <c r="G19" s="0" t="n">
        <f aca="false">G15+G16+G17+G18</f>
        <v>1058.22048338023</v>
      </c>
      <c r="H19" s="0" t="n">
        <f aca="false">H15+H16+H17+H18</f>
        <v>1062.38539416949</v>
      </c>
      <c r="I19" s="0" t="n">
        <f aca="false">I15+I16+I17+I18</f>
        <v>1078.32117508203</v>
      </c>
      <c r="J19" s="0" t="n">
        <f aca="false">J15+J16+J17+J18</f>
        <v>1094.49599270827</v>
      </c>
      <c r="K19" s="0" t="n">
        <f aca="false">K15+K16+K17+K18</f>
        <v>1110.91343259889</v>
      </c>
      <c r="L19" s="0" t="n">
        <f aca="false">L15+L16+L17+L18</f>
        <v>1127.57713408787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1066.73561752727</v>
      </c>
      <c r="D21" s="0" t="n">
        <f aca="false">D19*D20</f>
        <v>932.748512163967</v>
      </c>
      <c r="E21" s="0" t="n">
        <f aca="false">E19*E20</f>
        <v>793.593229544727</v>
      </c>
      <c r="F21" s="0" t="n">
        <f aca="false">F19*F20</f>
        <v>731.458231227178</v>
      </c>
      <c r="G21" s="0" t="n">
        <f aca="false">G19*G20</f>
        <v>657.07166262875</v>
      </c>
      <c r="H21" s="0" t="n">
        <f aca="false">H19*H20</f>
        <v>599.688858678585</v>
      </c>
      <c r="I21" s="0" t="n">
        <f aca="false">I19*I20</f>
        <v>553.349265053421</v>
      </c>
      <c r="J21" s="0" t="n">
        <f aca="false">J19*J20</f>
        <v>510.590458208384</v>
      </c>
      <c r="K21" s="0" t="n">
        <f aca="false">K19*K20</f>
        <v>471.135740983191</v>
      </c>
      <c r="L21" s="0" t="n">
        <f aca="false">L19*L20</f>
        <v>434.729797361762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6751.10137337724</v>
      </c>
    </row>
    <row r="31" customFormat="false" ht="15" hidden="false" customHeight="false" outlineLevel="0" collapsed="false">
      <c r="A31" s="0" t="s">
        <v>127</v>
      </c>
      <c r="B31" s="0" t="n">
        <f aca="false">L19</f>
        <v>1127.57713408787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12653.9211714306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13530.9256090545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12653.9211714306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4878.63439261533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11629.7357659926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9498.23576599257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2.44881938948425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0.0764041272458251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49.569472957952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36.7459735860176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2.47107309473188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8134.66361020536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1.3929800663093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4</v>
      </c>
      <c r="D5" s="4" t="n">
        <f aca="false">Assumptions!D27</f>
        <v>1</v>
      </c>
      <c r="E5" s="4" t="n">
        <f aca="false">Assumptions!E27</f>
        <v>2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16429.24</v>
      </c>
      <c r="C6" s="0" t="n">
        <f aca="false">B6*(1+C5/100)</f>
        <v>17086.4096</v>
      </c>
      <c r="D6" s="0" t="n">
        <f aca="false">C6*(1+D5/100)</f>
        <v>17257.273696</v>
      </c>
      <c r="E6" s="0" t="n">
        <f aca="false">D6*(1+E5/100)</f>
        <v>17602.41916992</v>
      </c>
      <c r="F6" s="0" t="n">
        <f aca="false">E6*(1+F5/100)</f>
        <v>18130.4917450176</v>
      </c>
      <c r="G6" s="0" t="n">
        <f aca="false">F6*(1+G5/100)</f>
        <v>18674.4064973681</v>
      </c>
      <c r="H6" s="0" t="n">
        <f aca="false">G6*(1+H5/100)</f>
        <v>19234.6386922892</v>
      </c>
      <c r="I6" s="0" t="n">
        <f aca="false">H6*(1+I5/100)</f>
        <v>19715.5046595964</v>
      </c>
      <c r="J6" s="0" t="n">
        <f aca="false">I6*(1+J5/100)</f>
        <v>20208.3922760863</v>
      </c>
      <c r="K6" s="0" t="n">
        <f aca="false">J6*(1+K5/100)</f>
        <v>20612.560121608</v>
      </c>
      <c r="L6" s="0" t="n">
        <f aca="false">K6*(1+L5/100)</f>
        <v>21024.8113240402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16.8</v>
      </c>
      <c r="D7" s="4" t="n">
        <f aca="false">Assumptions!D28</f>
        <v>17</v>
      </c>
      <c r="E7" s="4" t="n">
        <f aca="false">Assumptions!E28</f>
        <v>17.3</v>
      </c>
      <c r="F7" s="4" t="n">
        <f aca="false">Assumptions!F28</f>
        <v>17.5</v>
      </c>
      <c r="G7" s="4" t="n">
        <f aca="false">Assumptions!G28</f>
        <v>17.5</v>
      </c>
      <c r="H7" s="4" t="n">
        <f aca="false">Assumptions!H28</f>
        <v>17.5</v>
      </c>
      <c r="I7" s="4" t="n">
        <f aca="false">Assumptions!I28</f>
        <v>17.5</v>
      </c>
      <c r="J7" s="4" t="n">
        <f aca="false">Assumptions!J28</f>
        <v>17.5</v>
      </c>
      <c r="K7" s="4" t="n">
        <f aca="false">Assumptions!K28</f>
        <v>17.5</v>
      </c>
      <c r="L7" s="4" t="n">
        <f aca="false">Assumptions!L28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2870.5168128</v>
      </c>
      <c r="D8" s="0" t="n">
        <f aca="false">D6*D7/100</f>
        <v>2933.73652832</v>
      </c>
      <c r="E8" s="0" t="n">
        <f aca="false">E6*E7/100</f>
        <v>3045.21851639616</v>
      </c>
      <c r="F8" s="0" t="n">
        <f aca="false">F6*F7/100</f>
        <v>3172.83605537808</v>
      </c>
      <c r="G8" s="0" t="n">
        <f aca="false">G6*G7/100</f>
        <v>3268.02113703942</v>
      </c>
      <c r="H8" s="0" t="n">
        <f aca="false">H6*H7/100</f>
        <v>3366.06177115061</v>
      </c>
      <c r="I8" s="0" t="n">
        <f aca="false">I6*I7/100</f>
        <v>3450.21331542937</v>
      </c>
      <c r="J8" s="0" t="n">
        <f aca="false">J6*J7/100</f>
        <v>3536.46864831511</v>
      </c>
      <c r="K8" s="0" t="n">
        <f aca="false">K6*K7/100</f>
        <v>3607.19802128141</v>
      </c>
      <c r="L8" s="0" t="n">
        <f aca="false">L6*L7/100</f>
        <v>3679.34198170704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0.05</v>
      </c>
      <c r="D9" s="4" t="n">
        <f aca="false">Assumptions!D29</f>
        <v>0.05</v>
      </c>
      <c r="E9" s="4" t="n">
        <f aca="false">Assumptions!E29</f>
        <v>0.05</v>
      </c>
      <c r="F9" s="4" t="n">
        <f aca="false">Assumptions!F29</f>
        <v>0.05</v>
      </c>
      <c r="G9" s="4" t="n">
        <f aca="false">Assumptions!G29</f>
        <v>0.05</v>
      </c>
      <c r="H9" s="4" t="n">
        <f aca="false">Assumptions!H29</f>
        <v>0.05</v>
      </c>
      <c r="I9" s="4" t="n">
        <f aca="false">Assumptions!I29</f>
        <v>0.05</v>
      </c>
      <c r="J9" s="4" t="n">
        <f aca="false">Assumptions!J29</f>
        <v>0.05</v>
      </c>
      <c r="K9" s="4" t="n">
        <f aca="false">Assumptions!K29</f>
        <v>0.05</v>
      </c>
      <c r="L9" s="4" t="n">
        <f aca="false">Assumptions!L29</f>
        <v>0.05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-8.5432048</v>
      </c>
      <c r="D10" s="0" t="n">
        <f aca="false">-D6*D9/100</f>
        <v>-8.628636848</v>
      </c>
      <c r="E10" s="0" t="n">
        <f aca="false">-E6*E9/100</f>
        <v>-8.80120958496</v>
      </c>
      <c r="F10" s="0" t="n">
        <f aca="false">-F6*F9/100</f>
        <v>-9.0652458725088</v>
      </c>
      <c r="G10" s="0" t="n">
        <f aca="false">-G6*G9/100</f>
        <v>-9.33720324868407</v>
      </c>
      <c r="H10" s="0" t="n">
        <f aca="false">-H6*H9/100</f>
        <v>-9.61731934614459</v>
      </c>
      <c r="I10" s="0" t="n">
        <f aca="false">-I6*I9/100</f>
        <v>-9.8577523297982</v>
      </c>
      <c r="J10" s="0" t="n">
        <f aca="false">-J6*J9/100</f>
        <v>-10.1041961380432</v>
      </c>
      <c r="K10" s="0" t="n">
        <f aca="false">-K6*K9/100</f>
        <v>-10.306280060804</v>
      </c>
      <c r="L10" s="0" t="n">
        <f aca="false">-L6*L9/100</f>
        <v>-10.5124056620201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2861.973608</v>
      </c>
      <c r="D11" s="0" t="n">
        <f aca="false">D8+D10+D24</f>
        <v>2925.107891472</v>
      </c>
      <c r="E11" s="0" t="n">
        <f aca="false">E8+E10+E24</f>
        <v>3036.4173068112</v>
      </c>
      <c r="F11" s="0" t="n">
        <f aca="false">F8+F10+F24</f>
        <v>3163.77080950557</v>
      </c>
      <c r="G11" s="0" t="n">
        <f aca="false">G8+G10+G24</f>
        <v>3258.68393379074</v>
      </c>
      <c r="H11" s="0" t="n">
        <f aca="false">H8+H10+H24</f>
        <v>3356.44445180446</v>
      </c>
      <c r="I11" s="0" t="n">
        <f aca="false">I8+I10+I24</f>
        <v>3440.35556309957</v>
      </c>
      <c r="J11" s="0" t="n">
        <f aca="false">J8+J10+J24</f>
        <v>3526.36445217706</v>
      </c>
      <c r="K11" s="0" t="n">
        <f aca="false">K8+K10+K24</f>
        <v>3596.8917412206</v>
      </c>
      <c r="L11" s="0" t="n">
        <f aca="false">L8+L10+L24</f>
        <v>3668.82957604502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-717.6292032</v>
      </c>
      <c r="D12" s="4" t="n">
        <f aca="false">-D6*Assumptions!D31/100</f>
        <v>-742.062768928</v>
      </c>
      <c r="E12" s="4" t="n">
        <f aca="false">-E6*Assumptions!E31/100</f>
        <v>-756.90402430656</v>
      </c>
      <c r="F12" s="4" t="n">
        <f aca="false">-F6*Assumptions!F31/100</f>
        <v>-779.611145035757</v>
      </c>
      <c r="G12" s="4" t="n">
        <f aca="false">-G6*Assumptions!G31/100</f>
        <v>-802.99947938683</v>
      </c>
      <c r="H12" s="4" t="n">
        <f aca="false">-H6*Assumptions!H31/100</f>
        <v>-827.089463768435</v>
      </c>
      <c r="I12" s="4" t="n">
        <f aca="false">-I6*Assumptions!I31/100</f>
        <v>-847.766700362646</v>
      </c>
      <c r="J12" s="4" t="n">
        <f aca="false">-J6*Assumptions!J31/100</f>
        <v>-868.960867871712</v>
      </c>
      <c r="K12" s="4" t="n">
        <f aca="false">-K6*Assumptions!K31/100</f>
        <v>-886.340085229146</v>
      </c>
      <c r="L12" s="4" t="n">
        <f aca="false">-L6*Assumptions!L31/100</f>
        <v>-904.066886933729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2144.3444048</v>
      </c>
      <c r="D13" s="0" t="n">
        <f aca="false">D11+D12</f>
        <v>2183.045122544</v>
      </c>
      <c r="E13" s="0" t="n">
        <f aca="false">E11+E12</f>
        <v>2279.51328250464</v>
      </c>
      <c r="F13" s="0" t="n">
        <f aca="false">F11+F12</f>
        <v>2384.15966446982</v>
      </c>
      <c r="G13" s="0" t="n">
        <f aca="false">G11+G12</f>
        <v>2455.68445440391</v>
      </c>
      <c r="H13" s="0" t="n">
        <f aca="false">H11+H12</f>
        <v>2529.35498803603</v>
      </c>
      <c r="I13" s="0" t="n">
        <f aca="false">I11+I12</f>
        <v>2592.58886273693</v>
      </c>
      <c r="J13" s="0" t="n">
        <f aca="false">J11+J12</f>
        <v>2657.40358430535</v>
      </c>
      <c r="K13" s="0" t="n">
        <f aca="false">K11+K12</f>
        <v>2710.55165599146</v>
      </c>
      <c r="L13" s="0" t="n">
        <f aca="false">L11+L12</f>
        <v>2764.76268911129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19.5</v>
      </c>
      <c r="D14" s="4" t="n">
        <f aca="false">Assumptions!D33</f>
        <v>19.5</v>
      </c>
      <c r="E14" s="4" t="n">
        <f aca="false">Assumptions!E33</f>
        <v>19.5</v>
      </c>
      <c r="F14" s="4" t="n">
        <f aca="false">Assumptions!F33</f>
        <v>19.5</v>
      </c>
      <c r="G14" s="4" t="n">
        <f aca="false">Assumptions!G33</f>
        <v>19.5</v>
      </c>
      <c r="H14" s="4" t="n">
        <f aca="false">Assumptions!H33</f>
        <v>19.5</v>
      </c>
      <c r="I14" s="4" t="n">
        <f aca="false">Assumptions!I33</f>
        <v>19.5</v>
      </c>
      <c r="J14" s="4" t="n">
        <f aca="false">Assumptions!J33</f>
        <v>19.5</v>
      </c>
      <c r="K14" s="4" t="n">
        <f aca="false">Assumptions!K33</f>
        <v>19.5</v>
      </c>
      <c r="L14" s="4" t="n">
        <f aca="false">Assumptions!L33</f>
        <v>19.5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1726.197245864</v>
      </c>
      <c r="D15" s="0" t="n">
        <f aca="false">D13-MAX(0,D13)*D14/100</f>
        <v>1757.35132364792</v>
      </c>
      <c r="E15" s="0" t="n">
        <f aca="false">E13-MAX(0,E13)*E14/100</f>
        <v>1835.00819241624</v>
      </c>
      <c r="F15" s="0" t="n">
        <f aca="false">F13-MAX(0,F13)*F14/100</f>
        <v>1919.2485298982</v>
      </c>
      <c r="G15" s="0" t="n">
        <f aca="false">G13-MAX(0,G13)*G14/100</f>
        <v>1976.82598579515</v>
      </c>
      <c r="H15" s="0" t="n">
        <f aca="false">H13-MAX(0,H13)*H14/100</f>
        <v>2036.130765369</v>
      </c>
      <c r="I15" s="0" t="n">
        <f aca="false">I13-MAX(0,I13)*I14/100</f>
        <v>2087.03403450323</v>
      </c>
      <c r="J15" s="0" t="n">
        <f aca="false">J13-MAX(0,J13)*J14/100</f>
        <v>2139.20988536581</v>
      </c>
      <c r="K15" s="0" t="n">
        <f aca="false">K13-MAX(0,K13)*K14/100</f>
        <v>2181.99408307312</v>
      </c>
      <c r="L15" s="0" t="n">
        <f aca="false">L13-MAX(0,L13)*L14/100</f>
        <v>2225.63396473459</v>
      </c>
    </row>
    <row r="16" customFormat="false" ht="15" hidden="false" customHeight="false" outlineLevel="0" collapsed="false">
      <c r="A16" s="0" t="s">
        <v>118</v>
      </c>
      <c r="C16" s="0" t="n">
        <f aca="false">-C12</f>
        <v>717.6292032</v>
      </c>
      <c r="D16" s="0" t="n">
        <f aca="false">-D12</f>
        <v>742.062768928</v>
      </c>
      <c r="E16" s="0" t="n">
        <f aca="false">-E12</f>
        <v>756.90402430656</v>
      </c>
      <c r="F16" s="0" t="n">
        <f aca="false">-F12</f>
        <v>779.611145035757</v>
      </c>
      <c r="G16" s="0" t="n">
        <f aca="false">-G12</f>
        <v>802.99947938683</v>
      </c>
      <c r="H16" s="0" t="n">
        <f aca="false">-H12</f>
        <v>827.089463768435</v>
      </c>
      <c r="I16" s="0" t="n">
        <f aca="false">-I12</f>
        <v>847.766700362646</v>
      </c>
      <c r="J16" s="0" t="n">
        <f aca="false">-J12</f>
        <v>868.960867871712</v>
      </c>
      <c r="K16" s="0" t="n">
        <f aca="false">-K12</f>
        <v>886.340085229146</v>
      </c>
      <c r="L16" s="0" t="n">
        <f aca="false">-L12</f>
        <v>904.066886933729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-1025.184576</v>
      </c>
      <c r="D17" s="4" t="n">
        <f aca="false">-D6*Assumptions!D32/100</f>
        <v>-1035.43642176</v>
      </c>
      <c r="E17" s="4" t="n">
        <f aca="false">-E6*Assumptions!E32/100</f>
        <v>-1056.1451501952</v>
      </c>
      <c r="F17" s="4" t="n">
        <f aca="false">-F6*Assumptions!F32/100</f>
        <v>-1087.82950470106</v>
      </c>
      <c r="G17" s="4" t="n">
        <f aca="false">-G6*Assumptions!G32/100</f>
        <v>-1120.46438984209</v>
      </c>
      <c r="H17" s="4" t="n">
        <f aca="false">-H6*Assumptions!H32/100</f>
        <v>-1154.07832153735</v>
      </c>
      <c r="I17" s="4" t="n">
        <f aca="false">-I6*Assumptions!I32/100</f>
        <v>-1182.93027957578</v>
      </c>
      <c r="J17" s="4" t="n">
        <f aca="false">-J6*Assumptions!J32/100</f>
        <v>-1212.50353656518</v>
      </c>
      <c r="K17" s="4" t="n">
        <f aca="false">-K6*Assumptions!K32/100</f>
        <v>-1236.75360729648</v>
      </c>
      <c r="L17" s="4" t="n">
        <f aca="false">-L6*Assumptions!L32/100</f>
        <v>-1261.48867944241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-98.5754400000002</v>
      </c>
      <c r="D18" s="4" t="n">
        <f aca="false">(D6-C6)*Assumptions!$B$37/100</f>
        <v>-25.6296144000002</v>
      </c>
      <c r="E18" s="4" t="n">
        <f aca="false">(E6-D6)*Assumptions!$B$37/100</f>
        <v>-51.7718210880003</v>
      </c>
      <c r="F18" s="4" t="n">
        <f aca="false">(F6-E6)*Assumptions!$B$37/100</f>
        <v>-79.2108862646403</v>
      </c>
      <c r="G18" s="4" t="n">
        <f aca="false">(G6-F6)*Assumptions!$B$37/100</f>
        <v>-81.5872128525791</v>
      </c>
      <c r="H18" s="4" t="n">
        <f aca="false">(H6-G6)*Assumptions!$B$37/100</f>
        <v>-84.0348292381568</v>
      </c>
      <c r="I18" s="4" t="n">
        <f aca="false">(I6-H6)*Assumptions!$B$37/100</f>
        <v>-72.1298950960843</v>
      </c>
      <c r="J18" s="4" t="n">
        <f aca="false">(J6-I6)*Assumptions!$B$37/100</f>
        <v>-73.9331424734863</v>
      </c>
      <c r="K18" s="4" t="n">
        <f aca="false">(K6-J6)*Assumptions!$B$37/100</f>
        <v>-60.6251768282589</v>
      </c>
      <c r="L18" s="4" t="n">
        <f aca="false">(L6-K6)*Assumptions!$B$37/100</f>
        <v>-61.8376803648243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1320.066433064</v>
      </c>
      <c r="D19" s="0" t="n">
        <f aca="false">D15+D16+D17+D18</f>
        <v>1438.34805641592</v>
      </c>
      <c r="E19" s="0" t="n">
        <f aca="false">E15+E16+E17+E18</f>
        <v>1483.9952454396</v>
      </c>
      <c r="F19" s="0" t="n">
        <f aca="false">F15+F16+F17+F18</f>
        <v>1531.81928396826</v>
      </c>
      <c r="G19" s="0" t="n">
        <f aca="false">G15+G16+G17+G18</f>
        <v>1577.77386248731</v>
      </c>
      <c r="H19" s="0" t="n">
        <f aca="false">H15+H16+H17+H18</f>
        <v>1625.10707836193</v>
      </c>
      <c r="I19" s="0" t="n">
        <f aca="false">I15+I16+I17+I18</f>
        <v>1679.740560194</v>
      </c>
      <c r="J19" s="0" t="n">
        <f aca="false">J15+J16+J17+J18</f>
        <v>1721.73407419885</v>
      </c>
      <c r="K19" s="0" t="n">
        <f aca="false">K15+K16+K17+K18</f>
        <v>1770.95538417753</v>
      </c>
      <c r="L19" s="0" t="n">
        <f aca="false">L15+L16+L17+L18</f>
        <v>1806.37449186108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1200.06039369455</v>
      </c>
      <c r="D21" s="0" t="n">
        <f aca="false">D19*D20</f>
        <v>1188.71740199663</v>
      </c>
      <c r="E21" s="0" t="n">
        <f aca="false">E19*E20</f>
        <v>1114.94759236634</v>
      </c>
      <c r="F21" s="0" t="n">
        <f aca="false">F19*F20</f>
        <v>1046.25318213801</v>
      </c>
      <c r="G21" s="0" t="n">
        <f aca="false">G19*G20</f>
        <v>979.673434183774</v>
      </c>
      <c r="H21" s="0" t="n">
        <f aca="false">H19*H20</f>
        <v>917.330579281169</v>
      </c>
      <c r="I21" s="0" t="n">
        <f aca="false">I19*I20</f>
        <v>861.972504984948</v>
      </c>
      <c r="J21" s="0" t="n">
        <f aca="false">J19*J20</f>
        <v>803.201652372337</v>
      </c>
      <c r="K21" s="0" t="n">
        <f aca="false">K19*K20</f>
        <v>751.057960673618</v>
      </c>
      <c r="L21" s="0" t="n">
        <f aca="false">L19*L20</f>
        <v>696.435563533718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9559.65026522509</v>
      </c>
    </row>
    <row r="31" customFormat="false" ht="15" hidden="false" customHeight="false" outlineLevel="0" collapsed="false">
      <c r="A31" s="0" t="s">
        <v>127</v>
      </c>
      <c r="B31" s="0" t="n">
        <f aca="false">L19</f>
        <v>1806.37449186108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23031.2747712288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21676.4939023329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21676.4939023329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8357.22676240462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17916.8770276297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15785.3770276297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4.06975972042945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0.788905371617341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57.1243372199658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51.675590099099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4.09781033721318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14173.09216691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2.34361429589345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7</v>
      </c>
      <c r="D5" s="4" t="n">
        <f aca="false">Assumptions!D41</f>
        <v>4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16429.24</v>
      </c>
      <c r="C6" s="0" t="n">
        <f aca="false">B6*(1+C5/100)</f>
        <v>17579.2868</v>
      </c>
      <c r="D6" s="0" t="n">
        <f aca="false">C6*(1+D5/100)</f>
        <v>18282.458272</v>
      </c>
      <c r="E6" s="0" t="n">
        <f aca="false">D6*(1+E5/100)</f>
        <v>19196.5811856</v>
      </c>
      <c r="F6" s="0" t="n">
        <f aca="false">E6*(1+F5/100)</f>
        <v>20156.41024488</v>
      </c>
      <c r="G6" s="0" t="n">
        <f aca="false">F6*(1+G5/100)</f>
        <v>21063.4487058996</v>
      </c>
      <c r="H6" s="0" t="n">
        <f aca="false">G6*(1+H5/100)</f>
        <v>21905.9866541356</v>
      </c>
      <c r="I6" s="0" t="n">
        <f aca="false">H6*(1+I5/100)</f>
        <v>22672.6961870303</v>
      </c>
      <c r="J6" s="0" t="n">
        <f aca="false">I6*(1+J5/100)</f>
        <v>23352.8770726412</v>
      </c>
      <c r="K6" s="0" t="n">
        <f aca="false">J6*(1+K5/100)</f>
        <v>24053.4633848205</v>
      </c>
      <c r="L6" s="0" t="n">
        <f aca="false">K6*(1+L5/100)</f>
        <v>24775.0672863651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17.5</v>
      </c>
      <c r="D7" s="4" t="n">
        <f aca="false">Assumptions!D42</f>
        <v>18</v>
      </c>
      <c r="E7" s="4" t="n">
        <f aca="false">Assumptions!E42</f>
        <v>18.5</v>
      </c>
      <c r="F7" s="4" t="n">
        <f aca="false">Assumptions!F42</f>
        <v>19</v>
      </c>
      <c r="G7" s="4" t="n">
        <f aca="false">Assumptions!G42</f>
        <v>19</v>
      </c>
      <c r="H7" s="4" t="n">
        <f aca="false">Assumptions!H42</f>
        <v>19</v>
      </c>
      <c r="I7" s="4" t="n">
        <f aca="false">Assumptions!I42</f>
        <v>19</v>
      </c>
      <c r="J7" s="4" t="n">
        <f aca="false">Assumptions!J42</f>
        <v>19</v>
      </c>
      <c r="K7" s="4" t="n">
        <f aca="false">Assumptions!K42</f>
        <v>19</v>
      </c>
      <c r="L7" s="4" t="n">
        <f aca="false">Assumptions!L42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3076.37519</v>
      </c>
      <c r="D8" s="0" t="n">
        <f aca="false">D6*D7/100</f>
        <v>3290.84248896</v>
      </c>
      <c r="E8" s="0" t="n">
        <f aca="false">E6*E7/100</f>
        <v>3551.367519336</v>
      </c>
      <c r="F8" s="0" t="n">
        <f aca="false">F6*F7/100</f>
        <v>3829.7179465272</v>
      </c>
      <c r="G8" s="0" t="n">
        <f aca="false">G6*G7/100</f>
        <v>4002.05525412092</v>
      </c>
      <c r="H8" s="0" t="n">
        <f aca="false">H6*H7/100</f>
        <v>4162.13746428576</v>
      </c>
      <c r="I8" s="0" t="n">
        <f aca="false">I6*I7/100</f>
        <v>4307.81227553576</v>
      </c>
      <c r="J8" s="0" t="n">
        <f aca="false">J6*J7/100</f>
        <v>4437.04664380184</v>
      </c>
      <c r="K8" s="0" t="n">
        <f aca="false">K6*K7/100</f>
        <v>4570.15804311589</v>
      </c>
      <c r="L8" s="0" t="n">
        <f aca="false">L6*L7/100</f>
        <v>4707.26278440937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0.05</v>
      </c>
      <c r="D9" s="4" t="n">
        <f aca="false">Assumptions!D43</f>
        <v>0.05</v>
      </c>
      <c r="E9" s="4" t="n">
        <f aca="false">Assumptions!E43</f>
        <v>0.05</v>
      </c>
      <c r="F9" s="4" t="n">
        <f aca="false">Assumptions!F43</f>
        <v>0.05</v>
      </c>
      <c r="G9" s="4" t="n">
        <f aca="false">Assumptions!G43</f>
        <v>0.05</v>
      </c>
      <c r="H9" s="4" t="n">
        <f aca="false">Assumptions!H43</f>
        <v>0.05</v>
      </c>
      <c r="I9" s="4" t="n">
        <f aca="false">Assumptions!I43</f>
        <v>0.05</v>
      </c>
      <c r="J9" s="4" t="n">
        <f aca="false">Assumptions!J43</f>
        <v>0.05</v>
      </c>
      <c r="K9" s="4" t="n">
        <f aca="false">Assumptions!K43</f>
        <v>0.05</v>
      </c>
      <c r="L9" s="4" t="n">
        <f aca="false">Assumptions!L43</f>
        <v>0.05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-8.7896434</v>
      </c>
      <c r="D10" s="0" t="n">
        <f aca="false">-D6*D9/100</f>
        <v>-9.141229136</v>
      </c>
      <c r="E10" s="0" t="n">
        <f aca="false">-E6*E9/100</f>
        <v>-9.5982905928</v>
      </c>
      <c r="F10" s="0" t="n">
        <f aca="false">-F6*F9/100</f>
        <v>-10.07820512244</v>
      </c>
      <c r="G10" s="0" t="n">
        <f aca="false">-G6*G9/100</f>
        <v>-10.5317243529498</v>
      </c>
      <c r="H10" s="0" t="n">
        <f aca="false">-H6*H9/100</f>
        <v>-10.9529933270678</v>
      </c>
      <c r="I10" s="0" t="n">
        <f aca="false">-I6*I9/100</f>
        <v>-11.3363480935152</v>
      </c>
      <c r="J10" s="0" t="n">
        <f aca="false">-J6*J9/100</f>
        <v>-11.6764385363206</v>
      </c>
      <c r="K10" s="0" t="n">
        <f aca="false">-K6*K9/100</f>
        <v>-12.0267316924102</v>
      </c>
      <c r="L10" s="0" t="n">
        <f aca="false">-L6*L9/100</f>
        <v>-12.3875336431825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3067.5855466</v>
      </c>
      <c r="D11" s="0" t="n">
        <f aca="false">D8+D10+D24</f>
        <v>3281.701259824</v>
      </c>
      <c r="E11" s="0" t="n">
        <f aca="false">E8+E10+E24</f>
        <v>3541.7692287432</v>
      </c>
      <c r="F11" s="0" t="n">
        <f aca="false">F8+F10+F24</f>
        <v>3819.63974140476</v>
      </c>
      <c r="G11" s="0" t="n">
        <f aca="false">G8+G10+G24</f>
        <v>3991.52352976797</v>
      </c>
      <c r="H11" s="0" t="n">
        <f aca="false">H8+H10+H24</f>
        <v>4151.18447095869</v>
      </c>
      <c r="I11" s="0" t="n">
        <f aca="false">I8+I10+I24</f>
        <v>4296.47592744225</v>
      </c>
      <c r="J11" s="0" t="n">
        <f aca="false">J8+J10+J24</f>
        <v>4425.37020526552</v>
      </c>
      <c r="K11" s="0" t="n">
        <f aca="false">K8+K10+K24</f>
        <v>4558.13131142348</v>
      </c>
      <c r="L11" s="0" t="n">
        <f aca="false">L8+L10+L24</f>
        <v>4694.87525076619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-738.3300456</v>
      </c>
      <c r="D12" s="4" t="n">
        <f aca="false">-D6*Assumptions!D45/100</f>
        <v>-786.145705696</v>
      </c>
      <c r="E12" s="4" t="n">
        <f aca="false">-E6*Assumptions!E45/100</f>
        <v>-825.4529909808</v>
      </c>
      <c r="F12" s="4" t="n">
        <f aca="false">-F6*Assumptions!F45/100</f>
        <v>-866.72564052984</v>
      </c>
      <c r="G12" s="4" t="n">
        <f aca="false">-G6*Assumptions!G45/100</f>
        <v>-905.728294353683</v>
      </c>
      <c r="H12" s="4" t="n">
        <f aca="false">-H6*Assumptions!H45/100</f>
        <v>-941.95742612783</v>
      </c>
      <c r="I12" s="4" t="n">
        <f aca="false">-I6*Assumptions!I45/100</f>
        <v>-974.925936042304</v>
      </c>
      <c r="J12" s="4" t="n">
        <f aca="false">-J6*Assumptions!J45/100</f>
        <v>-1004.17371412357</v>
      </c>
      <c r="K12" s="4" t="n">
        <f aca="false">-K6*Assumptions!K45/100</f>
        <v>-1034.29892554728</v>
      </c>
      <c r="L12" s="4" t="n">
        <f aca="false">-L6*Assumptions!L45/100</f>
        <v>-1065.3278933137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2329.255501</v>
      </c>
      <c r="D13" s="0" t="n">
        <f aca="false">D11+D12</f>
        <v>2495.555554128</v>
      </c>
      <c r="E13" s="0" t="n">
        <f aca="false">E11+E12</f>
        <v>2716.3162377624</v>
      </c>
      <c r="F13" s="0" t="n">
        <f aca="false">F11+F12</f>
        <v>2952.91410087492</v>
      </c>
      <c r="G13" s="0" t="n">
        <f aca="false">G11+G12</f>
        <v>3085.79523541429</v>
      </c>
      <c r="H13" s="0" t="n">
        <f aca="false">H11+H12</f>
        <v>3209.22704483086</v>
      </c>
      <c r="I13" s="0" t="n">
        <f aca="false">I11+I12</f>
        <v>3321.54999139994</v>
      </c>
      <c r="J13" s="0" t="n">
        <f aca="false">J11+J12</f>
        <v>3421.19649114194</v>
      </c>
      <c r="K13" s="0" t="n">
        <f aca="false">K11+K12</f>
        <v>3523.8323858762</v>
      </c>
      <c r="L13" s="0" t="n">
        <f aca="false">L11+L12</f>
        <v>3629.54735745249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19.5</v>
      </c>
      <c r="D14" s="4" t="n">
        <f aca="false">Assumptions!D47</f>
        <v>19.5</v>
      </c>
      <c r="E14" s="4" t="n">
        <f aca="false">Assumptions!E47</f>
        <v>19.5</v>
      </c>
      <c r="F14" s="4" t="n">
        <f aca="false">Assumptions!F47</f>
        <v>19.5</v>
      </c>
      <c r="G14" s="4" t="n">
        <f aca="false">Assumptions!G47</f>
        <v>19.5</v>
      </c>
      <c r="H14" s="4" t="n">
        <f aca="false">Assumptions!H47</f>
        <v>19.5</v>
      </c>
      <c r="I14" s="4" t="n">
        <f aca="false">Assumptions!I47</f>
        <v>19.5</v>
      </c>
      <c r="J14" s="4" t="n">
        <f aca="false">Assumptions!J47</f>
        <v>19.5</v>
      </c>
      <c r="K14" s="4" t="n">
        <f aca="false">Assumptions!K47</f>
        <v>19.5</v>
      </c>
      <c r="L14" s="4" t="n">
        <f aca="false">Assumptions!L47</f>
        <v>19.5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1875.050678305</v>
      </c>
      <c r="D15" s="0" t="n">
        <f aca="false">D13-MAX(0,D13)*D14/100</f>
        <v>2008.92222107304</v>
      </c>
      <c r="E15" s="0" t="n">
        <f aca="false">E13-MAX(0,E13)*E14/100</f>
        <v>2186.63457139873</v>
      </c>
      <c r="F15" s="0" t="n">
        <f aca="false">F13-MAX(0,F13)*F14/100</f>
        <v>2377.09585120431</v>
      </c>
      <c r="G15" s="0" t="n">
        <f aca="false">G13-MAX(0,G13)*G14/100</f>
        <v>2484.06516450851</v>
      </c>
      <c r="H15" s="0" t="n">
        <f aca="false">H13-MAX(0,H13)*H14/100</f>
        <v>2583.42777108885</v>
      </c>
      <c r="I15" s="0" t="n">
        <f aca="false">I13-MAX(0,I13)*I14/100</f>
        <v>2673.84774307695</v>
      </c>
      <c r="J15" s="0" t="n">
        <f aca="false">J13-MAX(0,J13)*J14/100</f>
        <v>2754.06317536926</v>
      </c>
      <c r="K15" s="0" t="n">
        <f aca="false">K13-MAX(0,K13)*K14/100</f>
        <v>2836.68507063034</v>
      </c>
      <c r="L15" s="0" t="n">
        <f aca="false">L13-MAX(0,L13)*L14/100</f>
        <v>2921.78562274925</v>
      </c>
    </row>
    <row r="16" customFormat="false" ht="15" hidden="false" customHeight="false" outlineLevel="0" collapsed="false">
      <c r="A16" s="0" t="s">
        <v>118</v>
      </c>
      <c r="C16" s="0" t="n">
        <f aca="false">-C12</f>
        <v>738.3300456</v>
      </c>
      <c r="D16" s="0" t="n">
        <f aca="false">-D12</f>
        <v>786.145705696</v>
      </c>
      <c r="E16" s="0" t="n">
        <f aca="false">-E12</f>
        <v>825.4529909808</v>
      </c>
      <c r="F16" s="0" t="n">
        <f aca="false">-F12</f>
        <v>866.72564052984</v>
      </c>
      <c r="G16" s="0" t="n">
        <f aca="false">-G12</f>
        <v>905.728294353683</v>
      </c>
      <c r="H16" s="0" t="n">
        <f aca="false">-H12</f>
        <v>941.95742612783</v>
      </c>
      <c r="I16" s="0" t="n">
        <f aca="false">-I12</f>
        <v>974.925936042304</v>
      </c>
      <c r="J16" s="0" t="n">
        <f aca="false">-J12</f>
        <v>1004.17371412357</v>
      </c>
      <c r="K16" s="0" t="n">
        <f aca="false">-K12</f>
        <v>1034.29892554728</v>
      </c>
      <c r="L16" s="0" t="n">
        <f aca="false">-L12</f>
        <v>1065.3278933137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-966.860774</v>
      </c>
      <c r="D17" s="4" t="n">
        <f aca="false">-D6*Assumptions!D46/100</f>
        <v>-1005.53520496</v>
      </c>
      <c r="E17" s="4" t="n">
        <f aca="false">-E6*Assumptions!E46/100</f>
        <v>-1055.811965208</v>
      </c>
      <c r="F17" s="4" t="n">
        <f aca="false">-F6*Assumptions!F46/100</f>
        <v>-1108.6025634684</v>
      </c>
      <c r="G17" s="4" t="n">
        <f aca="false">-G6*Assumptions!G46/100</f>
        <v>-1158.48967882448</v>
      </c>
      <c r="H17" s="4" t="n">
        <f aca="false">-H6*Assumptions!H46/100</f>
        <v>-1204.82926597746</v>
      </c>
      <c r="I17" s="4" t="n">
        <f aca="false">-I6*Assumptions!I46/100</f>
        <v>-1246.99829028667</v>
      </c>
      <c r="J17" s="4" t="n">
        <f aca="false">-J6*Assumptions!J46/100</f>
        <v>-1284.40823899527</v>
      </c>
      <c r="K17" s="4" t="n">
        <f aca="false">-K6*Assumptions!K46/100</f>
        <v>-1322.94048616513</v>
      </c>
      <c r="L17" s="4" t="n">
        <f aca="false">-L6*Assumptions!L46/100</f>
        <v>-1362.62870075008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-172.50702</v>
      </c>
      <c r="D18" s="4" t="n">
        <f aca="false">(D6-C6)*Assumptions!$B$51/100</f>
        <v>-105.4757208</v>
      </c>
      <c r="E18" s="4" t="n">
        <f aca="false">(E6-D6)*Assumptions!$B$51/100</f>
        <v>-137.11843704</v>
      </c>
      <c r="F18" s="4" t="n">
        <f aca="false">(F6-E6)*Assumptions!$B$51/100</f>
        <v>-143.974358892</v>
      </c>
      <c r="G18" s="4" t="n">
        <f aca="false">(G6-F6)*Assumptions!$B$51/100</f>
        <v>-136.05576915294</v>
      </c>
      <c r="H18" s="4" t="n">
        <f aca="false">(H6-G6)*Assumptions!$B$51/100</f>
        <v>-126.380692235398</v>
      </c>
      <c r="I18" s="4" t="n">
        <f aca="false">(I6-H6)*Assumptions!$B$51/100</f>
        <v>-115.006429934212</v>
      </c>
      <c r="J18" s="4" t="n">
        <f aca="false">(J6-I6)*Assumptions!$B$51/100</f>
        <v>-102.027132841636</v>
      </c>
      <c r="K18" s="4" t="n">
        <f aca="false">(K6-J6)*Assumptions!$B$51/100</f>
        <v>-105.087946826886</v>
      </c>
      <c r="L18" s="4" t="n">
        <f aca="false">(L6-K6)*Assumptions!$B$51/100</f>
        <v>-108.240585231692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1474.012929905</v>
      </c>
      <c r="D19" s="0" t="n">
        <f aca="false">D15+D16+D17+D18</f>
        <v>1684.05700100904</v>
      </c>
      <c r="E19" s="0" t="n">
        <f aca="false">E15+E16+E17+E18</f>
        <v>1819.15716013153</v>
      </c>
      <c r="F19" s="0" t="n">
        <f aca="false">F15+F16+F17+F18</f>
        <v>1991.24456937375</v>
      </c>
      <c r="G19" s="0" t="n">
        <f aca="false">G15+G16+G17+G18</f>
        <v>2095.24801088477</v>
      </c>
      <c r="H19" s="0" t="n">
        <f aca="false">H15+H16+H17+H18</f>
        <v>2194.17523900382</v>
      </c>
      <c r="I19" s="0" t="n">
        <f aca="false">I15+I16+I17+I18</f>
        <v>2286.76895889838</v>
      </c>
      <c r="J19" s="0" t="n">
        <f aca="false">J15+J16+J17+J18</f>
        <v>2371.80151765593</v>
      </c>
      <c r="K19" s="0" t="n">
        <f aca="false">K15+K16+K17+K18</f>
        <v>2442.95556318561</v>
      </c>
      <c r="L19" s="0" t="n">
        <f aca="false">L15+L16+L17+L18</f>
        <v>2516.24423008118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1340.01175445909</v>
      </c>
      <c r="D21" s="0" t="n">
        <f aca="false">D19*D20</f>
        <v>1391.78264546202</v>
      </c>
      <c r="E21" s="0" t="n">
        <f aca="false">E19*E20</f>
        <v>1366.7596995729</v>
      </c>
      <c r="F21" s="0" t="n">
        <f aca="false">F19*F20</f>
        <v>1360.0468338049</v>
      </c>
      <c r="G21" s="0" t="n">
        <f aca="false">G19*G20</f>
        <v>1300.98416705563</v>
      </c>
      <c r="H21" s="0" t="n">
        <f aca="false">H19*H20</f>
        <v>1238.55472038717</v>
      </c>
      <c r="I21" s="0" t="n">
        <f aca="false">I19*I20</f>
        <v>1173.47405577668</v>
      </c>
      <c r="J21" s="0" t="n">
        <f aca="false">J19*J20</f>
        <v>1106.46291237914</v>
      </c>
      <c r="K21" s="0" t="n">
        <f aca="false">K19*K20</f>
        <v>1036.05163613683</v>
      </c>
      <c r="L21" s="0" t="n">
        <f aca="false">L19*L20</f>
        <v>970.121077473576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12284.2495025079</v>
      </c>
    </row>
    <row r="31" customFormat="false" ht="15" hidden="false" customHeight="false" outlineLevel="0" collapsed="false">
      <c r="A31" s="0" t="s">
        <v>127</v>
      </c>
      <c r="B31" s="0" t="n">
        <f aca="false">L19</f>
        <v>2516.24423008118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34388.6711444428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30194.9307609741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30194.9307609741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11641.4529296829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23925.7024321909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21794.2024321909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5.61894511877455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1.46986598627453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63.5031811743258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65.2710497390584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5.65214547737753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20633.2026866657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3.3001349267426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2.44881938948425</v>
      </c>
      <c r="C4" s="0" t="n">
        <f aca="false">B4/Assumptions!$B$2-1</f>
        <v>0.0764041272458251</v>
      </c>
      <c r="D4" s="4" t="n">
        <f aca="false">Assumptions!$B$24</f>
        <v>0.3</v>
      </c>
      <c r="E4" s="4" t="n">
        <f aca="false">DCF_Bear!$B$43</f>
        <v>2.47107309473188</v>
      </c>
      <c r="F4" s="4" t="n">
        <f aca="false">DCF_Bear!$B$47</f>
        <v>1.3929800663093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4.06975972042945</v>
      </c>
      <c r="C5" s="0" t="n">
        <f aca="false">B5/Assumptions!$B$2-1</f>
        <v>0.788905371617341</v>
      </c>
      <c r="D5" s="4" t="n">
        <f aca="false">Assumptions!$B$38</f>
        <v>0.5</v>
      </c>
      <c r="E5" s="4" t="n">
        <f aca="false">DCF_Base!$B$43</f>
        <v>4.09781033721318</v>
      </c>
      <c r="F5" s="4" t="n">
        <f aca="false">DCF_Base!$B$47</f>
        <v>2.34361429589345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5.61894511877455</v>
      </c>
      <c r="C6" s="0" t="n">
        <f aca="false">B6/Assumptions!$B$2-1</f>
        <v>1.46986598627453</v>
      </c>
      <c r="D6" s="4" t="n">
        <f aca="false">Assumptions!$B$52</f>
        <v>0.2</v>
      </c>
      <c r="E6" s="4" t="n">
        <f aca="false">DCF_Bull!$B$43</f>
        <v>5.65214547737753</v>
      </c>
      <c r="F6" s="4" t="n">
        <f aca="false">DCF_Bull!$B$47</f>
        <v>3.3001349267426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3.89331470081491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3.92065619250166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0.415665011738245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2.24972815318803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4.39155084161453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4.06975972042945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3.66595194014748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3.23560782070707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2.34361429589345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4.74363915478983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4.74363915478983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4.74363915478983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4.74363915478983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4.74363915478983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4.39155084161453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4.39155084161453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4.39155084161453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4.39155084161453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4.39155084161453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3.93010671685334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4.05919772856235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4.06975972042945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4.06975972042945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4.06975972042945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3.463662932844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3.5594840415667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3.66595194014748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3.77529734950072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3.77529734950072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3.08293324824345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3.15563542560708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3.23560782070707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3.3239983626597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3.42221007594039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2026-10-17T00:57:29Z</dcterms:created>
  <dc:creator>openpyxl</dc:creator>
  <dc:description/>
  <dc:language>en-NZ</dc:language>
  <cp:lastModifiedBy/>
  <dcterms:modified xsi:type="dcterms:W3CDTF">2026-10-17T00:57:29Z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