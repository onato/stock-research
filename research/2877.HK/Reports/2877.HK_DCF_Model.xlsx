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<sst xmlns="http://schemas.openxmlformats.org/spreadsheetml/2006/main" count="353" uniqueCount="163">
  <si>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</si>
  <si>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2877.HK</t>
  </si>
  <si>
    <t xml:space="preserve">Company</t>
  </si>
  <si>
    <t xml:space="preserve">China Shineway Pharmaceutical Group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</si>
  <si>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</si>
  <si>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</si>
  <si>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</si>
  <si>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</si>
  <si>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2026-10-22T06:05:12Z (HKEX afternoon session, intraday regular trading; 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</si>
  <si>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</si>
  <si>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</si>
  <si>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</si>
  <si>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</si>
  <si>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</si>
  <si>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</si>
  <si>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</si>
  <si>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</si>
  <si>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</si>
  <si>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</si>
  <si>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</si>
  <si>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</si>
  <si>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</si>
  <si>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2026-10-22T06:27:19Z</t>
  </si>
  <si>
    <t xml:space="preserve">Drivers file</t>
  </si>
  <si>
    <t xml:space="preserve">2877.HK_Drivers.json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</si>
  <si>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</si>
  <si>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</si>
  <si>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</si>
  <si>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At the current price (inputs.price_as_of) the market capitalisation (RMB4.65bn) is 64% of net cash (RMB7.23bn) -- the operating business is priced at a negative enterprise value. The DCF therefore reads as 'cash minus withholding tax plus a shrunken TCM stub', and every scenario lands above the price; the finding is not that the stub is undervalued but that the market applies a ~40% haircut to PRC-held cash and a controlling-shareholder structure. We do not apply that haircut: the cash is in bank deposits earning ~3% (interest RMB216m on an average ~RMB6.9bn balance ties), RMB1.23/share of 2026 dividends (RMB929m, more than the trailing year's profit) are being paid out of it, and the 5% repatriation WHT is charged explicitly in the equity bridge. Risk is charged once -- in the driver paths and a 30% bear weight -- not stacked into the discount rate. SBC-zero filer: house and street bases coincide and band_position is null.
key_risks_to_valuation: Cash accessibility: ~RMB7.5bn is held in PRC subsidiaries under a 66% controlling shareholder; if distributions stopped or the cash were redeployed into low-return 'financial products' or acquisitions, the bridge value would not reach minority holders; Revenue has no visible floor yet: H1-2026 -28.5% with every product line declining; the base case assumes the trough is FY2028-29 at two-thirds of FY2025, which is a judgment, not guidance; Enterprise development funds (~RMB150-170m/yr, ~5% of revenue, ~15-20% of operating EBITDA) are discretionary Hebei policy support kept inside the margin path; Falling PRC deposit rates reduce investment income, which the model excludes from the flows but which funds the dividend in the near term; Trust-held 71.6m shares (8.7% of the 827m issued) could be awarded, cutting per-share values by 8.7%; CNY/HKD rate: a 5% CNY depreciation moves every HKD per-share value by 5%</t>
  </si>
  <si>
    <t xml:space="preserve">Data sources</t>
  </si>
  <si>
    <t xml:space="preserve">price: Yahoo Finance chart API, HKD, at inputs.price_as_of; 52-week range 7.12-10.47. FX from Yahoo CNYHKD=X at the same time, triangulated against USDCNY and USDHKD.
financials: 2877.HK_Metrics.csv (CNY millions, FY2018-FY2025 + H1-2023..H1-2026) and the FY2025 annual report / H1-2026 interim report text in Extracted/ for the income-statement composition, tax note 10, bank borrowings note 23, share award scheme (p.34), investment income note 6/4 and the cash-flow classification of interest received.
qualitative: 2877.HK_Analysis.json (2026-10-22): VBP/NHSA policy pressure, pipeline (Sailuotong, JC Capsule, classic prescriptions), 2026 Essential Drugs List expansion, bull/bear axes.</t>
  </si>
  <si>
    <t xml:space="preserve">Scenario narrative: bear</t>
  </si>
  <si>
    <t xml:space="preserve">Injections are restricted by the NMPA re-evaluation, further provincial VBP alliances cut granule prices again, the subsidy is withdrawn and the business halves with 20% margins. Even so the cash floor holds: the bear value remains above the current price because the price is below net cash.</t>
  </si>
  <si>
    <t xml:space="preserve">Scenario narrative: base</t>
  </si>
  <si>
    <t xml:space="preserve">Policy reset, then a flat-to-low-growth TCM business sitting on a cash pile. The axes are (1) how far VBP/NHSA cost control cuts injection and formula-granule prices before the reset is complete, (2) whether the S&amp;D cost base that fell 52% in H1-2026 stays down, (3) whether the Hebei enterprise development funds persist, and (4) whether the cash (RMB9.57/share net, 1.3x the market cap) keeps being returned as dividends. Base: revenue troughs around RMB2.1bn in FY2028-29 (two-thirds of FY2025), EBITDA settles at 28%, and the business is worth its cash plus a modest operating stub.</t>
  </si>
  <si>
    <t xml:space="preserve">Scenario narrative: bull</t>
  </si>
  <si>
    <t xml:space="preserve">Price resets finish in 2026, the Essential Drugs List expansion and two exclusive new drugs re-grow oral products from FY2028, consolidation lets Shineway hold formula-granule prices, and structural S&amp;D savings keep margins at 32%.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</si>
  <si>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</si>
  <si>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</si>
  <si>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</si>
  <si>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</si>
  <si>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</si>
  <si>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</si>
  <si>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</si>
  <si>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</si>
  <si>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</si>
  <si>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</si>
  <si>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</si>
  <si>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</si>
  <si>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</si>
  <si>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</si>
  <si>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</si>
  <si>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</si>
  <si>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</si>
  <si>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</si>
  <si>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</si>
  <si>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</si>
  <si>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</si>
  <si>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</si>
  <si>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</si>
  <si>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</si>
  <si>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</si>
  <si>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</si>
  <si>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</si>
  <si>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</si>
  <si>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</si>
  <si>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</si>
  <si>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</si>
  <si>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</si>
  <si>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</si>
  <si>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</si>
  <si>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</si>
  <si>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</si>
  <si>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</si>
  <si>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</si>
  <si>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</si>
  <si>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</si>
  <si>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</si>
  <si>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</si>
  <si>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</si>
  <si>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</si>
  <si>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</si>
  <si>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</si>
  <si>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</si>
  <si>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</si>
  <si>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</si>
  <si>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</si>
  <si>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</si>
  <si>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</si>
  <si>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</si>
  <si>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</si>
  <si>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</si>
  <si>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</si>
  <si>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</si>
  <si>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</si>
  <si>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</si>
  <si>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</si>
  <si>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</si>
  <si>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</si>
  <si>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</si>
  <si>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</si>
  <si>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</si>
  <si>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</si>
  <si>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</si>
  <si>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</si>
  <si>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</si>
  <si>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</si>
  <si>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</si>
  <si>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</si>
  <si>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2877.HK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</si>
  <si>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</si>
  <si>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</si>
  <si>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</si>
  <si>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</si>
  <si>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</si>
  <si>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</si>
  <si>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</si>
  <si>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</si>
  <si>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</si>
  <si>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</si>
  <si>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</si>
  <si>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</si>
  <si>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</si>
  <si>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</si>
  <si>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</si>
  <si>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</si>
  <si>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</si>
  <si>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</si>
  <si>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</si>
  <si>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</si>
  <si>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</si>
  <si>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</si>
  <si>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</si>
  <si>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</si>
  <si>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</si>
  <si>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</si>
  <si>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</si>
  <si>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</si>
  <si>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</si>
  <si>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</si>
  <si>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2877.HK owner-FCF component DCF: base case (millions, CNY)</t>
  </si>
  <si>
    <t xml:space="preserve">2877.HK owner-FCF component DCF: bull case (millions, CNY)</t>
  </si>
  <si>
    <t xml:space="preserve">2877.HK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</si>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</sst>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7.24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2570.196</v>
      </c>
      <c r="C2" s="0" t="n">
        <v>694.149</v>
      </c>
      <c r="D2" s="0" t="n">
        <v>1876.047</v>
      </c>
      <c r="E2" s="0" t="n">
        <v>73</v>
      </c>
      <c r="I2" s="0" t="n">
        <v>505.876</v>
      </c>
      <c r="J2" s="0" t="n">
        <v>19.7</v>
      </c>
      <c r="K2" s="0" t="n">
        <v>0.6185</v>
      </c>
      <c r="L2" s="0" t="n">
        <v>532.586</v>
      </c>
      <c r="M2" s="0" t="n">
        <v>127.337</v>
      </c>
      <c r="N2" s="0" t="n">
        <v>405.249</v>
      </c>
      <c r="O2" s="0" t="n">
        <v>5765.781</v>
      </c>
      <c r="P2" s="0" t="n">
        <v>6731.791</v>
      </c>
      <c r="Q2" s="0" t="n">
        <v>966.01</v>
      </c>
      <c r="R2" s="0" t="n">
        <v>0</v>
      </c>
      <c r="S2" s="0" t="n">
        <v>3611.485</v>
      </c>
      <c r="T2" s="0" t="n">
        <v>817.862</v>
      </c>
      <c r="U2" s="0" t="n">
        <v>4.391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2705.996</v>
      </c>
      <c r="C3" s="0" t="n">
        <v>724.431</v>
      </c>
      <c r="D3" s="0" t="n">
        <v>1981.565</v>
      </c>
      <c r="E3" s="0" t="n">
        <v>73.2</v>
      </c>
      <c r="I3" s="0" t="n">
        <v>503.15</v>
      </c>
      <c r="J3" s="0" t="n">
        <v>18.6</v>
      </c>
      <c r="K3" s="0" t="n">
        <v>0.6443</v>
      </c>
      <c r="L3" s="0" t="n">
        <v>367.996</v>
      </c>
      <c r="M3" s="0" t="n">
        <v>88.402</v>
      </c>
      <c r="N3" s="0" t="n">
        <v>279.594</v>
      </c>
      <c r="O3" s="0" t="n">
        <v>5776.927</v>
      </c>
      <c r="P3" s="0" t="n">
        <v>7131.341</v>
      </c>
      <c r="Q3" s="0" t="n">
        <v>1354.414</v>
      </c>
      <c r="R3" s="0" t="n">
        <v>404.537</v>
      </c>
      <c r="S3" s="0" t="n">
        <v>3946.006</v>
      </c>
      <c r="T3" s="0" t="n">
        <v>780.947</v>
      </c>
      <c r="U3" s="0" t="n">
        <v>1.087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2655.701</v>
      </c>
      <c r="C4" s="0" t="n">
        <v>667.855</v>
      </c>
      <c r="D4" s="0" t="n">
        <v>1987.846</v>
      </c>
      <c r="E4" s="0" t="n">
        <v>74.9</v>
      </c>
      <c r="I4" s="0" t="n">
        <v>295.033</v>
      </c>
      <c r="J4" s="0" t="n">
        <v>11.1</v>
      </c>
      <c r="K4" s="0" t="n">
        <v>0.3899</v>
      </c>
      <c r="L4" s="0" t="n">
        <v>638.566</v>
      </c>
      <c r="M4" s="0" t="n">
        <v>66.027</v>
      </c>
      <c r="N4" s="0" t="n">
        <v>572.539</v>
      </c>
      <c r="O4" s="0" t="n">
        <v>5794.182</v>
      </c>
      <c r="P4" s="0" t="n">
        <v>7213.508</v>
      </c>
      <c r="Q4" s="0" t="n">
        <v>1419.326</v>
      </c>
      <c r="R4" s="0" t="n">
        <v>392.138</v>
      </c>
      <c r="S4" s="0" t="n">
        <v>3943.01</v>
      </c>
      <c r="T4" s="0" t="n">
        <v>756.747</v>
      </c>
      <c r="U4" s="0" t="n">
        <v>0.131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3223.55</v>
      </c>
      <c r="C5" s="0" t="n">
        <v>813.214</v>
      </c>
      <c r="D5" s="0" t="n">
        <v>2410.336</v>
      </c>
      <c r="E5" s="0" t="n">
        <v>74.8</v>
      </c>
      <c r="I5" s="0" t="n">
        <v>556.674</v>
      </c>
      <c r="J5" s="0" t="n">
        <v>17.3</v>
      </c>
      <c r="K5" s="0" t="n">
        <v>0.7372</v>
      </c>
      <c r="L5" s="0" t="n">
        <v>703.15</v>
      </c>
      <c r="M5" s="0" t="n">
        <v>93.633</v>
      </c>
      <c r="N5" s="0" t="n">
        <v>609.517</v>
      </c>
      <c r="O5" s="0" t="n">
        <v>5901.481</v>
      </c>
      <c r="P5" s="0" t="n">
        <v>7203.958</v>
      </c>
      <c r="Q5" s="0" t="n">
        <v>1302.477</v>
      </c>
      <c r="R5" s="0" t="n">
        <v>14.911</v>
      </c>
      <c r="S5" s="0" t="n">
        <v>4205.722</v>
      </c>
      <c r="T5" s="0" t="n">
        <v>755.141</v>
      </c>
      <c r="U5" s="0" t="n">
        <v>0.034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3950.636</v>
      </c>
      <c r="C6" s="0" t="n">
        <v>1012.322</v>
      </c>
      <c r="D6" s="0" t="n">
        <v>2938.314</v>
      </c>
      <c r="E6" s="0" t="n">
        <v>74.4</v>
      </c>
      <c r="I6" s="0" t="n">
        <v>722.773</v>
      </c>
      <c r="J6" s="0" t="n">
        <v>18.3</v>
      </c>
      <c r="K6" s="0" t="n">
        <v>0.9568</v>
      </c>
      <c r="L6" s="0" t="n">
        <v>1109.676</v>
      </c>
      <c r="M6" s="0" t="n">
        <v>129.463</v>
      </c>
      <c r="N6" s="0" t="n">
        <v>980.213</v>
      </c>
      <c r="O6" s="0" t="n">
        <v>6382.526</v>
      </c>
      <c r="P6" s="0" t="n">
        <v>8231.861</v>
      </c>
      <c r="Q6" s="0" t="n">
        <v>1849.335</v>
      </c>
      <c r="R6" s="0" t="n">
        <v>7.442</v>
      </c>
      <c r="S6" s="0" t="n">
        <v>5026.265</v>
      </c>
      <c r="T6" s="0" t="n">
        <v>755.4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4516.538</v>
      </c>
      <c r="C7" s="0" t="n">
        <v>1122.419</v>
      </c>
      <c r="D7" s="0" t="n">
        <v>3394.119</v>
      </c>
      <c r="E7" s="0" t="n">
        <v>75.1</v>
      </c>
      <c r="I7" s="0" t="n">
        <v>969.51</v>
      </c>
      <c r="J7" s="0" t="n">
        <v>21.5</v>
      </c>
      <c r="K7" s="0" t="n">
        <v>1.2834</v>
      </c>
      <c r="L7" s="0" t="n">
        <v>932.635</v>
      </c>
      <c r="M7" s="0" t="n">
        <v>144.325</v>
      </c>
      <c r="N7" s="0" t="n">
        <v>788.31</v>
      </c>
      <c r="O7" s="0" t="n">
        <v>7034.768</v>
      </c>
      <c r="P7" s="0" t="n">
        <v>9573.993</v>
      </c>
      <c r="Q7" s="0" t="n">
        <v>2539.225</v>
      </c>
      <c r="R7" s="0" t="n">
        <v>301.326</v>
      </c>
      <c r="S7" s="0" t="n">
        <v>5888.776</v>
      </c>
      <c r="T7" s="0" t="n">
        <v>755.4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3778.043</v>
      </c>
      <c r="C8" s="0" t="n">
        <v>946.294</v>
      </c>
      <c r="D8" s="0" t="n">
        <v>2831.749</v>
      </c>
      <c r="E8" s="0" t="n">
        <v>75</v>
      </c>
      <c r="I8" s="0" t="n">
        <v>840.052</v>
      </c>
      <c r="J8" s="0" t="n">
        <v>22.2</v>
      </c>
      <c r="K8" s="0" t="n">
        <v>1.1121</v>
      </c>
      <c r="L8" s="0" t="n">
        <v>963.135</v>
      </c>
      <c r="M8" s="0" t="n">
        <v>140.112</v>
      </c>
      <c r="N8" s="0" t="n">
        <v>823.023</v>
      </c>
      <c r="O8" s="0" t="n">
        <v>7466.904</v>
      </c>
      <c r="P8" s="0" t="n">
        <v>10041.53</v>
      </c>
      <c r="Q8" s="0" t="n">
        <v>2574.626</v>
      </c>
      <c r="R8" s="0" t="n">
        <v>346.527</v>
      </c>
      <c r="S8" s="0" t="n">
        <v>6140.153</v>
      </c>
      <c r="T8" s="0" t="n">
        <v>755.4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3135.419</v>
      </c>
      <c r="C9" s="0" t="n">
        <v>869.212</v>
      </c>
      <c r="D9" s="0" t="n">
        <v>2266.207</v>
      </c>
      <c r="E9" s="0" t="n">
        <v>72.3</v>
      </c>
      <c r="I9" s="0" t="n">
        <v>949.948</v>
      </c>
      <c r="J9" s="0" t="n">
        <v>30.3</v>
      </c>
      <c r="K9" s="0" t="n">
        <v>1.2576</v>
      </c>
      <c r="L9" s="0" t="n">
        <v>1172.033</v>
      </c>
      <c r="M9" s="0" t="n">
        <v>197.905</v>
      </c>
      <c r="N9" s="0" t="n">
        <v>974.128</v>
      </c>
      <c r="O9" s="0" t="n">
        <v>8061.814</v>
      </c>
      <c r="P9" s="0" t="n">
        <v>10777.135</v>
      </c>
      <c r="Q9" s="0" t="n">
        <v>2715.321</v>
      </c>
      <c r="R9" s="0" t="n">
        <v>334.902</v>
      </c>
      <c r="S9" s="0" t="n">
        <v>7189.047</v>
      </c>
      <c r="T9" s="0" t="n">
        <v>755.4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7.24</v>
      </c>
    </row>
    <row r="3" customFormat="false" ht="15" hidden="false" customHeight="false" outlineLevel="0" collapsed="false">
      <c r="A3" s="0" t="s">
        <v>75</v>
      </c>
      <c r="B3" s="3" t="n">
        <v>755.4</v>
      </c>
    </row>
    <row r="4" customFormat="false" ht="15" hidden="false" customHeight="false" outlineLevel="0" collapsed="false">
      <c r="A4" s="0" t="s">
        <v>76</v>
      </c>
      <c r="B4" s="3" t="n">
        <v>-7226.073</v>
      </c>
    </row>
    <row r="5" customFormat="false" ht="15" hidden="false" customHeight="false" outlineLevel="0" collapsed="false">
      <c r="A5" s="0" t="s">
        <v>77</v>
      </c>
      <c r="B5" s="3" t="n">
        <v>-313.3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3135.419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1.1749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-30</v>
      </c>
      <c r="D13" s="3" t="n">
        <v>-18</v>
      </c>
      <c r="E13" s="3" t="n">
        <v>-10</v>
      </c>
      <c r="F13" s="3" t="n">
        <v>-5</v>
      </c>
      <c r="G13" s="3" t="n">
        <v>-3</v>
      </c>
      <c r="H13" s="3" t="n">
        <v>-2</v>
      </c>
      <c r="I13" s="3" t="n">
        <v>-1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96</v>
      </c>
      <c r="C14" s="3" t="n">
        <v>32</v>
      </c>
      <c r="D14" s="3" t="n">
        <v>27</v>
      </c>
      <c r="E14" s="3" t="n">
        <v>24</v>
      </c>
      <c r="F14" s="3" t="n">
        <v>22</v>
      </c>
      <c r="G14" s="3" t="n">
        <v>21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6.5</v>
      </c>
      <c r="D17" s="3" t="n">
        <v>7.5</v>
      </c>
      <c r="E17" s="3" t="n">
        <v>8</v>
      </c>
      <c r="F17" s="3" t="n">
        <v>8.5</v>
      </c>
      <c r="G17" s="3" t="n">
        <v>8.5</v>
      </c>
      <c r="H17" s="3" t="n">
        <v>8.5</v>
      </c>
      <c r="I17" s="3" t="n">
        <v>8.5</v>
      </c>
      <c r="J17" s="3" t="n">
        <v>8.5</v>
      </c>
      <c r="K17" s="3" t="n">
        <v>8.5</v>
      </c>
      <c r="L17" s="3" t="n">
        <v>8.5</v>
      </c>
    </row>
    <row r="18" customFormat="false" ht="15" hidden="false" customHeight="false" outlineLevel="0" collapsed="false">
      <c r="A18" s="0" t="s">
        <v>100</v>
      </c>
      <c r="C18" s="3" t="n">
        <v>7</v>
      </c>
      <c r="D18" s="3" t="n">
        <v>7</v>
      </c>
      <c r="E18" s="3" t="n">
        <v>7</v>
      </c>
      <c r="F18" s="3" t="n">
        <v>7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101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0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-26</v>
      </c>
      <c r="D27" s="3" t="n">
        <v>-10</v>
      </c>
      <c r="E27" s="3" t="n">
        <v>-3</v>
      </c>
      <c r="F27" s="3" t="n">
        <v>0</v>
      </c>
      <c r="G27" s="3" t="n">
        <v>1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96</v>
      </c>
      <c r="C28" s="3" t="n">
        <v>36</v>
      </c>
      <c r="D28" s="3" t="n">
        <v>33</v>
      </c>
      <c r="E28" s="3" t="n">
        <v>31</v>
      </c>
      <c r="F28" s="3" t="n">
        <v>30</v>
      </c>
      <c r="G28" s="3" t="n">
        <v>29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6.5</v>
      </c>
      <c r="D31" s="3" t="n">
        <v>7</v>
      </c>
      <c r="E31" s="3" t="n">
        <v>7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100</v>
      </c>
      <c r="C32" s="3" t="n">
        <v>7</v>
      </c>
      <c r="D32" s="3" t="n">
        <v>6.5</v>
      </c>
      <c r="E32" s="3" t="n">
        <v>6.5</v>
      </c>
      <c r="F32" s="3" t="n">
        <v>6.5</v>
      </c>
      <c r="G32" s="3" t="n">
        <v>6.5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1.5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-22</v>
      </c>
      <c r="D41" s="3" t="n">
        <v>-3</v>
      </c>
      <c r="E41" s="3" t="n">
        <v>4</v>
      </c>
      <c r="F41" s="3" t="n">
        <v>5</v>
      </c>
      <c r="G41" s="3" t="n">
        <v>4</v>
      </c>
      <c r="H41" s="3" t="n">
        <v>3</v>
      </c>
      <c r="I41" s="3" t="n">
        <v>3</v>
      </c>
      <c r="J41" s="3" t="n">
        <v>2.5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96</v>
      </c>
      <c r="C42" s="3" t="n">
        <v>39</v>
      </c>
      <c r="D42" s="3" t="n">
        <v>36</v>
      </c>
      <c r="E42" s="3" t="n">
        <v>34</v>
      </c>
      <c r="F42" s="3" t="n">
        <v>33</v>
      </c>
      <c r="G42" s="3" t="n">
        <v>32</v>
      </c>
      <c r="H42" s="3" t="n">
        <v>32</v>
      </c>
      <c r="I42" s="3" t="n">
        <v>32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6.5</v>
      </c>
      <c r="D45" s="3" t="n">
        <v>6.5</v>
      </c>
      <c r="E45" s="3" t="n">
        <v>6.5</v>
      </c>
      <c r="F45" s="3" t="n">
        <v>6.5</v>
      </c>
      <c r="G45" s="3" t="n">
        <v>6.5</v>
      </c>
      <c r="H45" s="3" t="n">
        <v>6.5</v>
      </c>
      <c r="I45" s="3" t="n">
        <v>6.5</v>
      </c>
      <c r="J45" s="3" t="n">
        <v>6.5</v>
      </c>
      <c r="K45" s="3" t="n">
        <v>6.5</v>
      </c>
      <c r="L45" s="3" t="n">
        <v>6.5</v>
      </c>
    </row>
    <row r="46" customFormat="false" ht="15" hidden="false" customHeight="false" outlineLevel="0" collapsed="false">
      <c r="A46" s="0" t="s">
        <v>100</v>
      </c>
      <c r="C46" s="3" t="n">
        <v>7</v>
      </c>
      <c r="D46" s="3" t="n">
        <v>6.5</v>
      </c>
      <c r="E46" s="3" t="n">
        <v>6.5</v>
      </c>
      <c r="F46" s="3" t="n">
        <v>6.5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101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14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-30</v>
      </c>
      <c r="D5" s="4" t="n">
        <f aca="false">Assumptions!D13</f>
        <v>-18</v>
      </c>
      <c r="E5" s="4" t="n">
        <f aca="false">Assumptions!E13</f>
        <v>-10</v>
      </c>
      <c r="F5" s="4" t="n">
        <f aca="false">Assumptions!F13</f>
        <v>-5</v>
      </c>
      <c r="G5" s="4" t="n">
        <f aca="false">Assumptions!G13</f>
        <v>-3</v>
      </c>
      <c r="H5" s="4" t="n">
        <f aca="false">Assumptions!H13</f>
        <v>-2</v>
      </c>
      <c r="I5" s="4" t="n">
        <f aca="false">Assumptions!I13</f>
        <v>-1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3135.419</v>
      </c>
      <c r="C6" s="0" t="n">
        <f aca="false">B6*(1+C5/100)</f>
        <v>2194.7933</v>
      </c>
      <c r="D6" s="0" t="n">
        <f aca="false">C6*(1+D5/100)</f>
        <v>1799.730506</v>
      </c>
      <c r="E6" s="0" t="n">
        <f aca="false">D6*(1+E5/100)</f>
        <v>1619.7574554</v>
      </c>
      <c r="F6" s="0" t="n">
        <f aca="false">E6*(1+F5/100)</f>
        <v>1538.76958263</v>
      </c>
      <c r="G6" s="0" t="n">
        <f aca="false">F6*(1+G5/100)</f>
        <v>1492.6064951511</v>
      </c>
      <c r="H6" s="0" t="n">
        <f aca="false">G6*(1+H5/100)</f>
        <v>1462.75436524808</v>
      </c>
      <c r="I6" s="0" t="n">
        <f aca="false">H6*(1+I5/100)</f>
        <v>1448.1268215956</v>
      </c>
      <c r="J6" s="0" t="n">
        <f aca="false">I6*(1+J5/100)</f>
        <v>1448.1268215956</v>
      </c>
      <c r="K6" s="0" t="n">
        <f aca="false">J6*(1+K5/100)</f>
        <v>1448.1268215956</v>
      </c>
      <c r="L6" s="0" t="n">
        <f aca="false">K6*(1+L5/100)</f>
        <v>1448.1268215956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32</v>
      </c>
      <c r="D7" s="4" t="n">
        <f aca="false">Assumptions!D14</f>
        <v>27</v>
      </c>
      <c r="E7" s="4" t="n">
        <f aca="false">Assumptions!E14</f>
        <v>24</v>
      </c>
      <c r="F7" s="4" t="n">
        <f aca="false">Assumptions!F14</f>
        <v>22</v>
      </c>
      <c r="G7" s="4" t="n">
        <f aca="false">Assumptions!G14</f>
        <v>21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702.333856</v>
      </c>
      <c r="D8" s="0" t="n">
        <f aca="false">D6*D7/100</f>
        <v>485.92723662</v>
      </c>
      <c r="E8" s="0" t="n">
        <f aca="false">E6*E7/100</f>
        <v>388.741789296</v>
      </c>
      <c r="F8" s="0" t="n">
        <f aca="false">F6*F7/100</f>
        <v>338.5293081786</v>
      </c>
      <c r="G8" s="0" t="n">
        <f aca="false">G6*G7/100</f>
        <v>313.447363981731</v>
      </c>
      <c r="H8" s="0" t="n">
        <f aca="false">H6*H7/100</f>
        <v>292.550873049616</v>
      </c>
      <c r="I8" s="0" t="n">
        <f aca="false">I6*I7/100</f>
        <v>289.625364319119</v>
      </c>
      <c r="J8" s="0" t="n">
        <f aca="false">J6*J7/100</f>
        <v>289.625364319119</v>
      </c>
      <c r="K8" s="0" t="n">
        <f aca="false">K6*K7/100</f>
        <v>289.625364319119</v>
      </c>
      <c r="L8" s="0" t="n">
        <f aca="false">L6*L7/100</f>
        <v>289.625364319119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702.333856</v>
      </c>
      <c r="D11" s="0" t="n">
        <f aca="false">D8+D10+D24</f>
        <v>485.92723662</v>
      </c>
      <c r="E11" s="0" t="n">
        <f aca="false">E8+E10+E24</f>
        <v>388.741789296</v>
      </c>
      <c r="F11" s="0" t="n">
        <f aca="false">F8+F10+F24</f>
        <v>338.5293081786</v>
      </c>
      <c r="G11" s="0" t="n">
        <f aca="false">G8+G10+G24</f>
        <v>313.447363981731</v>
      </c>
      <c r="H11" s="0" t="n">
        <f aca="false">H8+H10+H24</f>
        <v>292.550873049616</v>
      </c>
      <c r="I11" s="0" t="n">
        <f aca="false">I8+I10+I24</f>
        <v>289.625364319119</v>
      </c>
      <c r="J11" s="0" t="n">
        <f aca="false">J8+J10+J24</f>
        <v>289.625364319119</v>
      </c>
      <c r="K11" s="0" t="n">
        <f aca="false">K8+K10+K24</f>
        <v>289.625364319119</v>
      </c>
      <c r="L11" s="0" t="n">
        <f aca="false">L8+L10+L24</f>
        <v>289.625364319119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-142.6615645</v>
      </c>
      <c r="D12" s="4" t="n">
        <f aca="false">-D6*Assumptions!D17/100</f>
        <v>-134.97978795</v>
      </c>
      <c r="E12" s="4" t="n">
        <f aca="false">-E6*Assumptions!E17/100</f>
        <v>-129.580596432</v>
      </c>
      <c r="F12" s="4" t="n">
        <f aca="false">-F6*Assumptions!F17/100</f>
        <v>-130.79541452355</v>
      </c>
      <c r="G12" s="4" t="n">
        <f aca="false">-G6*Assumptions!G17/100</f>
        <v>-126.871552087844</v>
      </c>
      <c r="H12" s="4" t="n">
        <f aca="false">-H6*Assumptions!H17/100</f>
        <v>-124.334121046087</v>
      </c>
      <c r="I12" s="4" t="n">
        <f aca="false">-I6*Assumptions!I17/100</f>
        <v>-123.090779835626</v>
      </c>
      <c r="J12" s="4" t="n">
        <f aca="false">-J6*Assumptions!J17/100</f>
        <v>-123.090779835626</v>
      </c>
      <c r="K12" s="4" t="n">
        <f aca="false">-K6*Assumptions!K17/100</f>
        <v>-123.090779835626</v>
      </c>
      <c r="L12" s="4" t="n">
        <f aca="false">-L6*Assumptions!L17/100</f>
        <v>-123.090779835626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559.6722915</v>
      </c>
      <c r="D13" s="0" t="n">
        <f aca="false">D11+D12</f>
        <v>350.94744867</v>
      </c>
      <c r="E13" s="0" t="n">
        <f aca="false">E11+E12</f>
        <v>259.161192864</v>
      </c>
      <c r="F13" s="0" t="n">
        <f aca="false">F11+F12</f>
        <v>207.73389365505</v>
      </c>
      <c r="G13" s="0" t="n">
        <f aca="false">G11+G12</f>
        <v>186.575811893887</v>
      </c>
      <c r="H13" s="0" t="n">
        <f aca="false">H11+H12</f>
        <v>168.216752003529</v>
      </c>
      <c r="I13" s="0" t="n">
        <f aca="false">I11+I12</f>
        <v>166.534584483494</v>
      </c>
      <c r="J13" s="0" t="n">
        <f aca="false">J11+J12</f>
        <v>166.534584483494</v>
      </c>
      <c r="K13" s="0" t="n">
        <f aca="false">K11+K12</f>
        <v>166.534584483494</v>
      </c>
      <c r="L13" s="0" t="n">
        <f aca="false">L11+L12</f>
        <v>166.534584483494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408.560772795</v>
      </c>
      <c r="D15" s="0" t="n">
        <f aca="false">D13-MAX(0,D13)*D14/100</f>
        <v>256.1916375291</v>
      </c>
      <c r="E15" s="0" t="n">
        <f aca="false">E13-MAX(0,E13)*E14/100</f>
        <v>189.18767079072</v>
      </c>
      <c r="F15" s="0" t="n">
        <f aca="false">F13-MAX(0,F13)*F14/100</f>
        <v>151.645742368187</v>
      </c>
      <c r="G15" s="0" t="n">
        <f aca="false">G13-MAX(0,G13)*G14/100</f>
        <v>136.200342682538</v>
      </c>
      <c r="H15" s="0" t="n">
        <f aca="false">H13-MAX(0,H13)*H14/100</f>
        <v>122.798228962576</v>
      </c>
      <c r="I15" s="0" t="n">
        <f aca="false">I13-MAX(0,I13)*I14/100</f>
        <v>121.57024667295</v>
      </c>
      <c r="J15" s="0" t="n">
        <f aca="false">J13-MAX(0,J13)*J14/100</f>
        <v>121.57024667295</v>
      </c>
      <c r="K15" s="0" t="n">
        <f aca="false">K13-MAX(0,K13)*K14/100</f>
        <v>121.57024667295</v>
      </c>
      <c r="L15" s="0" t="n">
        <f aca="false">L13-MAX(0,L13)*L14/100</f>
        <v>121.57024667295</v>
      </c>
    </row>
    <row r="16" customFormat="false" ht="15" hidden="false" customHeight="false" outlineLevel="0" collapsed="false">
      <c r="A16" s="0" t="s">
        <v>117</v>
      </c>
      <c r="C16" s="0" t="n">
        <f aca="false">-C12</f>
        <v>142.6615645</v>
      </c>
      <c r="D16" s="0" t="n">
        <f aca="false">-D12</f>
        <v>134.97978795</v>
      </c>
      <c r="E16" s="0" t="n">
        <f aca="false">-E12</f>
        <v>129.580596432</v>
      </c>
      <c r="F16" s="0" t="n">
        <f aca="false">-F12</f>
        <v>130.79541452355</v>
      </c>
      <c r="G16" s="0" t="n">
        <f aca="false">-G12</f>
        <v>126.871552087844</v>
      </c>
      <c r="H16" s="0" t="n">
        <f aca="false">-H12</f>
        <v>124.334121046087</v>
      </c>
      <c r="I16" s="0" t="n">
        <f aca="false">-I12</f>
        <v>123.090779835626</v>
      </c>
      <c r="J16" s="0" t="n">
        <f aca="false">-J12</f>
        <v>123.090779835626</v>
      </c>
      <c r="K16" s="0" t="n">
        <f aca="false">-K12</f>
        <v>123.090779835626</v>
      </c>
      <c r="L16" s="0" t="n">
        <f aca="false">-L12</f>
        <v>123.090779835626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-153.635531</v>
      </c>
      <c r="D17" s="4" t="n">
        <f aca="false">-D6*Assumptions!D18/100</f>
        <v>-125.98113542</v>
      </c>
      <c r="E17" s="4" t="n">
        <f aca="false">-E6*Assumptions!E18/100</f>
        <v>-113.383021878</v>
      </c>
      <c r="F17" s="4" t="n">
        <f aca="false">-F6*Assumptions!F18/100</f>
        <v>-107.7138707841</v>
      </c>
      <c r="G17" s="4" t="n">
        <f aca="false">-G6*Assumptions!G18/100</f>
        <v>-104.482454660577</v>
      </c>
      <c r="H17" s="4" t="n">
        <f aca="false">-H6*Assumptions!H18/100</f>
        <v>-102.392805567365</v>
      </c>
      <c r="I17" s="4" t="n">
        <f aca="false">-I6*Assumptions!I18/100</f>
        <v>-101.368877511692</v>
      </c>
      <c r="J17" s="4" t="n">
        <f aca="false">-J6*Assumptions!J18/100</f>
        <v>-101.368877511692</v>
      </c>
      <c r="K17" s="4" t="n">
        <f aca="false">-K6*Assumptions!K18/100</f>
        <v>-101.368877511692</v>
      </c>
      <c r="L17" s="4" t="n">
        <f aca="false">-L6*Assumptions!L18/100</f>
        <v>-101.368877511692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-47.031285</v>
      </c>
      <c r="D18" s="4" t="n">
        <f aca="false">(D6-C6)*Assumptions!$B$23/100</f>
        <v>-19.7531397</v>
      </c>
      <c r="E18" s="4" t="n">
        <f aca="false">(E6-D6)*Assumptions!$B$23/100</f>
        <v>-8.99865252999999</v>
      </c>
      <c r="F18" s="4" t="n">
        <f aca="false">(F6-E6)*Assumptions!$B$23/100</f>
        <v>-4.0493936385</v>
      </c>
      <c r="G18" s="4" t="n">
        <f aca="false">(G6-F6)*Assumptions!$B$23/100</f>
        <v>-2.308154373945</v>
      </c>
      <c r="H18" s="4" t="n">
        <f aca="false">(H6-G6)*Assumptions!$B$23/100</f>
        <v>-1.4926064951511</v>
      </c>
      <c r="I18" s="4" t="n">
        <f aca="false">(I6-H6)*Assumptions!$B$23/100</f>
        <v>-0.731377182624044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350.555521295</v>
      </c>
      <c r="D19" s="0" t="n">
        <f aca="false">D15+D16+D17+D18</f>
        <v>245.4371503591</v>
      </c>
      <c r="E19" s="0" t="n">
        <f aca="false">E15+E16+E17+E18</f>
        <v>196.38659281472</v>
      </c>
      <c r="F19" s="0" t="n">
        <f aca="false">F15+F16+F17+F18</f>
        <v>170.677892469137</v>
      </c>
      <c r="G19" s="0" t="n">
        <f aca="false">G15+G16+G17+G18</f>
        <v>156.281285735859</v>
      </c>
      <c r="H19" s="0" t="n">
        <f aca="false">H15+H16+H17+H18</f>
        <v>143.246937946146</v>
      </c>
      <c r="I19" s="0" t="n">
        <f aca="false">I15+I16+I17+I18</f>
        <v>142.56077181426</v>
      </c>
      <c r="J19" s="0" t="n">
        <f aca="false">J15+J16+J17+J18</f>
        <v>143.292148996884</v>
      </c>
      <c r="K19" s="0" t="n">
        <f aca="false">K15+K16+K17+K18</f>
        <v>143.292148996884</v>
      </c>
      <c r="L19" s="0" t="n">
        <f aca="false">L15+L16+L17+L18</f>
        <v>143.292148996884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321.610569995413</v>
      </c>
      <c r="D21" s="0" t="n">
        <f aca="false">D19*D20</f>
        <v>206.579539061611</v>
      </c>
      <c r="E21" s="0" t="n">
        <f aca="false">E19*E20</f>
        <v>151.646482677006</v>
      </c>
      <c r="F21" s="0" t="n">
        <f aca="false">F19*F20</f>
        <v>120.912521996611</v>
      </c>
      <c r="G21" s="0" t="n">
        <f aca="false">G19*G20</f>
        <v>101.572112690795</v>
      </c>
      <c r="H21" s="0" t="n">
        <f aca="false">H19*H20</f>
        <v>85.4134687727815</v>
      </c>
      <c r="I21" s="0" t="n">
        <f aca="false">I19*I20</f>
        <v>77.9856241536944</v>
      </c>
      <c r="J21" s="0" t="n">
        <f aca="false">J19*J20</f>
        <v>71.9134977233823</v>
      </c>
      <c r="K21" s="0" t="n">
        <f aca="false">K19*K20</f>
        <v>65.9756859847544</v>
      </c>
      <c r="L21" s="0" t="n">
        <f aca="false">L19*L20</f>
        <v>60.5281522795912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1264.13765533564</v>
      </c>
    </row>
    <row r="31" customFormat="false" ht="15" hidden="false" customHeight="false" outlineLevel="0" collapsed="false">
      <c r="A31" s="0" t="s">
        <v>126</v>
      </c>
      <c r="B31" s="0" t="n">
        <f aca="false">L19</f>
        <v>143.292148996884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1592.13498885427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1432.92148996884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1432.92148996884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605.281522795912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1869.41917813155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8782.19217813155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13.6592501854471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0.886636765945736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13.6592501854471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955.280993312562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12.7261408037613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-26</v>
      </c>
      <c r="D5" s="4" t="n">
        <f aca="false">Assumptions!D27</f>
        <v>-10</v>
      </c>
      <c r="E5" s="4" t="n">
        <f aca="false">Assumptions!E27</f>
        <v>-3</v>
      </c>
      <c r="F5" s="4" t="n">
        <f aca="false">Assumptions!F27</f>
        <v>0</v>
      </c>
      <c r="G5" s="4" t="n">
        <f aca="false">Assumptions!G27</f>
        <v>1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3135.419</v>
      </c>
      <c r="C6" s="0" t="n">
        <f aca="false">B6*(1+C5/100)</f>
        <v>2320.21006</v>
      </c>
      <c r="D6" s="0" t="n">
        <f aca="false">C6*(1+D5/100)</f>
        <v>2088.189054</v>
      </c>
      <c r="E6" s="0" t="n">
        <f aca="false">D6*(1+E5/100)</f>
        <v>2025.54338238</v>
      </c>
      <c r="F6" s="0" t="n">
        <f aca="false">E6*(1+F5/100)</f>
        <v>2025.54338238</v>
      </c>
      <c r="G6" s="0" t="n">
        <f aca="false">F6*(1+G5/100)</f>
        <v>2045.7988162038</v>
      </c>
      <c r="H6" s="0" t="n">
        <f aca="false">G6*(1+H5/100)</f>
        <v>2076.48579844686</v>
      </c>
      <c r="I6" s="0" t="n">
        <f aca="false">H6*(1+I5/100)</f>
        <v>2107.63308542356</v>
      </c>
      <c r="J6" s="0" t="n">
        <f aca="false">I6*(1+J5/100)</f>
        <v>2139.24758170491</v>
      </c>
      <c r="K6" s="0" t="n">
        <f aca="false">J6*(1+K5/100)</f>
        <v>2171.33629543049</v>
      </c>
      <c r="L6" s="0" t="n">
        <f aca="false">K6*(1+L5/100)</f>
        <v>2203.90633986194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36</v>
      </c>
      <c r="D7" s="4" t="n">
        <f aca="false">Assumptions!D28</f>
        <v>33</v>
      </c>
      <c r="E7" s="4" t="n">
        <f aca="false">Assumptions!E28</f>
        <v>31</v>
      </c>
      <c r="F7" s="4" t="n">
        <f aca="false">Assumptions!F28</f>
        <v>30</v>
      </c>
      <c r="G7" s="4" t="n">
        <f aca="false">Assumptions!G28</f>
        <v>29</v>
      </c>
      <c r="H7" s="4" t="n">
        <f aca="false">Assumptions!H28</f>
        <v>28</v>
      </c>
      <c r="I7" s="4" t="n">
        <f aca="false">Assumptions!I28</f>
        <v>28</v>
      </c>
      <c r="J7" s="4" t="n">
        <f aca="false">Assumptions!J28</f>
        <v>28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835.2756216</v>
      </c>
      <c r="D8" s="0" t="n">
        <f aca="false">D6*D7/100</f>
        <v>689.10238782</v>
      </c>
      <c r="E8" s="0" t="n">
        <f aca="false">E6*E7/100</f>
        <v>627.9184485378</v>
      </c>
      <c r="F8" s="0" t="n">
        <f aca="false">F6*F7/100</f>
        <v>607.663014714</v>
      </c>
      <c r="G8" s="0" t="n">
        <f aca="false">G6*G7/100</f>
        <v>593.281656699102</v>
      </c>
      <c r="H8" s="0" t="n">
        <f aca="false">H6*H7/100</f>
        <v>581.41602356512</v>
      </c>
      <c r="I8" s="0" t="n">
        <f aca="false">I6*I7/100</f>
        <v>590.137263918597</v>
      </c>
      <c r="J8" s="0" t="n">
        <f aca="false">J6*J7/100</f>
        <v>598.989322877376</v>
      </c>
      <c r="K8" s="0" t="n">
        <f aca="false">K6*K7/100</f>
        <v>607.974162720536</v>
      </c>
      <c r="L8" s="0" t="n">
        <f aca="false">L6*L7/100</f>
        <v>617.093775161344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835.2756216</v>
      </c>
      <c r="D11" s="0" t="n">
        <f aca="false">D8+D10+D24</f>
        <v>689.10238782</v>
      </c>
      <c r="E11" s="0" t="n">
        <f aca="false">E8+E10+E24</f>
        <v>627.9184485378</v>
      </c>
      <c r="F11" s="0" t="n">
        <f aca="false">F8+F10+F24</f>
        <v>607.663014714</v>
      </c>
      <c r="G11" s="0" t="n">
        <f aca="false">G8+G10+G24</f>
        <v>593.281656699102</v>
      </c>
      <c r="H11" s="0" t="n">
        <f aca="false">H8+H10+H24</f>
        <v>581.41602356512</v>
      </c>
      <c r="I11" s="0" t="n">
        <f aca="false">I8+I10+I24</f>
        <v>590.137263918597</v>
      </c>
      <c r="J11" s="0" t="n">
        <f aca="false">J8+J10+J24</f>
        <v>598.989322877376</v>
      </c>
      <c r="K11" s="0" t="n">
        <f aca="false">K8+K10+K24</f>
        <v>607.974162720536</v>
      </c>
      <c r="L11" s="0" t="n">
        <f aca="false">L8+L10+L24</f>
        <v>617.093775161344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-150.8136539</v>
      </c>
      <c r="D12" s="4" t="n">
        <f aca="false">-D6*Assumptions!D31/100</f>
        <v>-146.17323378</v>
      </c>
      <c r="E12" s="4" t="n">
        <f aca="false">-E6*Assumptions!E31/100</f>
        <v>-141.7880367666</v>
      </c>
      <c r="F12" s="4" t="n">
        <f aca="false">-F6*Assumptions!F31/100</f>
        <v>-141.7880367666</v>
      </c>
      <c r="G12" s="4" t="n">
        <f aca="false">-G6*Assumptions!G31/100</f>
        <v>-143.205917134266</v>
      </c>
      <c r="H12" s="4" t="n">
        <f aca="false">-H6*Assumptions!H31/100</f>
        <v>-145.35400589128</v>
      </c>
      <c r="I12" s="4" t="n">
        <f aca="false">-I6*Assumptions!I31/100</f>
        <v>-147.534315979649</v>
      </c>
      <c r="J12" s="4" t="n">
        <f aca="false">-J6*Assumptions!J31/100</f>
        <v>-149.747330719344</v>
      </c>
      <c r="K12" s="4" t="n">
        <f aca="false">-K6*Assumptions!K31/100</f>
        <v>-151.993540680134</v>
      </c>
      <c r="L12" s="4" t="n">
        <f aca="false">-L6*Assumptions!L31/100</f>
        <v>-154.273443790336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684.4619677</v>
      </c>
      <c r="D13" s="0" t="n">
        <f aca="false">D11+D12</f>
        <v>542.92915404</v>
      </c>
      <c r="E13" s="0" t="n">
        <f aca="false">E11+E12</f>
        <v>486.1304117712</v>
      </c>
      <c r="F13" s="0" t="n">
        <f aca="false">F11+F12</f>
        <v>465.8749779474</v>
      </c>
      <c r="G13" s="0" t="n">
        <f aca="false">G11+G12</f>
        <v>450.075739564836</v>
      </c>
      <c r="H13" s="0" t="n">
        <f aca="false">H11+H12</f>
        <v>436.06201767384</v>
      </c>
      <c r="I13" s="0" t="n">
        <f aca="false">I11+I12</f>
        <v>442.602947938947</v>
      </c>
      <c r="J13" s="0" t="n">
        <f aca="false">J11+J12</f>
        <v>449.241992158032</v>
      </c>
      <c r="K13" s="0" t="n">
        <f aca="false">K11+K12</f>
        <v>455.980622040402</v>
      </c>
      <c r="L13" s="0" t="n">
        <f aca="false">L11+L12</f>
        <v>462.820331371008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513.346475775</v>
      </c>
      <c r="D15" s="0" t="n">
        <f aca="false">D13-MAX(0,D13)*D14/100</f>
        <v>407.19686553</v>
      </c>
      <c r="E15" s="0" t="n">
        <f aca="false">E13-MAX(0,E13)*E14/100</f>
        <v>364.5978088284</v>
      </c>
      <c r="F15" s="0" t="n">
        <f aca="false">F13-MAX(0,F13)*F14/100</f>
        <v>349.40623346055</v>
      </c>
      <c r="G15" s="0" t="n">
        <f aca="false">G13-MAX(0,G13)*G14/100</f>
        <v>337.556804673627</v>
      </c>
      <c r="H15" s="0" t="n">
        <f aca="false">H13-MAX(0,H13)*H14/100</f>
        <v>327.04651325538</v>
      </c>
      <c r="I15" s="0" t="n">
        <f aca="false">I13-MAX(0,I13)*I14/100</f>
        <v>331.952210954211</v>
      </c>
      <c r="J15" s="0" t="n">
        <f aca="false">J13-MAX(0,J13)*J14/100</f>
        <v>336.931494118524</v>
      </c>
      <c r="K15" s="0" t="n">
        <f aca="false">K13-MAX(0,K13)*K14/100</f>
        <v>341.985466530302</v>
      </c>
      <c r="L15" s="0" t="n">
        <f aca="false">L13-MAX(0,L13)*L14/100</f>
        <v>347.115248528256</v>
      </c>
    </row>
    <row r="16" customFormat="false" ht="15" hidden="false" customHeight="false" outlineLevel="0" collapsed="false">
      <c r="A16" s="0" t="s">
        <v>117</v>
      </c>
      <c r="C16" s="0" t="n">
        <f aca="false">-C12</f>
        <v>150.8136539</v>
      </c>
      <c r="D16" s="0" t="n">
        <f aca="false">-D12</f>
        <v>146.17323378</v>
      </c>
      <c r="E16" s="0" t="n">
        <f aca="false">-E12</f>
        <v>141.7880367666</v>
      </c>
      <c r="F16" s="0" t="n">
        <f aca="false">-F12</f>
        <v>141.7880367666</v>
      </c>
      <c r="G16" s="0" t="n">
        <f aca="false">-G12</f>
        <v>143.205917134266</v>
      </c>
      <c r="H16" s="0" t="n">
        <f aca="false">-H12</f>
        <v>145.35400589128</v>
      </c>
      <c r="I16" s="0" t="n">
        <f aca="false">-I12</f>
        <v>147.534315979649</v>
      </c>
      <c r="J16" s="0" t="n">
        <f aca="false">-J12</f>
        <v>149.747330719344</v>
      </c>
      <c r="K16" s="0" t="n">
        <f aca="false">-K12</f>
        <v>151.993540680134</v>
      </c>
      <c r="L16" s="0" t="n">
        <f aca="false">-L12</f>
        <v>154.273443790336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-162.4147042</v>
      </c>
      <c r="D17" s="4" t="n">
        <f aca="false">-D6*Assumptions!D32/100</f>
        <v>-135.73228851</v>
      </c>
      <c r="E17" s="4" t="n">
        <f aca="false">-E6*Assumptions!E32/100</f>
        <v>-131.6603198547</v>
      </c>
      <c r="F17" s="4" t="n">
        <f aca="false">-F6*Assumptions!F32/100</f>
        <v>-131.6603198547</v>
      </c>
      <c r="G17" s="4" t="n">
        <f aca="false">-G6*Assumptions!G32/100</f>
        <v>-132.976923053247</v>
      </c>
      <c r="H17" s="4" t="n">
        <f aca="false">-H6*Assumptions!H32/100</f>
        <v>-134.971576899046</v>
      </c>
      <c r="I17" s="4" t="n">
        <f aca="false">-I6*Assumptions!I32/100</f>
        <v>-136.996150552531</v>
      </c>
      <c r="J17" s="4" t="n">
        <f aca="false">-J6*Assumptions!J32/100</f>
        <v>-139.051092810819</v>
      </c>
      <c r="K17" s="4" t="n">
        <f aca="false">-K6*Assumptions!K32/100</f>
        <v>-141.136859202982</v>
      </c>
      <c r="L17" s="4" t="n">
        <f aca="false">-L6*Assumptions!L32/100</f>
        <v>-143.253912091026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501.745425475</v>
      </c>
      <c r="D19" s="0" t="n">
        <f aca="false">D15+D16+D17+D18</f>
        <v>417.6378108</v>
      </c>
      <c r="E19" s="0" t="n">
        <f aca="false">E15+E16+E17+E18</f>
        <v>374.7255257403</v>
      </c>
      <c r="F19" s="0" t="n">
        <f aca="false">F15+F16+F17+F18</f>
        <v>359.53395037245</v>
      </c>
      <c r="G19" s="0" t="n">
        <f aca="false">G15+G16+G17+G18</f>
        <v>347.785798754646</v>
      </c>
      <c r="H19" s="0" t="n">
        <f aca="false">H15+H16+H17+H18</f>
        <v>337.428942247614</v>
      </c>
      <c r="I19" s="0" t="n">
        <f aca="false">I15+I16+I17+I18</f>
        <v>342.490376381328</v>
      </c>
      <c r="J19" s="0" t="n">
        <f aca="false">J15+J16+J17+J18</f>
        <v>347.627732027048</v>
      </c>
      <c r="K19" s="0" t="n">
        <f aca="false">K15+K16+K17+K18</f>
        <v>352.842148007454</v>
      </c>
      <c r="L19" s="0" t="n">
        <f aca="false">L15+L16+L17+L18</f>
        <v>358.134780227566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460.316904105505</v>
      </c>
      <c r="D21" s="0" t="n">
        <f aca="false">D19*D20</f>
        <v>351.517389782005</v>
      </c>
      <c r="E21" s="0" t="n">
        <f aca="false">E19*E20</f>
        <v>289.356860533857</v>
      </c>
      <c r="F21" s="0" t="n">
        <f aca="false">F19*F20</f>
        <v>254.702914677707</v>
      </c>
      <c r="G21" s="0" t="n">
        <f aca="false">G19*G20</f>
        <v>226.036906319484</v>
      </c>
      <c r="H21" s="0" t="n">
        <f aca="false">H19*H20</f>
        <v>201.197853405666</v>
      </c>
      <c r="I21" s="0" t="n">
        <f aca="false">I19*I20</f>
        <v>187.353964409863</v>
      </c>
      <c r="J21" s="0" t="n">
        <f aca="false">J19*J20</f>
        <v>174.462636583497</v>
      </c>
      <c r="K21" s="0" t="n">
        <f aca="false">K19*K20</f>
        <v>162.458326726834</v>
      </c>
      <c r="L21" s="0" t="n">
        <f aca="false">L19*L20</f>
        <v>151.280001493336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2458.68375803775</v>
      </c>
    </row>
    <row r="31" customFormat="false" ht="15" hidden="false" customHeight="false" outlineLevel="0" collapsed="false">
      <c r="A31" s="0" t="s">
        <v>126</v>
      </c>
      <c r="B31" s="0" t="n">
        <f aca="false">L19</f>
        <v>358.134780227566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4846.75735907972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4297.61736273079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4297.61736273079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1815.36001792003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4274.04377595779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11186.8167759578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17.3992467964956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1.40321088349387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17.3992467964956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2692.64297726651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14.8260925427614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-22</v>
      </c>
      <c r="D5" s="4" t="n">
        <f aca="false">Assumptions!D41</f>
        <v>-3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3135.419</v>
      </c>
      <c r="C6" s="0" t="n">
        <f aca="false">B6*(1+C5/100)</f>
        <v>2445.62682</v>
      </c>
      <c r="D6" s="0" t="n">
        <f aca="false">C6*(1+D5/100)</f>
        <v>2372.2580154</v>
      </c>
      <c r="E6" s="0" t="n">
        <f aca="false">D6*(1+E5/100)</f>
        <v>2467.148336016</v>
      </c>
      <c r="F6" s="0" t="n">
        <f aca="false">E6*(1+F5/100)</f>
        <v>2590.5057528168</v>
      </c>
      <c r="G6" s="0" t="n">
        <f aca="false">F6*(1+G5/100)</f>
        <v>2694.12598292947</v>
      </c>
      <c r="H6" s="0" t="n">
        <f aca="false">G6*(1+H5/100)</f>
        <v>2774.94976241736</v>
      </c>
      <c r="I6" s="0" t="n">
        <f aca="false">H6*(1+I5/100)</f>
        <v>2858.19825528988</v>
      </c>
      <c r="J6" s="0" t="n">
        <f aca="false">I6*(1+J5/100)</f>
        <v>2929.65321167212</v>
      </c>
      <c r="K6" s="0" t="n">
        <f aca="false">J6*(1+K5/100)</f>
        <v>2988.24627590557</v>
      </c>
      <c r="L6" s="0" t="n">
        <f aca="false">K6*(1+L5/100)</f>
        <v>3048.01120142368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39</v>
      </c>
      <c r="D7" s="4" t="n">
        <f aca="false">Assumptions!D42</f>
        <v>36</v>
      </c>
      <c r="E7" s="4" t="n">
        <f aca="false">Assumptions!E42</f>
        <v>34</v>
      </c>
      <c r="F7" s="4" t="n">
        <f aca="false">Assumptions!F42</f>
        <v>33</v>
      </c>
      <c r="G7" s="4" t="n">
        <f aca="false">Assumptions!G42</f>
        <v>32</v>
      </c>
      <c r="H7" s="4" t="n">
        <f aca="false">Assumptions!H42</f>
        <v>32</v>
      </c>
      <c r="I7" s="4" t="n">
        <f aca="false">Assumptions!I42</f>
        <v>32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953.7944598</v>
      </c>
      <c r="D8" s="0" t="n">
        <f aca="false">D6*D7/100</f>
        <v>854.012885544</v>
      </c>
      <c r="E8" s="0" t="n">
        <f aca="false">E6*E7/100</f>
        <v>838.83043424544</v>
      </c>
      <c r="F8" s="0" t="n">
        <f aca="false">F6*F7/100</f>
        <v>854.866898429544</v>
      </c>
      <c r="G8" s="0" t="n">
        <f aca="false">G6*G7/100</f>
        <v>862.120314537431</v>
      </c>
      <c r="H8" s="0" t="n">
        <f aca="false">H6*H7/100</f>
        <v>887.983923973554</v>
      </c>
      <c r="I8" s="0" t="n">
        <f aca="false">I6*I7/100</f>
        <v>914.623441692761</v>
      </c>
      <c r="J8" s="0" t="n">
        <f aca="false">J6*J7/100</f>
        <v>937.48902773508</v>
      </c>
      <c r="K8" s="0" t="n">
        <f aca="false">K6*K7/100</f>
        <v>956.238808289781</v>
      </c>
      <c r="L8" s="0" t="n">
        <f aca="false">L6*L7/100</f>
        <v>975.363584455577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953.7944598</v>
      </c>
      <c r="D11" s="0" t="n">
        <f aca="false">D8+D10+D24</f>
        <v>854.012885544</v>
      </c>
      <c r="E11" s="0" t="n">
        <f aca="false">E8+E10+E24</f>
        <v>838.83043424544</v>
      </c>
      <c r="F11" s="0" t="n">
        <f aca="false">F8+F10+F24</f>
        <v>854.866898429544</v>
      </c>
      <c r="G11" s="0" t="n">
        <f aca="false">G8+G10+G24</f>
        <v>862.120314537431</v>
      </c>
      <c r="H11" s="0" t="n">
        <f aca="false">H8+H10+H24</f>
        <v>887.983923973554</v>
      </c>
      <c r="I11" s="0" t="n">
        <f aca="false">I8+I10+I24</f>
        <v>914.623441692761</v>
      </c>
      <c r="J11" s="0" t="n">
        <f aca="false">J8+J10+J24</f>
        <v>937.48902773508</v>
      </c>
      <c r="K11" s="0" t="n">
        <f aca="false">K8+K10+K24</f>
        <v>956.238808289781</v>
      </c>
      <c r="L11" s="0" t="n">
        <f aca="false">L8+L10+L24</f>
        <v>975.363584455577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-158.9657433</v>
      </c>
      <c r="D12" s="4" t="n">
        <f aca="false">-D6*Assumptions!D45/100</f>
        <v>-154.196771001</v>
      </c>
      <c r="E12" s="4" t="n">
        <f aca="false">-E6*Assumptions!E45/100</f>
        <v>-160.36464184104</v>
      </c>
      <c r="F12" s="4" t="n">
        <f aca="false">-F6*Assumptions!F45/100</f>
        <v>-168.382873933092</v>
      </c>
      <c r="G12" s="4" t="n">
        <f aca="false">-G6*Assumptions!G45/100</f>
        <v>-175.118188890416</v>
      </c>
      <c r="H12" s="4" t="n">
        <f aca="false">-H6*Assumptions!H45/100</f>
        <v>-180.371734557128</v>
      </c>
      <c r="I12" s="4" t="n">
        <f aca="false">-I6*Assumptions!I45/100</f>
        <v>-185.782886593842</v>
      </c>
      <c r="J12" s="4" t="n">
        <f aca="false">-J6*Assumptions!J45/100</f>
        <v>-190.427458758688</v>
      </c>
      <c r="K12" s="4" t="n">
        <f aca="false">-K6*Assumptions!K45/100</f>
        <v>-194.236007933862</v>
      </c>
      <c r="L12" s="4" t="n">
        <f aca="false">-L6*Assumptions!L45/100</f>
        <v>-198.120728092539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794.8287165</v>
      </c>
      <c r="D13" s="0" t="n">
        <f aca="false">D11+D12</f>
        <v>699.816114543</v>
      </c>
      <c r="E13" s="0" t="n">
        <f aca="false">E11+E12</f>
        <v>678.4657924044</v>
      </c>
      <c r="F13" s="0" t="n">
        <f aca="false">F11+F12</f>
        <v>686.484024496452</v>
      </c>
      <c r="G13" s="0" t="n">
        <f aca="false">G11+G12</f>
        <v>687.002125647015</v>
      </c>
      <c r="H13" s="0" t="n">
        <f aca="false">H11+H12</f>
        <v>707.612189416426</v>
      </c>
      <c r="I13" s="0" t="n">
        <f aca="false">I11+I12</f>
        <v>728.840555098919</v>
      </c>
      <c r="J13" s="0" t="n">
        <f aca="false">J11+J12</f>
        <v>747.061568976392</v>
      </c>
      <c r="K13" s="0" t="n">
        <f aca="false">K11+K12</f>
        <v>762.002800355919</v>
      </c>
      <c r="L13" s="0" t="n">
        <f aca="false">L11+L12</f>
        <v>777.242856363038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612.018111705</v>
      </c>
      <c r="D15" s="0" t="n">
        <f aca="false">D13-MAX(0,D13)*D14/100</f>
        <v>538.85840819811</v>
      </c>
      <c r="E15" s="0" t="n">
        <f aca="false">E13-MAX(0,E13)*E14/100</f>
        <v>522.418660151388</v>
      </c>
      <c r="F15" s="0" t="n">
        <f aca="false">F13-MAX(0,F13)*F14/100</f>
        <v>528.592698862268</v>
      </c>
      <c r="G15" s="0" t="n">
        <f aca="false">G13-MAX(0,G13)*G14/100</f>
        <v>528.991636748202</v>
      </c>
      <c r="H15" s="0" t="n">
        <f aca="false">H13-MAX(0,H13)*H14/100</f>
        <v>544.861385850648</v>
      </c>
      <c r="I15" s="0" t="n">
        <f aca="false">I13-MAX(0,I13)*I14/100</f>
        <v>561.207227426167</v>
      </c>
      <c r="J15" s="0" t="n">
        <f aca="false">J13-MAX(0,J13)*J14/100</f>
        <v>575.237408111821</v>
      </c>
      <c r="K15" s="0" t="n">
        <f aca="false">K13-MAX(0,K13)*K14/100</f>
        <v>586.742156274058</v>
      </c>
      <c r="L15" s="0" t="n">
        <f aca="false">L13-MAX(0,L13)*L14/100</f>
        <v>598.476999399539</v>
      </c>
    </row>
    <row r="16" customFormat="false" ht="15" hidden="false" customHeight="false" outlineLevel="0" collapsed="false">
      <c r="A16" s="0" t="s">
        <v>117</v>
      </c>
      <c r="C16" s="0" t="n">
        <f aca="false">-C12</f>
        <v>158.9657433</v>
      </c>
      <c r="D16" s="0" t="n">
        <f aca="false">-D12</f>
        <v>154.196771001</v>
      </c>
      <c r="E16" s="0" t="n">
        <f aca="false">-E12</f>
        <v>160.36464184104</v>
      </c>
      <c r="F16" s="0" t="n">
        <f aca="false">-F12</f>
        <v>168.382873933092</v>
      </c>
      <c r="G16" s="0" t="n">
        <f aca="false">-G12</f>
        <v>175.118188890416</v>
      </c>
      <c r="H16" s="0" t="n">
        <f aca="false">-H12</f>
        <v>180.371734557128</v>
      </c>
      <c r="I16" s="0" t="n">
        <f aca="false">-I12</f>
        <v>185.782886593842</v>
      </c>
      <c r="J16" s="0" t="n">
        <f aca="false">-J12</f>
        <v>190.427458758688</v>
      </c>
      <c r="K16" s="0" t="n">
        <f aca="false">-K12</f>
        <v>194.236007933862</v>
      </c>
      <c r="L16" s="0" t="n">
        <f aca="false">-L12</f>
        <v>198.120728092539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-171.1938774</v>
      </c>
      <c r="D17" s="4" t="n">
        <f aca="false">-D6*Assumptions!D46/100</f>
        <v>-154.196771001</v>
      </c>
      <c r="E17" s="4" t="n">
        <f aca="false">-E6*Assumptions!E46/100</f>
        <v>-160.36464184104</v>
      </c>
      <c r="F17" s="4" t="n">
        <f aca="false">-F6*Assumptions!F46/100</f>
        <v>-168.382873933092</v>
      </c>
      <c r="G17" s="4" t="n">
        <f aca="false">-G6*Assumptions!G46/100</f>
        <v>-175.118188890416</v>
      </c>
      <c r="H17" s="4" t="n">
        <f aca="false">-H6*Assumptions!H46/100</f>
        <v>-180.371734557128</v>
      </c>
      <c r="I17" s="4" t="n">
        <f aca="false">-I6*Assumptions!I46/100</f>
        <v>-185.782886593842</v>
      </c>
      <c r="J17" s="4" t="n">
        <f aca="false">-J6*Assumptions!J46/100</f>
        <v>-190.427458758688</v>
      </c>
      <c r="K17" s="4" t="n">
        <f aca="false">-K6*Assumptions!K46/100</f>
        <v>-194.236007933862</v>
      </c>
      <c r="L17" s="4" t="n">
        <f aca="false">-L6*Assumptions!L46/100</f>
        <v>-198.120728092539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599.789977605</v>
      </c>
      <c r="D19" s="0" t="n">
        <f aca="false">D15+D16+D17+D18</f>
        <v>538.85840819811</v>
      </c>
      <c r="E19" s="0" t="n">
        <f aca="false">E15+E16+E17+E18</f>
        <v>522.418660151388</v>
      </c>
      <c r="F19" s="0" t="n">
        <f aca="false">F15+F16+F17+F18</f>
        <v>528.592698862268</v>
      </c>
      <c r="G19" s="0" t="n">
        <f aca="false">G15+G16+G17+G18</f>
        <v>528.991636748202</v>
      </c>
      <c r="H19" s="0" t="n">
        <f aca="false">H15+H16+H17+H18</f>
        <v>544.861385850648</v>
      </c>
      <c r="I19" s="0" t="n">
        <f aca="false">I15+I16+I17+I18</f>
        <v>561.207227426167</v>
      </c>
      <c r="J19" s="0" t="n">
        <f aca="false">J15+J16+J17+J18</f>
        <v>575.237408111821</v>
      </c>
      <c r="K19" s="0" t="n">
        <f aca="false">K15+K16+K17+K18</f>
        <v>586.742156274058</v>
      </c>
      <c r="L19" s="0" t="n">
        <f aca="false">L15+L16+L17+L18</f>
        <v>598.476999399539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550.2660345</v>
      </c>
      <c r="D21" s="0" t="n">
        <f aca="false">D19*D20</f>
        <v>453.546341383814</v>
      </c>
      <c r="E21" s="0" t="n">
        <f aca="false">E19*E20</f>
        <v>403.403059044537</v>
      </c>
      <c r="F21" s="0" t="n">
        <f aca="false">F19*F20</f>
        <v>374.468394259024</v>
      </c>
      <c r="G21" s="0" t="n">
        <f aca="false">G19*G20</f>
        <v>343.80826781199</v>
      </c>
      <c r="H21" s="0" t="n">
        <f aca="false">H19*H20</f>
        <v>324.883042060871</v>
      </c>
      <c r="I21" s="0" t="n">
        <f aca="false">I19*I20</f>
        <v>306.999571855685</v>
      </c>
      <c r="J21" s="0" t="n">
        <f aca="false">J19*J20</f>
        <v>288.692257937686</v>
      </c>
      <c r="K21" s="0" t="n">
        <f aca="false">K19*K20</f>
        <v>270.152388161871</v>
      </c>
      <c r="L21" s="0" t="n">
        <f aca="false">L19*L20</f>
        <v>252.80315222487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3569.02250924035</v>
      </c>
    </row>
    <row r="31" customFormat="false" ht="15" hidden="false" customHeight="false" outlineLevel="0" collapsed="false">
      <c r="A31" s="0" t="s">
        <v>126</v>
      </c>
      <c r="B31" s="0" t="n">
        <f aca="false">L19</f>
        <v>598.476999399539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8720.66484839328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8378.67799159355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8378.67799159355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3539.24413114818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7108.26664038853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14021.0396403885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21.80741259398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2.01207356270442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21.80741259398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4695.74261067331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16.8917642786627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13.6592501854471</v>
      </c>
      <c r="C4" s="0" t="n">
        <f aca="false">B4/Assumptions!$B$2-1</f>
        <v>0.886636765945736</v>
      </c>
      <c r="D4" s="4" t="n">
        <f aca="false">Assumptions!$B$24</f>
        <v>0.3</v>
      </c>
      <c r="E4" s="4" t="n">
        <f aca="false">DCF_Bear!$B$43</f>
        <v>13.6592501854471</v>
      </c>
      <c r="F4" s="4" t="n">
        <f aca="false">DCF_Bear!$B$47</f>
        <v>12.7261408037613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17.3992467964956</v>
      </c>
      <c r="C5" s="0" t="n">
        <f aca="false">B5/Assumptions!$B$2-1</f>
        <v>1.40321088349387</v>
      </c>
      <c r="D5" s="4" t="n">
        <f aca="false">Assumptions!$B$38</f>
        <v>0.5</v>
      </c>
      <c r="E5" s="4" t="n">
        <f aca="false">DCF_Base!$B$43</f>
        <v>17.3992467964956</v>
      </c>
      <c r="F5" s="4" t="n">
        <f aca="false">DCF_Base!$B$47</f>
        <v>14.8260925427614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21.80741259398</v>
      </c>
      <c r="C6" s="0" t="n">
        <f aca="false">B6/Assumptions!$B$2-1</f>
        <v>2.01207356270442</v>
      </c>
      <c r="D6" s="4" t="n">
        <f aca="false">Assumptions!$B$52</f>
        <v>0.2</v>
      </c>
      <c r="E6" s="4" t="n">
        <f aca="false">DCF_Bull!$B$43</f>
        <v>21.80741259398</v>
      </c>
      <c r="F6" s="4" t="n">
        <f aca="false">DCF_Bull!$B$47</f>
        <v>16.8917642786627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17.158880972678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17.158880972678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0.578061062867198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14.6092413682416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17.3992467964956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16.9873916967979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16.3758979398776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15.8795680948336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14.8260925427614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18.312106419617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18.312106419617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18.312106419617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18.312106419617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18.312106419617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17.8352689974821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17.8352689974821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17.8352689974821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17.8352689974821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17.8352689974821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17.3577248430885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17.3992467964956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17.3992467964956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17.3992467964956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17.3992467964956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16.6948459924713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16.8329925750699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16.9873916967979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17.000024352212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17.000024352212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16.1575994610585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16.2612912384975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16.3758979398776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16.5032387191888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16.634021141184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2026-10-22T06:27:19Z</dcterms:created>
  <dc:creator>openpyxl</dc:creator>
  <dc:description/>
  <dc:language>en-NZ</dc:language>
  <cp:lastModifiedBy/>
  <dcterms:modified xsi:type="dcterms:W3CDTF">2026-10-22T06:27:19Z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