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Info" sheetId="1" state="visible" r:id="rId1"/>
    <sheet xmlns:r="http://schemas.openxmlformats.org/officeDocument/2006/relationships" name="Actuals" sheetId="2" state="visible" r:id="rId2"/>
    <sheet xmlns:r="http://schemas.openxmlformats.org/officeDocument/2006/relationships" name="Assumptions" sheetId="3" state="visible" r:id="rId3"/>
    <sheet xmlns:r="http://schemas.openxmlformats.org/officeDocument/2006/relationships" name="DCF_Bear" sheetId="4" state="visible" r:id="rId4"/>
    <sheet xmlns:r="http://schemas.openxmlformats.org/officeDocument/2006/relationships" name="DCF_Base" sheetId="5" state="visible" r:id="rId5"/>
    <sheet xmlns:r="http://schemas.openxmlformats.org/officeDocument/2006/relationships" name="DCF_Bull" sheetId="6" state="visible" r:id="rId6"/>
    <sheet xmlns:r="http://schemas.openxmlformats.org/officeDocument/2006/relationships" name="FCF_Quality" sheetId="7" state="visible" r:id="rId7"/>
    <sheet xmlns:r="http://schemas.openxmlformats.org/officeDocument/2006/relationships" name="Valuation"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font>
    <font>
      <color rgb="000000FF"/>
    </font>
    <font>
      <color rgb="00008000"/>
    </font>
  </fonts>
  <fills count="4">
    <fill>
      <patternFill/>
    </fill>
    <fill>
      <patternFill patternType="gray125"/>
    </fill>
    <fill>
      <patternFill patternType="solid">
        <fgColor rgb="00FFF2CC"/>
      </patternFill>
    </fill>
    <fill>
      <patternFill patternType="solid">
        <fgColor rgb="00C6EFCE"/>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0" pivotButton="0" quotePrefix="0" xfId="0"/>
    <xf numFmtId="10" fontId="2" fillId="2" borderId="0" pivotButton="0" quotePrefix="0" xfId="0"/>
    <xf numFmtId="0" fontId="3" fillId="0" borderId="0" pivotButton="0" quotePrefix="0" xfId="0"/>
    <xf numFmtId="10" fontId="3" fillId="0" borderId="0" pivotButton="0" quotePrefix="0" xfId="0"/>
    <xf numFmtId="10" fontId="0" fillId="0" borderId="0" pivotButton="0" quotePrefix="0" xfId="0"/>
    <xf numFmtId="0" fontId="1" fillId="3" borderId="0" pivotButton="0" quotePrefix="0" xfId="0"/>
    <xf numFmtId="164" fontId="0" fillId="0" borderId="0" pivotButton="0" quotePrefix="0" xfId="0"/>
    <xf numFmtId="0" fontId="0" fillId="3" borderId="0" pivotButton="0" quotePrefix="0" xfId="0"/>
    <xf numFmtId="9" fontId="2" fillId="0" borderId="0" pivotButton="0" quotePrefix="0" xfId="0"/>
    <xf numFmtId="164" fontId="3"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140" customWidth="1" min="2" max="2"/>
  </cols>
  <sheetData>
    <row r="1">
      <c r="A1" s="1" t="inlineStr">
        <is>
          <t>Austal Limited (ASB.AX) -- owner-FCF DCF model</t>
        </is>
      </c>
      <c r="B1" s="2" t="inlineStr"/>
    </row>
    <row r="2">
      <c r="A2" s="1" t="inlineStr">
        <is>
          <t>Version</t>
        </is>
      </c>
      <c r="B2" s="2" t="inlineStr">
        <is>
          <t>v1.0, 2026-09-21. First valuation of this ticker; supersedes nothing.</t>
        </is>
      </c>
    </row>
    <row r="3">
      <c r="A3" s="1" t="inlineStr">
        <is>
          <t>Built by</t>
        </is>
      </c>
      <c r="B3" s="2" t="inlineStr">
        <is>
          <t>dcf-analyst agent (Claude Fable 5.1) on 2026-09-21 at the orchestrator's request for the ASB.AX research run.</t>
        </is>
      </c>
    </row>
    <row r="4">
      <c r="A4" s="1" t="inlineStr">
        <is>
          <t>Model</t>
        </is>
      </c>
      <c r="B4" s="2" t="inlineStr">
        <is>
          <t>Component-built owner-FCF DCF, 10-year explicit horizon, end-of-year discounting, terminal value = MAX(0, MIN(Gordon, cap x FCF10)); three probability-weighted scenarios; hurdle entry price with TV rebuilt at 15%.</t>
        </is>
      </c>
    </row>
    <row r="5">
      <c r="A5" s="1" t="inlineStr">
        <is>
          <t>Price</t>
        </is>
      </c>
      <c r="B5" s="2" t="inlineStr">
        <is>
          <t>A$4.54 -- 2026-09-21T06:10:32Z (ASX regular close, 957k shares traded; not after-hours)</t>
        </is>
      </c>
    </row>
    <row r="6">
      <c r="A6" s="1" t="inlineStr">
        <is>
          <t>Balance sheet</t>
        </is>
      </c>
      <c r="B6" s="2" t="inlineStr">
        <is>
          <t>Borrowings A$130.150m (31-Dec-2025, H1 FY2026 BS) less cash A$312m at 30-Jun-2026 (FY2026 results release, 31-Aug-2026). Lease liabilities A$142.6m EXCLUDED (lease treatment B). Cross-check: on the same definition the company reported net cash A$241.4m at 31-Dec-2025 = 371.575 - 130.150, which ties exactly.</t>
        </is>
      </c>
    </row>
    <row r="7">
      <c r="A7" s="1" t="inlineStr">
        <is>
          <t>Balance sheet date</t>
        </is>
      </c>
      <c r="B7" s="2" t="inlineStr">
        <is>
          <t>2025-12-31 (latest extracted filing, H1 FY2026); cash refreshed to 2026-06-30 from the FY2026 results release, borrowings carried from 2025-12-31</t>
        </is>
      </c>
    </row>
    <row r="8">
      <c r="A8" s="1" t="inlineStr">
        <is>
          <t>Share count</t>
        </is>
      </c>
      <c r="B8" s="2" t="inlineStr">
        <is>
          <t>422,050,221 ordinary shares on issue at 31-Dec-2025 (H1 FY2026 note 7; includes 2.45m reserved shares held by the employee share trust) plus 1,522,405 service rights disclosed as dilutive in the FY2025 EPS note; held FLAT because SBC is expensed in the flows. Replace with the FY2026 annual report count when extracted.</t>
        </is>
      </c>
    </row>
    <row r="9">
      <c r="A9" s="1" t="inlineStr">
        <is>
          <t>FY0 revenue</t>
        </is>
      </c>
      <c r="B9" s="2" t="inlineStr">
        <is>
          <t>FY2026 (year to 30-Jun-2026) revenue A$2,027m per the FY2026 results release (31-Aug-2026), not yet in Metrics.csv. FY2026 statutory EBIT ~ -A$125.2m / NPAT ~ -A$53.6m after a non-cash onerous-contract provision on the T-ATS, OPC, T-AGOS, AFDM and LCU programs at Austal USA.</t>
        </is>
      </c>
    </row>
    <row r="10">
      <c r="A10" s="1" t="inlineStr">
        <is>
          <t>Lease treatment</t>
        </is>
      </c>
      <c r="B10" s="2" t="inlineStr">
        <is>
          <t>B -- leases as operating cost: lease_cost_pct 1.0% of revenue (FY2025 principal A$11.8m + estimated lease interest ~A$7m on A$136m of liabilities at the ~5% IBR, ~1.05% of revenue) charged inside owner EBITDA; lease liabilities excluded from net debt; da_pct 3.5% is D&amp;A EX right-of-use depreciation (FY2025: 73.131 total - 13.073 ROU = 60.1 = 3.3% of revenue, lifted to 3.5% for the new US facilities).</t>
        </is>
      </c>
    </row>
    <row r="11">
      <c r="A11" s="1" t="inlineStr">
        <is>
          <t>Onerous contracts</t>
        </is>
      </c>
      <c r="B11" s="2" t="inlineStr">
        <is>
          <t>The FY2026 provision is non-cash when booked but IS cash as the T-ATS/OPC/T-AGOS/AFDM/LCU hulls are built. Base ebitda_margin_path is therefore stated net of an estimated cash unwind of ~3.5pp/2.5pp/1.0pp of revenue in FY2027-FY2029 (underlying 9.0/9.25/9.5%); bear ~4.5/3.5/1.5pp on a lower 8% underlying (further overruns); bull ~2.5/1.5/0.5pp on 10-11% underlying (REA recoveries). Folding it into the margin keeps the component engine exact.</t>
        </is>
      </c>
    </row>
    <row r="12">
      <c r="A12" s="1" t="inlineStr">
        <is>
          <t>Capex basis</t>
        </is>
      </c>
      <c r="B12" s="2" t="inlineStr">
        <is>
          <t>capex_pct_path is NET of government infrastructure grant receipts (FY2025 gross A$194.9m less A$46.0m grants; FY2022-FY2025 grants averaged A$28m/yr). The US$1.2bn Mobile expansion (FA2, MMF3, steel panel line, San Diego dry dock) keeps net capex at 11%/8.5% of revenue in FY2027/FY2028 before fading to a 3.75% maintenance level (D&amp;A ex-ROU 3.5%).</t>
        </is>
      </c>
    </row>
    <row r="13">
      <c r="A13" s="1" t="inlineStr">
        <is>
          <t>Working capital</t>
        </is>
      </c>
      <c r="B13" s="2" t="inlineStr">
        <is>
          <t>Milestone-billed shipbuilder with A$875m of progress payments received in advance (31-Dec-2025) against contract assets; growth in the order book generates advance cash. wc_capture 5% of the revenue change in base, 0% bear, 8% bull -- deliberately modest given the H1 FY2026 unwind.</t>
        </is>
      </c>
    </row>
    <row r="14">
      <c r="A14" s="1" t="inlineStr">
        <is>
          <t>WACC</t>
        </is>
      </c>
      <c r="B14" s="2" t="inlineStr">
        <is>
          <t>10.0% for AUD flows: 10y ACGB ~4.3% + 5.5% ERP x beta ~1.1 = ~10.4% cost of equity; ~7% pre-tax debt (SOFR/BBSY + margin) at ~7% weight. Risk is charged ONCE, in the flows and the weights (bear at 25%), not via a WACC premium; WACC is identical across scenarios.</t>
        </is>
      </c>
    </row>
    <row r="15">
      <c r="A15" s="1" t="inlineStr">
        <is>
          <t>Takeover overlay</t>
        </is>
      </c>
      <c r="B15" s="2" t="inlineStr">
        <is>
          <t>TAKEOVER OVERLAY: the routing table's 'live takeover' row applies partially. The Hanwha (US$1.05-1.20bn EV) and Wildcat (US$1.25-1.35bn EV) proposals are non-binding and for Austal USA only, so the listed entity persists and the three standalone scenarios remain the frame. The deal is expressed (i) in the bull scenario's 18x terminal cap, which is the strategic-buyer exit multiple the bids evidence (~11-12x FY2025 Austal USA EBITDA), (ii) in the 30% bull weight (~probability a sale completes near the indicative range), and (iii) explicitly in takeover_analysis, which sums the parts under deal-completes and reports a deal_adjusted_iv. probability_weighted.weighted_iv remains the standalone three-scenario figure so it ties to the component engine.</t>
        </is>
      </c>
    </row>
    <row r="16">
      <c r="A16" s="1" t="inlineStr">
        <is>
          <t>Scenario drivers</t>
        </is>
      </c>
      <c r="B16" s="2" t="inlineStr">
        <is>
          <t>Judgment of the dcf-analyst agent, set 2026-09-21 from the FY2025 Annual Report, H1 FY2026 half-year report, the FY2026 results release (via the qualitative analysis) and the Hanwha/Wildcat announcements. Rows 5, 7, 9, 14 and 25 of each DCF tab are the only hardcoded drivers.</t>
        </is>
      </c>
    </row>
    <row r="17">
      <c r="A17" s="1" t="inlineStr">
        <is>
          <t>Refresh after next print</t>
        </is>
      </c>
      <c r="B17" s="2" t="inlineStr">
        <is>
          <t>FY2026 annual report (extract): borrowings, lease liabilities, diluted shares, onerous-contract provision balance, segment EBITDA. Any binding Austal USA agreement: deal probability on the Valuation tab memo. Price goes stale daily.</t>
        </is>
      </c>
    </row>
    <row r="18">
      <c r="A18" s="1" t="inlineStr">
        <is>
          <t>Staleness</t>
        </is>
      </c>
      <c r="B18" s="2" t="inlineStr">
        <is>
          <t>All figures are as of 2026-09-21 and go stale. Cash A$312m is from the results release, not an extracted filing.</t>
        </is>
      </c>
    </row>
    <row r="19">
      <c r="A19" s="1" t="inlineStr">
        <is>
          <t>Colour legend</t>
        </is>
      </c>
      <c r="B19" s="2" t="inlineStr">
        <is>
          <t>Blue font = hardcoded input; yellow fill = key lever; black = formula; green font = cross-sheet 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60" customWidth="1" min="1" max="1"/>
  </cols>
  <sheetData>
    <row r="1">
      <c r="A1" s="1" t="inlineStr">
        <is>
          <t>Period</t>
        </is>
      </c>
      <c r="B1" s="1" t="inlineStr">
        <is>
          <t>Revenue</t>
        </is>
      </c>
      <c r="C1" s="1" t="inlineStr">
        <is>
          <t>EBITDA</t>
        </is>
      </c>
      <c r="D1" s="1" t="inlineStr">
        <is>
          <t>EBIT</t>
        </is>
      </c>
      <c r="E1" s="1" t="inlineStr">
        <is>
          <t>NetIncome</t>
        </is>
      </c>
      <c r="F1" s="1" t="inlineStr">
        <is>
          <t>OCF</t>
        </is>
      </c>
      <c r="G1" s="1" t="inlineStr">
        <is>
          <t>CapEx(gross)</t>
        </is>
      </c>
      <c r="H1" s="1" t="inlineStr">
        <is>
          <t>ReportedFCF</t>
        </is>
      </c>
      <c r="I1" s="1" t="inlineStr">
        <is>
          <t>SBC</t>
        </is>
      </c>
      <c r="J1" s="1" t="inlineStr">
        <is>
          <t>InterestIncome</t>
        </is>
      </c>
      <c r="K1" s="1" t="inlineStr">
        <is>
          <t>LeasePrincipal</t>
        </is>
      </c>
      <c r="L1" s="1" t="inlineStr">
        <is>
          <t>GrantsReceived</t>
        </is>
      </c>
      <c r="M1" s="1" t="inlineStr">
        <is>
          <t>OwnerFCF</t>
        </is>
      </c>
      <c r="N1" s="1" t="inlineStr">
        <is>
          <t>Source</t>
        </is>
      </c>
    </row>
    <row r="2">
      <c r="A2" t="inlineStr">
        <is>
          <t>FY2019</t>
        </is>
      </c>
      <c r="B2" s="3" t="n">
        <v>1852.074</v>
      </c>
      <c r="C2" s="3" t="n">
        <v>135.001</v>
      </c>
      <c r="D2" s="3" t="n">
        <v>92.795</v>
      </c>
      <c r="E2" s="3" t="n">
        <v>61.384</v>
      </c>
      <c r="F2" s="3" t="n">
        <v>164.517</v>
      </c>
      <c r="G2" s="3" t="n">
        <v>43.098</v>
      </c>
      <c r="H2" s="3" t="n">
        <v>121.419</v>
      </c>
      <c r="I2" s="3" t="n">
        <v>3.087</v>
      </c>
      <c r="J2" s="3" t="n">
        <v>1.053</v>
      </c>
      <c r="K2" s="3" t="n">
        <v>0</v>
      </c>
      <c r="L2" s="3" t="n">
        <v>0</v>
      </c>
      <c r="M2">
        <f>IF(ISNUMBER(H2),H2-I2-J2-K2,"n/a")</f>
        <v/>
      </c>
    </row>
    <row r="3">
      <c r="A3" t="inlineStr">
        <is>
          <t>FY2020</t>
        </is>
      </c>
      <c r="B3" s="3" t="n">
        <v>2086.001</v>
      </c>
      <c r="C3" s="3" t="n">
        <v>176.139</v>
      </c>
      <c r="D3" s="3" t="n">
        <v>130.396</v>
      </c>
      <c r="E3" s="3" t="n">
        <v>88.97799999999999</v>
      </c>
      <c r="F3" s="3" t="n">
        <v>164.472</v>
      </c>
      <c r="G3" s="3" t="n">
        <v>18.361</v>
      </c>
      <c r="H3" s="3" t="n">
        <v>146.111</v>
      </c>
      <c r="I3" s="3" t="n">
        <v>1.178</v>
      </c>
      <c r="J3" s="3" t="n">
        <v>1.384</v>
      </c>
      <c r="K3" s="3" t="n">
        <v>6.01</v>
      </c>
      <c r="L3" s="3" t="n">
        <v>0</v>
      </c>
      <c r="M3">
        <f>IF(ISNUMBER(H3),H3-I3-J3-K3,"n/a")</f>
        <v/>
      </c>
    </row>
    <row r="4">
      <c r="A4" t="inlineStr">
        <is>
          <t>FY2021</t>
        </is>
      </c>
      <c r="B4" s="3" t="n">
        <v>1572.175</v>
      </c>
      <c r="C4" s="3" t="n">
        <v>160.326</v>
      </c>
      <c r="D4" s="3" t="n">
        <v>114.619</v>
      </c>
      <c r="E4" s="3" t="n">
        <v>81.057</v>
      </c>
      <c r="F4" s="3" t="n">
        <v>93.464</v>
      </c>
      <c r="G4" s="3" t="n">
        <v>77.152</v>
      </c>
      <c r="H4" s="3" t="n">
        <v>16.312</v>
      </c>
      <c r="I4" s="3" t="n">
        <v>0.5</v>
      </c>
      <c r="J4" s="3" t="n">
        <v>0.368</v>
      </c>
      <c r="K4" s="3" t="n">
        <v>7.585</v>
      </c>
      <c r="L4" s="3" t="n">
        <v>18.469</v>
      </c>
      <c r="M4">
        <f>IF(ISNUMBER(H4),H4-I4-J4-K4,"n/a")</f>
        <v/>
      </c>
    </row>
    <row r="5">
      <c r="A5" t="inlineStr">
        <is>
          <t>FY2022</t>
        </is>
      </c>
      <c r="B5" s="3" t="n">
        <v>1429.044</v>
      </c>
      <c r="C5" s="3" t="n">
        <v>165.35</v>
      </c>
      <c r="D5" s="3" t="n">
        <v>120.662</v>
      </c>
      <c r="E5" s="3" t="n">
        <v>79.565</v>
      </c>
      <c r="F5" s="3" t="n">
        <v>37.499</v>
      </c>
      <c r="G5" s="3" t="n">
        <v>117.096</v>
      </c>
      <c r="H5" s="3" t="n">
        <v>-79.59699999999999</v>
      </c>
      <c r="I5" s="3" t="n">
        <v>0.5</v>
      </c>
      <c r="J5" s="3" t="n">
        <v>0.135</v>
      </c>
      <c r="K5" s="3" t="n">
        <v>8.638</v>
      </c>
      <c r="L5" s="3" t="n">
        <v>31.625</v>
      </c>
      <c r="M5">
        <f>IF(ISNUMBER(H5),H5-I5-J5-K5,"n/a")</f>
        <v/>
      </c>
    </row>
    <row r="6">
      <c r="A6" t="inlineStr">
        <is>
          <t>FY2023</t>
        </is>
      </c>
      <c r="B6" s="3" t="n">
        <v>1585.034</v>
      </c>
      <c r="C6" s="3" t="n">
        <v>54.973</v>
      </c>
      <c r="D6" s="3" t="n">
        <v>-4.842</v>
      </c>
      <c r="E6" s="3" t="n">
        <v>-13.774</v>
      </c>
      <c r="F6" s="3" t="n">
        <v>86.714</v>
      </c>
      <c r="G6" s="3" t="n">
        <v>127.324</v>
      </c>
      <c r="H6" s="3" t="n">
        <v>-40.61</v>
      </c>
      <c r="I6" s="3" t="n">
        <v>0.76</v>
      </c>
      <c r="J6" s="3" t="n">
        <v>1.784</v>
      </c>
      <c r="K6" s="3" t="n">
        <v>9.087999999999999</v>
      </c>
      <c r="L6" s="3" t="n">
        <v>24.785</v>
      </c>
      <c r="M6">
        <f>IF(ISNUMBER(H6),H6-I6-J6-K6,"n/a")</f>
        <v/>
      </c>
    </row>
    <row r="7">
      <c r="A7" t="inlineStr">
        <is>
          <t>FY2024</t>
        </is>
      </c>
      <c r="B7" s="3" t="n">
        <v>1468.907</v>
      </c>
      <c r="C7" s="3" t="n">
        <v>123.741</v>
      </c>
      <c r="D7" s="3" t="n">
        <v>56.465</v>
      </c>
      <c r="E7" s="3" t="n">
        <v>14.876</v>
      </c>
      <c r="F7" s="3" t="n">
        <v>-13.047</v>
      </c>
      <c r="G7" s="3" t="n">
        <v>69.916</v>
      </c>
      <c r="H7" s="3" t="n">
        <v>-82.96299999999999</v>
      </c>
      <c r="I7" s="3" t="n">
        <v>2.127</v>
      </c>
      <c r="J7" s="3" t="n">
        <v>3.901</v>
      </c>
      <c r="K7" s="3" t="n">
        <v>9.513999999999999</v>
      </c>
      <c r="L7" s="3" t="n">
        <v>9.047000000000001</v>
      </c>
      <c r="M7">
        <f>IF(ISNUMBER(H7),H7-I7-J7-K7,"n/a")</f>
        <v/>
      </c>
    </row>
    <row r="8">
      <c r="A8" t="inlineStr">
        <is>
          <t>FY2025</t>
        </is>
      </c>
      <c r="B8" s="3" t="n">
        <v>1823.337</v>
      </c>
      <c r="C8" s="3" t="n">
        <v>186.485</v>
      </c>
      <c r="D8" s="3" t="n">
        <v>113.354</v>
      </c>
      <c r="E8" s="3" t="n">
        <v>89.733</v>
      </c>
      <c r="F8" s="3" t="n">
        <v>406.322</v>
      </c>
      <c r="G8" s="3" t="n">
        <v>195.644</v>
      </c>
      <c r="H8" s="3" t="n">
        <v>210.678</v>
      </c>
      <c r="I8" s="3" t="n">
        <v>2.96</v>
      </c>
      <c r="J8" s="3" t="n">
        <v>13.275</v>
      </c>
      <c r="K8" s="3" t="n">
        <v>11.812</v>
      </c>
      <c r="L8" s="3" t="n">
        <v>45.954</v>
      </c>
      <c r="M8">
        <f>IF(ISNUMBER(H8),H8-I8-J8-K8,"n/a")</f>
        <v/>
      </c>
    </row>
    <row r="9">
      <c r="A9" t="inlineStr">
        <is>
          <t>H1 FY2026</t>
        </is>
      </c>
      <c r="B9" s="3" t="n">
        <v>1109.394</v>
      </c>
      <c r="C9" s="3" t="n">
        <v>93.922</v>
      </c>
      <c r="D9" s="3" t="n">
        <v>60.346</v>
      </c>
      <c r="E9" s="3" t="n">
        <v>30.496</v>
      </c>
      <c r="F9" s="3" t="n">
        <v>-62.893</v>
      </c>
      <c r="G9" s="3" t="n">
        <v>154.724</v>
      </c>
      <c r="H9" s="3" t="n">
        <v>-217.617</v>
      </c>
      <c r="I9" s="3" t="n">
        <v>2.26</v>
      </c>
      <c r="J9" s="3" t="n">
        <v>7.616</v>
      </c>
      <c r="K9" s="3" t="n">
        <v>6.984</v>
      </c>
      <c r="L9" s="3" t="n">
        <v>8.977</v>
      </c>
      <c r="M9">
        <f>IF(ISNUMBER(H9),H9-I9-J9-K9,"n/a")</f>
        <v/>
      </c>
    </row>
    <row r="10">
      <c r="A10" t="inlineStr">
        <is>
          <t>FY2026 (release)</t>
        </is>
      </c>
      <c r="B10" s="3" t="n">
        <v>2027</v>
      </c>
      <c r="D10" s="3" t="n">
        <v>-125.2</v>
      </c>
      <c r="E10" s="3" t="n">
        <v>-53.6</v>
      </c>
      <c r="M10">
        <f>IF(ISNUMBER(H10),H10-I10-J10-K10,"n/a")</f>
        <v/>
      </c>
    </row>
    <row r="12">
      <c r="A12" s="1" t="inlineStr">
        <is>
          <t>Balance sheet / count anchors</t>
        </is>
      </c>
    </row>
    <row r="13">
      <c r="A13" t="inlineStr">
        <is>
          <t>Cash A$m 30-Jun-2026 (results release)</t>
        </is>
      </c>
      <c r="B13" s="3" t="n">
        <v>312</v>
      </c>
    </row>
    <row r="14">
      <c r="A14" t="inlineStr">
        <is>
          <t>Borrowings A$m 31-Dec-2025</t>
        </is>
      </c>
      <c r="B14" s="3" t="n">
        <v>130.15</v>
      </c>
    </row>
    <row r="15">
      <c r="A15" t="inlineStr">
        <is>
          <t>Lease liabilities A$m 31-Dec-2025 (excluded, treatment B)</t>
        </is>
      </c>
      <c r="B15" s="3" t="n">
        <v>142.645</v>
      </c>
    </row>
    <row r="16">
      <c r="A16" t="inlineStr">
        <is>
          <t>Shares on issue 31-Dec-2025 (m)</t>
        </is>
      </c>
      <c r="B16" s="3" t="n">
        <v>422.050221</v>
      </c>
    </row>
    <row r="17">
      <c r="A17" t="inlineStr">
        <is>
          <t>Dilutive service rights (m), FY2025 EPS note</t>
        </is>
      </c>
      <c r="B17" s="3" t="n">
        <v>1.522405</v>
      </c>
    </row>
    <row r="18">
      <c r="A18" t="inlineStr">
        <is>
          <t>Progress payments received in advance A$m 31-Dec-2025</t>
        </is>
      </c>
      <c r="B18" s="3" t="n">
        <v>875.402</v>
      </c>
    </row>
    <row r="19">
      <c r="A19" t="inlineStr">
        <is>
          <t>Onerous contract provision A$m 31-Dec-2025 (T-ATS+AFDM only, pre FY2026 charge)</t>
        </is>
      </c>
      <c r="B19" s="3" t="n">
        <v>39.731</v>
      </c>
    </row>
    <row r="20">
      <c r="A20" t="inlineStr">
        <is>
          <t>Buybacks FY2019-FY2025</t>
        </is>
      </c>
      <c r="B20"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44" customWidth="1" min="1" max="1"/>
    <col width="16" customWidth="1" min="2" max="2"/>
    <col width="90" customWidth="1" min="3" max="3"/>
  </cols>
  <sheetData>
    <row r="1">
      <c r="A1" s="1" t="inlineStr">
        <is>
          <t>Global inputs</t>
        </is>
      </c>
    </row>
    <row r="3">
      <c r="A3" t="inlineStr">
        <is>
          <t>WACC</t>
        </is>
      </c>
      <c r="B3" s="4" t="n">
        <v>0.1</v>
      </c>
      <c r="C3" t="inlineStr">
        <is>
          <t>AUD-built: ACGB ~4.3% + 5.5% ERP x beta 1.1; same for every scenario (risk charged in flows/weights)</t>
        </is>
      </c>
    </row>
    <row r="4">
      <c r="A4" t="inlineStr">
        <is>
          <t>D&amp;A % revenue (ex right-of-use)</t>
        </is>
      </c>
      <c r="B4" s="3" t="n">
        <v>0.035</v>
      </c>
      <c r="C4" t="inlineStr">
        <is>
          <t>FY2025 60.1/1823 = 3.3%, lifted for new US facilities</t>
        </is>
      </c>
    </row>
    <row r="5">
      <c r="A5" t="inlineStr">
        <is>
          <t>Lease cost % revenue (principal + interest)</t>
        </is>
      </c>
      <c r="B5" s="3" t="n">
        <v>0.01</v>
      </c>
      <c r="C5" t="inlineStr">
        <is>
          <t>Treatment B: FY2025 11.8 principal + ~7 interest</t>
        </is>
      </c>
    </row>
    <row r="6">
      <c r="A6" t="inlineStr">
        <is>
          <t>Net cash A$m (positive = cash)</t>
        </is>
      </c>
      <c r="B6" s="3" t="n">
        <v>181.85</v>
      </c>
      <c r="C6" t="inlineStr">
        <is>
          <t xml:space="preserve">Borrowings A$130.150m (31-Dec-2025, H1 FY2026 BS) less cash A$312m at 30-Jun-2026 (FY2026 </t>
        </is>
      </c>
    </row>
    <row r="7">
      <c r="A7" t="inlineStr">
        <is>
          <t>Diluted shares (m)</t>
        </is>
      </c>
      <c r="B7" s="3" t="n">
        <v>423.572</v>
      </c>
      <c r="C7" t="inlineStr">
        <is>
          <t>422.05m issued 31-Dec-2025 + 1.52m service rights; FLAT</t>
        </is>
      </c>
    </row>
    <row r="8">
      <c r="A8" t="inlineStr">
        <is>
          <t>Price A$</t>
        </is>
      </c>
      <c r="B8" s="3" t="n">
        <v>4.54</v>
      </c>
      <c r="C8" t="inlineStr">
        <is>
          <t>2026-09-21T06:10:32Z (ASX regular close, 957k shares traded; not after-hours)</t>
        </is>
      </c>
    </row>
    <row r="9">
      <c r="A9" t="inlineStr">
        <is>
          <t>Hurdle rate</t>
        </is>
      </c>
      <c r="B9" s="3" t="n">
        <v>0.15</v>
      </c>
      <c r="C9" t="inlineStr">
        <is>
          <t>Entry-price IRR; TV rebuilt at this rate</t>
        </is>
      </c>
    </row>
    <row r="10">
      <c r="A10" t="inlineStr">
        <is>
          <t>FY0 revenue A$m (FY2026)</t>
        </is>
      </c>
      <c r="B10" s="3" t="n">
        <v>2027</v>
      </c>
      <c r="C10" t="inlineStr">
        <is>
          <t>FY2026 results release</t>
        </is>
      </c>
    </row>
    <row r="11">
      <c r="A11" t="inlineStr">
        <is>
          <t>SBC % revenue (all years, all scenarios)</t>
        </is>
      </c>
      <c r="B11" s="3" t="n">
        <v>0.0015</v>
      </c>
      <c r="C11" t="inlineStr">
        <is>
          <t>FY2025 2.96/1823 = 0.16%</t>
        </is>
      </c>
    </row>
    <row r="13">
      <c r="A13" s="1" t="inlineStr">
        <is>
          <t>Per scenario</t>
        </is>
      </c>
    </row>
    <row r="14">
      <c r="A14" s="1" t="inlineStr">
        <is>
          <t>Scenario</t>
        </is>
      </c>
      <c r="B14" s="1" t="inlineStr">
        <is>
          <t>Terminal growth</t>
        </is>
      </c>
      <c r="C14" s="1" t="inlineStr">
        <is>
          <t>Probability</t>
        </is>
      </c>
      <c r="D14" s="1" t="inlineStr">
        <is>
          <t>TV cap (x FCF10)</t>
        </is>
      </c>
      <c r="E14" s="1" t="inlineStr">
        <is>
          <t>WC capture % of rev change</t>
        </is>
      </c>
    </row>
    <row r="15">
      <c r="A15" t="inlineStr">
        <is>
          <t>Bear</t>
        </is>
      </c>
      <c r="B15" s="4" t="n">
        <v>0.02</v>
      </c>
      <c r="C15" s="4" t="n">
        <v>0.25</v>
      </c>
      <c r="D15" s="4" t="n">
        <v>10</v>
      </c>
      <c r="E15" s="4" t="n">
        <v>0</v>
      </c>
    </row>
    <row r="16">
      <c r="A16" t="inlineStr">
        <is>
          <t>Base</t>
        </is>
      </c>
      <c r="B16" s="4" t="n">
        <v>0.025</v>
      </c>
      <c r="C16" s="4" t="n">
        <v>0.45</v>
      </c>
      <c r="D16" s="4" t="n">
        <v>13</v>
      </c>
      <c r="E16" s="4" t="n">
        <v>0.05</v>
      </c>
    </row>
    <row r="17">
      <c r="A17" t="inlineStr">
        <is>
          <t>Bull</t>
        </is>
      </c>
      <c r="B17" s="4" t="n">
        <v>0.03</v>
      </c>
      <c r="C17" s="4" t="n">
        <v>0.3</v>
      </c>
      <c r="D17" s="4" t="n">
        <v>18</v>
      </c>
      <c r="E17" s="4" t="n">
        <v>0.08</v>
      </c>
    </row>
    <row r="18">
      <c r="B18" t="inlineStr">
        <is>
          <t>Weights sum</t>
        </is>
      </c>
      <c r="C18">
        <f>SUM(C15:C17)</f>
        <v/>
      </c>
    </row>
    <row r="20">
      <c r="A20" s="1" t="inlineStr">
        <is>
          <t>Scenario narratives</t>
        </is>
      </c>
    </row>
    <row r="21">
      <c r="A21" s="1" t="inlineStr">
        <is>
          <t>Bear</t>
        </is>
      </c>
      <c r="B21" s="2" t="inlineStr">
        <is>
          <t>Deal breaks and the estimation problem is structural. Both Austal USA proposals lapse or are blocked (CFIUS/political preference for domestic ownership, or Hanwha's FIRB conditions); the T-ATS/OPC/T-AGOS/AFDM/LCU programs generate a further round of overruns beyond the FY2026 provision (a repeat of 2016-&gt;2024), REAs recover little, and the steel transition keeps USA Shipbuilding at breakeven. Australasia's SSA pipeline still grows but only offsets a shrinking US book, so group revenue rises 2-4%/yr. Net capex stays at 12%/9% of revenue for two years because the Mobile facilities are contractually committed, burning most of the A$182m net cash. Mature cash EBITDA margin 7.5%, 10x terminal cap. Nothing in this path breaks solvency, but equity value collapses to the residual net cash plus a thin 1.6% FCF margin.</t>
        </is>
      </c>
    </row>
    <row r="22">
      <c r="A22" s="1" t="inlineStr">
        <is>
          <t>Base</t>
        </is>
      </c>
      <c r="B22" s="2" t="inlineStr">
        <is>
          <t>Standalone mid-cycle, deal uncertain. FY2027 returns to statutory profitability as guided, but ~A$70m/A$60m/A$25m of the onerous-contract provision is paid out in cash over FY2027-FY2029 as the hulls are built, so cash EBITDA margins are 5.5%/6.75%/8.5% before settling at 9.5% (history: FY2019-FY2025 average 8.5%, peak 11.6%). Revenue grows 8%/8%/7% on the A$1.03bn LC-M award, OPC, T-AGOS and submarine modules, decelerating to 2.5%. The US$1.2bn Mobile expansion holds net capex at 11%/8.5% before fading to 3.75%. Cash tax ramps 10%-&gt;27% as FY2026 losses are utilised. Owner FCF is negative in FY2027-FY2028 and reaches a 3.3% mature margin; the 13x cap binds the terminal value.</t>
        </is>
      </c>
    </row>
    <row r="23">
      <c r="A23" s="1" t="inlineStr">
        <is>
          <t>Bull</t>
        </is>
      </c>
      <c r="B23" s="2" t="inlineStr">
        <is>
          <t>Execution fixed, Australia doubles, and a strategic buyer sets the exit multiple. REAs recover a meaningful share of the FY2026 charge (unwind only 2.5/1.5/0.5pp), steel programs stabilise, Support grows as a share of mix and Australasia shipbuilding doubles by FY2031 per guidance, lifting cash EBITDA to 11.5%. Revenue compounds 12%/12%/10%/9%/8% off the A$16.5bn order book. Capex fades faster (3.5% maintenance) because the Navy and Commonwealth co-fund facilities. The 18x terminal cap is the strategic-buyer multiple evidenced by the Hanwha/Wildcat bids (~11-12x FY2025 Austal USA EBITDA); Gordon at 3% still binds below it. This is the scenario in which the market's current price is roughly fair on a standalone basis.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3:L43"/>
  <sheetViews>
    <sheetView workbookViewId="0">
      <selection activeCell="A1" sqref="A1"/>
    </sheetView>
  </sheetViews>
  <sheetFormatPr baseColWidth="8" defaultRowHeight="15"/>
  <cols>
    <col width="6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3">
      <c r="A3" t="inlineStr">
        <is>
          <t>Year</t>
        </is>
      </c>
      <c r="B3" t="inlineStr">
        <is>
          <t>2026A</t>
        </is>
      </c>
      <c r="C3" t="inlineStr">
        <is>
          <t>FY2027E</t>
        </is>
      </c>
      <c r="D3" t="inlineStr">
        <is>
          <t>FY2028E</t>
        </is>
      </c>
      <c r="E3" t="inlineStr">
        <is>
          <t>FY2029E</t>
        </is>
      </c>
      <c r="F3" t="inlineStr">
        <is>
          <t>FY2030E</t>
        </is>
      </c>
      <c r="G3" t="inlineStr">
        <is>
          <t>FY2031E</t>
        </is>
      </c>
      <c r="H3" t="inlineStr">
        <is>
          <t>FY2032E</t>
        </is>
      </c>
      <c r="I3" t="inlineStr">
        <is>
          <t>FY2033E</t>
        </is>
      </c>
      <c r="J3" t="inlineStr">
        <is>
          <t>FY2034E</t>
        </is>
      </c>
      <c r="K3" t="inlineStr">
        <is>
          <t>FY2035E</t>
        </is>
      </c>
      <c r="L3" t="inlineStr">
        <is>
          <t>FY2036E</t>
        </is>
      </c>
    </row>
    <row r="4">
      <c r="A4" t="inlineStr">
        <is>
          <t>Index</t>
        </is>
      </c>
      <c r="B4" t="n">
        <v>0</v>
      </c>
      <c r="C4" t="n">
        <v>1</v>
      </c>
      <c r="D4" t="n">
        <v>2</v>
      </c>
      <c r="E4" t="n">
        <v>3</v>
      </c>
      <c r="F4" t="n">
        <v>4</v>
      </c>
      <c r="G4" t="n">
        <v>5</v>
      </c>
      <c r="H4" t="n">
        <v>6</v>
      </c>
      <c r="I4" t="n">
        <v>7</v>
      </c>
      <c r="J4" t="n">
        <v>8</v>
      </c>
      <c r="K4" t="n">
        <v>9</v>
      </c>
      <c r="L4" t="n">
        <v>10</v>
      </c>
    </row>
    <row r="5">
      <c r="A5" t="inlineStr">
        <is>
          <t>Revenue growth YoY</t>
        </is>
      </c>
      <c r="C5" s="5" t="n">
        <v>0.04</v>
      </c>
      <c r="D5" s="5" t="n">
        <v>0.03</v>
      </c>
      <c r="E5" s="5" t="n">
        <v>0.02</v>
      </c>
      <c r="F5" s="5" t="n">
        <v>0.02</v>
      </c>
      <c r="G5" s="5" t="n">
        <v>0.02</v>
      </c>
      <c r="H5" s="5" t="n">
        <v>0.02</v>
      </c>
      <c r="I5" s="5" t="n">
        <v>0.02</v>
      </c>
      <c r="J5" s="5" t="n">
        <v>0.02</v>
      </c>
      <c r="K5" s="5" t="n">
        <v>0.02</v>
      </c>
      <c r="L5" s="5" t="n">
        <v>0.02</v>
      </c>
    </row>
    <row r="6">
      <c r="A6" t="inlineStr">
        <is>
          <t>Revenue A$m</t>
        </is>
      </c>
      <c r="B6" s="6">
        <f>Assumptions!$B$10</f>
        <v/>
      </c>
      <c r="C6">
        <f>B6*(1+C5)</f>
        <v/>
      </c>
      <c r="D6">
        <f>C6*(1+D5)</f>
        <v/>
      </c>
      <c r="E6">
        <f>D6*(1+E5)</f>
        <v/>
      </c>
      <c r="F6">
        <f>E6*(1+F5)</f>
        <v/>
      </c>
      <c r="G6">
        <f>F6*(1+G5)</f>
        <v/>
      </c>
      <c r="H6">
        <f>G6*(1+H5)</f>
        <v/>
      </c>
      <c r="I6">
        <f>H6*(1+I5)</f>
        <v/>
      </c>
      <c r="J6">
        <f>I6*(1+J5)</f>
        <v/>
      </c>
      <c r="K6">
        <f>J6*(1+K5)</f>
        <v/>
      </c>
      <c r="L6">
        <f>K6*(1+L5)</f>
        <v/>
      </c>
    </row>
    <row r="7">
      <c r="A7" t="inlineStr">
        <is>
          <t>EBITDA margin (cash basis, post-IFRS16, net of onerous unwind)</t>
        </is>
      </c>
      <c r="C7" s="5" t="n">
        <v>0.035</v>
      </c>
      <c r="D7" s="5" t="n">
        <v>0.045</v>
      </c>
      <c r="E7" s="5" t="n">
        <v>0.065</v>
      </c>
      <c r="F7" s="5" t="n">
        <v>0.075</v>
      </c>
      <c r="G7" s="5" t="n">
        <v>0.075</v>
      </c>
      <c r="H7" s="5" t="n">
        <v>0.075</v>
      </c>
      <c r="I7" s="5" t="n">
        <v>0.075</v>
      </c>
      <c r="J7" s="5" t="n">
        <v>0.075</v>
      </c>
      <c r="K7" s="5" t="n">
        <v>0.075</v>
      </c>
      <c r="L7" s="5" t="n">
        <v>0.075</v>
      </c>
    </row>
    <row r="8">
      <c r="A8" t="inlineStr">
        <is>
          <t>Adjusted EBITDA</t>
        </is>
      </c>
      <c r="C8">
        <f>C6*C7</f>
        <v/>
      </c>
      <c r="D8">
        <f>D6*D7</f>
        <v/>
      </c>
      <c r="E8">
        <f>E6*E7</f>
        <v/>
      </c>
      <c r="F8">
        <f>F6*F7</f>
        <v/>
      </c>
      <c r="G8">
        <f>G6*G7</f>
        <v/>
      </c>
      <c r="H8">
        <f>H6*H7</f>
        <v/>
      </c>
      <c r="I8">
        <f>I6*I7</f>
        <v/>
      </c>
      <c r="J8">
        <f>J6*J7</f>
        <v/>
      </c>
      <c r="K8">
        <f>K6*K7</f>
        <v/>
      </c>
      <c r="L8">
        <f>L6*L7</f>
        <v/>
      </c>
    </row>
    <row r="9">
      <c r="A9" t="inlineStr">
        <is>
          <t>SBC % revenue</t>
        </is>
      </c>
      <c r="C9" s="7">
        <f>Assumptions!$B$11</f>
        <v/>
      </c>
      <c r="D9" s="7">
        <f>Assumptions!$B$11</f>
        <v/>
      </c>
      <c r="E9" s="7">
        <f>Assumptions!$B$11</f>
        <v/>
      </c>
      <c r="F9" s="7">
        <f>Assumptions!$B$11</f>
        <v/>
      </c>
      <c r="G9" s="7">
        <f>Assumptions!$B$11</f>
        <v/>
      </c>
      <c r="H9" s="7">
        <f>Assumptions!$B$11</f>
        <v/>
      </c>
      <c r="I9" s="7">
        <f>Assumptions!$B$11</f>
        <v/>
      </c>
      <c r="J9" s="7">
        <f>Assumptions!$B$11</f>
        <v/>
      </c>
      <c r="K9" s="7">
        <f>Assumptions!$B$11</f>
        <v/>
      </c>
      <c r="L9" s="7">
        <f>Assumptions!$B$11</f>
        <v/>
      </c>
    </row>
    <row r="10">
      <c r="A10" t="inlineStr">
        <is>
          <t>SBC A$m (negative)</t>
        </is>
      </c>
      <c r="C10">
        <f>-C6*C9</f>
        <v/>
      </c>
      <c r="D10">
        <f>-D6*D9</f>
        <v/>
      </c>
      <c r="E10">
        <f>-E6*E9</f>
        <v/>
      </c>
      <c r="F10">
        <f>-F6*F9</f>
        <v/>
      </c>
      <c r="G10">
        <f>-G6*G9</f>
        <v/>
      </c>
      <c r="H10">
        <f>-H6*H9</f>
        <v/>
      </c>
      <c r="I10">
        <f>-I6*I9</f>
        <v/>
      </c>
      <c r="J10">
        <f>-J6*J9</f>
        <v/>
      </c>
      <c r="K10">
        <f>-K6*K9</f>
        <v/>
      </c>
      <c r="L10">
        <f>-L6*L9</f>
        <v/>
      </c>
    </row>
    <row r="11">
      <c r="A11" t="inlineStr">
        <is>
          <t>Owner EBITDA (after SBC and lease cost)</t>
        </is>
      </c>
      <c r="C11">
        <f>C8+C10-C6*Assumptions!$B$5</f>
        <v/>
      </c>
      <c r="D11">
        <f>D8+D10-D6*Assumptions!$B$5</f>
        <v/>
      </c>
      <c r="E11">
        <f>E8+E10-E6*Assumptions!$B$5</f>
        <v/>
      </c>
      <c r="F11">
        <f>F8+F10-F6*Assumptions!$B$5</f>
        <v/>
      </c>
      <c r="G11">
        <f>G8+G10-G6*Assumptions!$B$5</f>
        <v/>
      </c>
      <c r="H11">
        <f>H8+H10-H6*Assumptions!$B$5</f>
        <v/>
      </c>
      <c r="I11">
        <f>I8+I10-I6*Assumptions!$B$5</f>
        <v/>
      </c>
      <c r="J11">
        <f>J8+J10-J6*Assumptions!$B$5</f>
        <v/>
      </c>
      <c r="K11">
        <f>K8+K10-K6*Assumptions!$B$5</f>
        <v/>
      </c>
      <c r="L11">
        <f>L8+L10-L6*Assumptions!$B$5</f>
        <v/>
      </c>
    </row>
    <row r="12">
      <c r="A12" t="inlineStr">
        <is>
          <t>D&amp;A ex-ROU (negative)</t>
        </is>
      </c>
      <c r="C12">
        <f>-C6*Assumptions!$B$4</f>
        <v/>
      </c>
      <c r="D12">
        <f>-D6*Assumptions!$B$4</f>
        <v/>
      </c>
      <c r="E12">
        <f>-E6*Assumptions!$B$4</f>
        <v/>
      </c>
      <c r="F12">
        <f>-F6*Assumptions!$B$4</f>
        <v/>
      </c>
      <c r="G12">
        <f>-G6*Assumptions!$B$4</f>
        <v/>
      </c>
      <c r="H12">
        <f>-H6*Assumptions!$B$4</f>
        <v/>
      </c>
      <c r="I12">
        <f>-I6*Assumptions!$B$4</f>
        <v/>
      </c>
      <c r="J12">
        <f>-J6*Assumptions!$B$4</f>
        <v/>
      </c>
      <c r="K12">
        <f>-K6*Assumptions!$B$4</f>
        <v/>
      </c>
      <c r="L12">
        <f>-L6*Assumptions!$B$4</f>
        <v/>
      </c>
    </row>
    <row r="13">
      <c r="A13" t="inlineStr">
        <is>
          <t>EBIT, SBC expensed</t>
        </is>
      </c>
      <c r="C13">
        <f>C11+C12</f>
        <v/>
      </c>
      <c r="D13">
        <f>D11+D12</f>
        <v/>
      </c>
      <c r="E13">
        <f>E11+E12</f>
        <v/>
      </c>
      <c r="F13">
        <f>F11+F12</f>
        <v/>
      </c>
      <c r="G13">
        <f>G11+G12</f>
        <v/>
      </c>
      <c r="H13">
        <f>H11+H12</f>
        <v/>
      </c>
      <c r="I13">
        <f>I11+I12</f>
        <v/>
      </c>
      <c r="J13">
        <f>J11+J12</f>
        <v/>
      </c>
      <c r="K13">
        <f>K11+K12</f>
        <v/>
      </c>
      <c r="L13">
        <f>L11+L12</f>
        <v/>
      </c>
    </row>
    <row r="14">
      <c r="A14" t="inlineStr">
        <is>
          <t>Cash tax rate</t>
        </is>
      </c>
      <c r="C14" s="5" t="n">
        <v>0</v>
      </c>
      <c r="D14" s="5" t="n">
        <v>0</v>
      </c>
      <c r="E14" s="5" t="n">
        <v>0.15</v>
      </c>
      <c r="F14" s="5" t="n">
        <v>0.22</v>
      </c>
      <c r="G14" s="5" t="n">
        <v>0.27</v>
      </c>
      <c r="H14" s="5" t="n">
        <v>0.27</v>
      </c>
      <c r="I14" s="5" t="n">
        <v>0.27</v>
      </c>
      <c r="J14" s="5" t="n">
        <v>0.27</v>
      </c>
      <c r="K14" s="5" t="n">
        <v>0.27</v>
      </c>
      <c r="L14" s="5" t="n">
        <v>0.27</v>
      </c>
    </row>
    <row r="15">
      <c r="A15" t="inlineStr">
        <is>
          <t>NOPAT</t>
        </is>
      </c>
      <c r="C15">
        <f>C13*(1-C14)</f>
        <v/>
      </c>
      <c r="D15">
        <f>D13*(1-D14)</f>
        <v/>
      </c>
      <c r="E15">
        <f>E13*(1-E14)</f>
        <v/>
      </c>
      <c r="F15">
        <f>F13*(1-F14)</f>
        <v/>
      </c>
      <c r="G15">
        <f>G13*(1-G14)</f>
        <v/>
      </c>
      <c r="H15">
        <f>H13*(1-H14)</f>
        <v/>
      </c>
      <c r="I15">
        <f>I13*(1-I14)</f>
        <v/>
      </c>
      <c r="J15">
        <f>J13*(1-J14)</f>
        <v/>
      </c>
      <c r="K15">
        <f>K13*(1-K14)</f>
        <v/>
      </c>
      <c r="L15">
        <f>L13*(1-L14)</f>
        <v/>
      </c>
    </row>
    <row r="16">
      <c r="A16" t="inlineStr">
        <is>
          <t>add back D&amp;A</t>
        </is>
      </c>
      <c r="C16">
        <f>-C12</f>
        <v/>
      </c>
      <c r="D16">
        <f>-D12</f>
        <v/>
      </c>
      <c r="E16">
        <f>-E12</f>
        <v/>
      </c>
      <c r="F16">
        <f>-F12</f>
        <v/>
      </c>
      <c r="G16">
        <f>-G12</f>
        <v/>
      </c>
      <c r="H16">
        <f>-H12</f>
        <v/>
      </c>
      <c r="I16">
        <f>-I12</f>
        <v/>
      </c>
      <c r="J16">
        <f>-J12</f>
        <v/>
      </c>
      <c r="K16">
        <f>-K12</f>
        <v/>
      </c>
      <c r="L16">
        <f>-L12</f>
        <v/>
      </c>
    </row>
    <row r="17">
      <c r="A17" t="inlineStr">
        <is>
          <t>less capex (net of grants)</t>
        </is>
      </c>
      <c r="C17">
        <f>-C6*C25</f>
        <v/>
      </c>
      <c r="D17">
        <f>-D6*D25</f>
        <v/>
      </c>
      <c r="E17">
        <f>-E6*E25</f>
        <v/>
      </c>
      <c r="F17">
        <f>-F6*F25</f>
        <v/>
      </c>
      <c r="G17">
        <f>-G6*G25</f>
        <v/>
      </c>
      <c r="H17">
        <f>-H6*H25</f>
        <v/>
      </c>
      <c r="I17">
        <f>-I6*I25</f>
        <v/>
      </c>
      <c r="J17">
        <f>-J6*J25</f>
        <v/>
      </c>
      <c r="K17">
        <f>-K6*K25</f>
        <v/>
      </c>
      <c r="L17">
        <f>-L6*L25</f>
        <v/>
      </c>
    </row>
    <row r="18">
      <c r="A18" t="inlineStr">
        <is>
          <t>add working capital</t>
        </is>
      </c>
      <c r="C18">
        <f>Assumptions!$E$15*(C6-B6)</f>
        <v/>
      </c>
      <c r="D18">
        <f>Assumptions!$E$15*(D6-C6)</f>
        <v/>
      </c>
      <c r="E18">
        <f>Assumptions!$E$15*(E6-D6)</f>
        <v/>
      </c>
      <c r="F18">
        <f>Assumptions!$E$15*(F6-E6)</f>
        <v/>
      </c>
      <c r="G18">
        <f>Assumptions!$E$15*(G6-F6)</f>
        <v/>
      </c>
      <c r="H18">
        <f>Assumptions!$E$15*(H6-G6)</f>
        <v/>
      </c>
      <c r="I18">
        <f>Assumptions!$E$15*(I6-H6)</f>
        <v/>
      </c>
      <c r="J18">
        <f>Assumptions!$E$15*(J6-I6)</f>
        <v/>
      </c>
      <c r="K18">
        <f>Assumptions!$E$15*(K6-J6)</f>
        <v/>
      </c>
      <c r="L18">
        <f>Assumptions!$E$15*(L6-K6)</f>
        <v/>
      </c>
    </row>
    <row r="19">
      <c r="A19" t="inlineStr">
        <is>
          <t>Unlevered owner FCF</t>
        </is>
      </c>
      <c r="C19">
        <f>C15+C16+C17+C18</f>
        <v/>
      </c>
      <c r="D19">
        <f>D15+D16+D17+D18</f>
        <v/>
      </c>
      <c r="E19">
        <f>E15+E16+E17+E18</f>
        <v/>
      </c>
      <c r="F19">
        <f>F15+F16+F17+F18</f>
        <v/>
      </c>
      <c r="G19">
        <f>G15+G16+G17+G18</f>
        <v/>
      </c>
      <c r="H19">
        <f>H15+H16+H17+H18</f>
        <v/>
      </c>
      <c r="I19">
        <f>I15+I16+I17+I18</f>
        <v/>
      </c>
      <c r="J19">
        <f>J15+J16+J17+J18</f>
        <v/>
      </c>
      <c r="K19">
        <f>K15+K16+K17+K18</f>
        <v/>
      </c>
      <c r="L19">
        <f>L15+L16+L17+L18</f>
        <v/>
      </c>
    </row>
    <row r="20">
      <c r="A20" t="inlineStr">
        <is>
          <t>Discount factor</t>
        </is>
      </c>
      <c r="C20">
        <f>1/(1+Assumptions!$B$3)^C4</f>
        <v/>
      </c>
      <c r="D20">
        <f>1/(1+Assumptions!$B$3)^D4</f>
        <v/>
      </c>
      <c r="E20">
        <f>1/(1+Assumptions!$B$3)^E4</f>
        <v/>
      </c>
      <c r="F20">
        <f>1/(1+Assumptions!$B$3)^F4</f>
        <v/>
      </c>
      <c r="G20">
        <f>1/(1+Assumptions!$B$3)^G4</f>
        <v/>
      </c>
      <c r="H20">
        <f>1/(1+Assumptions!$B$3)^H4</f>
        <v/>
      </c>
      <c r="I20">
        <f>1/(1+Assumptions!$B$3)^I4</f>
        <v/>
      </c>
      <c r="J20">
        <f>1/(1+Assumptions!$B$3)^J4</f>
        <v/>
      </c>
      <c r="K20">
        <f>1/(1+Assumptions!$B$3)^K4</f>
        <v/>
      </c>
      <c r="L20">
        <f>1/(1+Assumptions!$B$3)^L4</f>
        <v/>
      </c>
    </row>
    <row r="21">
      <c r="A21" t="inlineStr">
        <is>
          <t>PV of FCF</t>
        </is>
      </c>
      <c r="C21">
        <f>C19*C20</f>
        <v/>
      </c>
      <c r="D21">
        <f>D19*D20</f>
        <v/>
      </c>
      <c r="E21">
        <f>E19*E20</f>
        <v/>
      </c>
      <c r="F21">
        <f>F19*F20</f>
        <v/>
      </c>
      <c r="G21">
        <f>G19*G20</f>
        <v/>
      </c>
      <c r="H21">
        <f>H19*H20</f>
        <v/>
      </c>
      <c r="I21">
        <f>I19*I20</f>
        <v/>
      </c>
      <c r="J21">
        <f>J19*J20</f>
        <v/>
      </c>
      <c r="K21">
        <f>K19*K20</f>
        <v/>
      </c>
      <c r="L21">
        <f>L19*L20</f>
        <v/>
      </c>
    </row>
    <row r="23">
      <c r="A23" t="inlineStr">
        <is>
          <t>Memo: FCF before SBC (company-style)</t>
        </is>
      </c>
      <c r="C23">
        <f>C19-C10</f>
        <v/>
      </c>
      <c r="D23">
        <f>D19-D10</f>
        <v/>
      </c>
      <c r="E23">
        <f>E19-E10</f>
        <v/>
      </c>
      <c r="F23">
        <f>F19-F10</f>
        <v/>
      </c>
      <c r="G23">
        <f>G19-G10</f>
        <v/>
      </c>
      <c r="H23">
        <f>H19-H10</f>
        <v/>
      </c>
      <c r="I23">
        <f>I19-I10</f>
        <v/>
      </c>
      <c r="J23">
        <f>J19-J10</f>
        <v/>
      </c>
      <c r="K23">
        <f>K19-K10</f>
        <v/>
      </c>
      <c r="L23">
        <f>L19-L10</f>
        <v/>
      </c>
    </row>
    <row r="24">
      <c r="A24" t="inlineStr">
        <is>
          <t>Memo: owner-FCF margin</t>
        </is>
      </c>
      <c r="C24" s="8">
        <f>C19/C6</f>
        <v/>
      </c>
      <c r="D24" s="8">
        <f>D19/D6</f>
        <v/>
      </c>
      <c r="E24" s="8">
        <f>E19/E6</f>
        <v/>
      </c>
      <c r="F24" s="8">
        <f>F19/F6</f>
        <v/>
      </c>
      <c r="G24" s="8">
        <f>G19/G6</f>
        <v/>
      </c>
      <c r="H24" s="8">
        <f>H19/H6</f>
        <v/>
      </c>
      <c r="I24" s="8">
        <f>I19/I6</f>
        <v/>
      </c>
      <c r="J24" s="8">
        <f>J19/J6</f>
        <v/>
      </c>
      <c r="K24" s="8">
        <f>K19/K6</f>
        <v/>
      </c>
      <c r="L24" s="8">
        <f>L19/L6</f>
        <v/>
      </c>
    </row>
    <row r="25">
      <c r="A25" t="inlineStr">
        <is>
          <t>Capex % revenue (net of grants) -- driver</t>
        </is>
      </c>
      <c r="C25" s="5" t="n">
        <v>0.12</v>
      </c>
      <c r="D25" s="5" t="n">
        <v>0.09</v>
      </c>
      <c r="E25" s="5" t="n">
        <v>0.065</v>
      </c>
      <c r="F25" s="5" t="n">
        <v>0.05</v>
      </c>
      <c r="G25" s="5" t="n">
        <v>0.045</v>
      </c>
      <c r="H25" s="5" t="n">
        <v>0.04</v>
      </c>
      <c r="I25" s="5" t="n">
        <v>0.04</v>
      </c>
      <c r="J25" s="5" t="n">
        <v>0.04</v>
      </c>
      <c r="K25" s="5" t="n">
        <v>0.04</v>
      </c>
      <c r="L25" s="5" t="n">
        <v>0.04</v>
      </c>
    </row>
    <row r="26">
      <c r="A26" t="inlineStr">
        <is>
          <t>Sum of PV of FCF</t>
        </is>
      </c>
      <c r="B26">
        <f>SUM(C21:L21)</f>
        <v/>
      </c>
    </row>
    <row r="27">
      <c r="A27" t="inlineStr">
        <is>
          <t>Terminal growth</t>
        </is>
      </c>
      <c r="B27" s="6">
        <f>Assumptions!$B$15</f>
        <v/>
      </c>
    </row>
    <row r="28">
      <c r="A28" t="inlineStr">
        <is>
          <t>Terminal FCF (FY10 x (1+g))</t>
        </is>
      </c>
      <c r="B28">
        <f>L19*(1+B27)</f>
        <v/>
      </c>
    </row>
    <row r="29">
      <c r="A29" t="inlineStr">
        <is>
          <t>Gordon TV</t>
        </is>
      </c>
      <c r="B29">
        <f>B28/(Assumptions!$B$3-B27)</f>
        <v/>
      </c>
    </row>
    <row r="30">
      <c r="A30" t="inlineStr">
        <is>
          <t>Cap TV</t>
        </is>
      </c>
      <c r="B30">
        <f>Assumptions!$D$15*L19</f>
        <v/>
      </c>
    </row>
    <row r="31">
      <c r="A31" t="inlineStr">
        <is>
          <t>TV used = MAX(0,MIN(Gordon,cap))</t>
        </is>
      </c>
      <c r="B31">
        <f>MAX(0,MIN(B29,B30))</f>
        <v/>
      </c>
    </row>
    <row r="32">
      <c r="A32" t="inlineStr">
        <is>
          <t>Implied exit multiple</t>
        </is>
      </c>
      <c r="B32">
        <f>IF(L19&lt;&gt;0,B31/L19,"n/a")</f>
        <v/>
      </c>
    </row>
    <row r="33">
      <c r="A33" t="inlineStr">
        <is>
          <t>PV of TV</t>
        </is>
      </c>
      <c r="B33">
        <f>B31*L20</f>
        <v/>
      </c>
    </row>
    <row r="34">
      <c r="A34" t="inlineStr">
        <is>
          <t>Enterprise value</t>
        </is>
      </c>
      <c r="B34">
        <f>B26+B33</f>
        <v/>
      </c>
    </row>
    <row r="35">
      <c r="A35" t="inlineStr">
        <is>
          <t>add net cash</t>
        </is>
      </c>
      <c r="B35" s="6">
        <f>Assumptions!$B$6</f>
        <v/>
      </c>
    </row>
    <row r="36">
      <c r="A36" t="inlineStr">
        <is>
          <t>Equity value</t>
        </is>
      </c>
      <c r="B36">
        <f>B34+B35</f>
        <v/>
      </c>
    </row>
    <row r="37">
      <c r="A37" t="inlineStr">
        <is>
          <t>Diluted shares (m)</t>
        </is>
      </c>
      <c r="B37" s="6">
        <f>Assumptions!$B$7</f>
        <v/>
      </c>
    </row>
    <row r="38">
      <c r="A38" t="inlineStr">
        <is>
          <t>Value per share A$</t>
        </is>
      </c>
      <c r="B38" s="9">
        <f>B36/B37</f>
        <v/>
      </c>
    </row>
    <row r="39">
      <c r="A39" t="inlineStr">
        <is>
          <t>Upside vs price</t>
        </is>
      </c>
      <c r="B39" s="10">
        <f>B38/Assumptions!$B$8-1</f>
        <v/>
      </c>
    </row>
    <row r="41">
      <c r="A41" t="inlineStr">
        <is>
          <t>Street memo: PV of explicit SBC</t>
        </is>
      </c>
      <c r="B41">
        <f>SUMPRODUCT(-C10:L10/(1+Assumptions!$B$3)^C4:L4)</f>
        <v/>
      </c>
    </row>
    <row r="42">
      <c r="A42" t="inlineStr">
        <is>
          <t>Street memo: PV of terminal SBC</t>
        </is>
      </c>
      <c r="B42">
        <f>(-L10*(1+B27)/(Assumptions!$B$3-B27))*L20</f>
        <v/>
      </c>
    </row>
    <row r="43">
      <c r="A43" t="inlineStr">
        <is>
          <t>Street value per share A$</t>
        </is>
      </c>
      <c r="B43">
        <f>(B36+B41+B42)/B37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3:L43"/>
  <sheetViews>
    <sheetView workbookViewId="0">
      <selection activeCell="A1" sqref="A1"/>
    </sheetView>
  </sheetViews>
  <sheetFormatPr baseColWidth="8" defaultRowHeight="15"/>
  <cols>
    <col width="6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3">
      <c r="A3" t="inlineStr">
        <is>
          <t>Year</t>
        </is>
      </c>
      <c r="B3" t="inlineStr">
        <is>
          <t>2026A</t>
        </is>
      </c>
      <c r="C3" t="inlineStr">
        <is>
          <t>FY2027E</t>
        </is>
      </c>
      <c r="D3" t="inlineStr">
        <is>
          <t>FY2028E</t>
        </is>
      </c>
      <c r="E3" t="inlineStr">
        <is>
          <t>FY2029E</t>
        </is>
      </c>
      <c r="F3" t="inlineStr">
        <is>
          <t>FY2030E</t>
        </is>
      </c>
      <c r="G3" t="inlineStr">
        <is>
          <t>FY2031E</t>
        </is>
      </c>
      <c r="H3" t="inlineStr">
        <is>
          <t>FY2032E</t>
        </is>
      </c>
      <c r="I3" t="inlineStr">
        <is>
          <t>FY2033E</t>
        </is>
      </c>
      <c r="J3" t="inlineStr">
        <is>
          <t>FY2034E</t>
        </is>
      </c>
      <c r="K3" t="inlineStr">
        <is>
          <t>FY2035E</t>
        </is>
      </c>
      <c r="L3" t="inlineStr">
        <is>
          <t>FY2036E</t>
        </is>
      </c>
    </row>
    <row r="4">
      <c r="A4" t="inlineStr">
        <is>
          <t>Index</t>
        </is>
      </c>
      <c r="B4" t="n">
        <v>0</v>
      </c>
      <c r="C4" t="n">
        <v>1</v>
      </c>
      <c r="D4" t="n">
        <v>2</v>
      </c>
      <c r="E4" t="n">
        <v>3</v>
      </c>
      <c r="F4" t="n">
        <v>4</v>
      </c>
      <c r="G4" t="n">
        <v>5</v>
      </c>
      <c r="H4" t="n">
        <v>6</v>
      </c>
      <c r="I4" t="n">
        <v>7</v>
      </c>
      <c r="J4" t="n">
        <v>8</v>
      </c>
      <c r="K4" t="n">
        <v>9</v>
      </c>
      <c r="L4" t="n">
        <v>10</v>
      </c>
    </row>
    <row r="5">
      <c r="A5" t="inlineStr">
        <is>
          <t>Revenue growth YoY</t>
        </is>
      </c>
      <c r="C5" s="5" t="n">
        <v>0.08</v>
      </c>
      <c r="D5" s="5" t="n">
        <v>0.08</v>
      </c>
      <c r="E5" s="5" t="n">
        <v>0.07000000000000001</v>
      </c>
      <c r="F5" s="5" t="n">
        <v>0.06</v>
      </c>
      <c r="G5" s="5" t="n">
        <v>0.05</v>
      </c>
      <c r="H5" s="5" t="n">
        <v>0.04</v>
      </c>
      <c r="I5" s="5" t="n">
        <v>0.035</v>
      </c>
      <c r="J5" s="5" t="n">
        <v>0.03</v>
      </c>
      <c r="K5" s="5" t="n">
        <v>0.03</v>
      </c>
      <c r="L5" s="5" t="n">
        <v>0.025</v>
      </c>
    </row>
    <row r="6">
      <c r="A6" t="inlineStr">
        <is>
          <t>Revenue A$m</t>
        </is>
      </c>
      <c r="B6" s="6">
        <f>Assumptions!$B$10</f>
        <v/>
      </c>
      <c r="C6">
        <f>B6*(1+C5)</f>
        <v/>
      </c>
      <c r="D6">
        <f>C6*(1+D5)</f>
        <v/>
      </c>
      <c r="E6">
        <f>D6*(1+E5)</f>
        <v/>
      </c>
      <c r="F6">
        <f>E6*(1+F5)</f>
        <v/>
      </c>
      <c r="G6">
        <f>F6*(1+G5)</f>
        <v/>
      </c>
      <c r="H6">
        <f>G6*(1+H5)</f>
        <v/>
      </c>
      <c r="I6">
        <f>H6*(1+I5)</f>
        <v/>
      </c>
      <c r="J6">
        <f>I6*(1+J5)</f>
        <v/>
      </c>
      <c r="K6">
        <f>J6*(1+K5)</f>
        <v/>
      </c>
      <c r="L6">
        <f>K6*(1+L5)</f>
        <v/>
      </c>
    </row>
    <row r="7">
      <c r="A7" t="inlineStr">
        <is>
          <t>EBITDA margin (cash basis, post-IFRS16, net of onerous unwind)</t>
        </is>
      </c>
      <c r="C7" s="5" t="n">
        <v>0.055</v>
      </c>
      <c r="D7" s="5" t="n">
        <v>0.0675</v>
      </c>
      <c r="E7" s="5" t="n">
        <v>0.08500000000000001</v>
      </c>
      <c r="F7" s="5" t="n">
        <v>0.095</v>
      </c>
      <c r="G7" s="5" t="n">
        <v>0.095</v>
      </c>
      <c r="H7" s="5" t="n">
        <v>0.095</v>
      </c>
      <c r="I7" s="5" t="n">
        <v>0.095</v>
      </c>
      <c r="J7" s="5" t="n">
        <v>0.095</v>
      </c>
      <c r="K7" s="5" t="n">
        <v>0.095</v>
      </c>
      <c r="L7" s="5" t="n">
        <v>0.095</v>
      </c>
    </row>
    <row r="8">
      <c r="A8" t="inlineStr">
        <is>
          <t>Adjusted EBITDA</t>
        </is>
      </c>
      <c r="C8">
        <f>C6*C7</f>
        <v/>
      </c>
      <c r="D8">
        <f>D6*D7</f>
        <v/>
      </c>
      <c r="E8">
        <f>E6*E7</f>
        <v/>
      </c>
      <c r="F8">
        <f>F6*F7</f>
        <v/>
      </c>
      <c r="G8">
        <f>G6*G7</f>
        <v/>
      </c>
      <c r="H8">
        <f>H6*H7</f>
        <v/>
      </c>
      <c r="I8">
        <f>I6*I7</f>
        <v/>
      </c>
      <c r="J8">
        <f>J6*J7</f>
        <v/>
      </c>
      <c r="K8">
        <f>K6*K7</f>
        <v/>
      </c>
      <c r="L8">
        <f>L6*L7</f>
        <v/>
      </c>
    </row>
    <row r="9">
      <c r="A9" t="inlineStr">
        <is>
          <t>SBC % revenue</t>
        </is>
      </c>
      <c r="C9" s="7">
        <f>Assumptions!$B$11</f>
        <v/>
      </c>
      <c r="D9" s="7">
        <f>Assumptions!$B$11</f>
        <v/>
      </c>
      <c r="E9" s="7">
        <f>Assumptions!$B$11</f>
        <v/>
      </c>
      <c r="F9" s="7">
        <f>Assumptions!$B$11</f>
        <v/>
      </c>
      <c r="G9" s="7">
        <f>Assumptions!$B$11</f>
        <v/>
      </c>
      <c r="H9" s="7">
        <f>Assumptions!$B$11</f>
        <v/>
      </c>
      <c r="I9" s="7">
        <f>Assumptions!$B$11</f>
        <v/>
      </c>
      <c r="J9" s="7">
        <f>Assumptions!$B$11</f>
        <v/>
      </c>
      <c r="K9" s="7">
        <f>Assumptions!$B$11</f>
        <v/>
      </c>
      <c r="L9" s="7">
        <f>Assumptions!$B$11</f>
        <v/>
      </c>
    </row>
    <row r="10">
      <c r="A10" t="inlineStr">
        <is>
          <t>SBC A$m (negative)</t>
        </is>
      </c>
      <c r="C10">
        <f>-C6*C9</f>
        <v/>
      </c>
      <c r="D10">
        <f>-D6*D9</f>
        <v/>
      </c>
      <c r="E10">
        <f>-E6*E9</f>
        <v/>
      </c>
      <c r="F10">
        <f>-F6*F9</f>
        <v/>
      </c>
      <c r="G10">
        <f>-G6*G9</f>
        <v/>
      </c>
      <c r="H10">
        <f>-H6*H9</f>
        <v/>
      </c>
      <c r="I10">
        <f>-I6*I9</f>
        <v/>
      </c>
      <c r="J10">
        <f>-J6*J9</f>
        <v/>
      </c>
      <c r="K10">
        <f>-K6*K9</f>
        <v/>
      </c>
      <c r="L10">
        <f>-L6*L9</f>
        <v/>
      </c>
    </row>
    <row r="11">
      <c r="A11" t="inlineStr">
        <is>
          <t>Owner EBITDA (after SBC and lease cost)</t>
        </is>
      </c>
      <c r="C11">
        <f>C8+C10-C6*Assumptions!$B$5</f>
        <v/>
      </c>
      <c r="D11">
        <f>D8+D10-D6*Assumptions!$B$5</f>
        <v/>
      </c>
      <c r="E11">
        <f>E8+E10-E6*Assumptions!$B$5</f>
        <v/>
      </c>
      <c r="F11">
        <f>F8+F10-F6*Assumptions!$B$5</f>
        <v/>
      </c>
      <c r="G11">
        <f>G8+G10-G6*Assumptions!$B$5</f>
        <v/>
      </c>
      <c r="H11">
        <f>H8+H10-H6*Assumptions!$B$5</f>
        <v/>
      </c>
      <c r="I11">
        <f>I8+I10-I6*Assumptions!$B$5</f>
        <v/>
      </c>
      <c r="J11">
        <f>J8+J10-J6*Assumptions!$B$5</f>
        <v/>
      </c>
      <c r="K11">
        <f>K8+K10-K6*Assumptions!$B$5</f>
        <v/>
      </c>
      <c r="L11">
        <f>L8+L10-L6*Assumptions!$B$5</f>
        <v/>
      </c>
    </row>
    <row r="12">
      <c r="A12" t="inlineStr">
        <is>
          <t>D&amp;A ex-ROU (negative)</t>
        </is>
      </c>
      <c r="C12">
        <f>-C6*Assumptions!$B$4</f>
        <v/>
      </c>
      <c r="D12">
        <f>-D6*Assumptions!$B$4</f>
        <v/>
      </c>
      <c r="E12">
        <f>-E6*Assumptions!$B$4</f>
        <v/>
      </c>
      <c r="F12">
        <f>-F6*Assumptions!$B$4</f>
        <v/>
      </c>
      <c r="G12">
        <f>-G6*Assumptions!$B$4</f>
        <v/>
      </c>
      <c r="H12">
        <f>-H6*Assumptions!$B$4</f>
        <v/>
      </c>
      <c r="I12">
        <f>-I6*Assumptions!$B$4</f>
        <v/>
      </c>
      <c r="J12">
        <f>-J6*Assumptions!$B$4</f>
        <v/>
      </c>
      <c r="K12">
        <f>-K6*Assumptions!$B$4</f>
        <v/>
      </c>
      <c r="L12">
        <f>-L6*Assumptions!$B$4</f>
        <v/>
      </c>
    </row>
    <row r="13">
      <c r="A13" t="inlineStr">
        <is>
          <t>EBIT, SBC expensed</t>
        </is>
      </c>
      <c r="C13">
        <f>C11+C12</f>
        <v/>
      </c>
      <c r="D13">
        <f>D11+D12</f>
        <v/>
      </c>
      <c r="E13">
        <f>E11+E12</f>
        <v/>
      </c>
      <c r="F13">
        <f>F11+F12</f>
        <v/>
      </c>
      <c r="G13">
        <f>G11+G12</f>
        <v/>
      </c>
      <c r="H13">
        <f>H11+H12</f>
        <v/>
      </c>
      <c r="I13">
        <f>I11+I12</f>
        <v/>
      </c>
      <c r="J13">
        <f>J11+J12</f>
        <v/>
      </c>
      <c r="K13">
        <f>K11+K12</f>
        <v/>
      </c>
      <c r="L13">
        <f>L11+L12</f>
        <v/>
      </c>
    </row>
    <row r="14">
      <c r="A14" t="inlineStr">
        <is>
          <t>Cash tax rate</t>
        </is>
      </c>
      <c r="C14" s="5" t="n">
        <v>0.1</v>
      </c>
      <c r="D14" s="5" t="n">
        <v>0.15</v>
      </c>
      <c r="E14" s="5" t="n">
        <v>0.22</v>
      </c>
      <c r="F14" s="5" t="n">
        <v>0.26</v>
      </c>
      <c r="G14" s="5" t="n">
        <v>0.27</v>
      </c>
      <c r="H14" s="5" t="n">
        <v>0.27</v>
      </c>
      <c r="I14" s="5" t="n">
        <v>0.27</v>
      </c>
      <c r="J14" s="5" t="n">
        <v>0.27</v>
      </c>
      <c r="K14" s="5" t="n">
        <v>0.27</v>
      </c>
      <c r="L14" s="5" t="n">
        <v>0.27</v>
      </c>
    </row>
    <row r="15">
      <c r="A15" t="inlineStr">
        <is>
          <t>NOPAT</t>
        </is>
      </c>
      <c r="C15">
        <f>C13*(1-C14)</f>
        <v/>
      </c>
      <c r="D15">
        <f>D13*(1-D14)</f>
        <v/>
      </c>
      <c r="E15">
        <f>E13*(1-E14)</f>
        <v/>
      </c>
      <c r="F15">
        <f>F13*(1-F14)</f>
        <v/>
      </c>
      <c r="G15">
        <f>G13*(1-G14)</f>
        <v/>
      </c>
      <c r="H15">
        <f>H13*(1-H14)</f>
        <v/>
      </c>
      <c r="I15">
        <f>I13*(1-I14)</f>
        <v/>
      </c>
      <c r="J15">
        <f>J13*(1-J14)</f>
        <v/>
      </c>
      <c r="K15">
        <f>K13*(1-K14)</f>
        <v/>
      </c>
      <c r="L15">
        <f>L13*(1-L14)</f>
        <v/>
      </c>
    </row>
    <row r="16">
      <c r="A16" t="inlineStr">
        <is>
          <t>add back D&amp;A</t>
        </is>
      </c>
      <c r="C16">
        <f>-C12</f>
        <v/>
      </c>
      <c r="D16">
        <f>-D12</f>
        <v/>
      </c>
      <c r="E16">
        <f>-E12</f>
        <v/>
      </c>
      <c r="F16">
        <f>-F12</f>
        <v/>
      </c>
      <c r="G16">
        <f>-G12</f>
        <v/>
      </c>
      <c r="H16">
        <f>-H12</f>
        <v/>
      </c>
      <c r="I16">
        <f>-I12</f>
        <v/>
      </c>
      <c r="J16">
        <f>-J12</f>
        <v/>
      </c>
      <c r="K16">
        <f>-K12</f>
        <v/>
      </c>
      <c r="L16">
        <f>-L12</f>
        <v/>
      </c>
    </row>
    <row r="17">
      <c r="A17" t="inlineStr">
        <is>
          <t>less capex (net of grants)</t>
        </is>
      </c>
      <c r="C17">
        <f>-C6*C25</f>
        <v/>
      </c>
      <c r="D17">
        <f>-D6*D25</f>
        <v/>
      </c>
      <c r="E17">
        <f>-E6*E25</f>
        <v/>
      </c>
      <c r="F17">
        <f>-F6*F25</f>
        <v/>
      </c>
      <c r="G17">
        <f>-G6*G25</f>
        <v/>
      </c>
      <c r="H17">
        <f>-H6*H25</f>
        <v/>
      </c>
      <c r="I17">
        <f>-I6*I25</f>
        <v/>
      </c>
      <c r="J17">
        <f>-J6*J25</f>
        <v/>
      </c>
      <c r="K17">
        <f>-K6*K25</f>
        <v/>
      </c>
      <c r="L17">
        <f>-L6*L25</f>
        <v/>
      </c>
    </row>
    <row r="18">
      <c r="A18" t="inlineStr">
        <is>
          <t>add working capital</t>
        </is>
      </c>
      <c r="C18">
        <f>Assumptions!$E$16*(C6-B6)</f>
        <v/>
      </c>
      <c r="D18">
        <f>Assumptions!$E$16*(D6-C6)</f>
        <v/>
      </c>
      <c r="E18">
        <f>Assumptions!$E$16*(E6-D6)</f>
        <v/>
      </c>
      <c r="F18">
        <f>Assumptions!$E$16*(F6-E6)</f>
        <v/>
      </c>
      <c r="G18">
        <f>Assumptions!$E$16*(G6-F6)</f>
        <v/>
      </c>
      <c r="H18">
        <f>Assumptions!$E$16*(H6-G6)</f>
        <v/>
      </c>
      <c r="I18">
        <f>Assumptions!$E$16*(I6-H6)</f>
        <v/>
      </c>
      <c r="J18">
        <f>Assumptions!$E$16*(J6-I6)</f>
        <v/>
      </c>
      <c r="K18">
        <f>Assumptions!$E$16*(K6-J6)</f>
        <v/>
      </c>
      <c r="L18">
        <f>Assumptions!$E$16*(L6-K6)</f>
        <v/>
      </c>
    </row>
    <row r="19">
      <c r="A19" t="inlineStr">
        <is>
          <t>Unlevered owner FCF</t>
        </is>
      </c>
      <c r="C19">
        <f>C15+C16+C17+C18</f>
        <v/>
      </c>
      <c r="D19">
        <f>D15+D16+D17+D18</f>
        <v/>
      </c>
      <c r="E19">
        <f>E15+E16+E17+E18</f>
        <v/>
      </c>
      <c r="F19">
        <f>F15+F16+F17+F18</f>
        <v/>
      </c>
      <c r="G19">
        <f>G15+G16+G17+G18</f>
        <v/>
      </c>
      <c r="H19">
        <f>H15+H16+H17+H18</f>
        <v/>
      </c>
      <c r="I19">
        <f>I15+I16+I17+I18</f>
        <v/>
      </c>
      <c r="J19">
        <f>J15+J16+J17+J18</f>
        <v/>
      </c>
      <c r="K19">
        <f>K15+K16+K17+K18</f>
        <v/>
      </c>
      <c r="L19">
        <f>L15+L16+L17+L18</f>
        <v/>
      </c>
    </row>
    <row r="20">
      <c r="A20" t="inlineStr">
        <is>
          <t>Discount factor</t>
        </is>
      </c>
      <c r="C20">
        <f>1/(1+Assumptions!$B$3)^C4</f>
        <v/>
      </c>
      <c r="D20">
        <f>1/(1+Assumptions!$B$3)^D4</f>
        <v/>
      </c>
      <c r="E20">
        <f>1/(1+Assumptions!$B$3)^E4</f>
        <v/>
      </c>
      <c r="F20">
        <f>1/(1+Assumptions!$B$3)^F4</f>
        <v/>
      </c>
      <c r="G20">
        <f>1/(1+Assumptions!$B$3)^G4</f>
        <v/>
      </c>
      <c r="H20">
        <f>1/(1+Assumptions!$B$3)^H4</f>
        <v/>
      </c>
      <c r="I20">
        <f>1/(1+Assumptions!$B$3)^I4</f>
        <v/>
      </c>
      <c r="J20">
        <f>1/(1+Assumptions!$B$3)^J4</f>
        <v/>
      </c>
      <c r="K20">
        <f>1/(1+Assumptions!$B$3)^K4</f>
        <v/>
      </c>
      <c r="L20">
        <f>1/(1+Assumptions!$B$3)^L4</f>
        <v/>
      </c>
    </row>
    <row r="21">
      <c r="A21" t="inlineStr">
        <is>
          <t>PV of FCF</t>
        </is>
      </c>
      <c r="C21">
        <f>C19*C20</f>
        <v/>
      </c>
      <c r="D21">
        <f>D19*D20</f>
        <v/>
      </c>
      <c r="E21">
        <f>E19*E20</f>
        <v/>
      </c>
      <c r="F21">
        <f>F19*F20</f>
        <v/>
      </c>
      <c r="G21">
        <f>G19*G20</f>
        <v/>
      </c>
      <c r="H21">
        <f>H19*H20</f>
        <v/>
      </c>
      <c r="I21">
        <f>I19*I20</f>
        <v/>
      </c>
      <c r="J21">
        <f>J19*J20</f>
        <v/>
      </c>
      <c r="K21">
        <f>K19*K20</f>
        <v/>
      </c>
      <c r="L21">
        <f>L19*L20</f>
        <v/>
      </c>
    </row>
    <row r="23">
      <c r="A23" t="inlineStr">
        <is>
          <t>Memo: FCF before SBC (company-style)</t>
        </is>
      </c>
      <c r="C23">
        <f>C19-C10</f>
        <v/>
      </c>
      <c r="D23">
        <f>D19-D10</f>
        <v/>
      </c>
      <c r="E23">
        <f>E19-E10</f>
        <v/>
      </c>
      <c r="F23">
        <f>F19-F10</f>
        <v/>
      </c>
      <c r="G23">
        <f>G19-G10</f>
        <v/>
      </c>
      <c r="H23">
        <f>H19-H10</f>
        <v/>
      </c>
      <c r="I23">
        <f>I19-I10</f>
        <v/>
      </c>
      <c r="J23">
        <f>J19-J10</f>
        <v/>
      </c>
      <c r="K23">
        <f>K19-K10</f>
        <v/>
      </c>
      <c r="L23">
        <f>L19-L10</f>
        <v/>
      </c>
    </row>
    <row r="24">
      <c r="A24" t="inlineStr">
        <is>
          <t>Memo: owner-FCF margin</t>
        </is>
      </c>
      <c r="C24" s="8">
        <f>C19/C6</f>
        <v/>
      </c>
      <c r="D24" s="8">
        <f>D19/D6</f>
        <v/>
      </c>
      <c r="E24" s="8">
        <f>E19/E6</f>
        <v/>
      </c>
      <c r="F24" s="8">
        <f>F19/F6</f>
        <v/>
      </c>
      <c r="G24" s="8">
        <f>G19/G6</f>
        <v/>
      </c>
      <c r="H24" s="8">
        <f>H19/H6</f>
        <v/>
      </c>
      <c r="I24" s="8">
        <f>I19/I6</f>
        <v/>
      </c>
      <c r="J24" s="8">
        <f>J19/J6</f>
        <v/>
      </c>
      <c r="K24" s="8">
        <f>K19/K6</f>
        <v/>
      </c>
      <c r="L24" s="8">
        <f>L19/L6</f>
        <v/>
      </c>
    </row>
    <row r="25">
      <c r="A25" t="inlineStr">
        <is>
          <t>Capex % revenue (net of grants) -- driver</t>
        </is>
      </c>
      <c r="C25" s="5" t="n">
        <v>0.11</v>
      </c>
      <c r="D25" s="5" t="n">
        <v>0.08500000000000001</v>
      </c>
      <c r="E25" s="5" t="n">
        <v>0.06</v>
      </c>
      <c r="F25" s="5" t="n">
        <v>0.045</v>
      </c>
      <c r="G25" s="5" t="n">
        <v>0.04</v>
      </c>
      <c r="H25" s="5" t="n">
        <v>0.0375</v>
      </c>
      <c r="I25" s="5" t="n">
        <v>0.0375</v>
      </c>
      <c r="J25" s="5" t="n">
        <v>0.0375</v>
      </c>
      <c r="K25" s="5" t="n">
        <v>0.0375</v>
      </c>
      <c r="L25" s="5" t="n">
        <v>0.0375</v>
      </c>
    </row>
    <row r="26">
      <c r="A26" t="inlineStr">
        <is>
          <t>Sum of PV of FCF</t>
        </is>
      </c>
      <c r="B26">
        <f>SUM(C21:L21)</f>
        <v/>
      </c>
    </row>
    <row r="27">
      <c r="A27" t="inlineStr">
        <is>
          <t>Terminal growth</t>
        </is>
      </c>
      <c r="B27" s="6">
        <f>Assumptions!$B$16</f>
        <v/>
      </c>
    </row>
    <row r="28">
      <c r="A28" t="inlineStr">
        <is>
          <t>Terminal FCF (FY10 x (1+g))</t>
        </is>
      </c>
      <c r="B28">
        <f>L19*(1+B27)</f>
        <v/>
      </c>
    </row>
    <row r="29">
      <c r="A29" t="inlineStr">
        <is>
          <t>Gordon TV</t>
        </is>
      </c>
      <c r="B29">
        <f>B28/(Assumptions!$B$3-B27)</f>
        <v/>
      </c>
    </row>
    <row r="30">
      <c r="A30" t="inlineStr">
        <is>
          <t>Cap TV</t>
        </is>
      </c>
      <c r="B30">
        <f>Assumptions!$D$16*L19</f>
        <v/>
      </c>
    </row>
    <row r="31">
      <c r="A31" t="inlineStr">
        <is>
          <t>TV used = MAX(0,MIN(Gordon,cap))</t>
        </is>
      </c>
      <c r="B31">
        <f>MAX(0,MIN(B29,B30))</f>
        <v/>
      </c>
    </row>
    <row r="32">
      <c r="A32" t="inlineStr">
        <is>
          <t>Implied exit multiple</t>
        </is>
      </c>
      <c r="B32">
        <f>IF(L19&lt;&gt;0,B31/L19,"n/a")</f>
        <v/>
      </c>
    </row>
    <row r="33">
      <c r="A33" t="inlineStr">
        <is>
          <t>PV of TV</t>
        </is>
      </c>
      <c r="B33">
        <f>B31*L20</f>
        <v/>
      </c>
    </row>
    <row r="34">
      <c r="A34" t="inlineStr">
        <is>
          <t>Enterprise value</t>
        </is>
      </c>
      <c r="B34">
        <f>B26+B33</f>
        <v/>
      </c>
    </row>
    <row r="35">
      <c r="A35" t="inlineStr">
        <is>
          <t>add net cash</t>
        </is>
      </c>
      <c r="B35" s="6">
        <f>Assumptions!$B$6</f>
        <v/>
      </c>
    </row>
    <row r="36">
      <c r="A36" t="inlineStr">
        <is>
          <t>Equity value</t>
        </is>
      </c>
      <c r="B36">
        <f>B34+B35</f>
        <v/>
      </c>
    </row>
    <row r="37">
      <c r="A37" t="inlineStr">
        <is>
          <t>Diluted shares (m)</t>
        </is>
      </c>
      <c r="B37" s="6">
        <f>Assumptions!$B$7</f>
        <v/>
      </c>
    </row>
    <row r="38">
      <c r="A38" t="inlineStr">
        <is>
          <t>Value per share A$</t>
        </is>
      </c>
      <c r="B38" s="9">
        <f>B36/B37</f>
        <v/>
      </c>
    </row>
    <row r="39">
      <c r="A39" t="inlineStr">
        <is>
          <t>Upside vs price</t>
        </is>
      </c>
      <c r="B39" s="10">
        <f>B38/Assumptions!$B$8-1</f>
        <v/>
      </c>
    </row>
    <row r="41">
      <c r="A41" t="inlineStr">
        <is>
          <t>Street memo: PV of explicit SBC</t>
        </is>
      </c>
      <c r="B41">
        <f>SUMPRODUCT(-C10:L10/(1+Assumptions!$B$3)^C4:L4)</f>
        <v/>
      </c>
    </row>
    <row r="42">
      <c r="A42" t="inlineStr">
        <is>
          <t>Street memo: PV of terminal SBC</t>
        </is>
      </c>
      <c r="B42">
        <f>(-L10*(1+B27)/(Assumptions!$B$3-B27))*L20</f>
        <v/>
      </c>
    </row>
    <row r="43">
      <c r="A43" t="inlineStr">
        <is>
          <t>Street value per share A$</t>
        </is>
      </c>
      <c r="B43">
        <f>(B36+B41+B42)/B37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3:L43"/>
  <sheetViews>
    <sheetView workbookViewId="0">
      <selection activeCell="A1" sqref="A1"/>
    </sheetView>
  </sheetViews>
  <sheetFormatPr baseColWidth="8" defaultRowHeight="15"/>
  <cols>
    <col width="6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3">
      <c r="A3" t="inlineStr">
        <is>
          <t>Year</t>
        </is>
      </c>
      <c r="B3" t="inlineStr">
        <is>
          <t>2026A</t>
        </is>
      </c>
      <c r="C3" t="inlineStr">
        <is>
          <t>FY2027E</t>
        </is>
      </c>
      <c r="D3" t="inlineStr">
        <is>
          <t>FY2028E</t>
        </is>
      </c>
      <c r="E3" t="inlineStr">
        <is>
          <t>FY2029E</t>
        </is>
      </c>
      <c r="F3" t="inlineStr">
        <is>
          <t>FY2030E</t>
        </is>
      </c>
      <c r="G3" t="inlineStr">
        <is>
          <t>FY2031E</t>
        </is>
      </c>
      <c r="H3" t="inlineStr">
        <is>
          <t>FY2032E</t>
        </is>
      </c>
      <c r="I3" t="inlineStr">
        <is>
          <t>FY2033E</t>
        </is>
      </c>
      <c r="J3" t="inlineStr">
        <is>
          <t>FY2034E</t>
        </is>
      </c>
      <c r="K3" t="inlineStr">
        <is>
          <t>FY2035E</t>
        </is>
      </c>
      <c r="L3" t="inlineStr">
        <is>
          <t>FY2036E</t>
        </is>
      </c>
    </row>
    <row r="4">
      <c r="A4" t="inlineStr">
        <is>
          <t>Index</t>
        </is>
      </c>
      <c r="B4" t="n">
        <v>0</v>
      </c>
      <c r="C4" t="n">
        <v>1</v>
      </c>
      <c r="D4" t="n">
        <v>2</v>
      </c>
      <c r="E4" t="n">
        <v>3</v>
      </c>
      <c r="F4" t="n">
        <v>4</v>
      </c>
      <c r="G4" t="n">
        <v>5</v>
      </c>
      <c r="H4" t="n">
        <v>6</v>
      </c>
      <c r="I4" t="n">
        <v>7</v>
      </c>
      <c r="J4" t="n">
        <v>8</v>
      </c>
      <c r="K4" t="n">
        <v>9</v>
      </c>
      <c r="L4" t="n">
        <v>10</v>
      </c>
    </row>
    <row r="5">
      <c r="A5" t="inlineStr">
        <is>
          <t>Revenue growth YoY</t>
        </is>
      </c>
      <c r="C5" s="5" t="n">
        <v>0.12</v>
      </c>
      <c r="D5" s="5" t="n">
        <v>0.12</v>
      </c>
      <c r="E5" s="5" t="n">
        <v>0.1</v>
      </c>
      <c r="F5" s="5" t="n">
        <v>0.09</v>
      </c>
      <c r="G5" s="5" t="n">
        <v>0.08</v>
      </c>
      <c r="H5" s="5" t="n">
        <v>0.06</v>
      </c>
      <c r="I5" s="5" t="n">
        <v>0.05</v>
      </c>
      <c r="J5" s="5" t="n">
        <v>0.04</v>
      </c>
      <c r="K5" s="5" t="n">
        <v>0.035</v>
      </c>
      <c r="L5" s="5" t="n">
        <v>0.03</v>
      </c>
    </row>
    <row r="6">
      <c r="A6" t="inlineStr">
        <is>
          <t>Revenue A$m</t>
        </is>
      </c>
      <c r="B6" s="6">
        <f>Assumptions!$B$10</f>
        <v/>
      </c>
      <c r="C6">
        <f>B6*(1+C5)</f>
        <v/>
      </c>
      <c r="D6">
        <f>C6*(1+D5)</f>
        <v/>
      </c>
      <c r="E6">
        <f>D6*(1+E5)</f>
        <v/>
      </c>
      <c r="F6">
        <f>E6*(1+F5)</f>
        <v/>
      </c>
      <c r="G6">
        <f>F6*(1+G5)</f>
        <v/>
      </c>
      <c r="H6">
        <f>G6*(1+H5)</f>
        <v/>
      </c>
      <c r="I6">
        <f>H6*(1+I5)</f>
        <v/>
      </c>
      <c r="J6">
        <f>I6*(1+J5)</f>
        <v/>
      </c>
      <c r="K6">
        <f>J6*(1+K5)</f>
        <v/>
      </c>
      <c r="L6">
        <f>K6*(1+L5)</f>
        <v/>
      </c>
    </row>
    <row r="7">
      <c r="A7" t="inlineStr">
        <is>
          <t>EBITDA margin (cash basis, post-IFRS16, net of onerous unwind)</t>
        </is>
      </c>
      <c r="C7" s="5" t="n">
        <v>0.075</v>
      </c>
      <c r="D7" s="5" t="n">
        <v>0.09</v>
      </c>
      <c r="E7" s="5" t="n">
        <v>0.105</v>
      </c>
      <c r="F7" s="5" t="n">
        <v>0.115</v>
      </c>
      <c r="G7" s="5" t="n">
        <v>0.115</v>
      </c>
      <c r="H7" s="5" t="n">
        <v>0.115</v>
      </c>
      <c r="I7" s="5" t="n">
        <v>0.115</v>
      </c>
      <c r="J7" s="5" t="n">
        <v>0.115</v>
      </c>
      <c r="K7" s="5" t="n">
        <v>0.115</v>
      </c>
      <c r="L7" s="5" t="n">
        <v>0.115</v>
      </c>
    </row>
    <row r="8">
      <c r="A8" t="inlineStr">
        <is>
          <t>Adjusted EBITDA</t>
        </is>
      </c>
      <c r="C8">
        <f>C6*C7</f>
        <v/>
      </c>
      <c r="D8">
        <f>D6*D7</f>
        <v/>
      </c>
      <c r="E8">
        <f>E6*E7</f>
        <v/>
      </c>
      <c r="F8">
        <f>F6*F7</f>
        <v/>
      </c>
      <c r="G8">
        <f>G6*G7</f>
        <v/>
      </c>
      <c r="H8">
        <f>H6*H7</f>
        <v/>
      </c>
      <c r="I8">
        <f>I6*I7</f>
        <v/>
      </c>
      <c r="J8">
        <f>J6*J7</f>
        <v/>
      </c>
      <c r="K8">
        <f>K6*K7</f>
        <v/>
      </c>
      <c r="L8">
        <f>L6*L7</f>
        <v/>
      </c>
    </row>
    <row r="9">
      <c r="A9" t="inlineStr">
        <is>
          <t>SBC % revenue</t>
        </is>
      </c>
      <c r="C9" s="7">
        <f>Assumptions!$B$11</f>
        <v/>
      </c>
      <c r="D9" s="7">
        <f>Assumptions!$B$11</f>
        <v/>
      </c>
      <c r="E9" s="7">
        <f>Assumptions!$B$11</f>
        <v/>
      </c>
      <c r="F9" s="7">
        <f>Assumptions!$B$11</f>
        <v/>
      </c>
      <c r="G9" s="7">
        <f>Assumptions!$B$11</f>
        <v/>
      </c>
      <c r="H9" s="7">
        <f>Assumptions!$B$11</f>
        <v/>
      </c>
      <c r="I9" s="7">
        <f>Assumptions!$B$11</f>
        <v/>
      </c>
      <c r="J9" s="7">
        <f>Assumptions!$B$11</f>
        <v/>
      </c>
      <c r="K9" s="7">
        <f>Assumptions!$B$11</f>
        <v/>
      </c>
      <c r="L9" s="7">
        <f>Assumptions!$B$11</f>
        <v/>
      </c>
    </row>
    <row r="10">
      <c r="A10" t="inlineStr">
        <is>
          <t>SBC A$m (negative)</t>
        </is>
      </c>
      <c r="C10">
        <f>-C6*C9</f>
        <v/>
      </c>
      <c r="D10">
        <f>-D6*D9</f>
        <v/>
      </c>
      <c r="E10">
        <f>-E6*E9</f>
        <v/>
      </c>
      <c r="F10">
        <f>-F6*F9</f>
        <v/>
      </c>
      <c r="G10">
        <f>-G6*G9</f>
        <v/>
      </c>
      <c r="H10">
        <f>-H6*H9</f>
        <v/>
      </c>
      <c r="I10">
        <f>-I6*I9</f>
        <v/>
      </c>
      <c r="J10">
        <f>-J6*J9</f>
        <v/>
      </c>
      <c r="K10">
        <f>-K6*K9</f>
        <v/>
      </c>
      <c r="L10">
        <f>-L6*L9</f>
        <v/>
      </c>
    </row>
    <row r="11">
      <c r="A11" t="inlineStr">
        <is>
          <t>Owner EBITDA (after SBC and lease cost)</t>
        </is>
      </c>
      <c r="C11">
        <f>C8+C10-C6*Assumptions!$B$5</f>
        <v/>
      </c>
      <c r="D11">
        <f>D8+D10-D6*Assumptions!$B$5</f>
        <v/>
      </c>
      <c r="E11">
        <f>E8+E10-E6*Assumptions!$B$5</f>
        <v/>
      </c>
      <c r="F11">
        <f>F8+F10-F6*Assumptions!$B$5</f>
        <v/>
      </c>
      <c r="G11">
        <f>G8+G10-G6*Assumptions!$B$5</f>
        <v/>
      </c>
      <c r="H11">
        <f>H8+H10-H6*Assumptions!$B$5</f>
        <v/>
      </c>
      <c r="I11">
        <f>I8+I10-I6*Assumptions!$B$5</f>
        <v/>
      </c>
      <c r="J11">
        <f>J8+J10-J6*Assumptions!$B$5</f>
        <v/>
      </c>
      <c r="K11">
        <f>K8+K10-K6*Assumptions!$B$5</f>
        <v/>
      </c>
      <c r="L11">
        <f>L8+L10-L6*Assumptions!$B$5</f>
        <v/>
      </c>
    </row>
    <row r="12">
      <c r="A12" t="inlineStr">
        <is>
          <t>D&amp;A ex-ROU (negative)</t>
        </is>
      </c>
      <c r="C12">
        <f>-C6*Assumptions!$B$4</f>
        <v/>
      </c>
      <c r="D12">
        <f>-D6*Assumptions!$B$4</f>
        <v/>
      </c>
      <c r="E12">
        <f>-E6*Assumptions!$B$4</f>
        <v/>
      </c>
      <c r="F12">
        <f>-F6*Assumptions!$B$4</f>
        <v/>
      </c>
      <c r="G12">
        <f>-G6*Assumptions!$B$4</f>
        <v/>
      </c>
      <c r="H12">
        <f>-H6*Assumptions!$B$4</f>
        <v/>
      </c>
      <c r="I12">
        <f>-I6*Assumptions!$B$4</f>
        <v/>
      </c>
      <c r="J12">
        <f>-J6*Assumptions!$B$4</f>
        <v/>
      </c>
      <c r="K12">
        <f>-K6*Assumptions!$B$4</f>
        <v/>
      </c>
      <c r="L12">
        <f>-L6*Assumptions!$B$4</f>
        <v/>
      </c>
    </row>
    <row r="13">
      <c r="A13" t="inlineStr">
        <is>
          <t>EBIT, SBC expensed</t>
        </is>
      </c>
      <c r="C13">
        <f>C11+C12</f>
        <v/>
      </c>
      <c r="D13">
        <f>D11+D12</f>
        <v/>
      </c>
      <c r="E13">
        <f>E11+E12</f>
        <v/>
      </c>
      <c r="F13">
        <f>F11+F12</f>
        <v/>
      </c>
      <c r="G13">
        <f>G11+G12</f>
        <v/>
      </c>
      <c r="H13">
        <f>H11+H12</f>
        <v/>
      </c>
      <c r="I13">
        <f>I11+I12</f>
        <v/>
      </c>
      <c r="J13">
        <f>J11+J12</f>
        <v/>
      </c>
      <c r="K13">
        <f>K11+K12</f>
        <v/>
      </c>
      <c r="L13">
        <f>L11+L12</f>
        <v/>
      </c>
    </row>
    <row r="14">
      <c r="A14" t="inlineStr">
        <is>
          <t>Cash tax rate</t>
        </is>
      </c>
      <c r="C14" s="5" t="n">
        <v>0.1</v>
      </c>
      <c r="D14" s="5" t="n">
        <v>0.15</v>
      </c>
      <c r="E14" s="5" t="n">
        <v>0.22</v>
      </c>
      <c r="F14" s="5" t="n">
        <v>0.26</v>
      </c>
      <c r="G14" s="5" t="n">
        <v>0.27</v>
      </c>
      <c r="H14" s="5" t="n">
        <v>0.27</v>
      </c>
      <c r="I14" s="5" t="n">
        <v>0.27</v>
      </c>
      <c r="J14" s="5" t="n">
        <v>0.27</v>
      </c>
      <c r="K14" s="5" t="n">
        <v>0.27</v>
      </c>
      <c r="L14" s="5" t="n">
        <v>0.27</v>
      </c>
    </row>
    <row r="15">
      <c r="A15" t="inlineStr">
        <is>
          <t>NOPAT</t>
        </is>
      </c>
      <c r="C15">
        <f>C13*(1-C14)</f>
        <v/>
      </c>
      <c r="D15">
        <f>D13*(1-D14)</f>
        <v/>
      </c>
      <c r="E15">
        <f>E13*(1-E14)</f>
        <v/>
      </c>
      <c r="F15">
        <f>F13*(1-F14)</f>
        <v/>
      </c>
      <c r="G15">
        <f>G13*(1-G14)</f>
        <v/>
      </c>
      <c r="H15">
        <f>H13*(1-H14)</f>
        <v/>
      </c>
      <c r="I15">
        <f>I13*(1-I14)</f>
        <v/>
      </c>
      <c r="J15">
        <f>J13*(1-J14)</f>
        <v/>
      </c>
      <c r="K15">
        <f>K13*(1-K14)</f>
        <v/>
      </c>
      <c r="L15">
        <f>L13*(1-L14)</f>
        <v/>
      </c>
    </row>
    <row r="16">
      <c r="A16" t="inlineStr">
        <is>
          <t>add back D&amp;A</t>
        </is>
      </c>
      <c r="C16">
        <f>-C12</f>
        <v/>
      </c>
      <c r="D16">
        <f>-D12</f>
        <v/>
      </c>
      <c r="E16">
        <f>-E12</f>
        <v/>
      </c>
      <c r="F16">
        <f>-F12</f>
        <v/>
      </c>
      <c r="G16">
        <f>-G12</f>
        <v/>
      </c>
      <c r="H16">
        <f>-H12</f>
        <v/>
      </c>
      <c r="I16">
        <f>-I12</f>
        <v/>
      </c>
      <c r="J16">
        <f>-J12</f>
        <v/>
      </c>
      <c r="K16">
        <f>-K12</f>
        <v/>
      </c>
      <c r="L16">
        <f>-L12</f>
        <v/>
      </c>
    </row>
    <row r="17">
      <c r="A17" t="inlineStr">
        <is>
          <t>less capex (net of grants)</t>
        </is>
      </c>
      <c r="C17">
        <f>-C6*C25</f>
        <v/>
      </c>
      <c r="D17">
        <f>-D6*D25</f>
        <v/>
      </c>
      <c r="E17">
        <f>-E6*E25</f>
        <v/>
      </c>
      <c r="F17">
        <f>-F6*F25</f>
        <v/>
      </c>
      <c r="G17">
        <f>-G6*G25</f>
        <v/>
      </c>
      <c r="H17">
        <f>-H6*H25</f>
        <v/>
      </c>
      <c r="I17">
        <f>-I6*I25</f>
        <v/>
      </c>
      <c r="J17">
        <f>-J6*J25</f>
        <v/>
      </c>
      <c r="K17">
        <f>-K6*K25</f>
        <v/>
      </c>
      <c r="L17">
        <f>-L6*L25</f>
        <v/>
      </c>
    </row>
    <row r="18">
      <c r="A18" t="inlineStr">
        <is>
          <t>add working capital</t>
        </is>
      </c>
      <c r="C18">
        <f>Assumptions!$E$17*(C6-B6)</f>
        <v/>
      </c>
      <c r="D18">
        <f>Assumptions!$E$17*(D6-C6)</f>
        <v/>
      </c>
      <c r="E18">
        <f>Assumptions!$E$17*(E6-D6)</f>
        <v/>
      </c>
      <c r="F18">
        <f>Assumptions!$E$17*(F6-E6)</f>
        <v/>
      </c>
      <c r="G18">
        <f>Assumptions!$E$17*(G6-F6)</f>
        <v/>
      </c>
      <c r="H18">
        <f>Assumptions!$E$17*(H6-G6)</f>
        <v/>
      </c>
      <c r="I18">
        <f>Assumptions!$E$17*(I6-H6)</f>
        <v/>
      </c>
      <c r="J18">
        <f>Assumptions!$E$17*(J6-I6)</f>
        <v/>
      </c>
      <c r="K18">
        <f>Assumptions!$E$17*(K6-J6)</f>
        <v/>
      </c>
      <c r="L18">
        <f>Assumptions!$E$17*(L6-K6)</f>
        <v/>
      </c>
    </row>
    <row r="19">
      <c r="A19" t="inlineStr">
        <is>
          <t>Unlevered owner FCF</t>
        </is>
      </c>
      <c r="C19">
        <f>C15+C16+C17+C18</f>
        <v/>
      </c>
      <c r="D19">
        <f>D15+D16+D17+D18</f>
        <v/>
      </c>
      <c r="E19">
        <f>E15+E16+E17+E18</f>
        <v/>
      </c>
      <c r="F19">
        <f>F15+F16+F17+F18</f>
        <v/>
      </c>
      <c r="G19">
        <f>G15+G16+G17+G18</f>
        <v/>
      </c>
      <c r="H19">
        <f>H15+H16+H17+H18</f>
        <v/>
      </c>
      <c r="I19">
        <f>I15+I16+I17+I18</f>
        <v/>
      </c>
      <c r="J19">
        <f>J15+J16+J17+J18</f>
        <v/>
      </c>
      <c r="K19">
        <f>K15+K16+K17+K18</f>
        <v/>
      </c>
      <c r="L19">
        <f>L15+L16+L17+L18</f>
        <v/>
      </c>
    </row>
    <row r="20">
      <c r="A20" t="inlineStr">
        <is>
          <t>Discount factor</t>
        </is>
      </c>
      <c r="C20">
        <f>1/(1+Assumptions!$B$3)^C4</f>
        <v/>
      </c>
      <c r="D20">
        <f>1/(1+Assumptions!$B$3)^D4</f>
        <v/>
      </c>
      <c r="E20">
        <f>1/(1+Assumptions!$B$3)^E4</f>
        <v/>
      </c>
      <c r="F20">
        <f>1/(1+Assumptions!$B$3)^F4</f>
        <v/>
      </c>
      <c r="G20">
        <f>1/(1+Assumptions!$B$3)^G4</f>
        <v/>
      </c>
      <c r="H20">
        <f>1/(1+Assumptions!$B$3)^H4</f>
        <v/>
      </c>
      <c r="I20">
        <f>1/(1+Assumptions!$B$3)^I4</f>
        <v/>
      </c>
      <c r="J20">
        <f>1/(1+Assumptions!$B$3)^J4</f>
        <v/>
      </c>
      <c r="K20">
        <f>1/(1+Assumptions!$B$3)^K4</f>
        <v/>
      </c>
      <c r="L20">
        <f>1/(1+Assumptions!$B$3)^L4</f>
        <v/>
      </c>
    </row>
    <row r="21">
      <c r="A21" t="inlineStr">
        <is>
          <t>PV of FCF</t>
        </is>
      </c>
      <c r="C21">
        <f>C19*C20</f>
        <v/>
      </c>
      <c r="D21">
        <f>D19*D20</f>
        <v/>
      </c>
      <c r="E21">
        <f>E19*E20</f>
        <v/>
      </c>
      <c r="F21">
        <f>F19*F20</f>
        <v/>
      </c>
      <c r="G21">
        <f>G19*G20</f>
        <v/>
      </c>
      <c r="H21">
        <f>H19*H20</f>
        <v/>
      </c>
      <c r="I21">
        <f>I19*I20</f>
        <v/>
      </c>
      <c r="J21">
        <f>J19*J20</f>
        <v/>
      </c>
      <c r="K21">
        <f>K19*K20</f>
        <v/>
      </c>
      <c r="L21">
        <f>L19*L20</f>
        <v/>
      </c>
    </row>
    <row r="23">
      <c r="A23" t="inlineStr">
        <is>
          <t>Memo: FCF before SBC (company-style)</t>
        </is>
      </c>
      <c r="C23">
        <f>C19-C10</f>
        <v/>
      </c>
      <c r="D23">
        <f>D19-D10</f>
        <v/>
      </c>
      <c r="E23">
        <f>E19-E10</f>
        <v/>
      </c>
      <c r="F23">
        <f>F19-F10</f>
        <v/>
      </c>
      <c r="G23">
        <f>G19-G10</f>
        <v/>
      </c>
      <c r="H23">
        <f>H19-H10</f>
        <v/>
      </c>
      <c r="I23">
        <f>I19-I10</f>
        <v/>
      </c>
      <c r="J23">
        <f>J19-J10</f>
        <v/>
      </c>
      <c r="K23">
        <f>K19-K10</f>
        <v/>
      </c>
      <c r="L23">
        <f>L19-L10</f>
        <v/>
      </c>
    </row>
    <row r="24">
      <c r="A24" t="inlineStr">
        <is>
          <t>Memo: owner-FCF margin</t>
        </is>
      </c>
      <c r="C24" s="8">
        <f>C19/C6</f>
        <v/>
      </c>
      <c r="D24" s="8">
        <f>D19/D6</f>
        <v/>
      </c>
      <c r="E24" s="8">
        <f>E19/E6</f>
        <v/>
      </c>
      <c r="F24" s="8">
        <f>F19/F6</f>
        <v/>
      </c>
      <c r="G24" s="8">
        <f>G19/G6</f>
        <v/>
      </c>
      <c r="H24" s="8">
        <f>H19/H6</f>
        <v/>
      </c>
      <c r="I24" s="8">
        <f>I19/I6</f>
        <v/>
      </c>
      <c r="J24" s="8">
        <f>J19/J6</f>
        <v/>
      </c>
      <c r="K24" s="8">
        <f>K19/K6</f>
        <v/>
      </c>
      <c r="L24" s="8">
        <f>L19/L6</f>
        <v/>
      </c>
    </row>
    <row r="25">
      <c r="A25" t="inlineStr">
        <is>
          <t>Capex % revenue (net of grants) -- driver</t>
        </is>
      </c>
      <c r="C25" s="5" t="n">
        <v>0.11</v>
      </c>
      <c r="D25" s="5" t="n">
        <v>0.08</v>
      </c>
      <c r="E25" s="5" t="n">
        <v>0.055</v>
      </c>
      <c r="F25" s="5" t="n">
        <v>0.04</v>
      </c>
      <c r="G25" s="5" t="n">
        <v>0.035</v>
      </c>
      <c r="H25" s="5" t="n">
        <v>0.035</v>
      </c>
      <c r="I25" s="5" t="n">
        <v>0.035</v>
      </c>
      <c r="J25" s="5" t="n">
        <v>0.035</v>
      </c>
      <c r="K25" s="5" t="n">
        <v>0.035</v>
      </c>
      <c r="L25" s="5" t="n">
        <v>0.035</v>
      </c>
    </row>
    <row r="26">
      <c r="A26" t="inlineStr">
        <is>
          <t>Sum of PV of FCF</t>
        </is>
      </c>
      <c r="B26">
        <f>SUM(C21:L21)</f>
        <v/>
      </c>
    </row>
    <row r="27">
      <c r="A27" t="inlineStr">
        <is>
          <t>Terminal growth</t>
        </is>
      </c>
      <c r="B27" s="6">
        <f>Assumptions!$B$17</f>
        <v/>
      </c>
    </row>
    <row r="28">
      <c r="A28" t="inlineStr">
        <is>
          <t>Terminal FCF (FY10 x (1+g))</t>
        </is>
      </c>
      <c r="B28">
        <f>L19*(1+B27)</f>
        <v/>
      </c>
    </row>
    <row r="29">
      <c r="A29" t="inlineStr">
        <is>
          <t>Gordon TV</t>
        </is>
      </c>
      <c r="B29">
        <f>B28/(Assumptions!$B$3-B27)</f>
        <v/>
      </c>
    </row>
    <row r="30">
      <c r="A30" t="inlineStr">
        <is>
          <t>Cap TV</t>
        </is>
      </c>
      <c r="B30">
        <f>Assumptions!$D$17*L19</f>
        <v/>
      </c>
    </row>
    <row r="31">
      <c r="A31" t="inlineStr">
        <is>
          <t>TV used = MAX(0,MIN(Gordon,cap))</t>
        </is>
      </c>
      <c r="B31">
        <f>MAX(0,MIN(B29,B30))</f>
        <v/>
      </c>
    </row>
    <row r="32">
      <c r="A32" t="inlineStr">
        <is>
          <t>Implied exit multiple</t>
        </is>
      </c>
      <c r="B32">
        <f>IF(L19&lt;&gt;0,B31/L19,"n/a")</f>
        <v/>
      </c>
    </row>
    <row r="33">
      <c r="A33" t="inlineStr">
        <is>
          <t>PV of TV</t>
        </is>
      </c>
      <c r="B33">
        <f>B31*L20</f>
        <v/>
      </c>
    </row>
    <row r="34">
      <c r="A34" t="inlineStr">
        <is>
          <t>Enterprise value</t>
        </is>
      </c>
      <c r="B34">
        <f>B26+B33</f>
        <v/>
      </c>
    </row>
    <row r="35">
      <c r="A35" t="inlineStr">
        <is>
          <t>add net cash</t>
        </is>
      </c>
      <c r="B35" s="6">
        <f>Assumptions!$B$6</f>
        <v/>
      </c>
    </row>
    <row r="36">
      <c r="A36" t="inlineStr">
        <is>
          <t>Equity value</t>
        </is>
      </c>
      <c r="B36">
        <f>B34+B35</f>
        <v/>
      </c>
    </row>
    <row r="37">
      <c r="A37" t="inlineStr">
        <is>
          <t>Diluted shares (m)</t>
        </is>
      </c>
      <c r="B37" s="6">
        <f>Assumptions!$B$7</f>
        <v/>
      </c>
    </row>
    <row r="38">
      <c r="A38" t="inlineStr">
        <is>
          <t>Value per share A$</t>
        </is>
      </c>
      <c r="B38" s="9">
        <f>B36/B37</f>
        <v/>
      </c>
    </row>
    <row r="39">
      <c r="A39" t="inlineStr">
        <is>
          <t>Upside vs price</t>
        </is>
      </c>
      <c r="B39" s="10">
        <f>B38/Assumptions!$B$8-1</f>
        <v/>
      </c>
    </row>
    <row r="41">
      <c r="A41" t="inlineStr">
        <is>
          <t>Street memo: PV of explicit SBC</t>
        </is>
      </c>
      <c r="B41">
        <f>SUMPRODUCT(-C10:L10/(1+Assumptions!$B$3)^C4:L4)</f>
        <v/>
      </c>
    </row>
    <row r="42">
      <c r="A42" t="inlineStr">
        <is>
          <t>Street memo: PV of terminal SBC</t>
        </is>
      </c>
      <c r="B42">
        <f>(-L10*(1+B27)/(Assumptions!$B$3-B27))*L20</f>
        <v/>
      </c>
    </row>
    <row r="43">
      <c r="A43" t="inlineStr">
        <is>
          <t>Street value per share A$</t>
        </is>
      </c>
      <c r="B43">
        <f>(B36+B41+B42)/B37</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70" customWidth="1" min="1" max="1"/>
  </cols>
  <sheetData>
    <row r="1">
      <c r="A1" s="1" t="inlineStr">
        <is>
          <t>Reported FCF reconciled to owner FCF (A$m); links to Actuals</t>
        </is>
      </c>
    </row>
    <row r="2">
      <c r="A2" t="inlineStr">
        <is>
          <t>Period</t>
        </is>
      </c>
      <c r="B2" t="inlineStr">
        <is>
          <t>FY2019</t>
        </is>
      </c>
      <c r="C2" t="inlineStr">
        <is>
          <t>FY2020</t>
        </is>
      </c>
      <c r="D2" t="inlineStr">
        <is>
          <t>FY2021</t>
        </is>
      </c>
      <c r="E2" t="inlineStr">
        <is>
          <t>FY2022</t>
        </is>
      </c>
      <c r="F2" t="inlineStr">
        <is>
          <t>FY2023</t>
        </is>
      </c>
      <c r="G2" t="inlineStr">
        <is>
          <t>FY2024</t>
        </is>
      </c>
      <c r="H2" t="inlineStr">
        <is>
          <t>FY2025</t>
        </is>
      </c>
      <c r="I2" t="inlineStr">
        <is>
          <t>H1 FY2026</t>
        </is>
      </c>
    </row>
    <row r="3">
      <c r="A3" t="inlineStr">
        <is>
          <t>Free cash flow (company definition: OCF - gross capex)</t>
        </is>
      </c>
      <c r="B3" s="6">
        <f>Actuals!H2</f>
        <v/>
      </c>
      <c r="C3" s="6">
        <f>Actuals!H3</f>
        <v/>
      </c>
      <c r="D3" s="6">
        <f>Actuals!H4</f>
        <v/>
      </c>
      <c r="E3" s="6">
        <f>Actuals!H5</f>
        <v/>
      </c>
      <c r="F3" s="6">
        <f>Actuals!H6</f>
        <v/>
      </c>
      <c r="G3" s="6">
        <f>Actuals!H7</f>
        <v/>
      </c>
      <c r="H3" s="6">
        <f>Actuals!H8</f>
        <v/>
      </c>
      <c r="I3" s="6">
        <f>Actuals!H9</f>
        <v/>
      </c>
    </row>
    <row r="4">
      <c r="A4" t="inlineStr">
        <is>
          <t>less: SBC</t>
        </is>
      </c>
      <c r="B4" s="6">
        <f>-Actuals!I2</f>
        <v/>
      </c>
      <c r="C4" s="6">
        <f>-Actuals!I3</f>
        <v/>
      </c>
      <c r="D4" s="6">
        <f>-Actuals!I4</f>
        <v/>
      </c>
      <c r="E4" s="6">
        <f>-Actuals!I5</f>
        <v/>
      </c>
      <c r="F4" s="6">
        <f>-Actuals!I6</f>
        <v/>
      </c>
      <c r="G4" s="6">
        <f>-Actuals!I7</f>
        <v/>
      </c>
      <c r="H4" s="6">
        <f>-Actuals!I8</f>
        <v/>
      </c>
      <c r="I4" s="6">
        <f>-Actuals!I9</f>
        <v/>
      </c>
    </row>
    <row r="5">
      <c r="A5" t="inlineStr">
        <is>
          <t>less: interest income</t>
        </is>
      </c>
      <c r="B5" s="6">
        <f>-Actuals!J2</f>
        <v/>
      </c>
      <c r="C5" s="6">
        <f>-Actuals!J3</f>
        <v/>
      </c>
      <c r="D5" s="6">
        <f>-Actuals!J4</f>
        <v/>
      </c>
      <c r="E5" s="6">
        <f>-Actuals!J5</f>
        <v/>
      </c>
      <c r="F5" s="6">
        <f>-Actuals!J6</f>
        <v/>
      </c>
      <c r="G5" s="6">
        <f>-Actuals!J7</f>
        <v/>
      </c>
      <c r="H5" s="6">
        <f>-Actuals!J8</f>
        <v/>
      </c>
      <c r="I5" s="6">
        <f>-Actuals!J9</f>
        <v/>
      </c>
    </row>
    <row r="6">
      <c r="A6" t="inlineStr">
        <is>
          <t>less: lease principal (treatment B; lease interest already in OCF)</t>
        </is>
      </c>
      <c r="B6" s="6">
        <f>-Actuals!K2</f>
        <v/>
      </c>
      <c r="C6" s="6">
        <f>-Actuals!K3</f>
        <v/>
      </c>
      <c r="D6" s="6">
        <f>-Actuals!K4</f>
        <v/>
      </c>
      <c r="E6" s="6">
        <f>-Actuals!K5</f>
        <v/>
      </c>
      <c r="F6" s="6">
        <f>-Actuals!K6</f>
        <v/>
      </c>
      <c r="G6" s="6">
        <f>-Actuals!K7</f>
        <v/>
      </c>
      <c r="H6" s="6">
        <f>-Actuals!K8</f>
        <v/>
      </c>
      <c r="I6" s="6">
        <f>-Actuals!K9</f>
        <v/>
      </c>
    </row>
    <row r="7">
      <c r="A7" t="inlineStr">
        <is>
          <t>Owner FCF (sum of the four lines above)</t>
        </is>
      </c>
      <c r="B7" s="6">
        <f>SUM(B3:B6)</f>
        <v/>
      </c>
      <c r="C7" s="6">
        <f>SUM(C3:C6)</f>
        <v/>
      </c>
      <c r="D7" s="6">
        <f>SUM(D3:D6)</f>
        <v/>
      </c>
      <c r="E7" s="6">
        <f>SUM(E3:E6)</f>
        <v/>
      </c>
      <c r="F7" s="6">
        <f>SUM(F3:F6)</f>
        <v/>
      </c>
      <c r="G7" s="6">
        <f>SUM(G3:G6)</f>
        <v/>
      </c>
      <c r="H7" s="6">
        <f>SUM(H3:H6)</f>
        <v/>
      </c>
      <c r="I7" s="6">
        <f>SUM(I3:I6)</f>
        <v/>
      </c>
    </row>
    <row r="8">
      <c r="A8" t="inlineStr">
        <is>
          <t>Revenue</t>
        </is>
      </c>
      <c r="B8">
        <f>Actuals!B2</f>
        <v/>
      </c>
      <c r="C8">
        <f>Actuals!B3</f>
        <v/>
      </c>
      <c r="D8">
        <f>Actuals!B4</f>
        <v/>
      </c>
      <c r="E8">
        <f>Actuals!B5</f>
        <v/>
      </c>
      <c r="F8">
        <f>Actuals!B6</f>
        <v/>
      </c>
      <c r="G8">
        <f>Actuals!B7</f>
        <v/>
      </c>
      <c r="H8">
        <f>Actuals!B8</f>
        <v/>
      </c>
      <c r="I8">
        <f>Actuals!B9</f>
        <v/>
      </c>
    </row>
    <row r="9">
      <c r="A9" t="inlineStr">
        <is>
          <t>Reported FCF margin</t>
        </is>
      </c>
      <c r="B9" s="10">
        <f>B3/B8</f>
        <v/>
      </c>
      <c r="C9" s="10">
        <f>C3/C8</f>
        <v/>
      </c>
      <c r="D9" s="10">
        <f>D3/D8</f>
        <v/>
      </c>
      <c r="E9" s="10">
        <f>E3/E8</f>
        <v/>
      </c>
      <c r="F9" s="10">
        <f>F3/F8</f>
        <v/>
      </c>
      <c r="G9" s="10">
        <f>G3/G8</f>
        <v/>
      </c>
      <c r="H9" s="10">
        <f>H3/H8</f>
        <v/>
      </c>
      <c r="I9" s="10">
        <f>I3/I8</f>
        <v/>
      </c>
    </row>
    <row r="10">
      <c r="A10" t="inlineStr">
        <is>
          <t>Owner FCF margin</t>
        </is>
      </c>
      <c r="B10" s="10">
        <f>B7/B8</f>
        <v/>
      </c>
      <c r="C10" s="10">
        <f>C7/C8</f>
        <v/>
      </c>
      <c r="D10" s="10">
        <f>D7/D8</f>
        <v/>
      </c>
      <c r="E10" s="10">
        <f>E7/E8</f>
        <v/>
      </c>
      <c r="F10" s="10">
        <f>F7/F8</f>
        <v/>
      </c>
      <c r="G10" s="10">
        <f>G7/G8</f>
        <v/>
      </c>
      <c r="H10" s="10">
        <f>H7/H8</f>
        <v/>
      </c>
      <c r="I10" s="10">
        <f>I7/I8</f>
        <v/>
      </c>
    </row>
    <row r="11">
      <c r="A11" t="inlineStr">
        <is>
          <t>Memo: grants received (capex offset, not credited)</t>
        </is>
      </c>
      <c r="B11">
        <f>Actuals!L2</f>
        <v/>
      </c>
      <c r="C11">
        <f>Actuals!L3</f>
        <v/>
      </c>
      <c r="D11">
        <f>Actuals!L4</f>
        <v/>
      </c>
      <c r="E11">
        <f>Actuals!L5</f>
        <v/>
      </c>
      <c r="F11">
        <f>Actuals!L6</f>
        <v/>
      </c>
      <c r="G11">
        <f>Actuals!L7</f>
        <v/>
      </c>
      <c r="H11">
        <f>Actuals!L8</f>
        <v/>
      </c>
      <c r="I11">
        <f>Actuals!L9</f>
        <v/>
      </c>
    </row>
    <row r="12">
      <c r="A12" t="inlineStr">
        <is>
          <t>Memo: OCF - EBITDA (working-capital timing)</t>
        </is>
      </c>
      <c r="B12">
        <f>Actuals!F2-Actuals!C2</f>
        <v/>
      </c>
      <c r="C12">
        <f>Actuals!F3-Actuals!C3</f>
        <v/>
      </c>
      <c r="D12">
        <f>Actuals!F4-Actuals!C4</f>
        <v/>
      </c>
      <c r="E12">
        <f>Actuals!F5-Actuals!C5</f>
        <v/>
      </c>
      <c r="F12">
        <f>Actuals!F6-Actuals!C6</f>
        <v/>
      </c>
      <c r="G12">
        <f>Actuals!F7-Actuals!C7</f>
        <v/>
      </c>
      <c r="H12">
        <f>Actuals!F8-Actuals!C8</f>
        <v/>
      </c>
      <c r="I12">
        <f>Actuals!F9-Actuals!C9</f>
        <v/>
      </c>
    </row>
    <row r="13">
      <c r="A13" t="inlineStr">
        <is>
          <t>Memo: cash tax paid</t>
        </is>
      </c>
      <c r="B13" s="3" t="n">
        <v>7.261</v>
      </c>
      <c r="C13" s="3" t="n">
        <v>13.584</v>
      </c>
      <c r="D13" s="3" t="n">
        <v>26.692</v>
      </c>
      <c r="E13" s="3" t="n">
        <v>28.339</v>
      </c>
      <c r="G13" s="3" t="n">
        <v>41.586</v>
      </c>
      <c r="H13" s="3" t="n">
        <v>160.102</v>
      </c>
      <c r="I13" s="3" t="n">
        <v>35.631</v>
      </c>
    </row>
    <row r="15">
      <c r="A15" t="inlineStr">
        <is>
          <t>FY2025 cash tax of A$160m (147% of PBT) and OCF exceeding EBITDA by A$220m are both flagged abnormal: progress-payment timing and tax on the prior-year US gain; neither is a run-rate.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Scenario summary</t>
        </is>
      </c>
    </row>
    <row r="2">
      <c r="A2" s="1" t="inlineStr">
        <is>
          <t>Scenario</t>
        </is>
      </c>
      <c r="B2" s="1" t="inlineStr">
        <is>
          <t>Value/share A$</t>
        </is>
      </c>
      <c r="C2" s="1" t="inlineStr">
        <is>
          <t>Upside vs price</t>
        </is>
      </c>
      <c r="D2" s="1" t="inlineStr">
        <is>
          <t>Probability</t>
        </is>
      </c>
      <c r="E2" s="1" t="inlineStr">
        <is>
          <t>Street value/share</t>
        </is>
      </c>
      <c r="F2" s="1" t="inlineStr">
        <is>
          <t>Entry price @15% hurdle</t>
        </is>
      </c>
      <c r="G2" s="1" t="inlineStr">
        <is>
          <t>Terminal growth</t>
        </is>
      </c>
      <c r="H2" s="1" t="inlineStr">
        <is>
          <t>TV cap</t>
        </is>
      </c>
    </row>
    <row r="3">
      <c r="A3" t="inlineStr">
        <is>
          <t>Bear</t>
        </is>
      </c>
      <c r="B3" s="6">
        <f>DCF_Bear!$B$38</f>
        <v/>
      </c>
      <c r="C3" s="10">
        <f>B3/Assumptions!$B$8-1</f>
        <v/>
      </c>
      <c r="D3" s="6">
        <f>Assumptions!$C$15</f>
        <v/>
      </c>
      <c r="E3" s="6">
        <f>DCF_Bear!$B$43</f>
        <v/>
      </c>
      <c r="F3">
        <f>IF(Assumptions!$B$9&gt;Assumptions!$B$15,(SUMPRODUCT(DCF_Bear!$C$19:$L$19/(1+Assumptions!$B$9)^DCF_Bear!$C$4:$L$4)+MAX(0,MIN(DCF_Bear!$L$19*(1+Assumptions!$B$15)/(Assumptions!$B$9-Assumptions!$B$15),Assumptions!$D$15*DCF_Bear!$L$19))/(1+Assumptions!$B$9)^10+Assumptions!$B$6)/Assumptions!$B$7,"n/a")</f>
        <v/>
      </c>
      <c r="G3" s="6">
        <f>Assumptions!$B$15</f>
        <v/>
      </c>
      <c r="H3" s="6">
        <f>Assumptions!$D$15</f>
        <v/>
      </c>
    </row>
    <row r="4">
      <c r="A4" t="inlineStr">
        <is>
          <t>Base</t>
        </is>
      </c>
      <c r="B4" s="6">
        <f>DCF_Base!$B$38</f>
        <v/>
      </c>
      <c r="C4" s="10">
        <f>B4/Assumptions!$B$8-1</f>
        <v/>
      </c>
      <c r="D4" s="6">
        <f>Assumptions!$C$16</f>
        <v/>
      </c>
      <c r="E4" s="6">
        <f>DCF_Base!$B$43</f>
        <v/>
      </c>
      <c r="F4">
        <f>IF(Assumptions!$B$9&gt;Assumptions!$B$16,(SUMPRODUCT(DCF_Base!$C$19:$L$19/(1+Assumptions!$B$9)^DCF_Base!$C$4:$L$4)+MAX(0,MIN(DCF_Base!$L$19*(1+Assumptions!$B$16)/(Assumptions!$B$9-Assumptions!$B$16),Assumptions!$D$16*DCF_Base!$L$19))/(1+Assumptions!$B$9)^10+Assumptions!$B$6)/Assumptions!$B$7,"n/a")</f>
        <v/>
      </c>
      <c r="G4" s="6">
        <f>Assumptions!$B$16</f>
        <v/>
      </c>
      <c r="H4" s="6">
        <f>Assumptions!$D$16</f>
        <v/>
      </c>
    </row>
    <row r="5">
      <c r="A5" t="inlineStr">
        <is>
          <t>Bull</t>
        </is>
      </c>
      <c r="B5" s="6">
        <f>DCF_Bull!$B$38</f>
        <v/>
      </c>
      <c r="C5" s="10">
        <f>B5/Assumptions!$B$8-1</f>
        <v/>
      </c>
      <c r="D5" s="6">
        <f>Assumptions!$C$17</f>
        <v/>
      </c>
      <c r="E5" s="6">
        <f>DCF_Bull!$B$43</f>
        <v/>
      </c>
      <c r="F5">
        <f>IF(Assumptions!$B$9&gt;Assumptions!$B$17,(SUMPRODUCT(DCF_Bull!$C$19:$L$19/(1+Assumptions!$B$9)^DCF_Bull!$C$4:$L$4)+MAX(0,MIN(DCF_Bull!$L$19*(1+Assumptions!$B$17)/(Assumptions!$B$9-Assumptions!$B$17),Assumptions!$D$17*DCF_Bull!$L$19))/(1+Assumptions!$B$9)^10+Assumptions!$B$6)/Assumptions!$B$7,"n/a")</f>
        <v/>
      </c>
      <c r="G5" s="6">
        <f>Assumptions!$B$17</f>
        <v/>
      </c>
      <c r="H5" s="6">
        <f>Assumptions!$D$17</f>
        <v/>
      </c>
    </row>
    <row r="7">
      <c r="A7" t="inlineStr">
        <is>
          <t>Probability-weighted value/share (house)</t>
        </is>
      </c>
      <c r="B7" s="9">
        <f>SUMPRODUCT(B3:B5,D3:D5)</f>
        <v/>
      </c>
    </row>
    <row r="8">
      <c r="A8" t="inlineStr">
        <is>
          <t>Margin of safety vs price</t>
        </is>
      </c>
      <c r="B8" s="10">
        <f>1-Assumptions!$B$8/B7</f>
        <v/>
      </c>
    </row>
    <row r="9">
      <c r="A9" t="inlineStr">
        <is>
          <t>Probability-weighted value/share (street)</t>
        </is>
      </c>
      <c r="B9">
        <f>SUMPRODUCT(E3:E5,D3:D5)</f>
        <v/>
      </c>
    </row>
    <row r="10">
      <c r="A10" t="inlineStr">
        <is>
          <t>Band position (price-house)/(street-house)</t>
        </is>
      </c>
      <c r="B10">
        <f>IF(ABS(B9-B7)&lt;0.005,"n/a",(Assumptions!$B$8-B7)/(B9-B7))</f>
        <v/>
      </c>
      <c r="C10" t="inlineStr">
        <is>
          <t>Degenerate: SBC is 0.15% of revenue so the band is ~A$0.12 wide; reported as null in the JSON.</t>
        </is>
      </c>
    </row>
    <row r="11">
      <c r="A11" t="inlineStr">
        <is>
          <t>Probability-weighted entry price @15% (buy-below)</t>
        </is>
      </c>
      <c r="B11" s="11">
        <f>SUMPRODUCT(F3:F5,D3:D5)</f>
        <v/>
      </c>
    </row>
    <row r="13">
      <c r="A13" s="1" t="inlineStr">
        <is>
          <t>Required-return table (base case; TV rebuilt at each rate)</t>
        </is>
      </c>
    </row>
    <row r="14">
      <c r="A14" t="inlineStr">
        <is>
          <t>Required return</t>
        </is>
      </c>
      <c r="B14" s="12" t="n">
        <v>0.09</v>
      </c>
      <c r="C14" s="12" t="n">
        <v>0.1</v>
      </c>
      <c r="D14" s="12" t="n">
        <v>0.11</v>
      </c>
      <c r="E14" s="12" t="n">
        <v>0.12</v>
      </c>
      <c r="F14" s="12" t="n">
        <v>0.15</v>
      </c>
      <c r="G14" s="13">
        <f>Assumptions!$B$3</f>
        <v/>
      </c>
      <c r="H14" t="inlineStr">
        <is>
          <t>&lt;- model WACC</t>
        </is>
      </c>
    </row>
    <row r="15">
      <c r="A15" t="inlineStr">
        <is>
          <t>Value per share A$</t>
        </is>
      </c>
      <c r="B15">
        <f>IF(B$14&gt;Assumptions!$B$16,(SUMPRODUCT(DCF_Base!$C$19:$L$19/(1+B$14)^DCF_Base!$C$4:$L$4)+MAX(0,MIN(DCF_Base!$L$19*(1+Assumptions!$B$16)/(B$14-Assumptions!$B$16),Assumptions!$D$16*DCF_Base!$L$19))/(1+B$14)^10+Assumptions!$B$6)/Assumptions!$B$7,"n/a")</f>
        <v/>
      </c>
      <c r="C15">
        <f>IF(C$14&gt;Assumptions!$B$16,(SUMPRODUCT(DCF_Base!$C$19:$L$19/(1+C$14)^DCF_Base!$C$4:$L$4)+MAX(0,MIN(DCF_Base!$L$19*(1+Assumptions!$B$16)/(C$14-Assumptions!$B$16),Assumptions!$D$16*DCF_Base!$L$19))/(1+C$14)^10+Assumptions!$B$6)/Assumptions!$B$7,"n/a")</f>
        <v/>
      </c>
      <c r="D15">
        <f>IF(D$14&gt;Assumptions!$B$16,(SUMPRODUCT(DCF_Base!$C$19:$L$19/(1+D$14)^DCF_Base!$C$4:$L$4)+MAX(0,MIN(DCF_Base!$L$19*(1+Assumptions!$B$16)/(D$14-Assumptions!$B$16),Assumptions!$D$16*DCF_Base!$L$19))/(1+D$14)^10+Assumptions!$B$6)/Assumptions!$B$7,"n/a")</f>
        <v/>
      </c>
      <c r="E15">
        <f>IF(E$14&gt;Assumptions!$B$16,(SUMPRODUCT(DCF_Base!$C$19:$L$19/(1+E$14)^DCF_Base!$C$4:$L$4)+MAX(0,MIN(DCF_Base!$L$19*(1+Assumptions!$B$16)/(E$14-Assumptions!$B$16),Assumptions!$D$16*DCF_Base!$L$19))/(1+E$14)^10+Assumptions!$B$6)/Assumptions!$B$7,"n/a")</f>
        <v/>
      </c>
      <c r="F15">
        <f>IF(F$14&gt;Assumptions!$B$16,(SUMPRODUCT(DCF_Base!$C$19:$L$19/(1+F$14)^DCF_Base!$C$4:$L$4)+MAX(0,MIN(DCF_Base!$L$19*(1+Assumptions!$B$16)/(F$14-Assumptions!$B$16),Assumptions!$D$16*DCF_Base!$L$19))/(1+F$14)^10+Assumptions!$B$6)/Assumptions!$B$7,"n/a")</f>
        <v/>
      </c>
      <c r="G15">
        <f>IF(G$14&gt;Assumptions!$B$16,(SUMPRODUCT(DCF_Base!$C$19:$L$19/(1+G$14)^DCF_Base!$C$4:$L$4)+MAX(0,MIN(DCF_Base!$L$19*(1+Assumptions!$B$16)/(G$14-Assumptions!$B$16),Assumptions!$D$16*DCF_Base!$L$19))/(1+G$14)^10+Assumptions!$B$6)/Assumptions!$B$7,"n/a")</f>
        <v/>
      </c>
    </row>
    <row r="17">
      <c r="A17" s="1" t="inlineStr">
        <is>
          <t>Sensitivity: base value/share, WACC (rows) x terminal growth (cols)</t>
        </is>
      </c>
    </row>
    <row r="18">
      <c r="B18" s="14" t="n">
        <v>0.015</v>
      </c>
      <c r="C18" s="14" t="n">
        <v>0.02</v>
      </c>
      <c r="D18" s="14" t="n">
        <v>0.025</v>
      </c>
      <c r="E18" s="14" t="n">
        <v>0.03</v>
      </c>
      <c r="F18" s="14" t="n">
        <v>0.035</v>
      </c>
    </row>
    <row r="19">
      <c r="A19" s="14" t="n">
        <v>0.08</v>
      </c>
      <c r="B19">
        <f>IF($A19&gt;B$18,(SUMPRODUCT(DCF_Base!$C$19:$L$19/(1+$A19)^DCF_Base!$C$4:$L$4)+MAX(0,MIN(DCF_Base!$L$19*(1+B$18)/($A19-B$18),Assumptions!$D$16*DCF_Base!$L$19))/(1+$A19)^10+Assumptions!$B$6)/Assumptions!$B$7,"n/a")</f>
        <v/>
      </c>
      <c r="C19">
        <f>IF($A19&gt;C$18,(SUMPRODUCT(DCF_Base!$C$19:$L$19/(1+$A19)^DCF_Base!$C$4:$L$4)+MAX(0,MIN(DCF_Base!$L$19*(1+C$18)/($A19-C$18),Assumptions!$D$16*DCF_Base!$L$19))/(1+$A19)^10+Assumptions!$B$6)/Assumptions!$B$7,"n/a")</f>
        <v/>
      </c>
      <c r="D19">
        <f>IF($A19&gt;D$18,(SUMPRODUCT(DCF_Base!$C$19:$L$19/(1+$A19)^DCF_Base!$C$4:$L$4)+MAX(0,MIN(DCF_Base!$L$19*(1+D$18)/($A19-D$18),Assumptions!$D$16*DCF_Base!$L$19))/(1+$A19)^10+Assumptions!$B$6)/Assumptions!$B$7,"n/a")</f>
        <v/>
      </c>
      <c r="E19">
        <f>IF($A19&gt;E$18,(SUMPRODUCT(DCF_Base!$C$19:$L$19/(1+$A19)^DCF_Base!$C$4:$L$4)+MAX(0,MIN(DCF_Base!$L$19*(1+E$18)/($A19-E$18),Assumptions!$D$16*DCF_Base!$L$19))/(1+$A19)^10+Assumptions!$B$6)/Assumptions!$B$7,"n/a")</f>
        <v/>
      </c>
      <c r="F19">
        <f>IF($A19&gt;F$18,(SUMPRODUCT(DCF_Base!$C$19:$L$19/(1+$A19)^DCF_Base!$C$4:$L$4)+MAX(0,MIN(DCF_Base!$L$19*(1+F$18)/($A19-F$18),Assumptions!$D$16*DCF_Base!$L$19))/(1+$A19)^10+Assumptions!$B$6)/Assumptions!$B$7,"n/a")</f>
        <v/>
      </c>
    </row>
    <row r="20">
      <c r="A20" s="14" t="n">
        <v>0.09</v>
      </c>
      <c r="B20">
        <f>IF($A20&gt;B$18,(SUMPRODUCT(DCF_Base!$C$19:$L$19/(1+$A20)^DCF_Base!$C$4:$L$4)+MAX(0,MIN(DCF_Base!$L$19*(1+B$18)/($A20-B$18),Assumptions!$D$16*DCF_Base!$L$19))/(1+$A20)^10+Assumptions!$B$6)/Assumptions!$B$7,"n/a")</f>
        <v/>
      </c>
      <c r="C20">
        <f>IF($A20&gt;C$18,(SUMPRODUCT(DCF_Base!$C$19:$L$19/(1+$A20)^DCF_Base!$C$4:$L$4)+MAX(0,MIN(DCF_Base!$L$19*(1+C$18)/($A20-C$18),Assumptions!$D$16*DCF_Base!$L$19))/(1+$A20)^10+Assumptions!$B$6)/Assumptions!$B$7,"n/a")</f>
        <v/>
      </c>
      <c r="D20">
        <f>IF($A20&gt;D$18,(SUMPRODUCT(DCF_Base!$C$19:$L$19/(1+$A20)^DCF_Base!$C$4:$L$4)+MAX(0,MIN(DCF_Base!$L$19*(1+D$18)/($A20-D$18),Assumptions!$D$16*DCF_Base!$L$19))/(1+$A20)^10+Assumptions!$B$6)/Assumptions!$B$7,"n/a")</f>
        <v/>
      </c>
      <c r="E20">
        <f>IF($A20&gt;E$18,(SUMPRODUCT(DCF_Base!$C$19:$L$19/(1+$A20)^DCF_Base!$C$4:$L$4)+MAX(0,MIN(DCF_Base!$L$19*(1+E$18)/($A20-E$18),Assumptions!$D$16*DCF_Base!$L$19))/(1+$A20)^10+Assumptions!$B$6)/Assumptions!$B$7,"n/a")</f>
        <v/>
      </c>
      <c r="F20">
        <f>IF($A20&gt;F$18,(SUMPRODUCT(DCF_Base!$C$19:$L$19/(1+$A20)^DCF_Base!$C$4:$L$4)+MAX(0,MIN(DCF_Base!$L$19*(1+F$18)/($A20-F$18),Assumptions!$D$16*DCF_Base!$L$19))/(1+$A20)^10+Assumptions!$B$6)/Assumptions!$B$7,"n/a")</f>
        <v/>
      </c>
    </row>
    <row r="21">
      <c r="A21" s="14" t="n">
        <v>0.1</v>
      </c>
      <c r="B21">
        <f>IF($A21&gt;B$18,(SUMPRODUCT(DCF_Base!$C$19:$L$19/(1+$A21)^DCF_Base!$C$4:$L$4)+MAX(0,MIN(DCF_Base!$L$19*(1+B$18)/($A21-B$18),Assumptions!$D$16*DCF_Base!$L$19))/(1+$A21)^10+Assumptions!$B$6)/Assumptions!$B$7,"n/a")</f>
        <v/>
      </c>
      <c r="C21">
        <f>IF($A21&gt;C$18,(SUMPRODUCT(DCF_Base!$C$19:$L$19/(1+$A21)^DCF_Base!$C$4:$L$4)+MAX(0,MIN(DCF_Base!$L$19*(1+C$18)/($A21-C$18),Assumptions!$D$16*DCF_Base!$L$19))/(1+$A21)^10+Assumptions!$B$6)/Assumptions!$B$7,"n/a")</f>
        <v/>
      </c>
      <c r="D21" s="11">
        <f>IF($A21&gt;D$18,(SUMPRODUCT(DCF_Base!$C$19:$L$19/(1+$A21)^DCF_Base!$C$4:$L$4)+MAX(0,MIN(DCF_Base!$L$19*(1+D$18)/($A21-D$18),Assumptions!$D$16*DCF_Base!$L$19))/(1+$A21)^10+Assumptions!$B$6)/Assumptions!$B$7,"n/a")</f>
        <v/>
      </c>
      <c r="E21">
        <f>IF($A21&gt;E$18,(SUMPRODUCT(DCF_Base!$C$19:$L$19/(1+$A21)^DCF_Base!$C$4:$L$4)+MAX(0,MIN(DCF_Base!$L$19*(1+E$18)/($A21-E$18),Assumptions!$D$16*DCF_Base!$L$19))/(1+$A21)^10+Assumptions!$B$6)/Assumptions!$B$7,"n/a")</f>
        <v/>
      </c>
      <c r="F21">
        <f>IF($A21&gt;F$18,(SUMPRODUCT(DCF_Base!$C$19:$L$19/(1+$A21)^DCF_Base!$C$4:$L$4)+MAX(0,MIN(DCF_Base!$L$19*(1+F$18)/($A21-F$18),Assumptions!$D$16*DCF_Base!$L$19))/(1+$A21)^10+Assumptions!$B$6)/Assumptions!$B$7,"n/a")</f>
        <v/>
      </c>
    </row>
    <row r="22">
      <c r="A22" s="14" t="n">
        <v>0.11</v>
      </c>
      <c r="B22">
        <f>IF($A22&gt;B$18,(SUMPRODUCT(DCF_Base!$C$19:$L$19/(1+$A22)^DCF_Base!$C$4:$L$4)+MAX(0,MIN(DCF_Base!$L$19*(1+B$18)/($A22-B$18),Assumptions!$D$16*DCF_Base!$L$19))/(1+$A22)^10+Assumptions!$B$6)/Assumptions!$B$7,"n/a")</f>
        <v/>
      </c>
      <c r="C22">
        <f>IF($A22&gt;C$18,(SUMPRODUCT(DCF_Base!$C$19:$L$19/(1+$A22)^DCF_Base!$C$4:$L$4)+MAX(0,MIN(DCF_Base!$L$19*(1+C$18)/($A22-C$18),Assumptions!$D$16*DCF_Base!$L$19))/(1+$A22)^10+Assumptions!$B$6)/Assumptions!$B$7,"n/a")</f>
        <v/>
      </c>
      <c r="D22">
        <f>IF($A22&gt;D$18,(SUMPRODUCT(DCF_Base!$C$19:$L$19/(1+$A22)^DCF_Base!$C$4:$L$4)+MAX(0,MIN(DCF_Base!$L$19*(1+D$18)/($A22-D$18),Assumptions!$D$16*DCF_Base!$L$19))/(1+$A22)^10+Assumptions!$B$6)/Assumptions!$B$7,"n/a")</f>
        <v/>
      </c>
      <c r="E22">
        <f>IF($A22&gt;E$18,(SUMPRODUCT(DCF_Base!$C$19:$L$19/(1+$A22)^DCF_Base!$C$4:$L$4)+MAX(0,MIN(DCF_Base!$L$19*(1+E$18)/($A22-E$18),Assumptions!$D$16*DCF_Base!$L$19))/(1+$A22)^10+Assumptions!$B$6)/Assumptions!$B$7,"n/a")</f>
        <v/>
      </c>
      <c r="F22">
        <f>IF($A22&gt;F$18,(SUMPRODUCT(DCF_Base!$C$19:$L$19/(1+$A22)^DCF_Base!$C$4:$L$4)+MAX(0,MIN(DCF_Base!$L$19*(1+F$18)/($A22-F$18),Assumptions!$D$16*DCF_Base!$L$19))/(1+$A22)^10+Assumptions!$B$6)/Assumptions!$B$7,"n/a")</f>
        <v/>
      </c>
    </row>
    <row r="23">
      <c r="A23" s="14" t="n">
        <v>0.12</v>
      </c>
      <c r="B23">
        <f>IF($A23&gt;B$18,(SUMPRODUCT(DCF_Base!$C$19:$L$19/(1+$A23)^DCF_Base!$C$4:$L$4)+MAX(0,MIN(DCF_Base!$L$19*(1+B$18)/($A23-B$18),Assumptions!$D$16*DCF_Base!$L$19))/(1+$A23)^10+Assumptions!$B$6)/Assumptions!$B$7,"n/a")</f>
        <v/>
      </c>
      <c r="C23">
        <f>IF($A23&gt;C$18,(SUMPRODUCT(DCF_Base!$C$19:$L$19/(1+$A23)^DCF_Base!$C$4:$L$4)+MAX(0,MIN(DCF_Base!$L$19*(1+C$18)/($A23-C$18),Assumptions!$D$16*DCF_Base!$L$19))/(1+$A23)^10+Assumptions!$B$6)/Assumptions!$B$7,"n/a")</f>
        <v/>
      </c>
      <c r="D23">
        <f>IF($A23&gt;D$18,(SUMPRODUCT(DCF_Base!$C$19:$L$19/(1+$A23)^DCF_Base!$C$4:$L$4)+MAX(0,MIN(DCF_Base!$L$19*(1+D$18)/($A23-D$18),Assumptions!$D$16*DCF_Base!$L$19))/(1+$A23)^10+Assumptions!$B$6)/Assumptions!$B$7,"n/a")</f>
        <v/>
      </c>
      <c r="E23">
        <f>IF($A23&gt;E$18,(SUMPRODUCT(DCF_Base!$C$19:$L$19/(1+$A23)^DCF_Base!$C$4:$L$4)+MAX(0,MIN(DCF_Base!$L$19*(1+E$18)/($A23-E$18),Assumptions!$D$16*DCF_Base!$L$19))/(1+$A23)^10+Assumptions!$B$6)/Assumptions!$B$7,"n/a")</f>
        <v/>
      </c>
      <c r="F23">
        <f>IF($A23&gt;F$18,(SUMPRODUCT(DCF_Base!$C$19:$L$19/(1+$A23)^DCF_Base!$C$4:$L$4)+MAX(0,MIN(DCF_Base!$L$19*(1+F$18)/($A23-F$18),Assumptions!$D$16*DCF_Base!$L$19))/(1+$A23)^10+Assumptions!$B$6)/Assumptions!$B$7,"n/a")</f>
        <v/>
      </c>
    </row>
    <row r="26">
      <c r="A26" s="1" t="inlineStr">
        <is>
          <t>Takeover overlay memo (hardcoded from JSON; deal is for Austal USA only)</t>
        </is>
      </c>
    </row>
    <row r="27">
      <c r="A27" t="inlineStr">
        <is>
          <t>Austal USA bid range, US$m EV</t>
        </is>
      </c>
      <c r="B27" s="3" t="inlineStr">
        <is>
          <t>1,050 / 1,200 / 1,350</t>
        </is>
      </c>
    </row>
    <row r="28">
      <c r="A28" t="inlineStr">
        <is>
          <t>AUDUSD used</t>
        </is>
      </c>
      <c r="B28" s="3" t="n">
        <v>0.7138</v>
      </c>
    </row>
    <row r="29">
      <c r="A29" t="inlineStr">
        <is>
          <t>SOTP deal-completes A$/share low / mid / high</t>
        </is>
      </c>
      <c r="B29" s="3" t="inlineStr">
        <is>
          <t>3.99 / 4.94 / 5.94</t>
        </is>
      </c>
    </row>
    <row r="30">
      <c r="A30" t="inlineStr">
        <is>
          <t>Deal probability (judgment)</t>
        </is>
      </c>
      <c r="B30" s="3" t="n">
        <v>0.5</v>
      </c>
    </row>
    <row r="31">
      <c r="A31" t="inlineStr">
        <is>
          <t>Deal-adjusted IV A$/share</t>
        </is>
      </c>
      <c r="B31" s="3" t="n">
        <v>3.74</v>
      </c>
    </row>
    <row r="32">
      <c r="A32" t="inlineStr">
        <is>
          <t>Market-implied deal probability at mid SOTP</t>
        </is>
      </c>
      <c r="B32" s="3" t="n">
        <v>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2026-09-21T11:41:16Z</dcterms:created>
  <dcterms:modified xsi:type="dcterms:W3CDTF">2026-09-21T11:41:16Z</dcterms:modified>
</cp:coreProperties>
</file>