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Info" sheetId="1" state="visible" r:id="rId1"/>
    <sheet xmlns:r="http://schemas.openxmlformats.org/officeDocument/2006/relationships" name="Actual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DCF_Bear" sheetId="4" state="visible" r:id="rId4"/>
    <sheet xmlns:r="http://schemas.openxmlformats.org/officeDocument/2006/relationships" name="DCF_Base" sheetId="5" state="visible" r:id="rId5"/>
    <sheet xmlns:r="http://schemas.openxmlformats.org/officeDocument/2006/relationships" name="DCF_Bull" sheetId="6" state="visible" r:id="rId6"/>
    <sheet xmlns:r="http://schemas.openxmlformats.org/officeDocument/2006/relationships" name="FCF_Quality" sheetId="7" state="visible" r:id="rId7"/>
    <sheet xmlns:r="http://schemas.openxmlformats.org/officeDocument/2006/relationships" name="Valu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</font>
    <font>
      <color rgb="000000FF"/>
    </font>
    <font/>
    <font>
      <color rgb="00008000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2" fillId="2" borderId="0" pivotButton="0" quotePrefix="0" xfId="0"/>
    <xf numFmtId="3" fontId="4" fillId="0" borderId="0" pivotButton="0" quotePrefix="0" xfId="0"/>
    <xf numFmtId="3" fontId="0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3" fontId="1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2" fontId="0" fillId="0" borderId="0" pivotButton="0" quotePrefix="0" xfId="0"/>
    <xf numFmtId="2" fontId="4" fillId="0" borderId="0" pivotButton="0" quotePrefix="0" xfId="0"/>
    <xf numFmtId="2" fontId="1" fillId="3" borderId="0" pivotButton="0" quotePrefix="0" xfId="0"/>
    <xf numFmtId="164" fontId="3" fillId="0" borderId="0" pivotButton="0" quotePrefix="0" xfId="0"/>
    <xf numFmtId="2" fontId="3" fillId="0" borderId="0" pivotButton="0" quotePrefix="0" xfId="0"/>
    <xf numFmtId="3" fontId="3" fillId="0" borderId="0" pivotButton="0" quotePrefix="0" xfId="0"/>
    <xf numFmtId="2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4" customWidth="1" min="1" max="1"/>
    <col width="150" customWidth="1" min="2" max="2"/>
  </cols>
  <sheetData>
    <row r="1">
      <c r="A1" s="1" t="inlineStr">
        <is>
          <t>Amcor plc (AMC.AX / AMCR) -- owner-FCF DCF model</t>
        </is>
      </c>
      <c r="B1" t="inlineStr"/>
    </row>
    <row r="2">
      <c r="A2" s="1" t="inlineStr">
        <is>
          <t>Version</t>
        </is>
      </c>
      <c r="B2" t="inlineStr">
        <is>
          <t>1.1 sanity-check fix pass 2026-09-21 (supersedes the 1.0 fresh build of the same day): mid-cycle margin paths, WACC 7.3% -&gt; 7.8%, per-scenario exit EV/EBITDA caps (non-binding). See AMC.AX_DCF.json reconciliation + sanity_check.fix_applied.</t>
        </is>
      </c>
    </row>
    <row r="3">
      <c r="A3" s="1" t="inlineStr">
        <is>
          <t>Built by</t>
        </is>
      </c>
      <c r="B3" t="inlineStr">
        <is>
          <t>dcf-analyst agent (Claude Fable 5.1), 2026-09-21, at the request of the research-stock orchestrator</t>
        </is>
      </c>
    </row>
    <row r="4">
      <c r="A4" s="1" t="inlineStr">
        <is>
          <t>Model</t>
        </is>
      </c>
      <c r="B4" t="inlineStr">
        <is>
          <t>Owner-FCF DCF, 10-year component build, TV = max(0, min(Gordon, 15x FCF_10)), end-of-year discounting, SBC expensed and share count flat, street basis as memo</t>
        </is>
      </c>
    </row>
    <row r="5">
      <c r="A5" s="1" t="inlineStr">
        <is>
          <t>Currency</t>
        </is>
      </c>
      <c r="B5" t="inlineStr">
        <is>
          <t>Flows and statements USD millions (US GAAP 10-K). Quote AUD (ASX CDI). Per-share values in USD converted to AUD at USD/AUD 1.4023 (AUDUSD 0.7131, Yahoo 2026-09-21T10:08Z). Parity: AMCR US$41.90 / 0.7131 = A$58.76 vs A$59.11 observed (0.6%).</t>
        </is>
      </c>
    </row>
    <row r="6">
      <c r="A6" s="1" t="inlineStr">
        <is>
          <t>Price</t>
        </is>
      </c>
      <c r="B6" t="inlineStr">
        <is>
          <t>A$59.11 ASX regular close 2026-09-21T06:10:31Z (Yahoo AMC.AX). GOES STALE.</t>
        </is>
      </c>
    </row>
    <row r="7">
      <c r="A7" s="1" t="inlineStr">
        <is>
          <t>Balance sheet</t>
        </is>
      </c>
      <c r="B7" t="inlineStr">
        <is>
          <t>30-Jun-2026 10-K (filed 2026-08-14): net debt 12,897 (debt 14,012 - cash 1,115) + NCI 11 = 12,908 bridge. Operating leases (1,068) excluded (cost is inside EBITDA). GOES STALE at the Jul-Dec 2026 10-K/T.</t>
        </is>
      </c>
    </row>
    <row r="8">
      <c r="A8" s="1" t="inlineStr">
        <is>
          <t>Share count</t>
        </is>
      </c>
      <c r="B8" t="inlineStr">
        <is>
          <t>462.9m fully diluted: 462.3m issued - 0.4m treasury + 0.6m dilutive awards, all post the 1-for-5 reverse split of 14-Jan-2026. Held flat (SBC expensed).</t>
        </is>
      </c>
    </row>
    <row r="9">
      <c r="A9" s="1" t="inlineStr">
        <is>
          <t>Base year</t>
        </is>
      </c>
      <c r="B9" t="inlineStr">
        <is>
          <t>FY2026 (Jul-2025 to Jun-2026) -- first full year with Berry Global (closed 30-Apr-2025). Revenue 23,506; adjusted EBITDA 3,673; adjusted EBIT 2,813; company FCF 1,303; SBC 83 + withholding 42.</t>
        </is>
      </c>
    </row>
    <row r="10">
      <c r="A10" s="1" t="inlineStr">
        <is>
          <t>EBITDA basis</t>
        </is>
      </c>
      <c r="B10" t="inlineStr">
        <is>
          <t>ebitda margin rows are CASH-ADJUSTED: company adjusted EBITDA less the recurring 'Other' operating cash line (156 = 0.6% of revenue) in the company's adjusted-FCF reconciliation. Add ~0.6pp to compare with the company's adjusted EBITDA margin (15.6% FY2026).</t>
        </is>
      </c>
    </row>
    <row r="11">
      <c r="A11" s="1" t="inlineStr">
        <is>
          <t>Guidance used</t>
        </is>
      </c>
      <c r="B11" t="inlineStr">
        <is>
          <t>Transition Period (Jul-Dec 2026) adjusted EPS $1.80-1.90 and leverage 3.5-3.6x at 31-Dec-2026; CY2027 'double-digit adjusted EPS growth'; $650m synergies by Jun-2028 ($285m captured FY2026); &gt;$500m working-capital recovery (NOT in the flows).</t>
        </is>
      </c>
    </row>
    <row r="12">
      <c r="A12" s="1" t="inlineStr">
        <is>
          <t>WACC</t>
        </is>
      </c>
      <c r="B12" t="inlineStr">
        <is>
          <t>7.8% = 7.3% standard build (0.6 x 9.55% CoE [UST 4.2% + beta 1.07 x ERP 5.0%] + 0.4 x 4.0% after-tax Kd) + 0.5% fix-pass premium for the ~3.5x leverage / concurrent-integration window. Same in all scenarios (scenario risk charged once, in the flows and weights).</t>
        </is>
      </c>
    </row>
    <row r="13">
      <c r="A13" s="1" t="inlineStr">
        <is>
          <t>Terminal value</t>
        </is>
      </c>
      <c r="B13" t="inlineStr">
        <is>
          <t>TV = MAX(0, MIN(Gordon, 15 x FCF_10, exit EV/EBITDA cap x EBITDA_10)). Exit caps bear 10.9x / base 14.0x / bull 15.2x from the sanity-check 10yr range; the 15x FCF cap (~8x terminal EBITDA) is the tighter constraint everywhere.</t>
        </is>
      </c>
    </row>
    <row r="14">
      <c r="A14" s="1" t="inlineStr">
        <is>
          <t>Mid-cycle</t>
        </is>
      </c>
      <c r="B14" t="inlineStr">
        <is>
          <t>Base terminal cash-EBITDA margin 16.4% -&gt; 15.3% (credits ~1/4 of remaining Berry synergies; FY2026 banked $285m yet landed below the no-synergy blend of the predecessors), bull 17.6% -&gt; 17.0%, bear 15.2% -&gt; 14.5%. Literal skill midpoint (1,372 FCF) rejected: it would need an 11.8% EBITDA margin.</t>
        </is>
      </c>
    </row>
    <row r="15">
      <c r="A15" s="1" t="inlineStr">
        <is>
          <t>Scenario drivers</t>
        </is>
      </c>
      <c r="B15" t="inlineStr">
        <is>
          <t>Agent judgment set 2026-09-21 (v1.1 fix pass) from the FY2026 10-K, the 12-Aug-2026 release, and AMC.AX_Analysis.json. Only rows 5, 7, 9, 14 of each DCF tab are hardcoded drivers; everything else is formula.</t>
        </is>
      </c>
    </row>
    <row r="16">
      <c r="A16" s="1" t="inlineStr">
        <is>
          <t>Weights</t>
        </is>
      </c>
      <c r="B16" t="inlineStr">
        <is>
          <t>Bear 25 / Base 50 / Bull 25 (house default 15/50/35 moved: FCF guided down twice in FY2026 at 3.5x leverage; bull needs synergies + non-core exit + volumes all to land).</t>
        </is>
      </c>
    </row>
    <row r="17">
      <c r="A17" s="1" t="inlineStr">
        <is>
          <t>Refresh after next print</t>
        </is>
      </c>
      <c r="B17" t="inlineStr">
        <is>
          <t>Price + AUDUSD; net debt and share count from the 10-K/T (Jul-Dec 2026, ~Feb-2027); Y1 margin if Transition Period adjusted EBIT diverges from ~$1.45bn run-rate; synergy capture vs $650m; any announced divestiture proceeds (then cut revenue and add proceeds to the bridge).</t>
        </is>
      </c>
    </row>
    <row r="18">
      <c r="A18" s="1" t="inlineStr">
        <is>
          <t>Cell colours</t>
        </is>
      </c>
      <c r="B18" t="inlineStr">
        <is>
          <t>BLUE = hardcoded input; YELLOW fill = key lever; BLACK = formula; GREEN = cross-sheet link. Never paste a value over a formula -- add an input on Assumptions and link.</t>
        </is>
      </c>
    </row>
    <row r="19">
      <c r="A19" s="1" t="inlineStr">
        <is>
          <t>Verification</t>
        </is>
      </c>
      <c r="B19" t="inlineStr">
        <is>
          <t>Recalculated in LibreOffice headless with zero formula errors; DCF_*!B38 and Valuation!weighted tie to AMC.AX_DCF.json within rounding.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44" customWidth="1" min="1" max="1"/>
    <col width="90" customWidth="1" min="8" max="8"/>
  </cols>
  <sheetData>
    <row r="1">
      <c r="A1" s="1" t="inlineStr">
        <is>
          <t>USD m</t>
        </is>
      </c>
      <c r="B1" s="1" t="inlineStr">
        <is>
          <t>FY2021</t>
        </is>
      </c>
      <c r="C1" s="1" t="inlineStr">
        <is>
          <t>FY2022</t>
        </is>
      </c>
      <c r="D1" s="1" t="inlineStr">
        <is>
          <t>FY2023</t>
        </is>
      </c>
      <c r="E1" s="1" t="inlineStr">
        <is>
          <t>FY2024</t>
        </is>
      </c>
      <c r="F1" s="1" t="inlineStr">
        <is>
          <t>FY2025</t>
        </is>
      </c>
      <c r="G1" s="1" t="inlineStr">
        <is>
          <t>FY2026</t>
        </is>
      </c>
      <c r="H1" s="1" t="inlineStr">
        <is>
          <t>Source</t>
        </is>
      </c>
    </row>
    <row r="2">
      <c r="A2" t="inlineStr">
        <is>
          <t>Revenue</t>
        </is>
      </c>
      <c r="B2" s="2" t="n">
        <v>12861</v>
      </c>
      <c r="C2" s="2" t="n">
        <v>14544</v>
      </c>
      <c r="D2" s="2" t="n">
        <v>14694</v>
      </c>
      <c r="E2" s="2" t="n">
        <v>13640</v>
      </c>
      <c r="F2" s="2" t="n">
        <v>15009</v>
      </c>
      <c r="G2" s="2" t="n">
        <v>23506</v>
      </c>
      <c r="H2" t="inlineStr">
        <is>
          <t>10-K income statements; FY2025 has 2 months of Berry, FY2026 the first full year</t>
        </is>
      </c>
    </row>
    <row r="3">
      <c r="A3" t="inlineStr">
        <is>
          <t>Adjusted EBITDA (company)</t>
        </is>
      </c>
      <c r="D3" s="2" t="n">
        <v>2018</v>
      </c>
      <c r="E3" s="2" t="n">
        <v>1962</v>
      </c>
      <c r="F3" s="2" t="n">
        <v>2186</v>
      </c>
      <c r="G3" s="2" t="n">
        <v>3673</v>
      </c>
      <c r="H3" t="inlineStr">
        <is>
          <t>8-K Ex99.1 non-GAAP reconciliation</t>
        </is>
      </c>
    </row>
    <row r="4">
      <c r="A4" t="inlineStr">
        <is>
          <t>Adjusted EBIT (company)</t>
        </is>
      </c>
      <c r="D4" s="2" t="n">
        <v>1608</v>
      </c>
      <c r="E4" s="2" t="n">
        <v>1560</v>
      </c>
      <c r="F4" s="2" t="n">
        <v>1723</v>
      </c>
      <c r="G4" s="2" t="n">
        <v>2813</v>
      </c>
      <c r="H4" t="inlineStr">
        <is>
          <t>10-K non-GAAP reconciliation</t>
        </is>
      </c>
    </row>
    <row r="5">
      <c r="A5" t="inlineStr">
        <is>
          <t>GAAP net income attributable</t>
        </is>
      </c>
      <c r="B5" s="2" t="n">
        <v>939</v>
      </c>
      <c r="C5" s="2" t="n">
        <v>805</v>
      </c>
      <c r="D5" s="2" t="n">
        <v>1048</v>
      </c>
      <c r="E5" s="2" t="n">
        <v>730</v>
      </c>
      <c r="F5" s="2" t="n">
        <v>511</v>
      </c>
      <c r="G5" s="2" t="n">
        <v>1106</v>
      </c>
      <c r="H5" t="inlineStr">
        <is>
          <t>10-K</t>
        </is>
      </c>
    </row>
    <row r="6">
      <c r="A6" t="inlineStr">
        <is>
          <t>Adjusted net income (company)</t>
        </is>
      </c>
      <c r="D6" s="2" t="n">
        <v>1089</v>
      </c>
      <c r="E6" s="2" t="n">
        <v>1015</v>
      </c>
      <c r="F6" s="2" t="n">
        <v>1136</v>
      </c>
      <c r="G6" s="2" t="n">
        <v>1863</v>
      </c>
      <c r="H6" t="inlineStr">
        <is>
          <t>10-K non-GAAP reconciliation</t>
        </is>
      </c>
    </row>
    <row r="7">
      <c r="A7" t="inlineStr">
        <is>
          <t>Operating cash flow</t>
        </is>
      </c>
      <c r="B7" s="2" t="n">
        <v>1461</v>
      </c>
      <c r="C7" s="2" t="n">
        <v>1526</v>
      </c>
      <c r="D7" s="2" t="n">
        <v>1261</v>
      </c>
      <c r="E7" s="2" t="n">
        <v>1321</v>
      </c>
      <c r="F7" s="2" t="n">
        <v>1390</v>
      </c>
      <c r="G7" s="2" t="n">
        <v>2151</v>
      </c>
      <c r="H7" t="inlineStr">
        <is>
          <t>10-K cash flow statements</t>
        </is>
      </c>
    </row>
    <row r="8">
      <c r="A8" t="inlineStr">
        <is>
          <t>Capex (PP&amp;E + intangibles)</t>
        </is>
      </c>
      <c r="B8" s="2" t="n">
        <v>468</v>
      </c>
      <c r="C8" s="2" t="n">
        <v>527</v>
      </c>
      <c r="D8" s="2" t="n">
        <v>526</v>
      </c>
      <c r="E8" s="2" t="n">
        <v>492</v>
      </c>
      <c r="F8" s="2" t="n">
        <v>580</v>
      </c>
      <c r="G8" s="2" t="n">
        <v>922</v>
      </c>
      <c r="H8" t="inlineStr">
        <is>
          <t>10-K cash flow statements</t>
        </is>
      </c>
    </row>
    <row r="9">
      <c r="A9" t="inlineStr">
        <is>
          <t>Company free cash flow</t>
        </is>
      </c>
      <c r="B9" s="2" t="n">
        <v>993</v>
      </c>
      <c r="C9" s="2" t="n">
        <v>999</v>
      </c>
      <c r="D9" s="2" t="n">
        <v>735</v>
      </c>
      <c r="E9" s="2" t="n">
        <v>829</v>
      </c>
      <c r="F9" s="2" t="n">
        <v>810</v>
      </c>
      <c r="G9" s="2" t="n">
        <v>1303</v>
      </c>
      <c r="H9" t="inlineStr">
        <is>
          <t>OCF - capex + PP&amp;E sale proceeds (company definition)</t>
        </is>
      </c>
    </row>
    <row r="10">
      <c r="A10" t="inlineStr">
        <is>
          <t>Share-based compensation add-back</t>
        </is>
      </c>
      <c r="B10" s="2" t="n">
        <v>58</v>
      </c>
      <c r="C10" s="2" t="n">
        <v>63</v>
      </c>
      <c r="D10" s="2" t="n">
        <v>54</v>
      </c>
      <c r="E10" s="2" t="n">
        <v>32</v>
      </c>
      <c r="F10" s="2" t="n">
        <v>74</v>
      </c>
      <c r="G10" s="2" t="n">
        <v>83</v>
      </c>
      <c r="H10" t="inlineStr">
        <is>
          <t>10-K cash flow statements</t>
        </is>
      </c>
    </row>
    <row r="11">
      <c r="A11" t="inlineStr">
        <is>
          <t>Tax withholding on equity awards</t>
        </is>
      </c>
      <c r="B11" s="2" t="n">
        <v>0</v>
      </c>
      <c r="C11" s="2" t="n">
        <v>0</v>
      </c>
      <c r="D11" s="2" t="n">
        <v>0</v>
      </c>
      <c r="E11" s="2" t="n">
        <v>3</v>
      </c>
      <c r="F11" s="2" t="n">
        <v>75</v>
      </c>
      <c r="G11" s="2" t="n">
        <v>42</v>
      </c>
      <c r="H11" t="inlineStr">
        <is>
          <t>'Purchase of treasury shares and tax withholdings' less open-market treasury purchases</t>
        </is>
      </c>
    </row>
    <row r="12">
      <c r="A12" t="inlineStr">
        <is>
          <t>Interest income</t>
        </is>
      </c>
      <c r="B12" s="2" t="n">
        <v>14</v>
      </c>
      <c r="C12" s="2" t="n">
        <v>24</v>
      </c>
      <c r="D12" s="2" t="n">
        <v>31</v>
      </c>
      <c r="E12" s="2" t="n">
        <v>38</v>
      </c>
      <c r="F12" s="2" t="n">
        <v>49</v>
      </c>
      <c r="G12" s="2" t="n">
        <v>66</v>
      </c>
      <c r="H12" t="inlineStr">
        <is>
          <t>10-K income statements</t>
        </is>
      </c>
    </row>
    <row r="13">
      <c r="A13" t="inlineStr">
        <is>
          <t>Cash taxes paid</t>
        </is>
      </c>
      <c r="B13" s="2" t="n">
        <v>321</v>
      </c>
      <c r="C13" s="2" t="n">
        <v>256</v>
      </c>
      <c r="D13" s="2" t="n">
        <v>225</v>
      </c>
      <c r="E13" s="2" t="n">
        <v>253</v>
      </c>
      <c r="F13" s="2" t="n">
        <v>261</v>
      </c>
      <c r="G13" s="2" t="n">
        <v>451</v>
      </c>
      <c r="H13" t="inlineStr">
        <is>
          <t>10-K supplemental cash flow</t>
        </is>
      </c>
    </row>
    <row r="14">
      <c r="A14" t="inlineStr">
        <is>
          <t>Dividends paid</t>
        </is>
      </c>
      <c r="B14" s="2" t="n">
        <v>742</v>
      </c>
      <c r="C14" s="2" t="n">
        <v>732</v>
      </c>
      <c r="D14" s="2" t="n">
        <v>723</v>
      </c>
      <c r="E14" s="2" t="n">
        <v>722</v>
      </c>
      <c r="F14" s="2" t="n">
        <v>845</v>
      </c>
      <c r="G14" s="2" t="n">
        <v>1195</v>
      </c>
      <c r="H14" t="inlineStr">
        <is>
          <t>10-K cash flow statements</t>
        </is>
      </c>
    </row>
    <row r="15">
      <c r="A15" t="inlineStr">
        <is>
          <t>Share buyback / cancellations</t>
        </is>
      </c>
      <c r="B15" s="2" t="n">
        <v>351</v>
      </c>
      <c r="C15" s="2" t="n">
        <v>601</v>
      </c>
      <c r="D15" s="2" t="n">
        <v>432</v>
      </c>
      <c r="E15" s="2" t="n">
        <v>30</v>
      </c>
      <c r="F15" s="2" t="n">
        <v>0</v>
      </c>
      <c r="G15" s="2" t="n">
        <v>1</v>
      </c>
      <c r="H15" t="inlineStr">
        <is>
          <t>10-K cash flow statements (authorised vs spent: only spent counts)</t>
        </is>
      </c>
    </row>
    <row r="16">
      <c r="A16" t="inlineStr">
        <is>
          <t>Total debt (year end)</t>
        </is>
      </c>
      <c r="B16" s="2" t="n">
        <v>6289</v>
      </c>
      <c r="C16" s="2" t="n">
        <v>6490</v>
      </c>
      <c r="D16" s="2" t="n">
        <v>6746</v>
      </c>
      <c r="E16" s="2" t="n">
        <v>6699</v>
      </c>
      <c r="F16" s="2" t="n">
        <v>14098</v>
      </c>
      <c r="G16" s="2" t="n">
        <v>14012</v>
      </c>
      <c r="H16" t="inlineStr">
        <is>
          <t>10-K net debt reconciliation</t>
        </is>
      </c>
    </row>
    <row r="17">
      <c r="A17" t="inlineStr">
        <is>
          <t>Cash (year end)</t>
        </is>
      </c>
      <c r="B17" s="2" t="n">
        <v>850</v>
      </c>
      <c r="C17" s="2" t="n">
        <v>775</v>
      </c>
      <c r="D17" s="2" t="n">
        <v>689</v>
      </c>
      <c r="E17" s="2" t="n">
        <v>588</v>
      </c>
      <c r="F17" s="2" t="n">
        <v>827</v>
      </c>
      <c r="G17" s="2" t="n">
        <v>1115</v>
      </c>
      <c r="H17" t="inlineStr">
        <is>
          <t>10-K balance sheets</t>
        </is>
      </c>
    </row>
    <row r="18">
      <c r="A18" t="inlineStr">
        <is>
          <t>Net debt (company)</t>
        </is>
      </c>
      <c r="B18" s="2" t="n">
        <v>5439</v>
      </c>
      <c r="C18" s="2" t="n">
        <v>5715</v>
      </c>
      <c r="D18" s="2" t="n">
        <v>6057</v>
      </c>
      <c r="E18" s="2" t="n">
        <v>6111</v>
      </c>
      <c r="F18" s="2" t="n">
        <v>13271</v>
      </c>
      <c r="G18" s="2" t="n">
        <v>12897</v>
      </c>
      <c r="H18" t="inlineStr">
        <is>
          <t>10-K net debt reconciliation</t>
        </is>
      </c>
    </row>
    <row r="19">
      <c r="A19" t="inlineStr">
        <is>
          <t>Diluted weighted shares (m, post 1-for-5)</t>
        </is>
      </c>
      <c r="B19" s="2" t="n">
        <v>311.2</v>
      </c>
      <c r="C19" s="2" t="n">
        <v>303.2</v>
      </c>
      <c r="D19" s="2" t="n">
        <v>295.2</v>
      </c>
      <c r="E19" s="2" t="n">
        <v>288.1</v>
      </c>
      <c r="F19" s="2" t="n">
        <v>318.6</v>
      </c>
      <c r="G19" s="2" t="n">
        <v>463.8</v>
      </c>
      <c r="H19" t="inlineStr">
        <is>
          <t>10-K EPS note, restated for the 14-Jan-2026 reverse split (pre-FY2025 = reported / 5)</t>
        </is>
      </c>
    </row>
    <row r="20">
      <c r="A20" t="inlineStr">
        <is>
          <t>GAAP diluted EPS (USD, post-split)</t>
        </is>
      </c>
      <c r="B20" s="2" t="n">
        <v>3.01</v>
      </c>
      <c r="C20" s="2" t="n">
        <v>2.645</v>
      </c>
      <c r="D20" s="2" t="n">
        <v>3.525</v>
      </c>
      <c r="E20" s="2" t="n">
        <v>2.525</v>
      </c>
      <c r="F20" s="2" t="n">
        <v>1.6</v>
      </c>
      <c r="G20" s="2" t="n">
        <v>2.38</v>
      </c>
      <c r="H20" t="inlineStr">
        <is>
          <t>10-K, restated</t>
        </is>
      </c>
    </row>
    <row r="21">
      <c r="A21" t="inlineStr">
        <is>
          <t>Adjusted diluted EPS (USD, post-split)</t>
        </is>
      </c>
      <c r="B21" s="2" t="n">
        <v>3.705</v>
      </c>
      <c r="C21" s="2" t="n">
        <v>4.025</v>
      </c>
      <c r="D21" s="2" t="n">
        <v>3.665</v>
      </c>
      <c r="E21" s="2" t="n">
        <v>3.51</v>
      </c>
      <c r="F21" s="2" t="n">
        <v>3.56</v>
      </c>
      <c r="G21" s="2" t="n">
        <v>4.02</v>
      </c>
      <c r="H21" t="inlineStr">
        <is>
          <t>company adjusted EPS series x 5</t>
        </is>
      </c>
    </row>
    <row r="22">
      <c r="A22" t="inlineStr">
        <is>
          <t>Pro-forma combined revenue (Amcor+Berry)</t>
        </is>
      </c>
      <c r="E22" s="2" t="n">
        <v>23321</v>
      </c>
      <c r="F22" s="2" t="n">
        <v>23242</v>
      </c>
      <c r="G22" s="2" t="n">
        <v>23506</v>
      </c>
      <c r="H22" t="inlineStr">
        <is>
          <t>10-K Note 4 unaudited pro forma (FY2024, FY2025); FY2026 actual</t>
        </is>
      </c>
    </row>
    <row r="24">
      <c r="A24" s="1" t="inlineStr">
        <is>
          <t>Guidance (12-Aug-2026 release)</t>
        </is>
      </c>
    </row>
    <row r="25">
      <c r="A25" t="inlineStr">
        <is>
          <t>Transition Period Jul-Dec 2026 adjusted EPS</t>
        </is>
      </c>
      <c r="B25" s="2" t="inlineStr">
        <is>
          <t>USD 1.80 - 1.90</t>
        </is>
      </c>
    </row>
    <row r="26">
      <c r="A26" t="inlineStr">
        <is>
          <t>Leverage at 31-Dec-2026 (net debt / LTM adj EBITDA + SBC)</t>
        </is>
      </c>
      <c r="B26" s="2" t="inlineStr">
        <is>
          <t>3.5x - 3.6x</t>
        </is>
      </c>
    </row>
    <row r="27">
      <c r="A27" t="inlineStr">
        <is>
          <t>CY2027 adjusted EPS growth</t>
        </is>
      </c>
      <c r="B27" s="2" t="inlineStr">
        <is>
          <t>double-digit (Sept-2026 Jefferies conference)</t>
        </is>
      </c>
    </row>
    <row r="28">
      <c r="A28" t="inlineStr">
        <is>
          <t>Berry synergies</t>
        </is>
      </c>
      <c r="B28" s="2" t="inlineStr">
        <is>
          <t>USD 650m by Jun-2028 (530 cost + 60 financial + 60 growth); 285 captured FY2026</t>
        </is>
      </c>
    </row>
    <row r="29">
      <c r="A29" t="inlineStr">
        <is>
          <t>Working-capital recovery</t>
        </is>
      </c>
      <c r="B29" s="2" t="inlineStr">
        <is>
          <t>more than USD 500m over ~12 months from Aug-2026 (not in the flows)</t>
        </is>
      </c>
    </row>
    <row r="30">
      <c r="A30" t="inlineStr">
        <is>
          <t>Quarterly dividend</t>
        </is>
      </c>
      <c r="B30" s="2" t="inlineStr">
        <is>
          <t>USD 0.65 (A$0.92 per CDI), ex 3-Sep-2026, paid 24-Sep-2026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6" customWidth="1" min="1" max="1"/>
    <col width="60" customWidth="1" min="2" max="2"/>
    <col width="60" customWidth="1" min="3" max="3"/>
    <col width="14" customWidth="1" min="4" max="4"/>
  </cols>
  <sheetData>
    <row r="1">
      <c r="A1" s="1" t="inlineStr">
        <is>
          <t>Globals</t>
        </is>
      </c>
    </row>
    <row r="4">
      <c r="A4" t="inlineStr">
        <is>
          <t>WACC</t>
        </is>
      </c>
      <c r="B4" s="3" t="n">
        <v>0.078</v>
      </c>
      <c r="C4" t="inlineStr">
        <is>
          <t>7.3% USD standard build + 0.5% fix-pass leverage/integration premium; same in every scenario</t>
        </is>
      </c>
    </row>
    <row r="5">
      <c r="A5" t="inlineStr">
        <is>
          <t>Terminal cap multiple (x FCF_10)</t>
        </is>
      </c>
      <c r="B5" s="3" t="n">
        <v>15</v>
      </c>
      <c r="C5" t="inlineStr">
        <is>
          <t>structurally slower business; today's EV/owner-FCF ~16.7x, so no expansion assumed</t>
        </is>
      </c>
    </row>
    <row r="6">
      <c r="A6" t="inlineStr">
        <is>
          <t>Net debt incl. NCI (USD m)</t>
        </is>
      </c>
      <c r="B6" s="2" t="n">
        <v>12908</v>
      </c>
      <c r="C6" t="inlineStr">
        <is>
          <t>30-Jun-2026: 14,012 debt - 1,115 cash + 11 NCI; operating leases excluded</t>
        </is>
      </c>
    </row>
    <row r="7">
      <c r="A7" t="inlineStr">
        <is>
          <t>Diluted shares (m)</t>
        </is>
      </c>
      <c r="B7" s="2" t="n">
        <v>462.9</v>
      </c>
      <c r="C7" t="inlineStr">
        <is>
          <t>post 1-for-5 split; held flat</t>
        </is>
      </c>
    </row>
    <row r="8">
      <c r="A8" t="inlineStr">
        <is>
          <t>Price (AUD, ASX)</t>
        </is>
      </c>
      <c r="B8" s="2" t="n">
        <v>59.11</v>
      </c>
      <c r="C8" t="inlineStr">
        <is>
          <t>2026-09-21T06:10Z close</t>
        </is>
      </c>
    </row>
    <row r="9">
      <c r="A9" t="inlineStr">
        <is>
          <t>AUDUSD</t>
        </is>
      </c>
      <c r="B9" s="2" t="n">
        <v>0.7131</v>
      </c>
      <c r="C9" t="inlineStr">
        <is>
          <t>Yahoo AUDUSD=X 2026-09-21; USD-&gt;AUD = 1/this</t>
        </is>
      </c>
    </row>
    <row r="10">
      <c r="A10" t="inlineStr">
        <is>
          <t>Hurdle rate</t>
        </is>
      </c>
      <c r="B10" s="2" t="n">
        <v>0.15</v>
      </c>
      <c r="C10" t="inlineStr">
        <is>
          <t>entry-price IRR</t>
        </is>
      </c>
    </row>
    <row r="11">
      <c r="A11" t="inlineStr">
        <is>
          <t>FY0 revenue (USD m)</t>
        </is>
      </c>
      <c r="B11" s="2" t="n">
        <v>23506</v>
      </c>
      <c r="C11" t="inlineStr">
        <is>
          <t>FY2026</t>
        </is>
      </c>
    </row>
    <row r="12">
      <c r="A12" t="inlineStr">
        <is>
          <t>USD-&gt;AUD</t>
        </is>
      </c>
      <c r="B12" s="4">
        <f>1/B9</f>
        <v/>
      </c>
      <c r="C12" t="inlineStr">
        <is>
          <t>derived</t>
        </is>
      </c>
    </row>
    <row r="14">
      <c r="A14" s="1" t="inlineStr">
        <is>
          <t>Per-scenario</t>
        </is>
      </c>
      <c r="B14" s="1" t="inlineStr">
        <is>
          <t>Bear</t>
        </is>
      </c>
      <c r="C14" s="1" t="inlineStr">
        <is>
          <t>Base</t>
        </is>
      </c>
      <c r="D14" s="1" t="inlineStr">
        <is>
          <t>Bull</t>
        </is>
      </c>
    </row>
    <row r="15">
      <c r="A15" t="inlineStr">
        <is>
          <t>Terminal growth</t>
        </is>
      </c>
      <c r="B15" s="3" t="n">
        <v>0.015</v>
      </c>
      <c r="C15" s="3" t="n">
        <v>0.025</v>
      </c>
      <c r="D15" s="3" t="n">
        <v>0.03</v>
      </c>
    </row>
    <row r="16">
      <c r="A16" t="inlineStr">
        <is>
          <t>Probability weight</t>
        </is>
      </c>
      <c r="B16" s="3" t="n">
        <v>0.25</v>
      </c>
      <c r="C16" s="3" t="n">
        <v>0.5</v>
      </c>
      <c r="D16" s="3" t="n">
        <v>0.25</v>
      </c>
    </row>
    <row r="17">
      <c r="A17" t="inlineStr">
        <is>
          <t>D&amp;A % revenue</t>
        </is>
      </c>
      <c r="B17" s="2" t="n">
        <v>0.03700000000000001</v>
      </c>
      <c r="C17" s="2" t="n">
        <v>0.03700000000000001</v>
      </c>
      <c r="D17" s="2" t="n">
        <v>0.03700000000000001</v>
      </c>
    </row>
    <row r="18">
      <c r="A18" t="inlineStr">
        <is>
          <t>Capex % revenue</t>
        </is>
      </c>
      <c r="B18" s="2" t="n">
        <v>0.039</v>
      </c>
      <c r="C18" s="2" t="n">
        <v>0.038</v>
      </c>
      <c r="D18" s="2" t="n">
        <v>0.038</v>
      </c>
    </row>
    <row r="19">
      <c r="A19" t="inlineStr">
        <is>
          <t>WC capture % of revenue change</t>
        </is>
      </c>
      <c r="B19" s="2" t="n">
        <v>-0.1</v>
      </c>
      <c r="C19" s="2" t="n">
        <v>-0.1</v>
      </c>
      <c r="D19" s="2" t="n">
        <v>-0.1</v>
      </c>
    </row>
    <row r="20">
      <c r="A20" t="inlineStr">
        <is>
          <t>Weights check (must be 1.0)</t>
        </is>
      </c>
      <c r="B20">
        <f>SUM(B16:D16)</f>
        <v/>
      </c>
    </row>
    <row r="21">
      <c r="A21" t="inlineStr">
        <is>
          <t>Exit EV/EBITDA cap (x terminal EBITDA)</t>
        </is>
      </c>
      <c r="B21" s="3" t="n">
        <v>10.9</v>
      </c>
      <c r="C21" s="3" t="n">
        <v>14</v>
      </c>
      <c r="D21" s="3" t="n">
        <v>15.2</v>
      </c>
    </row>
    <row r="22">
      <c r="A22" s="1" t="inlineStr">
        <is>
          <t>Scenario narratives</t>
        </is>
      </c>
    </row>
    <row r="23" ht="110" customHeight="1">
      <c r="A23" s="1" t="inlineStr">
        <is>
          <t>Bear</t>
        </is>
      </c>
      <c r="B23" s="5" t="inlineStr">
        <is>
          <t>The FY2026 pattern repeats and worsens: guidance is met on adjusted EPS but missed on cash. Volumes stay negative (-1 to -3% as in FY2024-FY2026 organic), Middle-East-driven input costs and the pass-through lag bite, and the remaining synergies are conceded to consolidating CPG customers so the cash-adjusted margin drifts back to pre-merger Amcor's ~14.5%. The non-core review drags on without a clean exit, and the three concurrent organisational changes (calendar year-end, Miami HQ, new auditor) distract an integration that Berry was excluded from FY2025 controls testing for. Leverage stays at 3.5x+, so the ~$1.2bn dividend consumes all of levered FCF. Terminal growth 1.5%; Gordon at 7.8% is 16.1x so the 15x cap still binds -- a slow-erosion case, not a solvency case.</t>
        </is>
      </c>
    </row>
    <row r="24" ht="110" customHeight="1">
      <c r="A24" s="1" t="inlineStr">
        <is>
          <t>Base</t>
        </is>
      </c>
      <c r="B24" s="5" t="inlineStr">
        <is>
          <t>Berry integration continues but the margin only partly shows it: of the remaining ~$300m of EBITDA-relevant synergies (of the $650m total, $285m captured in FY2026; ~$60m is interest, not EBITDA) roughly a quarter reaches the cash-adjusted EBITDA margin, which drifts from 15.0% to 15.3% (company adjusted basis ~15.9%) by Y4 -- the rest is absorbed by inflation not fully passed through, continued price/mix drag and CPG customer consolidation, as it was in FY2026. Revenue grows 2-3% nominal -- raw-material pass-through and modest volume in nutrition/healthcare -- with the ~$2.5bn non-core review treated as value-neutral. Cash tax ramps 19%-&gt;21% as Pillar Two bites. Leverage falls toward 3x by end-2027 on the company's own path; the 7.8% WACC carries a 0.5% premium for that window. No re-rating is assumed: the 15x owner-FCF terminal cap (~8x terminal EBITDA) holds the exit below Amcor's own 10-year EV/EBITDA range.</t>
        </is>
      </c>
    </row>
    <row r="25" ht="110" customHeight="1">
      <c r="A25" s="1" t="inlineStr">
        <is>
          <t>Bull</t>
        </is>
      </c>
      <c r="B25" s="5" t="inlineStr">
        <is>
          <t>Synergies deliver in full and the North America beverage and other non-core units are exited or fixed, so the retained portfolio's cash-adjusted margin reaches 17.0% (company basis ~17.6%) -- a full-synergy case, no longer a Berry-like 17.6% margin on the whole book. The ~$140m of new business wins plus healthcare/pet-food/protein mix push volumes back to positive and revenue compounds 3-4.5%. Working-capital recovery (&gt;$500m guided) and deleveraging arrive faster, freeing cash for buybacks that the flat share count already assumes. Terminal growth 3.0%, still capped at 15x FCF (the 15.2x EV/EBITDA cap sits far above).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Bear case -- USD millions; only rows 5, 7, 9, 14 are inputs</t>
        </is>
      </c>
    </row>
    <row r="3">
      <c r="A3" t="inlineStr">
        <is>
          <t>Year</t>
        </is>
      </c>
      <c r="B3" t="inlineStr">
        <is>
          <t>FY2026A</t>
        </is>
      </c>
      <c r="C3" t="inlineStr">
        <is>
          <t>Y1E</t>
        </is>
      </c>
      <c r="D3" t="inlineStr">
        <is>
          <t>Y2E</t>
        </is>
      </c>
      <c r="E3" t="inlineStr">
        <is>
          <t>Y3E</t>
        </is>
      </c>
      <c r="F3" t="inlineStr">
        <is>
          <t>Y4E</t>
        </is>
      </c>
      <c r="G3" t="inlineStr">
        <is>
          <t>Y5E</t>
        </is>
      </c>
      <c r="H3" t="inlineStr">
        <is>
          <t>Y6E</t>
        </is>
      </c>
      <c r="I3" t="inlineStr">
        <is>
          <t>Y7E</t>
        </is>
      </c>
      <c r="J3" t="inlineStr">
        <is>
          <t>Y8E</t>
        </is>
      </c>
      <c r="K3" t="inlineStr">
        <is>
          <t>Y9E</t>
        </is>
      </c>
      <c r="L3" t="inlineStr">
        <is>
          <t>Y10E</t>
        </is>
      </c>
    </row>
    <row r="4">
      <c r="A4" t="inlineStr">
        <is>
          <t>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YoY</t>
        </is>
      </c>
      <c r="B5" s="6" t="n"/>
      <c r="C5" s="7" t="n">
        <v>0</v>
      </c>
      <c r="D5" s="7" t="n">
        <v>0.005</v>
      </c>
      <c r="E5" s="7" t="n">
        <v>0.01</v>
      </c>
      <c r="F5" s="7" t="n">
        <v>0.015</v>
      </c>
      <c r="G5" s="7" t="n">
        <v>0.015</v>
      </c>
      <c r="H5" s="7" t="n">
        <v>0.015</v>
      </c>
      <c r="I5" s="7" t="n">
        <v>0.015</v>
      </c>
      <c r="J5" s="7" t="n">
        <v>0.015</v>
      </c>
      <c r="K5" s="7" t="n">
        <v>0.015</v>
      </c>
      <c r="L5" s="7" t="n">
        <v>0.015</v>
      </c>
    </row>
    <row r="6">
      <c r="A6" t="inlineStr">
        <is>
          <t>Revenue</t>
        </is>
      </c>
      <c r="B6" s="8">
        <f>Assumptions!B11</f>
        <v/>
      </c>
      <c r="C6" s="9">
        <f>B6*(1+C5)</f>
        <v/>
      </c>
      <c r="D6" s="9">
        <f>C6*(1+D5)</f>
        <v/>
      </c>
      <c r="E6" s="9">
        <f>D6*(1+E5)</f>
        <v/>
      </c>
      <c r="F6" s="9">
        <f>E6*(1+F5)</f>
        <v/>
      </c>
      <c r="G6" s="9">
        <f>F6*(1+G5)</f>
        <v/>
      </c>
      <c r="H6" s="9">
        <f>G6*(1+H5)</f>
        <v/>
      </c>
      <c r="I6" s="9">
        <f>H6*(1+I5)</f>
        <v/>
      </c>
      <c r="J6" s="9">
        <f>I6*(1+J5)</f>
        <v/>
      </c>
      <c r="K6" s="9">
        <f>J6*(1+K5)</f>
        <v/>
      </c>
      <c r="L6" s="9">
        <f>K6*(1+L5)</f>
        <v/>
      </c>
    </row>
    <row r="7">
      <c r="A7" t="inlineStr">
        <is>
          <t>Cash-adjusted EBITDA margin</t>
        </is>
      </c>
      <c r="B7" s="10" t="n">
        <v>0.1496213732664001</v>
      </c>
      <c r="C7" s="7" t="n">
        <v>0.148</v>
      </c>
      <c r="D7" s="7" t="n">
        <v>0.146</v>
      </c>
      <c r="E7" s="7" t="n">
        <v>0.145</v>
      </c>
      <c r="F7" s="7" t="n">
        <v>0.145</v>
      </c>
      <c r="G7" s="7" t="n">
        <v>0.145</v>
      </c>
      <c r="H7" s="7" t="n">
        <v>0.145</v>
      </c>
      <c r="I7" s="7" t="n">
        <v>0.145</v>
      </c>
      <c r="J7" s="7" t="n">
        <v>0.145</v>
      </c>
      <c r="K7" s="7" t="n">
        <v>0.145</v>
      </c>
      <c r="L7" s="7" t="n">
        <v>0.145</v>
      </c>
    </row>
    <row r="8">
      <c r="A8" t="inlineStr">
        <is>
          <t>Cash-adjusted EBITDA</t>
        </is>
      </c>
      <c r="B8" s="9">
        <f>B6*B7</f>
        <v/>
      </c>
      <c r="C8" s="9">
        <f>C6*C7</f>
        <v/>
      </c>
      <c r="D8" s="9">
        <f>D6*D7</f>
        <v/>
      </c>
      <c r="E8" s="9">
        <f>E6*E7</f>
        <v/>
      </c>
      <c r="F8" s="9">
        <f>F6*F7</f>
        <v/>
      </c>
      <c r="G8" s="9">
        <f>G6*G7</f>
        <v/>
      </c>
      <c r="H8" s="9">
        <f>H6*H7</f>
        <v/>
      </c>
      <c r="I8" s="9">
        <f>I6*I7</f>
        <v/>
      </c>
      <c r="J8" s="9">
        <f>J6*J7</f>
        <v/>
      </c>
      <c r="K8" s="9">
        <f>K6*K7</f>
        <v/>
      </c>
      <c r="L8" s="9">
        <f>L6*L7</f>
        <v/>
      </c>
    </row>
    <row r="9">
      <c r="A9" t="inlineStr">
        <is>
          <t>SBC incl. withholding % revenue</t>
        </is>
      </c>
      <c r="B9" s="10" t="n">
        <v>0.005317791202246235</v>
      </c>
      <c r="C9" s="10" t="n">
        <v>0.0053</v>
      </c>
      <c r="D9" s="10" t="n">
        <v>0.0053</v>
      </c>
      <c r="E9" s="10" t="n">
        <v>0.0053</v>
      </c>
      <c r="F9" s="10" t="n">
        <v>0.0053</v>
      </c>
      <c r="G9" s="10" t="n">
        <v>0.0053</v>
      </c>
      <c r="H9" s="10" t="n">
        <v>0.0053</v>
      </c>
      <c r="I9" s="10" t="n">
        <v>0.0053</v>
      </c>
      <c r="J9" s="10" t="n">
        <v>0.0053</v>
      </c>
      <c r="K9" s="10" t="n">
        <v>0.0053</v>
      </c>
      <c r="L9" s="10" t="n">
        <v>0.0053</v>
      </c>
    </row>
    <row r="10">
      <c r="A10" t="inlineStr">
        <is>
          <t>SBC (negative)</t>
        </is>
      </c>
      <c r="B10" s="9">
        <f>-B6*B9</f>
        <v/>
      </c>
      <c r="C10" s="9">
        <f>-C6*C9</f>
        <v/>
      </c>
      <c r="D10" s="9">
        <f>-D6*D9</f>
        <v/>
      </c>
      <c r="E10" s="9">
        <f>-E6*E9</f>
        <v/>
      </c>
      <c r="F10" s="9">
        <f>-F6*F9</f>
        <v/>
      </c>
      <c r="G10" s="9">
        <f>-G6*G9</f>
        <v/>
      </c>
      <c r="H10" s="9">
        <f>-H6*H9</f>
        <v/>
      </c>
      <c r="I10" s="9">
        <f>-I6*I9</f>
        <v/>
      </c>
      <c r="J10" s="9">
        <f>-J6*J9</f>
        <v/>
      </c>
      <c r="K10" s="9">
        <f>-K6*K9</f>
        <v/>
      </c>
      <c r="L10" s="9">
        <f>-L6*L9</f>
        <v/>
      </c>
    </row>
    <row r="11">
      <c r="A11" t="inlineStr">
        <is>
          <t>Owner EBITDA</t>
        </is>
      </c>
      <c r="B11" s="9">
        <f>B8+B10</f>
        <v/>
      </c>
      <c r="C11" s="9">
        <f>C8+C10</f>
        <v/>
      </c>
      <c r="D11" s="9">
        <f>D8+D10</f>
        <v/>
      </c>
      <c r="E11" s="9">
        <f>E8+E10</f>
        <v/>
      </c>
      <c r="F11" s="9">
        <f>F8+F10</f>
        <v/>
      </c>
      <c r="G11" s="9">
        <f>G8+G10</f>
        <v/>
      </c>
      <c r="H11" s="9">
        <f>H8+H10</f>
        <v/>
      </c>
      <c r="I11" s="9">
        <f>I8+I10</f>
        <v/>
      </c>
      <c r="J11" s="9">
        <f>J8+J10</f>
        <v/>
      </c>
      <c r="K11" s="9">
        <f>K8+K10</f>
        <v/>
      </c>
      <c r="L11" s="9">
        <f>L8+L10</f>
        <v/>
      </c>
    </row>
    <row r="12">
      <c r="A12" t="inlineStr">
        <is>
          <t>D&amp;A ex acquired intangibles (negative)</t>
        </is>
      </c>
      <c r="B12" s="11" t="n">
        <v>-860</v>
      </c>
      <c r="C12" s="8">
        <f>-C6*Assumptions!$B$17</f>
        <v/>
      </c>
      <c r="D12" s="8">
        <f>-D6*Assumptions!$B$17</f>
        <v/>
      </c>
      <c r="E12" s="8">
        <f>-E6*Assumptions!$B$17</f>
        <v/>
      </c>
      <c r="F12" s="8">
        <f>-F6*Assumptions!$B$17</f>
        <v/>
      </c>
      <c r="G12" s="8">
        <f>-G6*Assumptions!$B$17</f>
        <v/>
      </c>
      <c r="H12" s="8">
        <f>-H6*Assumptions!$B$17</f>
        <v/>
      </c>
      <c r="I12" s="8">
        <f>-I6*Assumptions!$B$17</f>
        <v/>
      </c>
      <c r="J12" s="8">
        <f>-J6*Assumptions!$B$17</f>
        <v/>
      </c>
      <c r="K12" s="8">
        <f>-K6*Assumptions!$B$17</f>
        <v/>
      </c>
      <c r="L12" s="8">
        <f>-L6*Assumptions!$B$17</f>
        <v/>
      </c>
    </row>
    <row r="13">
      <c r="A13" t="inlineStr">
        <is>
          <t>EBIT, SBC expensed</t>
        </is>
      </c>
      <c r="B13" s="9">
        <f>B11+B12</f>
        <v/>
      </c>
      <c r="C13" s="9">
        <f>C11+C12</f>
        <v/>
      </c>
      <c r="D13" s="9">
        <f>D11+D12</f>
        <v/>
      </c>
      <c r="E13" s="9">
        <f>E11+E12</f>
        <v/>
      </c>
      <c r="F13" s="9">
        <f>F11+F12</f>
        <v/>
      </c>
      <c r="G13" s="9">
        <f>G11+G12</f>
        <v/>
      </c>
      <c r="H13" s="9">
        <f>H11+H12</f>
        <v/>
      </c>
      <c r="I13" s="9">
        <f>I11+I12</f>
        <v/>
      </c>
      <c r="J13" s="9">
        <f>J11+J12</f>
        <v/>
      </c>
      <c r="K13" s="9">
        <f>K11+K12</f>
        <v/>
      </c>
      <c r="L13" s="9">
        <f>L11+L12</f>
        <v/>
      </c>
    </row>
    <row r="14">
      <c r="A14" t="inlineStr">
        <is>
          <t>Cash tax rate</t>
        </is>
      </c>
      <c r="B14" s="10" t="n">
        <v>0.2</v>
      </c>
      <c r="C14" s="10" t="n">
        <v>0.2</v>
      </c>
      <c r="D14" s="10" t="n">
        <v>0.21</v>
      </c>
      <c r="E14" s="10" t="n">
        <v>0.21</v>
      </c>
      <c r="F14" s="10" t="n">
        <v>0.21</v>
      </c>
      <c r="G14" s="10" t="n">
        <v>0.21</v>
      </c>
      <c r="H14" s="10" t="n">
        <v>0.21</v>
      </c>
      <c r="I14" s="10" t="n">
        <v>0.21</v>
      </c>
      <c r="J14" s="10" t="n">
        <v>0.21</v>
      </c>
      <c r="K14" s="10" t="n">
        <v>0.21</v>
      </c>
      <c r="L14" s="10" t="n">
        <v>0.21</v>
      </c>
    </row>
    <row r="15">
      <c r="A15" t="inlineStr">
        <is>
          <t>NOPAT</t>
        </is>
      </c>
      <c r="B15" s="9">
        <f>B13-MAX(0,B13)*B14</f>
        <v/>
      </c>
      <c r="C15" s="9">
        <f>C13-MAX(0,C13)*C14</f>
        <v/>
      </c>
      <c r="D15" s="9">
        <f>D13-MAX(0,D13)*D14</f>
        <v/>
      </c>
      <c r="E15" s="9">
        <f>E13-MAX(0,E13)*E14</f>
        <v/>
      </c>
      <c r="F15" s="9">
        <f>F13-MAX(0,F13)*F14</f>
        <v/>
      </c>
      <c r="G15" s="9">
        <f>G13-MAX(0,G13)*G14</f>
        <v/>
      </c>
      <c r="H15" s="9">
        <f>H13-MAX(0,H13)*H14</f>
        <v/>
      </c>
      <c r="I15" s="9">
        <f>I13-MAX(0,I13)*I14</f>
        <v/>
      </c>
      <c r="J15" s="9">
        <f>J13-MAX(0,J13)*J14</f>
        <v/>
      </c>
      <c r="K15" s="9">
        <f>K13-MAX(0,K13)*K14</f>
        <v/>
      </c>
      <c r="L15" s="9">
        <f>L13-MAX(0,L13)*L14</f>
        <v/>
      </c>
    </row>
    <row r="16">
      <c r="A16" t="inlineStr">
        <is>
          <t>add back D&amp;A</t>
        </is>
      </c>
      <c r="B16" s="9">
        <f>-B12</f>
        <v/>
      </c>
      <c r="C16" s="9">
        <f>-C12</f>
        <v/>
      </c>
      <c r="D16" s="9">
        <f>-D12</f>
        <v/>
      </c>
      <c r="E16" s="9">
        <f>-E12</f>
        <v/>
      </c>
      <c r="F16" s="9">
        <f>-F12</f>
        <v/>
      </c>
      <c r="G16" s="9">
        <f>-G12</f>
        <v/>
      </c>
      <c r="H16" s="9">
        <f>-H12</f>
        <v/>
      </c>
      <c r="I16" s="9">
        <f>-I12</f>
        <v/>
      </c>
      <c r="J16" s="9">
        <f>-J12</f>
        <v/>
      </c>
      <c r="K16" s="9">
        <f>-K12</f>
        <v/>
      </c>
      <c r="L16" s="9">
        <f>-L12</f>
        <v/>
      </c>
    </row>
    <row r="17">
      <c r="A17" t="inlineStr">
        <is>
          <t>less capex</t>
        </is>
      </c>
      <c r="B17" s="11" t="n">
        <v>-922</v>
      </c>
      <c r="C17" s="8">
        <f>-C6*Assumptions!$B$18</f>
        <v/>
      </c>
      <c r="D17" s="8">
        <f>-D6*Assumptions!$B$18</f>
        <v/>
      </c>
      <c r="E17" s="8">
        <f>-E6*Assumptions!$B$18</f>
        <v/>
      </c>
      <c r="F17" s="8">
        <f>-F6*Assumptions!$B$18</f>
        <v/>
      </c>
      <c r="G17" s="8">
        <f>-G6*Assumptions!$B$18</f>
        <v/>
      </c>
      <c r="H17" s="8">
        <f>-H6*Assumptions!$B$18</f>
        <v/>
      </c>
      <c r="I17" s="8">
        <f>-I6*Assumptions!$B$18</f>
        <v/>
      </c>
      <c r="J17" s="8">
        <f>-J6*Assumptions!$B$18</f>
        <v/>
      </c>
      <c r="K17" s="8">
        <f>-K6*Assumptions!$B$18</f>
        <v/>
      </c>
      <c r="L17" s="8">
        <f>-L6*Assumptions!$B$18</f>
        <v/>
      </c>
    </row>
    <row r="18">
      <c r="A18" t="inlineStr">
        <is>
          <t>add working capital (on revenue change)</t>
        </is>
      </c>
      <c r="B18" s="11" t="n">
        <v>0</v>
      </c>
      <c r="C18" s="8">
        <f>Assumptions!$B$19*(C6-B6)</f>
        <v/>
      </c>
      <c r="D18" s="8">
        <f>Assumptions!$B$19*(D6-C6)</f>
        <v/>
      </c>
      <c r="E18" s="8">
        <f>Assumptions!$B$19*(E6-D6)</f>
        <v/>
      </c>
      <c r="F18" s="8">
        <f>Assumptions!$B$19*(F6-E6)</f>
        <v/>
      </c>
      <c r="G18" s="8">
        <f>Assumptions!$B$19*(G6-F6)</f>
        <v/>
      </c>
      <c r="H18" s="8">
        <f>Assumptions!$B$19*(H6-G6)</f>
        <v/>
      </c>
      <c r="I18" s="8">
        <f>Assumptions!$B$19*(I6-H6)</f>
        <v/>
      </c>
      <c r="J18" s="8">
        <f>Assumptions!$B$19*(J6-I6)</f>
        <v/>
      </c>
      <c r="K18" s="8">
        <f>Assumptions!$B$19*(K6-J6)</f>
        <v/>
      </c>
      <c r="L18" s="8">
        <f>Assumptions!$B$19*(L6-K6)</f>
        <v/>
      </c>
    </row>
    <row r="19">
      <c r="A19" s="1" t="inlineStr">
        <is>
          <t>Unlevered owner FCF</t>
        </is>
      </c>
      <c r="B19" s="9">
        <f>B15+B16+B17+B18</f>
        <v/>
      </c>
      <c r="C19" s="12">
        <f>C15+C16+C17+C18</f>
        <v/>
      </c>
      <c r="D19" s="12">
        <f>D15+D16+D17+D18</f>
        <v/>
      </c>
      <c r="E19" s="12">
        <f>E15+E16+E17+E18</f>
        <v/>
      </c>
      <c r="F19" s="12">
        <f>F15+F16+F17+F18</f>
        <v/>
      </c>
      <c r="G19" s="12">
        <f>G15+G16+G17+G18</f>
        <v/>
      </c>
      <c r="H19" s="12">
        <f>H15+H16+H17+H18</f>
        <v/>
      </c>
      <c r="I19" s="12">
        <f>I15+I16+I17+I18</f>
        <v/>
      </c>
      <c r="J19" s="12">
        <f>J15+J16+J17+J18</f>
        <v/>
      </c>
      <c r="K19" s="12">
        <f>K15+K16+K17+K18</f>
        <v/>
      </c>
      <c r="L19" s="12">
        <f>L15+L16+L17+L18</f>
        <v/>
      </c>
    </row>
    <row r="20">
      <c r="A20" t="inlineStr">
        <is>
          <t>Discount factor</t>
        </is>
      </c>
      <c r="C20" s="13">
        <f>1/(1+Assumptions!$B$4)^C4</f>
        <v/>
      </c>
      <c r="D20" s="13">
        <f>1/(1+Assumptions!$B$4)^D4</f>
        <v/>
      </c>
      <c r="E20" s="13">
        <f>1/(1+Assumptions!$B$4)^E4</f>
        <v/>
      </c>
      <c r="F20" s="13">
        <f>1/(1+Assumptions!$B$4)^F4</f>
        <v/>
      </c>
      <c r="G20" s="13">
        <f>1/(1+Assumptions!$B$4)^G4</f>
        <v/>
      </c>
      <c r="H20" s="13">
        <f>1/(1+Assumptions!$B$4)^H4</f>
        <v/>
      </c>
      <c r="I20" s="13">
        <f>1/(1+Assumptions!$B$4)^I4</f>
        <v/>
      </c>
      <c r="J20" s="13">
        <f>1/(1+Assumptions!$B$4)^J4</f>
        <v/>
      </c>
      <c r="K20" s="13">
        <f>1/(1+Assumptions!$B$4)^K4</f>
        <v/>
      </c>
      <c r="L20" s="13">
        <f>1/(1+Assumptions!$B$4)^L4</f>
        <v/>
      </c>
    </row>
    <row r="21">
      <c r="A21" t="inlineStr">
        <is>
          <t>PV of FCF</t>
        </is>
      </c>
      <c r="B21" s="9" t="n"/>
      <c r="C21" s="9">
        <f>C19*C20</f>
        <v/>
      </c>
      <c r="D21" s="9">
        <f>D19*D20</f>
        <v/>
      </c>
      <c r="E21" s="9">
        <f>E19*E20</f>
        <v/>
      </c>
      <c r="F21" s="9">
        <f>F19*F20</f>
        <v/>
      </c>
      <c r="G21" s="9">
        <f>G19*G20</f>
        <v/>
      </c>
      <c r="H21" s="9">
        <f>H19*H20</f>
        <v/>
      </c>
      <c r="I21" s="9">
        <f>I19*I20</f>
        <v/>
      </c>
      <c r="J21" s="9">
        <f>J19*J20</f>
        <v/>
      </c>
      <c r="K21" s="9">
        <f>K19*K20</f>
        <v/>
      </c>
      <c r="L21" s="9">
        <f>L19*L20</f>
        <v/>
      </c>
    </row>
    <row r="23">
      <c r="A23" t="inlineStr">
        <is>
          <t>Memo: FCF before SBC (company-style)</t>
        </is>
      </c>
      <c r="B23" s="9">
        <f>B19-B10</f>
        <v/>
      </c>
      <c r="C23" s="9">
        <f>C19-C10</f>
        <v/>
      </c>
      <c r="D23" s="9">
        <f>D19-D10</f>
        <v/>
      </c>
      <c r="E23" s="9">
        <f>E19-E10</f>
        <v/>
      </c>
      <c r="F23" s="9">
        <f>F19-F10</f>
        <v/>
      </c>
      <c r="G23" s="9">
        <f>G19-G10</f>
        <v/>
      </c>
      <c r="H23" s="9">
        <f>H19-H10</f>
        <v/>
      </c>
      <c r="I23" s="9">
        <f>I19-I10</f>
        <v/>
      </c>
      <c r="J23" s="9">
        <f>J19-J10</f>
        <v/>
      </c>
      <c r="K23" s="9">
        <f>K19-K10</f>
        <v/>
      </c>
      <c r="L23" s="9">
        <f>L19-L10</f>
        <v/>
      </c>
    </row>
    <row r="24">
      <c r="A24" t="inlineStr">
        <is>
          <t>Memo: owner-FCF margin</t>
        </is>
      </c>
      <c r="B24" s="6">
        <f>B19/B6</f>
        <v/>
      </c>
      <c r="C24" s="6">
        <f>C19/C6</f>
        <v/>
      </c>
      <c r="D24" s="6">
        <f>D19/D6</f>
        <v/>
      </c>
      <c r="E24" s="6">
        <f>E19/E6</f>
        <v/>
      </c>
      <c r="F24" s="6">
        <f>F19/F6</f>
        <v/>
      </c>
      <c r="G24" s="6">
        <f>G19/G6</f>
        <v/>
      </c>
      <c r="H24" s="6">
        <f>H19/H6</f>
        <v/>
      </c>
      <c r="I24" s="6">
        <f>I19/I6</f>
        <v/>
      </c>
      <c r="J24" s="6">
        <f>J19/J6</f>
        <v/>
      </c>
      <c r="K24" s="6">
        <f>K19/K6</f>
        <v/>
      </c>
      <c r="L24" s="6">
        <f>L19/L6</f>
        <v/>
      </c>
    </row>
    <row r="26">
      <c r="A26" t="inlineStr">
        <is>
          <t>Sum of PV (Y1-Y10)</t>
        </is>
      </c>
      <c r="B26" s="9">
        <f>SUM(C21:L21)</f>
        <v/>
      </c>
    </row>
    <row r="27">
      <c r="A27" t="inlineStr">
        <is>
          <t>Terminal growth</t>
        </is>
      </c>
      <c r="B27" s="14">
        <f>Assumptions!B15</f>
        <v/>
      </c>
    </row>
    <row r="28">
      <c r="A28" t="inlineStr">
        <is>
          <t>Terminal FCF (Y10 x (1+g))</t>
        </is>
      </c>
      <c r="B28" s="9">
        <f>L19*(1+B27)</f>
        <v/>
      </c>
    </row>
    <row r="29">
      <c r="A29" t="inlineStr">
        <is>
          <t>Gordon TV</t>
        </is>
      </c>
      <c r="B29" s="9">
        <f>IF(Assumptions!B4&gt;B27,B28/(Assumptions!B4-B27),1E+15)</f>
        <v/>
      </c>
    </row>
    <row r="30">
      <c r="A30" t="inlineStr">
        <is>
          <t>Cap TV (cap x FCF_10)</t>
        </is>
      </c>
      <c r="B30" s="8">
        <f>Assumptions!B5*L19</f>
        <v/>
      </c>
    </row>
    <row r="31">
      <c r="A31" t="inlineStr">
        <is>
          <t>TV used = MAX(0,MIN(Gordon,FCF cap,EV/EBITDA cap))</t>
        </is>
      </c>
      <c r="B31" s="9">
        <f>MAX(0,MIN(B29,B30,B47))</f>
        <v/>
      </c>
    </row>
    <row r="32">
      <c r="A32" t="inlineStr">
        <is>
          <t>Implied exit multiple (TV / FCF_10)</t>
        </is>
      </c>
      <c r="B32" s="15">
        <f>IF(L19&lt;&gt;0,B31/L19,0)</f>
        <v/>
      </c>
    </row>
    <row r="33">
      <c r="A33" t="inlineStr">
        <is>
          <t>PV of TV</t>
        </is>
      </c>
      <c r="B33" s="9">
        <f>B31*L20</f>
        <v/>
      </c>
    </row>
    <row r="34">
      <c r="A34" t="inlineStr">
        <is>
          <t>Enterprise value</t>
        </is>
      </c>
      <c r="B34" s="9">
        <f>B26+B33</f>
        <v/>
      </c>
    </row>
    <row r="35">
      <c r="A35" t="inlineStr">
        <is>
          <t>less net debt incl. NCI</t>
        </is>
      </c>
      <c r="B35" s="8">
        <f>-Assumptions!B6</f>
        <v/>
      </c>
    </row>
    <row r="36">
      <c r="A36" t="inlineStr">
        <is>
          <t>Equity value</t>
        </is>
      </c>
      <c r="B36" s="9">
        <f>B34+B35</f>
        <v/>
      </c>
    </row>
    <row r="37">
      <c r="A37" t="inlineStr">
        <is>
          <t>Diluted shares (m)</t>
        </is>
      </c>
      <c r="B37" s="16">
        <f>Assumptions!B7</f>
        <v/>
      </c>
    </row>
    <row r="38">
      <c r="A38" t="inlineStr">
        <is>
          <t>Value per share (USD)</t>
        </is>
      </c>
      <c r="B38" s="17">
        <f>B36/B37</f>
        <v/>
      </c>
    </row>
    <row r="39">
      <c r="A39" t="inlineStr">
        <is>
          <t>Value per share (AUD)</t>
        </is>
      </c>
      <c r="B39" s="17">
        <f>B38*Assumptions!B12</f>
        <v/>
      </c>
    </row>
    <row r="40">
      <c r="A40" t="inlineStr">
        <is>
          <t>Upside vs price (AUD)</t>
        </is>
      </c>
      <c r="B40" s="14">
        <f>B39/Assumptions!B8-1</f>
        <v/>
      </c>
    </row>
    <row r="42">
      <c r="A42" t="inlineStr">
        <is>
          <t>Street memo: PV of explicit SBC</t>
        </is>
      </c>
      <c r="B42" s="9">
        <f>SUMPRODUCT(-C10:L10/(1+Assumptions!B4)^C4:L4)</f>
        <v/>
      </c>
    </row>
    <row r="43">
      <c r="A43" t="inlineStr">
        <is>
          <t>Street memo: PV of terminal SBC</t>
        </is>
      </c>
      <c r="B43" s="9">
        <f>MIN(IF(Assumptions!B4&gt;B27,-L10*(1+B27)/(Assumptions!B4-B27),1E+15),Assumptions!B5*-L10)*L20</f>
        <v/>
      </c>
    </row>
    <row r="44">
      <c r="A44" t="inlineStr">
        <is>
          <t>Street value per share (USD)</t>
        </is>
      </c>
      <c r="B44" s="15">
        <f>(B36+B42+B43)/B37</f>
        <v/>
      </c>
    </row>
    <row r="45">
      <c r="A45" t="inlineStr">
        <is>
          <t>Street value per share (AUD)</t>
        </is>
      </c>
      <c r="B45" s="16">
        <f>B44*Assumptions!B12</f>
        <v/>
      </c>
    </row>
    <row r="46">
      <c r="A46" t="inlineStr">
        <is>
          <t>Terminal % of EV</t>
        </is>
      </c>
      <c r="B46" s="6">
        <f>B33/B34</f>
        <v/>
      </c>
    </row>
    <row r="47">
      <c r="A47" t="inlineStr">
        <is>
          <t>Exit EV/EBITDA cap TV (cap x EBITDA_10)</t>
        </is>
      </c>
      <c r="B47" s="8">
        <f>Assumptions!B21*L8</f>
        <v/>
      </c>
    </row>
    <row r="48">
      <c r="A48" t="inlineStr">
        <is>
          <t>Implied exit EV / terminal EBITDA</t>
        </is>
      </c>
      <c r="B48" s="15">
        <f>IF(L8&lt;&gt;0,B31/L8,0)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Base case -- USD millions; only rows 5, 7, 9, 14 are inputs</t>
        </is>
      </c>
    </row>
    <row r="3">
      <c r="A3" t="inlineStr">
        <is>
          <t>Year</t>
        </is>
      </c>
      <c r="B3" t="inlineStr">
        <is>
          <t>FY2026A</t>
        </is>
      </c>
      <c r="C3" t="inlineStr">
        <is>
          <t>Y1E</t>
        </is>
      </c>
      <c r="D3" t="inlineStr">
        <is>
          <t>Y2E</t>
        </is>
      </c>
      <c r="E3" t="inlineStr">
        <is>
          <t>Y3E</t>
        </is>
      </c>
      <c r="F3" t="inlineStr">
        <is>
          <t>Y4E</t>
        </is>
      </c>
      <c r="G3" t="inlineStr">
        <is>
          <t>Y5E</t>
        </is>
      </c>
      <c r="H3" t="inlineStr">
        <is>
          <t>Y6E</t>
        </is>
      </c>
      <c r="I3" t="inlineStr">
        <is>
          <t>Y7E</t>
        </is>
      </c>
      <c r="J3" t="inlineStr">
        <is>
          <t>Y8E</t>
        </is>
      </c>
      <c r="K3" t="inlineStr">
        <is>
          <t>Y9E</t>
        </is>
      </c>
      <c r="L3" t="inlineStr">
        <is>
          <t>Y10E</t>
        </is>
      </c>
    </row>
    <row r="4">
      <c r="A4" t="inlineStr">
        <is>
          <t>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YoY</t>
        </is>
      </c>
      <c r="B5" s="6" t="n"/>
      <c r="C5" s="7" t="n">
        <v>0.02</v>
      </c>
      <c r="D5" s="7" t="n">
        <v>0.025</v>
      </c>
      <c r="E5" s="7" t="n">
        <v>0.03</v>
      </c>
      <c r="F5" s="7" t="n">
        <v>0.03</v>
      </c>
      <c r="G5" s="7" t="n">
        <v>0.03</v>
      </c>
      <c r="H5" s="7" t="n">
        <v>0.0275</v>
      </c>
      <c r="I5" s="7" t="n">
        <v>0.025</v>
      </c>
      <c r="J5" s="7" t="n">
        <v>0.025</v>
      </c>
      <c r="K5" s="7" t="n">
        <v>0.025</v>
      </c>
      <c r="L5" s="7" t="n">
        <v>0.025</v>
      </c>
    </row>
    <row r="6">
      <c r="A6" t="inlineStr">
        <is>
          <t>Revenue</t>
        </is>
      </c>
      <c r="B6" s="8">
        <f>Assumptions!B11</f>
        <v/>
      </c>
      <c r="C6" s="9">
        <f>B6*(1+C5)</f>
        <v/>
      </c>
      <c r="D6" s="9">
        <f>C6*(1+D5)</f>
        <v/>
      </c>
      <c r="E6" s="9">
        <f>D6*(1+E5)</f>
        <v/>
      </c>
      <c r="F6" s="9">
        <f>E6*(1+F5)</f>
        <v/>
      </c>
      <c r="G6" s="9">
        <f>F6*(1+G5)</f>
        <v/>
      </c>
      <c r="H6" s="9">
        <f>G6*(1+H5)</f>
        <v/>
      </c>
      <c r="I6" s="9">
        <f>H6*(1+I5)</f>
        <v/>
      </c>
      <c r="J6" s="9">
        <f>I6*(1+J5)</f>
        <v/>
      </c>
      <c r="K6" s="9">
        <f>J6*(1+K5)</f>
        <v/>
      </c>
      <c r="L6" s="9">
        <f>K6*(1+L5)</f>
        <v/>
      </c>
    </row>
    <row r="7">
      <c r="A7" t="inlineStr">
        <is>
          <t>Cash-adjusted EBITDA margin</t>
        </is>
      </c>
      <c r="B7" s="10" t="n">
        <v>0.1496213732664001</v>
      </c>
      <c r="C7" s="7" t="n">
        <v>0.15</v>
      </c>
      <c r="D7" s="7" t="n">
        <v>0.151</v>
      </c>
      <c r="E7" s="7" t="n">
        <v>0.152</v>
      </c>
      <c r="F7" s="7" t="n">
        <v>0.153</v>
      </c>
      <c r="G7" s="7" t="n">
        <v>0.153</v>
      </c>
      <c r="H7" s="7" t="n">
        <v>0.153</v>
      </c>
      <c r="I7" s="7" t="n">
        <v>0.153</v>
      </c>
      <c r="J7" s="7" t="n">
        <v>0.153</v>
      </c>
      <c r="K7" s="7" t="n">
        <v>0.153</v>
      </c>
      <c r="L7" s="7" t="n">
        <v>0.153</v>
      </c>
    </row>
    <row r="8">
      <c r="A8" t="inlineStr">
        <is>
          <t>Cash-adjusted EBITDA</t>
        </is>
      </c>
      <c r="B8" s="9">
        <f>B6*B7</f>
        <v/>
      </c>
      <c r="C8" s="9">
        <f>C6*C7</f>
        <v/>
      </c>
      <c r="D8" s="9">
        <f>D6*D7</f>
        <v/>
      </c>
      <c r="E8" s="9">
        <f>E6*E7</f>
        <v/>
      </c>
      <c r="F8" s="9">
        <f>F6*F7</f>
        <v/>
      </c>
      <c r="G8" s="9">
        <f>G6*G7</f>
        <v/>
      </c>
      <c r="H8" s="9">
        <f>H6*H7</f>
        <v/>
      </c>
      <c r="I8" s="9">
        <f>I6*I7</f>
        <v/>
      </c>
      <c r="J8" s="9">
        <f>J6*J7</f>
        <v/>
      </c>
      <c r="K8" s="9">
        <f>K6*K7</f>
        <v/>
      </c>
      <c r="L8" s="9">
        <f>L6*L7</f>
        <v/>
      </c>
    </row>
    <row r="9">
      <c r="A9" t="inlineStr">
        <is>
          <t>SBC incl. withholding % revenue</t>
        </is>
      </c>
      <c r="B9" s="10" t="n">
        <v>0.005317791202246235</v>
      </c>
      <c r="C9" s="10" t="n">
        <v>0.0053</v>
      </c>
      <c r="D9" s="10" t="n">
        <v>0.0053</v>
      </c>
      <c r="E9" s="10" t="n">
        <v>0.0052</v>
      </c>
      <c r="F9" s="10" t="n">
        <v>0.0052</v>
      </c>
      <c r="G9" s="10" t="n">
        <v>0.0051</v>
      </c>
      <c r="H9" s="10" t="n">
        <v>0.0051</v>
      </c>
      <c r="I9" s="10" t="n">
        <v>0.005</v>
      </c>
      <c r="J9" s="10" t="n">
        <v>0.005</v>
      </c>
      <c r="K9" s="10" t="n">
        <v>0.005</v>
      </c>
      <c r="L9" s="10" t="n">
        <v>0.005</v>
      </c>
    </row>
    <row r="10">
      <c r="A10" t="inlineStr">
        <is>
          <t>SBC (negative)</t>
        </is>
      </c>
      <c r="B10" s="9">
        <f>-B6*B9</f>
        <v/>
      </c>
      <c r="C10" s="9">
        <f>-C6*C9</f>
        <v/>
      </c>
      <c r="D10" s="9">
        <f>-D6*D9</f>
        <v/>
      </c>
      <c r="E10" s="9">
        <f>-E6*E9</f>
        <v/>
      </c>
      <c r="F10" s="9">
        <f>-F6*F9</f>
        <v/>
      </c>
      <c r="G10" s="9">
        <f>-G6*G9</f>
        <v/>
      </c>
      <c r="H10" s="9">
        <f>-H6*H9</f>
        <v/>
      </c>
      <c r="I10" s="9">
        <f>-I6*I9</f>
        <v/>
      </c>
      <c r="J10" s="9">
        <f>-J6*J9</f>
        <v/>
      </c>
      <c r="K10" s="9">
        <f>-K6*K9</f>
        <v/>
      </c>
      <c r="L10" s="9">
        <f>-L6*L9</f>
        <v/>
      </c>
    </row>
    <row r="11">
      <c r="A11" t="inlineStr">
        <is>
          <t>Owner EBITDA</t>
        </is>
      </c>
      <c r="B11" s="9">
        <f>B8+B10</f>
        <v/>
      </c>
      <c r="C11" s="9">
        <f>C8+C10</f>
        <v/>
      </c>
      <c r="D11" s="9">
        <f>D8+D10</f>
        <v/>
      </c>
      <c r="E11" s="9">
        <f>E8+E10</f>
        <v/>
      </c>
      <c r="F11" s="9">
        <f>F8+F10</f>
        <v/>
      </c>
      <c r="G11" s="9">
        <f>G8+G10</f>
        <v/>
      </c>
      <c r="H11" s="9">
        <f>H8+H10</f>
        <v/>
      </c>
      <c r="I11" s="9">
        <f>I8+I10</f>
        <v/>
      </c>
      <c r="J11" s="9">
        <f>J8+J10</f>
        <v/>
      </c>
      <c r="K11" s="9">
        <f>K8+K10</f>
        <v/>
      </c>
      <c r="L11" s="9">
        <f>L8+L10</f>
        <v/>
      </c>
    </row>
    <row r="12">
      <c r="A12" t="inlineStr">
        <is>
          <t>D&amp;A ex acquired intangibles (negative)</t>
        </is>
      </c>
      <c r="B12" s="11" t="n">
        <v>-860</v>
      </c>
      <c r="C12" s="8">
        <f>-C6*Assumptions!$C$17</f>
        <v/>
      </c>
      <c r="D12" s="8">
        <f>-D6*Assumptions!$C$17</f>
        <v/>
      </c>
      <c r="E12" s="8">
        <f>-E6*Assumptions!$C$17</f>
        <v/>
      </c>
      <c r="F12" s="8">
        <f>-F6*Assumptions!$C$17</f>
        <v/>
      </c>
      <c r="G12" s="8">
        <f>-G6*Assumptions!$C$17</f>
        <v/>
      </c>
      <c r="H12" s="8">
        <f>-H6*Assumptions!$C$17</f>
        <v/>
      </c>
      <c r="I12" s="8">
        <f>-I6*Assumptions!$C$17</f>
        <v/>
      </c>
      <c r="J12" s="8">
        <f>-J6*Assumptions!$C$17</f>
        <v/>
      </c>
      <c r="K12" s="8">
        <f>-K6*Assumptions!$C$17</f>
        <v/>
      </c>
      <c r="L12" s="8">
        <f>-L6*Assumptions!$C$17</f>
        <v/>
      </c>
    </row>
    <row r="13">
      <c r="A13" t="inlineStr">
        <is>
          <t>EBIT, SBC expensed</t>
        </is>
      </c>
      <c r="B13" s="9">
        <f>B11+B12</f>
        <v/>
      </c>
      <c r="C13" s="9">
        <f>C11+C12</f>
        <v/>
      </c>
      <c r="D13" s="9">
        <f>D11+D12</f>
        <v/>
      </c>
      <c r="E13" s="9">
        <f>E11+E12</f>
        <v/>
      </c>
      <c r="F13" s="9">
        <f>F11+F12</f>
        <v/>
      </c>
      <c r="G13" s="9">
        <f>G11+G12</f>
        <v/>
      </c>
      <c r="H13" s="9">
        <f>H11+H12</f>
        <v/>
      </c>
      <c r="I13" s="9">
        <f>I11+I12</f>
        <v/>
      </c>
      <c r="J13" s="9">
        <f>J11+J12</f>
        <v/>
      </c>
      <c r="K13" s="9">
        <f>K11+K12</f>
        <v/>
      </c>
      <c r="L13" s="9">
        <f>L11+L12</f>
        <v/>
      </c>
    </row>
    <row r="14">
      <c r="A14" t="inlineStr">
        <is>
          <t>Cash tax rate</t>
        </is>
      </c>
      <c r="B14" s="10" t="n">
        <v>0.2</v>
      </c>
      <c r="C14" s="10" t="n">
        <v>0.19</v>
      </c>
      <c r="D14" s="10" t="n">
        <v>0.19</v>
      </c>
      <c r="E14" s="10" t="n">
        <v>0.2</v>
      </c>
      <c r="F14" s="10" t="n">
        <v>0.2</v>
      </c>
      <c r="G14" s="10" t="n">
        <v>0.21</v>
      </c>
      <c r="H14" s="10" t="n">
        <v>0.21</v>
      </c>
      <c r="I14" s="10" t="n">
        <v>0.21</v>
      </c>
      <c r="J14" s="10" t="n">
        <v>0.21</v>
      </c>
      <c r="K14" s="10" t="n">
        <v>0.21</v>
      </c>
      <c r="L14" s="10" t="n">
        <v>0.21</v>
      </c>
    </row>
    <row r="15">
      <c r="A15" t="inlineStr">
        <is>
          <t>NOPAT</t>
        </is>
      </c>
      <c r="B15" s="9">
        <f>B13-MAX(0,B13)*B14</f>
        <v/>
      </c>
      <c r="C15" s="9">
        <f>C13-MAX(0,C13)*C14</f>
        <v/>
      </c>
      <c r="D15" s="9">
        <f>D13-MAX(0,D13)*D14</f>
        <v/>
      </c>
      <c r="E15" s="9">
        <f>E13-MAX(0,E13)*E14</f>
        <v/>
      </c>
      <c r="F15" s="9">
        <f>F13-MAX(0,F13)*F14</f>
        <v/>
      </c>
      <c r="G15" s="9">
        <f>G13-MAX(0,G13)*G14</f>
        <v/>
      </c>
      <c r="H15" s="9">
        <f>H13-MAX(0,H13)*H14</f>
        <v/>
      </c>
      <c r="I15" s="9">
        <f>I13-MAX(0,I13)*I14</f>
        <v/>
      </c>
      <c r="J15" s="9">
        <f>J13-MAX(0,J13)*J14</f>
        <v/>
      </c>
      <c r="K15" s="9">
        <f>K13-MAX(0,K13)*K14</f>
        <v/>
      </c>
      <c r="L15" s="9">
        <f>L13-MAX(0,L13)*L14</f>
        <v/>
      </c>
    </row>
    <row r="16">
      <c r="A16" t="inlineStr">
        <is>
          <t>add back D&amp;A</t>
        </is>
      </c>
      <c r="B16" s="9">
        <f>-B12</f>
        <v/>
      </c>
      <c r="C16" s="9">
        <f>-C12</f>
        <v/>
      </c>
      <c r="D16" s="9">
        <f>-D12</f>
        <v/>
      </c>
      <c r="E16" s="9">
        <f>-E12</f>
        <v/>
      </c>
      <c r="F16" s="9">
        <f>-F12</f>
        <v/>
      </c>
      <c r="G16" s="9">
        <f>-G12</f>
        <v/>
      </c>
      <c r="H16" s="9">
        <f>-H12</f>
        <v/>
      </c>
      <c r="I16" s="9">
        <f>-I12</f>
        <v/>
      </c>
      <c r="J16" s="9">
        <f>-J12</f>
        <v/>
      </c>
      <c r="K16" s="9">
        <f>-K12</f>
        <v/>
      </c>
      <c r="L16" s="9">
        <f>-L12</f>
        <v/>
      </c>
    </row>
    <row r="17">
      <c r="A17" t="inlineStr">
        <is>
          <t>less capex</t>
        </is>
      </c>
      <c r="B17" s="11" t="n">
        <v>-922</v>
      </c>
      <c r="C17" s="8">
        <f>-C6*Assumptions!$C$18</f>
        <v/>
      </c>
      <c r="D17" s="8">
        <f>-D6*Assumptions!$C$18</f>
        <v/>
      </c>
      <c r="E17" s="8">
        <f>-E6*Assumptions!$C$18</f>
        <v/>
      </c>
      <c r="F17" s="8">
        <f>-F6*Assumptions!$C$18</f>
        <v/>
      </c>
      <c r="G17" s="8">
        <f>-G6*Assumptions!$C$18</f>
        <v/>
      </c>
      <c r="H17" s="8">
        <f>-H6*Assumptions!$C$18</f>
        <v/>
      </c>
      <c r="I17" s="8">
        <f>-I6*Assumptions!$C$18</f>
        <v/>
      </c>
      <c r="J17" s="8">
        <f>-J6*Assumptions!$C$18</f>
        <v/>
      </c>
      <c r="K17" s="8">
        <f>-K6*Assumptions!$C$18</f>
        <v/>
      </c>
      <c r="L17" s="8">
        <f>-L6*Assumptions!$C$18</f>
        <v/>
      </c>
    </row>
    <row r="18">
      <c r="A18" t="inlineStr">
        <is>
          <t>add working capital (on revenue change)</t>
        </is>
      </c>
      <c r="B18" s="11" t="n">
        <v>0</v>
      </c>
      <c r="C18" s="8">
        <f>Assumptions!$C$19*(C6-B6)</f>
        <v/>
      </c>
      <c r="D18" s="8">
        <f>Assumptions!$C$19*(D6-C6)</f>
        <v/>
      </c>
      <c r="E18" s="8">
        <f>Assumptions!$C$19*(E6-D6)</f>
        <v/>
      </c>
      <c r="F18" s="8">
        <f>Assumptions!$C$19*(F6-E6)</f>
        <v/>
      </c>
      <c r="G18" s="8">
        <f>Assumptions!$C$19*(G6-F6)</f>
        <v/>
      </c>
      <c r="H18" s="8">
        <f>Assumptions!$C$19*(H6-G6)</f>
        <v/>
      </c>
      <c r="I18" s="8">
        <f>Assumptions!$C$19*(I6-H6)</f>
        <v/>
      </c>
      <c r="J18" s="8">
        <f>Assumptions!$C$19*(J6-I6)</f>
        <v/>
      </c>
      <c r="K18" s="8">
        <f>Assumptions!$C$19*(K6-J6)</f>
        <v/>
      </c>
      <c r="L18" s="8">
        <f>Assumptions!$C$19*(L6-K6)</f>
        <v/>
      </c>
    </row>
    <row r="19">
      <c r="A19" s="1" t="inlineStr">
        <is>
          <t>Unlevered owner FCF</t>
        </is>
      </c>
      <c r="B19" s="9">
        <f>B15+B16+B17+B18</f>
        <v/>
      </c>
      <c r="C19" s="12">
        <f>C15+C16+C17+C18</f>
        <v/>
      </c>
      <c r="D19" s="12">
        <f>D15+D16+D17+D18</f>
        <v/>
      </c>
      <c r="E19" s="12">
        <f>E15+E16+E17+E18</f>
        <v/>
      </c>
      <c r="F19" s="12">
        <f>F15+F16+F17+F18</f>
        <v/>
      </c>
      <c r="G19" s="12">
        <f>G15+G16+G17+G18</f>
        <v/>
      </c>
      <c r="H19" s="12">
        <f>H15+H16+H17+H18</f>
        <v/>
      </c>
      <c r="I19" s="12">
        <f>I15+I16+I17+I18</f>
        <v/>
      </c>
      <c r="J19" s="12">
        <f>J15+J16+J17+J18</f>
        <v/>
      </c>
      <c r="K19" s="12">
        <f>K15+K16+K17+K18</f>
        <v/>
      </c>
      <c r="L19" s="12">
        <f>L15+L16+L17+L18</f>
        <v/>
      </c>
    </row>
    <row r="20">
      <c r="A20" t="inlineStr">
        <is>
          <t>Discount factor</t>
        </is>
      </c>
      <c r="C20" s="13">
        <f>1/(1+Assumptions!$B$4)^C4</f>
        <v/>
      </c>
      <c r="D20" s="13">
        <f>1/(1+Assumptions!$B$4)^D4</f>
        <v/>
      </c>
      <c r="E20" s="13">
        <f>1/(1+Assumptions!$B$4)^E4</f>
        <v/>
      </c>
      <c r="F20" s="13">
        <f>1/(1+Assumptions!$B$4)^F4</f>
        <v/>
      </c>
      <c r="G20" s="13">
        <f>1/(1+Assumptions!$B$4)^G4</f>
        <v/>
      </c>
      <c r="H20" s="13">
        <f>1/(1+Assumptions!$B$4)^H4</f>
        <v/>
      </c>
      <c r="I20" s="13">
        <f>1/(1+Assumptions!$B$4)^I4</f>
        <v/>
      </c>
      <c r="J20" s="13">
        <f>1/(1+Assumptions!$B$4)^J4</f>
        <v/>
      </c>
      <c r="K20" s="13">
        <f>1/(1+Assumptions!$B$4)^K4</f>
        <v/>
      </c>
      <c r="L20" s="13">
        <f>1/(1+Assumptions!$B$4)^L4</f>
        <v/>
      </c>
    </row>
    <row r="21">
      <c r="A21" t="inlineStr">
        <is>
          <t>PV of FCF</t>
        </is>
      </c>
      <c r="B21" s="9" t="n"/>
      <c r="C21" s="9">
        <f>C19*C20</f>
        <v/>
      </c>
      <c r="D21" s="9">
        <f>D19*D20</f>
        <v/>
      </c>
      <c r="E21" s="9">
        <f>E19*E20</f>
        <v/>
      </c>
      <c r="F21" s="9">
        <f>F19*F20</f>
        <v/>
      </c>
      <c r="G21" s="9">
        <f>G19*G20</f>
        <v/>
      </c>
      <c r="H21" s="9">
        <f>H19*H20</f>
        <v/>
      </c>
      <c r="I21" s="9">
        <f>I19*I20</f>
        <v/>
      </c>
      <c r="J21" s="9">
        <f>J19*J20</f>
        <v/>
      </c>
      <c r="K21" s="9">
        <f>K19*K20</f>
        <v/>
      </c>
      <c r="L21" s="9">
        <f>L19*L20</f>
        <v/>
      </c>
    </row>
    <row r="23">
      <c r="A23" t="inlineStr">
        <is>
          <t>Memo: FCF before SBC (company-style)</t>
        </is>
      </c>
      <c r="B23" s="9">
        <f>B19-B10</f>
        <v/>
      </c>
      <c r="C23" s="9">
        <f>C19-C10</f>
        <v/>
      </c>
      <c r="D23" s="9">
        <f>D19-D10</f>
        <v/>
      </c>
      <c r="E23" s="9">
        <f>E19-E10</f>
        <v/>
      </c>
      <c r="F23" s="9">
        <f>F19-F10</f>
        <v/>
      </c>
      <c r="G23" s="9">
        <f>G19-G10</f>
        <v/>
      </c>
      <c r="H23" s="9">
        <f>H19-H10</f>
        <v/>
      </c>
      <c r="I23" s="9">
        <f>I19-I10</f>
        <v/>
      </c>
      <c r="J23" s="9">
        <f>J19-J10</f>
        <v/>
      </c>
      <c r="K23" s="9">
        <f>K19-K10</f>
        <v/>
      </c>
      <c r="L23" s="9">
        <f>L19-L10</f>
        <v/>
      </c>
    </row>
    <row r="24">
      <c r="A24" t="inlineStr">
        <is>
          <t>Memo: owner-FCF margin</t>
        </is>
      </c>
      <c r="B24" s="6">
        <f>B19/B6</f>
        <v/>
      </c>
      <c r="C24" s="6">
        <f>C19/C6</f>
        <v/>
      </c>
      <c r="D24" s="6">
        <f>D19/D6</f>
        <v/>
      </c>
      <c r="E24" s="6">
        <f>E19/E6</f>
        <v/>
      </c>
      <c r="F24" s="6">
        <f>F19/F6</f>
        <v/>
      </c>
      <c r="G24" s="6">
        <f>G19/G6</f>
        <v/>
      </c>
      <c r="H24" s="6">
        <f>H19/H6</f>
        <v/>
      </c>
      <c r="I24" s="6">
        <f>I19/I6</f>
        <v/>
      </c>
      <c r="J24" s="6">
        <f>J19/J6</f>
        <v/>
      </c>
      <c r="K24" s="6">
        <f>K19/K6</f>
        <v/>
      </c>
      <c r="L24" s="6">
        <f>L19/L6</f>
        <v/>
      </c>
    </row>
    <row r="26">
      <c r="A26" t="inlineStr">
        <is>
          <t>Sum of PV (Y1-Y10)</t>
        </is>
      </c>
      <c r="B26" s="9">
        <f>SUM(C21:L21)</f>
        <v/>
      </c>
    </row>
    <row r="27">
      <c r="A27" t="inlineStr">
        <is>
          <t>Terminal growth</t>
        </is>
      </c>
      <c r="B27" s="14">
        <f>Assumptions!C15</f>
        <v/>
      </c>
    </row>
    <row r="28">
      <c r="A28" t="inlineStr">
        <is>
          <t>Terminal FCF (Y10 x (1+g))</t>
        </is>
      </c>
      <c r="B28" s="9">
        <f>L19*(1+B27)</f>
        <v/>
      </c>
    </row>
    <row r="29">
      <c r="A29" t="inlineStr">
        <is>
          <t>Gordon TV</t>
        </is>
      </c>
      <c r="B29" s="9">
        <f>IF(Assumptions!B4&gt;B27,B28/(Assumptions!B4-B27),1E+15)</f>
        <v/>
      </c>
    </row>
    <row r="30">
      <c r="A30" t="inlineStr">
        <is>
          <t>Cap TV (cap x FCF_10)</t>
        </is>
      </c>
      <c r="B30" s="8">
        <f>Assumptions!B5*L19</f>
        <v/>
      </c>
    </row>
    <row r="31">
      <c r="A31" t="inlineStr">
        <is>
          <t>TV used = MAX(0,MIN(Gordon,FCF cap,EV/EBITDA cap))</t>
        </is>
      </c>
      <c r="B31" s="9">
        <f>MAX(0,MIN(B29,B30,B47))</f>
        <v/>
      </c>
    </row>
    <row r="32">
      <c r="A32" t="inlineStr">
        <is>
          <t>Implied exit multiple (TV / FCF_10)</t>
        </is>
      </c>
      <c r="B32" s="15">
        <f>IF(L19&lt;&gt;0,B31/L19,0)</f>
        <v/>
      </c>
    </row>
    <row r="33">
      <c r="A33" t="inlineStr">
        <is>
          <t>PV of TV</t>
        </is>
      </c>
      <c r="B33" s="9">
        <f>B31*L20</f>
        <v/>
      </c>
    </row>
    <row r="34">
      <c r="A34" t="inlineStr">
        <is>
          <t>Enterprise value</t>
        </is>
      </c>
      <c r="B34" s="9">
        <f>B26+B33</f>
        <v/>
      </c>
    </row>
    <row r="35">
      <c r="A35" t="inlineStr">
        <is>
          <t>less net debt incl. NCI</t>
        </is>
      </c>
      <c r="B35" s="8">
        <f>-Assumptions!B6</f>
        <v/>
      </c>
    </row>
    <row r="36">
      <c r="A36" t="inlineStr">
        <is>
          <t>Equity value</t>
        </is>
      </c>
      <c r="B36" s="9">
        <f>B34+B35</f>
        <v/>
      </c>
    </row>
    <row r="37">
      <c r="A37" t="inlineStr">
        <is>
          <t>Diluted shares (m)</t>
        </is>
      </c>
      <c r="B37" s="16">
        <f>Assumptions!B7</f>
        <v/>
      </c>
    </row>
    <row r="38">
      <c r="A38" t="inlineStr">
        <is>
          <t>Value per share (USD)</t>
        </is>
      </c>
      <c r="B38" s="17">
        <f>B36/B37</f>
        <v/>
      </c>
    </row>
    <row r="39">
      <c r="A39" t="inlineStr">
        <is>
          <t>Value per share (AUD)</t>
        </is>
      </c>
      <c r="B39" s="17">
        <f>B38*Assumptions!B12</f>
        <v/>
      </c>
    </row>
    <row r="40">
      <c r="A40" t="inlineStr">
        <is>
          <t>Upside vs price (AUD)</t>
        </is>
      </c>
      <c r="B40" s="14">
        <f>B39/Assumptions!B8-1</f>
        <v/>
      </c>
    </row>
    <row r="42">
      <c r="A42" t="inlineStr">
        <is>
          <t>Street memo: PV of explicit SBC</t>
        </is>
      </c>
      <c r="B42" s="9">
        <f>SUMPRODUCT(-C10:L10/(1+Assumptions!B4)^C4:L4)</f>
        <v/>
      </c>
    </row>
    <row r="43">
      <c r="A43" t="inlineStr">
        <is>
          <t>Street memo: PV of terminal SBC</t>
        </is>
      </c>
      <c r="B43" s="9">
        <f>MIN(IF(Assumptions!B4&gt;B27,-L10*(1+B27)/(Assumptions!B4-B27),1E+15),Assumptions!B5*-L10)*L20</f>
        <v/>
      </c>
    </row>
    <row r="44">
      <c r="A44" t="inlineStr">
        <is>
          <t>Street value per share (USD)</t>
        </is>
      </c>
      <c r="B44" s="15">
        <f>(B36+B42+B43)/B37</f>
        <v/>
      </c>
    </row>
    <row r="45">
      <c r="A45" t="inlineStr">
        <is>
          <t>Street value per share (AUD)</t>
        </is>
      </c>
      <c r="B45" s="16">
        <f>B44*Assumptions!B12</f>
        <v/>
      </c>
    </row>
    <row r="46">
      <c r="A46" t="inlineStr">
        <is>
          <t>Terminal % of EV</t>
        </is>
      </c>
      <c r="B46" s="6">
        <f>B33/B34</f>
        <v/>
      </c>
    </row>
    <row r="47">
      <c r="A47" t="inlineStr">
        <is>
          <t>Exit EV/EBITDA cap TV (cap x EBITDA_10)</t>
        </is>
      </c>
      <c r="B47" s="8">
        <f>Assumptions!C21*L8</f>
        <v/>
      </c>
    </row>
    <row r="48">
      <c r="A48" t="inlineStr">
        <is>
          <t>Implied exit EV / terminal EBITDA</t>
        </is>
      </c>
      <c r="B48" s="15">
        <f>IF(L8&lt;&gt;0,B31/L8,0)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4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Bull case -- USD millions; only rows 5, 7, 9, 14 are inputs</t>
        </is>
      </c>
    </row>
    <row r="3">
      <c r="A3" t="inlineStr">
        <is>
          <t>Year</t>
        </is>
      </c>
      <c r="B3" t="inlineStr">
        <is>
          <t>FY2026A</t>
        </is>
      </c>
      <c r="C3" t="inlineStr">
        <is>
          <t>Y1E</t>
        </is>
      </c>
      <c r="D3" t="inlineStr">
        <is>
          <t>Y2E</t>
        </is>
      </c>
      <c r="E3" t="inlineStr">
        <is>
          <t>Y3E</t>
        </is>
      </c>
      <c r="F3" t="inlineStr">
        <is>
          <t>Y4E</t>
        </is>
      </c>
      <c r="G3" t="inlineStr">
        <is>
          <t>Y5E</t>
        </is>
      </c>
      <c r="H3" t="inlineStr">
        <is>
          <t>Y6E</t>
        </is>
      </c>
      <c r="I3" t="inlineStr">
        <is>
          <t>Y7E</t>
        </is>
      </c>
      <c r="J3" t="inlineStr">
        <is>
          <t>Y8E</t>
        </is>
      </c>
      <c r="K3" t="inlineStr">
        <is>
          <t>Y9E</t>
        </is>
      </c>
      <c r="L3" t="inlineStr">
        <is>
          <t>Y10E</t>
        </is>
      </c>
    </row>
    <row r="4">
      <c r="A4" t="inlineStr">
        <is>
          <t>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YoY</t>
        </is>
      </c>
      <c r="B5" s="6" t="n"/>
      <c r="C5" s="7" t="n">
        <v>0.03</v>
      </c>
      <c r="D5" s="7" t="n">
        <v>0.04</v>
      </c>
      <c r="E5" s="7" t="n">
        <v>0.045</v>
      </c>
      <c r="F5" s="7" t="n">
        <v>0.045</v>
      </c>
      <c r="G5" s="7" t="n">
        <v>0.04</v>
      </c>
      <c r="H5" s="7" t="n">
        <v>0.035</v>
      </c>
      <c r="I5" s="7" t="n">
        <v>0.035</v>
      </c>
      <c r="J5" s="7" t="n">
        <v>0.03</v>
      </c>
      <c r="K5" s="7" t="n">
        <v>0.03</v>
      </c>
      <c r="L5" s="7" t="n">
        <v>0.03</v>
      </c>
    </row>
    <row r="6">
      <c r="A6" t="inlineStr">
        <is>
          <t>Revenue</t>
        </is>
      </c>
      <c r="B6" s="8">
        <f>Assumptions!B11</f>
        <v/>
      </c>
      <c r="C6" s="9">
        <f>B6*(1+C5)</f>
        <v/>
      </c>
      <c r="D6" s="9">
        <f>C6*(1+D5)</f>
        <v/>
      </c>
      <c r="E6" s="9">
        <f>D6*(1+E5)</f>
        <v/>
      </c>
      <c r="F6" s="9">
        <f>E6*(1+F5)</f>
        <v/>
      </c>
      <c r="G6" s="9">
        <f>F6*(1+G5)</f>
        <v/>
      </c>
      <c r="H6" s="9">
        <f>G6*(1+H5)</f>
        <v/>
      </c>
      <c r="I6" s="9">
        <f>H6*(1+I5)</f>
        <v/>
      </c>
      <c r="J6" s="9">
        <f>I6*(1+J5)</f>
        <v/>
      </c>
      <c r="K6" s="9">
        <f>J6*(1+K5)</f>
        <v/>
      </c>
      <c r="L6" s="9">
        <f>K6*(1+L5)</f>
        <v/>
      </c>
    </row>
    <row r="7">
      <c r="A7" t="inlineStr">
        <is>
          <t>Cash-adjusted EBITDA margin</t>
        </is>
      </c>
      <c r="B7" s="10" t="n">
        <v>0.1496213732664001</v>
      </c>
      <c r="C7" s="7" t="n">
        <v>0.155</v>
      </c>
      <c r="D7" s="7" t="n">
        <v>0.162</v>
      </c>
      <c r="E7" s="7" t="n">
        <v>0.167</v>
      </c>
      <c r="F7" s="7" t="n">
        <v>0.17</v>
      </c>
      <c r="G7" s="7" t="n">
        <v>0.17</v>
      </c>
      <c r="H7" s="7" t="n">
        <v>0.17</v>
      </c>
      <c r="I7" s="7" t="n">
        <v>0.17</v>
      </c>
      <c r="J7" s="7" t="n">
        <v>0.17</v>
      </c>
      <c r="K7" s="7" t="n">
        <v>0.17</v>
      </c>
      <c r="L7" s="7" t="n">
        <v>0.17</v>
      </c>
    </row>
    <row r="8">
      <c r="A8" t="inlineStr">
        <is>
          <t>Cash-adjusted EBITDA</t>
        </is>
      </c>
      <c r="B8" s="9">
        <f>B6*B7</f>
        <v/>
      </c>
      <c r="C8" s="9">
        <f>C6*C7</f>
        <v/>
      </c>
      <c r="D8" s="9">
        <f>D6*D7</f>
        <v/>
      </c>
      <c r="E8" s="9">
        <f>E6*E7</f>
        <v/>
      </c>
      <c r="F8" s="9">
        <f>F6*F7</f>
        <v/>
      </c>
      <c r="G8" s="9">
        <f>G6*G7</f>
        <v/>
      </c>
      <c r="H8" s="9">
        <f>H6*H7</f>
        <v/>
      </c>
      <c r="I8" s="9">
        <f>I6*I7</f>
        <v/>
      </c>
      <c r="J8" s="9">
        <f>J6*J7</f>
        <v/>
      </c>
      <c r="K8" s="9">
        <f>K6*K7</f>
        <v/>
      </c>
      <c r="L8" s="9">
        <f>L6*L7</f>
        <v/>
      </c>
    </row>
    <row r="9">
      <c r="A9" t="inlineStr">
        <is>
          <t>SBC incl. withholding % revenue</t>
        </is>
      </c>
      <c r="B9" s="10" t="n">
        <v>0.005317791202246235</v>
      </c>
      <c r="C9" s="10" t="n">
        <v>0.0053</v>
      </c>
      <c r="D9" s="10" t="n">
        <v>0.0053</v>
      </c>
      <c r="E9" s="10" t="n">
        <v>0.0052</v>
      </c>
      <c r="F9" s="10" t="n">
        <v>0.0052</v>
      </c>
      <c r="G9" s="10" t="n">
        <v>0.0051</v>
      </c>
      <c r="H9" s="10" t="n">
        <v>0.0051</v>
      </c>
      <c r="I9" s="10" t="n">
        <v>0.005</v>
      </c>
      <c r="J9" s="10" t="n">
        <v>0.005</v>
      </c>
      <c r="K9" s="10" t="n">
        <v>0.005</v>
      </c>
      <c r="L9" s="10" t="n">
        <v>0.005</v>
      </c>
    </row>
    <row r="10">
      <c r="A10" t="inlineStr">
        <is>
          <t>SBC (negative)</t>
        </is>
      </c>
      <c r="B10" s="9">
        <f>-B6*B9</f>
        <v/>
      </c>
      <c r="C10" s="9">
        <f>-C6*C9</f>
        <v/>
      </c>
      <c r="D10" s="9">
        <f>-D6*D9</f>
        <v/>
      </c>
      <c r="E10" s="9">
        <f>-E6*E9</f>
        <v/>
      </c>
      <c r="F10" s="9">
        <f>-F6*F9</f>
        <v/>
      </c>
      <c r="G10" s="9">
        <f>-G6*G9</f>
        <v/>
      </c>
      <c r="H10" s="9">
        <f>-H6*H9</f>
        <v/>
      </c>
      <c r="I10" s="9">
        <f>-I6*I9</f>
        <v/>
      </c>
      <c r="J10" s="9">
        <f>-J6*J9</f>
        <v/>
      </c>
      <c r="K10" s="9">
        <f>-K6*K9</f>
        <v/>
      </c>
      <c r="L10" s="9">
        <f>-L6*L9</f>
        <v/>
      </c>
    </row>
    <row r="11">
      <c r="A11" t="inlineStr">
        <is>
          <t>Owner EBITDA</t>
        </is>
      </c>
      <c r="B11" s="9">
        <f>B8+B10</f>
        <v/>
      </c>
      <c r="C11" s="9">
        <f>C8+C10</f>
        <v/>
      </c>
      <c r="D11" s="9">
        <f>D8+D10</f>
        <v/>
      </c>
      <c r="E11" s="9">
        <f>E8+E10</f>
        <v/>
      </c>
      <c r="F11" s="9">
        <f>F8+F10</f>
        <v/>
      </c>
      <c r="G11" s="9">
        <f>G8+G10</f>
        <v/>
      </c>
      <c r="H11" s="9">
        <f>H8+H10</f>
        <v/>
      </c>
      <c r="I11" s="9">
        <f>I8+I10</f>
        <v/>
      </c>
      <c r="J11" s="9">
        <f>J8+J10</f>
        <v/>
      </c>
      <c r="K11" s="9">
        <f>K8+K10</f>
        <v/>
      </c>
      <c r="L11" s="9">
        <f>L8+L10</f>
        <v/>
      </c>
    </row>
    <row r="12">
      <c r="A12" t="inlineStr">
        <is>
          <t>D&amp;A ex acquired intangibles (negative)</t>
        </is>
      </c>
      <c r="B12" s="11" t="n">
        <v>-860</v>
      </c>
      <c r="C12" s="8">
        <f>-C6*Assumptions!$D$17</f>
        <v/>
      </c>
      <c r="D12" s="8">
        <f>-D6*Assumptions!$D$17</f>
        <v/>
      </c>
      <c r="E12" s="8">
        <f>-E6*Assumptions!$D$17</f>
        <v/>
      </c>
      <c r="F12" s="8">
        <f>-F6*Assumptions!$D$17</f>
        <v/>
      </c>
      <c r="G12" s="8">
        <f>-G6*Assumptions!$D$17</f>
        <v/>
      </c>
      <c r="H12" s="8">
        <f>-H6*Assumptions!$D$17</f>
        <v/>
      </c>
      <c r="I12" s="8">
        <f>-I6*Assumptions!$D$17</f>
        <v/>
      </c>
      <c r="J12" s="8">
        <f>-J6*Assumptions!$D$17</f>
        <v/>
      </c>
      <c r="K12" s="8">
        <f>-K6*Assumptions!$D$17</f>
        <v/>
      </c>
      <c r="L12" s="8">
        <f>-L6*Assumptions!$D$17</f>
        <v/>
      </c>
    </row>
    <row r="13">
      <c r="A13" t="inlineStr">
        <is>
          <t>EBIT, SBC expensed</t>
        </is>
      </c>
      <c r="B13" s="9">
        <f>B11+B12</f>
        <v/>
      </c>
      <c r="C13" s="9">
        <f>C11+C12</f>
        <v/>
      </c>
      <c r="D13" s="9">
        <f>D11+D12</f>
        <v/>
      </c>
      <c r="E13" s="9">
        <f>E11+E12</f>
        <v/>
      </c>
      <c r="F13" s="9">
        <f>F11+F12</f>
        <v/>
      </c>
      <c r="G13" s="9">
        <f>G11+G12</f>
        <v/>
      </c>
      <c r="H13" s="9">
        <f>H11+H12</f>
        <v/>
      </c>
      <c r="I13" s="9">
        <f>I11+I12</f>
        <v/>
      </c>
      <c r="J13" s="9">
        <f>J11+J12</f>
        <v/>
      </c>
      <c r="K13" s="9">
        <f>K11+K12</f>
        <v/>
      </c>
      <c r="L13" s="9">
        <f>L11+L12</f>
        <v/>
      </c>
    </row>
    <row r="14">
      <c r="A14" t="inlineStr">
        <is>
          <t>Cash tax rate</t>
        </is>
      </c>
      <c r="B14" s="10" t="n">
        <v>0.2</v>
      </c>
      <c r="C14" s="10" t="n">
        <v>0.19</v>
      </c>
      <c r="D14" s="10" t="n">
        <v>0.19</v>
      </c>
      <c r="E14" s="10" t="n">
        <v>0.2</v>
      </c>
      <c r="F14" s="10" t="n">
        <v>0.2</v>
      </c>
      <c r="G14" s="10" t="n">
        <v>0.21</v>
      </c>
      <c r="H14" s="10" t="n">
        <v>0.21</v>
      </c>
      <c r="I14" s="10" t="n">
        <v>0.21</v>
      </c>
      <c r="J14" s="10" t="n">
        <v>0.21</v>
      </c>
      <c r="K14" s="10" t="n">
        <v>0.21</v>
      </c>
      <c r="L14" s="10" t="n">
        <v>0.21</v>
      </c>
    </row>
    <row r="15">
      <c r="A15" t="inlineStr">
        <is>
          <t>NOPAT</t>
        </is>
      </c>
      <c r="B15" s="9">
        <f>B13-MAX(0,B13)*B14</f>
        <v/>
      </c>
      <c r="C15" s="9">
        <f>C13-MAX(0,C13)*C14</f>
        <v/>
      </c>
      <c r="D15" s="9">
        <f>D13-MAX(0,D13)*D14</f>
        <v/>
      </c>
      <c r="E15" s="9">
        <f>E13-MAX(0,E13)*E14</f>
        <v/>
      </c>
      <c r="F15" s="9">
        <f>F13-MAX(0,F13)*F14</f>
        <v/>
      </c>
      <c r="G15" s="9">
        <f>G13-MAX(0,G13)*G14</f>
        <v/>
      </c>
      <c r="H15" s="9">
        <f>H13-MAX(0,H13)*H14</f>
        <v/>
      </c>
      <c r="I15" s="9">
        <f>I13-MAX(0,I13)*I14</f>
        <v/>
      </c>
      <c r="J15" s="9">
        <f>J13-MAX(0,J13)*J14</f>
        <v/>
      </c>
      <c r="K15" s="9">
        <f>K13-MAX(0,K13)*K14</f>
        <v/>
      </c>
      <c r="L15" s="9">
        <f>L13-MAX(0,L13)*L14</f>
        <v/>
      </c>
    </row>
    <row r="16">
      <c r="A16" t="inlineStr">
        <is>
          <t>add back D&amp;A</t>
        </is>
      </c>
      <c r="B16" s="9">
        <f>-B12</f>
        <v/>
      </c>
      <c r="C16" s="9">
        <f>-C12</f>
        <v/>
      </c>
      <c r="D16" s="9">
        <f>-D12</f>
        <v/>
      </c>
      <c r="E16" s="9">
        <f>-E12</f>
        <v/>
      </c>
      <c r="F16" s="9">
        <f>-F12</f>
        <v/>
      </c>
      <c r="G16" s="9">
        <f>-G12</f>
        <v/>
      </c>
      <c r="H16" s="9">
        <f>-H12</f>
        <v/>
      </c>
      <c r="I16" s="9">
        <f>-I12</f>
        <v/>
      </c>
      <c r="J16" s="9">
        <f>-J12</f>
        <v/>
      </c>
      <c r="K16" s="9">
        <f>-K12</f>
        <v/>
      </c>
      <c r="L16" s="9">
        <f>-L12</f>
        <v/>
      </c>
    </row>
    <row r="17">
      <c r="A17" t="inlineStr">
        <is>
          <t>less capex</t>
        </is>
      </c>
      <c r="B17" s="11" t="n">
        <v>-922</v>
      </c>
      <c r="C17" s="8">
        <f>-C6*Assumptions!$D$18</f>
        <v/>
      </c>
      <c r="D17" s="8">
        <f>-D6*Assumptions!$D$18</f>
        <v/>
      </c>
      <c r="E17" s="8">
        <f>-E6*Assumptions!$D$18</f>
        <v/>
      </c>
      <c r="F17" s="8">
        <f>-F6*Assumptions!$D$18</f>
        <v/>
      </c>
      <c r="G17" s="8">
        <f>-G6*Assumptions!$D$18</f>
        <v/>
      </c>
      <c r="H17" s="8">
        <f>-H6*Assumptions!$D$18</f>
        <v/>
      </c>
      <c r="I17" s="8">
        <f>-I6*Assumptions!$D$18</f>
        <v/>
      </c>
      <c r="J17" s="8">
        <f>-J6*Assumptions!$D$18</f>
        <v/>
      </c>
      <c r="K17" s="8">
        <f>-K6*Assumptions!$D$18</f>
        <v/>
      </c>
      <c r="L17" s="8">
        <f>-L6*Assumptions!$D$18</f>
        <v/>
      </c>
    </row>
    <row r="18">
      <c r="A18" t="inlineStr">
        <is>
          <t>add working capital (on revenue change)</t>
        </is>
      </c>
      <c r="B18" s="11" t="n">
        <v>0</v>
      </c>
      <c r="C18" s="8">
        <f>Assumptions!$D$19*(C6-B6)</f>
        <v/>
      </c>
      <c r="D18" s="8">
        <f>Assumptions!$D$19*(D6-C6)</f>
        <v/>
      </c>
      <c r="E18" s="8">
        <f>Assumptions!$D$19*(E6-D6)</f>
        <v/>
      </c>
      <c r="F18" s="8">
        <f>Assumptions!$D$19*(F6-E6)</f>
        <v/>
      </c>
      <c r="G18" s="8">
        <f>Assumptions!$D$19*(G6-F6)</f>
        <v/>
      </c>
      <c r="H18" s="8">
        <f>Assumptions!$D$19*(H6-G6)</f>
        <v/>
      </c>
      <c r="I18" s="8">
        <f>Assumptions!$D$19*(I6-H6)</f>
        <v/>
      </c>
      <c r="J18" s="8">
        <f>Assumptions!$D$19*(J6-I6)</f>
        <v/>
      </c>
      <c r="K18" s="8">
        <f>Assumptions!$D$19*(K6-J6)</f>
        <v/>
      </c>
      <c r="L18" s="8">
        <f>Assumptions!$D$19*(L6-K6)</f>
        <v/>
      </c>
    </row>
    <row r="19">
      <c r="A19" s="1" t="inlineStr">
        <is>
          <t>Unlevered owner FCF</t>
        </is>
      </c>
      <c r="B19" s="9">
        <f>B15+B16+B17+B18</f>
        <v/>
      </c>
      <c r="C19" s="12">
        <f>C15+C16+C17+C18</f>
        <v/>
      </c>
      <c r="D19" s="12">
        <f>D15+D16+D17+D18</f>
        <v/>
      </c>
      <c r="E19" s="12">
        <f>E15+E16+E17+E18</f>
        <v/>
      </c>
      <c r="F19" s="12">
        <f>F15+F16+F17+F18</f>
        <v/>
      </c>
      <c r="G19" s="12">
        <f>G15+G16+G17+G18</f>
        <v/>
      </c>
      <c r="H19" s="12">
        <f>H15+H16+H17+H18</f>
        <v/>
      </c>
      <c r="I19" s="12">
        <f>I15+I16+I17+I18</f>
        <v/>
      </c>
      <c r="J19" s="12">
        <f>J15+J16+J17+J18</f>
        <v/>
      </c>
      <c r="K19" s="12">
        <f>K15+K16+K17+K18</f>
        <v/>
      </c>
      <c r="L19" s="12">
        <f>L15+L16+L17+L18</f>
        <v/>
      </c>
    </row>
    <row r="20">
      <c r="A20" t="inlineStr">
        <is>
          <t>Discount factor</t>
        </is>
      </c>
      <c r="C20" s="13">
        <f>1/(1+Assumptions!$B$4)^C4</f>
        <v/>
      </c>
      <c r="D20" s="13">
        <f>1/(1+Assumptions!$B$4)^D4</f>
        <v/>
      </c>
      <c r="E20" s="13">
        <f>1/(1+Assumptions!$B$4)^E4</f>
        <v/>
      </c>
      <c r="F20" s="13">
        <f>1/(1+Assumptions!$B$4)^F4</f>
        <v/>
      </c>
      <c r="G20" s="13">
        <f>1/(1+Assumptions!$B$4)^G4</f>
        <v/>
      </c>
      <c r="H20" s="13">
        <f>1/(1+Assumptions!$B$4)^H4</f>
        <v/>
      </c>
      <c r="I20" s="13">
        <f>1/(1+Assumptions!$B$4)^I4</f>
        <v/>
      </c>
      <c r="J20" s="13">
        <f>1/(1+Assumptions!$B$4)^J4</f>
        <v/>
      </c>
      <c r="K20" s="13">
        <f>1/(1+Assumptions!$B$4)^K4</f>
        <v/>
      </c>
      <c r="L20" s="13">
        <f>1/(1+Assumptions!$B$4)^L4</f>
        <v/>
      </c>
    </row>
    <row r="21">
      <c r="A21" t="inlineStr">
        <is>
          <t>PV of FCF</t>
        </is>
      </c>
      <c r="B21" s="9" t="n"/>
      <c r="C21" s="9">
        <f>C19*C20</f>
        <v/>
      </c>
      <c r="D21" s="9">
        <f>D19*D20</f>
        <v/>
      </c>
      <c r="E21" s="9">
        <f>E19*E20</f>
        <v/>
      </c>
      <c r="F21" s="9">
        <f>F19*F20</f>
        <v/>
      </c>
      <c r="G21" s="9">
        <f>G19*G20</f>
        <v/>
      </c>
      <c r="H21" s="9">
        <f>H19*H20</f>
        <v/>
      </c>
      <c r="I21" s="9">
        <f>I19*I20</f>
        <v/>
      </c>
      <c r="J21" s="9">
        <f>J19*J20</f>
        <v/>
      </c>
      <c r="K21" s="9">
        <f>K19*K20</f>
        <v/>
      </c>
      <c r="L21" s="9">
        <f>L19*L20</f>
        <v/>
      </c>
    </row>
    <row r="23">
      <c r="A23" t="inlineStr">
        <is>
          <t>Memo: FCF before SBC (company-style)</t>
        </is>
      </c>
      <c r="B23" s="9">
        <f>B19-B10</f>
        <v/>
      </c>
      <c r="C23" s="9">
        <f>C19-C10</f>
        <v/>
      </c>
      <c r="D23" s="9">
        <f>D19-D10</f>
        <v/>
      </c>
      <c r="E23" s="9">
        <f>E19-E10</f>
        <v/>
      </c>
      <c r="F23" s="9">
        <f>F19-F10</f>
        <v/>
      </c>
      <c r="G23" s="9">
        <f>G19-G10</f>
        <v/>
      </c>
      <c r="H23" s="9">
        <f>H19-H10</f>
        <v/>
      </c>
      <c r="I23" s="9">
        <f>I19-I10</f>
        <v/>
      </c>
      <c r="J23" s="9">
        <f>J19-J10</f>
        <v/>
      </c>
      <c r="K23" s="9">
        <f>K19-K10</f>
        <v/>
      </c>
      <c r="L23" s="9">
        <f>L19-L10</f>
        <v/>
      </c>
    </row>
    <row r="24">
      <c r="A24" t="inlineStr">
        <is>
          <t>Memo: owner-FCF margin</t>
        </is>
      </c>
      <c r="B24" s="6">
        <f>B19/B6</f>
        <v/>
      </c>
      <c r="C24" s="6">
        <f>C19/C6</f>
        <v/>
      </c>
      <c r="D24" s="6">
        <f>D19/D6</f>
        <v/>
      </c>
      <c r="E24" s="6">
        <f>E19/E6</f>
        <v/>
      </c>
      <c r="F24" s="6">
        <f>F19/F6</f>
        <v/>
      </c>
      <c r="G24" s="6">
        <f>G19/G6</f>
        <v/>
      </c>
      <c r="H24" s="6">
        <f>H19/H6</f>
        <v/>
      </c>
      <c r="I24" s="6">
        <f>I19/I6</f>
        <v/>
      </c>
      <c r="J24" s="6">
        <f>J19/J6</f>
        <v/>
      </c>
      <c r="K24" s="6">
        <f>K19/K6</f>
        <v/>
      </c>
      <c r="L24" s="6">
        <f>L19/L6</f>
        <v/>
      </c>
    </row>
    <row r="26">
      <c r="A26" t="inlineStr">
        <is>
          <t>Sum of PV (Y1-Y10)</t>
        </is>
      </c>
      <c r="B26" s="9">
        <f>SUM(C21:L21)</f>
        <v/>
      </c>
    </row>
    <row r="27">
      <c r="A27" t="inlineStr">
        <is>
          <t>Terminal growth</t>
        </is>
      </c>
      <c r="B27" s="14">
        <f>Assumptions!D15</f>
        <v/>
      </c>
    </row>
    <row r="28">
      <c r="A28" t="inlineStr">
        <is>
          <t>Terminal FCF (Y10 x (1+g))</t>
        </is>
      </c>
      <c r="B28" s="9">
        <f>L19*(1+B27)</f>
        <v/>
      </c>
    </row>
    <row r="29">
      <c r="A29" t="inlineStr">
        <is>
          <t>Gordon TV</t>
        </is>
      </c>
      <c r="B29" s="9">
        <f>IF(Assumptions!B4&gt;B27,B28/(Assumptions!B4-B27),1E+15)</f>
        <v/>
      </c>
    </row>
    <row r="30">
      <c r="A30" t="inlineStr">
        <is>
          <t>Cap TV (cap x FCF_10)</t>
        </is>
      </c>
      <c r="B30" s="8">
        <f>Assumptions!B5*L19</f>
        <v/>
      </c>
    </row>
    <row r="31">
      <c r="A31" t="inlineStr">
        <is>
          <t>TV used = MAX(0,MIN(Gordon,FCF cap,EV/EBITDA cap))</t>
        </is>
      </c>
      <c r="B31" s="9">
        <f>MAX(0,MIN(B29,B30,B47))</f>
        <v/>
      </c>
    </row>
    <row r="32">
      <c r="A32" t="inlineStr">
        <is>
          <t>Implied exit multiple (TV / FCF_10)</t>
        </is>
      </c>
      <c r="B32" s="15">
        <f>IF(L19&lt;&gt;0,B31/L19,0)</f>
        <v/>
      </c>
    </row>
    <row r="33">
      <c r="A33" t="inlineStr">
        <is>
          <t>PV of TV</t>
        </is>
      </c>
      <c r="B33" s="9">
        <f>B31*L20</f>
        <v/>
      </c>
    </row>
    <row r="34">
      <c r="A34" t="inlineStr">
        <is>
          <t>Enterprise value</t>
        </is>
      </c>
      <c r="B34" s="9">
        <f>B26+B33</f>
        <v/>
      </c>
    </row>
    <row r="35">
      <c r="A35" t="inlineStr">
        <is>
          <t>less net debt incl. NCI</t>
        </is>
      </c>
      <c r="B35" s="8">
        <f>-Assumptions!B6</f>
        <v/>
      </c>
    </row>
    <row r="36">
      <c r="A36" t="inlineStr">
        <is>
          <t>Equity value</t>
        </is>
      </c>
      <c r="B36" s="9">
        <f>B34+B35</f>
        <v/>
      </c>
    </row>
    <row r="37">
      <c r="A37" t="inlineStr">
        <is>
          <t>Diluted shares (m)</t>
        </is>
      </c>
      <c r="B37" s="16">
        <f>Assumptions!B7</f>
        <v/>
      </c>
    </row>
    <row r="38">
      <c r="A38" t="inlineStr">
        <is>
          <t>Value per share (USD)</t>
        </is>
      </c>
      <c r="B38" s="17">
        <f>B36/B37</f>
        <v/>
      </c>
    </row>
    <row r="39">
      <c r="A39" t="inlineStr">
        <is>
          <t>Value per share (AUD)</t>
        </is>
      </c>
      <c r="B39" s="17">
        <f>B38*Assumptions!B12</f>
        <v/>
      </c>
    </row>
    <row r="40">
      <c r="A40" t="inlineStr">
        <is>
          <t>Upside vs price (AUD)</t>
        </is>
      </c>
      <c r="B40" s="14">
        <f>B39/Assumptions!B8-1</f>
        <v/>
      </c>
    </row>
    <row r="42">
      <c r="A42" t="inlineStr">
        <is>
          <t>Street memo: PV of explicit SBC</t>
        </is>
      </c>
      <c r="B42" s="9">
        <f>SUMPRODUCT(-C10:L10/(1+Assumptions!B4)^C4:L4)</f>
        <v/>
      </c>
    </row>
    <row r="43">
      <c r="A43" t="inlineStr">
        <is>
          <t>Street memo: PV of terminal SBC</t>
        </is>
      </c>
      <c r="B43" s="9">
        <f>MIN(IF(Assumptions!B4&gt;B27,-L10*(1+B27)/(Assumptions!B4-B27),1E+15),Assumptions!B5*-L10)*L20</f>
        <v/>
      </c>
    </row>
    <row r="44">
      <c r="A44" t="inlineStr">
        <is>
          <t>Street value per share (USD)</t>
        </is>
      </c>
      <c r="B44" s="15">
        <f>(B36+B42+B43)/B37</f>
        <v/>
      </c>
    </row>
    <row r="45">
      <c r="A45" t="inlineStr">
        <is>
          <t>Street value per share (AUD)</t>
        </is>
      </c>
      <c r="B45" s="16">
        <f>B44*Assumptions!B12</f>
        <v/>
      </c>
    </row>
    <row r="46">
      <c r="A46" t="inlineStr">
        <is>
          <t>Terminal % of EV</t>
        </is>
      </c>
      <c r="B46" s="6">
        <f>B33/B34</f>
        <v/>
      </c>
    </row>
    <row r="47">
      <c r="A47" t="inlineStr">
        <is>
          <t>Exit EV/EBITDA cap TV (cap x EBITDA_10)</t>
        </is>
      </c>
      <c r="B47" s="8">
        <f>Assumptions!D21*L8</f>
        <v/>
      </c>
    </row>
    <row r="48">
      <c r="A48" t="inlineStr">
        <is>
          <t>Implied exit EV / terminal EBITDA</t>
        </is>
      </c>
      <c r="B48" s="15">
        <f>IF(L8&lt;&gt;0,B31/L8,0)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Reported FCF reconciled to owner FCF (USD m)</t>
        </is>
      </c>
    </row>
    <row r="2">
      <c r="B2" s="1" t="inlineStr">
        <is>
          <t>FY2021</t>
        </is>
      </c>
      <c r="C2" s="1" t="inlineStr">
        <is>
          <t>FY2022</t>
        </is>
      </c>
      <c r="D2" s="1" t="inlineStr">
        <is>
          <t>FY2023</t>
        </is>
      </c>
      <c r="E2" s="1" t="inlineStr">
        <is>
          <t>FY2024</t>
        </is>
      </c>
      <c r="F2" s="1" t="inlineStr">
        <is>
          <t>FY2025</t>
        </is>
      </c>
      <c r="G2" s="1" t="inlineStr">
        <is>
          <t>FY2026</t>
        </is>
      </c>
    </row>
    <row r="3">
      <c r="A3" t="inlineStr">
        <is>
          <t>Company free cash flow</t>
        </is>
      </c>
      <c r="B3" s="13">
        <f>Actuals!B9</f>
        <v/>
      </c>
      <c r="C3" s="13">
        <f>Actuals!C9</f>
        <v/>
      </c>
      <c r="D3" s="13">
        <f>Actuals!D9</f>
        <v/>
      </c>
      <c r="E3" s="13">
        <f>Actuals!E9</f>
        <v/>
      </c>
      <c r="F3" s="13">
        <f>Actuals!F9</f>
        <v/>
      </c>
      <c r="G3" s="13">
        <f>Actuals!G9</f>
        <v/>
      </c>
    </row>
    <row r="4">
      <c r="A4" t="inlineStr">
        <is>
          <t>less: SBC add-back</t>
        </is>
      </c>
      <c r="B4" s="13">
        <f>-Actuals!B10</f>
        <v/>
      </c>
      <c r="C4" s="13">
        <f>-Actuals!C10</f>
        <v/>
      </c>
      <c r="D4" s="13">
        <f>-Actuals!D10</f>
        <v/>
      </c>
      <c r="E4" s="13">
        <f>-Actuals!E10</f>
        <v/>
      </c>
      <c r="F4" s="13">
        <f>-Actuals!F10</f>
        <v/>
      </c>
      <c r="G4" s="13">
        <f>-Actuals!G10</f>
        <v/>
      </c>
    </row>
    <row r="5">
      <c r="A5" t="inlineStr">
        <is>
          <t>less: tax withholding on equity awards</t>
        </is>
      </c>
      <c r="B5" s="13">
        <f>-Actuals!B11</f>
        <v/>
      </c>
      <c r="C5" s="13">
        <f>-Actuals!C11</f>
        <v/>
      </c>
      <c r="D5" s="13">
        <f>-Actuals!D11</f>
        <v/>
      </c>
      <c r="E5" s="13">
        <f>-Actuals!E11</f>
        <v/>
      </c>
      <c r="F5" s="13">
        <f>-Actuals!F11</f>
        <v/>
      </c>
      <c r="G5" s="13">
        <f>-Actuals!G11</f>
        <v/>
      </c>
    </row>
    <row r="6">
      <c r="A6" t="inlineStr">
        <is>
          <t>Equals: Levered owner FCF</t>
        </is>
      </c>
      <c r="B6" s="4">
        <f>B3+B4+B5</f>
        <v/>
      </c>
      <c r="C6" s="4">
        <f>C3+C4+C5</f>
        <v/>
      </c>
      <c r="D6" s="4">
        <f>D3+D4+D5</f>
        <v/>
      </c>
      <c r="E6" s="4">
        <f>E3+E4+E5</f>
        <v/>
      </c>
      <c r="F6" s="4">
        <f>F3+F4+F5</f>
        <v/>
      </c>
      <c r="G6" s="4">
        <f>G3+G4+G5</f>
        <v/>
      </c>
    </row>
    <row r="7">
      <c r="A7" t="inlineStr">
        <is>
          <t>Revenue</t>
        </is>
      </c>
      <c r="B7" s="13">
        <f>Actuals!B2</f>
        <v/>
      </c>
      <c r="C7" s="13">
        <f>Actuals!C2</f>
        <v/>
      </c>
      <c r="D7" s="13">
        <f>Actuals!D2</f>
        <v/>
      </c>
      <c r="E7" s="13">
        <f>Actuals!E2</f>
        <v/>
      </c>
      <c r="F7" s="13">
        <f>Actuals!F2</f>
        <v/>
      </c>
      <c r="G7" s="13">
        <f>Actuals!G2</f>
        <v/>
      </c>
    </row>
    <row r="8">
      <c r="A8" t="inlineStr">
        <is>
          <t>Reported FCF margin</t>
        </is>
      </c>
      <c r="B8" s="18">
        <f>B3/B7</f>
        <v/>
      </c>
      <c r="C8" s="18">
        <f>C3/C7</f>
        <v/>
      </c>
      <c r="D8" s="18">
        <f>D3/D7</f>
        <v/>
      </c>
      <c r="E8" s="18">
        <f>E3/E7</f>
        <v/>
      </c>
      <c r="F8" s="18">
        <f>F3/F7</f>
        <v/>
      </c>
      <c r="G8" s="18">
        <f>G3/G7</f>
        <v/>
      </c>
    </row>
    <row r="9">
      <c r="A9" t="inlineStr">
        <is>
          <t>Owner FCF margin</t>
        </is>
      </c>
      <c r="B9" s="18">
        <f>B6/B7</f>
        <v/>
      </c>
      <c r="C9" s="18">
        <f>C6/C7</f>
        <v/>
      </c>
      <c r="D9" s="18">
        <f>D6/D7</f>
        <v/>
      </c>
      <c r="E9" s="18">
        <f>E6/E7</f>
        <v/>
      </c>
      <c r="F9" s="18">
        <f>F6/F7</f>
        <v/>
      </c>
      <c r="G9" s="18">
        <f>G6/G7</f>
        <v/>
      </c>
    </row>
    <row r="10">
      <c r="A10" t="inlineStr">
        <is>
          <t>Memo: interest income (not stripped -- net debt)</t>
        </is>
      </c>
      <c r="B10" s="13">
        <f>Actuals!B12</f>
        <v/>
      </c>
      <c r="C10" s="13">
        <f>Actuals!C12</f>
        <v/>
      </c>
      <c r="D10" s="13">
        <f>Actuals!D12</f>
        <v/>
      </c>
      <c r="E10" s="13">
        <f>Actuals!E12</f>
        <v/>
      </c>
      <c r="F10" s="13">
        <f>Actuals!F12</f>
        <v/>
      </c>
      <c r="G10" s="13">
        <f>Actuals!G12</f>
        <v/>
      </c>
    </row>
    <row r="11">
      <c r="A11" t="inlineStr">
        <is>
          <t>Memo: cash taxes paid</t>
        </is>
      </c>
      <c r="B11" s="13">
        <f>Actuals!B13</f>
        <v/>
      </c>
      <c r="C11" s="13">
        <f>Actuals!C13</f>
        <v/>
      </c>
      <c r="D11" s="13">
        <f>Actuals!D13</f>
        <v/>
      </c>
      <c r="E11" s="13">
        <f>Actuals!E13</f>
        <v/>
      </c>
      <c r="F11" s="13">
        <f>Actuals!F13</f>
        <v/>
      </c>
      <c r="G11" s="13">
        <f>Actuals!G13</f>
        <v/>
      </c>
    </row>
    <row r="12">
      <c r="A12" t="inlineStr">
        <is>
          <t>Memo: diluted shares (m, post-split)</t>
        </is>
      </c>
      <c r="B12" s="13">
        <f>Actuals!B19</f>
        <v/>
      </c>
      <c r="C12" s="13">
        <f>Actuals!C19</f>
        <v/>
      </c>
      <c r="D12" s="13">
        <f>Actuals!D19</f>
        <v/>
      </c>
      <c r="E12" s="13">
        <f>Actuals!E19</f>
        <v/>
      </c>
      <c r="F12" s="13">
        <f>Actuals!F19</f>
        <v/>
      </c>
      <c r="G12" s="13">
        <f>Actuals!G19</f>
        <v/>
      </c>
    </row>
    <row r="13">
      <c r="A13" t="inlineStr">
        <is>
          <t>Owner FCF per share (USD)</t>
        </is>
      </c>
      <c r="B13" s="19">
        <f>B6/B12</f>
        <v/>
      </c>
      <c r="C13" s="19">
        <f>C6/C12</f>
        <v/>
      </c>
      <c r="D13" s="19">
        <f>D6/D12</f>
        <v/>
      </c>
      <c r="E13" s="19">
        <f>E6/E12</f>
        <v/>
      </c>
      <c r="F13" s="19">
        <f>F6/F12</f>
        <v/>
      </c>
      <c r="G13" s="19">
        <f>G6/G12</f>
        <v/>
      </c>
    </row>
    <row r="14">
      <c r="A14" t="inlineStr">
        <is>
          <t>Memo: cash tax / GAAP pre-tax proxy (NI + tax)</t>
        </is>
      </c>
    </row>
    <row r="15">
      <c r="A15" s="1" t="inlineStr">
        <is>
          <t>FY2026 unlevered FY0 build (ties to DCF_*!B19)</t>
        </is>
      </c>
    </row>
    <row r="16">
      <c r="A16" t="inlineStr">
        <is>
          <t>Adjusted EBITDA (company)</t>
        </is>
      </c>
      <c r="B16" s="11" t="n">
        <v>3673</v>
      </c>
    </row>
    <row r="17">
      <c r="A17" t="inlineStr">
        <is>
          <t>less recurring 'Other' operating cash items</t>
        </is>
      </c>
      <c r="B17" s="11" t="n">
        <v>-156</v>
      </c>
    </row>
    <row r="18">
      <c r="A18" t="inlineStr">
        <is>
          <t>Equals: Cash-adjusted EBITDA</t>
        </is>
      </c>
      <c r="B18" s="20">
        <f>B16+B17</f>
        <v/>
      </c>
    </row>
    <row r="19">
      <c r="A19" t="inlineStr">
        <is>
          <t>less SBC incl. withholding</t>
        </is>
      </c>
      <c r="B19" s="11" t="n">
        <v>-125</v>
      </c>
    </row>
    <row r="20">
      <c r="A20" t="inlineStr">
        <is>
          <t>less D&amp;A ex acquired intangibles</t>
        </is>
      </c>
      <c r="B20" s="11" t="n">
        <v>-860</v>
      </c>
    </row>
    <row r="21">
      <c r="A21" t="inlineStr">
        <is>
          <t>Equals: EBIT</t>
        </is>
      </c>
      <c r="B21" s="20">
        <f>B18+B19+B20</f>
        <v/>
      </c>
    </row>
    <row r="22">
      <c r="A22" t="inlineStr">
        <is>
          <t>tax at 20%</t>
        </is>
      </c>
      <c r="B22" s="20">
        <f>-MAX(0,B21)*0.2</f>
        <v/>
      </c>
    </row>
    <row r="23">
      <c r="A23" t="inlineStr">
        <is>
          <t>Equals: NOPAT</t>
        </is>
      </c>
      <c r="B23" s="20">
        <f>B21+B22</f>
        <v/>
      </c>
    </row>
    <row r="24">
      <c r="A24" t="inlineStr">
        <is>
          <t>add D&amp;A</t>
        </is>
      </c>
      <c r="B24" s="11" t="n">
        <v>860</v>
      </c>
    </row>
    <row r="25">
      <c r="A25" t="inlineStr">
        <is>
          <t>less capex</t>
        </is>
      </c>
      <c r="B25" s="11" t="n">
        <v>-922</v>
      </c>
    </row>
    <row r="26">
      <c r="A26" t="inlineStr">
        <is>
          <t>Equals: Unlevered owner FCF FY0</t>
        </is>
      </c>
      <c r="B26" s="20">
        <f>B23+B24+B25</f>
        <v/>
      </c>
    </row>
    <row r="28">
      <c r="A28" t="inlineStr">
        <is>
          <t>Memo: FY2026 company FCF 1,303 is after ~$290m Berry integration cash costs and $549m net interest; adjusted FCF before integration costs 1,593. The FY0 above is pre-interest because net debt is deducted in the bridge.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Valuation summary</t>
        </is>
      </c>
    </row>
    <row r="2">
      <c r="A2" s="1" t="inlineStr">
        <is>
          <t>Scenario</t>
        </is>
      </c>
      <c r="B2" s="1" t="inlineStr">
        <is>
          <t>Value/share USD</t>
        </is>
      </c>
      <c r="C2" s="1" t="inlineStr">
        <is>
          <t>Value/share AUD</t>
        </is>
      </c>
      <c r="D2" s="1" t="inlineStr">
        <is>
          <t>Upside vs A$ price</t>
        </is>
      </c>
      <c r="E2" s="1" t="inlineStr">
        <is>
          <t>Weight</t>
        </is>
      </c>
      <c r="F2" s="1" t="inlineStr">
        <is>
          <t>Street USD</t>
        </is>
      </c>
      <c r="G2" s="1" t="inlineStr">
        <is>
          <t>Street AUD</t>
        </is>
      </c>
      <c r="H2" s="1" t="inlineStr">
        <is>
          <t>Exit multiple</t>
        </is>
      </c>
      <c r="I2" s="1" t="inlineStr">
        <is>
          <t>TV %</t>
        </is>
      </c>
    </row>
    <row r="3">
      <c r="A3" t="inlineStr">
        <is>
          <t>Bear</t>
        </is>
      </c>
      <c r="B3" s="16">
        <f>DCF_Bear!B38</f>
        <v/>
      </c>
      <c r="C3" s="16">
        <f>DCF_Bear!B39</f>
        <v/>
      </c>
      <c r="D3" s="6">
        <f>C3/Assumptions!B8-1</f>
        <v/>
      </c>
      <c r="E3" s="13">
        <f>Assumptions!B16</f>
        <v/>
      </c>
      <c r="F3" s="16">
        <f>DCF_Bear!B44</f>
        <v/>
      </c>
      <c r="G3" s="16">
        <f>DCF_Bear!B45</f>
        <v/>
      </c>
      <c r="H3" s="16">
        <f>DCF_Bear!B32</f>
        <v/>
      </c>
      <c r="I3" s="14">
        <f>DCF_Bear!B46</f>
        <v/>
      </c>
    </row>
    <row r="4">
      <c r="A4" t="inlineStr">
        <is>
          <t>Base</t>
        </is>
      </c>
      <c r="B4" s="16">
        <f>DCF_Base!B38</f>
        <v/>
      </c>
      <c r="C4" s="16">
        <f>DCF_Base!B39</f>
        <v/>
      </c>
      <c r="D4" s="6">
        <f>C4/Assumptions!B8-1</f>
        <v/>
      </c>
      <c r="E4" s="13">
        <f>Assumptions!C16</f>
        <v/>
      </c>
      <c r="F4" s="16">
        <f>DCF_Base!B44</f>
        <v/>
      </c>
      <c r="G4" s="16">
        <f>DCF_Base!B45</f>
        <v/>
      </c>
      <c r="H4" s="16">
        <f>DCF_Base!B32</f>
        <v/>
      </c>
      <c r="I4" s="14">
        <f>DCF_Base!B46</f>
        <v/>
      </c>
    </row>
    <row r="5">
      <c r="A5" t="inlineStr">
        <is>
          <t>Bull</t>
        </is>
      </c>
      <c r="B5" s="16">
        <f>DCF_Bull!B38</f>
        <v/>
      </c>
      <c r="C5" s="16">
        <f>DCF_Bull!B39</f>
        <v/>
      </c>
      <c r="D5" s="6">
        <f>C5/Assumptions!B8-1</f>
        <v/>
      </c>
      <c r="E5" s="13">
        <f>Assumptions!D16</f>
        <v/>
      </c>
      <c r="F5" s="16">
        <f>DCF_Bull!B44</f>
        <v/>
      </c>
      <c r="G5" s="16">
        <f>DCF_Bull!B45</f>
        <v/>
      </c>
      <c r="H5" s="16">
        <f>DCF_Bull!B32</f>
        <v/>
      </c>
      <c r="I5" s="14">
        <f>DCF_Bull!B46</f>
        <v/>
      </c>
    </row>
    <row r="7">
      <c r="A7" t="inlineStr">
        <is>
          <t>Probability-weighted value (USD)</t>
        </is>
      </c>
      <c r="B7" s="21">
        <f>SUMPRODUCT(B3:B5,E3:E5)</f>
        <v/>
      </c>
    </row>
    <row r="8">
      <c r="A8" t="inlineStr">
        <is>
          <t>Probability-weighted value (AUD)</t>
        </is>
      </c>
      <c r="B8" s="21">
        <f>SUMPRODUCT(C3:C5,E3:E5)</f>
        <v/>
      </c>
    </row>
    <row r="9">
      <c r="A9" t="inlineStr">
        <is>
          <t>Margin of safety vs A$ price</t>
        </is>
      </c>
      <c r="B9" s="6">
        <f>1-Assumptions!B8/B8</f>
        <v/>
      </c>
    </row>
    <row r="10">
      <c r="A10" t="inlineStr">
        <is>
          <t>Street weighted (AUD)</t>
        </is>
      </c>
      <c r="B10" s="15">
        <f>SUMPRODUCT(G3:G5,E3:E5)</f>
        <v/>
      </c>
    </row>
    <row r="11">
      <c r="A11" t="inlineStr">
        <is>
          <t>Band position (0%=house, 100%=street)</t>
        </is>
      </c>
      <c r="B11" s="6">
        <f>IF(B10&lt;&gt;B8,(Assumptions!B8-B8)/(B10-B8),"n/a")</f>
        <v/>
      </c>
    </row>
    <row r="13">
      <c r="A13" s="1" t="inlineStr">
        <is>
          <t>Required-return table (base case; TV rebuilt at each rate)</t>
        </is>
      </c>
    </row>
    <row r="14">
      <c r="A14" t="inlineStr">
        <is>
          <t>Required return</t>
        </is>
      </c>
      <c r="B14" s="1" t="inlineStr">
        <is>
          <t>Value/share USD</t>
        </is>
      </c>
      <c r="C14" s="1" t="inlineStr">
        <is>
          <t>Value/share AUD</t>
        </is>
      </c>
    </row>
    <row r="15">
      <c r="A15" s="10" t="n">
        <v>0.09</v>
      </c>
      <c r="B15" s="15">
        <f>(SUMPRODUCT(DCF_Base!$C$19:$L$19/(1+$A15)^DCF_Base!$C$4:$L$4)+MAX(0,MIN(IF($A15&gt;Assumptions!$C$15,DCF_Base!$L$19*(1+Assumptions!$C$15)/($A15-Assumptions!$C$15),1E+15),Assumptions!$B$5*DCF_Base!$L$19,DCF_Base!$B$47))/(1+$A15)^10-Assumptions!$B$6)/Assumptions!$B$7</f>
        <v/>
      </c>
      <c r="C15" s="15">
        <f>B15*Assumptions!$B$12</f>
        <v/>
      </c>
    </row>
    <row r="16">
      <c r="A16" s="10" t="n">
        <v>0.1</v>
      </c>
      <c r="B16" s="15">
        <f>(SUMPRODUCT(DCF_Base!$C$19:$L$19/(1+$A16)^DCF_Base!$C$4:$L$4)+MAX(0,MIN(IF($A16&gt;Assumptions!$C$15,DCF_Base!$L$19*(1+Assumptions!$C$15)/($A16-Assumptions!$C$15),1E+15),Assumptions!$B$5*DCF_Base!$L$19,DCF_Base!$B$47))/(1+$A16)^10-Assumptions!$B$6)/Assumptions!$B$7</f>
        <v/>
      </c>
      <c r="C16" s="15">
        <f>B16*Assumptions!$B$12</f>
        <v/>
      </c>
    </row>
    <row r="17">
      <c r="A17" s="10" t="n">
        <v>0.11</v>
      </c>
      <c r="B17" s="15">
        <f>(SUMPRODUCT(DCF_Base!$C$19:$L$19/(1+$A17)^DCF_Base!$C$4:$L$4)+MAX(0,MIN(IF($A17&gt;Assumptions!$C$15,DCF_Base!$L$19*(1+Assumptions!$C$15)/($A17-Assumptions!$C$15),1E+15),Assumptions!$B$5*DCF_Base!$L$19,DCF_Base!$B$47))/(1+$A17)^10-Assumptions!$B$6)/Assumptions!$B$7</f>
        <v/>
      </c>
      <c r="C17" s="15">
        <f>B17*Assumptions!$B$12</f>
        <v/>
      </c>
    </row>
    <row r="18">
      <c r="A18" s="10" t="n">
        <v>0.12</v>
      </c>
      <c r="B18" s="15">
        <f>(SUMPRODUCT(DCF_Base!$C$19:$L$19/(1+$A18)^DCF_Base!$C$4:$L$4)+MAX(0,MIN(IF($A18&gt;Assumptions!$C$15,DCF_Base!$L$19*(1+Assumptions!$C$15)/($A18-Assumptions!$C$15),1E+15),Assumptions!$B$5*DCF_Base!$L$19,DCF_Base!$B$47))/(1+$A18)^10-Assumptions!$B$6)/Assumptions!$B$7</f>
        <v/>
      </c>
      <c r="C18" s="15">
        <f>B18*Assumptions!$B$12</f>
        <v/>
      </c>
    </row>
    <row r="19">
      <c r="A19" s="10" t="n">
        <v>0.15</v>
      </c>
      <c r="B19" s="15">
        <f>(SUMPRODUCT(DCF_Base!$C$19:$L$19/(1+$A19)^DCF_Base!$C$4:$L$4)+MAX(0,MIN(IF($A19&gt;Assumptions!$C$15,DCF_Base!$L$19*(1+Assumptions!$C$15)/($A19-Assumptions!$C$15),1E+15),Assumptions!$B$5*DCF_Base!$L$19,DCF_Base!$B$47))/(1+$A19)^10-Assumptions!$B$6)/Assumptions!$B$7</f>
        <v/>
      </c>
      <c r="C19" s="15">
        <f>B19*Assumptions!$B$12</f>
        <v/>
      </c>
    </row>
    <row r="20">
      <c r="A20" s="14">
        <f>Assumptions!B4</f>
        <v/>
      </c>
      <c r="B20" s="15">
        <f>(SUMPRODUCT(DCF_Base!$C$19:$L$19/(1+$A20)^DCF_Base!$C$4:$L$4)+MAX(0,MIN(IF($A20&gt;Assumptions!$C$15,DCF_Base!$L$19*(1+Assumptions!$C$15)/($A20-Assumptions!$C$15),1E+15),Assumptions!$B$5*DCF_Base!$L$19,DCF_Base!$B$47))/(1+$A20)^10-Assumptions!$B$6)/Assumptions!$B$7</f>
        <v/>
      </c>
      <c r="C20" s="15">
        <f>B20*Assumptions!$B$12</f>
        <v/>
      </c>
      <c r="D20" t="inlineStr">
        <is>
          <t>must equal DCF_Base!B38 (WACC row)</t>
        </is>
      </c>
    </row>
    <row r="22">
      <c r="A22" s="1" t="inlineStr">
        <is>
          <t>15%-hurdle entry prices (TV rebuilt at the hurdle)</t>
        </is>
      </c>
    </row>
    <row r="23">
      <c r="A23" s="1" t="inlineStr">
        <is>
          <t>Scenario</t>
        </is>
      </c>
      <c r="B23" s="1" t="inlineStr">
        <is>
          <t>Entry USD</t>
        </is>
      </c>
      <c r="C23" s="1" t="inlineStr">
        <is>
          <t>Entry AUD</t>
        </is>
      </c>
      <c r="D23" s="1" t="inlineStr">
        <is>
          <t>Discount vs price</t>
        </is>
      </c>
      <c r="E23" s="1" t="inlineStr">
        <is>
          <t>Weight</t>
        </is>
      </c>
    </row>
    <row r="24">
      <c r="A24" t="inlineStr">
        <is>
          <t>Bear</t>
        </is>
      </c>
      <c r="B24" s="15">
        <f>(SUMPRODUCT(DCF_Bear!$C$19:$L$19/(1+Assumptions!$B$10)^DCF_Bear!$C$4:$L$4)+MAX(0,MIN(IF(Assumptions!$B$10&gt;Assumptions!$B$15,DCF_Bear!$L$19*(1+Assumptions!$B$15)/(Assumptions!$B$10-Assumptions!$B$15),1E+15),Assumptions!$B$5*DCF_Bear!$L$19,DCF_Bear!$B$47))/(1+Assumptions!$B$10)^10-Assumptions!$B$6)/Assumptions!$B$7</f>
        <v/>
      </c>
      <c r="C24" s="15">
        <f>B24*Assumptions!$B$12</f>
        <v/>
      </c>
      <c r="D24" s="6">
        <f>C24/Assumptions!$B$8-1</f>
        <v/>
      </c>
      <c r="E24" s="13">
        <f>Assumptions!B16</f>
        <v/>
      </c>
    </row>
    <row r="25">
      <c r="A25" t="inlineStr">
        <is>
          <t>Base</t>
        </is>
      </c>
      <c r="B25" s="15">
        <f>(SUMPRODUCT(DCF_Base!$C$19:$L$19/(1+Assumptions!$B$10)^DCF_Base!$C$4:$L$4)+MAX(0,MIN(IF(Assumptions!$B$10&gt;Assumptions!$C$15,DCF_Base!$L$19*(1+Assumptions!$C$15)/(Assumptions!$B$10-Assumptions!$C$15),1E+15),Assumptions!$B$5*DCF_Base!$L$19,DCF_Base!$B$47))/(1+Assumptions!$B$10)^10-Assumptions!$B$6)/Assumptions!$B$7</f>
        <v/>
      </c>
      <c r="C25" s="15">
        <f>B25*Assumptions!$B$12</f>
        <v/>
      </c>
      <c r="D25" s="6">
        <f>C25/Assumptions!$B$8-1</f>
        <v/>
      </c>
      <c r="E25" s="13">
        <f>Assumptions!C16</f>
        <v/>
      </c>
    </row>
    <row r="26">
      <c r="A26" t="inlineStr">
        <is>
          <t>Bull</t>
        </is>
      </c>
      <c r="B26" s="15">
        <f>(SUMPRODUCT(DCF_Bull!$C$19:$L$19/(1+Assumptions!$B$10)^DCF_Bull!$C$4:$L$4)+MAX(0,MIN(IF(Assumptions!$B$10&gt;Assumptions!$D$15,DCF_Bull!$L$19*(1+Assumptions!$D$15)/(Assumptions!$B$10-Assumptions!$D$15),1E+15),Assumptions!$B$5*DCF_Bull!$L$19,DCF_Bull!$B$47))/(1+Assumptions!$B$10)^10-Assumptions!$B$6)/Assumptions!$B$7</f>
        <v/>
      </c>
      <c r="C26" s="15">
        <f>B26*Assumptions!$B$12</f>
        <v/>
      </c>
      <c r="D26" s="6">
        <f>C26/Assumptions!$B$8-1</f>
        <v/>
      </c>
      <c r="E26" s="13">
        <f>Assumptions!D16</f>
        <v/>
      </c>
    </row>
    <row r="27">
      <c r="A27" t="inlineStr">
        <is>
          <t>Weighted entry price (USD)</t>
        </is>
      </c>
      <c r="B27" s="15">
        <f>SUMPRODUCT(B24:B26,E24:E26)</f>
        <v/>
      </c>
    </row>
    <row r="28">
      <c r="A28" t="inlineStr">
        <is>
          <t>Weighted entry price (AUD)</t>
        </is>
      </c>
      <c r="B28" s="21">
        <f>SUMPRODUCT(C24:C26,E24:E26)</f>
        <v/>
      </c>
    </row>
    <row r="30">
      <c r="A30" s="1" t="inlineStr">
        <is>
          <t>Sensitivity: base value/share AUD -- rows WACC, columns terminal growth</t>
        </is>
      </c>
    </row>
    <row r="31">
      <c r="B31" s="10" t="n">
        <v>0.015</v>
      </c>
      <c r="C31" s="10" t="n">
        <v>0.02</v>
      </c>
      <c r="D31" s="10" t="n">
        <v>0.025</v>
      </c>
      <c r="E31" s="10" t="n">
        <v>0.03</v>
      </c>
      <c r="F31" s="10" t="n">
        <v>0.035</v>
      </c>
    </row>
    <row r="32">
      <c r="A32" s="10" t="n">
        <v>0.058</v>
      </c>
      <c r="B32" s="15">
        <f>IF($A32&gt;B$31,(SUMPRODUCT(DCF_Base!$C$19:$L$19/(1+$A32)^DCF_Base!$C$4:$L$4)+MAX(0,MIN(IF($A32&gt;B$31,DCF_Base!$L$19*(1+B$31)/($A32-B$31),1E+15),Assumptions!$B$5*DCF_Base!$L$19,DCF_Base!$B$47))/(1+$A32)^10-Assumptions!$B$6)/Assumptions!$B$7*Assumptions!$B$12,"n/a")</f>
        <v/>
      </c>
      <c r="C32" s="15">
        <f>IF($A32&gt;C$31,(SUMPRODUCT(DCF_Base!$C$19:$L$19/(1+$A32)^DCF_Base!$C$4:$L$4)+MAX(0,MIN(IF($A32&gt;C$31,DCF_Base!$L$19*(1+C$31)/($A32-C$31),1E+15),Assumptions!$B$5*DCF_Base!$L$19,DCF_Base!$B$47))/(1+$A32)^10-Assumptions!$B$6)/Assumptions!$B$7*Assumptions!$B$12,"n/a")</f>
        <v/>
      </c>
      <c r="D32" s="15">
        <f>IF($A32&gt;D$31,(SUMPRODUCT(DCF_Base!$C$19:$L$19/(1+$A32)^DCF_Base!$C$4:$L$4)+MAX(0,MIN(IF($A32&gt;D$31,DCF_Base!$L$19*(1+D$31)/($A32-D$31),1E+15),Assumptions!$B$5*DCF_Base!$L$19,DCF_Base!$B$47))/(1+$A32)^10-Assumptions!$B$6)/Assumptions!$B$7*Assumptions!$B$12,"n/a")</f>
        <v/>
      </c>
      <c r="E32" s="15">
        <f>IF($A32&gt;E$31,(SUMPRODUCT(DCF_Base!$C$19:$L$19/(1+$A32)^DCF_Base!$C$4:$L$4)+MAX(0,MIN(IF($A32&gt;E$31,DCF_Base!$L$19*(1+E$31)/($A32-E$31),1E+15),Assumptions!$B$5*DCF_Base!$L$19,DCF_Base!$B$47))/(1+$A32)^10-Assumptions!$B$6)/Assumptions!$B$7*Assumptions!$B$12,"n/a")</f>
        <v/>
      </c>
      <c r="F32" s="15">
        <f>IF($A32&gt;F$31,(SUMPRODUCT(DCF_Base!$C$19:$L$19/(1+$A32)^DCF_Base!$C$4:$L$4)+MAX(0,MIN(IF($A32&gt;F$31,DCF_Base!$L$19*(1+F$31)/($A32-F$31),1E+15),Assumptions!$B$5*DCF_Base!$L$19,DCF_Base!$B$47))/(1+$A32)^10-Assumptions!$B$6)/Assumptions!$B$7*Assumptions!$B$12,"n/a")</f>
        <v/>
      </c>
    </row>
    <row r="33">
      <c r="A33" s="10" t="n">
        <v>0.068</v>
      </c>
      <c r="B33" s="15">
        <f>IF($A33&gt;B$31,(SUMPRODUCT(DCF_Base!$C$19:$L$19/(1+$A33)^DCF_Base!$C$4:$L$4)+MAX(0,MIN(IF($A33&gt;B$31,DCF_Base!$L$19*(1+B$31)/($A33-B$31),1E+15),Assumptions!$B$5*DCF_Base!$L$19,DCF_Base!$B$47))/(1+$A33)^10-Assumptions!$B$6)/Assumptions!$B$7*Assumptions!$B$12,"n/a")</f>
        <v/>
      </c>
      <c r="C33" s="15">
        <f>IF($A33&gt;C$31,(SUMPRODUCT(DCF_Base!$C$19:$L$19/(1+$A33)^DCF_Base!$C$4:$L$4)+MAX(0,MIN(IF($A33&gt;C$31,DCF_Base!$L$19*(1+C$31)/($A33-C$31),1E+15),Assumptions!$B$5*DCF_Base!$L$19,DCF_Base!$B$47))/(1+$A33)^10-Assumptions!$B$6)/Assumptions!$B$7*Assumptions!$B$12,"n/a")</f>
        <v/>
      </c>
      <c r="D33" s="15">
        <f>IF($A33&gt;D$31,(SUMPRODUCT(DCF_Base!$C$19:$L$19/(1+$A33)^DCF_Base!$C$4:$L$4)+MAX(0,MIN(IF($A33&gt;D$31,DCF_Base!$L$19*(1+D$31)/($A33-D$31),1E+15),Assumptions!$B$5*DCF_Base!$L$19,DCF_Base!$B$47))/(1+$A33)^10-Assumptions!$B$6)/Assumptions!$B$7*Assumptions!$B$12,"n/a")</f>
        <v/>
      </c>
      <c r="E33" s="15">
        <f>IF($A33&gt;E$31,(SUMPRODUCT(DCF_Base!$C$19:$L$19/(1+$A33)^DCF_Base!$C$4:$L$4)+MAX(0,MIN(IF($A33&gt;E$31,DCF_Base!$L$19*(1+E$31)/($A33-E$31),1E+15),Assumptions!$B$5*DCF_Base!$L$19,DCF_Base!$B$47))/(1+$A33)^10-Assumptions!$B$6)/Assumptions!$B$7*Assumptions!$B$12,"n/a")</f>
        <v/>
      </c>
      <c r="F33" s="15">
        <f>IF($A33&gt;F$31,(SUMPRODUCT(DCF_Base!$C$19:$L$19/(1+$A33)^DCF_Base!$C$4:$L$4)+MAX(0,MIN(IF($A33&gt;F$31,DCF_Base!$L$19*(1+F$31)/($A33-F$31),1E+15),Assumptions!$B$5*DCF_Base!$L$19,DCF_Base!$B$47))/(1+$A33)^10-Assumptions!$B$6)/Assumptions!$B$7*Assumptions!$B$12,"n/a")</f>
        <v/>
      </c>
    </row>
    <row r="34">
      <c r="A34" s="10" t="n">
        <v>0.078</v>
      </c>
      <c r="B34" s="15">
        <f>IF($A34&gt;B$31,(SUMPRODUCT(DCF_Base!$C$19:$L$19/(1+$A34)^DCF_Base!$C$4:$L$4)+MAX(0,MIN(IF($A34&gt;B$31,DCF_Base!$L$19*(1+B$31)/($A34-B$31),1E+15),Assumptions!$B$5*DCF_Base!$L$19,DCF_Base!$B$47))/(1+$A34)^10-Assumptions!$B$6)/Assumptions!$B$7*Assumptions!$B$12,"n/a")</f>
        <v/>
      </c>
      <c r="C34" s="15">
        <f>IF($A34&gt;C$31,(SUMPRODUCT(DCF_Base!$C$19:$L$19/(1+$A34)^DCF_Base!$C$4:$L$4)+MAX(0,MIN(IF($A34&gt;C$31,DCF_Base!$L$19*(1+C$31)/($A34-C$31),1E+15),Assumptions!$B$5*DCF_Base!$L$19,DCF_Base!$B$47))/(1+$A34)^10-Assumptions!$B$6)/Assumptions!$B$7*Assumptions!$B$12,"n/a")</f>
        <v/>
      </c>
      <c r="D34" s="21">
        <f>IF($A34&gt;D$31,(SUMPRODUCT(DCF_Base!$C$19:$L$19/(1+$A34)^DCF_Base!$C$4:$L$4)+MAX(0,MIN(IF($A34&gt;D$31,DCF_Base!$L$19*(1+D$31)/($A34-D$31),1E+15),Assumptions!$B$5*DCF_Base!$L$19,DCF_Base!$B$47))/(1+$A34)^10-Assumptions!$B$6)/Assumptions!$B$7*Assumptions!$B$12,"n/a")</f>
        <v/>
      </c>
      <c r="E34" s="15">
        <f>IF($A34&gt;E$31,(SUMPRODUCT(DCF_Base!$C$19:$L$19/(1+$A34)^DCF_Base!$C$4:$L$4)+MAX(0,MIN(IF($A34&gt;E$31,DCF_Base!$L$19*(1+E$31)/($A34-E$31),1E+15),Assumptions!$B$5*DCF_Base!$L$19,DCF_Base!$B$47))/(1+$A34)^10-Assumptions!$B$6)/Assumptions!$B$7*Assumptions!$B$12,"n/a")</f>
        <v/>
      </c>
      <c r="F34" s="15">
        <f>IF($A34&gt;F$31,(SUMPRODUCT(DCF_Base!$C$19:$L$19/(1+$A34)^DCF_Base!$C$4:$L$4)+MAX(0,MIN(IF($A34&gt;F$31,DCF_Base!$L$19*(1+F$31)/($A34-F$31),1E+15),Assumptions!$B$5*DCF_Base!$L$19,DCF_Base!$B$47))/(1+$A34)^10-Assumptions!$B$6)/Assumptions!$B$7*Assumptions!$B$12,"n/a")</f>
        <v/>
      </c>
    </row>
    <row r="35">
      <c r="A35" s="10" t="n">
        <v>0.08800000000000001</v>
      </c>
      <c r="B35" s="15">
        <f>IF($A35&gt;B$31,(SUMPRODUCT(DCF_Base!$C$19:$L$19/(1+$A35)^DCF_Base!$C$4:$L$4)+MAX(0,MIN(IF($A35&gt;B$31,DCF_Base!$L$19*(1+B$31)/($A35-B$31),1E+15),Assumptions!$B$5*DCF_Base!$L$19,DCF_Base!$B$47))/(1+$A35)^10-Assumptions!$B$6)/Assumptions!$B$7*Assumptions!$B$12,"n/a")</f>
        <v/>
      </c>
      <c r="C35" s="15">
        <f>IF($A35&gt;C$31,(SUMPRODUCT(DCF_Base!$C$19:$L$19/(1+$A35)^DCF_Base!$C$4:$L$4)+MAX(0,MIN(IF($A35&gt;C$31,DCF_Base!$L$19*(1+C$31)/($A35-C$31),1E+15),Assumptions!$B$5*DCF_Base!$L$19,DCF_Base!$B$47))/(1+$A35)^10-Assumptions!$B$6)/Assumptions!$B$7*Assumptions!$B$12,"n/a")</f>
        <v/>
      </c>
      <c r="D35" s="15">
        <f>IF($A35&gt;D$31,(SUMPRODUCT(DCF_Base!$C$19:$L$19/(1+$A35)^DCF_Base!$C$4:$L$4)+MAX(0,MIN(IF($A35&gt;D$31,DCF_Base!$L$19*(1+D$31)/($A35-D$31),1E+15),Assumptions!$B$5*DCF_Base!$L$19,DCF_Base!$B$47))/(1+$A35)^10-Assumptions!$B$6)/Assumptions!$B$7*Assumptions!$B$12,"n/a")</f>
        <v/>
      </c>
      <c r="E35" s="15">
        <f>IF($A35&gt;E$31,(SUMPRODUCT(DCF_Base!$C$19:$L$19/(1+$A35)^DCF_Base!$C$4:$L$4)+MAX(0,MIN(IF($A35&gt;E$31,DCF_Base!$L$19*(1+E$31)/($A35-E$31),1E+15),Assumptions!$B$5*DCF_Base!$L$19,DCF_Base!$B$47))/(1+$A35)^10-Assumptions!$B$6)/Assumptions!$B$7*Assumptions!$B$12,"n/a")</f>
        <v/>
      </c>
      <c r="F35" s="15">
        <f>IF($A35&gt;F$31,(SUMPRODUCT(DCF_Base!$C$19:$L$19/(1+$A35)^DCF_Base!$C$4:$L$4)+MAX(0,MIN(IF($A35&gt;F$31,DCF_Base!$L$19*(1+F$31)/($A35-F$31),1E+15),Assumptions!$B$5*DCF_Base!$L$19,DCF_Base!$B$47))/(1+$A35)^10-Assumptions!$B$6)/Assumptions!$B$7*Assumptions!$B$12,"n/a")</f>
        <v/>
      </c>
    </row>
    <row r="36">
      <c r="A36" s="10" t="n">
        <v>0.098</v>
      </c>
      <c r="B36" s="15">
        <f>IF($A36&gt;B$31,(SUMPRODUCT(DCF_Base!$C$19:$L$19/(1+$A36)^DCF_Base!$C$4:$L$4)+MAX(0,MIN(IF($A36&gt;B$31,DCF_Base!$L$19*(1+B$31)/($A36-B$31),1E+15),Assumptions!$B$5*DCF_Base!$L$19,DCF_Base!$B$47))/(1+$A36)^10-Assumptions!$B$6)/Assumptions!$B$7*Assumptions!$B$12,"n/a")</f>
        <v/>
      </c>
      <c r="C36" s="15">
        <f>IF($A36&gt;C$31,(SUMPRODUCT(DCF_Base!$C$19:$L$19/(1+$A36)^DCF_Base!$C$4:$L$4)+MAX(0,MIN(IF($A36&gt;C$31,DCF_Base!$L$19*(1+C$31)/($A36-C$31),1E+15),Assumptions!$B$5*DCF_Base!$L$19,DCF_Base!$B$47))/(1+$A36)^10-Assumptions!$B$6)/Assumptions!$B$7*Assumptions!$B$12,"n/a")</f>
        <v/>
      </c>
      <c r="D36" s="15">
        <f>IF($A36&gt;D$31,(SUMPRODUCT(DCF_Base!$C$19:$L$19/(1+$A36)^DCF_Base!$C$4:$L$4)+MAX(0,MIN(IF($A36&gt;D$31,DCF_Base!$L$19*(1+D$31)/($A36-D$31),1E+15),Assumptions!$B$5*DCF_Base!$L$19,DCF_Base!$B$47))/(1+$A36)^10-Assumptions!$B$6)/Assumptions!$B$7*Assumptions!$B$12,"n/a")</f>
        <v/>
      </c>
      <c r="E36" s="15">
        <f>IF($A36&gt;E$31,(SUMPRODUCT(DCF_Base!$C$19:$L$19/(1+$A36)^DCF_Base!$C$4:$L$4)+MAX(0,MIN(IF($A36&gt;E$31,DCF_Base!$L$19*(1+E$31)/($A36-E$31),1E+15),Assumptions!$B$5*DCF_Base!$L$19,DCF_Base!$B$47))/(1+$A36)^10-Assumptions!$B$6)/Assumptions!$B$7*Assumptions!$B$12,"n/a")</f>
        <v/>
      </c>
      <c r="F36" s="15">
        <f>IF($A36&gt;F$31,(SUMPRODUCT(DCF_Base!$C$19:$L$19/(1+$A36)^DCF_Base!$C$4:$L$4)+MAX(0,MIN(IF($A36&gt;F$31,DCF_Base!$L$19*(1+F$31)/($A36-F$31),1E+15),Assumptions!$B$5*DCF_Base!$L$19,DCF_Base!$B$47))/(1+$A36)^10-Assumptions!$B$6)/Assumptions!$B$7*Assumptions!$B$12,"n/a")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2026-09-21T10:32:13Z</dcterms:created>
  <dcterms:modified xsi:type="dcterms:W3CDTF">2026-09-21T10:32:13Z</dcterms:modified>
</cp:coreProperties>
</file>