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<sst xmlns="http://schemas.openxmlformats.org/spreadsheetml/2006/main" count="355" uniqueCount="165">
  <si>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</si>
  <si>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9969.HK</t>
  </si>
  <si>
    <t xml:space="preserve">Company</t>
  </si>
  <si>
    <t xml:space="preserve">InnoCare Pharma Limited</t>
  </si>
  <si>
    <t xml:space="preserve">Valuation date</t>
  </si>
  <si>
    <t xml:space="preserve">2026-10-24</t>
  </si>
  <si>
    <t xml:space="preserve">Current price</t>
  </si>
  <si>
    <t xml:space="preserve">Price as of</t>
  </si>
  <si>
    <t xml:space="preserve">2026-10-23T08:08:08Z regular HKEX close (Yahoo chart API); 52-week range 9.65-16.20</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</si>
  <si>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</si>
  <si>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</si>
  <si>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</si>
  <si>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</si>
  <si>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</si>
  <si>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</si>
  <si>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</si>
  <si>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</si>
  <si>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</si>
  <si>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</si>
  <si>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</si>
  <si>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</si>
  <si>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</si>
  <si>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2026-10-23T21:32:31Z</t>
  </si>
  <si>
    <t xml:space="preserve">Drivers file</t>
  </si>
  <si>
    <t xml:space="preserve">9969.HK_Drivers.json</t>
  </si>
  <si>
    <t xml:space="preserve">Convention</t>
  </si>
  <si>
    <t xml:space="preserve">Percents stored as percents; formulas divide by 100. Blue = input, green = link, black = formula.</t>
  </si>
  <si>
    <t xml:space="preserve">Methodology</t>
  </si>
  <si>
    <t xml:space="preserve">summary: InnoCare is valued as an operating pharma on a strict owner-FCF basis, with the one-off character of FY2025 handled explicitly rather than by carrying the reported numbers forward. FY2025 revenue of RMB2,374.9m includes RMB932.5m of licensing revenue, RMB701.7m of which was received as Zenas shares, not cash; FY2025 reported FCF of +13.8m becomes -91.8m once SBC and the interest received inside OCF are stripped, and H1 FY2026 owner FCF was -40.1m. The model therefore compounds from the reported FY2025 base but (i) sets year-1 growth at 13.5% and year-2 at 2% so that the August 2026 Zenas milestone replaces, and then drops out after, the FY2025 upfront while drug sales grow 36% then 25%; (ii) starts the EBITDA margin from the OPERATING figure (ex RMB178m of interest and wealth-management income, which belongs to the RMB8.4bn cash pile already in the bridge), 28% in year 1 falling to 21% in year 2 before operating leverage takes it to 36%; and (iii) charges 20% of each year's revenue increase as working capital because China hospital receivables run ~110 days. SBC is expensed (4.5% falling to 2.5% of revenue) and the count held flat at the diluted 1,718.0m; leases are an operating cost and excluded from debt; cash tax ramps from zero over the RMB4bn of unrecognised tax losses and the R&amp;D super-deduction. Net cash of RMB5.7bn (bank borrowings, the Changxin and Guangzhou Kaide construction liabilities all counted as debt) and the Zenas stake marked at the valuation date net of tax are added to enterprise value. Values are built in RMB and converted to HKD at 1.1744. A third of the H-share price is net cash; the remainder prices the ramp of the drug franchise, so the scenario weights (30/50/20) matter more here than the discount rate.
key_risks_to_valuation: NRDL renewal or a VBP-style procurement cut on the BTK class resetting orelabrutinib pricing (the bear case's main axis); Share loss in 1L CLL/SLL to zanubrutinib and pirtobrutinib; a safety signal on the single molecule that is ~90% of drug sales; Binary Phase III readouts: SLE (orelabrutinib), MS (Zenas), mesutoclax registrational trials, soficitinib AD and ICP-488 psoriasis; Licensing revenue is lumpy and partly share-settled; the model treats the Aug-2026 2m ZBIO milestone shares as cash-equivalent and the 5m-share stake at a volatile Nasdaq mark (ZBIO 52-week range is wide); Cash-tax ramp assumes the HNTE 15% rate and the 200% R&amp;D super-deduction persist; US tax on InnoCare US licensing income could raise the terminal rate above 12%; A/H premium of ~2.65x: the H-share valuation here is on fundamentals, not on convergence to the STAR-market price; R&amp;D intensity: the margin ramp needs R&amp;D to fall from 40% to ~22% of revenue; a company that keeps spending at 35%+ lands near the bear margins even on base revenue</t>
  </si>
  <si>
    <t xml:space="preserve">Data sources</t>
  </si>
  <si>
    <t xml:space="preserve">price: Yahoo Finance chart API at inputs.price_as_of (regular HKEX close); 52-week range 9.65-16.20; CNY-&gt;HKD, USD/CNY and ZBIO from the same API at 2026-10-23
financials: 9969.HK_Metrics.csv / core_metrics (FY2018-FY2025, H1 FY2023-H1 FY2026); FY2025 annual report (tax reconciliation note 10, tax losses note 31, EPS note 12, share schemes note 34, Zenas/Prolium stakes); H1 FY2026 interim report (balance sheet, cash-flow statement, note 9 diluted shares, note 12-13 financial assets, note 15 cash, note 22 subsequent-event Zenas milestone)
qualitative: 9969.HK_Analysis.json (qualitative-analyst, 2026-10-24): guidance of &gt;35% FY2026 drug-sales growth from H1 FY2026 results commentary, pipeline catalysts, competitive position</t>
  </si>
  <si>
    <t xml:space="preserve">Scenario narrative: bear</t>
  </si>
  <si>
    <t xml:space="preserve">The BTK class takes a VBP-style price reset in China and pirtobrutinib/zanubrutinib take 1L share, so orelabrutinib plateaus near RMB2.5bn; SLE and MS Phase IIIs fail, so neither the autoimmune expansion nor Zenas royalties arrive; licensing income stops after the contracted Zenas near-term cash. R&amp;D is cut too slowly, EBITDA matures at 22% on ~RMB3.9bn of revenue, and most of the equity value is the RMB5.7bn of net cash plus the Zenas stake.</t>
  </si>
  <si>
    <t xml:space="preserve">Scenario narrative: base</t>
  </si>
  <si>
    <t xml:space="preserve">Orelabrutinib's four NRDL-reimbursed indications plus 1L CLL/SLL and ITP grow drug sales ~25-35% a year through 2028, tafasitamab and zurletrectinib add a second and third product, and mesutoclax launches around 2028, taking drug sales to ~RMB6.5bn by 2035. Licensing is lumpy: ~RMB740m in FY2026 (the H1 deliverables plus the August 2026 Zenas milestone of US$25m and 2m ZBIO shares), then ~300-850m a year of contracted near-term cash, development milestones and eventually MS royalties. R&amp;D falls from 40% to ~22% of revenue and EBITDA matures at 36%. Cash tax stays near zero for three years on RMB4bn of tax losses and the R&amp;D super-deduction, ramping to 12%. The axes that move this case are NRDL pricing at each renewal, the SLE and MS Phase III readouts, and whether the second-mover BTK franchise holds share against zanubrutinib and pirtobrutinib.</t>
  </si>
  <si>
    <t xml:space="preserve">Scenario narrative: bull</t>
  </si>
  <si>
    <t xml:space="preserve">Autoimmune indications turn orelabrutinib from an oncology drug into a franchise (ITP approval 2027, SLE 2029), mesutoclax and the TYK2 pair reach the market on schedule, and Zenas' MS programme succeeds, delivering milestones against the &gt;US$2bn headline and high-teens royalties from ~2031. Revenue compounds at 15% to ~RMB9.8bn and the royalty mix lifts mature EBITDA to 42%.</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</si>
  <si>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</si>
  <si>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</si>
  <si>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</si>
  <si>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</si>
  <si>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</si>
  <si>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</si>
  <si>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</si>
  <si>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</si>
  <si>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</si>
  <si>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</si>
  <si>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</si>
  <si>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</si>
  <si>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</si>
  <si>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</si>
  <si>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</si>
  <si>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</si>
  <si>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</si>
  <si>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</si>
  <si>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</si>
  <si>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</si>
  <si>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</si>
  <si>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</si>
  <si>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</si>
  <si>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</si>
  <si>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</si>
  <si>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</si>
  <si>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</si>
  <si>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CollaborationRevenue</t>
  </si>
  <si>
    <t xml:space="preserve">ResearchAndDevelopment</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</si>
  <si>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</si>
  <si>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</si>
  <si>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</si>
  <si>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</si>
  <si>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</si>
  <si>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</si>
  <si>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</si>
  <si>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</si>
  <si>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</si>
  <si>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</si>
  <si>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</si>
  <si>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</si>
  <si>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</si>
  <si>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</si>
  <si>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</si>
  <si>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</si>
  <si>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</si>
  <si>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</si>
  <si>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</si>
  <si>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</si>
  <si>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</si>
  <si>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</si>
  <si>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</si>
  <si>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</si>
  <si>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</si>
  <si>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</si>
  <si>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</si>
  <si>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</si>
  <si>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</si>
  <si>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</si>
  <si>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</si>
  <si>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</si>
  <si>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</si>
  <si>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</si>
  <si>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</si>
  <si>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</si>
  <si>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</si>
  <si>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</si>
  <si>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</si>
  <si>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</si>
  <si>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</si>
  <si>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</si>
  <si>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</si>
  <si>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</si>
  <si>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</si>
  <si>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9969.HK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</si>
  <si>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</si>
  <si>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</si>
  <si>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</si>
  <si>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</si>
  <si>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</si>
  <si>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</si>
  <si>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</si>
  <si>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</si>
  <si>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</si>
  <si>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</si>
  <si>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</si>
  <si>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</si>
  <si>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</si>
  <si>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</si>
  <si>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</si>
  <si>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</si>
  <si>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</si>
  <si>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</si>
  <si>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</si>
  <si>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</si>
  <si>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</si>
  <si>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</si>
  <si>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</si>
  <si>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</si>
  <si>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</si>
  <si>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</si>
  <si>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</si>
  <si>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</si>
  <si>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</si>
  <si>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</si>
  <si>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9969.HK owner-FCF component DCF: base case (millions, CNY)</t>
  </si>
  <si>
    <t xml:space="preserve">9969.HK owner-FCF component DCF: bull case (millions, CNY)</t>
  </si>
  <si>
    <t xml:space="preserve">9969.HK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</si>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</sst>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11.77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1.617</v>
      </c>
      <c r="C2" s="0" t="n">
        <v>0</v>
      </c>
      <c r="D2" s="0" t="n">
        <v>1.617</v>
      </c>
      <c r="E2" s="0" t="n">
        <v>100</v>
      </c>
      <c r="F2" s="0" t="n">
        <v>-550.582</v>
      </c>
      <c r="H2" s="0" t="n">
        <v>-545.194</v>
      </c>
      <c r="I2" s="0" t="n">
        <v>-549.95</v>
      </c>
      <c r="K2" s="0" t="n">
        <v>-2.83</v>
      </c>
      <c r="L2" s="0" t="n">
        <v>-17.677</v>
      </c>
      <c r="M2" s="0" t="n">
        <v>20.082</v>
      </c>
      <c r="N2" s="0" t="n">
        <v>-37.759</v>
      </c>
      <c r="O2" s="0" t="n">
        <v>-904.301</v>
      </c>
      <c r="P2" s="0" t="n">
        <v>2201.159</v>
      </c>
      <c r="Q2" s="0" t="n">
        <v>3039.533</v>
      </c>
      <c r="R2" s="0" t="n">
        <v>1016.546</v>
      </c>
      <c r="S2" s="0" t="n">
        <v>1876.618</v>
      </c>
      <c r="T2" s="0" t="n">
        <v>194.462</v>
      </c>
      <c r="U2" s="0" t="n">
        <v>65.215</v>
      </c>
      <c r="V2" s="0" t="n">
        <v>0</v>
      </c>
      <c r="AA2" s="0" t="s">
        <v>18</v>
      </c>
      <c r="AB2" s="0" t="s">
        <v>14</v>
      </c>
      <c r="AC2" s="0" t="n">
        <v>1.617</v>
      </c>
      <c r="AD2" s="0" t="n">
        <v>149.726</v>
      </c>
    </row>
    <row r="3" customFormat="false" ht="15" hidden="false" customHeight="false" outlineLevel="0" collapsed="false">
      <c r="A3" s="0" t="s">
        <v>67</v>
      </c>
      <c r="B3" s="0" t="n">
        <v>1.247</v>
      </c>
      <c r="C3" s="0" t="n">
        <v>0</v>
      </c>
      <c r="D3" s="0" t="n">
        <v>1.247</v>
      </c>
      <c r="E3" s="0" t="n">
        <v>100</v>
      </c>
      <c r="F3" s="0" t="n">
        <v>-2148.435</v>
      </c>
      <c r="H3" s="0" t="n">
        <v>-2139.369</v>
      </c>
      <c r="I3" s="0" t="n">
        <v>-2141.388</v>
      </c>
      <c r="K3" s="0" t="n">
        <v>-9.32</v>
      </c>
      <c r="L3" s="0" t="n">
        <v>-79.753</v>
      </c>
      <c r="M3" s="0" t="n">
        <v>45.497</v>
      </c>
      <c r="N3" s="0" t="n">
        <v>-125.25</v>
      </c>
      <c r="O3" s="0" t="n">
        <v>-3004.71</v>
      </c>
      <c r="P3" s="0" t="n">
        <v>2615.693</v>
      </c>
      <c r="Q3" s="0" t="n">
        <v>5563.439</v>
      </c>
      <c r="R3" s="0" t="n">
        <v>1126.274</v>
      </c>
      <c r="S3" s="0" t="n">
        <v>2291.773</v>
      </c>
      <c r="T3" s="0" t="n">
        <v>229.727</v>
      </c>
      <c r="U3" s="0" t="n">
        <v>65.804</v>
      </c>
      <c r="V3" s="0" t="n">
        <v>0</v>
      </c>
      <c r="AA3" s="0" t="s">
        <v>18</v>
      </c>
      <c r="AB3" s="0" t="s">
        <v>14</v>
      </c>
      <c r="AC3" s="0" t="n">
        <v>1.247</v>
      </c>
      <c r="AD3" s="0" t="n">
        <v>213.123</v>
      </c>
    </row>
    <row r="4" customFormat="false" ht="15" hidden="false" customHeight="false" outlineLevel="0" collapsed="false">
      <c r="A4" s="0" t="s">
        <v>68</v>
      </c>
      <c r="B4" s="0" t="n">
        <v>1.364</v>
      </c>
      <c r="C4" s="0" t="n">
        <v>0</v>
      </c>
      <c r="D4" s="0" t="n">
        <v>1.364</v>
      </c>
      <c r="E4" s="0" t="n">
        <v>100</v>
      </c>
      <c r="F4" s="0" t="n">
        <v>-390.726</v>
      </c>
      <c r="H4" s="0" t="n">
        <v>-379.274</v>
      </c>
      <c r="I4" s="0" t="n">
        <v>-391.395</v>
      </c>
      <c r="K4" s="0" t="n">
        <v>-0.4</v>
      </c>
      <c r="L4" s="0" t="n">
        <v>-172.519</v>
      </c>
      <c r="M4" s="0" t="n">
        <v>251.266</v>
      </c>
      <c r="N4" s="0" t="n">
        <v>-423.785</v>
      </c>
      <c r="O4" s="0" t="n">
        <v>3104.012</v>
      </c>
      <c r="P4" s="0" t="n">
        <v>4537.71</v>
      </c>
      <c r="Q4" s="0" t="n">
        <v>1377.204</v>
      </c>
      <c r="R4" s="0" t="n">
        <v>1149.55</v>
      </c>
      <c r="S4" s="0" t="n">
        <v>3969.64</v>
      </c>
      <c r="T4" s="0" t="n">
        <v>967.576</v>
      </c>
      <c r="U4" s="0" t="n">
        <v>215.621</v>
      </c>
      <c r="V4" s="0" t="n">
        <v>0</v>
      </c>
      <c r="AA4" s="0" t="s">
        <v>18</v>
      </c>
      <c r="AB4" s="0" t="s">
        <v>14</v>
      </c>
      <c r="AC4" s="0" t="n">
        <v>1.364</v>
      </c>
      <c r="AD4" s="0" t="n">
        <v>402.771</v>
      </c>
    </row>
    <row r="5" customFormat="false" ht="15" hidden="false" customHeight="false" outlineLevel="0" collapsed="false">
      <c r="A5" s="0" t="s">
        <v>69</v>
      </c>
      <c r="B5" s="0" t="n">
        <v>1043.033</v>
      </c>
      <c r="C5" s="0" t="n">
        <v>65.667</v>
      </c>
      <c r="D5" s="0" t="n">
        <v>977.366</v>
      </c>
      <c r="E5" s="0" t="n">
        <v>93.704</v>
      </c>
      <c r="F5" s="0" t="n">
        <v>-17.479</v>
      </c>
      <c r="G5" s="0" t="n">
        <v>-1.676</v>
      </c>
      <c r="H5" s="0" t="n">
        <v>15.003</v>
      </c>
      <c r="I5" s="0" t="n">
        <v>-64.545</v>
      </c>
      <c r="J5" s="0" t="n">
        <v>-6.188</v>
      </c>
      <c r="K5" s="0" t="n">
        <v>-0.05</v>
      </c>
      <c r="L5" s="0" t="n">
        <v>167.058</v>
      </c>
      <c r="M5" s="0" t="n">
        <v>167.069</v>
      </c>
      <c r="N5" s="0" t="n">
        <v>-0.011</v>
      </c>
      <c r="O5" s="0" t="n">
        <v>5604.559</v>
      </c>
      <c r="P5" s="0" t="n">
        <v>7397.531</v>
      </c>
      <c r="Q5" s="0" t="n">
        <v>1738.612</v>
      </c>
      <c r="R5" s="0" t="n">
        <v>1200.564</v>
      </c>
      <c r="S5" s="0" t="n">
        <v>5928.716</v>
      </c>
      <c r="T5" s="0" t="n">
        <v>1366.26</v>
      </c>
      <c r="U5" s="0" t="n">
        <v>126.444</v>
      </c>
      <c r="V5" s="0" t="n">
        <v>0</v>
      </c>
      <c r="AA5" s="0" t="s">
        <v>18</v>
      </c>
      <c r="AB5" s="0" t="s">
        <v>14</v>
      </c>
      <c r="AC5" s="0" t="n">
        <v>828.367</v>
      </c>
      <c r="AD5" s="0" t="n">
        <v>721.584</v>
      </c>
    </row>
    <row r="6" customFormat="false" ht="15" hidden="false" customHeight="false" outlineLevel="0" collapsed="false">
      <c r="A6" s="0" t="s">
        <v>70</v>
      </c>
      <c r="B6" s="0" t="n">
        <v>625.404</v>
      </c>
      <c r="C6" s="0" t="n">
        <v>143.397</v>
      </c>
      <c r="D6" s="0" t="n">
        <v>482.007</v>
      </c>
      <c r="E6" s="0" t="n">
        <v>77.071</v>
      </c>
      <c r="F6" s="0" t="n">
        <v>-876.682</v>
      </c>
      <c r="G6" s="0" t="n">
        <v>-140.179</v>
      </c>
      <c r="H6" s="0" t="n">
        <v>-808.279</v>
      </c>
      <c r="I6" s="0" t="n">
        <v>-886.593</v>
      </c>
      <c r="J6" s="0" t="n">
        <v>-141.763</v>
      </c>
      <c r="K6" s="0" t="n">
        <v>-0.6</v>
      </c>
      <c r="L6" s="0" t="n">
        <v>-565.554</v>
      </c>
      <c r="M6" s="0" t="n">
        <v>370.327</v>
      </c>
      <c r="N6" s="0" t="n">
        <v>-935.881</v>
      </c>
      <c r="O6" s="0" t="n">
        <v>7597.101</v>
      </c>
      <c r="P6" s="0" t="n">
        <v>10321.158</v>
      </c>
      <c r="Q6" s="0" t="n">
        <v>2676.831</v>
      </c>
      <c r="R6" s="0" t="n">
        <v>1197.168</v>
      </c>
      <c r="S6" s="0" t="n">
        <v>8697.927</v>
      </c>
      <c r="T6" s="0" t="n">
        <v>1479.56</v>
      </c>
      <c r="U6" s="0" t="n">
        <v>129.477</v>
      </c>
      <c r="V6" s="0" t="n">
        <v>0</v>
      </c>
      <c r="AA6" s="0" t="s">
        <v>18</v>
      </c>
      <c r="AB6" s="0" t="s">
        <v>14</v>
      </c>
      <c r="AC6" s="0" t="n">
        <v>58.649</v>
      </c>
      <c r="AD6" s="0" t="n">
        <v>639.139</v>
      </c>
    </row>
    <row r="7" customFormat="false" ht="15" hidden="false" customHeight="false" outlineLevel="0" collapsed="false">
      <c r="A7" s="0" t="s">
        <v>71</v>
      </c>
      <c r="B7" s="0" t="n">
        <v>738.537</v>
      </c>
      <c r="C7" s="0" t="n">
        <v>128.435</v>
      </c>
      <c r="D7" s="0" t="n">
        <v>610.102</v>
      </c>
      <c r="E7" s="0" t="n">
        <v>82.61</v>
      </c>
      <c r="F7" s="0" t="n">
        <v>-609.137</v>
      </c>
      <c r="G7" s="0" t="n">
        <v>-82.479</v>
      </c>
      <c r="H7" s="0" t="n">
        <v>-516.516</v>
      </c>
      <c r="I7" s="0" t="n">
        <v>-631.263</v>
      </c>
      <c r="J7" s="0" t="n">
        <v>-85.475</v>
      </c>
      <c r="K7" s="0" t="n">
        <v>-0.37</v>
      </c>
      <c r="L7" s="0" t="n">
        <v>-671.34</v>
      </c>
      <c r="M7" s="0" t="n">
        <v>254.655</v>
      </c>
      <c r="N7" s="0" t="n">
        <v>-925.995</v>
      </c>
      <c r="O7" s="0" t="n">
        <v>7147.848</v>
      </c>
      <c r="P7" s="0" t="n">
        <v>9919.129</v>
      </c>
      <c r="Q7" s="0" t="n">
        <v>2738.424</v>
      </c>
      <c r="R7" s="0" t="n">
        <v>1282.431</v>
      </c>
      <c r="S7" s="0" t="n">
        <v>8224.596</v>
      </c>
      <c r="T7" s="0" t="n">
        <v>1687.47</v>
      </c>
      <c r="U7" s="0" t="n">
        <v>65.103</v>
      </c>
      <c r="V7" s="0" t="n">
        <v>0</v>
      </c>
      <c r="AA7" s="0" t="s">
        <v>18</v>
      </c>
      <c r="AB7" s="0" t="s">
        <v>14</v>
      </c>
      <c r="AC7" s="0" t="n">
        <v>66.955</v>
      </c>
      <c r="AD7" s="0" t="n">
        <v>751.176</v>
      </c>
    </row>
    <row r="8" customFormat="false" ht="15" hidden="false" customHeight="false" outlineLevel="0" collapsed="false">
      <c r="A8" s="0" t="s">
        <v>72</v>
      </c>
      <c r="B8" s="0" t="n">
        <v>1009.448</v>
      </c>
      <c r="C8" s="0" t="n">
        <v>138.441</v>
      </c>
      <c r="D8" s="0" t="n">
        <v>871.007</v>
      </c>
      <c r="E8" s="0" t="n">
        <v>86.285</v>
      </c>
      <c r="F8" s="0" t="n">
        <v>-418.805</v>
      </c>
      <c r="G8" s="0" t="n">
        <v>-41.489</v>
      </c>
      <c r="H8" s="0" t="n">
        <v>-312.545</v>
      </c>
      <c r="I8" s="0" t="n">
        <v>-440.633</v>
      </c>
      <c r="J8" s="0" t="n">
        <v>-43.651</v>
      </c>
      <c r="K8" s="0" t="n">
        <v>-0.26</v>
      </c>
      <c r="L8" s="0" t="n">
        <v>-365.551</v>
      </c>
      <c r="M8" s="0" t="n">
        <v>78.231</v>
      </c>
      <c r="N8" s="0" t="n">
        <v>-443.782</v>
      </c>
      <c r="O8" s="0" t="n">
        <v>6725.301</v>
      </c>
      <c r="P8" s="0" t="n">
        <v>9407.494</v>
      </c>
      <c r="Q8" s="0" t="n">
        <v>2661.559</v>
      </c>
      <c r="R8" s="0" t="n">
        <v>1212.497</v>
      </c>
      <c r="S8" s="0" t="n">
        <v>6222.626</v>
      </c>
      <c r="T8" s="0" t="n">
        <v>1690.85</v>
      </c>
      <c r="U8" s="0" t="n">
        <v>-10.792</v>
      </c>
      <c r="V8" s="0" t="n">
        <v>0</v>
      </c>
      <c r="AA8" s="0" t="s">
        <v>18</v>
      </c>
      <c r="AB8" s="0" t="s">
        <v>14</v>
      </c>
      <c r="AC8" s="0" t="n">
        <v>3.827</v>
      </c>
      <c r="AD8" s="0" t="n">
        <v>814.027</v>
      </c>
    </row>
    <row r="9" customFormat="false" ht="15" hidden="false" customHeight="false" outlineLevel="0" collapsed="false">
      <c r="A9" s="0" t="s">
        <v>73</v>
      </c>
      <c r="B9" s="0" t="n">
        <v>2374.906</v>
      </c>
      <c r="C9" s="0" t="n">
        <v>191.113</v>
      </c>
      <c r="D9" s="0" t="n">
        <v>2183.793</v>
      </c>
      <c r="E9" s="0" t="n">
        <v>91.953</v>
      </c>
      <c r="F9" s="0" t="n">
        <v>709.872</v>
      </c>
      <c r="G9" s="0" t="n">
        <v>29.891</v>
      </c>
      <c r="H9" s="0" t="n">
        <v>828.231</v>
      </c>
      <c r="I9" s="0" t="n">
        <v>642.467</v>
      </c>
      <c r="J9" s="0" t="n">
        <v>27.052</v>
      </c>
      <c r="K9" s="0" t="n">
        <v>0.38</v>
      </c>
      <c r="L9" s="0" t="n">
        <v>83.901</v>
      </c>
      <c r="M9" s="0" t="n">
        <v>70.135</v>
      </c>
      <c r="N9" s="0" t="n">
        <v>13.766</v>
      </c>
      <c r="O9" s="0" t="n">
        <v>7726.823</v>
      </c>
      <c r="P9" s="0" t="n">
        <v>10823.6</v>
      </c>
      <c r="Q9" s="0" t="n">
        <v>3074.428</v>
      </c>
      <c r="R9" s="0" t="n">
        <v>1242.861</v>
      </c>
      <c r="S9" s="0" t="n">
        <v>7051.433</v>
      </c>
      <c r="T9" s="0" t="n">
        <v>1712.34</v>
      </c>
      <c r="U9" s="0" t="n">
        <v>69.606</v>
      </c>
      <c r="V9" s="0" t="n">
        <v>0</v>
      </c>
      <c r="AA9" s="0" t="s">
        <v>18</v>
      </c>
      <c r="AB9" s="0" t="s">
        <v>14</v>
      </c>
      <c r="AC9" s="0" t="n">
        <v>932.537</v>
      </c>
      <c r="AD9" s="0" t="n">
        <v>951.619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11.77</v>
      </c>
    </row>
    <row r="3" customFormat="false" ht="15" hidden="false" customHeight="false" outlineLevel="0" collapsed="false">
      <c r="A3" s="0" t="s">
        <v>77</v>
      </c>
      <c r="B3" s="3" t="n">
        <v>1718.016</v>
      </c>
    </row>
    <row r="4" customFormat="false" ht="15" hidden="false" customHeight="false" outlineLevel="0" collapsed="false">
      <c r="A4" s="0" t="s">
        <v>78</v>
      </c>
      <c r="B4" s="3" t="n">
        <v>-5732.2</v>
      </c>
    </row>
    <row r="5" customFormat="false" ht="15" hidden="false" customHeight="false" outlineLevel="0" collapsed="false">
      <c r="A5" s="0" t="s">
        <v>79</v>
      </c>
      <c r="B5" s="3" t="n">
        <v>849.2</v>
      </c>
    </row>
    <row r="6" customFormat="false" ht="15" hidden="false" customHeight="false" outlineLevel="0" collapsed="false">
      <c r="A6" s="0" t="s">
        <v>80</v>
      </c>
      <c r="B6" s="3" t="n">
        <v>15</v>
      </c>
    </row>
    <row r="7" customFormat="false" ht="15" hidden="false" customHeight="false" outlineLevel="0" collapsed="false">
      <c r="A7" s="0" t="s">
        <v>81</v>
      </c>
      <c r="B7" s="3" t="n">
        <v>2374.906</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1.1744</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10</v>
      </c>
      <c r="D13" s="3" t="n">
        <v>-4</v>
      </c>
      <c r="E13" s="3" t="n">
        <v>10</v>
      </c>
      <c r="F13" s="3" t="n">
        <v>8</v>
      </c>
      <c r="G13" s="3" t="n">
        <v>7</v>
      </c>
      <c r="H13" s="3" t="n">
        <v>6</v>
      </c>
      <c r="I13" s="3" t="n">
        <v>5</v>
      </c>
      <c r="J13" s="3" t="n">
        <v>4</v>
      </c>
      <c r="K13" s="3" t="n">
        <v>3</v>
      </c>
      <c r="L13" s="3" t="n">
        <v>2</v>
      </c>
    </row>
    <row r="14" customFormat="false" ht="15" hidden="false" customHeight="false" outlineLevel="0" collapsed="false">
      <c r="A14" s="0" t="s">
        <v>98</v>
      </c>
      <c r="C14" s="3" t="n">
        <v>26</v>
      </c>
      <c r="D14" s="3" t="n">
        <v>13</v>
      </c>
      <c r="E14" s="3" t="n">
        <v>14</v>
      </c>
      <c r="F14" s="3" t="n">
        <v>16</v>
      </c>
      <c r="G14" s="3" t="n">
        <v>18</v>
      </c>
      <c r="H14" s="3" t="n">
        <v>20</v>
      </c>
      <c r="I14" s="3" t="n">
        <v>21</v>
      </c>
      <c r="J14" s="3" t="n">
        <v>22</v>
      </c>
      <c r="K14" s="3" t="n">
        <v>22</v>
      </c>
      <c r="L14" s="3" t="n">
        <v>22</v>
      </c>
    </row>
    <row r="15" customFormat="false" ht="15" hidden="false" customHeight="false" outlineLevel="0" collapsed="false">
      <c r="A15" s="0" t="s">
        <v>99</v>
      </c>
      <c r="C15" s="3" t="n">
        <v>4.5</v>
      </c>
      <c r="D15" s="3" t="n">
        <v>4.4</v>
      </c>
      <c r="E15" s="3" t="n">
        <v>4.2</v>
      </c>
      <c r="F15" s="3" t="n">
        <v>4</v>
      </c>
      <c r="G15" s="3" t="n">
        <v>3.8</v>
      </c>
      <c r="H15" s="3" t="n">
        <v>3.5</v>
      </c>
      <c r="I15" s="3" t="n">
        <v>3.2</v>
      </c>
      <c r="J15" s="3" t="n">
        <v>3</v>
      </c>
      <c r="K15" s="3" t="n">
        <v>2.8</v>
      </c>
      <c r="L15" s="3" t="n">
        <v>2.5</v>
      </c>
    </row>
    <row r="16" customFormat="false" ht="15" hidden="false" customHeight="false" outlineLevel="0" collapsed="false">
      <c r="A16" s="0" t="s">
        <v>100</v>
      </c>
      <c r="C16" s="3" t="n">
        <v>1.3</v>
      </c>
      <c r="D16" s="3" t="n">
        <v>1.3</v>
      </c>
      <c r="E16" s="3" t="n">
        <v>1.2</v>
      </c>
      <c r="F16" s="3" t="n">
        <v>1.1</v>
      </c>
      <c r="G16" s="3" t="n">
        <v>1</v>
      </c>
      <c r="H16" s="3" t="n">
        <v>1</v>
      </c>
      <c r="I16" s="3" t="n">
        <v>0.9</v>
      </c>
      <c r="J16" s="3" t="n">
        <v>0.9</v>
      </c>
      <c r="K16" s="3" t="n">
        <v>0.8</v>
      </c>
      <c r="L16" s="3" t="n">
        <v>0.8</v>
      </c>
    </row>
    <row r="17" customFormat="false" ht="15" hidden="false" customHeight="false" outlineLevel="0" collapsed="false">
      <c r="A17" s="0" t="s">
        <v>101</v>
      </c>
      <c r="C17" s="3" t="n">
        <v>3.7</v>
      </c>
      <c r="D17" s="3" t="n">
        <v>3.8</v>
      </c>
      <c r="E17" s="3" t="n">
        <v>3.8</v>
      </c>
      <c r="F17" s="3" t="n">
        <v>3.7</v>
      </c>
      <c r="G17" s="3" t="n">
        <v>3.6</v>
      </c>
      <c r="H17" s="3" t="n">
        <v>3.5</v>
      </c>
      <c r="I17" s="3" t="n">
        <v>3.5</v>
      </c>
      <c r="J17" s="3" t="n">
        <v>3.5</v>
      </c>
      <c r="K17" s="3" t="n">
        <v>3.5</v>
      </c>
      <c r="L17" s="3" t="n">
        <v>3.5</v>
      </c>
    </row>
    <row r="18" customFormat="false" ht="15" hidden="false" customHeight="false" outlineLevel="0" collapsed="false">
      <c r="A18" s="0" t="s">
        <v>102</v>
      </c>
      <c r="C18" s="3" t="n">
        <v>3.4</v>
      </c>
      <c r="D18" s="3" t="n">
        <v>3.4</v>
      </c>
      <c r="E18" s="3" t="n">
        <v>3.4</v>
      </c>
      <c r="F18" s="3" t="n">
        <v>3.4</v>
      </c>
      <c r="G18" s="3" t="n">
        <v>3.5</v>
      </c>
      <c r="H18" s="3" t="n">
        <v>3.5</v>
      </c>
      <c r="I18" s="3" t="n">
        <v>3.5</v>
      </c>
      <c r="J18" s="3" t="n">
        <v>3.5</v>
      </c>
      <c r="K18" s="3" t="n">
        <v>3.5</v>
      </c>
      <c r="L18" s="3" t="n">
        <v>3.5</v>
      </c>
    </row>
    <row r="19" customFormat="false" ht="15" hidden="false" customHeight="false" outlineLevel="0" collapsed="false">
      <c r="A19" s="0" t="s">
        <v>103</v>
      </c>
      <c r="C19" s="3" t="n">
        <v>0</v>
      </c>
      <c r="D19" s="3" t="n">
        <v>0</v>
      </c>
      <c r="E19" s="3" t="n">
        <v>3</v>
      </c>
      <c r="F19" s="3" t="n">
        <v>6</v>
      </c>
      <c r="G19" s="3" t="n">
        <v>9</v>
      </c>
      <c r="H19" s="3" t="n">
        <v>12</v>
      </c>
      <c r="I19" s="3" t="n">
        <v>15</v>
      </c>
      <c r="J19" s="3" t="n">
        <v>15</v>
      </c>
      <c r="K19" s="3" t="n">
        <v>15</v>
      </c>
      <c r="L19" s="3" t="n">
        <v>15</v>
      </c>
    </row>
    <row r="20" customFormat="false" ht="15" hidden="false" customHeight="false" outlineLevel="0" collapsed="false">
      <c r="A20" s="0" t="s">
        <v>104</v>
      </c>
      <c r="B20" s="3" t="n">
        <v>10</v>
      </c>
    </row>
    <row r="21" customFormat="false" ht="15" hidden="false" customHeight="false" outlineLevel="0" collapsed="false">
      <c r="A21" s="0" t="s">
        <v>105</v>
      </c>
      <c r="B21" s="3" t="n">
        <v>2</v>
      </c>
    </row>
    <row r="22" customFormat="false" ht="15" hidden="false" customHeight="false" outlineLevel="0" collapsed="false">
      <c r="A22" s="0" t="s">
        <v>106</v>
      </c>
      <c r="B22" s="3" t="n">
        <v>15</v>
      </c>
    </row>
    <row r="23" customFormat="false" ht="15" hidden="false" customHeight="false" outlineLevel="0" collapsed="false">
      <c r="A23" s="0" t="s">
        <v>107</v>
      </c>
      <c r="B23" s="3" t="n">
        <v>-20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13.5</v>
      </c>
      <c r="D27" s="3" t="n">
        <v>2</v>
      </c>
      <c r="E27" s="3" t="n">
        <v>20</v>
      </c>
      <c r="F27" s="3" t="n">
        <v>19</v>
      </c>
      <c r="G27" s="3" t="n">
        <v>16</v>
      </c>
      <c r="H27" s="3" t="n">
        <v>15</v>
      </c>
      <c r="I27" s="3" t="n">
        <v>13</v>
      </c>
      <c r="J27" s="3" t="n">
        <v>10</v>
      </c>
      <c r="K27" s="3" t="n">
        <v>7.5</v>
      </c>
      <c r="L27" s="3" t="n">
        <v>5</v>
      </c>
    </row>
    <row r="28" customFormat="false" ht="15" hidden="false" customHeight="false" outlineLevel="0" collapsed="false">
      <c r="A28" s="0" t="s">
        <v>98</v>
      </c>
      <c r="C28" s="3" t="n">
        <v>28</v>
      </c>
      <c r="D28" s="3" t="n">
        <v>21</v>
      </c>
      <c r="E28" s="3" t="n">
        <v>25</v>
      </c>
      <c r="F28" s="3" t="n">
        <v>29</v>
      </c>
      <c r="G28" s="3" t="n">
        <v>32</v>
      </c>
      <c r="H28" s="3" t="n">
        <v>34</v>
      </c>
      <c r="I28" s="3" t="n">
        <v>35</v>
      </c>
      <c r="J28" s="3" t="n">
        <v>36</v>
      </c>
      <c r="K28" s="3" t="n">
        <v>36</v>
      </c>
      <c r="L28" s="3" t="n">
        <v>36</v>
      </c>
    </row>
    <row r="29" customFormat="false" ht="15" hidden="false" customHeight="false" outlineLevel="0" collapsed="false">
      <c r="A29" s="0" t="s">
        <v>99</v>
      </c>
      <c r="C29" s="3" t="n">
        <v>4.5</v>
      </c>
      <c r="D29" s="3" t="n">
        <v>4.3</v>
      </c>
      <c r="E29" s="3" t="n">
        <v>4.1</v>
      </c>
      <c r="F29" s="3" t="n">
        <v>3.8</v>
      </c>
      <c r="G29" s="3" t="n">
        <v>3.5</v>
      </c>
      <c r="H29" s="3" t="n">
        <v>3.2</v>
      </c>
      <c r="I29" s="3" t="n">
        <v>3</v>
      </c>
      <c r="J29" s="3" t="n">
        <v>2.8</v>
      </c>
      <c r="K29" s="3" t="n">
        <v>2.6</v>
      </c>
      <c r="L29" s="3" t="n">
        <v>2.5</v>
      </c>
    </row>
    <row r="30" customFormat="false" ht="15" hidden="false" customHeight="false" outlineLevel="0" collapsed="false">
      <c r="A30" s="0" t="s">
        <v>100</v>
      </c>
      <c r="C30" s="3" t="n">
        <v>1.3</v>
      </c>
      <c r="D30" s="3" t="n">
        <v>1.2</v>
      </c>
      <c r="E30" s="3" t="n">
        <v>1</v>
      </c>
      <c r="F30" s="3" t="n">
        <v>0.9</v>
      </c>
      <c r="G30" s="3" t="n">
        <v>0.8</v>
      </c>
      <c r="H30" s="3" t="n">
        <v>0.7</v>
      </c>
      <c r="I30" s="3" t="n">
        <v>0.7</v>
      </c>
      <c r="J30" s="3" t="n">
        <v>0.6</v>
      </c>
      <c r="K30" s="3" t="n">
        <v>0.6</v>
      </c>
      <c r="L30" s="3" t="n">
        <v>0.6</v>
      </c>
    </row>
    <row r="31" customFormat="false" ht="15" hidden="false" customHeight="false" outlineLevel="0" collapsed="false">
      <c r="A31" s="0" t="s">
        <v>101</v>
      </c>
      <c r="C31" s="3" t="n">
        <v>3.7</v>
      </c>
      <c r="D31" s="3" t="n">
        <v>3.6</v>
      </c>
      <c r="E31" s="3" t="n">
        <v>3.5</v>
      </c>
      <c r="F31" s="3" t="n">
        <v>3.4</v>
      </c>
      <c r="G31" s="3" t="n">
        <v>3.3</v>
      </c>
      <c r="H31" s="3" t="n">
        <v>3.2</v>
      </c>
      <c r="I31" s="3" t="n">
        <v>3.1</v>
      </c>
      <c r="J31" s="3" t="n">
        <v>3</v>
      </c>
      <c r="K31" s="3" t="n">
        <v>3</v>
      </c>
      <c r="L31" s="3" t="n">
        <v>3</v>
      </c>
    </row>
    <row r="32" customFormat="false" ht="15" hidden="false" customHeight="false" outlineLevel="0" collapsed="false">
      <c r="A32" s="0" t="s">
        <v>102</v>
      </c>
      <c r="C32" s="3" t="n">
        <v>3.4</v>
      </c>
      <c r="D32" s="3" t="n">
        <v>3.4</v>
      </c>
      <c r="E32" s="3" t="n">
        <v>3.3</v>
      </c>
      <c r="F32" s="3" t="n">
        <v>3.3</v>
      </c>
      <c r="G32" s="3" t="n">
        <v>3.2</v>
      </c>
      <c r="H32" s="3" t="n">
        <v>3.2</v>
      </c>
      <c r="I32" s="3" t="n">
        <v>3.1</v>
      </c>
      <c r="J32" s="3" t="n">
        <v>3</v>
      </c>
      <c r="K32" s="3" t="n">
        <v>3</v>
      </c>
      <c r="L32" s="3" t="n">
        <v>3</v>
      </c>
    </row>
    <row r="33" customFormat="false" ht="15" hidden="false" customHeight="false" outlineLevel="0" collapsed="false">
      <c r="A33" s="0" t="s">
        <v>103</v>
      </c>
      <c r="C33" s="3" t="n">
        <v>0</v>
      </c>
      <c r="D33" s="3" t="n">
        <v>0</v>
      </c>
      <c r="E33" s="3" t="n">
        <v>2</v>
      </c>
      <c r="F33" s="3" t="n">
        <v>4</v>
      </c>
      <c r="G33" s="3" t="n">
        <v>6</v>
      </c>
      <c r="H33" s="3" t="n">
        <v>8</v>
      </c>
      <c r="I33" s="3" t="n">
        <v>10</v>
      </c>
      <c r="J33" s="3" t="n">
        <v>12</v>
      </c>
      <c r="K33" s="3" t="n">
        <v>12</v>
      </c>
      <c r="L33" s="3" t="n">
        <v>12</v>
      </c>
    </row>
    <row r="34" customFormat="false" ht="15" hidden="false" customHeight="false" outlineLevel="0" collapsed="false">
      <c r="A34" s="0" t="s">
        <v>104</v>
      </c>
      <c r="B34" s="3" t="n">
        <v>10</v>
      </c>
    </row>
    <row r="35" customFormat="false" ht="15" hidden="false" customHeight="false" outlineLevel="0" collapsed="false">
      <c r="A35" s="0" t="s">
        <v>105</v>
      </c>
      <c r="B35" s="3" t="n">
        <v>3</v>
      </c>
    </row>
    <row r="36" customFormat="false" ht="15" hidden="false" customHeight="false" outlineLevel="0" collapsed="false">
      <c r="A36" s="0" t="s">
        <v>106</v>
      </c>
      <c r="B36" s="3" t="n">
        <v>20</v>
      </c>
    </row>
    <row r="37" customFormat="false" ht="15" hidden="false" customHeight="false" outlineLevel="0" collapsed="false">
      <c r="A37" s="0" t="s">
        <v>107</v>
      </c>
      <c r="B37" s="3" t="n">
        <v>-20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16</v>
      </c>
      <c r="D41" s="3" t="n">
        <v>6</v>
      </c>
      <c r="E41" s="3" t="n">
        <v>24</v>
      </c>
      <c r="F41" s="3" t="n">
        <v>23</v>
      </c>
      <c r="G41" s="3" t="n">
        <v>21</v>
      </c>
      <c r="H41" s="3" t="n">
        <v>19</v>
      </c>
      <c r="I41" s="3" t="n">
        <v>16</v>
      </c>
      <c r="J41" s="3" t="n">
        <v>13</v>
      </c>
      <c r="K41" s="3" t="n">
        <v>10</v>
      </c>
      <c r="L41" s="3" t="n">
        <v>6</v>
      </c>
    </row>
    <row r="42" customFormat="false" ht="15" hidden="false" customHeight="false" outlineLevel="0" collapsed="false">
      <c r="A42" s="0" t="s">
        <v>98</v>
      </c>
      <c r="C42" s="3" t="n">
        <v>30</v>
      </c>
      <c r="D42" s="3" t="n">
        <v>23</v>
      </c>
      <c r="E42" s="3" t="n">
        <v>28</v>
      </c>
      <c r="F42" s="3" t="n">
        <v>32</v>
      </c>
      <c r="G42" s="3" t="n">
        <v>36</v>
      </c>
      <c r="H42" s="3" t="n">
        <v>38</v>
      </c>
      <c r="I42" s="3" t="n">
        <v>40</v>
      </c>
      <c r="J42" s="3" t="n">
        <v>41</v>
      </c>
      <c r="K42" s="3" t="n">
        <v>42</v>
      </c>
      <c r="L42" s="3" t="n">
        <v>42</v>
      </c>
    </row>
    <row r="43" customFormat="false" ht="15" hidden="false" customHeight="false" outlineLevel="0" collapsed="false">
      <c r="A43" s="0" t="s">
        <v>99</v>
      </c>
      <c r="C43" s="3" t="n">
        <v>4.5</v>
      </c>
      <c r="D43" s="3" t="n">
        <v>4.3</v>
      </c>
      <c r="E43" s="3" t="n">
        <v>4.1</v>
      </c>
      <c r="F43" s="3" t="n">
        <v>3.8</v>
      </c>
      <c r="G43" s="3" t="n">
        <v>3.5</v>
      </c>
      <c r="H43" s="3" t="n">
        <v>3.2</v>
      </c>
      <c r="I43" s="3" t="n">
        <v>3</v>
      </c>
      <c r="J43" s="3" t="n">
        <v>2.8</v>
      </c>
      <c r="K43" s="3" t="n">
        <v>2.6</v>
      </c>
      <c r="L43" s="3" t="n">
        <v>2.5</v>
      </c>
    </row>
    <row r="44" customFormat="false" ht="15" hidden="false" customHeight="false" outlineLevel="0" collapsed="false">
      <c r="A44" s="0" t="s">
        <v>100</v>
      </c>
      <c r="C44" s="3" t="n">
        <v>1.3</v>
      </c>
      <c r="D44" s="3" t="n">
        <v>1.2</v>
      </c>
      <c r="E44" s="3" t="n">
        <v>1</v>
      </c>
      <c r="F44" s="3" t="n">
        <v>0.9</v>
      </c>
      <c r="G44" s="3" t="n">
        <v>0.8</v>
      </c>
      <c r="H44" s="3" t="n">
        <v>0.7</v>
      </c>
      <c r="I44" s="3" t="n">
        <v>0.6</v>
      </c>
      <c r="J44" s="3" t="n">
        <v>0.6</v>
      </c>
      <c r="K44" s="3" t="n">
        <v>0.5</v>
      </c>
      <c r="L44" s="3" t="n">
        <v>0.5</v>
      </c>
    </row>
    <row r="45" customFormat="false" ht="15" hidden="false" customHeight="false" outlineLevel="0" collapsed="false">
      <c r="A45" s="0" t="s">
        <v>101</v>
      </c>
      <c r="C45" s="3" t="n">
        <v>3.7</v>
      </c>
      <c r="D45" s="3" t="n">
        <v>3.6</v>
      </c>
      <c r="E45" s="3" t="n">
        <v>3.5</v>
      </c>
      <c r="F45" s="3" t="n">
        <v>3.4</v>
      </c>
      <c r="G45" s="3" t="n">
        <v>3.3</v>
      </c>
      <c r="H45" s="3" t="n">
        <v>3.2</v>
      </c>
      <c r="I45" s="3" t="n">
        <v>3.1</v>
      </c>
      <c r="J45" s="3" t="n">
        <v>3</v>
      </c>
      <c r="K45" s="3" t="n">
        <v>3</v>
      </c>
      <c r="L45" s="3" t="n">
        <v>3</v>
      </c>
    </row>
    <row r="46" customFormat="false" ht="15" hidden="false" customHeight="false" outlineLevel="0" collapsed="false">
      <c r="A46" s="0" t="s">
        <v>102</v>
      </c>
      <c r="C46" s="3" t="n">
        <v>3.4</v>
      </c>
      <c r="D46" s="3" t="n">
        <v>3.4</v>
      </c>
      <c r="E46" s="3" t="n">
        <v>3.3</v>
      </c>
      <c r="F46" s="3" t="n">
        <v>3.3</v>
      </c>
      <c r="G46" s="3" t="n">
        <v>3.2</v>
      </c>
      <c r="H46" s="3" t="n">
        <v>3.2</v>
      </c>
      <c r="I46" s="3" t="n">
        <v>3.1</v>
      </c>
      <c r="J46" s="3" t="n">
        <v>3</v>
      </c>
      <c r="K46" s="3" t="n">
        <v>3</v>
      </c>
      <c r="L46" s="3" t="n">
        <v>3</v>
      </c>
    </row>
    <row r="47" customFormat="false" ht="15" hidden="false" customHeight="false" outlineLevel="0" collapsed="false">
      <c r="A47" s="0" t="s">
        <v>103</v>
      </c>
      <c r="C47" s="3" t="n">
        <v>0</v>
      </c>
      <c r="D47" s="3" t="n">
        <v>0</v>
      </c>
      <c r="E47" s="3" t="n">
        <v>2</v>
      </c>
      <c r="F47" s="3" t="n">
        <v>5</v>
      </c>
      <c r="G47" s="3" t="n">
        <v>8</v>
      </c>
      <c r="H47" s="3" t="n">
        <v>10</v>
      </c>
      <c r="I47" s="3" t="n">
        <v>12</v>
      </c>
      <c r="J47" s="3" t="n">
        <v>12</v>
      </c>
      <c r="K47" s="3" t="n">
        <v>12</v>
      </c>
      <c r="L47" s="3" t="n">
        <v>12</v>
      </c>
    </row>
    <row r="48" customFormat="false" ht="15" hidden="false" customHeight="false" outlineLevel="0" collapsed="false">
      <c r="A48" s="0" t="s">
        <v>104</v>
      </c>
      <c r="B48" s="3" t="n">
        <v>10</v>
      </c>
    </row>
    <row r="49" customFormat="false" ht="15" hidden="false" customHeight="false" outlineLevel="0" collapsed="false">
      <c r="A49" s="0" t="s">
        <v>105</v>
      </c>
      <c r="B49" s="3" t="n">
        <v>3.5</v>
      </c>
    </row>
    <row r="50" customFormat="false" ht="15" hidden="false" customHeight="false" outlineLevel="0" collapsed="false">
      <c r="A50" s="0" t="s">
        <v>106</v>
      </c>
      <c r="B50" s="3" t="n">
        <v>20</v>
      </c>
    </row>
    <row r="51" customFormat="false" ht="15" hidden="false" customHeight="false" outlineLevel="0" collapsed="false">
      <c r="A51" s="0" t="s">
        <v>107</v>
      </c>
      <c r="B51" s="3" t="n">
        <v>-20</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10</v>
      </c>
      <c r="D5" s="4" t="n">
        <f aca="false">Assumptions!D13</f>
        <v>-4</v>
      </c>
      <c r="E5" s="4" t="n">
        <f aca="false">Assumptions!E13</f>
        <v>10</v>
      </c>
      <c r="F5" s="4" t="n">
        <f aca="false">Assumptions!F13</f>
        <v>8</v>
      </c>
      <c r="G5" s="4" t="n">
        <f aca="false">Assumptions!G13</f>
        <v>7</v>
      </c>
      <c r="H5" s="4" t="n">
        <f aca="false">Assumptions!H13</f>
        <v>6</v>
      </c>
      <c r="I5" s="4" t="n">
        <f aca="false">Assumptions!I13</f>
        <v>5</v>
      </c>
      <c r="J5" s="4" t="n">
        <f aca="false">Assumptions!J13</f>
        <v>4</v>
      </c>
      <c r="K5" s="4" t="n">
        <f aca="false">Assumptions!K13</f>
        <v>3</v>
      </c>
      <c r="L5" s="4" t="n">
        <f aca="false">Assumptions!L13</f>
        <v>2</v>
      </c>
    </row>
    <row r="6" customFormat="false" ht="15" hidden="false" customHeight="false" outlineLevel="0" collapsed="false">
      <c r="A6" s="0" t="s">
        <v>38</v>
      </c>
      <c r="B6" s="3" t="n">
        <v>2374.906</v>
      </c>
      <c r="C6" s="0" t="n">
        <f aca="false">B6*(1+C5/100)</f>
        <v>2612.3966</v>
      </c>
      <c r="D6" s="0" t="n">
        <f aca="false">C6*(1+D5/100)</f>
        <v>2507.900736</v>
      </c>
      <c r="E6" s="0" t="n">
        <f aca="false">D6*(1+E5/100)</f>
        <v>2758.6908096</v>
      </c>
      <c r="F6" s="0" t="n">
        <f aca="false">E6*(1+F5/100)</f>
        <v>2979.386074368</v>
      </c>
      <c r="G6" s="0" t="n">
        <f aca="false">F6*(1+G5/100)</f>
        <v>3187.94309957376</v>
      </c>
      <c r="H6" s="0" t="n">
        <f aca="false">G6*(1+H5/100)</f>
        <v>3379.21968554819</v>
      </c>
      <c r="I6" s="0" t="n">
        <f aca="false">H6*(1+I5/100)</f>
        <v>3548.1806698256</v>
      </c>
      <c r="J6" s="0" t="n">
        <f aca="false">I6*(1+J5/100)</f>
        <v>3690.10789661862</v>
      </c>
      <c r="K6" s="0" t="n">
        <f aca="false">J6*(1+K5/100)</f>
        <v>3800.81113351718</v>
      </c>
      <c r="L6" s="0" t="n">
        <f aca="false">K6*(1+L5/100)</f>
        <v>3876.82735618752</v>
      </c>
    </row>
    <row r="7" customFormat="false" ht="15" hidden="false" customHeight="false" outlineLevel="0" collapsed="false">
      <c r="A7" s="0" t="s">
        <v>98</v>
      </c>
      <c r="C7" s="4" t="n">
        <f aca="false">Assumptions!C14</f>
        <v>26</v>
      </c>
      <c r="D7" s="4" t="n">
        <f aca="false">Assumptions!D14</f>
        <v>13</v>
      </c>
      <c r="E7" s="4" t="n">
        <f aca="false">Assumptions!E14</f>
        <v>14</v>
      </c>
      <c r="F7" s="4" t="n">
        <f aca="false">Assumptions!F14</f>
        <v>16</v>
      </c>
      <c r="G7" s="4" t="n">
        <f aca="false">Assumptions!G14</f>
        <v>18</v>
      </c>
      <c r="H7" s="4" t="n">
        <f aca="false">Assumptions!H14</f>
        <v>20</v>
      </c>
      <c r="I7" s="4" t="n">
        <f aca="false">Assumptions!I14</f>
        <v>21</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679.223116</v>
      </c>
      <c r="D8" s="0" t="n">
        <f aca="false">D6*D7/100</f>
        <v>326.02709568</v>
      </c>
      <c r="E8" s="0" t="n">
        <f aca="false">E6*E7/100</f>
        <v>386.216713344</v>
      </c>
      <c r="F8" s="0" t="n">
        <f aca="false">F6*F7/100</f>
        <v>476.70177189888</v>
      </c>
      <c r="G8" s="0" t="n">
        <f aca="false">G6*G7/100</f>
        <v>573.829757923277</v>
      </c>
      <c r="H8" s="0" t="n">
        <f aca="false">H6*H7/100</f>
        <v>675.843937109637</v>
      </c>
      <c r="I8" s="0" t="n">
        <f aca="false">I6*I7/100</f>
        <v>745.117940663375</v>
      </c>
      <c r="J8" s="0" t="n">
        <f aca="false">J6*J7/100</f>
        <v>811.823737256096</v>
      </c>
      <c r="K8" s="0" t="n">
        <f aca="false">K6*K7/100</f>
        <v>836.178449373779</v>
      </c>
      <c r="L8" s="0" t="n">
        <f aca="false">L6*L7/100</f>
        <v>852.902018361255</v>
      </c>
    </row>
    <row r="9" customFormat="false" ht="15" hidden="false" customHeight="false" outlineLevel="0" collapsed="false">
      <c r="A9" s="0" t="s">
        <v>99</v>
      </c>
      <c r="C9" s="4" t="n">
        <f aca="false">Assumptions!C15</f>
        <v>4.5</v>
      </c>
      <c r="D9" s="4" t="n">
        <f aca="false">Assumptions!D15</f>
        <v>4.4</v>
      </c>
      <c r="E9" s="4" t="n">
        <f aca="false">Assumptions!E15</f>
        <v>4.2</v>
      </c>
      <c r="F9" s="4" t="n">
        <f aca="false">Assumptions!F15</f>
        <v>4</v>
      </c>
      <c r="G9" s="4" t="n">
        <f aca="false">Assumptions!G15</f>
        <v>3.8</v>
      </c>
      <c r="H9" s="4" t="n">
        <f aca="false">Assumptions!H15</f>
        <v>3.5</v>
      </c>
      <c r="I9" s="4" t="n">
        <f aca="false">Assumptions!I15</f>
        <v>3.2</v>
      </c>
      <c r="J9" s="4" t="n">
        <f aca="false">Assumptions!J15</f>
        <v>3</v>
      </c>
      <c r="K9" s="4" t="n">
        <f aca="false">Assumptions!K15</f>
        <v>2.8</v>
      </c>
      <c r="L9" s="4" t="n">
        <f aca="false">Assumptions!L15</f>
        <v>2.5</v>
      </c>
    </row>
    <row r="10" customFormat="false" ht="15" hidden="false" customHeight="false" outlineLevel="0" collapsed="false">
      <c r="A10" s="0" t="s">
        <v>114</v>
      </c>
      <c r="C10" s="0" t="n">
        <f aca="false">-C6*C9/100</f>
        <v>-117.557847</v>
      </c>
      <c r="D10" s="0" t="n">
        <f aca="false">-D6*D9/100</f>
        <v>-110.347632384</v>
      </c>
      <c r="E10" s="0" t="n">
        <f aca="false">-E6*E9/100</f>
        <v>-115.8650140032</v>
      </c>
      <c r="F10" s="0" t="n">
        <f aca="false">-F6*F9/100</f>
        <v>-119.17544297472</v>
      </c>
      <c r="G10" s="0" t="n">
        <f aca="false">-G6*G9/100</f>
        <v>-121.141837783803</v>
      </c>
      <c r="H10" s="0" t="n">
        <f aca="false">-H6*H9/100</f>
        <v>-118.272688994187</v>
      </c>
      <c r="I10" s="0" t="n">
        <f aca="false">-I6*I9/100</f>
        <v>-113.541781434419</v>
      </c>
      <c r="J10" s="0" t="n">
        <f aca="false">-J6*J9/100</f>
        <v>-110.703236898559</v>
      </c>
      <c r="K10" s="0" t="n">
        <f aca="false">-K6*K9/100</f>
        <v>-106.422711738481</v>
      </c>
      <c r="L10" s="0" t="n">
        <f aca="false">-L6*L9/100</f>
        <v>-96.9206839046881</v>
      </c>
    </row>
    <row r="11" customFormat="false" ht="15" hidden="false" customHeight="false" outlineLevel="0" collapsed="false">
      <c r="A11" s="0" t="s">
        <v>115</v>
      </c>
      <c r="C11" s="0" t="n">
        <f aca="false">C8+C10+C24</f>
        <v>527.7041132</v>
      </c>
      <c r="D11" s="0" t="n">
        <f aca="false">D8+D10+D24</f>
        <v>183.076753728</v>
      </c>
      <c r="E11" s="0" t="n">
        <f aca="false">E8+E10+E24</f>
        <v>237.2474096256</v>
      </c>
      <c r="F11" s="0" t="n">
        <f aca="false">F8+F10+F24</f>
        <v>324.753082106112</v>
      </c>
      <c r="G11" s="0" t="n">
        <f aca="false">G8+G10+G24</f>
        <v>420.808489143736</v>
      </c>
      <c r="H11" s="0" t="n">
        <f aca="false">H8+H10+H24</f>
        <v>523.779051259969</v>
      </c>
      <c r="I11" s="0" t="n">
        <f aca="false">I8+I10+I24</f>
        <v>599.642533200526</v>
      </c>
      <c r="J11" s="0" t="n">
        <f aca="false">J8+J10+J24</f>
        <v>667.90952928797</v>
      </c>
      <c r="K11" s="0" t="n">
        <f aca="false">K8+K10+K24</f>
        <v>699.349248567161</v>
      </c>
      <c r="L11" s="0" t="n">
        <f aca="false">L8+L10+L24</f>
        <v>724.966715607067</v>
      </c>
    </row>
    <row r="12" customFormat="false" ht="15" hidden="false" customHeight="false" outlineLevel="0" collapsed="false">
      <c r="A12" s="0" t="s">
        <v>116</v>
      </c>
      <c r="C12" s="4" t="n">
        <f aca="false">-C6*Assumptions!C17/100</f>
        <v>-96.6586742</v>
      </c>
      <c r="D12" s="4" t="n">
        <f aca="false">-D6*Assumptions!D17/100</f>
        <v>-95.300227968</v>
      </c>
      <c r="E12" s="4" t="n">
        <f aca="false">-E6*Assumptions!E17/100</f>
        <v>-104.8302507648</v>
      </c>
      <c r="F12" s="4" t="n">
        <f aca="false">-F6*Assumptions!F17/100</f>
        <v>-110.237284751616</v>
      </c>
      <c r="G12" s="4" t="n">
        <f aca="false">-G6*Assumptions!G17/100</f>
        <v>-114.765951584655</v>
      </c>
      <c r="H12" s="4" t="n">
        <f aca="false">-H6*Assumptions!H17/100</f>
        <v>-118.272688994187</v>
      </c>
      <c r="I12" s="4" t="n">
        <f aca="false">-I6*Assumptions!I17/100</f>
        <v>-124.186323443896</v>
      </c>
      <c r="J12" s="4" t="n">
        <f aca="false">-J6*Assumptions!J17/100</f>
        <v>-129.153776381652</v>
      </c>
      <c r="K12" s="4" t="n">
        <f aca="false">-K6*Assumptions!K17/100</f>
        <v>-133.028389673101</v>
      </c>
      <c r="L12" s="4" t="n">
        <f aca="false">-L6*Assumptions!L17/100</f>
        <v>-135.688957466563</v>
      </c>
    </row>
    <row r="13" customFormat="false" ht="15" hidden="false" customHeight="false" outlineLevel="0" collapsed="false">
      <c r="A13" s="0" t="s">
        <v>117</v>
      </c>
      <c r="C13" s="0" t="n">
        <f aca="false">C11+C12</f>
        <v>431.045439</v>
      </c>
      <c r="D13" s="0" t="n">
        <f aca="false">D11+D12</f>
        <v>87.77652576</v>
      </c>
      <c r="E13" s="0" t="n">
        <f aca="false">E11+E12</f>
        <v>132.4171588608</v>
      </c>
      <c r="F13" s="0" t="n">
        <f aca="false">F11+F12</f>
        <v>214.515797354496</v>
      </c>
      <c r="G13" s="0" t="n">
        <f aca="false">G11+G12</f>
        <v>306.042537559081</v>
      </c>
      <c r="H13" s="0" t="n">
        <f aca="false">H11+H12</f>
        <v>405.506362265782</v>
      </c>
      <c r="I13" s="0" t="n">
        <f aca="false">I11+I12</f>
        <v>475.45620975663</v>
      </c>
      <c r="J13" s="0" t="n">
        <f aca="false">J11+J12</f>
        <v>538.755752906319</v>
      </c>
      <c r="K13" s="0" t="n">
        <f aca="false">K11+K12</f>
        <v>566.32085889406</v>
      </c>
      <c r="L13" s="0" t="n">
        <f aca="false">L11+L12</f>
        <v>589.277758140504</v>
      </c>
    </row>
    <row r="14" customFormat="false" ht="15" hidden="false" customHeight="false" outlineLevel="0" collapsed="false">
      <c r="A14" s="0" t="s">
        <v>103</v>
      </c>
      <c r="C14" s="4" t="n">
        <f aca="false">Assumptions!C19</f>
        <v>0</v>
      </c>
      <c r="D14" s="4" t="n">
        <f aca="false">Assumptions!D19</f>
        <v>0</v>
      </c>
      <c r="E14" s="4" t="n">
        <f aca="false">Assumptions!E19</f>
        <v>3</v>
      </c>
      <c r="F14" s="4" t="n">
        <f aca="false">Assumptions!F19</f>
        <v>6</v>
      </c>
      <c r="G14" s="4" t="n">
        <f aca="false">Assumptions!G19</f>
        <v>9</v>
      </c>
      <c r="H14" s="4" t="n">
        <f aca="false">Assumptions!H19</f>
        <v>12</v>
      </c>
      <c r="I14" s="4" t="n">
        <f aca="false">Assumptions!I19</f>
        <v>15</v>
      </c>
      <c r="J14" s="4" t="n">
        <f aca="false">Assumptions!J19</f>
        <v>15</v>
      </c>
      <c r="K14" s="4" t="n">
        <f aca="false">Assumptions!K19</f>
        <v>15</v>
      </c>
      <c r="L14" s="4" t="n">
        <f aca="false">Assumptions!L19</f>
        <v>15</v>
      </c>
    </row>
    <row r="15" customFormat="false" ht="15" hidden="false" customHeight="false" outlineLevel="0" collapsed="false">
      <c r="A15" s="0" t="s">
        <v>118</v>
      </c>
      <c r="C15" s="0" t="n">
        <f aca="false">C13-MAX(0,C13)*C14/100</f>
        <v>431.045439</v>
      </c>
      <c r="D15" s="0" t="n">
        <f aca="false">D13-MAX(0,D13)*D14/100</f>
        <v>87.77652576</v>
      </c>
      <c r="E15" s="0" t="n">
        <f aca="false">E13-MAX(0,E13)*E14/100</f>
        <v>128.444644094976</v>
      </c>
      <c r="F15" s="0" t="n">
        <f aca="false">F13-MAX(0,F13)*F14/100</f>
        <v>201.644849513226</v>
      </c>
      <c r="G15" s="0" t="n">
        <f aca="false">G13-MAX(0,G13)*G14/100</f>
        <v>278.498709178764</v>
      </c>
      <c r="H15" s="0" t="n">
        <f aca="false">H13-MAX(0,H13)*H14/100</f>
        <v>356.845598793888</v>
      </c>
      <c r="I15" s="0" t="n">
        <f aca="false">I13-MAX(0,I13)*I14/100</f>
        <v>404.137778293135</v>
      </c>
      <c r="J15" s="0" t="n">
        <f aca="false">J13-MAX(0,J13)*J14/100</f>
        <v>457.942389970371</v>
      </c>
      <c r="K15" s="0" t="n">
        <f aca="false">K13-MAX(0,K13)*K14/100</f>
        <v>481.372730059951</v>
      </c>
      <c r="L15" s="0" t="n">
        <f aca="false">L13-MAX(0,L13)*L14/100</f>
        <v>500.886094419428</v>
      </c>
    </row>
    <row r="16" customFormat="false" ht="15" hidden="false" customHeight="false" outlineLevel="0" collapsed="false">
      <c r="A16" s="0" t="s">
        <v>119</v>
      </c>
      <c r="C16" s="0" t="n">
        <f aca="false">-C12</f>
        <v>96.6586742</v>
      </c>
      <c r="D16" s="0" t="n">
        <f aca="false">-D12</f>
        <v>95.300227968</v>
      </c>
      <c r="E16" s="0" t="n">
        <f aca="false">-E12</f>
        <v>104.8302507648</v>
      </c>
      <c r="F16" s="0" t="n">
        <f aca="false">-F12</f>
        <v>110.237284751616</v>
      </c>
      <c r="G16" s="0" t="n">
        <f aca="false">-G12</f>
        <v>114.765951584655</v>
      </c>
      <c r="H16" s="0" t="n">
        <f aca="false">-H12</f>
        <v>118.272688994187</v>
      </c>
      <c r="I16" s="0" t="n">
        <f aca="false">-I12</f>
        <v>124.186323443896</v>
      </c>
      <c r="J16" s="0" t="n">
        <f aca="false">-J12</f>
        <v>129.153776381652</v>
      </c>
      <c r="K16" s="0" t="n">
        <f aca="false">-K12</f>
        <v>133.028389673101</v>
      </c>
      <c r="L16" s="0" t="n">
        <f aca="false">-L12</f>
        <v>135.688957466563</v>
      </c>
    </row>
    <row r="17" customFormat="false" ht="15" hidden="false" customHeight="false" outlineLevel="0" collapsed="false">
      <c r="A17" s="0" t="s">
        <v>120</v>
      </c>
      <c r="C17" s="4" t="n">
        <f aca="false">-C6*Assumptions!C18/100</f>
        <v>-88.8214844</v>
      </c>
      <c r="D17" s="4" t="n">
        <f aca="false">-D6*Assumptions!D18/100</f>
        <v>-85.268625024</v>
      </c>
      <c r="E17" s="4" t="n">
        <f aca="false">-E6*Assumptions!E18/100</f>
        <v>-93.7954875264</v>
      </c>
      <c r="F17" s="4" t="n">
        <f aca="false">-F6*Assumptions!F18/100</f>
        <v>-101.299126528512</v>
      </c>
      <c r="G17" s="4" t="n">
        <f aca="false">-G6*Assumptions!G18/100</f>
        <v>-111.578008485082</v>
      </c>
      <c r="H17" s="4" t="n">
        <f aca="false">-H6*Assumptions!H18/100</f>
        <v>-118.272688994187</v>
      </c>
      <c r="I17" s="4" t="n">
        <f aca="false">-I6*Assumptions!I18/100</f>
        <v>-124.186323443896</v>
      </c>
      <c r="J17" s="4" t="n">
        <f aca="false">-J6*Assumptions!J18/100</f>
        <v>-129.153776381652</v>
      </c>
      <c r="K17" s="4" t="n">
        <f aca="false">-K6*Assumptions!K18/100</f>
        <v>-133.028389673101</v>
      </c>
      <c r="L17" s="4" t="n">
        <f aca="false">-L6*Assumptions!L18/100</f>
        <v>-135.688957466563</v>
      </c>
    </row>
    <row r="18" customFormat="false" ht="15" hidden="false" customHeight="false" outlineLevel="0" collapsed="false">
      <c r="A18" s="0" t="s">
        <v>121</v>
      </c>
      <c r="C18" s="4" t="n">
        <f aca="false">(C6-B6)*Assumptions!$B$23/100</f>
        <v>-47.49812</v>
      </c>
      <c r="D18" s="4" t="n">
        <f aca="false">(D6-C6)*Assumptions!$B$23/100</f>
        <v>20.8991728</v>
      </c>
      <c r="E18" s="4" t="n">
        <f aca="false">(E6-D6)*Assumptions!$B$23/100</f>
        <v>-50.15801472</v>
      </c>
      <c r="F18" s="4" t="n">
        <f aca="false">(F6-E6)*Assumptions!$B$23/100</f>
        <v>-44.1390529536</v>
      </c>
      <c r="G18" s="4" t="n">
        <f aca="false">(G6-F6)*Assumptions!$B$23/100</f>
        <v>-41.711405041152</v>
      </c>
      <c r="H18" s="4" t="n">
        <f aca="false">(H6-G6)*Assumptions!$B$23/100</f>
        <v>-38.2553171948852</v>
      </c>
      <c r="I18" s="4" t="n">
        <f aca="false">(I6-H6)*Assumptions!$B$23/100</f>
        <v>-33.7921968554819</v>
      </c>
      <c r="J18" s="4" t="n">
        <f aca="false">(J6-I6)*Assumptions!$B$23/100</f>
        <v>-28.3854453586048</v>
      </c>
      <c r="K18" s="4" t="n">
        <f aca="false">(K6-J6)*Assumptions!$B$23/100</f>
        <v>-22.1406473797118</v>
      </c>
      <c r="L18" s="4" t="n">
        <f aca="false">(L6-K6)*Assumptions!$B$23/100</f>
        <v>-15.2032445340687</v>
      </c>
    </row>
    <row r="19" customFormat="false" ht="15" hidden="false" customHeight="false" outlineLevel="0" collapsed="false">
      <c r="A19" s="0" t="s">
        <v>122</v>
      </c>
      <c r="C19" s="0" t="n">
        <f aca="false">C15+C16+C17+C18</f>
        <v>391.3845088</v>
      </c>
      <c r="D19" s="0" t="n">
        <f aca="false">D15+D16+D17+D18</f>
        <v>118.707301504</v>
      </c>
      <c r="E19" s="0" t="n">
        <f aca="false">E15+E16+E17+E18</f>
        <v>89.321392613376</v>
      </c>
      <c r="F19" s="0" t="n">
        <f aca="false">F15+F16+F17+F18</f>
        <v>166.44395478273</v>
      </c>
      <c r="G19" s="0" t="n">
        <f aca="false">G15+G16+G17+G18</f>
        <v>239.975247237185</v>
      </c>
      <c r="H19" s="0" t="n">
        <f aca="false">H15+H16+H17+H18</f>
        <v>318.590281599003</v>
      </c>
      <c r="I19" s="0" t="n">
        <f aca="false">I15+I16+I17+I18</f>
        <v>370.345581437654</v>
      </c>
      <c r="J19" s="0" t="n">
        <f aca="false">J15+J16+J17+J18</f>
        <v>429.556944611766</v>
      </c>
      <c r="K19" s="0" t="n">
        <f aca="false">K15+K16+K17+K18</f>
        <v>459.232082680239</v>
      </c>
      <c r="L19" s="0" t="n">
        <f aca="false">L15+L16+L17+L18</f>
        <v>485.682849885359</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355.804098909091</v>
      </c>
      <c r="D21" s="0" t="n">
        <f aca="false">D19*D20</f>
        <v>98.1052078545455</v>
      </c>
      <c r="E21" s="0" t="n">
        <f aca="false">E19*E20</f>
        <v>67.1084843075702</v>
      </c>
      <c r="F21" s="0" t="n">
        <f aca="false">F19*F20</f>
        <v>113.68346068078</v>
      </c>
      <c r="G21" s="0" t="n">
        <f aca="false">G19*G20</f>
        <v>149.005748015961</v>
      </c>
      <c r="H21" s="0" t="n">
        <f aca="false">H19*H20</f>
        <v>179.835908331129</v>
      </c>
      <c r="I21" s="0" t="n">
        <f aca="false">I19*I20</f>
        <v>190.045841665603</v>
      </c>
      <c r="J21" s="0" t="n">
        <f aca="false">J19*J20</f>
        <v>200.391484881732</v>
      </c>
      <c r="K21" s="0" t="n">
        <f aca="false">K19*K20</f>
        <v>194.759232544925</v>
      </c>
      <c r="L21" s="0" t="n">
        <f aca="false">L19*L20</f>
        <v>187.251763564311</v>
      </c>
    </row>
    <row r="23" customFormat="false" ht="15" hidden="false" customHeight="false" outlineLevel="0" collapsed="false">
      <c r="A23" s="0" t="s">
        <v>100</v>
      </c>
      <c r="C23" s="4" t="n">
        <f aca="false">Assumptions!C16</f>
        <v>1.3</v>
      </c>
      <c r="D23" s="4" t="n">
        <f aca="false">Assumptions!D16</f>
        <v>1.3</v>
      </c>
      <c r="E23" s="4" t="n">
        <f aca="false">Assumptions!E16</f>
        <v>1.2</v>
      </c>
      <c r="F23" s="4" t="n">
        <f aca="false">Assumptions!F16</f>
        <v>1.1</v>
      </c>
      <c r="G23" s="4" t="n">
        <f aca="false">Assumptions!G16</f>
        <v>1</v>
      </c>
      <c r="H23" s="4" t="n">
        <f aca="false">Assumptions!H16</f>
        <v>1</v>
      </c>
      <c r="I23" s="4" t="n">
        <f aca="false">Assumptions!I16</f>
        <v>0.9</v>
      </c>
      <c r="J23" s="4" t="n">
        <f aca="false">Assumptions!J16</f>
        <v>0.9</v>
      </c>
      <c r="K23" s="4" t="n">
        <f aca="false">Assumptions!K16</f>
        <v>0.8</v>
      </c>
      <c r="L23" s="4" t="n">
        <f aca="false">Assumptions!L16</f>
        <v>0.8</v>
      </c>
    </row>
    <row r="24" customFormat="false" ht="15" hidden="false" customHeight="false" outlineLevel="0" collapsed="false">
      <c r="A24" s="0" t="s">
        <v>125</v>
      </c>
      <c r="C24" s="0" t="n">
        <f aca="false">-C6*C23/100</f>
        <v>-33.9611558</v>
      </c>
      <c r="D24" s="0" t="n">
        <f aca="false">-D6*D23/100</f>
        <v>-32.602709568</v>
      </c>
      <c r="E24" s="0" t="n">
        <f aca="false">-E6*E23/100</f>
        <v>-33.1042897152</v>
      </c>
      <c r="F24" s="0" t="n">
        <f aca="false">-F6*F23/100</f>
        <v>-32.773246818048</v>
      </c>
      <c r="G24" s="0" t="n">
        <f aca="false">-G6*G23/100</f>
        <v>-31.8794309957376</v>
      </c>
      <c r="H24" s="0" t="n">
        <f aca="false">-H6*H23/100</f>
        <v>-33.7921968554819</v>
      </c>
      <c r="I24" s="0" t="n">
        <f aca="false">-I6*I23/100</f>
        <v>-31.9336260284304</v>
      </c>
      <c r="J24" s="0" t="n">
        <f aca="false">-J6*J23/100</f>
        <v>-33.2109710695676</v>
      </c>
      <c r="K24" s="0" t="n">
        <f aca="false">-K6*K23/100</f>
        <v>-30.4064890681374</v>
      </c>
      <c r="L24" s="0" t="n">
        <f aca="false">-L6*L23/100</f>
        <v>-31.0146188495002</v>
      </c>
    </row>
    <row r="26" customFormat="false" ht="15" hidden="false" customHeight="false" outlineLevel="0" collapsed="false">
      <c r="A26" s="2" t="s">
        <v>126</v>
      </c>
    </row>
    <row r="27" customFormat="false" ht="15" hidden="false" customHeight="false" outlineLevel="0" collapsed="false">
      <c r="A27" s="0" t="s">
        <v>104</v>
      </c>
      <c r="B27" s="4" t="n">
        <f aca="false">Assumptions!$B$20</f>
        <v>10</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15</v>
      </c>
    </row>
    <row r="30" customFormat="false" ht="15" hidden="false" customHeight="false" outlineLevel="0" collapsed="false">
      <c r="A30" s="0" t="s">
        <v>127</v>
      </c>
      <c r="B30" s="0" t="n">
        <f aca="false">SUM(C21:L21)</f>
        <v>1735.99123075565</v>
      </c>
    </row>
    <row r="31" customFormat="false" ht="15" hidden="false" customHeight="false" outlineLevel="0" collapsed="false">
      <c r="A31" s="0" t="s">
        <v>128</v>
      </c>
      <c r="B31" s="0" t="n">
        <f aca="false">L19</f>
        <v>485.682849885359</v>
      </c>
    </row>
    <row r="32" customFormat="false" ht="15" hidden="false" customHeight="false" outlineLevel="0" collapsed="false">
      <c r="A32" s="0" t="s">
        <v>129</v>
      </c>
      <c r="B32" s="0" t="n">
        <f aca="false">IF(B27&gt;B28,B31*(1+B28/100)/((B27-B28)/100),B31*B29)</f>
        <v>6192.45633603833</v>
      </c>
    </row>
    <row r="33" customFormat="false" ht="15" hidden="false" customHeight="false" outlineLevel="0" collapsed="false">
      <c r="A33" s="0" t="s">
        <v>130</v>
      </c>
      <c r="B33" s="0" t="n">
        <f aca="false">B31*B29</f>
        <v>7285.24274828039</v>
      </c>
    </row>
    <row r="34" customFormat="false" ht="15" hidden="false" customHeight="false" outlineLevel="0" collapsed="false">
      <c r="A34" s="0" t="s">
        <v>131</v>
      </c>
      <c r="B34" s="0" t="n">
        <f aca="false">MAX(0,MIN(B32,B33))</f>
        <v>6192.45633603833</v>
      </c>
    </row>
    <row r="35" customFormat="false" ht="15" hidden="false" customHeight="false" outlineLevel="0" collapsed="false">
      <c r="A35" s="0" t="s">
        <v>132</v>
      </c>
      <c r="B35" s="0" t="n">
        <f aca="false">B34/(1+B27/100)^L4</f>
        <v>2387.45998544496</v>
      </c>
    </row>
    <row r="36" customFormat="false" ht="15" hidden="false" customHeight="false" outlineLevel="0" collapsed="false">
      <c r="A36" s="0" t="s">
        <v>133</v>
      </c>
      <c r="B36" s="0" t="n">
        <f aca="false">B30+B35</f>
        <v>4123.45121620061</v>
      </c>
    </row>
    <row r="37" customFormat="false" ht="15" hidden="false" customHeight="false" outlineLevel="0" collapsed="false">
      <c r="A37" s="0" t="s">
        <v>134</v>
      </c>
      <c r="B37" s="0" t="n">
        <f aca="false">B36+Assumptions!$B$5-Assumptions!$B$4</f>
        <v>10704.8512162006</v>
      </c>
    </row>
    <row r="38" customFormat="false" ht="15" hidden="false" customHeight="false" outlineLevel="0" collapsed="false">
      <c r="A38" s="0" t="s">
        <v>135</v>
      </c>
      <c r="B38" s="0" t="n">
        <f aca="false">B37/Assumptions!$B$3*Assumptions!$B$10</f>
        <v>7.31761361262409</v>
      </c>
    </row>
    <row r="39" customFormat="false" ht="15" hidden="false" customHeight="false" outlineLevel="0" collapsed="false">
      <c r="A39" s="0" t="s">
        <v>136</v>
      </c>
      <c r="B39" s="4" t="n">
        <f aca="false">B38/Assumptions!$B$2-1</f>
        <v>-0.378282615749865</v>
      </c>
    </row>
    <row r="41" customFormat="false" ht="15" hidden="false" customHeight="false" outlineLevel="0" collapsed="false">
      <c r="A41" s="0" t="s">
        <v>137</v>
      </c>
      <c r="B41" s="0" t="n">
        <f aca="false">SUMPRODUCT(-C10:L10/(1+$B$27/100)^C4:L4)</f>
        <v>700.907593000349</v>
      </c>
    </row>
    <row r="42" customFormat="false" ht="15" hidden="false" customHeight="false" outlineLevel="0" collapsed="false">
      <c r="A42" s="0" t="s">
        <v>138</v>
      </c>
      <c r="B42" s="0" t="n">
        <f aca="false">IF(B27&gt;B28,-L10*(1+B28/100)/((B27-B28)/100),-L10*20)/(1+B27/100)^L4</f>
        <v>476.430770901259</v>
      </c>
    </row>
    <row r="43" customFormat="false" ht="15" hidden="false" customHeight="false" outlineLevel="0" collapsed="false">
      <c r="A43" s="0" t="s">
        <v>139</v>
      </c>
      <c r="B43" s="0" t="n">
        <f aca="false">(B37+B41+B42)/Assumptions!$B$3*Assumptions!$B$10</f>
        <v>8.1224176275844</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3810.74236063897</v>
      </c>
    </row>
    <row r="47" customFormat="false" ht="15" hidden="false" customHeight="false" outlineLevel="0" collapsed="false">
      <c r="A47" s="0" t="s">
        <v>141</v>
      </c>
      <c r="B47" s="0" t="n">
        <f aca="false">(SUMPRODUCT(C19:L19/(1+B45/100)^C4:L4)+B46/(1+B45/100)^L4+Assumptions!$B$5-Assumptions!$B$4)/Assumptions!$B$3*Assumptions!$B$10</f>
        <v>6.08018904763737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13.5</v>
      </c>
      <c r="D5" s="4" t="n">
        <f aca="false">Assumptions!D27</f>
        <v>2</v>
      </c>
      <c r="E5" s="4" t="n">
        <f aca="false">Assumptions!E27</f>
        <v>20</v>
      </c>
      <c r="F5" s="4" t="n">
        <f aca="false">Assumptions!F27</f>
        <v>19</v>
      </c>
      <c r="G5" s="4" t="n">
        <f aca="false">Assumptions!G27</f>
        <v>16</v>
      </c>
      <c r="H5" s="4" t="n">
        <f aca="false">Assumptions!H27</f>
        <v>15</v>
      </c>
      <c r="I5" s="4" t="n">
        <f aca="false">Assumptions!I27</f>
        <v>13</v>
      </c>
      <c r="J5" s="4" t="n">
        <f aca="false">Assumptions!J27</f>
        <v>10</v>
      </c>
      <c r="K5" s="4" t="n">
        <f aca="false">Assumptions!K27</f>
        <v>7.5</v>
      </c>
      <c r="L5" s="4" t="n">
        <f aca="false">Assumptions!L27</f>
        <v>5</v>
      </c>
    </row>
    <row r="6" customFormat="false" ht="15" hidden="false" customHeight="false" outlineLevel="0" collapsed="false">
      <c r="A6" s="0" t="s">
        <v>38</v>
      </c>
      <c r="B6" s="3" t="n">
        <v>2374.906</v>
      </c>
      <c r="C6" s="0" t="n">
        <f aca="false">B6*(1+C5/100)</f>
        <v>2695.51831</v>
      </c>
      <c r="D6" s="0" t="n">
        <f aca="false">C6*(1+D5/100)</f>
        <v>2749.4286762</v>
      </c>
      <c r="E6" s="0" t="n">
        <f aca="false">D6*(1+E5/100)</f>
        <v>3299.31441144</v>
      </c>
      <c r="F6" s="0" t="n">
        <f aca="false">E6*(1+F5/100)</f>
        <v>3926.1841496136</v>
      </c>
      <c r="G6" s="0" t="n">
        <f aca="false">F6*(1+G5/100)</f>
        <v>4554.37361355178</v>
      </c>
      <c r="H6" s="0" t="n">
        <f aca="false">G6*(1+H5/100)</f>
        <v>5237.52965558454</v>
      </c>
      <c r="I6" s="0" t="n">
        <f aca="false">H6*(1+I5/100)</f>
        <v>5918.40851081053</v>
      </c>
      <c r="J6" s="0" t="n">
        <f aca="false">I6*(1+J5/100)</f>
        <v>6510.24936189159</v>
      </c>
      <c r="K6" s="0" t="n">
        <f aca="false">J6*(1+K5/100)</f>
        <v>6998.51806403346</v>
      </c>
      <c r="L6" s="0" t="n">
        <f aca="false">K6*(1+L5/100)</f>
        <v>7348.44396723513</v>
      </c>
    </row>
    <row r="7" customFormat="false" ht="15" hidden="false" customHeight="false" outlineLevel="0" collapsed="false">
      <c r="A7" s="0" t="s">
        <v>98</v>
      </c>
      <c r="C7" s="4" t="n">
        <f aca="false">Assumptions!C28</f>
        <v>28</v>
      </c>
      <c r="D7" s="4" t="n">
        <f aca="false">Assumptions!D28</f>
        <v>21</v>
      </c>
      <c r="E7" s="4" t="n">
        <f aca="false">Assumptions!E28</f>
        <v>25</v>
      </c>
      <c r="F7" s="4" t="n">
        <f aca="false">Assumptions!F28</f>
        <v>29</v>
      </c>
      <c r="G7" s="4" t="n">
        <f aca="false">Assumptions!G28</f>
        <v>32</v>
      </c>
      <c r="H7" s="4" t="n">
        <f aca="false">Assumptions!H28</f>
        <v>34</v>
      </c>
      <c r="I7" s="4" t="n">
        <f aca="false">Assumptions!I28</f>
        <v>35</v>
      </c>
      <c r="J7" s="4" t="n">
        <f aca="false">Assumptions!J28</f>
        <v>36</v>
      </c>
      <c r="K7" s="4" t="n">
        <f aca="false">Assumptions!K28</f>
        <v>36</v>
      </c>
      <c r="L7" s="4" t="n">
        <f aca="false">Assumptions!L28</f>
        <v>36</v>
      </c>
    </row>
    <row r="8" customFormat="false" ht="15" hidden="false" customHeight="false" outlineLevel="0" collapsed="false">
      <c r="A8" s="0" t="s">
        <v>44</v>
      </c>
      <c r="C8" s="0" t="n">
        <f aca="false">C6*C7/100</f>
        <v>754.7451268</v>
      </c>
      <c r="D8" s="0" t="n">
        <f aca="false">D6*D7/100</f>
        <v>577.380022002</v>
      </c>
      <c r="E8" s="0" t="n">
        <f aca="false">E6*E7/100</f>
        <v>824.82860286</v>
      </c>
      <c r="F8" s="0" t="n">
        <f aca="false">F6*F7/100</f>
        <v>1138.59340338794</v>
      </c>
      <c r="G8" s="0" t="n">
        <f aca="false">G6*G7/100</f>
        <v>1457.39955633657</v>
      </c>
      <c r="H8" s="0" t="n">
        <f aca="false">H6*H7/100</f>
        <v>1780.76008289874</v>
      </c>
      <c r="I8" s="0" t="n">
        <f aca="false">I6*I7/100</f>
        <v>2071.44297878369</v>
      </c>
      <c r="J8" s="0" t="n">
        <f aca="false">J6*J7/100</f>
        <v>2343.68977028097</v>
      </c>
      <c r="K8" s="0" t="n">
        <f aca="false">K6*K7/100</f>
        <v>2519.46650305204</v>
      </c>
      <c r="L8" s="0" t="n">
        <f aca="false">L6*L7/100</f>
        <v>2645.43982820465</v>
      </c>
    </row>
    <row r="9" customFormat="false" ht="15" hidden="false" customHeight="false" outlineLevel="0" collapsed="false">
      <c r="A9" s="0" t="s">
        <v>99</v>
      </c>
      <c r="C9" s="4" t="n">
        <f aca="false">Assumptions!C29</f>
        <v>4.5</v>
      </c>
      <c r="D9" s="4" t="n">
        <f aca="false">Assumptions!D29</f>
        <v>4.3</v>
      </c>
      <c r="E9" s="4" t="n">
        <f aca="false">Assumptions!E29</f>
        <v>4.1</v>
      </c>
      <c r="F9" s="4" t="n">
        <f aca="false">Assumptions!F29</f>
        <v>3.8</v>
      </c>
      <c r="G9" s="4" t="n">
        <f aca="false">Assumptions!G29</f>
        <v>3.5</v>
      </c>
      <c r="H9" s="4" t="n">
        <f aca="false">Assumptions!H29</f>
        <v>3.2</v>
      </c>
      <c r="I9" s="4" t="n">
        <f aca="false">Assumptions!I29</f>
        <v>3</v>
      </c>
      <c r="J9" s="4" t="n">
        <f aca="false">Assumptions!J29</f>
        <v>2.8</v>
      </c>
      <c r="K9" s="4" t="n">
        <f aca="false">Assumptions!K29</f>
        <v>2.6</v>
      </c>
      <c r="L9" s="4" t="n">
        <f aca="false">Assumptions!L29</f>
        <v>2.5</v>
      </c>
    </row>
    <row r="10" customFormat="false" ht="15" hidden="false" customHeight="false" outlineLevel="0" collapsed="false">
      <c r="A10" s="0" t="s">
        <v>114</v>
      </c>
      <c r="C10" s="0" t="n">
        <f aca="false">-C6*C9/100</f>
        <v>-121.29832395</v>
      </c>
      <c r="D10" s="0" t="n">
        <f aca="false">-D6*D9/100</f>
        <v>-118.2254330766</v>
      </c>
      <c r="E10" s="0" t="n">
        <f aca="false">-E6*E9/100</f>
        <v>-135.27189086904</v>
      </c>
      <c r="F10" s="0" t="n">
        <f aca="false">-F6*F9/100</f>
        <v>-149.194997685317</v>
      </c>
      <c r="G10" s="0" t="n">
        <f aca="false">-G6*G9/100</f>
        <v>-159.403076474312</v>
      </c>
      <c r="H10" s="0" t="n">
        <f aca="false">-H6*H9/100</f>
        <v>-167.600948978705</v>
      </c>
      <c r="I10" s="0" t="n">
        <f aca="false">-I6*I9/100</f>
        <v>-177.552255324316</v>
      </c>
      <c r="J10" s="0" t="n">
        <f aca="false">-J6*J9/100</f>
        <v>-182.286982132964</v>
      </c>
      <c r="K10" s="0" t="n">
        <f aca="false">-K6*K9/100</f>
        <v>-181.96146966487</v>
      </c>
      <c r="L10" s="0" t="n">
        <f aca="false">-L6*L9/100</f>
        <v>-183.711099180878</v>
      </c>
    </row>
    <row r="11" customFormat="false" ht="15" hidden="false" customHeight="false" outlineLevel="0" collapsed="false">
      <c r="A11" s="0" t="s">
        <v>115</v>
      </c>
      <c r="C11" s="0" t="n">
        <f aca="false">C8+C10+C24</f>
        <v>598.40506482</v>
      </c>
      <c r="D11" s="0" t="n">
        <f aca="false">D8+D10+D24</f>
        <v>426.161444811</v>
      </c>
      <c r="E11" s="0" t="n">
        <f aca="false">E8+E10+E24</f>
        <v>656.56356787656</v>
      </c>
      <c r="F11" s="0" t="n">
        <f aca="false">F8+F10+F24</f>
        <v>954.062748356105</v>
      </c>
      <c r="G11" s="0" t="n">
        <f aca="false">G8+G10+G24</f>
        <v>1261.56149095384</v>
      </c>
      <c r="H11" s="0" t="n">
        <f aca="false">H8+H10+H24</f>
        <v>1576.49642633095</v>
      </c>
      <c r="I11" s="0" t="n">
        <f aca="false">I8+I10+I24</f>
        <v>1852.4618638837</v>
      </c>
      <c r="J11" s="0" t="n">
        <f aca="false">J8+J10+J24</f>
        <v>2122.34129197666</v>
      </c>
      <c r="K11" s="0" t="n">
        <f aca="false">K8+K10+K24</f>
        <v>2295.51392500297</v>
      </c>
      <c r="L11" s="0" t="n">
        <f aca="false">L8+L10+L24</f>
        <v>2417.63806522036</v>
      </c>
    </row>
    <row r="12" customFormat="false" ht="15" hidden="false" customHeight="false" outlineLevel="0" collapsed="false">
      <c r="A12" s="0" t="s">
        <v>116</v>
      </c>
      <c r="C12" s="4" t="n">
        <f aca="false">-C6*Assumptions!C31/100</f>
        <v>-99.73417747</v>
      </c>
      <c r="D12" s="4" t="n">
        <f aca="false">-D6*Assumptions!D31/100</f>
        <v>-98.9794323432</v>
      </c>
      <c r="E12" s="4" t="n">
        <f aca="false">-E6*Assumptions!E31/100</f>
        <v>-115.4760044004</v>
      </c>
      <c r="F12" s="4" t="n">
        <f aca="false">-F6*Assumptions!F31/100</f>
        <v>-133.490261086862</v>
      </c>
      <c r="G12" s="4" t="n">
        <f aca="false">-G6*Assumptions!G31/100</f>
        <v>-150.294329247209</v>
      </c>
      <c r="H12" s="4" t="n">
        <f aca="false">-H6*Assumptions!H31/100</f>
        <v>-167.600948978705</v>
      </c>
      <c r="I12" s="4" t="n">
        <f aca="false">-I6*Assumptions!I31/100</f>
        <v>-183.470663835127</v>
      </c>
      <c r="J12" s="4" t="n">
        <f aca="false">-J6*Assumptions!J31/100</f>
        <v>-195.307480856748</v>
      </c>
      <c r="K12" s="4" t="n">
        <f aca="false">-K6*Assumptions!K31/100</f>
        <v>-209.955541921004</v>
      </c>
      <c r="L12" s="4" t="n">
        <f aca="false">-L6*Assumptions!L31/100</f>
        <v>-220.453319017054</v>
      </c>
    </row>
    <row r="13" customFormat="false" ht="15" hidden="false" customHeight="false" outlineLevel="0" collapsed="false">
      <c r="A13" s="0" t="s">
        <v>117</v>
      </c>
      <c r="C13" s="0" t="n">
        <f aca="false">C11+C12</f>
        <v>498.67088735</v>
      </c>
      <c r="D13" s="0" t="n">
        <f aca="false">D11+D12</f>
        <v>327.1820124678</v>
      </c>
      <c r="E13" s="0" t="n">
        <f aca="false">E11+E12</f>
        <v>541.08756347616</v>
      </c>
      <c r="F13" s="0" t="n">
        <f aca="false">F11+F12</f>
        <v>820.572487269242</v>
      </c>
      <c r="G13" s="0" t="n">
        <f aca="false">G11+G12</f>
        <v>1111.26716170663</v>
      </c>
      <c r="H13" s="0" t="n">
        <f aca="false">H11+H12</f>
        <v>1408.89547735224</v>
      </c>
      <c r="I13" s="0" t="n">
        <f aca="false">I11+I12</f>
        <v>1668.99120004857</v>
      </c>
      <c r="J13" s="0" t="n">
        <f aca="false">J11+J12</f>
        <v>1927.03381111991</v>
      </c>
      <c r="K13" s="0" t="n">
        <f aca="false">K11+K12</f>
        <v>2085.55838308197</v>
      </c>
      <c r="L13" s="0" t="n">
        <f aca="false">L11+L12</f>
        <v>2197.1847462033</v>
      </c>
    </row>
    <row r="14" customFormat="false" ht="15" hidden="false" customHeight="false" outlineLevel="0" collapsed="false">
      <c r="A14" s="0" t="s">
        <v>103</v>
      </c>
      <c r="C14" s="4" t="n">
        <f aca="false">Assumptions!C33</f>
        <v>0</v>
      </c>
      <c r="D14" s="4" t="n">
        <f aca="false">Assumptions!D33</f>
        <v>0</v>
      </c>
      <c r="E14" s="4" t="n">
        <f aca="false">Assumptions!E33</f>
        <v>2</v>
      </c>
      <c r="F14" s="4" t="n">
        <f aca="false">Assumptions!F33</f>
        <v>4</v>
      </c>
      <c r="G14" s="4" t="n">
        <f aca="false">Assumptions!G33</f>
        <v>6</v>
      </c>
      <c r="H14" s="4" t="n">
        <f aca="false">Assumptions!H33</f>
        <v>8</v>
      </c>
      <c r="I14" s="4" t="n">
        <f aca="false">Assumptions!I33</f>
        <v>10</v>
      </c>
      <c r="J14" s="4" t="n">
        <f aca="false">Assumptions!J33</f>
        <v>12</v>
      </c>
      <c r="K14" s="4" t="n">
        <f aca="false">Assumptions!K33</f>
        <v>12</v>
      </c>
      <c r="L14" s="4" t="n">
        <f aca="false">Assumptions!L33</f>
        <v>12</v>
      </c>
    </row>
    <row r="15" customFormat="false" ht="15" hidden="false" customHeight="false" outlineLevel="0" collapsed="false">
      <c r="A15" s="0" t="s">
        <v>118</v>
      </c>
      <c r="C15" s="0" t="n">
        <f aca="false">C13-MAX(0,C13)*C14/100</f>
        <v>498.67088735</v>
      </c>
      <c r="D15" s="0" t="n">
        <f aca="false">D13-MAX(0,D13)*D14/100</f>
        <v>327.1820124678</v>
      </c>
      <c r="E15" s="0" t="n">
        <f aca="false">E13-MAX(0,E13)*E14/100</f>
        <v>530.265812206637</v>
      </c>
      <c r="F15" s="0" t="n">
        <f aca="false">F13-MAX(0,F13)*F14/100</f>
        <v>787.749587778473</v>
      </c>
      <c r="G15" s="0" t="n">
        <f aca="false">G13-MAX(0,G13)*G14/100</f>
        <v>1044.59113200424</v>
      </c>
      <c r="H15" s="0" t="n">
        <f aca="false">H13-MAX(0,H13)*H14/100</f>
        <v>1296.18383916406</v>
      </c>
      <c r="I15" s="0" t="n">
        <f aca="false">I13-MAX(0,I13)*I14/100</f>
        <v>1502.09208004371</v>
      </c>
      <c r="J15" s="0" t="n">
        <f aca="false">J13-MAX(0,J13)*J14/100</f>
        <v>1695.78975378552</v>
      </c>
      <c r="K15" s="0" t="n">
        <f aca="false">K13-MAX(0,K13)*K14/100</f>
        <v>1835.29137711213</v>
      </c>
      <c r="L15" s="0" t="n">
        <f aca="false">L13-MAX(0,L13)*L14/100</f>
        <v>1933.52257665891</v>
      </c>
    </row>
    <row r="16" customFormat="false" ht="15" hidden="false" customHeight="false" outlineLevel="0" collapsed="false">
      <c r="A16" s="0" t="s">
        <v>119</v>
      </c>
      <c r="C16" s="0" t="n">
        <f aca="false">-C12</f>
        <v>99.73417747</v>
      </c>
      <c r="D16" s="0" t="n">
        <f aca="false">-D12</f>
        <v>98.9794323432</v>
      </c>
      <c r="E16" s="0" t="n">
        <f aca="false">-E12</f>
        <v>115.4760044004</v>
      </c>
      <c r="F16" s="0" t="n">
        <f aca="false">-F12</f>
        <v>133.490261086862</v>
      </c>
      <c r="G16" s="0" t="n">
        <f aca="false">-G12</f>
        <v>150.294329247209</v>
      </c>
      <c r="H16" s="0" t="n">
        <f aca="false">-H12</f>
        <v>167.600948978705</v>
      </c>
      <c r="I16" s="0" t="n">
        <f aca="false">-I12</f>
        <v>183.470663835127</v>
      </c>
      <c r="J16" s="0" t="n">
        <f aca="false">-J12</f>
        <v>195.307480856748</v>
      </c>
      <c r="K16" s="0" t="n">
        <f aca="false">-K12</f>
        <v>209.955541921004</v>
      </c>
      <c r="L16" s="0" t="n">
        <f aca="false">-L12</f>
        <v>220.453319017054</v>
      </c>
    </row>
    <row r="17" customFormat="false" ht="15" hidden="false" customHeight="false" outlineLevel="0" collapsed="false">
      <c r="A17" s="0" t="s">
        <v>120</v>
      </c>
      <c r="C17" s="4" t="n">
        <f aca="false">-C6*Assumptions!C32/100</f>
        <v>-91.64762254</v>
      </c>
      <c r="D17" s="4" t="n">
        <f aca="false">-D6*Assumptions!D32/100</f>
        <v>-93.4805749908</v>
      </c>
      <c r="E17" s="4" t="n">
        <f aca="false">-E6*Assumptions!E32/100</f>
        <v>-108.87737557752</v>
      </c>
      <c r="F17" s="4" t="n">
        <f aca="false">-F6*Assumptions!F32/100</f>
        <v>-129.564076937249</v>
      </c>
      <c r="G17" s="4" t="n">
        <f aca="false">-G6*Assumptions!G32/100</f>
        <v>-145.739955633657</v>
      </c>
      <c r="H17" s="4" t="n">
        <f aca="false">-H6*Assumptions!H32/100</f>
        <v>-167.600948978705</v>
      </c>
      <c r="I17" s="4" t="n">
        <f aca="false">-I6*Assumptions!I32/100</f>
        <v>-183.470663835127</v>
      </c>
      <c r="J17" s="4" t="n">
        <f aca="false">-J6*Assumptions!J32/100</f>
        <v>-195.307480856748</v>
      </c>
      <c r="K17" s="4" t="n">
        <f aca="false">-K6*Assumptions!K32/100</f>
        <v>-209.955541921004</v>
      </c>
      <c r="L17" s="4" t="n">
        <f aca="false">-L6*Assumptions!L32/100</f>
        <v>-220.453319017054</v>
      </c>
    </row>
    <row r="18" customFormat="false" ht="15" hidden="false" customHeight="false" outlineLevel="0" collapsed="false">
      <c r="A18" s="0" t="s">
        <v>121</v>
      </c>
      <c r="C18" s="4" t="n">
        <f aca="false">(C6-B6)*Assumptions!$B$37/100</f>
        <v>-64.122462</v>
      </c>
      <c r="D18" s="4" t="n">
        <f aca="false">(D6-C6)*Assumptions!$B$37/100</f>
        <v>-10.78207324</v>
      </c>
      <c r="E18" s="4" t="n">
        <f aca="false">(E6-D6)*Assumptions!$B$37/100</f>
        <v>-109.977147048</v>
      </c>
      <c r="F18" s="4" t="n">
        <f aca="false">(F6-E6)*Assumptions!$B$37/100</f>
        <v>-125.37394763472</v>
      </c>
      <c r="G18" s="4" t="n">
        <f aca="false">(G6-F6)*Assumptions!$B$37/100</f>
        <v>-125.637892787635</v>
      </c>
      <c r="H18" s="4" t="n">
        <f aca="false">(H6-G6)*Assumptions!$B$37/100</f>
        <v>-136.631208406553</v>
      </c>
      <c r="I18" s="4" t="n">
        <f aca="false">(I6-H6)*Assumptions!$B$37/100</f>
        <v>-136.175771045198</v>
      </c>
      <c r="J18" s="4" t="n">
        <f aca="false">(J6-I6)*Assumptions!$B$37/100</f>
        <v>-118.368170216211</v>
      </c>
      <c r="K18" s="4" t="n">
        <f aca="false">(K6-J6)*Assumptions!$B$37/100</f>
        <v>-97.6537404283738</v>
      </c>
      <c r="L18" s="4" t="n">
        <f aca="false">(L6-K6)*Assumptions!$B$37/100</f>
        <v>-69.9851806403347</v>
      </c>
    </row>
    <row r="19" customFormat="false" ht="15" hidden="false" customHeight="false" outlineLevel="0" collapsed="false">
      <c r="A19" s="0" t="s">
        <v>122</v>
      </c>
      <c r="C19" s="0" t="n">
        <f aca="false">C15+C16+C17+C18</f>
        <v>442.63498028</v>
      </c>
      <c r="D19" s="0" t="n">
        <f aca="false">D15+D16+D17+D18</f>
        <v>321.8987965802</v>
      </c>
      <c r="E19" s="0" t="n">
        <f aca="false">E15+E16+E17+E18</f>
        <v>426.887293981517</v>
      </c>
      <c r="F19" s="0" t="n">
        <f aca="false">F15+F16+F17+F18</f>
        <v>666.301824293366</v>
      </c>
      <c r="G19" s="0" t="n">
        <f aca="false">G15+G16+G17+G18</f>
        <v>923.507612830152</v>
      </c>
      <c r="H19" s="0" t="n">
        <f aca="false">H15+H16+H17+H18</f>
        <v>1159.55263075751</v>
      </c>
      <c r="I19" s="0" t="n">
        <f aca="false">I15+I16+I17+I18</f>
        <v>1365.91630899852</v>
      </c>
      <c r="J19" s="0" t="n">
        <f aca="false">J15+J16+J17+J18</f>
        <v>1577.42158356931</v>
      </c>
      <c r="K19" s="0" t="n">
        <f aca="false">K15+K16+K17+K18</f>
        <v>1737.63763668376</v>
      </c>
      <c r="L19" s="0" t="n">
        <f aca="false">L15+L16+L17+L18</f>
        <v>1863.53739601857</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402.395436618182</v>
      </c>
      <c r="D21" s="0" t="n">
        <f aca="false">D19*D20</f>
        <v>266.032063289421</v>
      </c>
      <c r="E21" s="0" t="n">
        <f aca="false">E19*E20</f>
        <v>320.726742285137</v>
      </c>
      <c r="F21" s="0" t="n">
        <f aca="false">F19*F20</f>
        <v>455.093111326662</v>
      </c>
      <c r="G21" s="0" t="n">
        <f aca="false">G19*G20</f>
        <v>573.4255688137</v>
      </c>
      <c r="H21" s="0" t="n">
        <f aca="false">H19*H20</f>
        <v>654.537230587888</v>
      </c>
      <c r="I21" s="0" t="n">
        <f aca="false">I19*I20</f>
        <v>700.93104278631</v>
      </c>
      <c r="J21" s="0" t="n">
        <f aca="false">J19*J20</f>
        <v>735.878810437207</v>
      </c>
      <c r="K21" s="0" t="n">
        <f aca="false">K19*K20</f>
        <v>736.927983311975</v>
      </c>
      <c r="L21" s="0" t="n">
        <f aca="false">L19*L20</f>
        <v>718.474337635944</v>
      </c>
    </row>
    <row r="23" customFormat="false" ht="15" hidden="false" customHeight="false" outlineLevel="0" collapsed="false">
      <c r="A23" s="0" t="s">
        <v>100</v>
      </c>
      <c r="C23" s="4" t="n">
        <f aca="false">Assumptions!C30</f>
        <v>1.3</v>
      </c>
      <c r="D23" s="4" t="n">
        <f aca="false">Assumptions!D30</f>
        <v>1.2</v>
      </c>
      <c r="E23" s="4" t="n">
        <f aca="false">Assumptions!E30</f>
        <v>1</v>
      </c>
      <c r="F23" s="4" t="n">
        <f aca="false">Assumptions!F30</f>
        <v>0.9</v>
      </c>
      <c r="G23" s="4" t="n">
        <f aca="false">Assumptions!G30</f>
        <v>0.8</v>
      </c>
      <c r="H23" s="4" t="n">
        <f aca="false">Assumptions!H30</f>
        <v>0.7</v>
      </c>
      <c r="I23" s="4" t="n">
        <f aca="false">Assumptions!I30</f>
        <v>0.7</v>
      </c>
      <c r="J23" s="4" t="n">
        <f aca="false">Assumptions!J30</f>
        <v>0.6</v>
      </c>
      <c r="K23" s="4" t="n">
        <f aca="false">Assumptions!K30</f>
        <v>0.6</v>
      </c>
      <c r="L23" s="4" t="n">
        <f aca="false">Assumptions!L30</f>
        <v>0.6</v>
      </c>
    </row>
    <row r="24" customFormat="false" ht="15" hidden="false" customHeight="false" outlineLevel="0" collapsed="false">
      <c r="A24" s="0" t="s">
        <v>125</v>
      </c>
      <c r="C24" s="0" t="n">
        <f aca="false">-C6*C23/100</f>
        <v>-35.04173803</v>
      </c>
      <c r="D24" s="0" t="n">
        <f aca="false">-D6*D23/100</f>
        <v>-32.9931441144</v>
      </c>
      <c r="E24" s="0" t="n">
        <f aca="false">-E6*E23/100</f>
        <v>-32.9931441144</v>
      </c>
      <c r="F24" s="0" t="n">
        <f aca="false">-F6*F23/100</f>
        <v>-35.3356573465224</v>
      </c>
      <c r="G24" s="0" t="n">
        <f aca="false">-G6*G23/100</f>
        <v>-36.4349889084142</v>
      </c>
      <c r="H24" s="0" t="n">
        <f aca="false">-H6*H23/100</f>
        <v>-36.6627075890918</v>
      </c>
      <c r="I24" s="0" t="n">
        <f aca="false">-I6*I23/100</f>
        <v>-41.4288595756737</v>
      </c>
      <c r="J24" s="0" t="n">
        <f aca="false">-J6*J23/100</f>
        <v>-39.0614961713495</v>
      </c>
      <c r="K24" s="0" t="n">
        <f aca="false">-K6*K23/100</f>
        <v>-41.9911083842007</v>
      </c>
      <c r="L24" s="0" t="n">
        <f aca="false">-L6*L23/100</f>
        <v>-44.0906638034108</v>
      </c>
    </row>
    <row r="26" customFormat="false" ht="15" hidden="false" customHeight="false" outlineLevel="0" collapsed="false">
      <c r="A26" s="2" t="s">
        <v>126</v>
      </c>
    </row>
    <row r="27" customFormat="false" ht="15" hidden="false" customHeight="false" outlineLevel="0" collapsed="false">
      <c r="A27" s="0" t="s">
        <v>104</v>
      </c>
      <c r="B27" s="4" t="n">
        <f aca="false">Assumptions!$B$34</f>
        <v>10</v>
      </c>
    </row>
    <row r="28" customFormat="false" ht="15" hidden="false" customHeight="false" outlineLevel="0" collapsed="false">
      <c r="A28" s="0" t="s">
        <v>105</v>
      </c>
      <c r="B28" s="4" t="n">
        <f aca="false">Assumptions!$B$35</f>
        <v>3</v>
      </c>
    </row>
    <row r="29" customFormat="false" ht="15" hidden="false" customHeight="false" outlineLevel="0" collapsed="false">
      <c r="A29" s="0" t="s">
        <v>106</v>
      </c>
      <c r="B29" s="4" t="n">
        <f aca="false">Assumptions!$B$36</f>
        <v>20</v>
      </c>
    </row>
    <row r="30" customFormat="false" ht="15" hidden="false" customHeight="false" outlineLevel="0" collapsed="false">
      <c r="A30" s="0" t="s">
        <v>127</v>
      </c>
      <c r="B30" s="0" t="n">
        <f aca="false">SUM(C21:L21)</f>
        <v>5564.42232709243</v>
      </c>
    </row>
    <row r="31" customFormat="false" ht="15" hidden="false" customHeight="false" outlineLevel="0" collapsed="false">
      <c r="A31" s="0" t="s">
        <v>128</v>
      </c>
      <c r="B31" s="0" t="n">
        <f aca="false">L19</f>
        <v>1863.53739601857</v>
      </c>
    </row>
    <row r="32" customFormat="false" ht="15" hidden="false" customHeight="false" outlineLevel="0" collapsed="false">
      <c r="A32" s="0" t="s">
        <v>129</v>
      </c>
      <c r="B32" s="0" t="n">
        <f aca="false">IF(B27&gt;B28,B31*(1+B28/100)/((B27-B28)/100),B31*B29)</f>
        <v>27420.6216842733</v>
      </c>
    </row>
    <row r="33" customFormat="false" ht="15" hidden="false" customHeight="false" outlineLevel="0" collapsed="false">
      <c r="A33" s="0" t="s">
        <v>130</v>
      </c>
      <c r="B33" s="0" t="n">
        <f aca="false">B31*B29</f>
        <v>37270.7479203714</v>
      </c>
    </row>
    <row r="34" customFormat="false" ht="15" hidden="false" customHeight="false" outlineLevel="0" collapsed="false">
      <c r="A34" s="0" t="s">
        <v>131</v>
      </c>
      <c r="B34" s="0" t="n">
        <f aca="false">MAX(0,MIN(B32,B33))</f>
        <v>27420.6216842733</v>
      </c>
    </row>
    <row r="35" customFormat="false" ht="15" hidden="false" customHeight="false" outlineLevel="0" collapsed="false">
      <c r="A35" s="0" t="s">
        <v>132</v>
      </c>
      <c r="B35" s="0" t="n">
        <f aca="false">B34/(1+B27/100)^L4</f>
        <v>10571.8366823575</v>
      </c>
    </row>
    <row r="36" customFormat="false" ht="15" hidden="false" customHeight="false" outlineLevel="0" collapsed="false">
      <c r="A36" s="0" t="s">
        <v>133</v>
      </c>
      <c r="B36" s="0" t="n">
        <f aca="false">B30+B35</f>
        <v>16136.2590094499</v>
      </c>
    </row>
    <row r="37" customFormat="false" ht="15" hidden="false" customHeight="false" outlineLevel="0" collapsed="false">
      <c r="A37" s="0" t="s">
        <v>134</v>
      </c>
      <c r="B37" s="0" t="n">
        <f aca="false">B36+Assumptions!$B$5-Assumptions!$B$4</f>
        <v>22717.6590094499</v>
      </c>
    </row>
    <row r="38" customFormat="false" ht="15" hidden="false" customHeight="false" outlineLevel="0" collapsed="false">
      <c r="A38" s="0" t="s">
        <v>135</v>
      </c>
      <c r="B38" s="0" t="n">
        <f aca="false">B37/Assumptions!$B$3*Assumptions!$B$10</f>
        <v>15.529319133639</v>
      </c>
    </row>
    <row r="39" customFormat="false" ht="15" hidden="false" customHeight="false" outlineLevel="0" collapsed="false">
      <c r="A39" s="0" t="s">
        <v>136</v>
      </c>
      <c r="B39" s="4" t="n">
        <f aca="false">B38/Assumptions!$B$2-1</f>
        <v>0.319398397080629</v>
      </c>
    </row>
    <row r="41" customFormat="false" ht="15" hidden="false" customHeight="false" outlineLevel="0" collapsed="false">
      <c r="A41" s="0" t="s">
        <v>137</v>
      </c>
      <c r="B41" s="0" t="n">
        <f aca="false">SUMPRODUCT(-C10:L10/(1+$B$27/100)^C4:L4)</f>
        <v>929.24388433304</v>
      </c>
    </row>
    <row r="42" customFormat="false" ht="15" hidden="false" customHeight="false" outlineLevel="0" collapsed="false">
      <c r="A42" s="0" t="s">
        <v>138</v>
      </c>
      <c r="B42" s="0" t="n">
        <f aca="false">IF(B27&gt;B28,-L10*(1+B28/100)/((B27-B28)/100),-L10*20)/(1+B27/100)^L4</f>
        <v>1042.19198467711</v>
      </c>
    </row>
    <row r="43" customFormat="false" ht="15" hidden="false" customHeight="false" outlineLevel="0" collapsed="false">
      <c r="A43" s="0" t="s">
        <v>139</v>
      </c>
      <c r="B43" s="0" t="n">
        <f aca="false">(B37+B41+B42)/Assumptions!$B$3*Assumptions!$B$10</f>
        <v>16.8769516845381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15995.3626491594</v>
      </c>
    </row>
    <row r="47" customFormat="false" ht="15" hidden="false" customHeight="false" outlineLevel="0" collapsed="false">
      <c r="A47" s="0" t="s">
        <v>141</v>
      </c>
      <c r="B47" s="0" t="n">
        <f aca="false">(SUMPRODUCT(C19:L19/(1+B45/100)^C4:L4)+B46/(1+B45/100)^L4+Assumptions!$B$5-Assumptions!$B$4)/Assumptions!$B$3*Assumptions!$B$10</f>
        <v>10.0960223805891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16</v>
      </c>
      <c r="D5" s="4" t="n">
        <f aca="false">Assumptions!D41</f>
        <v>6</v>
      </c>
      <c r="E5" s="4" t="n">
        <f aca="false">Assumptions!E41</f>
        <v>24</v>
      </c>
      <c r="F5" s="4" t="n">
        <f aca="false">Assumptions!F41</f>
        <v>23</v>
      </c>
      <c r="G5" s="4" t="n">
        <f aca="false">Assumptions!G41</f>
        <v>21</v>
      </c>
      <c r="H5" s="4" t="n">
        <f aca="false">Assumptions!H41</f>
        <v>19</v>
      </c>
      <c r="I5" s="4" t="n">
        <f aca="false">Assumptions!I41</f>
        <v>16</v>
      </c>
      <c r="J5" s="4" t="n">
        <f aca="false">Assumptions!J41</f>
        <v>13</v>
      </c>
      <c r="K5" s="4" t="n">
        <f aca="false">Assumptions!K41</f>
        <v>10</v>
      </c>
      <c r="L5" s="4" t="n">
        <f aca="false">Assumptions!L41</f>
        <v>6</v>
      </c>
    </row>
    <row r="6" customFormat="false" ht="15" hidden="false" customHeight="false" outlineLevel="0" collapsed="false">
      <c r="A6" s="0" t="s">
        <v>38</v>
      </c>
      <c r="B6" s="3" t="n">
        <v>2374.906</v>
      </c>
      <c r="C6" s="0" t="n">
        <f aca="false">B6*(1+C5/100)</f>
        <v>2754.89096</v>
      </c>
      <c r="D6" s="0" t="n">
        <f aca="false">C6*(1+D5/100)</f>
        <v>2920.1844176</v>
      </c>
      <c r="E6" s="0" t="n">
        <f aca="false">D6*(1+E5/100)</f>
        <v>3621.028677824</v>
      </c>
      <c r="F6" s="0" t="n">
        <f aca="false">E6*(1+F5/100)</f>
        <v>4453.86527372352</v>
      </c>
      <c r="G6" s="0" t="n">
        <f aca="false">F6*(1+G5/100)</f>
        <v>5389.17698120546</v>
      </c>
      <c r="H6" s="0" t="n">
        <f aca="false">G6*(1+H5/100)</f>
        <v>6413.1206076345</v>
      </c>
      <c r="I6" s="0" t="n">
        <f aca="false">H6*(1+I5/100)</f>
        <v>7439.21990485602</v>
      </c>
      <c r="J6" s="0" t="n">
        <f aca="false">I6*(1+J5/100)</f>
        <v>8406.3184924873</v>
      </c>
      <c r="K6" s="0" t="n">
        <f aca="false">J6*(1+K5/100)</f>
        <v>9246.95034173603</v>
      </c>
      <c r="L6" s="0" t="n">
        <f aca="false">K6*(1+L5/100)</f>
        <v>9801.76736224019</v>
      </c>
    </row>
    <row r="7" customFormat="false" ht="15" hidden="false" customHeight="false" outlineLevel="0" collapsed="false">
      <c r="A7" s="0" t="s">
        <v>98</v>
      </c>
      <c r="C7" s="4" t="n">
        <f aca="false">Assumptions!C42</f>
        <v>30</v>
      </c>
      <c r="D7" s="4" t="n">
        <f aca="false">Assumptions!D42</f>
        <v>23</v>
      </c>
      <c r="E7" s="4" t="n">
        <f aca="false">Assumptions!E42</f>
        <v>28</v>
      </c>
      <c r="F7" s="4" t="n">
        <f aca="false">Assumptions!F42</f>
        <v>32</v>
      </c>
      <c r="G7" s="4" t="n">
        <f aca="false">Assumptions!G42</f>
        <v>36</v>
      </c>
      <c r="H7" s="4" t="n">
        <f aca="false">Assumptions!H42</f>
        <v>38</v>
      </c>
      <c r="I7" s="4" t="n">
        <f aca="false">Assumptions!I42</f>
        <v>40</v>
      </c>
      <c r="J7" s="4" t="n">
        <f aca="false">Assumptions!J42</f>
        <v>41</v>
      </c>
      <c r="K7" s="4" t="n">
        <f aca="false">Assumptions!K42</f>
        <v>42</v>
      </c>
      <c r="L7" s="4" t="n">
        <f aca="false">Assumptions!L42</f>
        <v>42</v>
      </c>
    </row>
    <row r="8" customFormat="false" ht="15" hidden="false" customHeight="false" outlineLevel="0" collapsed="false">
      <c r="A8" s="0" t="s">
        <v>44</v>
      </c>
      <c r="C8" s="0" t="n">
        <f aca="false">C6*C7/100</f>
        <v>826.467288</v>
      </c>
      <c r="D8" s="0" t="n">
        <f aca="false">D6*D7/100</f>
        <v>671.642416048</v>
      </c>
      <c r="E8" s="0" t="n">
        <f aca="false">E6*E7/100</f>
        <v>1013.88802979072</v>
      </c>
      <c r="F8" s="0" t="n">
        <f aca="false">F6*F7/100</f>
        <v>1425.23688759153</v>
      </c>
      <c r="G8" s="0" t="n">
        <f aca="false">G6*G7/100</f>
        <v>1940.10371323397</v>
      </c>
      <c r="H8" s="0" t="n">
        <f aca="false">H6*H7/100</f>
        <v>2436.98583090111</v>
      </c>
      <c r="I8" s="0" t="n">
        <f aca="false">I6*I7/100</f>
        <v>2975.68796194241</v>
      </c>
      <c r="J8" s="0" t="n">
        <f aca="false">J6*J7/100</f>
        <v>3446.59058191979</v>
      </c>
      <c r="K8" s="0" t="n">
        <f aca="false">K6*K7/100</f>
        <v>3883.71914352913</v>
      </c>
      <c r="L8" s="0" t="n">
        <f aca="false">L6*L7/100</f>
        <v>4116.74229214088</v>
      </c>
    </row>
    <row r="9" customFormat="false" ht="15" hidden="false" customHeight="false" outlineLevel="0" collapsed="false">
      <c r="A9" s="0" t="s">
        <v>99</v>
      </c>
      <c r="C9" s="4" t="n">
        <f aca="false">Assumptions!C43</f>
        <v>4.5</v>
      </c>
      <c r="D9" s="4" t="n">
        <f aca="false">Assumptions!D43</f>
        <v>4.3</v>
      </c>
      <c r="E9" s="4" t="n">
        <f aca="false">Assumptions!E43</f>
        <v>4.1</v>
      </c>
      <c r="F9" s="4" t="n">
        <f aca="false">Assumptions!F43</f>
        <v>3.8</v>
      </c>
      <c r="G9" s="4" t="n">
        <f aca="false">Assumptions!G43</f>
        <v>3.5</v>
      </c>
      <c r="H9" s="4" t="n">
        <f aca="false">Assumptions!H43</f>
        <v>3.2</v>
      </c>
      <c r="I9" s="4" t="n">
        <f aca="false">Assumptions!I43</f>
        <v>3</v>
      </c>
      <c r="J9" s="4" t="n">
        <f aca="false">Assumptions!J43</f>
        <v>2.8</v>
      </c>
      <c r="K9" s="4" t="n">
        <f aca="false">Assumptions!K43</f>
        <v>2.6</v>
      </c>
      <c r="L9" s="4" t="n">
        <f aca="false">Assumptions!L43</f>
        <v>2.5</v>
      </c>
    </row>
    <row r="10" customFormat="false" ht="15" hidden="false" customHeight="false" outlineLevel="0" collapsed="false">
      <c r="A10" s="0" t="s">
        <v>114</v>
      </c>
      <c r="C10" s="0" t="n">
        <f aca="false">-C6*C9/100</f>
        <v>-123.9700932</v>
      </c>
      <c r="D10" s="0" t="n">
        <f aca="false">-D6*D9/100</f>
        <v>-125.5679299568</v>
      </c>
      <c r="E10" s="0" t="n">
        <f aca="false">-E6*E9/100</f>
        <v>-148.462175790784</v>
      </c>
      <c r="F10" s="0" t="n">
        <f aca="false">-F6*F9/100</f>
        <v>-169.246880401494</v>
      </c>
      <c r="G10" s="0" t="n">
        <f aca="false">-G6*G9/100</f>
        <v>-188.621194342191</v>
      </c>
      <c r="H10" s="0" t="n">
        <f aca="false">-H6*H9/100</f>
        <v>-205.219859444304</v>
      </c>
      <c r="I10" s="0" t="n">
        <f aca="false">-I6*I9/100</f>
        <v>-223.17659714568</v>
      </c>
      <c r="J10" s="0" t="n">
        <f aca="false">-J6*J9/100</f>
        <v>-235.376917789644</v>
      </c>
      <c r="K10" s="0" t="n">
        <f aca="false">-K6*K9/100</f>
        <v>-240.420708885137</v>
      </c>
      <c r="L10" s="0" t="n">
        <f aca="false">-L6*L9/100</f>
        <v>-245.044184056005</v>
      </c>
    </row>
    <row r="11" customFormat="false" ht="15" hidden="false" customHeight="false" outlineLevel="0" collapsed="false">
      <c r="A11" s="0" t="s">
        <v>115</v>
      </c>
      <c r="C11" s="0" t="n">
        <f aca="false">C8+C10+C24</f>
        <v>666.68361232</v>
      </c>
      <c r="D11" s="0" t="n">
        <f aca="false">D8+D10+D24</f>
        <v>511.03227308</v>
      </c>
      <c r="E11" s="0" t="n">
        <f aca="false">E8+E10+E24</f>
        <v>829.215567221696</v>
      </c>
      <c r="F11" s="0" t="n">
        <f aca="false">F8+F10+F24</f>
        <v>1215.90521972652</v>
      </c>
      <c r="G11" s="0" t="n">
        <f aca="false">G8+G10+G24</f>
        <v>1708.36910304213</v>
      </c>
      <c r="H11" s="0" t="n">
        <f aca="false">H8+H10+H24</f>
        <v>2186.87412720336</v>
      </c>
      <c r="I11" s="0" t="n">
        <f aca="false">I8+I10+I24</f>
        <v>2707.87604536759</v>
      </c>
      <c r="J11" s="0" t="n">
        <f aca="false">J8+J10+J24</f>
        <v>3160.77575317522</v>
      </c>
      <c r="K11" s="0" t="n">
        <f aca="false">K8+K10+K24</f>
        <v>3597.06368293531</v>
      </c>
      <c r="L11" s="0" t="n">
        <f aca="false">L8+L10+L24</f>
        <v>3822.68927127367</v>
      </c>
    </row>
    <row r="12" customFormat="false" ht="15" hidden="false" customHeight="false" outlineLevel="0" collapsed="false">
      <c r="A12" s="0" t="s">
        <v>116</v>
      </c>
      <c r="C12" s="4" t="n">
        <f aca="false">-C6*Assumptions!C45/100</f>
        <v>-101.93096552</v>
      </c>
      <c r="D12" s="4" t="n">
        <f aca="false">-D6*Assumptions!D45/100</f>
        <v>-105.1266390336</v>
      </c>
      <c r="E12" s="4" t="n">
        <f aca="false">-E6*Assumptions!E45/100</f>
        <v>-126.73600372384</v>
      </c>
      <c r="F12" s="4" t="n">
        <f aca="false">-F6*Assumptions!F45/100</f>
        <v>-151.4314193066</v>
      </c>
      <c r="G12" s="4" t="n">
        <f aca="false">-G6*Assumptions!G45/100</f>
        <v>-177.84284037978</v>
      </c>
      <c r="H12" s="4" t="n">
        <f aca="false">-H6*Assumptions!H45/100</f>
        <v>-205.219859444304</v>
      </c>
      <c r="I12" s="4" t="n">
        <f aca="false">-I6*Assumptions!I45/100</f>
        <v>-230.615817050536</v>
      </c>
      <c r="J12" s="4" t="n">
        <f aca="false">-J6*Assumptions!J45/100</f>
        <v>-252.189554774619</v>
      </c>
      <c r="K12" s="4" t="n">
        <f aca="false">-K6*Assumptions!K45/100</f>
        <v>-277.408510252081</v>
      </c>
      <c r="L12" s="4" t="n">
        <f aca="false">-L6*Assumptions!L45/100</f>
        <v>-294.053020867206</v>
      </c>
    </row>
    <row r="13" customFormat="false" ht="15" hidden="false" customHeight="false" outlineLevel="0" collapsed="false">
      <c r="A13" s="0" t="s">
        <v>117</v>
      </c>
      <c r="C13" s="0" t="n">
        <f aca="false">C11+C12</f>
        <v>564.7526468</v>
      </c>
      <c r="D13" s="0" t="n">
        <f aca="false">D11+D12</f>
        <v>405.9056340464</v>
      </c>
      <c r="E13" s="0" t="n">
        <f aca="false">E11+E12</f>
        <v>702.479563497856</v>
      </c>
      <c r="F13" s="0" t="n">
        <f aca="false">F11+F12</f>
        <v>1064.47380041992</v>
      </c>
      <c r="G13" s="0" t="n">
        <f aca="false">G11+G12</f>
        <v>1530.52626266235</v>
      </c>
      <c r="H13" s="0" t="n">
        <f aca="false">H11+H12</f>
        <v>1981.65426775906</v>
      </c>
      <c r="I13" s="0" t="n">
        <f aca="false">I11+I12</f>
        <v>2477.26022831705</v>
      </c>
      <c r="J13" s="0" t="n">
        <f aca="false">J11+J12</f>
        <v>2908.58619840061</v>
      </c>
      <c r="K13" s="0" t="n">
        <f aca="false">K11+K12</f>
        <v>3319.65517268323</v>
      </c>
      <c r="L13" s="0" t="n">
        <f aca="false">L11+L12</f>
        <v>3528.63625040647</v>
      </c>
    </row>
    <row r="14" customFormat="false" ht="15" hidden="false" customHeight="false" outlineLevel="0" collapsed="false">
      <c r="A14" s="0" t="s">
        <v>103</v>
      </c>
      <c r="C14" s="4" t="n">
        <f aca="false">Assumptions!C47</f>
        <v>0</v>
      </c>
      <c r="D14" s="4" t="n">
        <f aca="false">Assumptions!D47</f>
        <v>0</v>
      </c>
      <c r="E14" s="4" t="n">
        <f aca="false">Assumptions!E47</f>
        <v>2</v>
      </c>
      <c r="F14" s="4" t="n">
        <f aca="false">Assumptions!F47</f>
        <v>5</v>
      </c>
      <c r="G14" s="4" t="n">
        <f aca="false">Assumptions!G47</f>
        <v>8</v>
      </c>
      <c r="H14" s="4" t="n">
        <f aca="false">Assumptions!H47</f>
        <v>10</v>
      </c>
      <c r="I14" s="4" t="n">
        <f aca="false">Assumptions!I47</f>
        <v>12</v>
      </c>
      <c r="J14" s="4" t="n">
        <f aca="false">Assumptions!J47</f>
        <v>12</v>
      </c>
      <c r="K14" s="4" t="n">
        <f aca="false">Assumptions!K47</f>
        <v>12</v>
      </c>
      <c r="L14" s="4" t="n">
        <f aca="false">Assumptions!L47</f>
        <v>12</v>
      </c>
    </row>
    <row r="15" customFormat="false" ht="15" hidden="false" customHeight="false" outlineLevel="0" collapsed="false">
      <c r="A15" s="0" t="s">
        <v>118</v>
      </c>
      <c r="C15" s="0" t="n">
        <f aca="false">C13-MAX(0,C13)*C14/100</f>
        <v>564.7526468</v>
      </c>
      <c r="D15" s="0" t="n">
        <f aca="false">D13-MAX(0,D13)*D14/100</f>
        <v>405.9056340464</v>
      </c>
      <c r="E15" s="0" t="n">
        <f aca="false">E13-MAX(0,E13)*E14/100</f>
        <v>688.429972227899</v>
      </c>
      <c r="F15" s="0" t="n">
        <f aca="false">F13-MAX(0,F13)*F14/100</f>
        <v>1011.25011039892</v>
      </c>
      <c r="G15" s="0" t="n">
        <f aca="false">G13-MAX(0,G13)*G14/100</f>
        <v>1408.08416164936</v>
      </c>
      <c r="H15" s="0" t="n">
        <f aca="false">H13-MAX(0,H13)*H14/100</f>
        <v>1783.48884098315</v>
      </c>
      <c r="I15" s="0" t="n">
        <f aca="false">I13-MAX(0,I13)*I14/100</f>
        <v>2179.98900091901</v>
      </c>
      <c r="J15" s="0" t="n">
        <f aca="false">J13-MAX(0,J13)*J14/100</f>
        <v>2559.55585459253</v>
      </c>
      <c r="K15" s="0" t="n">
        <f aca="false">K13-MAX(0,K13)*K14/100</f>
        <v>2921.29655196125</v>
      </c>
      <c r="L15" s="0" t="n">
        <f aca="false">L13-MAX(0,L13)*L14/100</f>
        <v>3105.19990035769</v>
      </c>
    </row>
    <row r="16" customFormat="false" ht="15" hidden="false" customHeight="false" outlineLevel="0" collapsed="false">
      <c r="A16" s="0" t="s">
        <v>119</v>
      </c>
      <c r="C16" s="0" t="n">
        <f aca="false">-C12</f>
        <v>101.93096552</v>
      </c>
      <c r="D16" s="0" t="n">
        <f aca="false">-D12</f>
        <v>105.1266390336</v>
      </c>
      <c r="E16" s="0" t="n">
        <f aca="false">-E12</f>
        <v>126.73600372384</v>
      </c>
      <c r="F16" s="0" t="n">
        <f aca="false">-F12</f>
        <v>151.4314193066</v>
      </c>
      <c r="G16" s="0" t="n">
        <f aca="false">-G12</f>
        <v>177.84284037978</v>
      </c>
      <c r="H16" s="0" t="n">
        <f aca="false">-H12</f>
        <v>205.219859444304</v>
      </c>
      <c r="I16" s="0" t="n">
        <f aca="false">-I12</f>
        <v>230.615817050536</v>
      </c>
      <c r="J16" s="0" t="n">
        <f aca="false">-J12</f>
        <v>252.189554774619</v>
      </c>
      <c r="K16" s="0" t="n">
        <f aca="false">-K12</f>
        <v>277.408510252081</v>
      </c>
      <c r="L16" s="0" t="n">
        <f aca="false">-L12</f>
        <v>294.053020867206</v>
      </c>
    </row>
    <row r="17" customFormat="false" ht="15" hidden="false" customHeight="false" outlineLevel="0" collapsed="false">
      <c r="A17" s="0" t="s">
        <v>120</v>
      </c>
      <c r="C17" s="4" t="n">
        <f aca="false">-C6*Assumptions!C46/100</f>
        <v>-93.66629264</v>
      </c>
      <c r="D17" s="4" t="n">
        <f aca="false">-D6*Assumptions!D46/100</f>
        <v>-99.2862701984</v>
      </c>
      <c r="E17" s="4" t="n">
        <f aca="false">-E6*Assumptions!E46/100</f>
        <v>-119.493946368192</v>
      </c>
      <c r="F17" s="4" t="n">
        <f aca="false">-F6*Assumptions!F46/100</f>
        <v>-146.977554032876</v>
      </c>
      <c r="G17" s="4" t="n">
        <f aca="false">-G6*Assumptions!G46/100</f>
        <v>-172.453663398575</v>
      </c>
      <c r="H17" s="4" t="n">
        <f aca="false">-H6*Assumptions!H46/100</f>
        <v>-205.219859444304</v>
      </c>
      <c r="I17" s="4" t="n">
        <f aca="false">-I6*Assumptions!I46/100</f>
        <v>-230.615817050536</v>
      </c>
      <c r="J17" s="4" t="n">
        <f aca="false">-J6*Assumptions!J46/100</f>
        <v>-252.189554774619</v>
      </c>
      <c r="K17" s="4" t="n">
        <f aca="false">-K6*Assumptions!K46/100</f>
        <v>-277.408510252081</v>
      </c>
      <c r="L17" s="4" t="n">
        <f aca="false">-L6*Assumptions!L46/100</f>
        <v>-294.053020867206</v>
      </c>
    </row>
    <row r="18" customFormat="false" ht="15" hidden="false" customHeight="false" outlineLevel="0" collapsed="false">
      <c r="A18" s="0" t="s">
        <v>121</v>
      </c>
      <c r="C18" s="4" t="n">
        <f aca="false">(C6-B6)*Assumptions!$B$51/100</f>
        <v>-75.996992</v>
      </c>
      <c r="D18" s="4" t="n">
        <f aca="false">(D6-C6)*Assumptions!$B$51/100</f>
        <v>-33.05869152</v>
      </c>
      <c r="E18" s="4" t="n">
        <f aca="false">(E6-D6)*Assumptions!$B$51/100</f>
        <v>-140.1688520448</v>
      </c>
      <c r="F18" s="4" t="n">
        <f aca="false">(F6-E6)*Assumptions!$B$51/100</f>
        <v>-166.567319179904</v>
      </c>
      <c r="G18" s="4" t="n">
        <f aca="false">(G6-F6)*Assumptions!$B$51/100</f>
        <v>-187.062341496388</v>
      </c>
      <c r="H18" s="4" t="n">
        <f aca="false">(H6-G6)*Assumptions!$B$51/100</f>
        <v>-204.788725285807</v>
      </c>
      <c r="I18" s="4" t="n">
        <f aca="false">(I6-H6)*Assumptions!$B$51/100</f>
        <v>-205.219859444304</v>
      </c>
      <c r="J18" s="4" t="n">
        <f aca="false">(J6-I6)*Assumptions!$B$51/100</f>
        <v>-193.419717526256</v>
      </c>
      <c r="K18" s="4" t="n">
        <f aca="false">(K6-J6)*Assumptions!$B$51/100</f>
        <v>-168.126369849746</v>
      </c>
      <c r="L18" s="4" t="n">
        <f aca="false">(L6-K6)*Assumptions!$B$51/100</f>
        <v>-110.963404100832</v>
      </c>
    </row>
    <row r="19" customFormat="false" ht="15" hidden="false" customHeight="false" outlineLevel="0" collapsed="false">
      <c r="A19" s="0" t="s">
        <v>122</v>
      </c>
      <c r="C19" s="0" t="n">
        <f aca="false">C15+C16+C17+C18</f>
        <v>497.02032768</v>
      </c>
      <c r="D19" s="0" t="n">
        <f aca="false">D15+D16+D17+D18</f>
        <v>378.6873113616</v>
      </c>
      <c r="E19" s="0" t="n">
        <f aca="false">E15+E16+E17+E18</f>
        <v>555.503177538747</v>
      </c>
      <c r="F19" s="0" t="n">
        <f aca="false">F15+F16+F17+F18</f>
        <v>849.136656492744</v>
      </c>
      <c r="G19" s="0" t="n">
        <f aca="false">G15+G16+G17+G18</f>
        <v>1226.41099713418</v>
      </c>
      <c r="H19" s="0" t="n">
        <f aca="false">H15+H16+H17+H18</f>
        <v>1578.70011569735</v>
      </c>
      <c r="I19" s="0" t="n">
        <f aca="false">I15+I16+I17+I18</f>
        <v>1974.7691414747</v>
      </c>
      <c r="J19" s="0" t="n">
        <f aca="false">J15+J16+J17+J18</f>
        <v>2366.13613706628</v>
      </c>
      <c r="K19" s="0" t="n">
        <f aca="false">K15+K16+K17+K18</f>
        <v>2753.1701821115</v>
      </c>
      <c r="L19" s="0" t="n">
        <f aca="false">L15+L16+L17+L18</f>
        <v>2994.23649625686</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451.836661527273</v>
      </c>
      <c r="D21" s="0" t="n">
        <f aca="false">D19*D20</f>
        <v>312.964720133554</v>
      </c>
      <c r="E21" s="0" t="n">
        <f aca="false">E19*E20</f>
        <v>417.357759232717</v>
      </c>
      <c r="F21" s="0" t="n">
        <f aca="false">F19*F20</f>
        <v>579.971761828252</v>
      </c>
      <c r="G21" s="0" t="n">
        <f aca="false">G19*G20</f>
        <v>761.504738954852</v>
      </c>
      <c r="H21" s="0" t="n">
        <f aca="false">H19*H20</f>
        <v>891.135058684034</v>
      </c>
      <c r="I21" s="0" t="n">
        <f aca="false">I19*I20</f>
        <v>1013.36881657923</v>
      </c>
      <c r="J21" s="0" t="n">
        <f aca="false">J19*J20</f>
        <v>1103.81997052237</v>
      </c>
      <c r="K21" s="0" t="n">
        <f aca="false">K19*K20</f>
        <v>1167.61291720763</v>
      </c>
      <c r="L21" s="0" t="n">
        <f aca="false">L19*L20</f>
        <v>1154.40778809682</v>
      </c>
    </row>
    <row r="23" customFormat="false" ht="15" hidden="false" customHeight="false" outlineLevel="0" collapsed="false">
      <c r="A23" s="0" t="s">
        <v>100</v>
      </c>
      <c r="C23" s="4" t="n">
        <f aca="false">Assumptions!C44</f>
        <v>1.3</v>
      </c>
      <c r="D23" s="4" t="n">
        <f aca="false">Assumptions!D44</f>
        <v>1.2</v>
      </c>
      <c r="E23" s="4" t="n">
        <f aca="false">Assumptions!E44</f>
        <v>1</v>
      </c>
      <c r="F23" s="4" t="n">
        <f aca="false">Assumptions!F44</f>
        <v>0.9</v>
      </c>
      <c r="G23" s="4" t="n">
        <f aca="false">Assumptions!G44</f>
        <v>0.8</v>
      </c>
      <c r="H23" s="4" t="n">
        <f aca="false">Assumptions!H44</f>
        <v>0.7</v>
      </c>
      <c r="I23" s="4" t="n">
        <f aca="false">Assumptions!I44</f>
        <v>0.6</v>
      </c>
      <c r="J23" s="4" t="n">
        <f aca="false">Assumptions!J44</f>
        <v>0.6</v>
      </c>
      <c r="K23" s="4" t="n">
        <f aca="false">Assumptions!K44</f>
        <v>0.5</v>
      </c>
      <c r="L23" s="4" t="n">
        <f aca="false">Assumptions!L44</f>
        <v>0.5</v>
      </c>
    </row>
    <row r="24" customFormat="false" ht="15" hidden="false" customHeight="false" outlineLevel="0" collapsed="false">
      <c r="A24" s="0" t="s">
        <v>125</v>
      </c>
      <c r="C24" s="0" t="n">
        <f aca="false">-C6*C23/100</f>
        <v>-35.81358248</v>
      </c>
      <c r="D24" s="0" t="n">
        <f aca="false">-D6*D23/100</f>
        <v>-35.0422130112</v>
      </c>
      <c r="E24" s="0" t="n">
        <f aca="false">-E6*E23/100</f>
        <v>-36.21028677824</v>
      </c>
      <c r="F24" s="0" t="n">
        <f aca="false">-F6*F23/100</f>
        <v>-40.0847874635117</v>
      </c>
      <c r="G24" s="0" t="n">
        <f aca="false">-G6*G23/100</f>
        <v>-43.1134158496437</v>
      </c>
      <c r="H24" s="0" t="n">
        <f aca="false">-H6*H23/100</f>
        <v>-44.8918442534415</v>
      </c>
      <c r="I24" s="0" t="n">
        <f aca="false">-I6*I23/100</f>
        <v>-44.6353194291361</v>
      </c>
      <c r="J24" s="0" t="n">
        <f aca="false">-J6*J23/100</f>
        <v>-50.4379109549238</v>
      </c>
      <c r="K24" s="0" t="n">
        <f aca="false">-K6*K23/100</f>
        <v>-46.2347517086801</v>
      </c>
      <c r="L24" s="0" t="n">
        <f aca="false">-L6*L23/100</f>
        <v>-49.0088368112009</v>
      </c>
    </row>
    <row r="26" customFormat="false" ht="15" hidden="false" customHeight="false" outlineLevel="0" collapsed="false">
      <c r="A26" s="2" t="s">
        <v>126</v>
      </c>
    </row>
    <row r="27" customFormat="false" ht="15" hidden="false" customHeight="false" outlineLevel="0" collapsed="false">
      <c r="A27" s="0" t="s">
        <v>104</v>
      </c>
      <c r="B27" s="4" t="n">
        <f aca="false">Assumptions!$B$48</f>
        <v>10</v>
      </c>
    </row>
    <row r="28" customFormat="false" ht="15" hidden="false" customHeight="false" outlineLevel="0" collapsed="false">
      <c r="A28" s="0" t="s">
        <v>105</v>
      </c>
      <c r="B28" s="4" t="n">
        <f aca="false">Assumptions!$B$49</f>
        <v>3.5</v>
      </c>
    </row>
    <row r="29" customFormat="false" ht="15" hidden="false" customHeight="false" outlineLevel="0" collapsed="false">
      <c r="A29" s="0" t="s">
        <v>106</v>
      </c>
      <c r="B29" s="4" t="n">
        <f aca="false">Assumptions!$B$50</f>
        <v>20</v>
      </c>
    </row>
    <row r="30" customFormat="false" ht="15" hidden="false" customHeight="false" outlineLevel="0" collapsed="false">
      <c r="A30" s="0" t="s">
        <v>127</v>
      </c>
      <c r="B30" s="0" t="n">
        <f aca="false">SUM(C21:L21)</f>
        <v>7853.98019276673</v>
      </c>
    </row>
    <row r="31" customFormat="false" ht="15" hidden="false" customHeight="false" outlineLevel="0" collapsed="false">
      <c r="A31" s="0" t="s">
        <v>128</v>
      </c>
      <c r="B31" s="0" t="n">
        <f aca="false">L19</f>
        <v>2994.23649625686</v>
      </c>
    </row>
    <row r="32" customFormat="false" ht="15" hidden="false" customHeight="false" outlineLevel="0" collapsed="false">
      <c r="A32" s="0" t="s">
        <v>129</v>
      </c>
      <c r="B32" s="0" t="n">
        <f aca="false">IF(B27&gt;B28,B31*(1+B28/100)/((B27-B28)/100),B31*B29)</f>
        <v>47677.4580557823</v>
      </c>
    </row>
    <row r="33" customFormat="false" ht="15" hidden="false" customHeight="false" outlineLevel="0" collapsed="false">
      <c r="A33" s="0" t="s">
        <v>130</v>
      </c>
      <c r="B33" s="0" t="n">
        <f aca="false">B31*B29</f>
        <v>59884.7299251372</v>
      </c>
    </row>
    <row r="34" customFormat="false" ht="15" hidden="false" customHeight="false" outlineLevel="0" collapsed="false">
      <c r="A34" s="0" t="s">
        <v>131</v>
      </c>
      <c r="B34" s="0" t="n">
        <f aca="false">MAX(0,MIN(B32,B33))</f>
        <v>47677.4580557823</v>
      </c>
    </row>
    <row r="35" customFormat="false" ht="15" hidden="false" customHeight="false" outlineLevel="0" collapsed="false">
      <c r="A35" s="0" t="s">
        <v>132</v>
      </c>
      <c r="B35" s="0" t="n">
        <f aca="false">B34/(1+B27/100)^L4</f>
        <v>18381.7240104648</v>
      </c>
    </row>
    <row r="36" customFormat="false" ht="15" hidden="false" customHeight="false" outlineLevel="0" collapsed="false">
      <c r="A36" s="0" t="s">
        <v>133</v>
      </c>
      <c r="B36" s="0" t="n">
        <f aca="false">B30+B35</f>
        <v>26235.7042032315</v>
      </c>
    </row>
    <row r="37" customFormat="false" ht="15" hidden="false" customHeight="false" outlineLevel="0" collapsed="false">
      <c r="A37" s="0" t="s">
        <v>134</v>
      </c>
      <c r="B37" s="0" t="n">
        <f aca="false">B36+Assumptions!$B$5-Assumptions!$B$4</f>
        <v>32817.1042032315</v>
      </c>
    </row>
    <row r="38" customFormat="false" ht="15" hidden="false" customHeight="false" outlineLevel="0" collapsed="false">
      <c r="A38" s="0" t="s">
        <v>135</v>
      </c>
      <c r="B38" s="0" t="n">
        <f aca="false">B37/Assumptions!$B$3*Assumptions!$B$10</f>
        <v>22.4330897827931</v>
      </c>
    </row>
    <row r="39" customFormat="false" ht="15" hidden="false" customHeight="false" outlineLevel="0" collapsed="false">
      <c r="A39" s="0" t="s">
        <v>136</v>
      </c>
      <c r="B39" s="4" t="n">
        <f aca="false">B38/Assumptions!$B$2-1</f>
        <v>0.905954951809103</v>
      </c>
    </row>
    <row r="41" customFormat="false" ht="15" hidden="false" customHeight="false" outlineLevel="0" collapsed="false">
      <c r="A41" s="0" t="s">
        <v>137</v>
      </c>
      <c r="B41" s="0" t="n">
        <f aca="false">SUMPRODUCT(-C10:L10/(1+$B$27/100)^C4:L4)</f>
        <v>1097.34208495035</v>
      </c>
    </row>
    <row r="42" customFormat="false" ht="15" hidden="false" customHeight="false" outlineLevel="0" collapsed="false">
      <c r="A42" s="0" t="s">
        <v>138</v>
      </c>
      <c r="B42" s="0" t="n">
        <f aca="false">IF(B27&gt;B28,-L10*(1+B28/100)/((B27-B28)/100),-L10*20)/(1+B27/100)^L4</f>
        <v>1504.33493390317</v>
      </c>
    </row>
    <row r="43" customFormat="false" ht="15" hidden="false" customHeight="false" outlineLevel="0" collapsed="false">
      <c r="A43" s="0" t="s">
        <v>139</v>
      </c>
      <c r="B43" s="0" t="n">
        <f aca="false">(B37+B41+B42)/Assumptions!$B$3*Assumptions!$B$10</f>
        <v>24.2115420736575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26948.1284663117</v>
      </c>
    </row>
    <row r="47" customFormat="false" ht="15" hidden="false" customHeight="false" outlineLevel="0" collapsed="false">
      <c r="A47" s="0" t="s">
        <v>141</v>
      </c>
      <c r="B47" s="0" t="n">
        <f aca="false">(SUMPRODUCT(C19:L19/(1+B45/100)^C4:L4)+B46/(1+B45/100)^L4+Assumptions!$B$5-Assumptions!$B$4)/Assumptions!$B$3*Assumptions!$B$10</f>
        <v>13.0855800150759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7.31761361262409</v>
      </c>
      <c r="C4" s="0" t="n">
        <f aca="false">B4/Assumptions!$B$2-1</f>
        <v>-0.378282615749865</v>
      </c>
      <c r="D4" s="4" t="n">
        <f aca="false">Assumptions!$B$24</f>
        <v>0.3</v>
      </c>
      <c r="E4" s="4" t="n">
        <f aca="false">DCF_Bear!$B$43</f>
        <v>8.1224176275844</v>
      </c>
      <c r="F4" s="4" t="n">
        <f aca="false">DCF_Bear!$B$47</f>
        <v>6.08018904763737</v>
      </c>
    </row>
    <row r="5" customFormat="false" ht="15" hidden="false" customHeight="false" outlineLevel="0" collapsed="false">
      <c r="A5" s="0" t="s">
        <v>150</v>
      </c>
      <c r="B5" s="4" t="n">
        <f aca="false">DCF_Base!$B$38</f>
        <v>15.529319133639</v>
      </c>
      <c r="C5" s="0" t="n">
        <f aca="false">B5/Assumptions!$B$2-1</f>
        <v>0.319398397080629</v>
      </c>
      <c r="D5" s="4" t="n">
        <f aca="false">Assumptions!$B$38</f>
        <v>0.5</v>
      </c>
      <c r="E5" s="4" t="n">
        <f aca="false">DCF_Base!$B$43</f>
        <v>16.8769516845381</v>
      </c>
      <c r="F5" s="4" t="n">
        <f aca="false">DCF_Base!$B$47</f>
        <v>10.0960223805891</v>
      </c>
    </row>
    <row r="6" customFormat="false" ht="15" hidden="false" customHeight="false" outlineLevel="0" collapsed="false">
      <c r="A6" s="0" t="s">
        <v>151</v>
      </c>
      <c r="B6" s="4" t="n">
        <f aca="false">DCF_Bull!$B$38</f>
        <v>22.4330897827931</v>
      </c>
      <c r="C6" s="0" t="n">
        <f aca="false">B6/Assumptions!$B$2-1</f>
        <v>0.905954951809103</v>
      </c>
      <c r="D6" s="4" t="n">
        <f aca="false">Assumptions!$B$52</f>
        <v>0.2</v>
      </c>
      <c r="E6" s="4" t="n">
        <f aca="false">DCF_Bull!$B$43</f>
        <v>24.2115420736575</v>
      </c>
      <c r="F6" s="4" t="n">
        <f aca="false">DCF_Bull!$B$47</f>
        <v>13.0855800150759</v>
      </c>
    </row>
    <row r="8" customFormat="false" ht="15" hidden="false" customHeight="false" outlineLevel="0" collapsed="false">
      <c r="A8" s="0" t="s">
        <v>152</v>
      </c>
      <c r="B8" s="0" t="n">
        <f aca="false">SUMPRODUCT(B4:B6,D4:D6)</f>
        <v>14.4465616071654</v>
      </c>
    </row>
    <row r="9" customFormat="false" ht="15" hidden="false" customHeight="false" outlineLevel="0" collapsed="false">
      <c r="A9" s="0" t="s">
        <v>153</v>
      </c>
      <c r="B9" s="0" t="n">
        <f aca="false">SUMPRODUCT(E4:E6,D4:D6)</f>
        <v>15.7175095452759</v>
      </c>
    </row>
    <row r="10" customFormat="false" ht="15" hidden="false" customHeight="false" outlineLevel="0" collapsed="false">
      <c r="A10" s="0" t="s">
        <v>154</v>
      </c>
      <c r="B10" s="0" t="n">
        <f aca="false">1-Assumptions!$B$2/B8</f>
        <v>0.185273262935992</v>
      </c>
    </row>
    <row r="11" customFormat="false" ht="15" hidden="false" customHeight="false" outlineLevel="0" collapsed="false">
      <c r="A11" s="0" t="s">
        <v>155</v>
      </c>
      <c r="B11" s="0" t="n">
        <f aca="false">IF(ABS(B9-B8)&gt;0.01*ABS(B8),(Assumptions!$B$2-B8)/(B9-B8)*100,"n/a")</f>
        <v>-210.595692152781</v>
      </c>
    </row>
    <row r="12" customFormat="false" ht="15" hidden="false" customHeight="false" outlineLevel="0" collapsed="false">
      <c r="A12" s="0" t="s">
        <v>156</v>
      </c>
      <c r="B12" s="0" t="n">
        <f aca="false">SUMPRODUCT(F4:F6,D4:D6)</f>
        <v>9.48918390760094</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17.7669233023039</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15.529319133639</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13.8687581704692</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12.5917793034012</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10.0960223805891</v>
      </c>
      <c r="C19" s="3" t="n">
        <v>15</v>
      </c>
    </row>
    <row r="21" customFormat="false" ht="15" hidden="false" customHeight="false" outlineLevel="0" collapsed="false">
      <c r="A21" s="2" t="s">
        <v>164</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18.8057996849735</v>
      </c>
      <c r="C23" s="0" t="n">
        <f aca="false">(SUMPRODUCT(DCF_Base!$C$19:$L$19/(1+$A$23/100)^DCF_Base!$C$4:$L$4)+MAX(0,MIN(IF($A$23&gt;$C$22,DCF_Base!$L$19*(1+$C$22/100)/(($A$23-$C$22)/100),DCF_Base!$L$19*DCF_Base!$B$29),DCF_Base!$L$19*DCF_Base!$B$29))/(1+$A$23/100)^DCF_Base!$L$4+Assumptions!$B$5-Assumptions!$B$4)/Assumptions!$B$3*Assumptions!$B$10</f>
        <v>19.7713373406086</v>
      </c>
      <c r="D23" s="0" t="n">
        <f aca="false">(SUMPRODUCT(DCF_Base!$C$19:$L$19/(1+$A$23/100)^DCF_Base!$C$4:$L$4)+MAX(0,MIN(IF($A$23&gt;$D$22,DCF_Base!$L$19*(1+$D$22/100)/(($A$23-$D$22)/100),DCF_Base!$L$19*DCF_Base!$B$29),DCF_Base!$L$19*DCF_Base!$B$29))/(1+$A$23/100)^DCF_Base!$L$4+Assumptions!$B$5-Assumptions!$B$4)/Assumptions!$B$3*Assumptions!$B$10</f>
        <v>20.5759520536379</v>
      </c>
      <c r="E23" s="0" t="n">
        <f aca="false">(SUMPRODUCT(DCF_Base!$C$19:$L$19/(1+$A$23/100)^DCF_Base!$C$4:$L$4)+MAX(0,MIN(IF($A$23&gt;$E$22,DCF_Base!$L$19*(1+$E$22/100)/(($A$23-$E$22)/100),DCF_Base!$L$19*DCF_Base!$B$29),DCF_Base!$L$19*DCF_Base!$B$29))/(1+$A$23/100)^DCF_Base!$L$4+Assumptions!$B$5-Assumptions!$B$4)/Assumptions!$B$3*Assumptions!$B$10</f>
        <v>20.5759520536379</v>
      </c>
      <c r="F23" s="0" t="n">
        <f aca="false">(SUMPRODUCT(DCF_Base!$C$19:$L$19/(1+$A$23/100)^DCF_Base!$C$4:$L$4)+MAX(0,MIN(IF($A$23&gt;$F$22,DCF_Base!$L$19*(1+$F$22/100)/(($A$23-$F$22)/100),DCF_Base!$L$19*DCF_Base!$B$29),DCF_Base!$L$19*DCF_Base!$B$29))/(1+$A$23/100)^DCF_Base!$L$4+Assumptions!$B$5-Assumptions!$B$4)/Assumptions!$B$3*Assumptions!$B$10</f>
        <v>20.5759520536379</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16.3704289655227</v>
      </c>
      <c r="C24" s="0" t="n">
        <f aca="false">(SUMPRODUCT(DCF_Base!$C$19:$L$19/(1+$A$24/100)^DCF_Base!$C$4:$L$4)+MAX(0,MIN(IF($A$24&gt;$C$22,DCF_Base!$L$19*(1+$C$22/100)/(($A$24-$C$22)/100),DCF_Base!$L$19*DCF_Base!$B$29),DCF_Base!$L$19*DCF_Base!$B$29))/(1+$A$24/100)^DCF_Base!$L$4+Assumptions!$B$5-Assumptions!$B$4)/Assumptions!$B$3*Assumptions!$B$10</f>
        <v>17.0149648132679</v>
      </c>
      <c r="D24" s="0" t="n">
        <f aca="false">(SUMPRODUCT(DCF_Base!$C$19:$L$19/(1+$A$24/100)^DCF_Base!$C$4:$L$4)+MAX(0,MIN(IF($A$24&gt;$D$22,DCF_Base!$L$19*(1+$D$22/100)/(($A$24-$D$22)/100),DCF_Base!$L$19*DCF_Base!$B$29),DCF_Base!$L$19*DCF_Base!$B$29))/(1+$A$24/100)^DCF_Base!$L$4+Assumptions!$B$5-Assumptions!$B$4)/Assumptions!$B$3*Assumptions!$B$10</f>
        <v>17.7669233023039</v>
      </c>
      <c r="E24" s="0" t="n">
        <f aca="false">(SUMPRODUCT(DCF_Base!$C$19:$L$19/(1+$A$24/100)^DCF_Base!$C$4:$L$4)+MAX(0,MIN(IF($A$24&gt;$E$22,DCF_Base!$L$19*(1+$E$22/100)/(($A$24-$E$22)/100),DCF_Base!$L$19*DCF_Base!$B$29),DCF_Base!$L$19*DCF_Base!$B$29))/(1+$A$24/100)^DCF_Base!$L$4+Assumptions!$B$5-Assumptions!$B$4)/Assumptions!$B$3*Assumptions!$B$10</f>
        <v>18.6556015166192</v>
      </c>
      <c r="F24" s="0" t="n">
        <f aca="false">(SUMPRODUCT(DCF_Base!$C$19:$L$19/(1+$A$24/100)^DCF_Base!$C$4:$L$4)+MAX(0,MIN(IF($A$24&gt;$F$22,DCF_Base!$L$19*(1+$F$22/100)/(($A$24-$F$22)/100),DCF_Base!$L$19*DCF_Base!$B$29),DCF_Base!$L$19*DCF_Base!$B$29))/(1+$A$24/100)^DCF_Base!$L$4+Assumptions!$B$5-Assumptions!$B$4)/Assumptions!$B$3*Assumptions!$B$10</f>
        <v>19.2915363855788</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14.5645914141445</v>
      </c>
      <c r="C25" s="0" t="n">
        <f aca="false">(SUMPRODUCT(DCF_Base!$C$19:$L$19/(1+$A$25/100)^DCF_Base!$C$4:$L$4)+MAX(0,MIN(IF($A$25&gt;$C$22,DCF_Base!$L$19*(1+$C$22/100)/(($A$25-$C$22)/100),DCF_Base!$L$19*DCF_Base!$B$29),DCF_Base!$L$19*DCF_Base!$B$29))/(1+$A$25/100)^DCF_Base!$L$4+Assumptions!$B$5-Assumptions!$B$4)/Assumptions!$B$3*Assumptions!$B$10</f>
        <v>15.0147976832419</v>
      </c>
      <c r="D25" s="0" t="n">
        <f aca="false">(SUMPRODUCT(DCF_Base!$C$19:$L$19/(1+$A$25/100)^DCF_Base!$C$4:$L$4)+MAX(0,MIN(IF($A$25&gt;$D$22,DCF_Base!$L$19*(1+$D$22/100)/(($A$25-$D$22)/100),DCF_Base!$L$19*DCF_Base!$B$29),DCF_Base!$L$19*DCF_Base!$B$29))/(1+$A$25/100)^DCF_Base!$L$4+Assumptions!$B$5-Assumptions!$B$4)/Assumptions!$B$3*Assumptions!$B$10</f>
        <v>15.529319133639</v>
      </c>
      <c r="E25" s="0" t="n">
        <f aca="false">(SUMPRODUCT(DCF_Base!$C$19:$L$19/(1+$A$25/100)^DCF_Base!$C$4:$L$4)+MAX(0,MIN(IF($A$25&gt;$E$22,DCF_Base!$L$19*(1+$E$22/100)/(($A$25-$E$22)/100),DCF_Base!$L$19*DCF_Base!$B$29),DCF_Base!$L$19*DCF_Base!$B$29))/(1+$A$25/100)^DCF_Base!$L$4+Assumptions!$B$5-Assumptions!$B$4)/Assumptions!$B$3*Assumptions!$B$10</f>
        <v>16.122997730251</v>
      </c>
      <c r="F25" s="0" t="n">
        <f aca="false">(SUMPRODUCT(DCF_Base!$C$19:$L$19/(1+$A$25/100)^DCF_Base!$C$4:$L$4)+MAX(0,MIN(IF($A$25&gt;$F$22,DCF_Base!$L$19*(1+$F$22/100)/(($A$25-$F$22)/100),DCF_Base!$L$19*DCF_Base!$B$29),DCF_Base!$L$19*DCF_Base!$B$29))/(1+$A$25/100)^DCF_Base!$L$4+Assumptions!$B$5-Assumptions!$B$4)/Assumptions!$B$3*Assumptions!$B$10</f>
        <v>16.8156227596316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13.1771061575709</v>
      </c>
      <c r="C26" s="0" t="n">
        <f aca="false">(SUMPRODUCT(DCF_Base!$C$19:$L$19/(1+$A$26/100)^DCF_Base!$C$4:$L$4)+MAX(0,MIN(IF($A$26&gt;$C$22,DCF_Base!$L$19*(1+$C$22/100)/(($A$26-$C$22)/100),DCF_Base!$L$19*DCF_Base!$B$29),DCF_Base!$L$19*DCF_Base!$B$29))/(1+$A$26/100)^DCF_Base!$L$4+Assumptions!$B$5-Assumptions!$B$4)/Assumptions!$B$3*Assumptions!$B$10</f>
        <v>13.5025894577583</v>
      </c>
      <c r="D26" s="0" t="n">
        <f aca="false">(SUMPRODUCT(DCF_Base!$C$19:$L$19/(1+$A$26/100)^DCF_Base!$C$4:$L$4)+MAX(0,MIN(IF($A$26&gt;$D$22,DCF_Base!$L$19*(1+$D$22/100)/(($A$26-$D$22)/100),DCF_Base!$L$19*DCF_Base!$B$29),DCF_Base!$L$19*DCF_Base!$B$29))/(1+$A$26/100)^DCF_Base!$L$4+Assumptions!$B$5-Assumptions!$B$4)/Assumptions!$B$3*Assumptions!$B$10</f>
        <v>13.8687581704692</v>
      </c>
      <c r="E26" s="0" t="n">
        <f aca="false">(SUMPRODUCT(DCF_Base!$C$19:$L$19/(1+$A$26/100)^DCF_Base!$C$4:$L$4)+MAX(0,MIN(IF($A$26&gt;$E$22,DCF_Base!$L$19*(1+$E$22/100)/(($A$26-$E$22)/100),DCF_Base!$L$19*DCF_Base!$B$29),DCF_Base!$L$19*DCF_Base!$B$29))/(1+$A$26/100)^DCF_Base!$L$4+Assumptions!$B$5-Assumptions!$B$4)/Assumptions!$B$3*Assumptions!$B$10</f>
        <v>14.2837493782081</v>
      </c>
      <c r="F26" s="0" t="n">
        <f aca="false">(SUMPRODUCT(DCF_Base!$C$19:$L$19/(1+$A$26/100)^DCF_Base!$C$4:$L$4)+MAX(0,MIN(IF($A$26&gt;$F$22,DCF_Base!$L$19*(1+$F$22/100)/(($A$26-$F$22)/100),DCF_Base!$L$19*DCF_Base!$B$29),DCF_Base!$L$19*DCF_Base!$B$29))/(1+$A$26/100)^DCF_Base!$L$4+Assumptions!$B$5-Assumptions!$B$4)/Assumptions!$B$3*Assumptions!$B$10</f>
        <v>14.7580250441955</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12.0813657039124</v>
      </c>
      <c r="C27" s="0" t="n">
        <f aca="false">(SUMPRODUCT(DCF_Base!$C$19:$L$19/(1+$A$27/100)^DCF_Base!$C$4:$L$4)+MAX(0,MIN(IF($A$27&gt;$C$22,DCF_Base!$L$19*(1+$C$22/100)/(($A$27-$C$22)/100),DCF_Base!$L$19*DCF_Base!$B$29),DCF_Base!$L$19*DCF_Base!$B$29))/(1+$A$27/100)^DCF_Base!$L$4+Assumptions!$B$5-Assumptions!$B$4)/Assumptions!$B$3*Assumptions!$B$10</f>
        <v>12.3231405668281</v>
      </c>
      <c r="D27" s="0" t="n">
        <f aca="false">(SUMPRODUCT(DCF_Base!$C$19:$L$19/(1+$A$27/100)^DCF_Base!$C$4:$L$4)+MAX(0,MIN(IF($A$27&gt;$D$22,DCF_Base!$L$19*(1+$D$22/100)/(($A$27-$D$22)/100),DCF_Base!$L$19*DCF_Base!$B$29),DCF_Base!$L$19*DCF_Base!$B$29))/(1+$A$27/100)^DCF_Base!$L$4+Assumptions!$B$5-Assumptions!$B$4)/Assumptions!$B$3*Assumptions!$B$10</f>
        <v>12.5917793034012</v>
      </c>
      <c r="E27" s="0" t="n">
        <f aca="false">(SUMPRODUCT(DCF_Base!$C$19:$L$19/(1+$A$27/100)^DCF_Base!$C$4:$L$4)+MAX(0,MIN(IF($A$27&gt;$E$22,DCF_Base!$L$19*(1+$E$22/100)/(($A$27-$E$22)/100),DCF_Base!$L$19*DCF_Base!$B$29),DCF_Base!$L$19*DCF_Base!$B$29))/(1+$A$27/100)^DCF_Base!$L$4+Assumptions!$B$5-Assumptions!$B$4)/Assumptions!$B$3*Assumptions!$B$10</f>
        <v>12.8920225972181</v>
      </c>
      <c r="F27" s="0" t="n">
        <f aca="false">(SUMPRODUCT(DCF_Base!$C$19:$L$19/(1+$A$27/100)^DCF_Base!$C$4:$L$4)+MAX(0,MIN(IF($A$27&gt;$F$22,DCF_Base!$L$19*(1+$F$22/100)/(($A$27-$F$22)/100),DCF_Base!$L$19*DCF_Base!$B$29),DCF_Base!$L$19*DCF_Base!$B$29))/(1+$A$27/100)^DCF_Base!$L$4+Assumptions!$B$5-Assumptions!$B$4)/Assumptions!$B$3*Assumptions!$B$10</f>
        <v>13.2297963027621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2026-10-23T21:32:31Z</dcterms:created>
  <dc:creator>openpyxl</dc:creator>
  <dc:description/>
  <dc:language>en-NZ</dc:language>
  <cp:lastModifiedBy/>
  <dcterms:modified xsi:type="dcterms:W3CDTF">2026-10-23T21:32:31Z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