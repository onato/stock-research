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<sst xmlns="http://schemas.openxmlformats.org/spreadsheetml/2006/main" count="371" uniqueCount="172">
  <si>
    <t xml:space="preserve">Ticker</t>
  </si>
  <si>
    <t xml:space="preserve">MQG.AX</t>
  </si>
  <si>
    <t xml:space="preserve">Company</t>
  </si>
  <si>
    <t xml:space="preserve">Macquarie Group Limited</t>
  </si>
  <si>
    <t xml:space="preserve">Valuation date</t>
  </si>
  <si>
    <t xml:space="preserve">2026-09-24</t>
  </si>
  <si>
    <t xml:space="preserve">Current price</t>
  </si>
  <si>
    <t xml:space="preserve">Price as of</t>
  </si>
  <si>
    <t xml:space="preserve">2026-09-24T06:21:00Z ASX regular close</t>
  </si>
  <si>
    <t xml:space="preserve">Balance sheet date</t>
  </si>
  <si>
    <t xml:space="preserve">2026-03-31</t>
  </si>
  <si>
    <t xml:space="preserve">Model</t>
  </si>
  <si>
    <t xml:space="preserve">Bank FCFE capitalisation at cost of equity (engine route)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</si>
  <si>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</si>
  <si>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</si>
  <si>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</si>
  <si>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</si>
  <si>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</si>
  <si>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</si>
  <si>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</si>
  <si>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</si>
  <si>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2026-09-24T08:50:20Z</t>
  </si>
  <si>
    <t xml:space="preserve">Drivers file</t>
  </si>
  <si>
    <t xml:space="preserve">MQG.AX_Drivers.json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</si>
  <si>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</si>
  <si>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</si>
  <si>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</si>
  <si>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Macquarie is valued as what it is: an APRA-regulated bank holding company whose distributable earnings are NPAT less the capital it must retain to grow. Those flows are capitalised at a 10.5% AUD cost of equity with net debt at zero, which is equivalent to residual income on book. The engine build and the residual-income shortcut (P/B = (ROE - g)/(CoE - g)) both put fair value near 1.5x book, against a market price of ~2.5x book and ~19x FY26 EPS. The gap is not a forecasting disagreement about FY27 -- it is the market discounting Macquarie's flows at roughly 7.5-8% or assuming its 13-15% ROE compounds at high-single-digit growth indefinitely. Both scenarios are shown in the required-return table so the reader can see what return today's price implies rather than take the base case on faith.
key_risks_to_valuation: Cost of equity: every 1pp on the 10.5% rate moves value roughly 15-20%; at 9% the base case is materially higher. The rate is the single largest judgment in the model.; Sustainable ROE: the model retains NPAT x g/ROE; if incremental ROE is closer to the FY22-23 16-19% than the 14.5% base, less capital is consumed and value rises toward the bull case.; FY26 one-off gains: if the OnStream / public-investments / equity-exit gains are larger than the ~2.4pp margin step-down assumed, FY27 NPAT falls more than the flat base implies.; Regulatory: APRA $A500m operational-risk overlay unchanged, liquidity add-on only cut 25%-&gt;15%; Shield Master Fund proceedings and possible class actions can add conduct costs beyond the $A321m already paid.; Earnings mix: CGM (42% of FY26 net profit contribution) and Macquarie Capital (15%) are volatility- and deal-cycle dependent; a two-year down cycle looks like the FY24-25 trough (ROE 10.5-11%).; Currency: &gt;80% of MAM, CGM and Macquarie Capital income is earned offshore; FY26 equity fell $A1.7bn on FX translation. AUD appreciation reduces AUD earnings independently of the franchise.; Terminal assumption: ~55% of base value sits in the terminal (Gordon at 3% binds below the 15x FCFE cap); each 0.5pp of terminal growth is ~7% of value.</t>
  </si>
  <si>
    <t xml:space="preserve">Data sources</t>
  </si>
  <si>
    <t xml:space="preserve">price: Yahoo Finance chart API at inputs.price_as_of (ASX regular close); 52-week range 187.31-267.905.
financials: MQG.AX_Metrics.csv (core_metrics, AUD millions, FY2015-FY2026 annual + H1 FY2016-H1 FY2026 halves) exported from MQG.AX.duckdb; kpis table for Deposits, NetInterestIncome, NetLoans, DividendsPaid, TreasurySharesPurchased, ShareRepurchases; FY2026 Annual Report (MQG.AX_Annual_FY2026.txt) for the income statement (line 11143-11157), diluted-EPS reconciliation (11840-11860), capital position (1936-1965), intangibles (13271-13279) and five-year summary (9713-9719).
qualitative: MQG.AX_Analysis.json (2026-09-24): segment mix, growth drivers, regulatory developments (APRA overlays Feb 2026, ASIC settlement Mar 2026, Shield Master Fund), Qube Holdings acquisition (completed Aug 2026), bull/bear cases.</t>
  </si>
  <si>
    <t xml:space="preserve">Scenario narrative: bear</t>
  </si>
  <si>
    <t xml:space="preserve">FY27 income is flat as the one-offs unwind and a weaker deal/volatility backdrop hits CGM and Macquarie Capital; the margin drops to 32% with Shield Master Fund class-action and remediation costs plus impairment charges continuing to rise (already +96% in FY26); the $A500m APRA operational-risk overlay and liquidity add-ons persist, holding ROE at the FY24-25 level (11.5%) so every unit of growth consumes more capital. Growth recovers only to 3-4% and terminal growth is 2.5%. AUD strength on &gt;80% offshore income in MAM/CGM/MacCap is a further translation drag not separately modelled.</t>
  </si>
  <si>
    <t xml:space="preserve">Scenario narrative: base</t>
  </si>
  <si>
    <t xml:space="preserve">FY27 income grows 4% as the FY26 divestment gains (OnStream, public-investments sale, equity exits) roll off against underlying growth in all four franchises; the pre-SBC pre-tax margin steps from 38.9% to 36.5% so NPAT is roughly flat, then income compounds 7% for two years on MAM's infrastructure/private-credit AUM (Qube, MIP VI, data-centre and energy-transition platforms), BFS share gains and CGM's energy-transition footprint, tapering to 3.5% by FY36. Sustainable ROE 14.5% (11-year average ~15%) sets how much of NPAT must be retained to fund that growth, so the distributable share of earnings rises from ~52% to ~76% as growth slows. APRA overlays are worked off on schedule and no further material conduct charges arise.</t>
  </si>
  <si>
    <t xml:space="preserve">Scenario narrative: bull</t>
  </si>
  <si>
    <t xml:space="preserve">CGM's commodity/energy volatility income and financing book keep compounding (CGM +49% in FY26 becomes a new base rather than a peak), MAM performance fees and Macquarie Capital realisations stay elevated, and the pre-tax margin returns toward the FY22-23 level (40-41%). Income grows 8-9% for three years and ROE holds 16%, so growth is funded with less retained capital and payout plus buybacks can rise. Terminal growth 3.5%. Even here the value is bounded by the 10.5% cost of equity: at ROE 16% the justified P/B is ~1.8x, not the 2.5x the market pays.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</si>
  <si>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</si>
  <si>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</si>
  <si>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</si>
  <si>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</si>
  <si>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</si>
  <si>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</si>
  <si>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</si>
  <si>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</si>
  <si>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</si>
  <si>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</si>
  <si>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</si>
  <si>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</si>
  <si>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</si>
  <si>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</si>
  <si>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</si>
  <si>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</si>
  <si>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</si>
  <si>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</si>
  <si>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</si>
  <si>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</si>
  <si>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</si>
  <si>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</si>
  <si>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</si>
  <si>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</si>
  <si>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</si>
  <si>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</si>
  <si>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</si>
  <si>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Deposits</t>
  </si>
  <si>
    <t xml:space="preserve">NetInterestIncome</t>
  </si>
  <si>
    <t xml:space="preserve">NetLoans</t>
  </si>
  <si>
    <t xml:space="preserve">BasicEPS</t>
  </si>
  <si>
    <t xml:space="preserve">TreasurySharesPurchased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</si>
  <si>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</si>
  <si>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</si>
  <si>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</si>
  <si>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</si>
  <si>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</si>
  <si>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</si>
  <si>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</si>
  <si>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</si>
  <si>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</si>
  <si>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</si>
  <si>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</si>
  <si>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</si>
  <si>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</si>
  <si>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</si>
  <si>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</si>
  <si>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</si>
  <si>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</si>
  <si>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</si>
  <si>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</si>
  <si>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</si>
  <si>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</si>
  <si>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</si>
  <si>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</si>
  <si>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</si>
  <si>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</si>
  <si>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</si>
  <si>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</si>
  <si>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</si>
  <si>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</si>
  <si>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</si>
  <si>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</si>
  <si>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</si>
  <si>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</si>
  <si>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</si>
  <si>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</si>
  <si>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</si>
  <si>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</si>
  <si>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</si>
  <si>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</si>
  <si>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</si>
  <si>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</si>
  <si>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</si>
  <si>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</si>
  <si>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</si>
  <si>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</si>
  <si>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</si>
  <si>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</si>
  <si>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</si>
  <si>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</si>
  <si>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MQG.AX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</si>
  <si>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</si>
  <si>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</si>
  <si>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</si>
  <si>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</si>
  <si>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</si>
  <si>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</si>
  <si>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</si>
  <si>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</si>
  <si>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</si>
  <si>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</si>
  <si>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</si>
  <si>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</si>
  <si>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</si>
  <si>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</si>
  <si>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</si>
  <si>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</si>
  <si>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</si>
  <si>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</si>
  <si>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</si>
  <si>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</si>
  <si>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</si>
  <si>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</si>
  <si>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</si>
  <si>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</si>
  <si>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</si>
  <si>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</si>
  <si>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</si>
  <si>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</si>
  <si>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</si>
  <si>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</si>
  <si>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MQG.AX owner-FCF component DCF: base case (millions, AUD)</t>
  </si>
  <si>
    <t xml:space="preserve">MQG.AX owner-FCF component DCF: bull case (millions, AUD)</t>
  </si>
  <si>
    <t xml:space="preserve">MQG.AX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</si>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</sst>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242.55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9262</v>
      </c>
      <c r="F2" s="0" t="n">
        <v>2522</v>
      </c>
      <c r="G2" s="0" t="n">
        <v>27.2</v>
      </c>
      <c r="I2" s="0" t="n">
        <v>1604</v>
      </c>
      <c r="J2" s="0" t="n">
        <v>17.3</v>
      </c>
      <c r="K2" s="0" t="n">
        <v>4.842</v>
      </c>
      <c r="L2" s="0" t="n">
        <v>-2413</v>
      </c>
      <c r="M2" s="0" t="n">
        <v>258</v>
      </c>
      <c r="O2" s="0" t="n">
        <v>13909</v>
      </c>
      <c r="P2" s="0" t="n">
        <v>187976</v>
      </c>
      <c r="Q2" s="0" t="n">
        <v>173580</v>
      </c>
      <c r="R2" s="0" t="n">
        <v>67473</v>
      </c>
      <c r="S2" s="0" t="n">
        <v>10681</v>
      </c>
      <c r="T2" s="0" t="n">
        <v>319.3</v>
      </c>
      <c r="U2" s="0" t="n">
        <v>319</v>
      </c>
      <c r="AA2" s="0" t="s">
        <v>17</v>
      </c>
      <c r="AB2" s="0" t="s">
        <v>14</v>
      </c>
      <c r="AC2" s="0" t="n">
        <v>47386</v>
      </c>
      <c r="AD2" s="0" t="n">
        <v>2092</v>
      </c>
      <c r="AE2" s="0" t="n">
        <v>72762</v>
      </c>
      <c r="AF2" s="0" t="n">
        <v>5.023</v>
      </c>
      <c r="AG2" s="0" t="n">
        <v>266</v>
      </c>
    </row>
    <row r="3" customFormat="false" ht="15" hidden="false" customHeight="false" outlineLevel="0" collapsed="false">
      <c r="A3" s="0" t="s">
        <v>69</v>
      </c>
      <c r="B3" s="0" t="n">
        <v>10158</v>
      </c>
      <c r="F3" s="0" t="n">
        <v>3015</v>
      </c>
      <c r="G3" s="0" t="n">
        <v>29.7</v>
      </c>
      <c r="I3" s="0" t="n">
        <v>2063</v>
      </c>
      <c r="J3" s="0" t="n">
        <v>20.3</v>
      </c>
      <c r="K3" s="0" t="n">
        <v>6.001</v>
      </c>
      <c r="L3" s="0" t="n">
        <v>12823</v>
      </c>
      <c r="M3" s="0" t="n">
        <v>149</v>
      </c>
      <c r="O3" s="0" t="n">
        <v>15116</v>
      </c>
      <c r="P3" s="0" t="n">
        <v>196755</v>
      </c>
      <c r="Q3" s="0" t="n">
        <v>181091</v>
      </c>
      <c r="R3" s="0" t="n">
        <v>71566</v>
      </c>
      <c r="S3" s="0" t="n">
        <v>9110</v>
      </c>
      <c r="T3" s="0" t="n">
        <v>333.2</v>
      </c>
      <c r="U3" s="0" t="n">
        <v>298</v>
      </c>
      <c r="AA3" s="0" t="s">
        <v>17</v>
      </c>
      <c r="AB3" s="0" t="s">
        <v>14</v>
      </c>
      <c r="AC3" s="0" t="n">
        <v>52245</v>
      </c>
      <c r="AD3" s="0" t="n">
        <v>2279</v>
      </c>
      <c r="AE3" s="0" t="n">
        <v>80366</v>
      </c>
      <c r="AF3" s="0" t="n">
        <v>6.192</v>
      </c>
      <c r="AG3" s="0" t="n">
        <v>383</v>
      </c>
    </row>
    <row r="4" customFormat="false" ht="15" hidden="false" customHeight="false" outlineLevel="0" collapsed="false">
      <c r="A4" s="0" t="s">
        <v>70</v>
      </c>
      <c r="B4" s="0" t="n">
        <v>10364</v>
      </c>
      <c r="F4" s="0" t="n">
        <v>3104</v>
      </c>
      <c r="G4" s="0" t="n">
        <v>29.9</v>
      </c>
      <c r="I4" s="0" t="n">
        <v>2217</v>
      </c>
      <c r="J4" s="0" t="n">
        <v>21.4</v>
      </c>
      <c r="K4" s="0" t="n">
        <v>6.445</v>
      </c>
      <c r="L4" s="0" t="n">
        <v>-5708</v>
      </c>
      <c r="M4" s="0" t="n">
        <v>329</v>
      </c>
      <c r="O4" s="0" t="n">
        <v>15563</v>
      </c>
      <c r="P4" s="0" t="n">
        <v>182877</v>
      </c>
      <c r="Q4" s="0" t="n">
        <v>165607</v>
      </c>
      <c r="R4" s="0" t="n">
        <v>58980</v>
      </c>
      <c r="S4" s="0" t="n">
        <v>9135</v>
      </c>
      <c r="T4" s="0" t="n">
        <v>337.1</v>
      </c>
      <c r="U4" s="0" t="n">
        <v>382</v>
      </c>
      <c r="AA4" s="0" t="s">
        <v>17</v>
      </c>
      <c r="AB4" s="0" t="s">
        <v>14</v>
      </c>
      <c r="AC4" s="0" t="n">
        <v>57708</v>
      </c>
      <c r="AD4" s="0" t="n">
        <v>2185</v>
      </c>
      <c r="AE4" s="0" t="n">
        <v>76663</v>
      </c>
      <c r="AF4" s="0" t="n">
        <v>6.576</v>
      </c>
      <c r="AG4" s="0" t="n">
        <v>433</v>
      </c>
    </row>
    <row r="5" customFormat="false" ht="15" hidden="false" customHeight="false" outlineLevel="0" collapsed="false">
      <c r="A5" s="0" t="s">
        <v>71</v>
      </c>
      <c r="B5" s="0" t="n">
        <v>10920</v>
      </c>
      <c r="F5" s="0" t="n">
        <v>3464</v>
      </c>
      <c r="G5" s="0" t="n">
        <v>31.7</v>
      </c>
      <c r="I5" s="0" t="n">
        <v>2557</v>
      </c>
      <c r="J5" s="0" t="n">
        <v>23.4</v>
      </c>
      <c r="K5" s="0" t="n">
        <v>7.435</v>
      </c>
      <c r="L5" s="0" t="n">
        <v>4450</v>
      </c>
      <c r="M5" s="0" t="n">
        <v>197</v>
      </c>
      <c r="O5" s="0" t="n">
        <v>16357</v>
      </c>
      <c r="P5" s="0" t="n">
        <v>191325</v>
      </c>
      <c r="Q5" s="0" t="n">
        <v>173145</v>
      </c>
      <c r="R5" s="0" t="n">
        <v>70326</v>
      </c>
      <c r="S5" s="0" t="n">
        <v>9722</v>
      </c>
      <c r="T5" s="0" t="n">
        <v>337.2</v>
      </c>
      <c r="U5" s="0" t="n">
        <v>383</v>
      </c>
      <c r="AA5" s="0" t="s">
        <v>17</v>
      </c>
      <c r="AB5" s="0" t="s">
        <v>14</v>
      </c>
      <c r="AC5" s="0" t="n">
        <v>48395</v>
      </c>
      <c r="AD5" s="0" t="n">
        <v>1986</v>
      </c>
      <c r="AE5" s="0" t="n">
        <v>73509</v>
      </c>
      <c r="AF5" s="0" t="n">
        <v>7.582</v>
      </c>
      <c r="AG5" s="0" t="n">
        <v>373</v>
      </c>
    </row>
    <row r="6" customFormat="false" ht="15" hidden="false" customHeight="false" outlineLevel="0" collapsed="false">
      <c r="A6" s="0" t="s">
        <v>72</v>
      </c>
      <c r="B6" s="0" t="n">
        <v>12754</v>
      </c>
      <c r="F6" s="0" t="n">
        <v>3867</v>
      </c>
      <c r="G6" s="0" t="n">
        <v>30.3</v>
      </c>
      <c r="I6" s="0" t="n">
        <v>2982</v>
      </c>
      <c r="J6" s="0" t="n">
        <v>23.4</v>
      </c>
      <c r="K6" s="0" t="n">
        <v>8.681</v>
      </c>
      <c r="L6" s="0" t="n">
        <v>36</v>
      </c>
      <c r="M6" s="0" t="n">
        <v>633</v>
      </c>
      <c r="O6" s="0" t="n">
        <v>17761</v>
      </c>
      <c r="P6" s="0" t="n">
        <v>197757</v>
      </c>
      <c r="Q6" s="0" t="n">
        <v>179393</v>
      </c>
      <c r="R6" s="0" t="n">
        <v>67670</v>
      </c>
      <c r="S6" s="0" t="n">
        <v>8643</v>
      </c>
      <c r="T6" s="0" t="n">
        <v>337.6</v>
      </c>
      <c r="U6" s="0" t="n">
        <v>491</v>
      </c>
      <c r="AA6" s="0" t="s">
        <v>17</v>
      </c>
      <c r="AB6" s="0" t="s">
        <v>14</v>
      </c>
      <c r="AC6" s="0" t="n">
        <v>56191</v>
      </c>
      <c r="AD6" s="0" t="n">
        <v>1760</v>
      </c>
      <c r="AE6" s="0" t="n">
        <v>77811</v>
      </c>
      <c r="AF6" s="0" t="n">
        <v>8.833</v>
      </c>
      <c r="AG6" s="0" t="n">
        <v>454</v>
      </c>
    </row>
    <row r="7" customFormat="false" ht="15" hidden="false" customHeight="false" outlineLevel="0" collapsed="false">
      <c r="A7" s="0" t="s">
        <v>73</v>
      </c>
      <c r="B7" s="0" t="n">
        <v>12325</v>
      </c>
      <c r="F7" s="0" t="n">
        <v>3454</v>
      </c>
      <c r="G7" s="0" t="n">
        <v>28</v>
      </c>
      <c r="I7" s="0" t="n">
        <v>2731</v>
      </c>
      <c r="J7" s="0" t="n">
        <v>22.2</v>
      </c>
      <c r="K7" s="0" t="n">
        <v>7.645</v>
      </c>
      <c r="L7" s="0" t="n">
        <v>12119</v>
      </c>
      <c r="M7" s="0" t="n">
        <v>1084</v>
      </c>
      <c r="O7" s="0" t="n">
        <v>21063</v>
      </c>
      <c r="P7" s="0" t="n">
        <v>255802</v>
      </c>
      <c r="Q7" s="0" t="n">
        <v>234018</v>
      </c>
      <c r="R7" s="0" t="n">
        <v>89063</v>
      </c>
      <c r="S7" s="0" t="n">
        <v>9717</v>
      </c>
      <c r="T7" s="0" t="n">
        <v>345.3</v>
      </c>
      <c r="U7" s="0" t="n">
        <v>586</v>
      </c>
      <c r="AA7" s="0" t="s">
        <v>17</v>
      </c>
      <c r="AB7" s="0" t="s">
        <v>14</v>
      </c>
      <c r="AC7" s="0" t="n">
        <v>67342</v>
      </c>
      <c r="AD7" s="0" t="n">
        <v>1859</v>
      </c>
      <c r="AE7" s="0" t="n">
        <v>94117</v>
      </c>
      <c r="AF7" s="0" t="n">
        <v>7.91</v>
      </c>
      <c r="AG7" s="0" t="n">
        <v>607</v>
      </c>
    </row>
    <row r="8" customFormat="false" ht="15" hidden="false" customHeight="false" outlineLevel="0" collapsed="false">
      <c r="A8" s="0" t="s">
        <v>74</v>
      </c>
      <c r="B8" s="0" t="n">
        <v>12774</v>
      </c>
      <c r="F8" s="0" t="n">
        <v>3907</v>
      </c>
      <c r="G8" s="0" t="n">
        <v>30.6</v>
      </c>
      <c r="I8" s="0" t="n">
        <v>3015</v>
      </c>
      <c r="J8" s="0" t="n">
        <v>23.6</v>
      </c>
      <c r="K8" s="0" t="n">
        <v>8.246</v>
      </c>
      <c r="L8" s="0" t="n">
        <v>2826</v>
      </c>
      <c r="M8" s="0" t="n">
        <v>402</v>
      </c>
      <c r="O8" s="0" t="n">
        <v>22048</v>
      </c>
      <c r="P8" s="0" t="n">
        <v>245653</v>
      </c>
      <c r="Q8" s="0" t="n">
        <v>223302</v>
      </c>
      <c r="R8" s="0" t="n">
        <v>80220</v>
      </c>
      <c r="S8" s="0" t="n">
        <v>18425</v>
      </c>
      <c r="T8" s="0" t="n">
        <v>357.7</v>
      </c>
      <c r="U8" s="0" t="n">
        <v>529</v>
      </c>
      <c r="AA8" s="0" t="s">
        <v>17</v>
      </c>
      <c r="AB8" s="0" t="s">
        <v>14</v>
      </c>
      <c r="AC8" s="0" t="n">
        <v>84199</v>
      </c>
      <c r="AD8" s="0" t="n">
        <v>2195</v>
      </c>
      <c r="AE8" s="0" t="n">
        <v>105026</v>
      </c>
    </row>
    <row r="9" customFormat="false" ht="15" hidden="false" customHeight="false" outlineLevel="0" collapsed="false">
      <c r="A9" s="0" t="s">
        <v>75</v>
      </c>
      <c r="B9" s="0" t="n">
        <v>17324</v>
      </c>
      <c r="F9" s="0" t="n">
        <v>6539</v>
      </c>
      <c r="G9" s="0" t="n">
        <v>37.7</v>
      </c>
      <c r="I9" s="0" t="n">
        <v>4706</v>
      </c>
      <c r="J9" s="0" t="n">
        <v>27.2</v>
      </c>
      <c r="K9" s="0" t="n">
        <v>12.306</v>
      </c>
      <c r="L9" s="0" t="n">
        <v>50451</v>
      </c>
      <c r="M9" s="0" t="n">
        <v>892</v>
      </c>
      <c r="O9" s="0" t="n">
        <v>28561</v>
      </c>
      <c r="P9" s="0" t="n">
        <v>399176</v>
      </c>
      <c r="Q9" s="0" t="n">
        <v>370370</v>
      </c>
      <c r="R9" s="0" t="n">
        <v>122936</v>
      </c>
      <c r="S9" s="0" t="n">
        <v>52754</v>
      </c>
      <c r="T9" s="0" t="n">
        <v>370.1</v>
      </c>
      <c r="U9" s="0" t="n">
        <v>618</v>
      </c>
      <c r="AA9" s="0" t="s">
        <v>17</v>
      </c>
      <c r="AB9" s="0" t="s">
        <v>14</v>
      </c>
      <c r="AC9" s="0" t="n">
        <v>101667</v>
      </c>
      <c r="AD9" s="0" t="n">
        <v>2860</v>
      </c>
      <c r="AE9" s="0" t="n">
        <v>134744</v>
      </c>
    </row>
    <row r="10" customFormat="false" ht="15" hidden="false" customHeight="false" outlineLevel="0" collapsed="false">
      <c r="A10" s="0" t="s">
        <v>76</v>
      </c>
      <c r="B10" s="0" t="n">
        <v>19122</v>
      </c>
      <c r="F10" s="0" t="n">
        <v>6992</v>
      </c>
      <c r="G10" s="0" t="n">
        <v>36.6</v>
      </c>
      <c r="I10" s="0" t="n">
        <v>5182</v>
      </c>
      <c r="J10" s="0" t="n">
        <v>27.1</v>
      </c>
      <c r="K10" s="0" t="n">
        <v>13.163</v>
      </c>
      <c r="L10" s="0" t="n">
        <v>-11380</v>
      </c>
      <c r="M10" s="0" t="n">
        <v>754</v>
      </c>
      <c r="O10" s="0" t="n">
        <v>33155</v>
      </c>
      <c r="P10" s="0" t="n">
        <v>387872</v>
      </c>
      <c r="Q10" s="0" t="n">
        <v>353766</v>
      </c>
      <c r="R10" s="0" t="n">
        <v>122352</v>
      </c>
      <c r="S10" s="0" t="n">
        <v>45656</v>
      </c>
      <c r="T10" s="0" t="n">
        <v>382.8</v>
      </c>
      <c r="U10" s="0" t="n">
        <v>751</v>
      </c>
      <c r="AA10" s="0" t="s">
        <v>17</v>
      </c>
      <c r="AB10" s="0" t="s">
        <v>14</v>
      </c>
      <c r="AC10" s="0" t="n">
        <v>134714</v>
      </c>
      <c r="AD10" s="0" t="n">
        <v>3028</v>
      </c>
      <c r="AE10" s="0" t="n">
        <v>158572</v>
      </c>
      <c r="AG10" s="0" t="n">
        <v>1025</v>
      </c>
    </row>
    <row r="11" customFormat="false" ht="15" hidden="false" customHeight="false" outlineLevel="0" collapsed="false">
      <c r="A11" s="0" t="s">
        <v>77</v>
      </c>
      <c r="B11" s="0" t="n">
        <v>16887</v>
      </c>
      <c r="F11" s="0" t="n">
        <v>4826</v>
      </c>
      <c r="G11" s="0" t="n">
        <v>28.6</v>
      </c>
      <c r="I11" s="0" t="n">
        <v>3522</v>
      </c>
      <c r="J11" s="0" t="n">
        <v>20.9</v>
      </c>
      <c r="K11" s="0" t="n">
        <v>9.114</v>
      </c>
      <c r="L11" s="0" t="n">
        <v>-4090</v>
      </c>
      <c r="M11" s="0" t="n">
        <v>1957</v>
      </c>
      <c r="O11" s="0" t="n">
        <v>33481</v>
      </c>
      <c r="P11" s="0" t="n">
        <v>403404</v>
      </c>
      <c r="Q11" s="0" t="n">
        <v>369408</v>
      </c>
      <c r="R11" s="0" t="n">
        <v>134079</v>
      </c>
      <c r="S11" s="0" t="n">
        <v>31855</v>
      </c>
      <c r="T11" s="0" t="n">
        <v>384.2</v>
      </c>
      <c r="U11" s="0" t="n">
        <v>799</v>
      </c>
      <c r="AA11" s="0" t="s">
        <v>17</v>
      </c>
      <c r="AB11" s="0" t="s">
        <v>14</v>
      </c>
      <c r="AC11" s="0" t="n">
        <v>148416</v>
      </c>
      <c r="AD11" s="0" t="n">
        <v>3459</v>
      </c>
      <c r="AE11" s="0" t="n">
        <v>176371</v>
      </c>
      <c r="AG11" s="0" t="n">
        <v>1317</v>
      </c>
    </row>
    <row r="12" customFormat="false" ht="15" hidden="false" customHeight="false" outlineLevel="0" collapsed="false">
      <c r="A12" s="0" t="s">
        <v>78</v>
      </c>
      <c r="B12" s="0" t="n">
        <v>17208</v>
      </c>
      <c r="F12" s="0" t="n">
        <v>5068</v>
      </c>
      <c r="G12" s="0" t="n">
        <v>29.5</v>
      </c>
      <c r="I12" s="0" t="n">
        <v>3715</v>
      </c>
      <c r="J12" s="0" t="n">
        <v>21.6</v>
      </c>
      <c r="K12" s="0" t="n">
        <v>9.755</v>
      </c>
      <c r="L12" s="0" t="n">
        <v>6334</v>
      </c>
      <c r="M12" s="0" t="n">
        <v>1006</v>
      </c>
      <c r="O12" s="0" t="n">
        <v>35356</v>
      </c>
      <c r="P12" s="0" t="n">
        <v>445221</v>
      </c>
      <c r="Q12" s="0" t="n">
        <v>409432</v>
      </c>
      <c r="R12" s="0" t="n">
        <v>151573</v>
      </c>
      <c r="S12" s="0" t="n">
        <v>26385</v>
      </c>
      <c r="T12" s="0" t="n">
        <v>379.3</v>
      </c>
      <c r="U12" s="0" t="n">
        <v>843</v>
      </c>
      <c r="AA12" s="0" t="s">
        <v>17</v>
      </c>
      <c r="AB12" s="0" t="s">
        <v>14</v>
      </c>
      <c r="AC12" s="0" t="n">
        <v>177671</v>
      </c>
      <c r="AD12" s="0" t="n">
        <v>3507</v>
      </c>
      <c r="AE12" s="0" t="n">
        <v>205648</v>
      </c>
      <c r="AF12" s="0" t="n">
        <v>9.794</v>
      </c>
      <c r="AG12" s="0" t="n">
        <v>935</v>
      </c>
    </row>
    <row r="13" customFormat="false" ht="15" hidden="false" customHeight="false" outlineLevel="0" collapsed="false">
      <c r="A13" s="0" t="s">
        <v>79</v>
      </c>
      <c r="B13" s="0" t="n">
        <v>19477</v>
      </c>
      <c r="F13" s="0" t="n">
        <v>6729</v>
      </c>
      <c r="G13" s="0" t="n">
        <v>34.5</v>
      </c>
      <c r="I13" s="0" t="n">
        <v>4847</v>
      </c>
      <c r="J13" s="0" t="n">
        <v>24.9</v>
      </c>
      <c r="K13" s="0" t="n">
        <v>12.669</v>
      </c>
      <c r="L13" s="0" t="n">
        <v>12530</v>
      </c>
      <c r="M13" s="0" t="n">
        <v>586</v>
      </c>
      <c r="O13" s="0" t="n">
        <v>36068</v>
      </c>
      <c r="P13" s="0" t="n">
        <v>540101</v>
      </c>
      <c r="Q13" s="0" t="n">
        <v>503245</v>
      </c>
      <c r="R13" s="0" t="n">
        <v>167944</v>
      </c>
      <c r="S13" s="0" t="n">
        <v>23422</v>
      </c>
      <c r="T13" s="0" t="n">
        <v>379.6</v>
      </c>
      <c r="U13" s="0" t="n">
        <v>837</v>
      </c>
      <c r="AA13" s="0" t="s">
        <v>17</v>
      </c>
      <c r="AB13" s="0" t="s">
        <v>14</v>
      </c>
      <c r="AC13" s="0" t="n">
        <v>221547</v>
      </c>
      <c r="AD13" s="0" t="n">
        <v>4151</v>
      </c>
      <c r="AE13" s="0" t="n">
        <v>253529</v>
      </c>
      <c r="AF13" s="0" t="n">
        <v>12.77</v>
      </c>
      <c r="AG13" s="0" t="n">
        <v>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242.55</v>
      </c>
    </row>
    <row r="3" customFormat="false" ht="15" hidden="false" customHeight="false" outlineLevel="0" collapsed="false">
      <c r="A3" s="0" t="s">
        <v>83</v>
      </c>
      <c r="B3" s="3" t="n">
        <v>376.9</v>
      </c>
    </row>
    <row r="4" customFormat="false" ht="15" hidden="false" customHeight="false" outlineLevel="0" collapsed="false">
      <c r="A4" s="0" t="s">
        <v>84</v>
      </c>
      <c r="B4" s="3" t="n">
        <v>0</v>
      </c>
    </row>
    <row r="5" customFormat="false" ht="15" hidden="false" customHeight="false" outlineLevel="0" collapsed="false">
      <c r="A5" s="0" t="s">
        <v>85</v>
      </c>
      <c r="B5" s="3" t="n">
        <v>0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19477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0</v>
      </c>
      <c r="D13" s="3" t="n">
        <v>3</v>
      </c>
      <c r="E13" s="3" t="n">
        <v>4</v>
      </c>
      <c r="F13" s="3" t="n">
        <v>4</v>
      </c>
      <c r="G13" s="3" t="n">
        <v>3.5</v>
      </c>
      <c r="H13" s="3" t="n">
        <v>3.5</v>
      </c>
      <c r="I13" s="3" t="n">
        <v>3</v>
      </c>
      <c r="J13" s="3" t="n">
        <v>3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104</v>
      </c>
      <c r="C14" s="3" t="n">
        <v>32</v>
      </c>
      <c r="D14" s="3" t="n">
        <v>33</v>
      </c>
      <c r="E14" s="3" t="n">
        <v>33.5</v>
      </c>
      <c r="F14" s="3" t="n">
        <v>34</v>
      </c>
      <c r="G14" s="3" t="n">
        <v>34</v>
      </c>
      <c r="H14" s="3" t="n">
        <v>34</v>
      </c>
      <c r="I14" s="3" t="n">
        <v>34</v>
      </c>
      <c r="J14" s="3" t="n">
        <v>34</v>
      </c>
      <c r="K14" s="3" t="n">
        <v>34</v>
      </c>
      <c r="L14" s="3" t="n">
        <v>34</v>
      </c>
    </row>
    <row r="15" customFormat="false" ht="15" hidden="false" customHeight="false" outlineLevel="0" collapsed="false">
      <c r="A15" s="0" t="s">
        <v>105</v>
      </c>
      <c r="C15" s="3" t="n">
        <v>4.3</v>
      </c>
      <c r="D15" s="3" t="n">
        <v>4.3</v>
      </c>
      <c r="E15" s="3" t="n">
        <v>4.3</v>
      </c>
      <c r="F15" s="3" t="n">
        <v>4.3</v>
      </c>
      <c r="G15" s="3" t="n">
        <v>4.3</v>
      </c>
      <c r="H15" s="3" t="n">
        <v>4.3</v>
      </c>
      <c r="I15" s="3" t="n">
        <v>4.3</v>
      </c>
      <c r="J15" s="3" t="n">
        <v>4.3</v>
      </c>
      <c r="K15" s="3" t="n">
        <v>4.3</v>
      </c>
      <c r="L15" s="3" t="n">
        <v>4.3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108</v>
      </c>
      <c r="C18" s="3" t="n">
        <v>0</v>
      </c>
      <c r="D18" s="3" t="n">
        <v>5.5</v>
      </c>
      <c r="E18" s="3" t="n">
        <v>7.4</v>
      </c>
      <c r="F18" s="3" t="n">
        <v>7.4</v>
      </c>
      <c r="G18" s="3" t="n">
        <v>6.5</v>
      </c>
      <c r="H18" s="3" t="n">
        <v>6.5</v>
      </c>
      <c r="I18" s="3" t="n">
        <v>5.5</v>
      </c>
      <c r="J18" s="3" t="n">
        <v>5.5</v>
      </c>
      <c r="K18" s="3" t="n">
        <v>5.5</v>
      </c>
      <c r="L18" s="3" t="n">
        <v>4.6</v>
      </c>
    </row>
    <row r="19" customFormat="false" ht="15" hidden="false" customHeight="false" outlineLevel="0" collapsed="false">
      <c r="A19" s="0" t="s">
        <v>109</v>
      </c>
      <c r="C19" s="3" t="n">
        <v>27.5</v>
      </c>
      <c r="D19" s="3" t="n">
        <v>27.5</v>
      </c>
      <c r="E19" s="3" t="n">
        <v>27.5</v>
      </c>
      <c r="F19" s="3" t="n">
        <v>27.5</v>
      </c>
      <c r="G19" s="3" t="n">
        <v>27.5</v>
      </c>
      <c r="H19" s="3" t="n">
        <v>27.5</v>
      </c>
      <c r="I19" s="3" t="n">
        <v>27.5</v>
      </c>
      <c r="J19" s="3" t="n">
        <v>27.5</v>
      </c>
      <c r="K19" s="3" t="n">
        <v>27.5</v>
      </c>
      <c r="L19" s="3" t="n">
        <v>27.5</v>
      </c>
    </row>
    <row r="20" customFormat="false" ht="15" hidden="false" customHeight="false" outlineLevel="0" collapsed="false">
      <c r="A20" s="0" t="s">
        <v>110</v>
      </c>
      <c r="B20" s="3" t="n">
        <v>10.5</v>
      </c>
    </row>
    <row r="21" customFormat="false" ht="15" hidden="false" customHeight="false" outlineLevel="0" collapsed="false">
      <c r="A21" s="0" t="s">
        <v>111</v>
      </c>
      <c r="B21" s="3" t="n">
        <v>2.5</v>
      </c>
    </row>
    <row r="22" customFormat="false" ht="15" hidden="false" customHeight="false" outlineLevel="0" collapsed="false">
      <c r="A22" s="0" t="s">
        <v>112</v>
      </c>
      <c r="B22" s="3" t="n">
        <v>15</v>
      </c>
    </row>
    <row r="23" customFormat="false" ht="15" hidden="false" customHeight="false" outlineLevel="0" collapsed="false">
      <c r="A23" s="0" t="s">
        <v>113</v>
      </c>
      <c r="B23" s="3" t="n">
        <v>0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4</v>
      </c>
      <c r="D27" s="3" t="n">
        <v>7</v>
      </c>
      <c r="E27" s="3" t="n">
        <v>7</v>
      </c>
      <c r="F27" s="3" t="n">
        <v>6</v>
      </c>
      <c r="G27" s="3" t="n">
        <v>6</v>
      </c>
      <c r="H27" s="3" t="n">
        <v>5</v>
      </c>
      <c r="I27" s="3" t="n">
        <v>5</v>
      </c>
      <c r="J27" s="3" t="n">
        <v>4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104</v>
      </c>
      <c r="C28" s="3" t="n">
        <v>36.5</v>
      </c>
      <c r="D28" s="3" t="n">
        <v>37</v>
      </c>
      <c r="E28" s="3" t="n">
        <v>37</v>
      </c>
      <c r="F28" s="3" t="n">
        <v>37</v>
      </c>
      <c r="G28" s="3" t="n">
        <v>37</v>
      </c>
      <c r="H28" s="3" t="n">
        <v>37</v>
      </c>
      <c r="I28" s="3" t="n">
        <v>37</v>
      </c>
      <c r="J28" s="3" t="n">
        <v>37</v>
      </c>
      <c r="K28" s="3" t="n">
        <v>37</v>
      </c>
      <c r="L28" s="3" t="n">
        <v>37</v>
      </c>
    </row>
    <row r="29" customFormat="false" ht="15" hidden="false" customHeight="false" outlineLevel="0" collapsed="false">
      <c r="A29" s="0" t="s">
        <v>105</v>
      </c>
      <c r="C29" s="3" t="n">
        <v>4.3</v>
      </c>
      <c r="D29" s="3" t="n">
        <v>4.3</v>
      </c>
      <c r="E29" s="3" t="n">
        <v>4.3</v>
      </c>
      <c r="F29" s="3" t="n">
        <v>4.3</v>
      </c>
      <c r="G29" s="3" t="n">
        <v>4.3</v>
      </c>
      <c r="H29" s="3" t="n">
        <v>4.3</v>
      </c>
      <c r="I29" s="3" t="n">
        <v>4.3</v>
      </c>
      <c r="J29" s="3" t="n">
        <v>4.3</v>
      </c>
      <c r="K29" s="3" t="n">
        <v>4.3</v>
      </c>
      <c r="L29" s="3" t="n">
        <v>4.3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108</v>
      </c>
      <c r="C32" s="3" t="n">
        <v>6.5</v>
      </c>
      <c r="D32" s="3" t="n">
        <v>11.4</v>
      </c>
      <c r="E32" s="3" t="n">
        <v>11.4</v>
      </c>
      <c r="F32" s="3" t="n">
        <v>9.8</v>
      </c>
      <c r="G32" s="3" t="n">
        <v>9.8</v>
      </c>
      <c r="H32" s="3" t="n">
        <v>8.2</v>
      </c>
      <c r="I32" s="3" t="n">
        <v>8.2</v>
      </c>
      <c r="J32" s="3" t="n">
        <v>6.5</v>
      </c>
      <c r="K32" s="3" t="n">
        <v>6.5</v>
      </c>
      <c r="L32" s="3" t="n">
        <v>5.7</v>
      </c>
    </row>
    <row r="33" customFormat="false" ht="15" hidden="false" customHeight="false" outlineLevel="0" collapsed="false">
      <c r="A33" s="0" t="s">
        <v>109</v>
      </c>
      <c r="C33" s="3" t="n">
        <v>27.5</v>
      </c>
      <c r="D33" s="3" t="n">
        <v>27.5</v>
      </c>
      <c r="E33" s="3" t="n">
        <v>27.5</v>
      </c>
      <c r="F33" s="3" t="n">
        <v>27.5</v>
      </c>
      <c r="G33" s="3" t="n">
        <v>27.5</v>
      </c>
      <c r="H33" s="3" t="n">
        <v>27.5</v>
      </c>
      <c r="I33" s="3" t="n">
        <v>27.5</v>
      </c>
      <c r="J33" s="3" t="n">
        <v>27.5</v>
      </c>
      <c r="K33" s="3" t="n">
        <v>27.5</v>
      </c>
      <c r="L33" s="3" t="n">
        <v>27.5</v>
      </c>
    </row>
    <row r="34" customFormat="false" ht="15" hidden="false" customHeight="false" outlineLevel="0" collapsed="false">
      <c r="A34" s="0" t="s">
        <v>110</v>
      </c>
      <c r="B34" s="3" t="n">
        <v>10.5</v>
      </c>
    </row>
    <row r="35" customFormat="false" ht="15" hidden="false" customHeight="false" outlineLevel="0" collapsed="false">
      <c r="A35" s="0" t="s">
        <v>111</v>
      </c>
      <c r="B35" s="3" t="n">
        <v>3</v>
      </c>
    </row>
    <row r="36" customFormat="false" ht="15" hidden="false" customHeight="false" outlineLevel="0" collapsed="false">
      <c r="A36" s="0" t="s">
        <v>112</v>
      </c>
      <c r="B36" s="3" t="n">
        <v>15</v>
      </c>
    </row>
    <row r="37" customFormat="false" ht="15" hidden="false" customHeight="false" outlineLevel="0" collapsed="false">
      <c r="A37" s="0" t="s">
        <v>113</v>
      </c>
      <c r="B37" s="3" t="n">
        <v>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8</v>
      </c>
      <c r="D41" s="3" t="n">
        <v>9</v>
      </c>
      <c r="E41" s="3" t="n">
        <v>9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5</v>
      </c>
      <c r="K41" s="3" t="n">
        <v>4</v>
      </c>
      <c r="L41" s="3" t="n">
        <v>4</v>
      </c>
    </row>
    <row r="42" customFormat="false" ht="15" hidden="false" customHeight="false" outlineLevel="0" collapsed="false">
      <c r="A42" s="0" t="s">
        <v>104</v>
      </c>
      <c r="C42" s="3" t="n">
        <v>38</v>
      </c>
      <c r="D42" s="3" t="n">
        <v>38.5</v>
      </c>
      <c r="E42" s="3" t="n">
        <v>39</v>
      </c>
      <c r="F42" s="3" t="n">
        <v>39</v>
      </c>
      <c r="G42" s="3" t="n">
        <v>39</v>
      </c>
      <c r="H42" s="3" t="n">
        <v>39</v>
      </c>
      <c r="I42" s="3" t="n">
        <v>39</v>
      </c>
      <c r="J42" s="3" t="n">
        <v>39</v>
      </c>
      <c r="K42" s="3" t="n">
        <v>39</v>
      </c>
      <c r="L42" s="3" t="n">
        <v>39</v>
      </c>
    </row>
    <row r="43" customFormat="false" ht="15" hidden="false" customHeight="false" outlineLevel="0" collapsed="false">
      <c r="A43" s="0" t="s">
        <v>105</v>
      </c>
      <c r="C43" s="3" t="n">
        <v>4.3</v>
      </c>
      <c r="D43" s="3" t="n">
        <v>4.3</v>
      </c>
      <c r="E43" s="3" t="n">
        <v>4.3</v>
      </c>
      <c r="F43" s="3" t="n">
        <v>4.3</v>
      </c>
      <c r="G43" s="3" t="n">
        <v>4.3</v>
      </c>
      <c r="H43" s="3" t="n">
        <v>4.3</v>
      </c>
      <c r="I43" s="3" t="n">
        <v>4.3</v>
      </c>
      <c r="J43" s="3" t="n">
        <v>4.3</v>
      </c>
      <c r="K43" s="3" t="n">
        <v>4.3</v>
      </c>
      <c r="L43" s="3" t="n">
        <v>4.3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108</v>
      </c>
      <c r="C46" s="3" t="n">
        <v>12.2</v>
      </c>
      <c r="D46" s="3" t="n">
        <v>14.2</v>
      </c>
      <c r="E46" s="3" t="n">
        <v>14.2</v>
      </c>
      <c r="F46" s="3" t="n">
        <v>12.6</v>
      </c>
      <c r="G46" s="3" t="n">
        <v>11</v>
      </c>
      <c r="H46" s="3" t="n">
        <v>9.4</v>
      </c>
      <c r="I46" s="3" t="n">
        <v>7.9</v>
      </c>
      <c r="J46" s="3" t="n">
        <v>7.9</v>
      </c>
      <c r="K46" s="3" t="n">
        <v>6.3</v>
      </c>
      <c r="L46" s="3" t="n">
        <v>6.3</v>
      </c>
    </row>
    <row r="47" customFormat="false" ht="15" hidden="false" customHeight="false" outlineLevel="0" collapsed="false">
      <c r="A47" s="0" t="s">
        <v>109</v>
      </c>
      <c r="C47" s="3" t="n">
        <v>27.5</v>
      </c>
      <c r="D47" s="3" t="n">
        <v>27.5</v>
      </c>
      <c r="E47" s="3" t="n">
        <v>27.5</v>
      </c>
      <c r="F47" s="3" t="n">
        <v>27.5</v>
      </c>
      <c r="G47" s="3" t="n">
        <v>27.5</v>
      </c>
      <c r="H47" s="3" t="n">
        <v>27.5</v>
      </c>
      <c r="I47" s="3" t="n">
        <v>27.5</v>
      </c>
      <c r="J47" s="3" t="n">
        <v>27.5</v>
      </c>
      <c r="K47" s="3" t="n">
        <v>27.5</v>
      </c>
      <c r="L47" s="3" t="n">
        <v>27.5</v>
      </c>
    </row>
    <row r="48" customFormat="false" ht="15" hidden="false" customHeight="false" outlineLevel="0" collapsed="false">
      <c r="A48" s="0" t="s">
        <v>110</v>
      </c>
      <c r="B48" s="3" t="n">
        <v>10.5</v>
      </c>
    </row>
    <row r="49" customFormat="false" ht="15" hidden="false" customHeight="false" outlineLevel="0" collapsed="false">
      <c r="A49" s="0" t="s">
        <v>111</v>
      </c>
      <c r="B49" s="3" t="n">
        <v>3.5</v>
      </c>
    </row>
    <row r="50" customFormat="false" ht="15" hidden="false" customHeight="false" outlineLevel="0" collapsed="false">
      <c r="A50" s="0" t="s">
        <v>112</v>
      </c>
      <c r="B50" s="3" t="n">
        <v>15</v>
      </c>
    </row>
    <row r="51" customFormat="false" ht="15" hidden="false" customHeight="false" outlineLevel="0" collapsed="false">
      <c r="A51" s="0" t="s">
        <v>113</v>
      </c>
      <c r="B51" s="3" t="n">
        <v>0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0</v>
      </c>
      <c r="D5" s="4" t="n">
        <f aca="false">Assumptions!D13</f>
        <v>3</v>
      </c>
      <c r="E5" s="4" t="n">
        <f aca="false">Assumptions!E13</f>
        <v>4</v>
      </c>
      <c r="F5" s="4" t="n">
        <f aca="false">Assumptions!F13</f>
        <v>4</v>
      </c>
      <c r="G5" s="4" t="n">
        <f aca="false">Assumptions!G13</f>
        <v>3.5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19477</v>
      </c>
      <c r="C6" s="0" t="n">
        <f aca="false">B6*(1+C5/100)</f>
        <v>19477</v>
      </c>
      <c r="D6" s="0" t="n">
        <f aca="false">C6*(1+D5/100)</f>
        <v>20061.31</v>
      </c>
      <c r="E6" s="0" t="n">
        <f aca="false">D6*(1+E5/100)</f>
        <v>20863.7624</v>
      </c>
      <c r="F6" s="0" t="n">
        <f aca="false">E6*(1+F5/100)</f>
        <v>21698.312896</v>
      </c>
      <c r="G6" s="0" t="n">
        <f aca="false">F6*(1+G5/100)</f>
        <v>22457.75384736</v>
      </c>
      <c r="H6" s="0" t="n">
        <f aca="false">G6*(1+H5/100)</f>
        <v>23243.7752320176</v>
      </c>
      <c r="I6" s="0" t="n">
        <f aca="false">H6*(1+I5/100)</f>
        <v>23941.0884889781</v>
      </c>
      <c r="J6" s="0" t="n">
        <f aca="false">I6*(1+J5/100)</f>
        <v>24659.3211436475</v>
      </c>
      <c r="K6" s="0" t="n">
        <f aca="false">J6*(1+K5/100)</f>
        <v>25399.1007779569</v>
      </c>
      <c r="L6" s="0" t="n">
        <f aca="false">K6*(1+L5/100)</f>
        <v>26034.0782974058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32</v>
      </c>
      <c r="D7" s="4" t="n">
        <f aca="false">Assumptions!D14</f>
        <v>33</v>
      </c>
      <c r="E7" s="4" t="n">
        <f aca="false">Assumptions!E14</f>
        <v>33.5</v>
      </c>
      <c r="F7" s="4" t="n">
        <f aca="false">Assumptions!F14</f>
        <v>34</v>
      </c>
      <c r="G7" s="4" t="n">
        <f aca="false">Assumptions!G14</f>
        <v>34</v>
      </c>
      <c r="H7" s="4" t="n">
        <f aca="false">Assumptions!H14</f>
        <v>34</v>
      </c>
      <c r="I7" s="4" t="n">
        <f aca="false">Assumptions!I14</f>
        <v>34</v>
      </c>
      <c r="J7" s="4" t="n">
        <f aca="false">Assumptions!J14</f>
        <v>34</v>
      </c>
      <c r="K7" s="4" t="n">
        <f aca="false">Assumptions!K14</f>
        <v>34</v>
      </c>
      <c r="L7" s="4" t="n">
        <f aca="false">Assumptions!L14</f>
        <v>34</v>
      </c>
    </row>
    <row r="8" customFormat="false" ht="15" hidden="false" customHeight="false" outlineLevel="0" collapsed="false">
      <c r="A8" s="0" t="s">
        <v>43</v>
      </c>
      <c r="C8" s="0" t="n">
        <f aca="false">C6*C7/100</f>
        <v>6232.64</v>
      </c>
      <c r="D8" s="0" t="n">
        <f aca="false">D6*D7/100</f>
        <v>6620.2323</v>
      </c>
      <c r="E8" s="0" t="n">
        <f aca="false">E6*E7/100</f>
        <v>6989.360404</v>
      </c>
      <c r="F8" s="0" t="n">
        <f aca="false">F6*F7/100</f>
        <v>7377.42638464</v>
      </c>
      <c r="G8" s="0" t="n">
        <f aca="false">G6*G7/100</f>
        <v>7635.6363081024</v>
      </c>
      <c r="H8" s="0" t="n">
        <f aca="false">H6*H7/100</f>
        <v>7902.88357888598</v>
      </c>
      <c r="I8" s="0" t="n">
        <f aca="false">I6*I7/100</f>
        <v>8139.97008625256</v>
      </c>
      <c r="J8" s="0" t="n">
        <f aca="false">J6*J7/100</f>
        <v>8384.16918884014</v>
      </c>
      <c r="K8" s="0" t="n">
        <f aca="false">K6*K7/100</f>
        <v>8635.69426450534</v>
      </c>
      <c r="L8" s="0" t="n">
        <f aca="false">L6*L7/100</f>
        <v>8851.58662111798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4.3</v>
      </c>
      <c r="D9" s="4" t="n">
        <f aca="false">Assumptions!D15</f>
        <v>4.3</v>
      </c>
      <c r="E9" s="4" t="n">
        <f aca="false">Assumptions!E15</f>
        <v>4.3</v>
      </c>
      <c r="F9" s="4" t="n">
        <f aca="false">Assumptions!F15</f>
        <v>4.3</v>
      </c>
      <c r="G9" s="4" t="n">
        <f aca="false">Assumptions!G15</f>
        <v>4.3</v>
      </c>
      <c r="H9" s="4" t="n">
        <f aca="false">Assumptions!H15</f>
        <v>4.3</v>
      </c>
      <c r="I9" s="4" t="n">
        <f aca="false">Assumptions!I15</f>
        <v>4.3</v>
      </c>
      <c r="J9" s="4" t="n">
        <f aca="false">Assumptions!J15</f>
        <v>4.3</v>
      </c>
      <c r="K9" s="4" t="n">
        <f aca="false">Assumptions!K15</f>
        <v>4.3</v>
      </c>
      <c r="L9" s="4" t="n">
        <f aca="false">Assumptions!L15</f>
        <v>4.3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-837.511</v>
      </c>
      <c r="D10" s="0" t="n">
        <f aca="false">-D6*D9/100</f>
        <v>-862.63633</v>
      </c>
      <c r="E10" s="0" t="n">
        <f aca="false">-E6*E9/100</f>
        <v>-897.1417832</v>
      </c>
      <c r="F10" s="0" t="n">
        <f aca="false">-F6*F9/100</f>
        <v>-933.027454528</v>
      </c>
      <c r="G10" s="0" t="n">
        <f aca="false">-G6*G9/100</f>
        <v>-965.68341543648</v>
      </c>
      <c r="H10" s="0" t="n">
        <f aca="false">-H6*H9/100</f>
        <v>-999.482334976757</v>
      </c>
      <c r="I10" s="0" t="n">
        <f aca="false">-I6*I9/100</f>
        <v>-1029.46680502606</v>
      </c>
      <c r="J10" s="0" t="n">
        <f aca="false">-J6*J9/100</f>
        <v>-1060.35080917684</v>
      </c>
      <c r="K10" s="0" t="n">
        <f aca="false">-K6*K9/100</f>
        <v>-1092.16133345215</v>
      </c>
      <c r="L10" s="0" t="n">
        <f aca="false">-L6*L9/100</f>
        <v>-1119.46536678845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5395.129</v>
      </c>
      <c r="D11" s="0" t="n">
        <f aca="false">D8+D10+D24</f>
        <v>5757.59597</v>
      </c>
      <c r="E11" s="0" t="n">
        <f aca="false">E8+E10+E24</f>
        <v>6092.2186208</v>
      </c>
      <c r="F11" s="0" t="n">
        <f aca="false">F8+F10+F24</f>
        <v>6444.398930112</v>
      </c>
      <c r="G11" s="0" t="n">
        <f aca="false">G8+G10+G24</f>
        <v>6669.95289266592</v>
      </c>
      <c r="H11" s="0" t="n">
        <f aca="false">H8+H10+H24</f>
        <v>6903.40124390923</v>
      </c>
      <c r="I11" s="0" t="n">
        <f aca="false">I8+I10+I24</f>
        <v>7110.5032812265</v>
      </c>
      <c r="J11" s="0" t="n">
        <f aca="false">J8+J10+J24</f>
        <v>7323.8183796633</v>
      </c>
      <c r="K11" s="0" t="n">
        <f aca="false">K8+K10+K24</f>
        <v>7543.5329310532</v>
      </c>
      <c r="L11" s="0" t="n">
        <f aca="false">L8+L10+L24</f>
        <v>7732.12125432953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5395.129</v>
      </c>
      <c r="D13" s="0" t="n">
        <f aca="false">D11+D12</f>
        <v>5757.59597</v>
      </c>
      <c r="E13" s="0" t="n">
        <f aca="false">E11+E12</f>
        <v>6092.2186208</v>
      </c>
      <c r="F13" s="0" t="n">
        <f aca="false">F11+F12</f>
        <v>6444.398930112</v>
      </c>
      <c r="G13" s="0" t="n">
        <f aca="false">G11+G12</f>
        <v>6669.95289266592</v>
      </c>
      <c r="H13" s="0" t="n">
        <f aca="false">H11+H12</f>
        <v>6903.40124390923</v>
      </c>
      <c r="I13" s="0" t="n">
        <f aca="false">I11+I12</f>
        <v>7110.5032812265</v>
      </c>
      <c r="J13" s="0" t="n">
        <f aca="false">J11+J12</f>
        <v>7323.8183796633</v>
      </c>
      <c r="K13" s="0" t="n">
        <f aca="false">K11+K12</f>
        <v>7543.5329310532</v>
      </c>
      <c r="L13" s="0" t="n">
        <f aca="false">L11+L12</f>
        <v>7732.12125432953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27.5</v>
      </c>
      <c r="D14" s="4" t="n">
        <f aca="false">Assumptions!D19</f>
        <v>27.5</v>
      </c>
      <c r="E14" s="4" t="n">
        <f aca="false">Assumptions!E19</f>
        <v>27.5</v>
      </c>
      <c r="F14" s="4" t="n">
        <f aca="false">Assumptions!F19</f>
        <v>27.5</v>
      </c>
      <c r="G14" s="4" t="n">
        <f aca="false">Assumptions!G19</f>
        <v>27.5</v>
      </c>
      <c r="H14" s="4" t="n">
        <f aca="false">Assumptions!H19</f>
        <v>27.5</v>
      </c>
      <c r="I14" s="4" t="n">
        <f aca="false">Assumptions!I19</f>
        <v>27.5</v>
      </c>
      <c r="J14" s="4" t="n">
        <f aca="false">Assumptions!J19</f>
        <v>27.5</v>
      </c>
      <c r="K14" s="4" t="n">
        <f aca="false">Assumptions!K19</f>
        <v>27.5</v>
      </c>
      <c r="L14" s="4" t="n">
        <f aca="false">Assumptions!L19</f>
        <v>27.5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3911.468525</v>
      </c>
      <c r="D15" s="0" t="n">
        <f aca="false">D13-MAX(0,D13)*D14/100</f>
        <v>4174.25707825</v>
      </c>
      <c r="E15" s="0" t="n">
        <f aca="false">E13-MAX(0,E13)*E14/100</f>
        <v>4416.85850008</v>
      </c>
      <c r="F15" s="0" t="n">
        <f aca="false">F13-MAX(0,F13)*F14/100</f>
        <v>4672.1892243312</v>
      </c>
      <c r="G15" s="0" t="n">
        <f aca="false">G13-MAX(0,G13)*G14/100</f>
        <v>4835.71584718279</v>
      </c>
      <c r="H15" s="0" t="n">
        <f aca="false">H13-MAX(0,H13)*H14/100</f>
        <v>5004.96590183419</v>
      </c>
      <c r="I15" s="0" t="n">
        <f aca="false">I13-MAX(0,I13)*I14/100</f>
        <v>5155.11487888921</v>
      </c>
      <c r="J15" s="0" t="n">
        <f aca="false">J13-MAX(0,J13)*J14/100</f>
        <v>5309.76832525589</v>
      </c>
      <c r="K15" s="0" t="n">
        <f aca="false">K13-MAX(0,K13)*K14/100</f>
        <v>5469.06137501357</v>
      </c>
      <c r="L15" s="0" t="n">
        <f aca="false">L13-MAX(0,L13)*L14/100</f>
        <v>5605.78790938891</v>
      </c>
    </row>
    <row r="16" customFormat="false" ht="15" hidden="false" customHeight="false" outlineLevel="0" collapsed="false">
      <c r="A16" s="0" t="s">
        <v>125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-0</v>
      </c>
      <c r="D17" s="4" t="n">
        <f aca="false">-D6*Assumptions!D18/100</f>
        <v>-1103.37205</v>
      </c>
      <c r="E17" s="4" t="n">
        <f aca="false">-E6*Assumptions!E18/100</f>
        <v>-1543.9184176</v>
      </c>
      <c r="F17" s="4" t="n">
        <f aca="false">-F6*Assumptions!F18/100</f>
        <v>-1605.675154304</v>
      </c>
      <c r="G17" s="4" t="n">
        <f aca="false">-G6*Assumptions!G18/100</f>
        <v>-1459.7540000784</v>
      </c>
      <c r="H17" s="4" t="n">
        <f aca="false">-H6*Assumptions!H18/100</f>
        <v>-1510.84539008114</v>
      </c>
      <c r="I17" s="4" t="n">
        <f aca="false">-I6*Assumptions!I18/100</f>
        <v>-1316.7598668938</v>
      </c>
      <c r="J17" s="4" t="n">
        <f aca="false">-J6*Assumptions!J18/100</f>
        <v>-1356.26266290061</v>
      </c>
      <c r="K17" s="4" t="n">
        <f aca="false">-K6*Assumptions!K18/100</f>
        <v>-1396.95054278763</v>
      </c>
      <c r="L17" s="4" t="n">
        <f aca="false">-L6*Assumptions!L18/100</f>
        <v>-1197.56760168067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3911.468525</v>
      </c>
      <c r="D19" s="0" t="n">
        <f aca="false">D15+D16+D17+D18</f>
        <v>3070.88502825</v>
      </c>
      <c r="E19" s="0" t="n">
        <f aca="false">E15+E16+E17+E18</f>
        <v>2872.94008248</v>
      </c>
      <c r="F19" s="0" t="n">
        <f aca="false">F15+F16+F17+F18</f>
        <v>3066.5140700272</v>
      </c>
      <c r="G19" s="0" t="n">
        <f aca="false">G15+G16+G17+G18</f>
        <v>3375.96184710439</v>
      </c>
      <c r="H19" s="0" t="n">
        <f aca="false">H15+H16+H17+H18</f>
        <v>3494.12051175305</v>
      </c>
      <c r="I19" s="0" t="n">
        <f aca="false">I15+I16+I17+I18</f>
        <v>3838.35501199542</v>
      </c>
      <c r="J19" s="0" t="n">
        <f aca="false">J15+J16+J17+J18</f>
        <v>3953.50566235528</v>
      </c>
      <c r="K19" s="0" t="n">
        <f aca="false">K15+K16+K17+K18</f>
        <v>4072.11083222594</v>
      </c>
      <c r="L19" s="0" t="n">
        <f aca="false">L15+L16+L17+L18</f>
        <v>4408.22030770824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3539.79052036199</v>
      </c>
      <c r="D21" s="0" t="n">
        <f aca="false">D19*D20</f>
        <v>2515.00585839766</v>
      </c>
      <c r="E21" s="0" t="n">
        <f aca="false">E19*E20</f>
        <v>2129.31412215147</v>
      </c>
      <c r="F21" s="0" t="n">
        <f aca="false">F19*F20</f>
        <v>2056.81793028703</v>
      </c>
      <c r="G21" s="0" t="n">
        <f aca="false">G19*G20</f>
        <v>2049.20845814211</v>
      </c>
      <c r="H21" s="0" t="n">
        <f aca="false">H19*H20</f>
        <v>1919.39434767157</v>
      </c>
      <c r="I21" s="0" t="n">
        <f aca="false">I19*I20</f>
        <v>1908.13542455393</v>
      </c>
      <c r="J21" s="0" t="n">
        <f aca="false">J19*J20</f>
        <v>1778.62397039869</v>
      </c>
      <c r="K21" s="0" t="n">
        <f aca="false">K19*K20</f>
        <v>1657.90288643498</v>
      </c>
      <c r="L21" s="0" t="n">
        <f aca="false">L19*L20</f>
        <v>1624.20375694305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21178.3972753425</v>
      </c>
    </row>
    <row r="31" customFormat="false" ht="15" hidden="false" customHeight="false" outlineLevel="0" collapsed="false">
      <c r="A31" s="0" t="s">
        <v>134</v>
      </c>
      <c r="B31" s="0" t="n">
        <f aca="false">L19</f>
        <v>4408.22030770824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56480.3226925118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66123.3046156236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56480.3226925118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20810.1106358328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41988.5079111752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41988.5079111752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111.404902921664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-0.540693040933151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5736.29391005561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5284.71730306103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140.646110703879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36147.4065232076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70.2369921710654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4</v>
      </c>
      <c r="D5" s="4" t="n">
        <f aca="false">Assumptions!D27</f>
        <v>7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19477</v>
      </c>
      <c r="C6" s="0" t="n">
        <f aca="false">B6*(1+C5/100)</f>
        <v>20256.08</v>
      </c>
      <c r="D6" s="0" t="n">
        <f aca="false">C6*(1+D5/100)</f>
        <v>21674.0056</v>
      </c>
      <c r="E6" s="0" t="n">
        <f aca="false">D6*(1+E5/100)</f>
        <v>23191.185992</v>
      </c>
      <c r="F6" s="0" t="n">
        <f aca="false">E6*(1+F5/100)</f>
        <v>24582.65715152</v>
      </c>
      <c r="G6" s="0" t="n">
        <f aca="false">F6*(1+G5/100)</f>
        <v>26057.6165806112</v>
      </c>
      <c r="H6" s="0" t="n">
        <f aca="false">G6*(1+H5/100)</f>
        <v>27360.4974096418</v>
      </c>
      <c r="I6" s="0" t="n">
        <f aca="false">H6*(1+I5/100)</f>
        <v>28728.5222801239</v>
      </c>
      <c r="J6" s="0" t="n">
        <f aca="false">I6*(1+J5/100)</f>
        <v>29877.6631713288</v>
      </c>
      <c r="K6" s="0" t="n">
        <f aca="false">J6*(1+K5/100)</f>
        <v>31072.769698182</v>
      </c>
      <c r="L6" s="0" t="n">
        <f aca="false">K6*(1+L5/100)</f>
        <v>32160.3166376183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36.5</v>
      </c>
      <c r="D7" s="4" t="n">
        <f aca="false">Assumptions!D28</f>
        <v>37</v>
      </c>
      <c r="E7" s="4" t="n">
        <f aca="false">Assumptions!E28</f>
        <v>37</v>
      </c>
      <c r="F7" s="4" t="n">
        <f aca="false">Assumptions!F28</f>
        <v>37</v>
      </c>
      <c r="G7" s="4" t="n">
        <f aca="false">Assumptions!G28</f>
        <v>37</v>
      </c>
      <c r="H7" s="4" t="n">
        <f aca="false">Assumptions!H28</f>
        <v>37</v>
      </c>
      <c r="I7" s="4" t="n">
        <f aca="false">Assumptions!I28</f>
        <v>37</v>
      </c>
      <c r="J7" s="4" t="n">
        <f aca="false">Assumptions!J28</f>
        <v>37</v>
      </c>
      <c r="K7" s="4" t="n">
        <f aca="false">Assumptions!K28</f>
        <v>37</v>
      </c>
      <c r="L7" s="4" t="n">
        <f aca="false">Assumptions!L28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7393.4692</v>
      </c>
      <c r="D8" s="0" t="n">
        <f aca="false">D6*D7/100</f>
        <v>8019.382072</v>
      </c>
      <c r="E8" s="0" t="n">
        <f aca="false">E6*E7/100</f>
        <v>8580.73881704</v>
      </c>
      <c r="F8" s="0" t="n">
        <f aca="false">F6*F7/100</f>
        <v>9095.5831460624</v>
      </c>
      <c r="G8" s="0" t="n">
        <f aca="false">G6*G7/100</f>
        <v>9641.31813482615</v>
      </c>
      <c r="H8" s="0" t="n">
        <f aca="false">H6*H7/100</f>
        <v>10123.3840415675</v>
      </c>
      <c r="I8" s="0" t="n">
        <f aca="false">I6*I7/100</f>
        <v>10629.5532436458</v>
      </c>
      <c r="J8" s="0" t="n">
        <f aca="false">J6*J7/100</f>
        <v>11054.7353733917</v>
      </c>
      <c r="K8" s="0" t="n">
        <f aca="false">K6*K7/100</f>
        <v>11496.9247883273</v>
      </c>
      <c r="L8" s="0" t="n">
        <f aca="false">L6*L7/100</f>
        <v>11899.3171559188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4.3</v>
      </c>
      <c r="D9" s="4" t="n">
        <f aca="false">Assumptions!D29</f>
        <v>4.3</v>
      </c>
      <c r="E9" s="4" t="n">
        <f aca="false">Assumptions!E29</f>
        <v>4.3</v>
      </c>
      <c r="F9" s="4" t="n">
        <f aca="false">Assumptions!F29</f>
        <v>4.3</v>
      </c>
      <c r="G9" s="4" t="n">
        <f aca="false">Assumptions!G29</f>
        <v>4.3</v>
      </c>
      <c r="H9" s="4" t="n">
        <f aca="false">Assumptions!H29</f>
        <v>4.3</v>
      </c>
      <c r="I9" s="4" t="n">
        <f aca="false">Assumptions!I29</f>
        <v>4.3</v>
      </c>
      <c r="J9" s="4" t="n">
        <f aca="false">Assumptions!J29</f>
        <v>4.3</v>
      </c>
      <c r="K9" s="4" t="n">
        <f aca="false">Assumptions!K29</f>
        <v>4.3</v>
      </c>
      <c r="L9" s="4" t="n">
        <f aca="false">Assumptions!L29</f>
        <v>4.3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-871.01144</v>
      </c>
      <c r="D10" s="0" t="n">
        <f aca="false">-D6*D9/100</f>
        <v>-931.9822408</v>
      </c>
      <c r="E10" s="0" t="n">
        <f aca="false">-E6*E9/100</f>
        <v>-997.220997656</v>
      </c>
      <c r="F10" s="0" t="n">
        <f aca="false">-F6*F9/100</f>
        <v>-1057.05425751536</v>
      </c>
      <c r="G10" s="0" t="n">
        <f aca="false">-G6*G9/100</f>
        <v>-1120.47751296628</v>
      </c>
      <c r="H10" s="0" t="n">
        <f aca="false">-H6*H9/100</f>
        <v>-1176.5013886146</v>
      </c>
      <c r="I10" s="0" t="n">
        <f aca="false">-I6*I9/100</f>
        <v>-1235.32645804533</v>
      </c>
      <c r="J10" s="0" t="n">
        <f aca="false">-J6*J9/100</f>
        <v>-1284.73951636714</v>
      </c>
      <c r="K10" s="0" t="n">
        <f aca="false">-K6*K9/100</f>
        <v>-1336.12909702183</v>
      </c>
      <c r="L10" s="0" t="n">
        <f aca="false">-L6*L9/100</f>
        <v>-1382.89361541759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6522.45776</v>
      </c>
      <c r="D11" s="0" t="n">
        <f aca="false">D8+D10+D24</f>
        <v>7087.3998312</v>
      </c>
      <c r="E11" s="0" t="n">
        <f aca="false">E8+E10+E24</f>
        <v>7583.517819384</v>
      </c>
      <c r="F11" s="0" t="n">
        <f aca="false">F8+F10+F24</f>
        <v>8038.52888854704</v>
      </c>
      <c r="G11" s="0" t="n">
        <f aca="false">G8+G10+G24</f>
        <v>8520.84062185987</v>
      </c>
      <c r="H11" s="0" t="n">
        <f aca="false">H8+H10+H24</f>
        <v>8946.88265295286</v>
      </c>
      <c r="I11" s="0" t="n">
        <f aca="false">I8+I10+I24</f>
        <v>9394.22678560051</v>
      </c>
      <c r="J11" s="0" t="n">
        <f aca="false">J8+J10+J24</f>
        <v>9769.99585702452</v>
      </c>
      <c r="K11" s="0" t="n">
        <f aca="false">K8+K10+K24</f>
        <v>10160.7956913055</v>
      </c>
      <c r="L11" s="0" t="n">
        <f aca="false">L8+L10+L24</f>
        <v>10516.4235405012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6522.45776</v>
      </c>
      <c r="D13" s="0" t="n">
        <f aca="false">D11+D12</f>
        <v>7087.3998312</v>
      </c>
      <c r="E13" s="0" t="n">
        <f aca="false">E11+E12</f>
        <v>7583.517819384</v>
      </c>
      <c r="F13" s="0" t="n">
        <f aca="false">F11+F12</f>
        <v>8038.52888854704</v>
      </c>
      <c r="G13" s="0" t="n">
        <f aca="false">G11+G12</f>
        <v>8520.84062185987</v>
      </c>
      <c r="H13" s="0" t="n">
        <f aca="false">H11+H12</f>
        <v>8946.88265295286</v>
      </c>
      <c r="I13" s="0" t="n">
        <f aca="false">I11+I12</f>
        <v>9394.22678560051</v>
      </c>
      <c r="J13" s="0" t="n">
        <f aca="false">J11+J12</f>
        <v>9769.99585702452</v>
      </c>
      <c r="K13" s="0" t="n">
        <f aca="false">K11+K12</f>
        <v>10160.7956913055</v>
      </c>
      <c r="L13" s="0" t="n">
        <f aca="false">L11+L12</f>
        <v>10516.4235405012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27.5</v>
      </c>
      <c r="D14" s="4" t="n">
        <f aca="false">Assumptions!D33</f>
        <v>27.5</v>
      </c>
      <c r="E14" s="4" t="n">
        <f aca="false">Assumptions!E33</f>
        <v>27.5</v>
      </c>
      <c r="F14" s="4" t="n">
        <f aca="false">Assumptions!F33</f>
        <v>27.5</v>
      </c>
      <c r="G14" s="4" t="n">
        <f aca="false">Assumptions!G33</f>
        <v>27.5</v>
      </c>
      <c r="H14" s="4" t="n">
        <f aca="false">Assumptions!H33</f>
        <v>27.5</v>
      </c>
      <c r="I14" s="4" t="n">
        <f aca="false">Assumptions!I33</f>
        <v>27.5</v>
      </c>
      <c r="J14" s="4" t="n">
        <f aca="false">Assumptions!J33</f>
        <v>27.5</v>
      </c>
      <c r="K14" s="4" t="n">
        <f aca="false">Assumptions!K33</f>
        <v>27.5</v>
      </c>
      <c r="L14" s="4" t="n">
        <f aca="false">Assumptions!L33</f>
        <v>27.5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4728.781876</v>
      </c>
      <c r="D15" s="0" t="n">
        <f aca="false">D13-MAX(0,D13)*D14/100</f>
        <v>5138.36487762</v>
      </c>
      <c r="E15" s="0" t="n">
        <f aca="false">E13-MAX(0,E13)*E14/100</f>
        <v>5498.0504190534</v>
      </c>
      <c r="F15" s="0" t="n">
        <f aca="false">F13-MAX(0,F13)*F14/100</f>
        <v>5827.93344419661</v>
      </c>
      <c r="G15" s="0" t="n">
        <f aca="false">G13-MAX(0,G13)*G14/100</f>
        <v>6177.6094508484</v>
      </c>
      <c r="H15" s="0" t="n">
        <f aca="false">H13-MAX(0,H13)*H14/100</f>
        <v>6486.48992339082</v>
      </c>
      <c r="I15" s="0" t="n">
        <f aca="false">I13-MAX(0,I13)*I14/100</f>
        <v>6810.81441956037</v>
      </c>
      <c r="J15" s="0" t="n">
        <f aca="false">J13-MAX(0,J13)*J14/100</f>
        <v>7083.24699634278</v>
      </c>
      <c r="K15" s="0" t="n">
        <f aca="false">K13-MAX(0,K13)*K14/100</f>
        <v>7366.57687619649</v>
      </c>
      <c r="L15" s="0" t="n">
        <f aca="false">L13-MAX(0,L13)*L14/100</f>
        <v>7624.40706686337</v>
      </c>
    </row>
    <row r="16" customFormat="false" ht="15" hidden="false" customHeight="false" outlineLevel="0" collapsed="false">
      <c r="A16" s="0" t="s">
        <v>125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-1316.6452</v>
      </c>
      <c r="D17" s="4" t="n">
        <f aca="false">-D6*Assumptions!D32/100</f>
        <v>-2470.8366384</v>
      </c>
      <c r="E17" s="4" t="n">
        <f aca="false">-E6*Assumptions!E32/100</f>
        <v>-2643.795203088</v>
      </c>
      <c r="F17" s="4" t="n">
        <f aca="false">-F6*Assumptions!F32/100</f>
        <v>-2409.10040084896</v>
      </c>
      <c r="G17" s="4" t="n">
        <f aca="false">-G6*Assumptions!G32/100</f>
        <v>-2553.6464248999</v>
      </c>
      <c r="H17" s="4" t="n">
        <f aca="false">-H6*Assumptions!H32/100</f>
        <v>-2243.56078759063</v>
      </c>
      <c r="I17" s="4" t="n">
        <f aca="false">-I6*Assumptions!I32/100</f>
        <v>-2355.73882697016</v>
      </c>
      <c r="J17" s="4" t="n">
        <f aca="false">-J6*Assumptions!J32/100</f>
        <v>-1942.04810613637</v>
      </c>
      <c r="K17" s="4" t="n">
        <f aca="false">-K6*Assumptions!K32/100</f>
        <v>-2019.73003038183</v>
      </c>
      <c r="L17" s="4" t="n">
        <f aca="false">-L6*Assumptions!L32/100</f>
        <v>-1833.13804834425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3412.136676</v>
      </c>
      <c r="D19" s="0" t="n">
        <f aca="false">D15+D16+D17+D18</f>
        <v>2667.52823922</v>
      </c>
      <c r="E19" s="0" t="n">
        <f aca="false">E15+E16+E17+E18</f>
        <v>2854.2552159654</v>
      </c>
      <c r="F19" s="0" t="n">
        <f aca="false">F15+F16+F17+F18</f>
        <v>3418.83304334764</v>
      </c>
      <c r="G19" s="0" t="n">
        <f aca="false">G15+G16+G17+G18</f>
        <v>3623.9630259485</v>
      </c>
      <c r="H19" s="0" t="n">
        <f aca="false">H15+H16+H17+H18</f>
        <v>4242.9291358002</v>
      </c>
      <c r="I19" s="0" t="n">
        <f aca="false">I15+I16+I17+I18</f>
        <v>4455.07559259021</v>
      </c>
      <c r="J19" s="0" t="n">
        <f aca="false">J15+J16+J17+J18</f>
        <v>5141.19889020641</v>
      </c>
      <c r="K19" s="0" t="n">
        <f aca="false">K15+K16+K17+K18</f>
        <v>5346.84684581466</v>
      </c>
      <c r="L19" s="0" t="n">
        <f aca="false">L15+L16+L17+L18</f>
        <v>5791.26901851912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3087.90649411765</v>
      </c>
      <c r="D21" s="0" t="n">
        <f aca="false">D19*D20</f>
        <v>2184.66308160767</v>
      </c>
      <c r="E21" s="0" t="n">
        <f aca="false">E19*E20</f>
        <v>2115.46560843457</v>
      </c>
      <c r="F21" s="0" t="n">
        <f aca="false">F19*F20</f>
        <v>2293.13055268415</v>
      </c>
      <c r="G21" s="0" t="n">
        <f aca="false">G19*G20</f>
        <v>2199.74514556127</v>
      </c>
      <c r="H21" s="0" t="n">
        <f aca="false">H19*H20</f>
        <v>2330.7307728605</v>
      </c>
      <c r="I21" s="0" t="n">
        <f aca="false">I19*I20</f>
        <v>2214.72154887197</v>
      </c>
      <c r="J21" s="0" t="n">
        <f aca="false">J19*J20</f>
        <v>2312.94966130404</v>
      </c>
      <c r="K21" s="0" t="n">
        <f aca="false">K19*K20</f>
        <v>2176.89379887439</v>
      </c>
      <c r="L21" s="0" t="n">
        <f aca="false">L19*L20</f>
        <v>2133.78648088411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23049.9931452003</v>
      </c>
    </row>
    <row r="31" customFormat="false" ht="15" hidden="false" customHeight="false" outlineLevel="0" collapsed="false">
      <c r="A31" s="0" t="s">
        <v>134</v>
      </c>
      <c r="B31" s="0" t="n">
        <f aca="false">L19</f>
        <v>5791.26901851912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79533.4278543293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86869.0352777869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79533.4278543293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29304.0010041418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52353.9941493421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52353.9941493421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138.906856326193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-0.427306302510028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6571.64325948022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6997.48462128611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174.908787556669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49708.3924089558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82.3712217785851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8</v>
      </c>
      <c r="D5" s="4" t="n">
        <f aca="false">Assumptions!D41</f>
        <v>9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19477</v>
      </c>
      <c r="C6" s="0" t="n">
        <f aca="false">B6*(1+C5/100)</f>
        <v>21035.16</v>
      </c>
      <c r="D6" s="0" t="n">
        <f aca="false">C6*(1+D5/100)</f>
        <v>22928.3244</v>
      </c>
      <c r="E6" s="0" t="n">
        <f aca="false">D6*(1+E5/100)</f>
        <v>24991.873596</v>
      </c>
      <c r="F6" s="0" t="n">
        <f aca="false">E6*(1+F5/100)</f>
        <v>26991.22348368</v>
      </c>
      <c r="G6" s="0" t="n">
        <f aca="false">F6*(1+G5/100)</f>
        <v>28880.6091275376</v>
      </c>
      <c r="H6" s="0" t="n">
        <f aca="false">G6*(1+H5/100)</f>
        <v>30613.4456751899</v>
      </c>
      <c r="I6" s="0" t="n">
        <f aca="false">H6*(1+I5/100)</f>
        <v>32144.1179589494</v>
      </c>
      <c r="J6" s="0" t="n">
        <f aca="false">I6*(1+J5/100)</f>
        <v>33751.3238568968</v>
      </c>
      <c r="K6" s="0" t="n">
        <f aca="false">J6*(1+K5/100)</f>
        <v>35101.3768111727</v>
      </c>
      <c r="L6" s="0" t="n">
        <f aca="false">K6*(1+L5/100)</f>
        <v>36505.4318836196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38</v>
      </c>
      <c r="D7" s="4" t="n">
        <f aca="false">Assumptions!D42</f>
        <v>38.5</v>
      </c>
      <c r="E7" s="4" t="n">
        <f aca="false">Assumptions!E42</f>
        <v>39</v>
      </c>
      <c r="F7" s="4" t="n">
        <f aca="false">Assumptions!F42</f>
        <v>39</v>
      </c>
      <c r="G7" s="4" t="n">
        <f aca="false">Assumptions!G42</f>
        <v>39</v>
      </c>
      <c r="H7" s="4" t="n">
        <f aca="false">Assumptions!H42</f>
        <v>39</v>
      </c>
      <c r="I7" s="4" t="n">
        <f aca="false">Assumptions!I42</f>
        <v>39</v>
      </c>
      <c r="J7" s="4" t="n">
        <f aca="false">Assumptions!J42</f>
        <v>39</v>
      </c>
      <c r="K7" s="4" t="n">
        <f aca="false">Assumptions!K42</f>
        <v>39</v>
      </c>
      <c r="L7" s="4" t="n">
        <f aca="false">Assumptions!L42</f>
        <v>39</v>
      </c>
    </row>
    <row r="8" customFormat="false" ht="15" hidden="false" customHeight="false" outlineLevel="0" collapsed="false">
      <c r="A8" s="0" t="s">
        <v>43</v>
      </c>
      <c r="C8" s="0" t="n">
        <f aca="false">C6*C7/100</f>
        <v>7993.3608</v>
      </c>
      <c r="D8" s="0" t="n">
        <f aca="false">D6*D7/100</f>
        <v>8827.404894</v>
      </c>
      <c r="E8" s="0" t="n">
        <f aca="false">E6*E7/100</f>
        <v>9746.83070244</v>
      </c>
      <c r="F8" s="0" t="n">
        <f aca="false">F6*F7/100</f>
        <v>10526.5771586352</v>
      </c>
      <c r="G8" s="0" t="n">
        <f aca="false">G6*G7/100</f>
        <v>11263.4375597397</v>
      </c>
      <c r="H8" s="0" t="n">
        <f aca="false">H6*H7/100</f>
        <v>11939.243813324</v>
      </c>
      <c r="I8" s="0" t="n">
        <f aca="false">I6*I7/100</f>
        <v>12536.2060039903</v>
      </c>
      <c r="J8" s="0" t="n">
        <f aca="false">J6*J7/100</f>
        <v>13163.0163041898</v>
      </c>
      <c r="K8" s="0" t="n">
        <f aca="false">K6*K7/100</f>
        <v>13689.5369563574</v>
      </c>
      <c r="L8" s="0" t="n">
        <f aca="false">L6*L7/100</f>
        <v>14237.1184346116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4.3</v>
      </c>
      <c r="D9" s="4" t="n">
        <f aca="false">Assumptions!D43</f>
        <v>4.3</v>
      </c>
      <c r="E9" s="4" t="n">
        <f aca="false">Assumptions!E43</f>
        <v>4.3</v>
      </c>
      <c r="F9" s="4" t="n">
        <f aca="false">Assumptions!F43</f>
        <v>4.3</v>
      </c>
      <c r="G9" s="4" t="n">
        <f aca="false">Assumptions!G43</f>
        <v>4.3</v>
      </c>
      <c r="H9" s="4" t="n">
        <f aca="false">Assumptions!H43</f>
        <v>4.3</v>
      </c>
      <c r="I9" s="4" t="n">
        <f aca="false">Assumptions!I43</f>
        <v>4.3</v>
      </c>
      <c r="J9" s="4" t="n">
        <f aca="false">Assumptions!J43</f>
        <v>4.3</v>
      </c>
      <c r="K9" s="4" t="n">
        <f aca="false">Assumptions!K43</f>
        <v>4.3</v>
      </c>
      <c r="L9" s="4" t="n">
        <f aca="false">Assumptions!L43</f>
        <v>4.3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-904.51188</v>
      </c>
      <c r="D10" s="0" t="n">
        <f aca="false">-D6*D9/100</f>
        <v>-985.9179492</v>
      </c>
      <c r="E10" s="0" t="n">
        <f aca="false">-E6*E9/100</f>
        <v>-1074.650564628</v>
      </c>
      <c r="F10" s="0" t="n">
        <f aca="false">-F6*F9/100</f>
        <v>-1160.62260979824</v>
      </c>
      <c r="G10" s="0" t="n">
        <f aca="false">-G6*G9/100</f>
        <v>-1241.86619248412</v>
      </c>
      <c r="H10" s="0" t="n">
        <f aca="false">-H6*H9/100</f>
        <v>-1316.37816403316</v>
      </c>
      <c r="I10" s="0" t="n">
        <f aca="false">-I6*I9/100</f>
        <v>-1382.19707223482</v>
      </c>
      <c r="J10" s="0" t="n">
        <f aca="false">-J6*J9/100</f>
        <v>-1451.30692584656</v>
      </c>
      <c r="K10" s="0" t="n">
        <f aca="false">-K6*K9/100</f>
        <v>-1509.35920288043</v>
      </c>
      <c r="L10" s="0" t="n">
        <f aca="false">-L6*L9/100</f>
        <v>-1569.73357099564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7088.84892</v>
      </c>
      <c r="D11" s="0" t="n">
        <f aca="false">D8+D10+D24</f>
        <v>7841.4869448</v>
      </c>
      <c r="E11" s="0" t="n">
        <f aca="false">E8+E10+E24</f>
        <v>8672.180137812</v>
      </c>
      <c r="F11" s="0" t="n">
        <f aca="false">F8+F10+F24</f>
        <v>9365.95454883696</v>
      </c>
      <c r="G11" s="0" t="n">
        <f aca="false">G8+G10+G24</f>
        <v>10021.5713672555</v>
      </c>
      <c r="H11" s="0" t="n">
        <f aca="false">H8+H10+H24</f>
        <v>10622.8656492909</v>
      </c>
      <c r="I11" s="0" t="n">
        <f aca="false">I8+I10+I24</f>
        <v>11154.0089317554</v>
      </c>
      <c r="J11" s="0" t="n">
        <f aca="false">J8+J10+J24</f>
        <v>11711.7093783432</v>
      </c>
      <c r="K11" s="0" t="n">
        <f aca="false">K8+K10+K24</f>
        <v>12180.1777534769</v>
      </c>
      <c r="L11" s="0" t="n">
        <f aca="false">L8+L10+L24</f>
        <v>12667.384863616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7088.84892</v>
      </c>
      <c r="D13" s="0" t="n">
        <f aca="false">D11+D12</f>
        <v>7841.4869448</v>
      </c>
      <c r="E13" s="0" t="n">
        <f aca="false">E11+E12</f>
        <v>8672.180137812</v>
      </c>
      <c r="F13" s="0" t="n">
        <f aca="false">F11+F12</f>
        <v>9365.95454883696</v>
      </c>
      <c r="G13" s="0" t="n">
        <f aca="false">G11+G12</f>
        <v>10021.5713672555</v>
      </c>
      <c r="H13" s="0" t="n">
        <f aca="false">H11+H12</f>
        <v>10622.8656492909</v>
      </c>
      <c r="I13" s="0" t="n">
        <f aca="false">I11+I12</f>
        <v>11154.0089317554</v>
      </c>
      <c r="J13" s="0" t="n">
        <f aca="false">J11+J12</f>
        <v>11711.7093783432</v>
      </c>
      <c r="K13" s="0" t="n">
        <f aca="false">K11+K12</f>
        <v>12180.1777534769</v>
      </c>
      <c r="L13" s="0" t="n">
        <f aca="false">L11+L12</f>
        <v>12667.384863616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27.5</v>
      </c>
      <c r="D14" s="4" t="n">
        <f aca="false">Assumptions!D47</f>
        <v>27.5</v>
      </c>
      <c r="E14" s="4" t="n">
        <f aca="false">Assumptions!E47</f>
        <v>27.5</v>
      </c>
      <c r="F14" s="4" t="n">
        <f aca="false">Assumptions!F47</f>
        <v>27.5</v>
      </c>
      <c r="G14" s="4" t="n">
        <f aca="false">Assumptions!G47</f>
        <v>27.5</v>
      </c>
      <c r="H14" s="4" t="n">
        <f aca="false">Assumptions!H47</f>
        <v>27.5</v>
      </c>
      <c r="I14" s="4" t="n">
        <f aca="false">Assumptions!I47</f>
        <v>27.5</v>
      </c>
      <c r="J14" s="4" t="n">
        <f aca="false">Assumptions!J47</f>
        <v>27.5</v>
      </c>
      <c r="K14" s="4" t="n">
        <f aca="false">Assumptions!K47</f>
        <v>27.5</v>
      </c>
      <c r="L14" s="4" t="n">
        <f aca="false">Assumptions!L47</f>
        <v>27.5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5139.415467</v>
      </c>
      <c r="D15" s="0" t="n">
        <f aca="false">D13-MAX(0,D13)*D14/100</f>
        <v>5685.07803498</v>
      </c>
      <c r="E15" s="0" t="n">
        <f aca="false">E13-MAX(0,E13)*E14/100</f>
        <v>6287.3305999137</v>
      </c>
      <c r="F15" s="0" t="n">
        <f aca="false">F13-MAX(0,F13)*F14/100</f>
        <v>6790.3170479068</v>
      </c>
      <c r="G15" s="0" t="n">
        <f aca="false">G13-MAX(0,G13)*G14/100</f>
        <v>7265.63924126027</v>
      </c>
      <c r="H15" s="0" t="n">
        <f aca="false">H13-MAX(0,H13)*H14/100</f>
        <v>7701.57759573589</v>
      </c>
      <c r="I15" s="0" t="n">
        <f aca="false">I13-MAX(0,I13)*I14/100</f>
        <v>8086.65647552269</v>
      </c>
      <c r="J15" s="0" t="n">
        <f aca="false">J13-MAX(0,J13)*J14/100</f>
        <v>8490.98929929882</v>
      </c>
      <c r="K15" s="0" t="n">
        <f aca="false">K13-MAX(0,K13)*K14/100</f>
        <v>8830.62887127077</v>
      </c>
      <c r="L15" s="0" t="n">
        <f aca="false">L13-MAX(0,L13)*L14/100</f>
        <v>9183.8540261216</v>
      </c>
    </row>
    <row r="16" customFormat="false" ht="15" hidden="false" customHeight="false" outlineLevel="0" collapsed="false">
      <c r="A16" s="0" t="s">
        <v>125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-2566.28952</v>
      </c>
      <c r="D17" s="4" t="n">
        <f aca="false">-D6*Assumptions!D46/100</f>
        <v>-3255.8220648</v>
      </c>
      <c r="E17" s="4" t="n">
        <f aca="false">-E6*Assumptions!E46/100</f>
        <v>-3548.846050632</v>
      </c>
      <c r="F17" s="4" t="n">
        <f aca="false">-F6*Assumptions!F46/100</f>
        <v>-3400.89415894368</v>
      </c>
      <c r="G17" s="4" t="n">
        <f aca="false">-G6*Assumptions!G46/100</f>
        <v>-3176.86700402914</v>
      </c>
      <c r="H17" s="4" t="n">
        <f aca="false">-H6*Assumptions!H46/100</f>
        <v>-2877.66389346785</v>
      </c>
      <c r="I17" s="4" t="n">
        <f aca="false">-I6*Assumptions!I46/100</f>
        <v>-2539.385318757</v>
      </c>
      <c r="J17" s="4" t="n">
        <f aca="false">-J6*Assumptions!J46/100</f>
        <v>-2666.35458469485</v>
      </c>
      <c r="K17" s="4" t="n">
        <f aca="false">-K6*Assumptions!K46/100</f>
        <v>-2211.38673910388</v>
      </c>
      <c r="L17" s="4" t="n">
        <f aca="false">-L6*Assumptions!L46/100</f>
        <v>-2299.84220866804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2573.125947</v>
      </c>
      <c r="D19" s="0" t="n">
        <f aca="false">D15+D16+D17+D18</f>
        <v>2429.25597018</v>
      </c>
      <c r="E19" s="0" t="n">
        <f aca="false">E15+E16+E17+E18</f>
        <v>2738.4845492817</v>
      </c>
      <c r="F19" s="0" t="n">
        <f aca="false">F15+F16+F17+F18</f>
        <v>3389.42288896312</v>
      </c>
      <c r="G19" s="0" t="n">
        <f aca="false">G15+G16+G17+G18</f>
        <v>4088.77223723113</v>
      </c>
      <c r="H19" s="0" t="n">
        <f aca="false">H15+H16+H17+H18</f>
        <v>4823.91370226804</v>
      </c>
      <c r="I19" s="0" t="n">
        <f aca="false">I15+I16+I17+I18</f>
        <v>5547.27115676569</v>
      </c>
      <c r="J19" s="0" t="n">
        <f aca="false">J15+J16+J17+J18</f>
        <v>5824.63471460397</v>
      </c>
      <c r="K19" s="0" t="n">
        <f aca="false">K15+K16+K17+K18</f>
        <v>6619.24213216689</v>
      </c>
      <c r="L19" s="0" t="n">
        <f aca="false">L15+L16+L17+L18</f>
        <v>6884.01181745357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2328.62076651584</v>
      </c>
      <c r="D21" s="0" t="n">
        <f aca="false">D19*D20</f>
        <v>1989.52189363854</v>
      </c>
      <c r="E21" s="0" t="n">
        <f aca="false">E19*E20</f>
        <v>2029.66078535323</v>
      </c>
      <c r="F21" s="0" t="n">
        <f aca="false">F19*F20</f>
        <v>2273.40413647043</v>
      </c>
      <c r="G21" s="0" t="n">
        <f aca="false">G19*G20</f>
        <v>2481.8842840707</v>
      </c>
      <c r="H21" s="0" t="n">
        <f aca="false">H19*H20</f>
        <v>2649.87789134478</v>
      </c>
      <c r="I21" s="0" t="n">
        <f aca="false">I19*I20</f>
        <v>2757.67733071886</v>
      </c>
      <c r="J21" s="0" t="n">
        <f aca="false">J19*J20</f>
        <v>2620.41737308127</v>
      </c>
      <c r="K21" s="0" t="n">
        <f aca="false">K19*K20</f>
        <v>2694.93171700652</v>
      </c>
      <c r="L21" s="0" t="n">
        <f aca="false">L19*L20</f>
        <v>2536.40632188849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24362.4025000887</v>
      </c>
    </row>
    <row r="31" customFormat="false" ht="15" hidden="false" customHeight="false" outlineLevel="0" collapsed="false">
      <c r="A31" s="0" t="s">
        <v>134</v>
      </c>
      <c r="B31" s="0" t="n">
        <f aca="false">L19</f>
        <v>6884.01181745357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101785.031872349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103260.177261804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101785.031872349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37502.5791879227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61864.9816880114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61864.9816880114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164.141633558003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-0.323266816911964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7210.82603180177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8551.56253522829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205.962775948637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61956.1063570821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92.381444950339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111.404902921664</v>
      </c>
      <c r="C4" s="0" t="n">
        <f aca="false">B4/Assumptions!$B$2-1</f>
        <v>-0.540693040933151</v>
      </c>
      <c r="D4" s="4" t="n">
        <f aca="false">Assumptions!$B$24</f>
        <v>0.25</v>
      </c>
      <c r="E4" s="4" t="n">
        <f aca="false">DCF_Bear!$B$43</f>
        <v>140.646110703879</v>
      </c>
      <c r="F4" s="4" t="n">
        <f aca="false">DCF_Bear!$B$47</f>
        <v>70.2369921710654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138.906856326193</v>
      </c>
      <c r="C5" s="0" t="n">
        <f aca="false">B5/Assumptions!$B$2-1</f>
        <v>-0.427306302510028</v>
      </c>
      <c r="D5" s="4" t="n">
        <f aca="false">Assumptions!$B$38</f>
        <v>0.5</v>
      </c>
      <c r="E5" s="4" t="n">
        <f aca="false">DCF_Base!$B$43</f>
        <v>174.908787556669</v>
      </c>
      <c r="F5" s="4" t="n">
        <f aca="false">DCF_Base!$B$47</f>
        <v>82.3712217785851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164.141633558003</v>
      </c>
      <c r="C6" s="0" t="n">
        <f aca="false">B6/Assumptions!$B$2-1</f>
        <v>-0.323266816911964</v>
      </c>
      <c r="D6" s="4" t="n">
        <f aca="false">Assumptions!$B$52</f>
        <v>0.25</v>
      </c>
      <c r="E6" s="4" t="n">
        <f aca="false">DCF_Bull!$B$43</f>
        <v>205.962775948637</v>
      </c>
      <c r="F6" s="4" t="n">
        <f aca="false">DCF_Bull!$B$47</f>
        <v>92.381444950339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138.340062283013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174.106615441463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-0.753288208760498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291.361421536273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81.8402201696437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163.190961374658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149.827682688269</v>
      </c>
      <c r="C16" s="3" t="n">
        <v>10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138.906856326193</v>
      </c>
      <c r="C17" s="3" t="n">
        <v>10.5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129.380559968657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113.577884075414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82.3712217785851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169.44790551361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169.44790551361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169.44790551361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169.44790551361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169.44790551361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148.539687819331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155.00562126884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157.219982039219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157.219982039219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157.219982039219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129.093740821994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133.693638714587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138.906856326193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144.864819310885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146.077979194646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113.857800550531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117.23127701928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121.001633072588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125.243283632559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130.050487600527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101.621055433878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104.155924929814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106.957622793744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110.070620420332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113.549853061813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2026-09-24T08:50:20Z</dcterms:created>
  <dc:creator>openpyxl</dc:creator>
  <dc:description/>
  <dc:language>en-NZ</dc:language>
  <cp:lastModifiedBy/>
  <dcterms:modified xsi:type="dcterms:W3CDTF">2026-09-24T08:50:20Z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