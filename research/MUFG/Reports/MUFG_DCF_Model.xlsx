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<sst xmlns="http://schemas.openxmlformats.org/spreadsheetml/2006/main" count="390" uniqueCount="176">
  <si>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</si>
  <si>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MUFG</t>
  </si>
  <si>
    <t xml:space="preserve">Company</t>
  </si>
  <si>
    <t xml:space="preserve">Mitsubishi UFJ Financial Group, Inc.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</si>
  <si>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</si>
  <si>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</si>
  <si>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</si>
  <si>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</si>
  <si>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NYSE regular close (Friday); Yahoo chart API</t>
  </si>
  <si>
    <t xml:space="preserve">Balance sheet date</t>
  </si>
  <si>
    <t xml:space="preserve">2026-03-31</t>
  </si>
  <si>
    <t xml:space="preserve">Model</t>
  </si>
  <si>
    <t xml:space="preserve">Bank FCFE at cost of equity (distributable earnings less book-growth retention, net debt zero; engine route)</t>
  </si>
  <si>
    <t xml:space="preserve">Currency (model)</t>
  </si>
  <si>
    <t xml:space="preserve">JPY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</si>
  <si>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</si>
  <si>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</si>
  <si>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</si>
  <si>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</si>
  <si>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</si>
  <si>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</si>
  <si>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</si>
  <si>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2026-10-03T23:28:53Z</t>
  </si>
  <si>
    <t xml:space="preserve">Drivers file</t>
  </si>
  <si>
    <t xml:space="preserve">MUFG_Drivers.json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</si>
  <si>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</si>
  <si>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</si>
  <si>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</si>
  <si>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bank is valued on the equity cash it can distribute: post-tax attributable earnings less the book retained to grow the balance sheet, discounted at a JPY cost of equity, with deposits treated as operating funding (net debt zero). The J-GAAP earnings basis is used because MUFG's capital, payout and ROE targets are set on it and the US GAAP line is dominated by mark-to-market swings. The price-to-book cross-check: at a sustainable ROE of r, a bank growing at g is worth (r - g)/(CoE - g) times book, so 12% ROE, 1.5% g and 8.5% CoE support about 1.5x book. The ADR trades at about 2.1x US GAAP book.
key_risks_to_valuation: BOJ rate path: each 25bp is worth roughly JPY 100-200bn of pre-tax domestic NII, so a stall or reversal is the bear case; Credit-cycle turn in overseas lending (Americas CIB, Asia consumer finance) while credit costs are near cyclical lows; Morgan Stanley concentration: ~24% equity-method stake, valued inside the earnings stream; an MS downturn hits earnings and capital together; Earnings-basis risk: J-GAAP FY0/guide figures come from company releases, not a filing extracted in this folder; US GAAP attributable NI was 29% lower in FY2026; Cross-shareholding sale gains inside J-GAAP profit are finite and run off over the plan period; Yen translation for ADR holders: the USD value moves 1:1 with USDJPY (157.83 at valuation)</t>
  </si>
  <si>
    <t xml:space="preserve">Data sources</t>
  </si>
  <si>
    <t xml:space="preserve">price: Yahoo Finance chart API (MUFG, NYSE) at inputs.price_as_of; 52-week range 14.62-24.26. JPY=X and 8306.T from the same API for the FX parity check.
financials: SEC XBRL companyfacts CIK 0000067088 (20-F FY ended 2026-03-31, US GAAP): StockholdersEquity, Goodwill, IntangibleAssetsNetExcludingGoodwill, NetIncomeLoss, ProfitLoss, CommonStockSharesIssued, TreasuryStockCommonShares, PaymentsOfDividendsCommonStock, PaymentsForRepurchaseOfCommonStock, EquitySecuritiesFvNiGainLoss, IncomeLossFromEquityMethodInvestments, Deposits; research/MUFG/Reports/MUFG_Metrics.csv for history.
qualitative: research/MUFG/Reports/MUFG_Analysis.json (2026-10-04): J-GAAP FY0 profit JPY 2.43tn, FY2027 guide JPY 2.7tn, Q1 FY2027 JPY 809.4bn, DPS guide JPY 96, JPY 100bn buyback, Shriram JPY 680bn, Morgan Stanley stake ~23.9-24.1%.</t>
  </si>
  <si>
    <t xml:space="preserve">Scenario narrative: bear</t>
  </si>
  <si>
    <t xml:space="preserve">The profit surge turns out to be a rate story that partly reverses. A global slowdown stalls or reverses the BOJ. Overseas credit costs (Americas CIB, Asia consumer finance) normalise sharply, foreign-currency funding costs spike, and Morgan Stanley earnings fall at the same time, so earnings drop about 13% from the FY2027 level over two years. The JGB/foreign-bond book takes valuation losses. ROE slips to ~9.5%, barely above the cost of equity, and the market re-rates the stock toward 1.0-1.2x book, as it did through 2016-2023.</t>
  </si>
  <si>
    <t xml:space="preserve">Scenario narrative: base</t>
  </si>
  <si>
    <t xml:space="preserve">BOJ policy rate holds around 1.00-1.25%. Domestic deposit margins have repriced, so FY2027 lands at the JPY 2.7tn guide (Q1's JPY 809bn suggests upside, but management's unchanged target implies H2 normalisation: credit costs rising off a low base, deposit competition). After that, earnings grow with a mature Japanese balance sheet plus the Asia platforms (Krungsri, Danamon, Shriram), and cross-shareholding sale gains run off. Morgan Stanley equity-method income grows with US capital markets. ROE settles near 12% against an 8.5% cost of equity, which supports about 1.5x book, not the roughly 2.1x the ADR pays today.</t>
  </si>
  <si>
    <t xml:space="preserve">Scenario narrative: bull</t>
  </si>
  <si>
    <t xml:space="preserve">Japan reflation sticks. The BOJ goes to 1.5% or more, deposit betas stay low and NII compounds. Household money moving from deposits into NISA products lifts trust, asset-management and securities fees. Morgan Stanley has a strong M&amp;A/underwriting cycle, and Shriram/Asia grow at EM-credit rates. FY2027 beats the guide at JPY 2.9tn, ROE climbs toward 13.5%, and capital returns grow. Even here the stock is only about at fair value, because the price already discounts most of the bull case.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</si>
  <si>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</si>
  <si>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</si>
  <si>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</si>
  <si>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</si>
  <si>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</si>
  <si>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</si>
  <si>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</si>
  <si>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</si>
  <si>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</si>
  <si>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</si>
  <si>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</si>
  <si>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</si>
  <si>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</si>
  <si>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</si>
  <si>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</si>
  <si>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</si>
  <si>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</si>
  <si>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</si>
  <si>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</si>
  <si>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</si>
  <si>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</si>
  <si>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</si>
  <si>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</si>
  <si>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</si>
  <si>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</si>
  <si>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</si>
  <si>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</si>
  <si>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</si>
  <si>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</si>
  <si>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</si>
  <si>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</si>
  <si>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</si>
  <si>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</si>
  <si>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</si>
  <si>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</si>
  <si>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</si>
  <si>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</si>
  <si>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</si>
  <si>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</si>
  <si>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</si>
  <si>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</si>
  <si>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</si>
  <si>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</si>
  <si>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</si>
  <si>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</si>
  <si>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</si>
  <si>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</si>
  <si>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</si>
  <si>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</si>
  <si>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</si>
  <si>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</si>
  <si>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</si>
  <si>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</si>
  <si>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</si>
  <si>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</si>
  <si>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</si>
  <si>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</si>
  <si>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</si>
  <si>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</si>
  <si>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</si>
  <si>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</si>
  <si>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</si>
  <si>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</si>
  <si>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</si>
  <si>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</si>
  <si>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</si>
  <si>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</si>
  <si>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</si>
  <si>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</si>
  <si>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</si>
  <si>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</si>
  <si>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</si>
  <si>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</si>
  <si>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</si>
  <si>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</si>
  <si>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</si>
  <si>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</si>
  <si>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</si>
  <si>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</si>
  <si>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</si>
  <si>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</si>
  <si>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</si>
  <si>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</si>
  <si>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</si>
  <si>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MUFG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</si>
  <si>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</si>
  <si>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</si>
  <si>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</si>
  <si>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</si>
  <si>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</si>
  <si>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</si>
  <si>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</si>
  <si>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</si>
  <si>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</si>
  <si>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</si>
  <si>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</si>
  <si>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</si>
  <si>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</si>
  <si>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</si>
  <si>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</si>
  <si>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</si>
  <si>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</si>
  <si>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</si>
  <si>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</si>
  <si>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</si>
  <si>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</si>
  <si>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</si>
  <si>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</si>
  <si>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</si>
  <si>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</si>
  <si>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</si>
  <si>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</si>
  <si>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</si>
  <si>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</si>
  <si>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</si>
  <si>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MUFG owner-FCF component DCF: base case (millions, JPY)</t>
  </si>
  <si>
    <t xml:space="preserve">MUFG owner-FCF component DCF: bull case (millions, JPY)</t>
  </si>
  <si>
    <t xml:space="preserve">MUFG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</si>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</sst>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22.82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S2" s="0" t="n">
        <v>2849663</v>
      </c>
      <c r="AA2" s="0" t="s">
        <v>18</v>
      </c>
      <c r="AB2" s="0" t="s">
        <v>16</v>
      </c>
    </row>
    <row r="3" customFormat="false" ht="15" hidden="false" customHeight="false" outlineLevel="0" collapsed="false">
      <c r="A3" s="0" t="s">
        <v>65</v>
      </c>
      <c r="I3" s="0" t="n">
        <v>-542436</v>
      </c>
      <c r="K3" s="0" t="n">
        <v>-54.05</v>
      </c>
      <c r="L3" s="0" t="n">
        <v>553392</v>
      </c>
      <c r="M3" s="0" t="n">
        <v>187745</v>
      </c>
      <c r="N3" s="0" t="n">
        <v>365647</v>
      </c>
      <c r="O3" s="0" t="n">
        <v>9153931</v>
      </c>
      <c r="S3" s="0" t="n">
        <v>4090690</v>
      </c>
      <c r="AA3" s="0" t="s">
        <v>18</v>
      </c>
      <c r="AB3" s="0" t="s">
        <v>16</v>
      </c>
    </row>
    <row r="4" customFormat="false" ht="15" hidden="false" customHeight="false" outlineLevel="0" collapsed="false">
      <c r="A4" s="0" t="s">
        <v>66</v>
      </c>
      <c r="B4" s="0" t="n">
        <v>4070893</v>
      </c>
      <c r="I4" s="0" t="n">
        <v>-1504299</v>
      </c>
      <c r="J4" s="0" t="n">
        <v>-36.9525556186321</v>
      </c>
      <c r="K4" s="0" t="n">
        <v>-137.84</v>
      </c>
      <c r="L4" s="0" t="n">
        <v>-966187</v>
      </c>
      <c r="M4" s="0" t="n">
        <v>154607</v>
      </c>
      <c r="N4" s="0" t="n">
        <v>-1120794</v>
      </c>
      <c r="O4" s="0" t="n">
        <v>6467120</v>
      </c>
      <c r="P4" s="0" t="n">
        <v>193499417</v>
      </c>
      <c r="Q4" s="0" t="n">
        <v>187032297</v>
      </c>
      <c r="R4" s="0" t="n">
        <v>13273288</v>
      </c>
      <c r="S4" s="0" t="n">
        <v>3071252</v>
      </c>
      <c r="T4" s="0" t="n">
        <v>10821.091</v>
      </c>
      <c r="AA4" s="0" t="s">
        <v>18</v>
      </c>
      <c r="AB4" s="0" t="s">
        <v>16</v>
      </c>
    </row>
    <row r="5" customFormat="false" ht="15" hidden="false" customHeight="false" outlineLevel="0" collapsed="false">
      <c r="A5" s="0" t="s">
        <v>67</v>
      </c>
      <c r="B5" s="0" t="n">
        <v>5227277</v>
      </c>
      <c r="F5" s="0" t="n">
        <v>1400900</v>
      </c>
      <c r="G5" s="0" t="n">
        <v>26.7998041810296</v>
      </c>
      <c r="I5" s="0" t="n">
        <v>883919</v>
      </c>
      <c r="J5" s="0" t="n">
        <v>16.9097409607335</v>
      </c>
      <c r="K5" s="0" t="n">
        <v>68.72</v>
      </c>
      <c r="L5" s="0" t="n">
        <v>2309985</v>
      </c>
      <c r="M5" s="0" t="n">
        <v>114230</v>
      </c>
      <c r="N5" s="0" t="n">
        <v>2195755</v>
      </c>
      <c r="O5" s="0" t="n">
        <v>9101099</v>
      </c>
      <c r="P5" s="0" t="n">
        <v>200081462</v>
      </c>
      <c r="Q5" s="0" t="n">
        <v>190981557</v>
      </c>
      <c r="R5" s="0" t="n">
        <v>14162424</v>
      </c>
      <c r="S5" s="0" t="n">
        <v>2862523</v>
      </c>
      <c r="T5" s="0" t="n">
        <v>12332.681</v>
      </c>
      <c r="AA5" s="0" t="s">
        <v>18</v>
      </c>
      <c r="AB5" s="0" t="s">
        <v>16</v>
      </c>
    </row>
    <row r="6" customFormat="false" ht="15" hidden="false" customHeight="false" outlineLevel="0" collapsed="false">
      <c r="A6" s="0" t="s">
        <v>68</v>
      </c>
      <c r="B6" s="0" t="n">
        <v>4244966</v>
      </c>
      <c r="F6" s="0" t="n">
        <v>1395000</v>
      </c>
      <c r="G6" s="0" t="n">
        <v>32.862454022011</v>
      </c>
      <c r="I6" s="0" t="n">
        <v>452645</v>
      </c>
      <c r="J6" s="0" t="n">
        <v>10.6631007174145</v>
      </c>
      <c r="K6" s="0" t="n">
        <v>30.55</v>
      </c>
      <c r="L6" s="0" t="n">
        <v>4237838</v>
      </c>
      <c r="M6" s="0" t="n">
        <v>98323</v>
      </c>
      <c r="N6" s="0" t="n">
        <v>4139515</v>
      </c>
      <c r="O6" s="0" t="n">
        <v>8662912</v>
      </c>
      <c r="P6" s="0" t="n">
        <v>202850243</v>
      </c>
      <c r="Q6" s="0" t="n">
        <v>194187331</v>
      </c>
      <c r="R6" s="0" t="n">
        <v>13356728</v>
      </c>
      <c r="S6" s="0" t="n">
        <v>3230804</v>
      </c>
      <c r="T6" s="0" t="n">
        <v>14144.737</v>
      </c>
      <c r="AA6" s="0" t="s">
        <v>18</v>
      </c>
      <c r="AB6" s="0" t="s">
        <v>16</v>
      </c>
    </row>
    <row r="7" customFormat="false" ht="15" hidden="false" customHeight="false" outlineLevel="0" collapsed="false">
      <c r="A7" s="0" t="s">
        <v>69</v>
      </c>
      <c r="B7" s="0" t="n">
        <v>4036532</v>
      </c>
      <c r="F7" s="0" t="n">
        <v>1494800</v>
      </c>
      <c r="G7" s="0" t="n">
        <v>37.03178867404</v>
      </c>
      <c r="I7" s="0" t="n">
        <v>420751</v>
      </c>
      <c r="J7" s="0" t="n">
        <v>10.4235764760443</v>
      </c>
      <c r="K7" s="0" t="n">
        <v>28.17</v>
      </c>
      <c r="L7" s="0" t="n">
        <v>592879</v>
      </c>
      <c r="M7" s="0" t="n">
        <v>131187</v>
      </c>
      <c r="N7" s="0" t="n">
        <v>461692</v>
      </c>
      <c r="O7" s="0" t="n">
        <v>8858447</v>
      </c>
      <c r="P7" s="0" t="n">
        <v>215202514</v>
      </c>
      <c r="Q7" s="0" t="n">
        <v>206344067</v>
      </c>
      <c r="R7" s="0" t="n">
        <v>12593062</v>
      </c>
      <c r="S7" s="0" t="n">
        <v>3230409</v>
      </c>
      <c r="T7" s="0" t="n">
        <v>14156.82</v>
      </c>
      <c r="AA7" s="0" t="s">
        <v>18</v>
      </c>
      <c r="AB7" s="0" t="s">
        <v>16</v>
      </c>
    </row>
    <row r="8" customFormat="false" ht="15" hidden="false" customHeight="false" outlineLevel="0" collapsed="false">
      <c r="A8" s="0" t="s">
        <v>70</v>
      </c>
      <c r="B8" s="0" t="n">
        <v>4495430</v>
      </c>
      <c r="I8" s="0" t="n">
        <v>1119851</v>
      </c>
      <c r="J8" s="0" t="n">
        <v>24.9108761564522</v>
      </c>
      <c r="K8" s="0" t="n">
        <v>74.3</v>
      </c>
      <c r="L8" s="0" t="n">
        <v>-2164910</v>
      </c>
      <c r="M8" s="0" t="n">
        <v>139756</v>
      </c>
      <c r="N8" s="0" t="n">
        <v>-2304666</v>
      </c>
      <c r="O8" s="0" t="n">
        <v>10941980</v>
      </c>
      <c r="P8" s="0" t="n">
        <v>230559276</v>
      </c>
      <c r="Q8" s="0" t="n">
        <v>219617296</v>
      </c>
      <c r="T8" s="0" t="n">
        <v>14169.08</v>
      </c>
      <c r="AA8" s="0" t="s">
        <v>18</v>
      </c>
      <c r="AB8" s="0" t="s">
        <v>16</v>
      </c>
    </row>
    <row r="9" customFormat="false" ht="15" hidden="false" customHeight="false" outlineLevel="0" collapsed="false">
      <c r="A9" s="0" t="s">
        <v>71</v>
      </c>
      <c r="B9" s="0" t="n">
        <v>4343364</v>
      </c>
      <c r="F9" s="0" t="n">
        <v>1463400</v>
      </c>
      <c r="G9" s="0" t="n">
        <v>33.6927782244362</v>
      </c>
      <c r="I9" s="0" t="n">
        <v>1082526</v>
      </c>
      <c r="J9" s="0" t="n">
        <v>24.9236766708938</v>
      </c>
      <c r="K9" s="0" t="n">
        <v>70.21</v>
      </c>
      <c r="L9" s="0" t="n">
        <v>909448</v>
      </c>
      <c r="M9" s="0" t="n">
        <v>158492</v>
      </c>
      <c r="N9" s="0" t="n">
        <v>750956</v>
      </c>
      <c r="O9" s="0" t="n">
        <v>12751444</v>
      </c>
      <c r="P9" s="0" t="n">
        <v>253661077</v>
      </c>
      <c r="Q9" s="0" t="n">
        <v>240909633</v>
      </c>
      <c r="T9" s="0" t="n">
        <v>14180.08</v>
      </c>
      <c r="AA9" s="0" t="s">
        <v>18</v>
      </c>
      <c r="AB9" s="0" t="s">
        <v>16</v>
      </c>
    </row>
    <row r="10" customFormat="false" ht="15" hidden="false" customHeight="false" outlineLevel="0" collapsed="false">
      <c r="A10" s="0" t="s">
        <v>72</v>
      </c>
      <c r="B10" s="0" t="n">
        <v>5739723</v>
      </c>
      <c r="F10" s="0" t="n">
        <v>1663400</v>
      </c>
      <c r="G10" s="0" t="n">
        <v>28.9804926126226</v>
      </c>
      <c r="I10" s="0" t="n">
        <v>1596636</v>
      </c>
      <c r="J10" s="0" t="n">
        <v>27.8173005909867</v>
      </c>
      <c r="K10" s="0" t="n">
        <v>107.81</v>
      </c>
      <c r="L10" s="0" t="n">
        <v>2384590</v>
      </c>
      <c r="M10" s="0" t="n">
        <v>162785</v>
      </c>
      <c r="N10" s="0" t="n">
        <v>2221805</v>
      </c>
      <c r="O10" s="0" t="n">
        <v>15281341</v>
      </c>
      <c r="P10" s="0" t="n">
        <v>280875706</v>
      </c>
      <c r="Q10" s="0" t="n">
        <v>265604985</v>
      </c>
      <c r="T10" s="0" t="n">
        <v>14137.645</v>
      </c>
      <c r="AA10" s="0" t="s">
        <v>18</v>
      </c>
      <c r="AB10" s="0" t="s">
        <v>16</v>
      </c>
    </row>
    <row r="11" customFormat="false" ht="15" hidden="false" customHeight="false" outlineLevel="0" collapsed="false">
      <c r="A11" s="0" t="s">
        <v>73</v>
      </c>
      <c r="B11" s="0" t="n">
        <v>5413428</v>
      </c>
      <c r="F11" s="0" t="n">
        <v>1551000</v>
      </c>
      <c r="G11" s="0" t="n">
        <v>28.650976793263</v>
      </c>
      <c r="I11" s="0" t="n">
        <v>802332</v>
      </c>
      <c r="J11" s="0" t="n">
        <v>14.8211447533799</v>
      </c>
      <c r="K11" s="0" t="n">
        <v>57.78</v>
      </c>
      <c r="L11" s="0" t="n">
        <v>4176195</v>
      </c>
      <c r="M11" s="0" t="n">
        <v>140651</v>
      </c>
      <c r="N11" s="0" t="n">
        <v>4035544</v>
      </c>
      <c r="O11" s="0" t="n">
        <v>14848267</v>
      </c>
      <c r="P11" s="0" t="n">
        <v>292557355</v>
      </c>
      <c r="Q11" s="0" t="n">
        <v>277709088</v>
      </c>
      <c r="T11" s="0" t="n">
        <v>13903.316</v>
      </c>
      <c r="AA11" s="0" t="s">
        <v>18</v>
      </c>
      <c r="AB11" s="0" t="s">
        <v>16</v>
      </c>
    </row>
    <row r="12" customFormat="false" ht="15" hidden="false" customHeight="false" outlineLevel="0" collapsed="false">
      <c r="A12" s="0" t="s">
        <v>74</v>
      </c>
      <c r="B12" s="0" t="n">
        <v>4187473</v>
      </c>
      <c r="F12" s="0" t="n">
        <v>1371500</v>
      </c>
      <c r="G12" s="0" t="n">
        <v>32.7524499859462</v>
      </c>
      <c r="I12" s="0" t="n">
        <v>202680</v>
      </c>
      <c r="J12" s="0" t="n">
        <v>4.84015061112036</v>
      </c>
      <c r="K12" s="0" t="n">
        <v>14.93</v>
      </c>
      <c r="L12" s="0" t="n">
        <v>690429</v>
      </c>
      <c r="M12" s="0" t="n">
        <v>116786</v>
      </c>
      <c r="N12" s="0" t="n">
        <v>573643</v>
      </c>
      <c r="O12" s="0" t="n">
        <v>14764708</v>
      </c>
      <c r="P12" s="0" t="n">
        <v>297185019</v>
      </c>
      <c r="Q12" s="0" t="n">
        <v>282420311</v>
      </c>
      <c r="T12" s="0" t="n">
        <v>13584.885</v>
      </c>
      <c r="AA12" s="0" t="s">
        <v>18</v>
      </c>
      <c r="AB12" s="0" t="s">
        <v>16</v>
      </c>
    </row>
    <row r="13" customFormat="false" ht="15" hidden="false" customHeight="false" outlineLevel="0" collapsed="false">
      <c r="A13" s="0" t="s">
        <v>75</v>
      </c>
      <c r="B13" s="0" t="n">
        <v>5194107</v>
      </c>
      <c r="F13" s="0" t="n">
        <v>1200600</v>
      </c>
      <c r="G13" s="0" t="n">
        <v>23.1146566676428</v>
      </c>
      <c r="I13" s="0" t="n">
        <v>1253996</v>
      </c>
      <c r="J13" s="0" t="n">
        <v>24.1426678349137</v>
      </c>
      <c r="K13" s="0" t="n">
        <v>92.4</v>
      </c>
      <c r="L13" s="0" t="n">
        <v>-563836</v>
      </c>
      <c r="M13" s="0" t="n">
        <v>159003</v>
      </c>
      <c r="N13" s="0" t="n">
        <v>-722839</v>
      </c>
      <c r="O13" s="0" t="n">
        <v>15645815</v>
      </c>
      <c r="P13" s="0" t="n">
        <v>300570312</v>
      </c>
      <c r="Q13" s="0" t="n">
        <v>284924497</v>
      </c>
      <c r="T13" s="0" t="n">
        <v>13293.492</v>
      </c>
      <c r="AA13" s="0" t="s">
        <v>18</v>
      </c>
      <c r="AB13" s="0" t="s">
        <v>16</v>
      </c>
    </row>
    <row r="14" customFormat="false" ht="15" hidden="false" customHeight="false" outlineLevel="0" collapsed="false">
      <c r="A14" s="0" t="s">
        <v>76</v>
      </c>
      <c r="B14" s="0" t="n">
        <v>5408623</v>
      </c>
      <c r="F14" s="0" t="n">
        <v>1072300</v>
      </c>
      <c r="G14" s="0" t="n">
        <v>19.8257486240028</v>
      </c>
      <c r="I14" s="0" t="n">
        <v>737605</v>
      </c>
      <c r="J14" s="0" t="n">
        <v>13.6375746654925</v>
      </c>
      <c r="K14" s="0" t="n">
        <v>55.03</v>
      </c>
      <c r="L14" s="0" t="n">
        <v>228334</v>
      </c>
      <c r="M14" s="0" t="n">
        <v>126479</v>
      </c>
      <c r="N14" s="0" t="n">
        <v>101855</v>
      </c>
      <c r="O14" s="0" t="n">
        <v>15984748</v>
      </c>
      <c r="P14" s="0" t="n">
        <v>305228899</v>
      </c>
      <c r="Q14" s="0" t="n">
        <v>289244151</v>
      </c>
      <c r="T14" s="0" t="n">
        <v>13059.182</v>
      </c>
      <c r="AA14" s="0" t="s">
        <v>18</v>
      </c>
      <c r="AB14" s="0" t="s">
        <v>16</v>
      </c>
    </row>
    <row r="15" customFormat="false" ht="15" hidden="false" customHeight="false" outlineLevel="0" collapsed="false">
      <c r="A15" s="0" t="s">
        <v>77</v>
      </c>
      <c r="B15" s="0" t="n">
        <v>5802838</v>
      </c>
      <c r="F15" s="0" t="n">
        <v>1174100</v>
      </c>
      <c r="G15" s="0" t="n">
        <v>20.2332031326741</v>
      </c>
      <c r="I15" s="0" t="n">
        <v>318715</v>
      </c>
      <c r="J15" s="0" t="n">
        <v>5.49239871938524</v>
      </c>
      <c r="K15" s="0" t="n">
        <v>23.69</v>
      </c>
      <c r="L15" s="0" t="n">
        <v>-1355900</v>
      </c>
      <c r="M15" s="0" t="n">
        <v>123804</v>
      </c>
      <c r="N15" s="0" t="n">
        <v>-1479704</v>
      </c>
      <c r="O15" s="0" t="n">
        <v>15744516</v>
      </c>
      <c r="P15" s="0" t="n">
        <v>331753283</v>
      </c>
      <c r="Q15" s="0" t="n">
        <v>316008767</v>
      </c>
      <c r="T15" s="0" t="n">
        <v>12912.956</v>
      </c>
      <c r="AA15" s="0" t="s">
        <v>18</v>
      </c>
      <c r="AB15" s="0" t="s">
        <v>16</v>
      </c>
    </row>
    <row r="16" customFormat="false" ht="15" hidden="false" customHeight="false" outlineLevel="0" collapsed="false">
      <c r="A16" s="0" t="s">
        <v>78</v>
      </c>
      <c r="B16" s="0" t="n">
        <v>5909783</v>
      </c>
      <c r="F16" s="0" t="n">
        <v>1247000</v>
      </c>
      <c r="G16" s="0" t="n">
        <v>21.1006055552294</v>
      </c>
      <c r="I16" s="0" t="n">
        <v>1163394</v>
      </c>
      <c r="J16" s="0" t="n">
        <v>19.6859004806099</v>
      </c>
      <c r="K16" s="0" t="n">
        <v>86.88</v>
      </c>
      <c r="L16" s="0" t="n">
        <v>-245067</v>
      </c>
      <c r="M16" s="0" t="n">
        <v>116707</v>
      </c>
      <c r="N16" s="0" t="n">
        <v>-361774</v>
      </c>
      <c r="O16" s="0" t="n">
        <v>16244554</v>
      </c>
      <c r="P16" s="0" t="n">
        <v>353824625</v>
      </c>
      <c r="Q16" s="0" t="n">
        <v>337580071</v>
      </c>
      <c r="T16" s="0" t="n">
        <v>12859.737</v>
      </c>
      <c r="AA16" s="0" t="s">
        <v>18</v>
      </c>
      <c r="AB16" s="0" t="s">
        <v>16</v>
      </c>
    </row>
    <row r="17" customFormat="false" ht="15" hidden="false" customHeight="false" outlineLevel="0" collapsed="false">
      <c r="A17" s="0" t="s">
        <v>79</v>
      </c>
      <c r="B17" s="0" t="n">
        <v>3925727</v>
      </c>
      <c r="F17" s="0" t="n">
        <v>1232400</v>
      </c>
      <c r="G17" s="0" t="n">
        <v>31.3929114276158</v>
      </c>
      <c r="I17" s="0" t="n">
        <v>-83320</v>
      </c>
      <c r="J17" s="0" t="n">
        <v>-2.12240942887776</v>
      </c>
      <c r="K17" s="0" t="n">
        <v>-6.93</v>
      </c>
      <c r="L17" s="0" t="n">
        <v>909355</v>
      </c>
      <c r="M17" s="0" t="n">
        <v>102964</v>
      </c>
      <c r="N17" s="0" t="n">
        <v>806391</v>
      </c>
      <c r="O17" s="0" t="n">
        <v>16296522</v>
      </c>
      <c r="P17" s="0" t="n">
        <v>367650018</v>
      </c>
      <c r="Q17" s="0" t="n">
        <v>351353496</v>
      </c>
      <c r="T17" s="0" t="n">
        <v>12798.06</v>
      </c>
      <c r="AA17" s="0" t="s">
        <v>18</v>
      </c>
      <c r="AB17" s="0" t="s">
        <v>16</v>
      </c>
    </row>
    <row r="18" customFormat="false" ht="15" hidden="false" customHeight="false" outlineLevel="0" collapsed="false">
      <c r="A18" s="0" t="s">
        <v>80</v>
      </c>
      <c r="B18" s="0" t="n">
        <v>6141241</v>
      </c>
      <c r="F18" s="0" t="n">
        <v>1577400</v>
      </c>
      <c r="G18" s="0" t="n">
        <v>25.6853622907813</v>
      </c>
      <c r="H18" s="0" t="n">
        <v>1735000</v>
      </c>
      <c r="I18" s="0" t="n">
        <v>414561</v>
      </c>
      <c r="J18" s="0" t="n">
        <v>6.75044343643247</v>
      </c>
      <c r="K18" s="0" t="n">
        <v>31</v>
      </c>
      <c r="L18" s="0" t="n">
        <v>2013322</v>
      </c>
      <c r="M18" s="0" t="n">
        <v>119391</v>
      </c>
      <c r="N18" s="0" t="n">
        <v>1893931</v>
      </c>
      <c r="O18" s="0" t="n">
        <v>16523597</v>
      </c>
      <c r="P18" s="0" t="n">
        <v>382177876</v>
      </c>
      <c r="Q18" s="0" t="n">
        <v>365269566</v>
      </c>
      <c r="T18" s="0" t="n">
        <v>12318.855</v>
      </c>
      <c r="V18" s="0" t="n">
        <v>30.5</v>
      </c>
      <c r="AA18" s="0" t="s">
        <v>18</v>
      </c>
      <c r="AB18" s="0" t="s">
        <v>16</v>
      </c>
    </row>
    <row r="19" customFormat="false" ht="15" hidden="false" customHeight="false" outlineLevel="0" collapsed="false">
      <c r="A19" s="0" t="s">
        <v>81</v>
      </c>
      <c r="B19" s="0" t="n">
        <v>10032704</v>
      </c>
      <c r="F19" s="0" t="n">
        <v>1831400</v>
      </c>
      <c r="G19" s="0" t="n">
        <v>18.2543011335728</v>
      </c>
      <c r="H19" s="0" t="n">
        <v>2013000</v>
      </c>
      <c r="I19" s="0" t="n">
        <v>1377569</v>
      </c>
      <c r="J19" s="0" t="n">
        <v>13.7307848412552</v>
      </c>
      <c r="K19" s="0" t="n">
        <v>110.69</v>
      </c>
      <c r="L19" s="0" t="n">
        <v>-1791585</v>
      </c>
      <c r="M19" s="0" t="n">
        <v>111213</v>
      </c>
      <c r="N19" s="0" t="n">
        <v>-1902798</v>
      </c>
      <c r="O19" s="0" t="n">
        <v>18517087</v>
      </c>
      <c r="P19" s="0" t="n">
        <v>397820570</v>
      </c>
      <c r="Q19" s="0" t="n">
        <v>379303483</v>
      </c>
      <c r="T19" s="0" t="n">
        <v>11980.601</v>
      </c>
      <c r="V19" s="0" t="n">
        <v>36.5</v>
      </c>
      <c r="AA19" s="0" t="s">
        <v>18</v>
      </c>
      <c r="AB19" s="0" t="s">
        <v>16</v>
      </c>
    </row>
    <row r="20" customFormat="false" ht="15" hidden="false" customHeight="false" outlineLevel="0" collapsed="false">
      <c r="A20" s="0" t="s">
        <v>82</v>
      </c>
      <c r="B20" s="0" t="n">
        <v>10836109</v>
      </c>
      <c r="F20" s="0" t="n">
        <v>1565700</v>
      </c>
      <c r="G20" s="0" t="n">
        <v>14.448913350724</v>
      </c>
      <c r="H20" s="0" t="n">
        <v>1752200</v>
      </c>
      <c r="I20" s="0" t="n">
        <v>1267638</v>
      </c>
      <c r="J20" s="0" t="n">
        <v>11.6982765677237</v>
      </c>
      <c r="K20" s="0" t="n">
        <v>108.71</v>
      </c>
      <c r="L20" s="0" t="n">
        <v>1028836</v>
      </c>
      <c r="M20" s="0" t="n">
        <v>131724</v>
      </c>
      <c r="N20" s="0" t="n">
        <v>897112</v>
      </c>
      <c r="O20" s="0" t="n">
        <v>19249738</v>
      </c>
      <c r="P20" s="0" t="n">
        <v>405940211</v>
      </c>
      <c r="Q20" s="0" t="n">
        <v>386690473</v>
      </c>
      <c r="T20" s="0" t="n">
        <v>11654.85</v>
      </c>
      <c r="V20" s="0" t="n">
        <v>45.5</v>
      </c>
      <c r="AA20" s="0" t="s">
        <v>18</v>
      </c>
      <c r="AB20" s="0" t="s">
        <v>16</v>
      </c>
    </row>
    <row r="21" customFormat="false" ht="15" hidden="false" customHeight="false" outlineLevel="0" collapsed="false">
      <c r="A21" s="0" t="s">
        <v>83</v>
      </c>
      <c r="B21" s="0" t="n">
        <v>11867264</v>
      </c>
      <c r="F21" s="0" t="n">
        <v>2365400</v>
      </c>
      <c r="G21" s="0" t="n">
        <v>19.9321427415789</v>
      </c>
      <c r="H21" s="0" t="n">
        <v>2548200</v>
      </c>
      <c r="I21" s="0" t="n">
        <v>1883904</v>
      </c>
      <c r="J21" s="0" t="n">
        <v>15.8747964147423</v>
      </c>
      <c r="K21" s="0" t="n">
        <v>151.74</v>
      </c>
      <c r="L21" s="0" t="n">
        <v>-3366465</v>
      </c>
      <c r="M21" s="0" t="n">
        <v>302858</v>
      </c>
      <c r="N21" s="0" t="n">
        <v>-3669323</v>
      </c>
      <c r="O21" s="0" t="n">
        <v>20840057</v>
      </c>
      <c r="P21" s="0" t="n">
        <v>425581652</v>
      </c>
      <c r="Q21" s="0" t="n">
        <v>404741595</v>
      </c>
      <c r="T21" s="0" t="n">
        <v>11398.382</v>
      </c>
      <c r="V21" s="0" t="n">
        <v>74</v>
      </c>
      <c r="AA21" s="0" t="s">
        <v>18</v>
      </c>
      <c r="AB21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84</v>
      </c>
      <c r="B1" s="2" t="s">
        <v>85</v>
      </c>
    </row>
    <row r="2" customFormat="false" ht="15" hidden="false" customHeight="false" outlineLevel="0" collapsed="false">
      <c r="A2" s="0" t="s">
        <v>86</v>
      </c>
      <c r="B2" s="3" t="n">
        <v>22.82</v>
      </c>
    </row>
    <row r="3" customFormat="false" ht="15" hidden="false" customHeight="false" outlineLevel="0" collapsed="false">
      <c r="A3" s="0" t="s">
        <v>87</v>
      </c>
      <c r="B3" s="3" t="n">
        <v>11289</v>
      </c>
    </row>
    <row r="4" customFormat="false" ht="15" hidden="false" customHeight="false" outlineLevel="0" collapsed="false">
      <c r="A4" s="0" t="s">
        <v>88</v>
      </c>
      <c r="B4" s="3" t="n">
        <v>0</v>
      </c>
    </row>
    <row r="5" customFormat="false" ht="15" hidden="false" customHeight="false" outlineLevel="0" collapsed="false">
      <c r="A5" s="0" t="s">
        <v>89</v>
      </c>
      <c r="B5" s="3" t="n">
        <v>0</v>
      </c>
    </row>
    <row r="6" customFormat="false" ht="15" hidden="false" customHeight="false" outlineLevel="0" collapsed="false">
      <c r="A6" s="0" t="s">
        <v>90</v>
      </c>
      <c r="B6" s="3" t="n">
        <v>15</v>
      </c>
    </row>
    <row r="7" customFormat="false" ht="15" hidden="false" customHeight="false" outlineLevel="0" collapsed="false">
      <c r="A7" s="0" t="s">
        <v>91</v>
      </c>
      <c r="B7" s="3" t="n">
        <v>2430000</v>
      </c>
    </row>
    <row r="8" customFormat="false" ht="15" hidden="false" customHeight="false" outlineLevel="0" collapsed="false">
      <c r="A8" s="0" t="s">
        <v>92</v>
      </c>
      <c r="B8" s="3" t="s">
        <v>83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0.006336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1</v>
      </c>
      <c r="D13" s="3" t="n">
        <v>-10</v>
      </c>
      <c r="E13" s="3" t="n">
        <v>-3</v>
      </c>
      <c r="F13" s="3" t="n">
        <v>4</v>
      </c>
      <c r="G13" s="3" t="n">
        <v>3</v>
      </c>
      <c r="H13" s="3" t="n">
        <v>2.5</v>
      </c>
      <c r="I13" s="3" t="n">
        <v>2</v>
      </c>
      <c r="J13" s="3" t="n">
        <v>1.5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108</v>
      </c>
      <c r="C14" s="3" t="n">
        <v>100</v>
      </c>
      <c r="D14" s="3" t="n">
        <v>100</v>
      </c>
      <c r="E14" s="3" t="n">
        <v>100</v>
      </c>
      <c r="F14" s="3" t="n">
        <v>100</v>
      </c>
      <c r="G14" s="3" t="n">
        <v>100</v>
      </c>
      <c r="H14" s="3" t="n">
        <v>100</v>
      </c>
      <c r="I14" s="3" t="n">
        <v>100</v>
      </c>
      <c r="J14" s="3" t="n">
        <v>100</v>
      </c>
      <c r="K14" s="3" t="n">
        <v>100</v>
      </c>
      <c r="L14" s="3" t="n">
        <v>100</v>
      </c>
    </row>
    <row r="15" customFormat="false" ht="15" hidden="false" customHeight="false" outlineLevel="0" collapsed="false">
      <c r="A15" s="0" t="s">
        <v>109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112</v>
      </c>
      <c r="C18" s="3" t="n">
        <v>26.3</v>
      </c>
      <c r="D18" s="3" t="n">
        <v>21.1</v>
      </c>
      <c r="E18" s="3" t="n">
        <v>21.1</v>
      </c>
      <c r="F18" s="3" t="n">
        <v>21.1</v>
      </c>
      <c r="G18" s="3" t="n">
        <v>21.1</v>
      </c>
      <c r="H18" s="3" t="n">
        <v>15.8</v>
      </c>
      <c r="I18" s="3" t="n">
        <v>15.8</v>
      </c>
      <c r="J18" s="3" t="n">
        <v>10.5</v>
      </c>
      <c r="K18" s="3" t="n">
        <v>10.5</v>
      </c>
      <c r="L18" s="3" t="n">
        <v>10.5</v>
      </c>
    </row>
    <row r="19" customFormat="false" ht="15" hidden="false" customHeight="false" outlineLevel="0" collapsed="false">
      <c r="A19" s="0" t="s">
        <v>113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114</v>
      </c>
      <c r="B20" s="3" t="n">
        <v>8.5</v>
      </c>
    </row>
    <row r="21" customFormat="false" ht="15" hidden="false" customHeight="false" outlineLevel="0" collapsed="false">
      <c r="A21" s="0" t="s">
        <v>115</v>
      </c>
      <c r="B21" s="3" t="n">
        <v>1</v>
      </c>
    </row>
    <row r="22" customFormat="false" ht="15" hidden="false" customHeight="false" outlineLevel="0" collapsed="false">
      <c r="A22" s="0" t="s">
        <v>116</v>
      </c>
      <c r="B22" s="3" t="n">
        <v>18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11.1</v>
      </c>
      <c r="D27" s="3" t="n">
        <v>4</v>
      </c>
      <c r="E27" s="3" t="n">
        <v>3.5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1.5</v>
      </c>
    </row>
    <row r="28" customFormat="false" ht="15" hidden="false" customHeight="false" outlineLevel="0" collapsed="false">
      <c r="A28" s="0" t="s">
        <v>108</v>
      </c>
      <c r="C28" s="3" t="n">
        <v>100</v>
      </c>
      <c r="D28" s="3" t="n">
        <v>100</v>
      </c>
      <c r="E28" s="3" t="n">
        <v>100</v>
      </c>
      <c r="F28" s="3" t="n">
        <v>100</v>
      </c>
      <c r="G28" s="3" t="n">
        <v>100</v>
      </c>
      <c r="H28" s="3" t="n">
        <v>100</v>
      </c>
      <c r="I28" s="3" t="n">
        <v>100</v>
      </c>
      <c r="J28" s="3" t="n">
        <v>100</v>
      </c>
      <c r="K28" s="3" t="n">
        <v>100</v>
      </c>
      <c r="L28" s="3" t="n">
        <v>100</v>
      </c>
    </row>
    <row r="29" customFormat="false" ht="15" hidden="false" customHeight="false" outlineLevel="0" collapsed="false">
      <c r="A29" s="0" t="s">
        <v>109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112</v>
      </c>
      <c r="C32" s="3" t="n">
        <v>29</v>
      </c>
      <c r="D32" s="3" t="n">
        <v>29</v>
      </c>
      <c r="E32" s="3" t="n">
        <v>25</v>
      </c>
      <c r="F32" s="3" t="n">
        <v>25</v>
      </c>
      <c r="G32" s="3" t="n">
        <v>21</v>
      </c>
      <c r="H32" s="3" t="n">
        <v>21</v>
      </c>
      <c r="I32" s="3" t="n">
        <v>17</v>
      </c>
      <c r="J32" s="3" t="n">
        <v>17</v>
      </c>
      <c r="K32" s="3" t="n">
        <v>17</v>
      </c>
      <c r="L32" s="3" t="n">
        <v>12.5</v>
      </c>
    </row>
    <row r="33" customFormat="false" ht="15" hidden="false" customHeight="false" outlineLevel="0" collapsed="false">
      <c r="A33" s="0" t="s">
        <v>113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114</v>
      </c>
      <c r="B34" s="3" t="n">
        <v>8.5</v>
      </c>
    </row>
    <row r="35" customFormat="false" ht="15" hidden="false" customHeight="false" outlineLevel="0" collapsed="false">
      <c r="A35" s="0" t="s">
        <v>115</v>
      </c>
      <c r="B35" s="3" t="n">
        <v>1.5</v>
      </c>
    </row>
    <row r="36" customFormat="false" ht="15" hidden="false" customHeight="false" outlineLevel="0" collapsed="false">
      <c r="A36" s="0" t="s">
        <v>116</v>
      </c>
      <c r="B36" s="3" t="n">
        <v>18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19</v>
      </c>
      <c r="D41" s="3" t="n">
        <v>9</v>
      </c>
      <c r="E41" s="3" t="n">
        <v>7</v>
      </c>
      <c r="F41" s="3" t="n">
        <v>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</v>
      </c>
    </row>
    <row r="42" customFormat="false" ht="15" hidden="false" customHeight="false" outlineLevel="0" collapsed="false">
      <c r="A42" s="0" t="s">
        <v>108</v>
      </c>
      <c r="C42" s="3" t="n">
        <v>100</v>
      </c>
      <c r="D42" s="3" t="n">
        <v>100</v>
      </c>
      <c r="E42" s="3" t="n">
        <v>100</v>
      </c>
      <c r="F42" s="3" t="n">
        <v>100</v>
      </c>
      <c r="G42" s="3" t="n">
        <v>100</v>
      </c>
      <c r="H42" s="3" t="n">
        <v>100</v>
      </c>
      <c r="I42" s="3" t="n">
        <v>100</v>
      </c>
      <c r="J42" s="3" t="n">
        <v>100</v>
      </c>
      <c r="K42" s="3" t="n">
        <v>100</v>
      </c>
      <c r="L42" s="3" t="n">
        <v>100</v>
      </c>
    </row>
    <row r="43" customFormat="false" ht="15" hidden="false" customHeight="false" outlineLevel="0" collapsed="false">
      <c r="A43" s="0" t="s">
        <v>109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112</v>
      </c>
      <c r="C46" s="3" t="n">
        <v>29.6</v>
      </c>
      <c r="D46" s="3" t="n">
        <v>29.6</v>
      </c>
      <c r="E46" s="3" t="n">
        <v>25.9</v>
      </c>
      <c r="F46" s="3" t="n">
        <v>25.9</v>
      </c>
      <c r="G46" s="3" t="n">
        <v>22.2</v>
      </c>
      <c r="H46" s="3" t="n">
        <v>22.2</v>
      </c>
      <c r="I46" s="3" t="n">
        <v>18.5</v>
      </c>
      <c r="J46" s="3" t="n">
        <v>18.5</v>
      </c>
      <c r="K46" s="3" t="n">
        <v>14.8</v>
      </c>
      <c r="L46" s="3" t="n">
        <v>14.8</v>
      </c>
    </row>
    <row r="47" customFormat="false" ht="15" hidden="false" customHeight="false" outlineLevel="0" collapsed="false">
      <c r="A47" s="0" t="s">
        <v>113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114</v>
      </c>
      <c r="B48" s="3" t="n">
        <v>8.5</v>
      </c>
    </row>
    <row r="49" customFormat="false" ht="15" hidden="false" customHeight="false" outlineLevel="0" collapsed="false">
      <c r="A49" s="0" t="s">
        <v>115</v>
      </c>
      <c r="B49" s="3" t="n">
        <v>2</v>
      </c>
    </row>
    <row r="50" customFormat="false" ht="15" hidden="false" customHeight="false" outlineLevel="0" collapsed="false">
      <c r="A50" s="0" t="s">
        <v>116</v>
      </c>
      <c r="B50" s="3" t="n">
        <v>18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1</v>
      </c>
      <c r="D5" s="4" t="n">
        <f aca="false">Assumptions!D13</f>
        <v>-10</v>
      </c>
      <c r="E5" s="4" t="n">
        <f aca="false">Assumptions!E13</f>
        <v>-3</v>
      </c>
      <c r="F5" s="4" t="n">
        <f aca="false">Assumptions!F13</f>
        <v>4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1.5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2430000</v>
      </c>
      <c r="C6" s="0" t="n">
        <f aca="false">B6*(1+C5/100)</f>
        <v>2454300</v>
      </c>
      <c r="D6" s="0" t="n">
        <f aca="false">C6*(1+D5/100)</f>
        <v>2208870</v>
      </c>
      <c r="E6" s="0" t="n">
        <f aca="false">D6*(1+E5/100)</f>
        <v>2142603.9</v>
      </c>
      <c r="F6" s="0" t="n">
        <f aca="false">E6*(1+F5/100)</f>
        <v>2228308.056</v>
      </c>
      <c r="G6" s="0" t="n">
        <f aca="false">F6*(1+G5/100)</f>
        <v>2295157.29768</v>
      </c>
      <c r="H6" s="0" t="n">
        <f aca="false">G6*(1+H5/100)</f>
        <v>2352536.230122</v>
      </c>
      <c r="I6" s="0" t="n">
        <f aca="false">H6*(1+I5/100)</f>
        <v>2399586.95472444</v>
      </c>
      <c r="J6" s="0" t="n">
        <f aca="false">I6*(1+J5/100)</f>
        <v>2435580.75904531</v>
      </c>
      <c r="K6" s="0" t="n">
        <f aca="false">J6*(1+K5/100)</f>
        <v>2459936.56663576</v>
      </c>
      <c r="L6" s="0" t="n">
        <f aca="false">K6*(1+L5/100)</f>
        <v>2484535.93230212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100</v>
      </c>
      <c r="D7" s="4" t="n">
        <f aca="false">Assumptions!D14</f>
        <v>100</v>
      </c>
      <c r="E7" s="4" t="n">
        <f aca="false">Assumptions!E14</f>
        <v>100</v>
      </c>
      <c r="F7" s="4" t="n">
        <f aca="false">Assumptions!F14</f>
        <v>100</v>
      </c>
      <c r="G7" s="4" t="n">
        <f aca="false">Assumptions!G14</f>
        <v>100</v>
      </c>
      <c r="H7" s="4" t="n">
        <f aca="false">Assumptions!H14</f>
        <v>100</v>
      </c>
      <c r="I7" s="4" t="n">
        <f aca="false">Assumptions!I14</f>
        <v>100</v>
      </c>
      <c r="J7" s="4" t="n">
        <f aca="false">Assumptions!J14</f>
        <v>100</v>
      </c>
      <c r="K7" s="4" t="n">
        <f aca="false">Assumptions!K14</f>
        <v>100</v>
      </c>
      <c r="L7" s="4" t="n">
        <f aca="false">Assumptions!L14</f>
        <v>100</v>
      </c>
    </row>
    <row r="8" customFormat="false" ht="15" hidden="false" customHeight="false" outlineLevel="0" collapsed="false">
      <c r="A8" s="0" t="s">
        <v>44</v>
      </c>
      <c r="C8" s="0" t="n">
        <f aca="false">C6*C7/100</f>
        <v>2454300</v>
      </c>
      <c r="D8" s="0" t="n">
        <f aca="false">D6*D7/100</f>
        <v>2208870</v>
      </c>
      <c r="E8" s="0" t="n">
        <f aca="false">E6*E7/100</f>
        <v>2142603.9</v>
      </c>
      <c r="F8" s="0" t="n">
        <f aca="false">F6*F7/100</f>
        <v>2228308.056</v>
      </c>
      <c r="G8" s="0" t="n">
        <f aca="false">G6*G7/100</f>
        <v>2295157.29768</v>
      </c>
      <c r="H8" s="0" t="n">
        <f aca="false">H6*H7/100</f>
        <v>2352536.230122</v>
      </c>
      <c r="I8" s="0" t="n">
        <f aca="false">I6*I7/100</f>
        <v>2399586.95472444</v>
      </c>
      <c r="J8" s="0" t="n">
        <f aca="false">J6*J7/100</f>
        <v>2435580.75904531</v>
      </c>
      <c r="K8" s="0" t="n">
        <f aca="false">K6*K7/100</f>
        <v>2459936.56663576</v>
      </c>
      <c r="L8" s="0" t="n">
        <f aca="false">L6*L7/100</f>
        <v>2484535.93230212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2454300</v>
      </c>
      <c r="D11" s="0" t="n">
        <f aca="false">D8+D10+D24</f>
        <v>2208870</v>
      </c>
      <c r="E11" s="0" t="n">
        <f aca="false">E8+E10+E24</f>
        <v>2142603.9</v>
      </c>
      <c r="F11" s="0" t="n">
        <f aca="false">F8+F10+F24</f>
        <v>2228308.056</v>
      </c>
      <c r="G11" s="0" t="n">
        <f aca="false">G8+G10+G24</f>
        <v>2295157.29768</v>
      </c>
      <c r="H11" s="0" t="n">
        <f aca="false">H8+H10+H24</f>
        <v>2352536.230122</v>
      </c>
      <c r="I11" s="0" t="n">
        <f aca="false">I8+I10+I24</f>
        <v>2399586.95472444</v>
      </c>
      <c r="J11" s="0" t="n">
        <f aca="false">J8+J10+J24</f>
        <v>2435580.75904531</v>
      </c>
      <c r="K11" s="0" t="n">
        <f aca="false">K8+K10+K24</f>
        <v>2459936.56663576</v>
      </c>
      <c r="L11" s="0" t="n">
        <f aca="false">L8+L10+L24</f>
        <v>2484535.93230212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2454300</v>
      </c>
      <c r="D13" s="0" t="n">
        <f aca="false">D11+D12</f>
        <v>2208870</v>
      </c>
      <c r="E13" s="0" t="n">
        <f aca="false">E11+E12</f>
        <v>2142603.9</v>
      </c>
      <c r="F13" s="0" t="n">
        <f aca="false">F11+F12</f>
        <v>2228308.056</v>
      </c>
      <c r="G13" s="0" t="n">
        <f aca="false">G11+G12</f>
        <v>2295157.29768</v>
      </c>
      <c r="H13" s="0" t="n">
        <f aca="false">H11+H12</f>
        <v>2352536.230122</v>
      </c>
      <c r="I13" s="0" t="n">
        <f aca="false">I11+I12</f>
        <v>2399586.95472444</v>
      </c>
      <c r="J13" s="0" t="n">
        <f aca="false">J11+J12</f>
        <v>2435580.75904531</v>
      </c>
      <c r="K13" s="0" t="n">
        <f aca="false">K11+K12</f>
        <v>2459936.56663576</v>
      </c>
      <c r="L13" s="0" t="n">
        <f aca="false">L11+L12</f>
        <v>2484535.93230212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2454300</v>
      </c>
      <c r="D15" s="0" t="n">
        <f aca="false">D13-MAX(0,D13)*D14/100</f>
        <v>2208870</v>
      </c>
      <c r="E15" s="0" t="n">
        <f aca="false">E13-MAX(0,E13)*E14/100</f>
        <v>2142603.9</v>
      </c>
      <c r="F15" s="0" t="n">
        <f aca="false">F13-MAX(0,F13)*F14/100</f>
        <v>2228308.056</v>
      </c>
      <c r="G15" s="0" t="n">
        <f aca="false">G13-MAX(0,G13)*G14/100</f>
        <v>2295157.29768</v>
      </c>
      <c r="H15" s="0" t="n">
        <f aca="false">H13-MAX(0,H13)*H14/100</f>
        <v>2352536.230122</v>
      </c>
      <c r="I15" s="0" t="n">
        <f aca="false">I13-MAX(0,I13)*I14/100</f>
        <v>2399586.95472444</v>
      </c>
      <c r="J15" s="0" t="n">
        <f aca="false">J13-MAX(0,J13)*J14/100</f>
        <v>2435580.75904531</v>
      </c>
      <c r="K15" s="0" t="n">
        <f aca="false">K13-MAX(0,K13)*K14/100</f>
        <v>2459936.56663576</v>
      </c>
      <c r="L15" s="0" t="n">
        <f aca="false">L13-MAX(0,L13)*L14/100</f>
        <v>2484535.93230212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-645480.9</v>
      </c>
      <c r="D17" s="4" t="n">
        <f aca="false">-D6*Assumptions!D18/100</f>
        <v>-466071.57</v>
      </c>
      <c r="E17" s="4" t="n">
        <f aca="false">-E6*Assumptions!E18/100</f>
        <v>-452089.4229</v>
      </c>
      <c r="F17" s="4" t="n">
        <f aca="false">-F6*Assumptions!F18/100</f>
        <v>-470172.999816</v>
      </c>
      <c r="G17" s="4" t="n">
        <f aca="false">-G6*Assumptions!G18/100</f>
        <v>-484278.18981048</v>
      </c>
      <c r="H17" s="4" t="n">
        <f aca="false">-H6*Assumptions!H18/100</f>
        <v>-371700.724359276</v>
      </c>
      <c r="I17" s="4" t="n">
        <f aca="false">-I6*Assumptions!I18/100</f>
        <v>-379134.738846461</v>
      </c>
      <c r="J17" s="4" t="n">
        <f aca="false">-J6*Assumptions!J18/100</f>
        <v>-255735.979699757</v>
      </c>
      <c r="K17" s="4" t="n">
        <f aca="false">-K6*Assumptions!K18/100</f>
        <v>-258293.339496755</v>
      </c>
      <c r="L17" s="4" t="n">
        <f aca="false">-L6*Assumptions!L18/100</f>
        <v>-260876.272891722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1808819.1</v>
      </c>
      <c r="D19" s="0" t="n">
        <f aca="false">D15+D16+D17+D18</f>
        <v>1742798.43</v>
      </c>
      <c r="E19" s="0" t="n">
        <f aca="false">E15+E16+E17+E18</f>
        <v>1690514.4771</v>
      </c>
      <c r="F19" s="0" t="n">
        <f aca="false">F15+F16+F17+F18</f>
        <v>1758135.056184</v>
      </c>
      <c r="G19" s="0" t="n">
        <f aca="false">G15+G16+G17+G18</f>
        <v>1810879.10786952</v>
      </c>
      <c r="H19" s="0" t="n">
        <f aca="false">H15+H16+H17+H18</f>
        <v>1980835.50576272</v>
      </c>
      <c r="I19" s="0" t="n">
        <f aca="false">I15+I16+I17+I18</f>
        <v>2020452.21587798</v>
      </c>
      <c r="J19" s="0" t="n">
        <f aca="false">J15+J16+J17+J18</f>
        <v>2179844.77934555</v>
      </c>
      <c r="K19" s="0" t="n">
        <f aca="false">K15+K16+K17+K18</f>
        <v>2201643.227139</v>
      </c>
      <c r="L19" s="0" t="n">
        <f aca="false">L15+L16+L17+L18</f>
        <v>2223659.65941039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1667114.37788018</v>
      </c>
      <c r="D21" s="0" t="n">
        <f aca="false">D19*D20</f>
        <v>1480429.34018561</v>
      </c>
      <c r="E21" s="0" t="n">
        <f aca="false">E19*E20</f>
        <v>1323517.47463598</v>
      </c>
      <c r="F21" s="0" t="n">
        <f aca="false">F19*F20</f>
        <v>1268625.04481237</v>
      </c>
      <c r="G21" s="0" t="n">
        <f aca="false">G19*G20</f>
        <v>1204316.86281727</v>
      </c>
      <c r="H21" s="0" t="n">
        <f aca="false">H19*H20</f>
        <v>1214143.39852049</v>
      </c>
      <c r="I21" s="0" t="n">
        <f aca="false">I19*I20</f>
        <v>1141406.69722664</v>
      </c>
      <c r="J21" s="0" t="n">
        <f aca="false">J19*J20</f>
        <v>1134978.57737022</v>
      </c>
      <c r="K21" s="0" t="n">
        <f aca="false">K19*K20</f>
        <v>1056523.836999</v>
      </c>
      <c r="L21" s="0" t="n">
        <f aca="false">L19*L20</f>
        <v>983492.235363128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12474547.8458109</v>
      </c>
    </row>
    <row r="31" customFormat="false" ht="15" hidden="false" customHeight="false" outlineLevel="0" collapsed="false">
      <c r="A31" s="0" t="s">
        <v>138</v>
      </c>
      <c r="B31" s="0" t="n">
        <f aca="false">L19</f>
        <v>2223659.65941039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29945283.4133933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40025873.8693871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29945283.4133933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13244362.1028901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25718909.948701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25718909.948701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14.4348492722978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-0.367447446437433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14.4348492722978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16042116.1143178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7.50799549684192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11.1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38</v>
      </c>
      <c r="B6" s="3" t="n">
        <v>2430000</v>
      </c>
      <c r="C6" s="0" t="n">
        <f aca="false">B6*(1+C5/100)</f>
        <v>2699730</v>
      </c>
      <c r="D6" s="0" t="n">
        <f aca="false">C6*(1+D5/100)</f>
        <v>2807719.2</v>
      </c>
      <c r="E6" s="0" t="n">
        <f aca="false">D6*(1+E5/100)</f>
        <v>2905989.372</v>
      </c>
      <c r="F6" s="0" t="n">
        <f aca="false">E6*(1+F5/100)</f>
        <v>2993169.05316</v>
      </c>
      <c r="G6" s="0" t="n">
        <f aca="false">F6*(1+G5/100)</f>
        <v>3082964.1247548</v>
      </c>
      <c r="H6" s="0" t="n">
        <f aca="false">G6*(1+H5/100)</f>
        <v>3160038.22787367</v>
      </c>
      <c r="I6" s="0" t="n">
        <f aca="false">H6*(1+I5/100)</f>
        <v>3239039.18357051</v>
      </c>
      <c r="J6" s="0" t="n">
        <f aca="false">I6*(1+J5/100)</f>
        <v>3303819.96724192</v>
      </c>
      <c r="K6" s="0" t="n">
        <f aca="false">J6*(1+K5/100)</f>
        <v>3369896.36658676</v>
      </c>
      <c r="L6" s="0" t="n">
        <f aca="false">K6*(1+L5/100)</f>
        <v>3420444.81208556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100</v>
      </c>
      <c r="D7" s="4" t="n">
        <f aca="false">Assumptions!D28</f>
        <v>100</v>
      </c>
      <c r="E7" s="4" t="n">
        <f aca="false">Assumptions!E28</f>
        <v>100</v>
      </c>
      <c r="F7" s="4" t="n">
        <f aca="false">Assumptions!F28</f>
        <v>100</v>
      </c>
      <c r="G7" s="4" t="n">
        <f aca="false">Assumptions!G28</f>
        <v>100</v>
      </c>
      <c r="H7" s="4" t="n">
        <f aca="false">Assumptions!H28</f>
        <v>100</v>
      </c>
      <c r="I7" s="4" t="n">
        <f aca="false">Assumptions!I28</f>
        <v>100</v>
      </c>
      <c r="J7" s="4" t="n">
        <f aca="false">Assumptions!J28</f>
        <v>100</v>
      </c>
      <c r="K7" s="4" t="n">
        <f aca="false">Assumptions!K28</f>
        <v>100</v>
      </c>
      <c r="L7" s="4" t="n">
        <f aca="false">Assumptions!L28</f>
        <v>100</v>
      </c>
    </row>
    <row r="8" customFormat="false" ht="15" hidden="false" customHeight="false" outlineLevel="0" collapsed="false">
      <c r="A8" s="0" t="s">
        <v>44</v>
      </c>
      <c r="C8" s="0" t="n">
        <f aca="false">C6*C7/100</f>
        <v>2699730</v>
      </c>
      <c r="D8" s="0" t="n">
        <f aca="false">D6*D7/100</f>
        <v>2807719.2</v>
      </c>
      <c r="E8" s="0" t="n">
        <f aca="false">E6*E7/100</f>
        <v>2905989.372</v>
      </c>
      <c r="F8" s="0" t="n">
        <f aca="false">F6*F7/100</f>
        <v>2993169.05316</v>
      </c>
      <c r="G8" s="0" t="n">
        <f aca="false">G6*G7/100</f>
        <v>3082964.1247548</v>
      </c>
      <c r="H8" s="0" t="n">
        <f aca="false">H6*H7/100</f>
        <v>3160038.22787367</v>
      </c>
      <c r="I8" s="0" t="n">
        <f aca="false">I6*I7/100</f>
        <v>3239039.18357051</v>
      </c>
      <c r="J8" s="0" t="n">
        <f aca="false">J6*J7/100</f>
        <v>3303819.96724192</v>
      </c>
      <c r="K8" s="0" t="n">
        <f aca="false">K6*K7/100</f>
        <v>3369896.36658676</v>
      </c>
      <c r="L8" s="0" t="n">
        <f aca="false">L6*L7/100</f>
        <v>3420444.81208556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2699730</v>
      </c>
      <c r="D11" s="0" t="n">
        <f aca="false">D8+D10+D24</f>
        <v>2807719.2</v>
      </c>
      <c r="E11" s="0" t="n">
        <f aca="false">E8+E10+E24</f>
        <v>2905989.372</v>
      </c>
      <c r="F11" s="0" t="n">
        <f aca="false">F8+F10+F24</f>
        <v>2993169.05316</v>
      </c>
      <c r="G11" s="0" t="n">
        <f aca="false">G8+G10+G24</f>
        <v>3082964.1247548</v>
      </c>
      <c r="H11" s="0" t="n">
        <f aca="false">H8+H10+H24</f>
        <v>3160038.22787367</v>
      </c>
      <c r="I11" s="0" t="n">
        <f aca="false">I8+I10+I24</f>
        <v>3239039.18357051</v>
      </c>
      <c r="J11" s="0" t="n">
        <f aca="false">J8+J10+J24</f>
        <v>3303819.96724192</v>
      </c>
      <c r="K11" s="0" t="n">
        <f aca="false">K8+K10+K24</f>
        <v>3369896.36658676</v>
      </c>
      <c r="L11" s="0" t="n">
        <f aca="false">L8+L10+L24</f>
        <v>3420444.81208556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2699730</v>
      </c>
      <c r="D13" s="0" t="n">
        <f aca="false">D11+D12</f>
        <v>2807719.2</v>
      </c>
      <c r="E13" s="0" t="n">
        <f aca="false">E11+E12</f>
        <v>2905989.372</v>
      </c>
      <c r="F13" s="0" t="n">
        <f aca="false">F11+F12</f>
        <v>2993169.05316</v>
      </c>
      <c r="G13" s="0" t="n">
        <f aca="false">G11+G12</f>
        <v>3082964.1247548</v>
      </c>
      <c r="H13" s="0" t="n">
        <f aca="false">H11+H12</f>
        <v>3160038.22787367</v>
      </c>
      <c r="I13" s="0" t="n">
        <f aca="false">I11+I12</f>
        <v>3239039.18357051</v>
      </c>
      <c r="J13" s="0" t="n">
        <f aca="false">J11+J12</f>
        <v>3303819.96724192</v>
      </c>
      <c r="K13" s="0" t="n">
        <f aca="false">K11+K12</f>
        <v>3369896.36658676</v>
      </c>
      <c r="L13" s="0" t="n">
        <f aca="false">L11+L12</f>
        <v>3420444.81208556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2699730</v>
      </c>
      <c r="D15" s="0" t="n">
        <f aca="false">D13-MAX(0,D13)*D14/100</f>
        <v>2807719.2</v>
      </c>
      <c r="E15" s="0" t="n">
        <f aca="false">E13-MAX(0,E13)*E14/100</f>
        <v>2905989.372</v>
      </c>
      <c r="F15" s="0" t="n">
        <f aca="false">F13-MAX(0,F13)*F14/100</f>
        <v>2993169.05316</v>
      </c>
      <c r="G15" s="0" t="n">
        <f aca="false">G13-MAX(0,G13)*G14/100</f>
        <v>3082964.1247548</v>
      </c>
      <c r="H15" s="0" t="n">
        <f aca="false">H13-MAX(0,H13)*H14/100</f>
        <v>3160038.22787367</v>
      </c>
      <c r="I15" s="0" t="n">
        <f aca="false">I13-MAX(0,I13)*I14/100</f>
        <v>3239039.18357051</v>
      </c>
      <c r="J15" s="0" t="n">
        <f aca="false">J13-MAX(0,J13)*J14/100</f>
        <v>3303819.96724192</v>
      </c>
      <c r="K15" s="0" t="n">
        <f aca="false">K13-MAX(0,K13)*K14/100</f>
        <v>3369896.36658676</v>
      </c>
      <c r="L15" s="0" t="n">
        <f aca="false">L13-MAX(0,L13)*L14/100</f>
        <v>3420444.81208556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-782921.7</v>
      </c>
      <c r="D17" s="4" t="n">
        <f aca="false">-D6*Assumptions!D32/100</f>
        <v>-814238.568</v>
      </c>
      <c r="E17" s="4" t="n">
        <f aca="false">-E6*Assumptions!E32/100</f>
        <v>-726497.343</v>
      </c>
      <c r="F17" s="4" t="n">
        <f aca="false">-F6*Assumptions!F32/100</f>
        <v>-748292.26329</v>
      </c>
      <c r="G17" s="4" t="n">
        <f aca="false">-G6*Assumptions!G32/100</f>
        <v>-647422.466198508</v>
      </c>
      <c r="H17" s="4" t="n">
        <f aca="false">-H6*Assumptions!H32/100</f>
        <v>-663608.027853471</v>
      </c>
      <c r="I17" s="4" t="n">
        <f aca="false">-I6*Assumptions!I32/100</f>
        <v>-550636.661206987</v>
      </c>
      <c r="J17" s="4" t="n">
        <f aca="false">-J6*Assumptions!J32/100</f>
        <v>-561649.394431127</v>
      </c>
      <c r="K17" s="4" t="n">
        <f aca="false">-K6*Assumptions!K32/100</f>
        <v>-572882.382319749</v>
      </c>
      <c r="L17" s="4" t="n">
        <f aca="false">-L6*Assumptions!L32/100</f>
        <v>-427555.601510695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1916808.3</v>
      </c>
      <c r="D19" s="0" t="n">
        <f aca="false">D15+D16+D17+D18</f>
        <v>1993480.632</v>
      </c>
      <c r="E19" s="0" t="n">
        <f aca="false">E15+E16+E17+E18</f>
        <v>2179492.029</v>
      </c>
      <c r="F19" s="0" t="n">
        <f aca="false">F15+F16+F17+F18</f>
        <v>2244876.78987</v>
      </c>
      <c r="G19" s="0" t="n">
        <f aca="false">G15+G16+G17+G18</f>
        <v>2435541.65855629</v>
      </c>
      <c r="H19" s="0" t="n">
        <f aca="false">H15+H16+H17+H18</f>
        <v>2496430.2000202</v>
      </c>
      <c r="I19" s="0" t="n">
        <f aca="false">I15+I16+I17+I18</f>
        <v>2688402.52236352</v>
      </c>
      <c r="J19" s="0" t="n">
        <f aca="false">J15+J16+J17+J18</f>
        <v>2742170.57281079</v>
      </c>
      <c r="K19" s="0" t="n">
        <f aca="false">K15+K16+K17+K18</f>
        <v>2797013.98426701</v>
      </c>
      <c r="L19" s="0" t="n">
        <f aca="false">L15+L16+L17+L18</f>
        <v>2992889.21057487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1766643.59447005</v>
      </c>
      <c r="D21" s="0" t="n">
        <f aca="false">D19*D20</f>
        <v>1693372.66198051</v>
      </c>
      <c r="E21" s="0" t="n">
        <f aca="false">E19*E20</f>
        <v>1706341.95996932</v>
      </c>
      <c r="F21" s="0" t="n">
        <f aca="false">F19*F20</f>
        <v>1619845.36292019</v>
      </c>
      <c r="G21" s="0" t="n">
        <f aca="false">G19*G20</f>
        <v>1619745.83325119</v>
      </c>
      <c r="H21" s="0" t="n">
        <f aca="false">H19*H20</f>
        <v>1530174.63509905</v>
      </c>
      <c r="I21" s="0" t="n">
        <f aca="false">I19*I20</f>
        <v>1518749.42636705</v>
      </c>
      <c r="J21" s="0" t="n">
        <f aca="false">J19*J20</f>
        <v>1427764.43769068</v>
      </c>
      <c r="K21" s="0" t="n">
        <f aca="false">K19*K20</f>
        <v>1342230.16262166</v>
      </c>
      <c r="L21" s="0" t="n">
        <f aca="false">L19*L20</f>
        <v>1323711.24665855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15548579.3210282</v>
      </c>
    </row>
    <row r="31" customFormat="false" ht="15" hidden="false" customHeight="false" outlineLevel="0" collapsed="false">
      <c r="A31" s="0" t="s">
        <v>138</v>
      </c>
      <c r="B31" s="0" t="n">
        <f aca="false">L19</f>
        <v>2992889.21057487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43396893.5533356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53872005.7903476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43396893.5533356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19193813.076549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34742392.3975772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34742392.3975772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19.4993177634024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-0.145516311857916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19.4993177634024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22502092.9535814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9.64517286190939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19</v>
      </c>
      <c r="D5" s="4" t="n">
        <f aca="false">Assumptions!D41</f>
        <v>9</v>
      </c>
      <c r="E5" s="4" t="n">
        <f aca="false">Assumptions!E41</f>
        <v>7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38</v>
      </c>
      <c r="B6" s="3" t="n">
        <v>2430000</v>
      </c>
      <c r="C6" s="0" t="n">
        <f aca="false">B6*(1+C5/100)</f>
        <v>2891700</v>
      </c>
      <c r="D6" s="0" t="n">
        <f aca="false">C6*(1+D5/100)</f>
        <v>3151953</v>
      </c>
      <c r="E6" s="0" t="n">
        <f aca="false">D6*(1+E5/100)</f>
        <v>3372589.71</v>
      </c>
      <c r="F6" s="0" t="n">
        <f aca="false">E6*(1+F5/100)</f>
        <v>3541219.1955</v>
      </c>
      <c r="G6" s="0" t="n">
        <f aca="false">F6*(1+G5/100)</f>
        <v>3682867.96332</v>
      </c>
      <c r="H6" s="0" t="n">
        <f aca="false">G6*(1+H5/100)</f>
        <v>3811768.3420362</v>
      </c>
      <c r="I6" s="0" t="n">
        <f aca="false">H6*(1+I5/100)</f>
        <v>3926121.39229729</v>
      </c>
      <c r="J6" s="0" t="n">
        <f aca="false">I6*(1+J5/100)</f>
        <v>4043905.03406621</v>
      </c>
      <c r="K6" s="0" t="n">
        <f aca="false">J6*(1+K5/100)</f>
        <v>4145002.65991786</v>
      </c>
      <c r="L6" s="0" t="n">
        <f aca="false">K6*(1+L5/100)</f>
        <v>4227902.71311622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100</v>
      </c>
      <c r="D7" s="4" t="n">
        <f aca="false">Assumptions!D42</f>
        <v>100</v>
      </c>
      <c r="E7" s="4" t="n">
        <f aca="false">Assumptions!E42</f>
        <v>100</v>
      </c>
      <c r="F7" s="4" t="n">
        <f aca="false">Assumptions!F42</f>
        <v>100</v>
      </c>
      <c r="G7" s="4" t="n">
        <f aca="false">Assumptions!G42</f>
        <v>100</v>
      </c>
      <c r="H7" s="4" t="n">
        <f aca="false">Assumptions!H42</f>
        <v>100</v>
      </c>
      <c r="I7" s="4" t="n">
        <f aca="false">Assumptions!I42</f>
        <v>100</v>
      </c>
      <c r="J7" s="4" t="n">
        <f aca="false">Assumptions!J42</f>
        <v>100</v>
      </c>
      <c r="K7" s="4" t="n">
        <f aca="false">Assumptions!K42</f>
        <v>100</v>
      </c>
      <c r="L7" s="4" t="n">
        <f aca="false">Assumptions!L42</f>
        <v>100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2891700</v>
      </c>
      <c r="D8" s="0" t="n">
        <f aca="false">D6*D7/100</f>
        <v>3151953</v>
      </c>
      <c r="E8" s="0" t="n">
        <f aca="false">E6*E7/100</f>
        <v>3372589.71</v>
      </c>
      <c r="F8" s="0" t="n">
        <f aca="false">F6*F7/100</f>
        <v>3541219.1955</v>
      </c>
      <c r="G8" s="0" t="n">
        <f aca="false">G6*G7/100</f>
        <v>3682867.96332</v>
      </c>
      <c r="H8" s="0" t="n">
        <f aca="false">H6*H7/100</f>
        <v>3811768.3420362</v>
      </c>
      <c r="I8" s="0" t="n">
        <f aca="false">I6*I7/100</f>
        <v>3926121.39229729</v>
      </c>
      <c r="J8" s="0" t="n">
        <f aca="false">J6*J7/100</f>
        <v>4043905.03406621</v>
      </c>
      <c r="K8" s="0" t="n">
        <f aca="false">K6*K7/100</f>
        <v>4145002.65991786</v>
      </c>
      <c r="L8" s="0" t="n">
        <f aca="false">L6*L7/100</f>
        <v>4227902.71311622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2891700</v>
      </c>
      <c r="D11" s="0" t="n">
        <f aca="false">D8+D10+D24</f>
        <v>3151953</v>
      </c>
      <c r="E11" s="0" t="n">
        <f aca="false">E8+E10+E24</f>
        <v>3372589.71</v>
      </c>
      <c r="F11" s="0" t="n">
        <f aca="false">F8+F10+F24</f>
        <v>3541219.1955</v>
      </c>
      <c r="G11" s="0" t="n">
        <f aca="false">G8+G10+G24</f>
        <v>3682867.96332</v>
      </c>
      <c r="H11" s="0" t="n">
        <f aca="false">H8+H10+H24</f>
        <v>3811768.3420362</v>
      </c>
      <c r="I11" s="0" t="n">
        <f aca="false">I8+I10+I24</f>
        <v>3926121.39229729</v>
      </c>
      <c r="J11" s="0" t="n">
        <f aca="false">J8+J10+J24</f>
        <v>4043905.03406621</v>
      </c>
      <c r="K11" s="0" t="n">
        <f aca="false">K8+K10+K24</f>
        <v>4145002.65991786</v>
      </c>
      <c r="L11" s="0" t="n">
        <f aca="false">L8+L10+L24</f>
        <v>4227902.71311622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2891700</v>
      </c>
      <c r="D13" s="0" t="n">
        <f aca="false">D11+D12</f>
        <v>3151953</v>
      </c>
      <c r="E13" s="0" t="n">
        <f aca="false">E11+E12</f>
        <v>3372589.71</v>
      </c>
      <c r="F13" s="0" t="n">
        <f aca="false">F11+F12</f>
        <v>3541219.1955</v>
      </c>
      <c r="G13" s="0" t="n">
        <f aca="false">G11+G12</f>
        <v>3682867.96332</v>
      </c>
      <c r="H13" s="0" t="n">
        <f aca="false">H11+H12</f>
        <v>3811768.3420362</v>
      </c>
      <c r="I13" s="0" t="n">
        <f aca="false">I11+I12</f>
        <v>3926121.39229729</v>
      </c>
      <c r="J13" s="0" t="n">
        <f aca="false">J11+J12</f>
        <v>4043905.03406621</v>
      </c>
      <c r="K13" s="0" t="n">
        <f aca="false">K11+K12</f>
        <v>4145002.65991786</v>
      </c>
      <c r="L13" s="0" t="n">
        <f aca="false">L11+L12</f>
        <v>4227902.71311622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2891700</v>
      </c>
      <c r="D15" s="0" t="n">
        <f aca="false">D13-MAX(0,D13)*D14/100</f>
        <v>3151953</v>
      </c>
      <c r="E15" s="0" t="n">
        <f aca="false">E13-MAX(0,E13)*E14/100</f>
        <v>3372589.71</v>
      </c>
      <c r="F15" s="0" t="n">
        <f aca="false">F13-MAX(0,F13)*F14/100</f>
        <v>3541219.1955</v>
      </c>
      <c r="G15" s="0" t="n">
        <f aca="false">G13-MAX(0,G13)*G14/100</f>
        <v>3682867.96332</v>
      </c>
      <c r="H15" s="0" t="n">
        <f aca="false">H13-MAX(0,H13)*H14/100</f>
        <v>3811768.3420362</v>
      </c>
      <c r="I15" s="0" t="n">
        <f aca="false">I13-MAX(0,I13)*I14/100</f>
        <v>3926121.39229729</v>
      </c>
      <c r="J15" s="0" t="n">
        <f aca="false">J13-MAX(0,J13)*J14/100</f>
        <v>4043905.03406621</v>
      </c>
      <c r="K15" s="0" t="n">
        <f aca="false">K13-MAX(0,K13)*K14/100</f>
        <v>4145002.65991786</v>
      </c>
      <c r="L15" s="0" t="n">
        <f aca="false">L13-MAX(0,L13)*L14/100</f>
        <v>4227902.71311622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-855943.2</v>
      </c>
      <c r="D17" s="4" t="n">
        <f aca="false">-D6*Assumptions!D46/100</f>
        <v>-932978.088</v>
      </c>
      <c r="E17" s="4" t="n">
        <f aca="false">-E6*Assumptions!E46/100</f>
        <v>-873500.73489</v>
      </c>
      <c r="F17" s="4" t="n">
        <f aca="false">-F6*Assumptions!F46/100</f>
        <v>-917175.7716345</v>
      </c>
      <c r="G17" s="4" t="n">
        <f aca="false">-G6*Assumptions!G46/100</f>
        <v>-817596.68785704</v>
      </c>
      <c r="H17" s="4" t="n">
        <f aca="false">-H6*Assumptions!H46/100</f>
        <v>-846212.571932036</v>
      </c>
      <c r="I17" s="4" t="n">
        <f aca="false">-I6*Assumptions!I46/100</f>
        <v>-726332.457574998</v>
      </c>
      <c r="J17" s="4" t="n">
        <f aca="false">-J6*Assumptions!J46/100</f>
        <v>-748122.431302248</v>
      </c>
      <c r="K17" s="4" t="n">
        <f aca="false">-K6*Assumptions!K46/100</f>
        <v>-613460.393667843</v>
      </c>
      <c r="L17" s="4" t="n">
        <f aca="false">-L6*Assumptions!L46/100</f>
        <v>-625729.6015412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2035756.8</v>
      </c>
      <c r="D19" s="0" t="n">
        <f aca="false">D15+D16+D17+D18</f>
        <v>2218974.912</v>
      </c>
      <c r="E19" s="0" t="n">
        <f aca="false">E15+E16+E17+E18</f>
        <v>2499088.97511</v>
      </c>
      <c r="F19" s="0" t="n">
        <f aca="false">F15+F16+F17+F18</f>
        <v>2624043.4238655</v>
      </c>
      <c r="G19" s="0" t="n">
        <f aca="false">G15+G16+G17+G18</f>
        <v>2865271.27546296</v>
      </c>
      <c r="H19" s="0" t="n">
        <f aca="false">H15+H16+H17+H18</f>
        <v>2965555.77010416</v>
      </c>
      <c r="I19" s="0" t="n">
        <f aca="false">I15+I16+I17+I18</f>
        <v>3199788.93472229</v>
      </c>
      <c r="J19" s="0" t="n">
        <f aca="false">J15+J16+J17+J18</f>
        <v>3295782.60276396</v>
      </c>
      <c r="K19" s="0" t="n">
        <f aca="false">K15+K16+K17+K18</f>
        <v>3531542.26625002</v>
      </c>
      <c r="L19" s="0" t="n">
        <f aca="false">L15+L16+L17+L18</f>
        <v>3602173.11157502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1876273.5483871</v>
      </c>
      <c r="D21" s="0" t="n">
        <f aca="false">D19*D20</f>
        <v>1884919.97026907</v>
      </c>
      <c r="E21" s="0" t="n">
        <f aca="false">E19*E20</f>
        <v>1956556.99731257</v>
      </c>
      <c r="F21" s="0" t="n">
        <f aca="false">F19*F20</f>
        <v>1893442.25546378</v>
      </c>
      <c r="G21" s="0" t="n">
        <f aca="false">G19*G20</f>
        <v>1905535.54822646</v>
      </c>
      <c r="H21" s="0" t="n">
        <f aca="false">H19*H20</f>
        <v>1817722.85015151</v>
      </c>
      <c r="I21" s="0" t="n">
        <f aca="false">I19*I20</f>
        <v>1807645.08613565</v>
      </c>
      <c r="J21" s="0" t="n">
        <f aca="false">J19*J20</f>
        <v>1716013.30757578</v>
      </c>
      <c r="K21" s="0" t="n">
        <f aca="false">K19*K20</f>
        <v>1694715.35608937</v>
      </c>
      <c r="L21" s="0" t="n">
        <f aca="false">L19*L20</f>
        <v>1593188.6296877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18146013.549299</v>
      </c>
    </row>
    <row r="31" customFormat="false" ht="15" hidden="false" customHeight="false" outlineLevel="0" collapsed="false">
      <c r="A31" s="0" t="s">
        <v>138</v>
      </c>
      <c r="B31" s="0" t="n">
        <f aca="false">L19</f>
        <v>3602173.11157502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56526408.8277926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64839116.0083503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56526408.8277926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25000806.1889455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43146819.7382444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43146819.7382444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24.21633890172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0.0611892594969312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24.21633890172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28263204.4138963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11.4827340460577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14.4348492722978</v>
      </c>
      <c r="C4" s="0" t="n">
        <f aca="false">B4/Assumptions!$B$2-1</f>
        <v>-0.367447446437433</v>
      </c>
      <c r="D4" s="4" t="n">
        <f aca="false">Assumptions!$B$24</f>
        <v>0.25</v>
      </c>
      <c r="E4" s="4" t="n">
        <f aca="false">DCF_Bear!$B$43</f>
        <v>14.4348492722978</v>
      </c>
      <c r="F4" s="4" t="n">
        <f aca="false">DCF_Bear!$B$47</f>
        <v>7.50799549684192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19.4993177634024</v>
      </c>
      <c r="C5" s="0" t="n">
        <f aca="false">B5/Assumptions!$B$2-1</f>
        <v>-0.145516311857916</v>
      </c>
      <c r="D5" s="4" t="n">
        <f aca="false">Assumptions!$B$38</f>
        <v>0.5</v>
      </c>
      <c r="E5" s="4" t="n">
        <f aca="false">DCF_Base!$B$43</f>
        <v>19.4993177634024</v>
      </c>
      <c r="F5" s="4" t="n">
        <f aca="false">DCF_Base!$B$47</f>
        <v>9.64517286190939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24.21633890172</v>
      </c>
      <c r="C6" s="0" t="n">
        <f aca="false">B6/Assumptions!$B$2-1</f>
        <v>0.0611892594969312</v>
      </c>
      <c r="D6" s="4" t="n">
        <f aca="false">Assumptions!$B$52</f>
        <v>0.25</v>
      </c>
      <c r="E6" s="4" t="n">
        <f aca="false">DCF_Bull!$B$43</f>
        <v>24.21633890172</v>
      </c>
      <c r="F6" s="4" t="n">
        <f aca="false">DCF_Bull!$B$47</f>
        <v>11.4827340460577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19.4124559252056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19.4124559252056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-0.175533898849447</v>
      </c>
    </row>
    <row r="11" customFormat="false" ht="15" hidden="false" customHeight="false" outlineLevel="0" collapsed="false">
      <c r="A11" s="0" t="s">
        <v>165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9.57026881667959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19.4993177634024</v>
      </c>
      <c r="C15" s="3" t="n">
        <v>8.5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18.1225170193167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15.8610307497986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14.0825548245888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12.6486146877852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9.64517286190939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24.6219159751861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25.7404888187419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25.7404888187419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25.7404888187419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25.7404888187419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20.8646396200728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21.8274322687056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22.9506903587771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23.8336234621356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23.8336234621356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18.0598741223376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18.7316144881678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19.4993177634024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20.3851292348269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21.4185759514887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15.8891972285674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16.3742978519936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16.9200360533482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17.5385393482166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18.2454002566377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14.1616307538773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14.5215758267015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14.9215147965062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15.3685054098173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15.8713698497923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2026-10-03T23:28:53Z</dcterms:created>
  <dc:creator>openpyxl</dc:creator>
  <dc:description/>
  <dc:language>en-NZ</dc:language>
  <cp:lastModifiedBy/>
  <dcterms:modified xsi:type="dcterms:W3CDTF">2026-10-03T23:28:53Z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