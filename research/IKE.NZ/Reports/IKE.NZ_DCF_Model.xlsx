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<sst xmlns="http://schemas.openxmlformats.org/spreadsheetml/2006/main" count="358" uniqueCount="165">
  <si>
    <t xml:space="preserve">Ticker</t>
  </si>
  <si>
    <t xml:space="preserve">IKE.NZ</t>
  </si>
  <si>
    <t xml:space="preserve">Company</t>
  </si>
  <si>
    <t xml:space="preserve">ikeGPS Group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</si>
  <si>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</si>
  <si>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</si>
  <si>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</si>
  <si>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</si>
  <si>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2026-09-24T22:43:19Z regular NZX close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</si>
  <si>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</si>
  <si>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</si>
  <si>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</si>
  <si>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</si>
  <si>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</si>
  <si>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</si>
  <si>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</si>
  <si>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</si>
  <si>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</si>
  <si>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</si>
  <si>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</si>
  <si>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</si>
  <si>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2026-09-25T14:02:19Z</t>
  </si>
  <si>
    <t xml:space="preserve">Drivers file</t>
  </si>
  <si>
    <t xml:space="preserve">IKE.NZ_Drivers.json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</si>
  <si>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</si>
  <si>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</si>
  <si>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</si>
  <si>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IKE is a small, debt-free, net-cash vertical-SaaS/hardware-analytics company mid-transition from a hardware/transactional model to a recurring subscription model, riding a well-documented multi-year North American grid-modernisation and broadband-buildout capex cycle from a genuinely low (~5-6%) market-penetration base. The FY2026 result shows real operating leverage (gross margin 60%-&gt;80%-&gt;82% FY24-&gt;FY26-&gt;1Q FY27; Adjusted EBITDA loss narrowing from -NZ$9.8m to -NZ$5.0m) rather than just a growth story, and the company reached positive underlying monthly EBITDA for the first time in March 2026. However, on a fully SBC-expensed owner-FCF basis the business is still meaningfully cash-negative today, FY27 guidance leans on three unproven products landing in 2H FY27, and the long history of dilutive capital raises (share capital NZ$55m-&gt;NZ$134.5m, FY2019-FY2026, funding accumulated losses of NZ$47m-&gt;NZ$113.8m) is a real and only partially-retired risk. The valuation therefore rests heavily on the terminal years of a 10-year component build, since the current owner-FCF base is negative and the story is entirely about the path to, and durability of, a mature double-digit EBITDA margin.
key_risks_to_valuation: FY27 growth guidance (33-35%) depends on three unlaunched Customer Council-led products landing successfully in 2H FY27; 1Q FY27 growth (27-31%) was already tracking below range; Persistent softness in the lower-margin Platform Transactions segment, tied to volatile US federal broadband (BEAD) funding and regulatory administration outside IKE's control; Owner-FCF base is currently negative (-NZ$6.97m on the house/SBC-expensed basis) so most of the valuation sits in the terminal value -- a small change in the margin-maturity assumption or the horizon length moves the answer materially; Long history of dilutive equity raises to fund losses; the FY2026 going-concern note itself states further losses are expected in FY27, so renewed dilution risk is reduced but not eliminated if the growth/margin path disappoints; Small absolute scale (NZ$26.5m FY26 revenue) against much larger, better-capitalised competitors (Bentley Systems, Osmose) that can outspend on AI feature velocity and sales coverage; USD-generated revenue against NZD consolidated reporting introduces real translation noise to reported (though not necessarily constant-currency) growth and margins</t>
  </si>
  <si>
    <t xml:space="preserve">Data sources</t>
  </si>
  <si>
    <t xml:space="preserve">price: Yahoo Finance chart API at inputs.price_as_of; 52-week range 0.88-1.31 NZD
financials: ikeGPS Group FY2026 Annual Report (year ended 31 March 2026), FY2025 Annual Report, 1Q FY27 (30 June 2026) performance update; research/IKE.NZ/Reports/IKE.NZ_Metrics.csv and metrics_normalized/kpis via make dcf-context
qualitative: research/IKE.NZ/Reports/IKE.NZ_Analysis.json (business model, growth drivers, risks, guidance, bull/bear case)</t>
  </si>
  <si>
    <t xml:space="preserve">Scenario narrative: bear</t>
  </si>
  <si>
    <t xml:space="preserve">New products slip, transactional softness persists, competitive pressure from Bentley/Osmose intensifies; growth decelerates quickly to low single digits and the business never reaches EBITDA breakeven within the horizon, keeping renewed-dilution risk alive.</t>
  </si>
  <si>
    <t xml:space="preserve">Scenario narrative: base</t>
  </si>
  <si>
    <t xml:space="preserve">Guided subscription growth achieved near the low end and decelerating as the addressable market is worked through; transactional revenue stabilises rather than recovers; owner EBITDA (pre-SBC) breaks even around Year 4-5 and matures at ~27%.</t>
  </si>
  <si>
    <t xml:space="preserve">Scenario narrative: bull</t>
  </si>
  <si>
    <t xml:space="preserve">All three 2H FY27 product launches succeed, AI-driven pricing sustains, cross-sell into the 80%-unpenetrated existing base accelerates growth above guidance; breakeven pulled forward to Year 3-4, mature margin ~32%.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</si>
  <si>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</si>
  <si>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</si>
  <si>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</si>
  <si>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</si>
  <si>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</si>
  <si>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</si>
  <si>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</si>
  <si>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</si>
  <si>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</si>
  <si>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</si>
  <si>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</si>
  <si>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</si>
  <si>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</si>
  <si>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</si>
  <si>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</si>
  <si>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</si>
  <si>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</si>
  <si>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</si>
  <si>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</si>
  <si>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</si>
  <si>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</si>
  <si>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</si>
  <si>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</si>
  <si>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</si>
  <si>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</si>
  <si>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</si>
  <si>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</si>
  <si>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</si>
  <si>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</si>
  <si>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</si>
  <si>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</si>
  <si>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</si>
  <si>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</si>
  <si>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</si>
  <si>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</si>
  <si>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</si>
  <si>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</si>
  <si>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</si>
  <si>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</si>
  <si>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</si>
  <si>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</si>
  <si>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</si>
  <si>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</si>
  <si>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</si>
  <si>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</si>
  <si>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</si>
  <si>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</si>
  <si>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</si>
  <si>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</si>
  <si>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</si>
  <si>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</si>
  <si>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</si>
  <si>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</si>
  <si>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</si>
  <si>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</si>
  <si>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</si>
  <si>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</si>
  <si>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</si>
  <si>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</si>
  <si>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</si>
  <si>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</si>
  <si>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</si>
  <si>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</si>
  <si>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</si>
  <si>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</si>
  <si>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</si>
  <si>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</si>
  <si>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</si>
  <si>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</si>
  <si>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</si>
  <si>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</si>
  <si>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</si>
  <si>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</si>
  <si>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</si>
  <si>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IKE.NZ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</si>
  <si>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</si>
  <si>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</si>
  <si>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</si>
  <si>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</si>
  <si>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</si>
  <si>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</si>
  <si>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</si>
  <si>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</si>
  <si>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</si>
  <si>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</si>
  <si>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</si>
  <si>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</si>
  <si>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</si>
  <si>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</si>
  <si>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</si>
  <si>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</si>
  <si>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</si>
  <si>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</si>
  <si>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</si>
  <si>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</si>
  <si>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</si>
  <si>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</si>
  <si>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</si>
  <si>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</si>
  <si>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</si>
  <si>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</si>
  <si>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</si>
  <si>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</si>
  <si>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</si>
  <si>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</si>
  <si>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IKE.NZ owner-FCF component DCF: base case (millions, NZD)</t>
  </si>
  <si>
    <t xml:space="preserve">IKE.NZ owner-FCF component DCF: bull case (millions, NZD)</t>
  </si>
  <si>
    <t xml:space="preserve">IKE.NZ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</si>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</sst>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7.732</v>
      </c>
      <c r="C2" s="0" t="n">
        <v>-3.754</v>
      </c>
      <c r="D2" s="0" t="n">
        <v>3.978</v>
      </c>
      <c r="E2" s="0" t="n">
        <v>51.4</v>
      </c>
      <c r="F2" s="0" t="n">
        <v>-6.706</v>
      </c>
      <c r="G2" s="0" t="n">
        <v>-86.7</v>
      </c>
      <c r="H2" s="0" t="n">
        <v>-5.099</v>
      </c>
      <c r="I2" s="0" t="n">
        <v>-6.732</v>
      </c>
      <c r="J2" s="0" t="n">
        <v>-87.1</v>
      </c>
      <c r="K2" s="0" t="n">
        <v>-0.09</v>
      </c>
      <c r="L2" s="0" t="n">
        <v>-2.809</v>
      </c>
      <c r="M2" s="0" t="n">
        <v>-1.25</v>
      </c>
      <c r="N2" s="0" t="n">
        <v>-4.059</v>
      </c>
      <c r="O2" s="0" t="n">
        <v>7.952</v>
      </c>
      <c r="P2" s="0" t="n">
        <v>10.22</v>
      </c>
      <c r="Q2" s="0" t="n">
        <v>2.268</v>
      </c>
      <c r="R2" s="0" t="n">
        <v>0</v>
      </c>
      <c r="S2" s="0" t="n">
        <v>2.586</v>
      </c>
      <c r="T2" s="0" t="n">
        <v>78.4503</v>
      </c>
      <c r="U2" s="0" t="n">
        <v>0.068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7.996</v>
      </c>
      <c r="C3" s="0" t="n">
        <v>-2.646</v>
      </c>
      <c r="D3" s="0" t="n">
        <v>5.35</v>
      </c>
      <c r="E3" s="0" t="n">
        <v>66.9</v>
      </c>
      <c r="F3" s="0" t="n">
        <v>-5.109</v>
      </c>
      <c r="G3" s="0" t="n">
        <v>-63.9</v>
      </c>
      <c r="O3" s="0" t="n">
        <v>8.834</v>
      </c>
      <c r="P3" s="0" t="n">
        <v>11.339</v>
      </c>
      <c r="Q3" s="0" t="n">
        <v>2.505</v>
      </c>
      <c r="R3" s="0" t="n">
        <v>0</v>
      </c>
      <c r="S3" s="0" t="n">
        <v>3.475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9.838</v>
      </c>
      <c r="C4" s="0" t="n">
        <v>-2.878</v>
      </c>
      <c r="D4" s="0" t="n">
        <v>6.96</v>
      </c>
      <c r="E4" s="0" t="n">
        <v>70.7</v>
      </c>
      <c r="F4" s="0" t="n">
        <v>-6.102</v>
      </c>
      <c r="G4" s="0" t="n">
        <v>-62</v>
      </c>
      <c r="I4" s="0" t="n">
        <v>-6.141</v>
      </c>
      <c r="J4" s="0" t="n">
        <v>-62.4</v>
      </c>
      <c r="K4" s="0" t="n">
        <v>-0.06</v>
      </c>
      <c r="L4" s="0" t="n">
        <v>-1.104</v>
      </c>
      <c r="M4" s="0" t="n">
        <v>-1.464</v>
      </c>
      <c r="N4" s="0" t="n">
        <v>-2.568</v>
      </c>
      <c r="O4" s="0" t="n">
        <v>9.981</v>
      </c>
      <c r="P4" s="0" t="n">
        <v>16.354</v>
      </c>
      <c r="Q4" s="0" t="n">
        <v>6.372</v>
      </c>
      <c r="R4" s="0" t="n">
        <v>0</v>
      </c>
      <c r="S4" s="0" t="n">
        <v>4.327</v>
      </c>
      <c r="T4" s="0" t="n">
        <v>95.9502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9.324</v>
      </c>
      <c r="C5" s="0" t="n">
        <v>-3.403</v>
      </c>
      <c r="D5" s="0" t="n">
        <v>5.921</v>
      </c>
      <c r="E5" s="0" t="n">
        <v>63.5</v>
      </c>
      <c r="F5" s="0" t="n">
        <v>-7.363</v>
      </c>
      <c r="G5" s="0" t="n">
        <v>-79</v>
      </c>
      <c r="H5" s="0" t="n">
        <v>-5.471</v>
      </c>
      <c r="I5" s="0" t="n">
        <v>-7.417</v>
      </c>
      <c r="J5" s="0" t="n">
        <v>-79.5</v>
      </c>
      <c r="K5" s="0" t="n">
        <v>-0.06</v>
      </c>
      <c r="L5" s="0" t="n">
        <v>-3.317</v>
      </c>
      <c r="M5" s="0" t="n">
        <v>-2.036</v>
      </c>
      <c r="N5" s="0" t="n">
        <v>-5.353</v>
      </c>
      <c r="O5" s="0" t="n">
        <v>21.441</v>
      </c>
      <c r="P5" s="0" t="n">
        <v>30.658</v>
      </c>
      <c r="Q5" s="0" t="n">
        <v>9.217</v>
      </c>
      <c r="R5" s="0" t="n">
        <v>0</v>
      </c>
      <c r="S5" s="0" t="n">
        <v>11.342</v>
      </c>
      <c r="T5" s="0" t="n">
        <v>133.1408</v>
      </c>
      <c r="U5" s="0" t="n">
        <v>0.88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15.965</v>
      </c>
      <c r="C6" s="0" t="n">
        <v>-6.077</v>
      </c>
      <c r="D6" s="0" t="n">
        <v>9.888</v>
      </c>
      <c r="E6" s="0" t="n">
        <v>61.9</v>
      </c>
      <c r="F6" s="0" t="n">
        <v>-7.788</v>
      </c>
      <c r="G6" s="0" t="n">
        <v>-48.8</v>
      </c>
      <c r="H6" s="0" t="n">
        <v>-5.334</v>
      </c>
      <c r="I6" s="0" t="n">
        <v>-7.857</v>
      </c>
      <c r="J6" s="0" t="n">
        <v>-49.2</v>
      </c>
      <c r="K6" s="0" t="n">
        <v>-0.05</v>
      </c>
      <c r="L6" s="0" t="n">
        <v>-6.602</v>
      </c>
      <c r="M6" s="0" t="n">
        <v>-3.582</v>
      </c>
      <c r="N6" s="0" t="n">
        <v>-10.184</v>
      </c>
      <c r="O6" s="0" t="n">
        <v>39.205</v>
      </c>
      <c r="P6" s="0" t="n">
        <v>48.241</v>
      </c>
      <c r="Q6" s="0" t="n">
        <v>9.036</v>
      </c>
      <c r="R6" s="0" t="n">
        <v>0</v>
      </c>
      <c r="S6" s="0" t="n">
        <v>24.354</v>
      </c>
      <c r="T6" s="0" t="n">
        <v>159.2967</v>
      </c>
      <c r="U6" s="0" t="n">
        <v>1.93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30.789</v>
      </c>
      <c r="C7" s="0" t="n">
        <v>-14.444</v>
      </c>
      <c r="D7" s="0" t="n">
        <v>16.345</v>
      </c>
      <c r="E7" s="0" t="n">
        <v>53.1</v>
      </c>
      <c r="F7" s="0" t="n">
        <v>-7.763</v>
      </c>
      <c r="G7" s="0" t="n">
        <v>-25.2</v>
      </c>
      <c r="H7" s="0" t="n">
        <v>-4.17</v>
      </c>
      <c r="I7" s="0" t="n">
        <v>-7.887</v>
      </c>
      <c r="J7" s="0" t="n">
        <v>-25.6</v>
      </c>
      <c r="K7" s="0" t="n">
        <v>-0.05</v>
      </c>
      <c r="L7" s="0" t="n">
        <v>-2.472</v>
      </c>
      <c r="M7" s="0" t="n">
        <v>-5.131</v>
      </c>
      <c r="N7" s="0" t="n">
        <v>-7.603</v>
      </c>
      <c r="O7" s="0" t="n">
        <v>33.935</v>
      </c>
      <c r="P7" s="0" t="n">
        <v>43.274</v>
      </c>
      <c r="Q7" s="0" t="n">
        <v>9.339</v>
      </c>
      <c r="R7" s="0" t="n">
        <v>0</v>
      </c>
      <c r="S7" s="0" t="n">
        <v>18.048</v>
      </c>
      <c r="T7" s="0" t="n">
        <v>159.7317</v>
      </c>
      <c r="U7" s="0" t="n">
        <v>1.232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21.104</v>
      </c>
      <c r="C8" s="0" t="n">
        <v>-8.424</v>
      </c>
      <c r="D8" s="0" t="n">
        <v>12.68</v>
      </c>
      <c r="E8" s="0" t="n">
        <v>60.1</v>
      </c>
      <c r="F8" s="0" t="n">
        <v>-15.244</v>
      </c>
      <c r="G8" s="0" t="n">
        <v>-72.2</v>
      </c>
      <c r="H8" s="0" t="n">
        <v>-10.814</v>
      </c>
      <c r="I8" s="0" t="n">
        <v>-15.045</v>
      </c>
      <c r="J8" s="0" t="n">
        <v>-71.3</v>
      </c>
      <c r="K8" s="0" t="n">
        <v>-0.09</v>
      </c>
      <c r="L8" s="0" t="n">
        <v>-4.506</v>
      </c>
      <c r="M8" s="0" t="n">
        <v>-3.828</v>
      </c>
      <c r="N8" s="0" t="n">
        <v>-8.334</v>
      </c>
      <c r="O8" s="0" t="n">
        <v>20.097</v>
      </c>
      <c r="P8" s="0" t="n">
        <v>36.101</v>
      </c>
      <c r="Q8" s="0" t="n">
        <v>16.004</v>
      </c>
      <c r="R8" s="0" t="n">
        <v>0</v>
      </c>
      <c r="S8" s="0" t="n">
        <v>10.242</v>
      </c>
      <c r="T8" s="0" t="n">
        <v>160.243</v>
      </c>
      <c r="U8" s="0" t="n">
        <v>0.86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25.155</v>
      </c>
      <c r="C9" s="0" t="n">
        <v>-7.746</v>
      </c>
      <c r="D9" s="0" t="n">
        <v>17.409</v>
      </c>
      <c r="E9" s="0" t="n">
        <v>69.2</v>
      </c>
      <c r="F9" s="0" t="n">
        <v>-16.418</v>
      </c>
      <c r="G9" s="0" t="n">
        <v>-65.3</v>
      </c>
      <c r="H9" s="0" t="n">
        <v>-11.366</v>
      </c>
      <c r="I9" s="0" t="n">
        <v>-16.338</v>
      </c>
      <c r="J9" s="0" t="n">
        <v>-64.9</v>
      </c>
      <c r="K9" s="0" t="n">
        <v>-0.1</v>
      </c>
      <c r="L9" s="0" t="n">
        <v>1.025</v>
      </c>
      <c r="M9" s="0" t="n">
        <v>-1.241</v>
      </c>
      <c r="N9" s="0" t="n">
        <v>-0.216</v>
      </c>
      <c r="O9" s="0" t="n">
        <v>4.77</v>
      </c>
      <c r="P9" s="0" t="n">
        <v>29.252</v>
      </c>
      <c r="Q9" s="0" t="n">
        <v>24.482</v>
      </c>
      <c r="R9" s="0" t="n">
        <v>0</v>
      </c>
      <c r="S9" s="0" t="n">
        <v>10.282</v>
      </c>
      <c r="T9" s="0" t="n">
        <v>161.0627</v>
      </c>
      <c r="U9" s="0" t="n">
        <v>0.943</v>
      </c>
      <c r="AA9" s="0" t="s">
        <v>17</v>
      </c>
      <c r="AB9" s="0" t="s">
        <v>14</v>
      </c>
      <c r="AC9" s="0" t="n">
        <v>-6.113</v>
      </c>
    </row>
    <row r="10" customFormat="false" ht="15" hidden="false" customHeight="false" outlineLevel="0" collapsed="false">
      <c r="A10" s="0" t="s">
        <v>72</v>
      </c>
      <c r="B10" s="0" t="n">
        <v>26.549</v>
      </c>
      <c r="C10" s="0" t="n">
        <v>-5.262</v>
      </c>
      <c r="D10" s="0" t="n">
        <v>21.287</v>
      </c>
      <c r="E10" s="0" t="n">
        <v>80.2</v>
      </c>
      <c r="F10" s="0" t="n">
        <v>-7.867</v>
      </c>
      <c r="G10" s="0" t="n">
        <v>-29.6</v>
      </c>
      <c r="H10" s="0" t="n">
        <v>-4.936</v>
      </c>
      <c r="I10" s="0" t="n">
        <v>-7.492</v>
      </c>
      <c r="J10" s="0" t="n">
        <v>-28.2</v>
      </c>
      <c r="K10" s="0" t="n">
        <v>-0.04</v>
      </c>
      <c r="L10" s="0" t="n">
        <v>-3.381</v>
      </c>
      <c r="M10" s="0" t="n">
        <v>-1.944</v>
      </c>
      <c r="N10" s="0" t="n">
        <v>-5.325</v>
      </c>
      <c r="O10" s="0" t="n">
        <v>25.568</v>
      </c>
      <c r="P10" s="0" t="n">
        <v>51.295</v>
      </c>
      <c r="Q10" s="0" t="n">
        <v>25.727</v>
      </c>
      <c r="R10" s="0" t="n">
        <v>0</v>
      </c>
      <c r="S10" s="0" t="n">
        <v>11.7</v>
      </c>
      <c r="T10" s="0" t="n">
        <v>194.1163</v>
      </c>
      <c r="U10" s="0" t="n">
        <v>1.191</v>
      </c>
      <c r="AA10" s="0" t="s">
        <v>17</v>
      </c>
      <c r="AB10" s="0" t="s">
        <v>14</v>
      </c>
      <c r="AC10" s="0" t="n">
        <v>-5.038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1.12</v>
      </c>
    </row>
    <row r="3" customFormat="false" ht="15" hidden="false" customHeight="false" outlineLevel="0" collapsed="false">
      <c r="A3" s="0" t="s">
        <v>76</v>
      </c>
      <c r="B3" s="3" t="n">
        <v>194.116</v>
      </c>
    </row>
    <row r="4" customFormat="false" ht="15" hidden="false" customHeight="false" outlineLevel="0" collapsed="false">
      <c r="A4" s="0" t="s">
        <v>77</v>
      </c>
      <c r="B4" s="3" t="n">
        <v>-32.801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26.549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10</v>
      </c>
      <c r="D13" s="3" t="n">
        <v>10</v>
      </c>
      <c r="E13" s="3" t="n">
        <v>9</v>
      </c>
      <c r="F13" s="3" t="n">
        <v>8</v>
      </c>
      <c r="G13" s="3" t="n">
        <v>7</v>
      </c>
      <c r="H13" s="3" t="n">
        <v>6</v>
      </c>
      <c r="I13" s="3" t="n">
        <v>5</v>
      </c>
      <c r="J13" s="3" t="n">
        <v>4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-40</v>
      </c>
      <c r="D14" s="3" t="n">
        <v>-38</v>
      </c>
      <c r="E14" s="3" t="n">
        <v>-35</v>
      </c>
      <c r="F14" s="3" t="n">
        <v>-30</v>
      </c>
      <c r="G14" s="3" t="n">
        <v>-25</v>
      </c>
      <c r="H14" s="3" t="n">
        <v>-20</v>
      </c>
      <c r="I14" s="3" t="n">
        <v>-16</v>
      </c>
      <c r="J14" s="3" t="n">
        <v>-13</v>
      </c>
      <c r="K14" s="3" t="n">
        <v>-10</v>
      </c>
      <c r="L14" s="3" t="n">
        <v>-8</v>
      </c>
    </row>
    <row r="15" customFormat="false" ht="15" hidden="false" customHeight="false" outlineLevel="0" collapsed="false">
      <c r="A15" s="0" t="s">
        <v>98</v>
      </c>
      <c r="C15" s="3" t="n">
        <v>4.6</v>
      </c>
      <c r="D15" s="3" t="n">
        <v>4.6</v>
      </c>
      <c r="E15" s="3" t="n">
        <v>4.5</v>
      </c>
      <c r="F15" s="3" t="n">
        <v>4.5</v>
      </c>
      <c r="G15" s="3" t="n">
        <v>4.4</v>
      </c>
      <c r="H15" s="3" t="n">
        <v>4.4</v>
      </c>
      <c r="I15" s="3" t="n">
        <v>4.3</v>
      </c>
      <c r="J15" s="3" t="n">
        <v>4.3</v>
      </c>
      <c r="K15" s="3" t="n">
        <v>4.2</v>
      </c>
      <c r="L15" s="3" t="n">
        <v>4.2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11.5</v>
      </c>
      <c r="D17" s="3" t="n">
        <v>11.5</v>
      </c>
      <c r="E17" s="3" t="n">
        <v>11</v>
      </c>
      <c r="F17" s="3" t="n">
        <v>11</v>
      </c>
      <c r="G17" s="3" t="n">
        <v>10.5</v>
      </c>
      <c r="H17" s="3" t="n">
        <v>10.5</v>
      </c>
      <c r="I17" s="3" t="n">
        <v>10</v>
      </c>
      <c r="J17" s="3" t="n">
        <v>10</v>
      </c>
      <c r="K17" s="3" t="n">
        <v>9.5</v>
      </c>
      <c r="L17" s="3" t="n">
        <v>9.5</v>
      </c>
    </row>
    <row r="18" customFormat="false" ht="15" hidden="false" customHeight="false" outlineLevel="0" collapsed="false">
      <c r="A18" s="0" t="s">
        <v>101</v>
      </c>
      <c r="C18" s="3" t="n">
        <v>6.5</v>
      </c>
      <c r="D18" s="3" t="n">
        <v>6.3</v>
      </c>
      <c r="E18" s="3" t="n">
        <v>6</v>
      </c>
      <c r="F18" s="3" t="n">
        <v>5.8</v>
      </c>
      <c r="G18" s="3" t="n">
        <v>5.5</v>
      </c>
      <c r="H18" s="3" t="n">
        <v>5.3</v>
      </c>
      <c r="I18" s="3" t="n">
        <v>5</v>
      </c>
      <c r="J18" s="3" t="n">
        <v>4.8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103</v>
      </c>
      <c r="B20" s="3" t="n">
        <v>14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12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23.2</v>
      </c>
      <c r="D27" s="3" t="n">
        <v>25</v>
      </c>
      <c r="E27" s="3" t="n">
        <v>24</v>
      </c>
      <c r="F27" s="3" t="n">
        <v>22</v>
      </c>
      <c r="G27" s="3" t="n">
        <v>19</v>
      </c>
      <c r="H27" s="3" t="n">
        <v>16</v>
      </c>
      <c r="I27" s="3" t="n">
        <v>13</v>
      </c>
      <c r="J27" s="3" t="n">
        <v>10</v>
      </c>
      <c r="K27" s="3" t="n">
        <v>7</v>
      </c>
      <c r="L27" s="3" t="n">
        <v>5</v>
      </c>
    </row>
    <row r="28" customFormat="false" ht="15" hidden="false" customHeight="false" outlineLevel="0" collapsed="false">
      <c r="A28" s="0" t="s">
        <v>97</v>
      </c>
      <c r="C28" s="3" t="n">
        <v>-30</v>
      </c>
      <c r="D28" s="3" t="n">
        <v>-20</v>
      </c>
      <c r="E28" s="3" t="n">
        <v>-10</v>
      </c>
      <c r="F28" s="3" t="n">
        <v>-2</v>
      </c>
      <c r="G28" s="3" t="n">
        <v>5</v>
      </c>
      <c r="H28" s="3" t="n">
        <v>12</v>
      </c>
      <c r="I28" s="3" t="n">
        <v>18</v>
      </c>
      <c r="J28" s="3" t="n">
        <v>22</v>
      </c>
      <c r="K28" s="3" t="n">
        <v>25</v>
      </c>
      <c r="L28" s="3" t="n">
        <v>27</v>
      </c>
    </row>
    <row r="29" customFormat="false" ht="15" hidden="false" customHeight="false" outlineLevel="0" collapsed="false">
      <c r="A29" s="0" t="s">
        <v>98</v>
      </c>
      <c r="C29" s="3" t="n">
        <v>4.4</v>
      </c>
      <c r="D29" s="3" t="n">
        <v>4.3</v>
      </c>
      <c r="E29" s="3" t="n">
        <v>4.2</v>
      </c>
      <c r="F29" s="3" t="n">
        <v>4.1</v>
      </c>
      <c r="G29" s="3" t="n">
        <v>4</v>
      </c>
      <c r="H29" s="3" t="n">
        <v>3.9</v>
      </c>
      <c r="I29" s="3" t="n">
        <v>3.8</v>
      </c>
      <c r="J29" s="3" t="n">
        <v>3.7</v>
      </c>
      <c r="K29" s="3" t="n">
        <v>3.6</v>
      </c>
      <c r="L29" s="3" t="n">
        <v>3.5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10.5</v>
      </c>
      <c r="D31" s="3" t="n">
        <v>10</v>
      </c>
      <c r="E31" s="3" t="n">
        <v>9.5</v>
      </c>
      <c r="F31" s="3" t="n">
        <v>9</v>
      </c>
      <c r="G31" s="3" t="n">
        <v>8.5</v>
      </c>
      <c r="H31" s="3" t="n">
        <v>8</v>
      </c>
      <c r="I31" s="3" t="n">
        <v>7.5</v>
      </c>
      <c r="J31" s="3" t="n">
        <v>7</v>
      </c>
      <c r="K31" s="3" t="n">
        <v>6.5</v>
      </c>
      <c r="L31" s="3" t="n">
        <v>6</v>
      </c>
    </row>
    <row r="32" customFormat="false" ht="15" hidden="false" customHeight="false" outlineLevel="0" collapsed="false">
      <c r="A32" s="0" t="s">
        <v>101</v>
      </c>
      <c r="C32" s="3" t="n">
        <v>7</v>
      </c>
      <c r="D32" s="3" t="n">
        <v>6.8</v>
      </c>
      <c r="E32" s="3" t="n">
        <v>6.5</v>
      </c>
      <c r="F32" s="3" t="n">
        <v>6.3</v>
      </c>
      <c r="G32" s="3" t="n">
        <v>6</v>
      </c>
      <c r="H32" s="3" t="n">
        <v>5.8</v>
      </c>
      <c r="I32" s="3" t="n">
        <v>5.5</v>
      </c>
      <c r="J32" s="3" t="n">
        <v>5.3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103</v>
      </c>
      <c r="B34" s="3" t="n">
        <v>12.5</v>
      </c>
    </row>
    <row r="35" customFormat="false" ht="15" hidden="false" customHeight="false" outlineLevel="0" collapsed="false">
      <c r="A35" s="0" t="s">
        <v>104</v>
      </c>
      <c r="B35" s="3" t="n">
        <v>3.5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30</v>
      </c>
      <c r="D41" s="3" t="n">
        <v>32</v>
      </c>
      <c r="E41" s="3" t="n">
        <v>30</v>
      </c>
      <c r="F41" s="3" t="n">
        <v>27</v>
      </c>
      <c r="G41" s="3" t="n">
        <v>23</v>
      </c>
      <c r="H41" s="3" t="n">
        <v>19</v>
      </c>
      <c r="I41" s="3" t="n">
        <v>15</v>
      </c>
      <c r="J41" s="3" t="n">
        <v>11</v>
      </c>
      <c r="K41" s="3" t="n">
        <v>8</v>
      </c>
      <c r="L41" s="3" t="n">
        <v>6</v>
      </c>
    </row>
    <row r="42" customFormat="false" ht="15" hidden="false" customHeight="false" outlineLevel="0" collapsed="false">
      <c r="A42" s="0" t="s">
        <v>97</v>
      </c>
      <c r="C42" s="3" t="n">
        <v>-25</v>
      </c>
      <c r="D42" s="3" t="n">
        <v>-12</v>
      </c>
      <c r="E42" s="3" t="n">
        <v>-2</v>
      </c>
      <c r="F42" s="3" t="n">
        <v>8</v>
      </c>
      <c r="G42" s="3" t="n">
        <v>15</v>
      </c>
      <c r="H42" s="3" t="n">
        <v>20</v>
      </c>
      <c r="I42" s="3" t="n">
        <v>25</v>
      </c>
      <c r="J42" s="3" t="n">
        <v>28</v>
      </c>
      <c r="K42" s="3" t="n">
        <v>30</v>
      </c>
      <c r="L42" s="3" t="n">
        <v>32</v>
      </c>
    </row>
    <row r="43" customFormat="false" ht="15" hidden="false" customHeight="false" outlineLevel="0" collapsed="false">
      <c r="A43" s="0" t="s">
        <v>98</v>
      </c>
      <c r="C43" s="3" t="n">
        <v>4.4</v>
      </c>
      <c r="D43" s="3" t="n">
        <v>4.3</v>
      </c>
      <c r="E43" s="3" t="n">
        <v>4.2</v>
      </c>
      <c r="F43" s="3" t="n">
        <v>4</v>
      </c>
      <c r="G43" s="3" t="n">
        <v>3.9</v>
      </c>
      <c r="H43" s="3" t="n">
        <v>3.8</v>
      </c>
      <c r="I43" s="3" t="n">
        <v>3.7</v>
      </c>
      <c r="J43" s="3" t="n">
        <v>3.6</v>
      </c>
      <c r="K43" s="3" t="n">
        <v>3.5</v>
      </c>
      <c r="L43" s="3" t="n">
        <v>3.5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10</v>
      </c>
      <c r="D45" s="3" t="n">
        <v>9.3</v>
      </c>
      <c r="E45" s="3" t="n">
        <v>8.7</v>
      </c>
      <c r="F45" s="3" t="n">
        <v>8</v>
      </c>
      <c r="G45" s="3" t="n">
        <v>7.3</v>
      </c>
      <c r="H45" s="3" t="n">
        <v>6.7</v>
      </c>
      <c r="I45" s="3" t="n">
        <v>6</v>
      </c>
      <c r="J45" s="3" t="n">
        <v>5.7</v>
      </c>
      <c r="K45" s="3" t="n">
        <v>5.3</v>
      </c>
      <c r="L45" s="3" t="n">
        <v>5</v>
      </c>
    </row>
    <row r="46" customFormat="false" ht="15" hidden="false" customHeight="false" outlineLevel="0" collapsed="false">
      <c r="A46" s="0" t="s">
        <v>101</v>
      </c>
      <c r="C46" s="3" t="n">
        <v>7.5</v>
      </c>
      <c r="D46" s="3" t="n">
        <v>7.3</v>
      </c>
      <c r="E46" s="3" t="n">
        <v>7</v>
      </c>
      <c r="F46" s="3" t="n">
        <v>6.8</v>
      </c>
      <c r="G46" s="3" t="n">
        <v>6.5</v>
      </c>
      <c r="H46" s="3" t="n">
        <v>6.3</v>
      </c>
      <c r="I46" s="3" t="n">
        <v>6</v>
      </c>
      <c r="J46" s="3" t="n">
        <v>5.8</v>
      </c>
      <c r="K46" s="3" t="n">
        <v>5.5</v>
      </c>
      <c r="L46" s="3" t="n">
        <v>5.3</v>
      </c>
    </row>
    <row r="47" customFormat="false" ht="15" hidden="false" customHeight="false" outlineLevel="0" collapsed="false">
      <c r="A47" s="0" t="s">
        <v>102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103</v>
      </c>
      <c r="B48" s="3" t="n">
        <v>11.5</v>
      </c>
    </row>
    <row r="49" customFormat="false" ht="15" hidden="false" customHeight="false" outlineLevel="0" collapsed="false">
      <c r="A49" s="0" t="s">
        <v>104</v>
      </c>
      <c r="B49" s="3" t="n">
        <v>4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18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10</v>
      </c>
      <c r="D5" s="4" t="n">
        <f aca="false">Assumptions!D13</f>
        <v>10</v>
      </c>
      <c r="E5" s="4" t="n">
        <f aca="false">Assumptions!E13</f>
        <v>9</v>
      </c>
      <c r="F5" s="4" t="n">
        <f aca="false">Assumptions!F13</f>
        <v>8</v>
      </c>
      <c r="G5" s="4" t="n">
        <f aca="false">Assumptions!G13</f>
        <v>7</v>
      </c>
      <c r="H5" s="4" t="n">
        <f aca="false">Assumptions!H13</f>
        <v>6</v>
      </c>
      <c r="I5" s="4" t="n">
        <f aca="false">Assumptions!I13</f>
        <v>5</v>
      </c>
      <c r="J5" s="4" t="n">
        <f aca="false">Assumptions!J13</f>
        <v>4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26.549</v>
      </c>
      <c r="C6" s="0" t="n">
        <f aca="false">B6*(1+C5/100)</f>
        <v>29.2039</v>
      </c>
      <c r="D6" s="0" t="n">
        <f aca="false">C6*(1+D5/100)</f>
        <v>32.12429</v>
      </c>
      <c r="E6" s="0" t="n">
        <f aca="false">D6*(1+E5/100)</f>
        <v>35.0154761</v>
      </c>
      <c r="F6" s="0" t="n">
        <f aca="false">E6*(1+F5/100)</f>
        <v>37.816714188</v>
      </c>
      <c r="G6" s="0" t="n">
        <f aca="false">F6*(1+G5/100)</f>
        <v>40.46388418116</v>
      </c>
      <c r="H6" s="0" t="n">
        <f aca="false">G6*(1+H5/100)</f>
        <v>42.8917172320296</v>
      </c>
      <c r="I6" s="0" t="n">
        <f aca="false">H6*(1+I5/100)</f>
        <v>45.0363030936311</v>
      </c>
      <c r="J6" s="0" t="n">
        <f aca="false">I6*(1+J5/100)</f>
        <v>46.8377552173764</v>
      </c>
      <c r="K6" s="0" t="n">
        <f aca="false">J6*(1+K5/100)</f>
        <v>48.2428878738976</v>
      </c>
      <c r="L6" s="0" t="n">
        <f aca="false">K6*(1+L5/100)</f>
        <v>49.4489600707451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-40</v>
      </c>
      <c r="D7" s="4" t="n">
        <f aca="false">Assumptions!D14</f>
        <v>-38</v>
      </c>
      <c r="E7" s="4" t="n">
        <f aca="false">Assumptions!E14</f>
        <v>-35</v>
      </c>
      <c r="F7" s="4" t="n">
        <f aca="false">Assumptions!F14</f>
        <v>-30</v>
      </c>
      <c r="G7" s="4" t="n">
        <f aca="false">Assumptions!G14</f>
        <v>-25</v>
      </c>
      <c r="H7" s="4" t="n">
        <f aca="false">Assumptions!H14</f>
        <v>-20</v>
      </c>
      <c r="I7" s="4" t="n">
        <f aca="false">Assumptions!I14</f>
        <v>-16</v>
      </c>
      <c r="J7" s="4" t="n">
        <f aca="false">Assumptions!J14</f>
        <v>-13</v>
      </c>
      <c r="K7" s="4" t="n">
        <f aca="false">Assumptions!K14</f>
        <v>-10</v>
      </c>
      <c r="L7" s="4" t="n">
        <f aca="false">Assumptions!L14</f>
        <v>-8</v>
      </c>
    </row>
    <row r="8" customFormat="false" ht="15" hidden="false" customHeight="false" outlineLevel="0" collapsed="false">
      <c r="A8" s="0" t="s">
        <v>43</v>
      </c>
      <c r="C8" s="0" t="n">
        <f aca="false">C6*C7/100</f>
        <v>-11.68156</v>
      </c>
      <c r="D8" s="0" t="n">
        <f aca="false">D6*D7/100</f>
        <v>-12.2072302</v>
      </c>
      <c r="E8" s="0" t="n">
        <f aca="false">E6*E7/100</f>
        <v>-12.255416635</v>
      </c>
      <c r="F8" s="0" t="n">
        <f aca="false">F6*F7/100</f>
        <v>-11.3450142564</v>
      </c>
      <c r="G8" s="0" t="n">
        <f aca="false">G6*G7/100</f>
        <v>-10.11597104529</v>
      </c>
      <c r="H8" s="0" t="n">
        <f aca="false">H6*H7/100</f>
        <v>-8.57834344640592</v>
      </c>
      <c r="I8" s="0" t="n">
        <f aca="false">I6*I7/100</f>
        <v>-7.20580849498098</v>
      </c>
      <c r="J8" s="0" t="n">
        <f aca="false">J6*J7/100</f>
        <v>-6.08890817825893</v>
      </c>
      <c r="K8" s="0" t="n">
        <f aca="false">K6*K7/100</f>
        <v>-4.82428878738976</v>
      </c>
      <c r="L8" s="0" t="n">
        <f aca="false">L6*L7/100</f>
        <v>-3.95591680565961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4.6</v>
      </c>
      <c r="D9" s="4" t="n">
        <f aca="false">Assumptions!D15</f>
        <v>4.6</v>
      </c>
      <c r="E9" s="4" t="n">
        <f aca="false">Assumptions!E15</f>
        <v>4.5</v>
      </c>
      <c r="F9" s="4" t="n">
        <f aca="false">Assumptions!F15</f>
        <v>4.5</v>
      </c>
      <c r="G9" s="4" t="n">
        <f aca="false">Assumptions!G15</f>
        <v>4.4</v>
      </c>
      <c r="H9" s="4" t="n">
        <f aca="false">Assumptions!H15</f>
        <v>4.4</v>
      </c>
      <c r="I9" s="4" t="n">
        <f aca="false">Assumptions!I15</f>
        <v>4.3</v>
      </c>
      <c r="J9" s="4" t="n">
        <f aca="false">Assumptions!J15</f>
        <v>4.3</v>
      </c>
      <c r="K9" s="4" t="n">
        <f aca="false">Assumptions!K15</f>
        <v>4.2</v>
      </c>
      <c r="L9" s="4" t="n">
        <f aca="false">Assumptions!L15</f>
        <v>4.2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-1.3433794</v>
      </c>
      <c r="D10" s="0" t="n">
        <f aca="false">-D6*D9/100</f>
        <v>-1.47771734</v>
      </c>
      <c r="E10" s="0" t="n">
        <f aca="false">-E6*E9/100</f>
        <v>-1.5756964245</v>
      </c>
      <c r="F10" s="0" t="n">
        <f aca="false">-F6*F9/100</f>
        <v>-1.70175213846</v>
      </c>
      <c r="G10" s="0" t="n">
        <f aca="false">-G6*G9/100</f>
        <v>-1.78041090397104</v>
      </c>
      <c r="H10" s="0" t="n">
        <f aca="false">-H6*H9/100</f>
        <v>-1.8872355582093</v>
      </c>
      <c r="I10" s="0" t="n">
        <f aca="false">-I6*I9/100</f>
        <v>-1.93656103302614</v>
      </c>
      <c r="J10" s="0" t="n">
        <f aca="false">-J6*J9/100</f>
        <v>-2.01402347434718</v>
      </c>
      <c r="K10" s="0" t="n">
        <f aca="false">-K6*K9/100</f>
        <v>-2.0262012907037</v>
      </c>
      <c r="L10" s="0" t="n">
        <f aca="false">-L6*L9/100</f>
        <v>-2.07685632297129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-13.0249394</v>
      </c>
      <c r="D11" s="0" t="n">
        <f aca="false">D8+D10+D24</f>
        <v>-13.68494754</v>
      </c>
      <c r="E11" s="0" t="n">
        <f aca="false">E8+E10+E24</f>
        <v>-13.8311130595</v>
      </c>
      <c r="F11" s="0" t="n">
        <f aca="false">F8+F10+F24</f>
        <v>-13.04676639486</v>
      </c>
      <c r="G11" s="0" t="n">
        <f aca="false">G8+G10+G24</f>
        <v>-11.896381949261</v>
      </c>
      <c r="H11" s="0" t="n">
        <f aca="false">H8+H10+H24</f>
        <v>-10.4655790046152</v>
      </c>
      <c r="I11" s="0" t="n">
        <f aca="false">I8+I10+I24</f>
        <v>-9.14236952800711</v>
      </c>
      <c r="J11" s="0" t="n">
        <f aca="false">J8+J10+J24</f>
        <v>-8.10293165260611</v>
      </c>
      <c r="K11" s="0" t="n">
        <f aca="false">K8+K10+K24</f>
        <v>-6.85049007809347</v>
      </c>
      <c r="L11" s="0" t="n">
        <f aca="false">L8+L10+L24</f>
        <v>-6.0327731286309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-3.3584485</v>
      </c>
      <c r="D12" s="4" t="n">
        <f aca="false">-D6*Assumptions!D17/100</f>
        <v>-3.69429335</v>
      </c>
      <c r="E12" s="4" t="n">
        <f aca="false">-E6*Assumptions!E17/100</f>
        <v>-3.851702371</v>
      </c>
      <c r="F12" s="4" t="n">
        <f aca="false">-F6*Assumptions!F17/100</f>
        <v>-4.15983856068</v>
      </c>
      <c r="G12" s="4" t="n">
        <f aca="false">-G6*Assumptions!G17/100</f>
        <v>-4.2487078390218</v>
      </c>
      <c r="H12" s="4" t="n">
        <f aca="false">-H6*Assumptions!H17/100</f>
        <v>-4.50363030936311</v>
      </c>
      <c r="I12" s="4" t="n">
        <f aca="false">-I6*Assumptions!I17/100</f>
        <v>-4.50363030936311</v>
      </c>
      <c r="J12" s="4" t="n">
        <f aca="false">-J6*Assumptions!J17/100</f>
        <v>-4.68377552173764</v>
      </c>
      <c r="K12" s="4" t="n">
        <f aca="false">-K6*Assumptions!K17/100</f>
        <v>-4.58307434802028</v>
      </c>
      <c r="L12" s="4" t="n">
        <f aca="false">-L6*Assumptions!L17/100</f>
        <v>-4.69765120672078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-16.3833879</v>
      </c>
      <c r="D13" s="0" t="n">
        <f aca="false">D11+D12</f>
        <v>-17.37924089</v>
      </c>
      <c r="E13" s="0" t="n">
        <f aca="false">E11+E12</f>
        <v>-17.6828154305</v>
      </c>
      <c r="F13" s="0" t="n">
        <f aca="false">F11+F12</f>
        <v>-17.20660495554</v>
      </c>
      <c r="G13" s="0" t="n">
        <f aca="false">G11+G12</f>
        <v>-16.1450897882828</v>
      </c>
      <c r="H13" s="0" t="n">
        <f aca="false">H11+H12</f>
        <v>-14.9692093139783</v>
      </c>
      <c r="I13" s="0" t="n">
        <f aca="false">I11+I12</f>
        <v>-13.6459998373702</v>
      </c>
      <c r="J13" s="0" t="n">
        <f aca="false">J11+J12</f>
        <v>-12.7867071743437</v>
      </c>
      <c r="K13" s="0" t="n">
        <f aca="false">K11+K12</f>
        <v>-11.4335644261137</v>
      </c>
      <c r="L13" s="0" t="n">
        <f aca="false">L11+L12</f>
        <v>-10.7304243353517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-16.3833879</v>
      </c>
      <c r="D15" s="0" t="n">
        <f aca="false">D13-MAX(0,D13)*D14/100</f>
        <v>-17.37924089</v>
      </c>
      <c r="E15" s="0" t="n">
        <f aca="false">E13-MAX(0,E13)*E14/100</f>
        <v>-17.6828154305</v>
      </c>
      <c r="F15" s="0" t="n">
        <f aca="false">F13-MAX(0,F13)*F14/100</f>
        <v>-17.20660495554</v>
      </c>
      <c r="G15" s="0" t="n">
        <f aca="false">G13-MAX(0,G13)*G14/100</f>
        <v>-16.1450897882828</v>
      </c>
      <c r="H15" s="0" t="n">
        <f aca="false">H13-MAX(0,H13)*H14/100</f>
        <v>-14.9692093139783</v>
      </c>
      <c r="I15" s="0" t="n">
        <f aca="false">I13-MAX(0,I13)*I14/100</f>
        <v>-13.6459998373702</v>
      </c>
      <c r="J15" s="0" t="n">
        <f aca="false">J13-MAX(0,J13)*J14/100</f>
        <v>-12.7867071743437</v>
      </c>
      <c r="K15" s="0" t="n">
        <f aca="false">K13-MAX(0,K13)*K14/100</f>
        <v>-11.4335644261137</v>
      </c>
      <c r="L15" s="0" t="n">
        <f aca="false">L13-MAX(0,L13)*L14/100</f>
        <v>-10.7304243353517</v>
      </c>
    </row>
    <row r="16" customFormat="false" ht="15" hidden="false" customHeight="false" outlineLevel="0" collapsed="false">
      <c r="A16" s="0" t="s">
        <v>118</v>
      </c>
      <c r="C16" s="0" t="n">
        <f aca="false">-C12</f>
        <v>3.3584485</v>
      </c>
      <c r="D16" s="0" t="n">
        <f aca="false">-D12</f>
        <v>3.69429335</v>
      </c>
      <c r="E16" s="0" t="n">
        <f aca="false">-E12</f>
        <v>3.851702371</v>
      </c>
      <c r="F16" s="0" t="n">
        <f aca="false">-F12</f>
        <v>4.15983856068</v>
      </c>
      <c r="G16" s="0" t="n">
        <f aca="false">-G12</f>
        <v>4.2487078390218</v>
      </c>
      <c r="H16" s="0" t="n">
        <f aca="false">-H12</f>
        <v>4.50363030936311</v>
      </c>
      <c r="I16" s="0" t="n">
        <f aca="false">-I12</f>
        <v>4.50363030936311</v>
      </c>
      <c r="J16" s="0" t="n">
        <f aca="false">-J12</f>
        <v>4.68377552173764</v>
      </c>
      <c r="K16" s="0" t="n">
        <f aca="false">-K12</f>
        <v>4.58307434802028</v>
      </c>
      <c r="L16" s="0" t="n">
        <f aca="false">-L12</f>
        <v>4.69765120672078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-1.8982535</v>
      </c>
      <c r="D17" s="4" t="n">
        <f aca="false">-D6*Assumptions!D18/100</f>
        <v>-2.02383027</v>
      </c>
      <c r="E17" s="4" t="n">
        <f aca="false">-E6*Assumptions!E18/100</f>
        <v>-2.100928566</v>
      </c>
      <c r="F17" s="4" t="n">
        <f aca="false">-F6*Assumptions!F18/100</f>
        <v>-2.193369422904</v>
      </c>
      <c r="G17" s="4" t="n">
        <f aca="false">-G6*Assumptions!G18/100</f>
        <v>-2.2255136299638</v>
      </c>
      <c r="H17" s="4" t="n">
        <f aca="false">-H6*Assumptions!H18/100</f>
        <v>-2.27326101329757</v>
      </c>
      <c r="I17" s="4" t="n">
        <f aca="false">-I6*Assumptions!I18/100</f>
        <v>-2.25181515468156</v>
      </c>
      <c r="J17" s="4" t="n">
        <f aca="false">-J6*Assumptions!J18/100</f>
        <v>-2.24821225043406</v>
      </c>
      <c r="K17" s="4" t="n">
        <f aca="false">-K6*Assumptions!K18/100</f>
        <v>-2.17092995432539</v>
      </c>
      <c r="L17" s="4" t="n">
        <f aca="false">-L6*Assumptions!L18/100</f>
        <v>-2.22520320318353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0.318588</v>
      </c>
      <c r="D18" s="4" t="n">
        <f aca="false">(D6-C6)*Assumptions!$B$23/100</f>
        <v>0.3504468</v>
      </c>
      <c r="E18" s="4" t="n">
        <f aca="false">(E6-D6)*Assumptions!$B$23/100</f>
        <v>0.346942332000001</v>
      </c>
      <c r="F18" s="4" t="n">
        <f aca="false">(F6-E6)*Assumptions!$B$23/100</f>
        <v>0.336148570560001</v>
      </c>
      <c r="G18" s="4" t="n">
        <f aca="false">(G6-F6)*Assumptions!$B$23/100</f>
        <v>0.317660399179201</v>
      </c>
      <c r="H18" s="4" t="n">
        <f aca="false">(H6-G6)*Assumptions!$B$23/100</f>
        <v>0.291339966104352</v>
      </c>
      <c r="I18" s="4" t="n">
        <f aca="false">(I6-H6)*Assumptions!$B$23/100</f>
        <v>0.257350303392178</v>
      </c>
      <c r="J18" s="4" t="n">
        <f aca="false">(J6-I6)*Assumptions!$B$23/100</f>
        <v>0.216174254849429</v>
      </c>
      <c r="K18" s="4" t="n">
        <f aca="false">(K6-J6)*Assumptions!$B$23/100</f>
        <v>0.168615918782555</v>
      </c>
      <c r="L18" s="4" t="n">
        <f aca="false">(L6-K6)*Assumptions!$B$23/100</f>
        <v>0.144728663621692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-14.6046049</v>
      </c>
      <c r="D19" s="0" t="n">
        <f aca="false">D15+D16+D17+D18</f>
        <v>-15.35833101</v>
      </c>
      <c r="E19" s="0" t="n">
        <f aca="false">E15+E16+E17+E18</f>
        <v>-15.5850992935</v>
      </c>
      <c r="F19" s="0" t="n">
        <f aca="false">F15+F16+F17+F18</f>
        <v>-14.903987247204</v>
      </c>
      <c r="G19" s="0" t="n">
        <f aca="false">G15+G16+G17+G18</f>
        <v>-13.8042351800456</v>
      </c>
      <c r="H19" s="0" t="n">
        <f aca="false">H15+H16+H17+H18</f>
        <v>-12.4475000518084</v>
      </c>
      <c r="I19" s="0" t="n">
        <f aca="false">I15+I16+I17+I18</f>
        <v>-11.1368343792965</v>
      </c>
      <c r="J19" s="0" t="n">
        <f aca="false">J15+J16+J17+J18</f>
        <v>-10.1349696481907</v>
      </c>
      <c r="K19" s="0" t="n">
        <f aca="false">K15+K16+K17+K18</f>
        <v>-8.8528041136363</v>
      </c>
      <c r="L19" s="0" t="n">
        <f aca="false">L15+L16+L17+L18</f>
        <v>-8.11324766819274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0.87719298245614</v>
      </c>
      <c r="D20" s="0" t="n">
        <f aca="false">1/(1+$B$27/100)^D4</f>
        <v>0.769467528470298</v>
      </c>
      <c r="E20" s="0" t="n">
        <f aca="false">1/(1+$B$27/100)^E4</f>
        <v>0.674971516202016</v>
      </c>
      <c r="F20" s="0" t="n">
        <f aca="false">1/(1+$B$27/100)^F4</f>
        <v>0.592080277370189</v>
      </c>
      <c r="G20" s="0" t="n">
        <f aca="false">1/(1+$B$27/100)^G4</f>
        <v>0.519368664359815</v>
      </c>
      <c r="H20" s="0" t="n">
        <f aca="false">1/(1+$B$27/100)^H4</f>
        <v>0.455586547684048</v>
      </c>
      <c r="I20" s="0" t="n">
        <f aca="false">1/(1+$B$27/100)^I4</f>
        <v>0.399637322529867</v>
      </c>
      <c r="J20" s="0" t="n">
        <f aca="false">1/(1+$B$27/100)^J4</f>
        <v>0.350559054850761</v>
      </c>
      <c r="K20" s="0" t="n">
        <f aca="false">1/(1+$B$27/100)^K4</f>
        <v>0.307507942851544</v>
      </c>
      <c r="L20" s="0" t="n">
        <f aca="false">1/(1+$B$27/100)^L4</f>
        <v>0.269743809518898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-12.8110569298246</v>
      </c>
      <c r="D21" s="0" t="n">
        <f aca="false">D19*D20</f>
        <v>-11.8177370036934</v>
      </c>
      <c r="E21" s="0" t="n">
        <f aca="false">E19*E20</f>
        <v>-10.5194981002927</v>
      </c>
      <c r="F21" s="0" t="n">
        <f aca="false">F19*F20</f>
        <v>-8.82435690324631</v>
      </c>
      <c r="G21" s="0" t="n">
        <f aca="false">G19*G20</f>
        <v>-7.16948718796908</v>
      </c>
      <c r="H21" s="0" t="n">
        <f aca="false">H19*H20</f>
        <v>-5.67091357590042</v>
      </c>
      <c r="I21" s="0" t="n">
        <f aca="false">I19*I20</f>
        <v>-4.45069467280062</v>
      </c>
      <c r="J21" s="0" t="n">
        <f aca="false">J19*J20</f>
        <v>-3.55290538081089</v>
      </c>
      <c r="K21" s="0" t="n">
        <f aca="false">K19*K20</f>
        <v>-2.72230758145199</v>
      </c>
      <c r="L21" s="0" t="n">
        <f aca="false">L19*L20</f>
        <v>-2.18849833358863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14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-69.7274556695786</v>
      </c>
    </row>
    <row r="31" customFormat="false" ht="15" hidden="false" customHeight="false" outlineLevel="0" collapsed="false">
      <c r="A31" s="0" t="s">
        <v>127</v>
      </c>
      <c r="B31" s="0" t="n">
        <f aca="false">L19</f>
        <v>-8.11324766819274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-68.9626051796383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-81.1324766819274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-69.7274556695786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-36.9264556695786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-0.190228809936217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-1.16984715172876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8.83431969941322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4.76186265924435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-0.120187276221028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-0.177971113504375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23.2</v>
      </c>
      <c r="D5" s="4" t="n">
        <f aca="false">Assumptions!D27</f>
        <v>25</v>
      </c>
      <c r="E5" s="4" t="n">
        <f aca="false">Assumptions!E27</f>
        <v>24</v>
      </c>
      <c r="F5" s="4" t="n">
        <f aca="false">Assumptions!F27</f>
        <v>22</v>
      </c>
      <c r="G5" s="4" t="n">
        <f aca="false">Assumptions!G27</f>
        <v>19</v>
      </c>
      <c r="H5" s="4" t="n">
        <f aca="false">Assumptions!H27</f>
        <v>16</v>
      </c>
      <c r="I5" s="4" t="n">
        <f aca="false">Assumptions!I27</f>
        <v>13</v>
      </c>
      <c r="J5" s="4" t="n">
        <f aca="false">Assumptions!J27</f>
        <v>10</v>
      </c>
      <c r="K5" s="4" t="n">
        <f aca="false">Assumptions!K27</f>
        <v>7</v>
      </c>
      <c r="L5" s="4" t="n">
        <f aca="false">Assumptions!L27</f>
        <v>5</v>
      </c>
    </row>
    <row r="6" customFormat="false" ht="15" hidden="false" customHeight="false" outlineLevel="0" collapsed="false">
      <c r="A6" s="0" t="s">
        <v>37</v>
      </c>
      <c r="B6" s="3" t="n">
        <v>26.549</v>
      </c>
      <c r="C6" s="0" t="n">
        <f aca="false">B6*(1+C5/100)</f>
        <v>32.708368</v>
      </c>
      <c r="D6" s="0" t="n">
        <f aca="false">C6*(1+D5/100)</f>
        <v>40.88546</v>
      </c>
      <c r="E6" s="0" t="n">
        <f aca="false">D6*(1+E5/100)</f>
        <v>50.6979704</v>
      </c>
      <c r="F6" s="0" t="n">
        <f aca="false">E6*(1+F5/100)</f>
        <v>61.851523888</v>
      </c>
      <c r="G6" s="0" t="n">
        <f aca="false">F6*(1+G5/100)</f>
        <v>73.60331342672</v>
      </c>
      <c r="H6" s="0" t="n">
        <f aca="false">G6*(1+H5/100)</f>
        <v>85.3798435749952</v>
      </c>
      <c r="I6" s="0" t="n">
        <f aca="false">H6*(1+I5/100)</f>
        <v>96.4792232397446</v>
      </c>
      <c r="J6" s="0" t="n">
        <f aca="false">I6*(1+J5/100)</f>
        <v>106.127145563719</v>
      </c>
      <c r="K6" s="0" t="n">
        <f aca="false">J6*(1+K5/100)</f>
        <v>113.556045753179</v>
      </c>
      <c r="L6" s="0" t="n">
        <f aca="false">K6*(1+L5/100)</f>
        <v>119.233848040838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-30</v>
      </c>
      <c r="D7" s="4" t="n">
        <f aca="false">Assumptions!D28</f>
        <v>-20</v>
      </c>
      <c r="E7" s="4" t="n">
        <f aca="false">Assumptions!E28</f>
        <v>-10</v>
      </c>
      <c r="F7" s="4" t="n">
        <f aca="false">Assumptions!F28</f>
        <v>-2</v>
      </c>
      <c r="G7" s="4" t="n">
        <f aca="false">Assumptions!G28</f>
        <v>5</v>
      </c>
      <c r="H7" s="4" t="n">
        <f aca="false">Assumptions!H28</f>
        <v>12</v>
      </c>
      <c r="I7" s="4" t="n">
        <f aca="false">Assumptions!I28</f>
        <v>18</v>
      </c>
      <c r="J7" s="4" t="n">
        <f aca="false">Assumptions!J28</f>
        <v>22</v>
      </c>
      <c r="K7" s="4" t="n">
        <f aca="false">Assumptions!K28</f>
        <v>25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-9.8125104</v>
      </c>
      <c r="D8" s="0" t="n">
        <f aca="false">D6*D7/100</f>
        <v>-8.177092</v>
      </c>
      <c r="E8" s="0" t="n">
        <f aca="false">E6*E7/100</f>
        <v>-5.06979704</v>
      </c>
      <c r="F8" s="0" t="n">
        <f aca="false">F6*F7/100</f>
        <v>-1.23703047776</v>
      </c>
      <c r="G8" s="0" t="n">
        <f aca="false">G6*G7/100</f>
        <v>3.680165671336</v>
      </c>
      <c r="H8" s="0" t="n">
        <f aca="false">H6*H7/100</f>
        <v>10.2455812289994</v>
      </c>
      <c r="I8" s="0" t="n">
        <f aca="false">I6*I7/100</f>
        <v>17.366260183154</v>
      </c>
      <c r="J8" s="0" t="n">
        <f aca="false">J6*J7/100</f>
        <v>23.3479720240182</v>
      </c>
      <c r="K8" s="0" t="n">
        <f aca="false">K6*K7/100</f>
        <v>28.3890114382948</v>
      </c>
      <c r="L8" s="0" t="n">
        <f aca="false">L6*L7/100</f>
        <v>32.1931389710264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4.4</v>
      </c>
      <c r="D9" s="4" t="n">
        <f aca="false">Assumptions!D29</f>
        <v>4.3</v>
      </c>
      <c r="E9" s="4" t="n">
        <f aca="false">Assumptions!E29</f>
        <v>4.2</v>
      </c>
      <c r="F9" s="4" t="n">
        <f aca="false">Assumptions!F29</f>
        <v>4.1</v>
      </c>
      <c r="G9" s="4" t="n">
        <f aca="false">Assumptions!G29</f>
        <v>4</v>
      </c>
      <c r="H9" s="4" t="n">
        <f aca="false">Assumptions!H29</f>
        <v>3.9</v>
      </c>
      <c r="I9" s="4" t="n">
        <f aca="false">Assumptions!I29</f>
        <v>3.8</v>
      </c>
      <c r="J9" s="4" t="n">
        <f aca="false">Assumptions!J29</f>
        <v>3.7</v>
      </c>
      <c r="K9" s="4" t="n">
        <f aca="false">Assumptions!K29</f>
        <v>3.6</v>
      </c>
      <c r="L9" s="4" t="n">
        <f aca="false">Assumptions!L29</f>
        <v>3.5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-1.439168192</v>
      </c>
      <c r="D10" s="0" t="n">
        <f aca="false">-D6*D9/100</f>
        <v>-1.75807478</v>
      </c>
      <c r="E10" s="0" t="n">
        <f aca="false">-E6*E9/100</f>
        <v>-2.1293147568</v>
      </c>
      <c r="F10" s="0" t="n">
        <f aca="false">-F6*F9/100</f>
        <v>-2.535912479408</v>
      </c>
      <c r="G10" s="0" t="n">
        <f aca="false">-G6*G9/100</f>
        <v>-2.9441325370688</v>
      </c>
      <c r="H10" s="0" t="n">
        <f aca="false">-H6*H9/100</f>
        <v>-3.32981389942481</v>
      </c>
      <c r="I10" s="0" t="n">
        <f aca="false">-I6*I9/100</f>
        <v>-3.66621048311029</v>
      </c>
      <c r="J10" s="0" t="n">
        <f aca="false">-J6*J9/100</f>
        <v>-3.9267043858576</v>
      </c>
      <c r="K10" s="0" t="n">
        <f aca="false">-K6*K9/100</f>
        <v>-4.08801764711446</v>
      </c>
      <c r="L10" s="0" t="n">
        <f aca="false">-L6*L9/100</f>
        <v>-4.17318468142934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-11.251678592</v>
      </c>
      <c r="D11" s="0" t="n">
        <f aca="false">D8+D10+D24</f>
        <v>-9.93516678</v>
      </c>
      <c r="E11" s="0" t="n">
        <f aca="false">E8+E10+E24</f>
        <v>-7.1991117968</v>
      </c>
      <c r="F11" s="0" t="n">
        <f aca="false">F8+F10+F24</f>
        <v>-3.772942957168</v>
      </c>
      <c r="G11" s="0" t="n">
        <f aca="false">G8+G10+G24</f>
        <v>0.7360331342672</v>
      </c>
      <c r="H11" s="0" t="n">
        <f aca="false">H8+H10+H24</f>
        <v>6.91576732957461</v>
      </c>
      <c r="I11" s="0" t="n">
        <f aca="false">I8+I10+I24</f>
        <v>13.7000497000437</v>
      </c>
      <c r="J11" s="0" t="n">
        <f aca="false">J8+J10+J24</f>
        <v>19.4212676381606</v>
      </c>
      <c r="K11" s="0" t="n">
        <f aca="false">K8+K10+K24</f>
        <v>24.3009937911804</v>
      </c>
      <c r="L11" s="0" t="n">
        <f aca="false">L8+L10+L24</f>
        <v>28.019954289597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-3.43437864</v>
      </c>
      <c r="D12" s="4" t="n">
        <f aca="false">-D6*Assumptions!D31/100</f>
        <v>-4.088546</v>
      </c>
      <c r="E12" s="4" t="n">
        <f aca="false">-E6*Assumptions!E31/100</f>
        <v>-4.816307188</v>
      </c>
      <c r="F12" s="4" t="n">
        <f aca="false">-F6*Assumptions!F31/100</f>
        <v>-5.56663714992</v>
      </c>
      <c r="G12" s="4" t="n">
        <f aca="false">-G6*Assumptions!G31/100</f>
        <v>-6.2562816412712</v>
      </c>
      <c r="H12" s="4" t="n">
        <f aca="false">-H6*Assumptions!H31/100</f>
        <v>-6.83038748599962</v>
      </c>
      <c r="I12" s="4" t="n">
        <f aca="false">-I6*Assumptions!I31/100</f>
        <v>-7.23594174298084</v>
      </c>
      <c r="J12" s="4" t="n">
        <f aca="false">-J6*Assumptions!J31/100</f>
        <v>-7.42890018946033</v>
      </c>
      <c r="K12" s="4" t="n">
        <f aca="false">-K6*Assumptions!K31/100</f>
        <v>-7.38114297395666</v>
      </c>
      <c r="L12" s="4" t="n">
        <f aca="false">-L6*Assumptions!L31/100</f>
        <v>-7.1540308824503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-14.686057232</v>
      </c>
      <c r="D13" s="0" t="n">
        <f aca="false">D11+D12</f>
        <v>-14.02371278</v>
      </c>
      <c r="E13" s="0" t="n">
        <f aca="false">E11+E12</f>
        <v>-12.0154189848</v>
      </c>
      <c r="F13" s="0" t="n">
        <f aca="false">F11+F12</f>
        <v>-9.339580107088</v>
      </c>
      <c r="G13" s="0" t="n">
        <f aca="false">G11+G12</f>
        <v>-5.520248507004</v>
      </c>
      <c r="H13" s="0" t="n">
        <f aca="false">H11+H12</f>
        <v>0.0853798435749935</v>
      </c>
      <c r="I13" s="0" t="n">
        <f aca="false">I11+I12</f>
        <v>6.46410795706289</v>
      </c>
      <c r="J13" s="0" t="n">
        <f aca="false">J11+J12</f>
        <v>11.9923674487003</v>
      </c>
      <c r="K13" s="0" t="n">
        <f aca="false">K11+K12</f>
        <v>16.9198508172237</v>
      </c>
      <c r="L13" s="0" t="n">
        <f aca="false">L11+L12</f>
        <v>20.8659234071467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-14.686057232</v>
      </c>
      <c r="D15" s="0" t="n">
        <f aca="false">D13-MAX(0,D13)*D14/100</f>
        <v>-14.02371278</v>
      </c>
      <c r="E15" s="0" t="n">
        <f aca="false">E13-MAX(0,E13)*E14/100</f>
        <v>-12.0154189848</v>
      </c>
      <c r="F15" s="0" t="n">
        <f aca="false">F13-MAX(0,F13)*F14/100</f>
        <v>-9.339580107088</v>
      </c>
      <c r="G15" s="0" t="n">
        <f aca="false">G13-MAX(0,G13)*G14/100</f>
        <v>-5.520248507004</v>
      </c>
      <c r="H15" s="0" t="n">
        <f aca="false">H13-MAX(0,H13)*H14/100</f>
        <v>0.0853798435749935</v>
      </c>
      <c r="I15" s="0" t="n">
        <f aca="false">I13-MAX(0,I13)*I14/100</f>
        <v>6.46410795706289</v>
      </c>
      <c r="J15" s="0" t="n">
        <f aca="false">J13-MAX(0,J13)*J14/100</f>
        <v>11.9923674487003</v>
      </c>
      <c r="K15" s="0" t="n">
        <f aca="false">K13-MAX(0,K13)*K14/100</f>
        <v>16.9198508172237</v>
      </c>
      <c r="L15" s="0" t="n">
        <f aca="false">L13-MAX(0,L13)*L14/100</f>
        <v>20.8659234071467</v>
      </c>
    </row>
    <row r="16" customFormat="false" ht="15" hidden="false" customHeight="false" outlineLevel="0" collapsed="false">
      <c r="A16" s="0" t="s">
        <v>118</v>
      </c>
      <c r="C16" s="0" t="n">
        <f aca="false">-C12</f>
        <v>3.43437864</v>
      </c>
      <c r="D16" s="0" t="n">
        <f aca="false">-D12</f>
        <v>4.088546</v>
      </c>
      <c r="E16" s="0" t="n">
        <f aca="false">-E12</f>
        <v>4.816307188</v>
      </c>
      <c r="F16" s="0" t="n">
        <f aca="false">-F12</f>
        <v>5.56663714992</v>
      </c>
      <c r="G16" s="0" t="n">
        <f aca="false">-G12</f>
        <v>6.2562816412712</v>
      </c>
      <c r="H16" s="0" t="n">
        <f aca="false">-H12</f>
        <v>6.83038748599962</v>
      </c>
      <c r="I16" s="0" t="n">
        <f aca="false">-I12</f>
        <v>7.23594174298084</v>
      </c>
      <c r="J16" s="0" t="n">
        <f aca="false">-J12</f>
        <v>7.42890018946033</v>
      </c>
      <c r="K16" s="0" t="n">
        <f aca="false">-K12</f>
        <v>7.38114297395666</v>
      </c>
      <c r="L16" s="0" t="n">
        <f aca="false">-L12</f>
        <v>7.1540308824503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-2.28958576</v>
      </c>
      <c r="D17" s="4" t="n">
        <f aca="false">-D6*Assumptions!D32/100</f>
        <v>-2.78021128</v>
      </c>
      <c r="E17" s="4" t="n">
        <f aca="false">-E6*Assumptions!E32/100</f>
        <v>-3.295368076</v>
      </c>
      <c r="F17" s="4" t="n">
        <f aca="false">-F6*Assumptions!F32/100</f>
        <v>-3.896646004944</v>
      </c>
      <c r="G17" s="4" t="n">
        <f aca="false">-G6*Assumptions!G32/100</f>
        <v>-4.4161988056032</v>
      </c>
      <c r="H17" s="4" t="n">
        <f aca="false">-H6*Assumptions!H32/100</f>
        <v>-4.95203092734972</v>
      </c>
      <c r="I17" s="4" t="n">
        <f aca="false">-I6*Assumptions!I32/100</f>
        <v>-5.30635727818595</v>
      </c>
      <c r="J17" s="4" t="n">
        <f aca="false">-J6*Assumptions!J32/100</f>
        <v>-5.62473871487711</v>
      </c>
      <c r="K17" s="4" t="n">
        <f aca="false">-K6*Assumptions!K32/100</f>
        <v>-5.67780228765897</v>
      </c>
      <c r="L17" s="4" t="n">
        <f aca="false">-L6*Assumptions!L32/100</f>
        <v>-5.96169240204192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0.9239052</v>
      </c>
      <c r="D18" s="4" t="n">
        <f aca="false">(D6-C6)*Assumptions!$B$37/100</f>
        <v>1.2265638</v>
      </c>
      <c r="E18" s="4" t="n">
        <f aca="false">(E6-D6)*Assumptions!$B$37/100</f>
        <v>1.47187656</v>
      </c>
      <c r="F18" s="4" t="n">
        <f aca="false">(F6-E6)*Assumptions!$B$37/100</f>
        <v>1.6730330232</v>
      </c>
      <c r="G18" s="4" t="n">
        <f aca="false">(G6-F6)*Assumptions!$B$37/100</f>
        <v>1.762768430808</v>
      </c>
      <c r="H18" s="4" t="n">
        <f aca="false">(H6-G6)*Assumptions!$B$37/100</f>
        <v>1.76647952224128</v>
      </c>
      <c r="I18" s="4" t="n">
        <f aca="false">(I6-H6)*Assumptions!$B$37/100</f>
        <v>1.6649069497124</v>
      </c>
      <c r="J18" s="4" t="n">
        <f aca="false">(J6-I6)*Assumptions!$B$37/100</f>
        <v>1.44718834859617</v>
      </c>
      <c r="K18" s="4" t="n">
        <f aca="false">(K6-J6)*Assumptions!$B$37/100</f>
        <v>1.11433502841905</v>
      </c>
      <c r="L18" s="4" t="n">
        <f aca="false">(L6-K6)*Assumptions!$B$37/100</f>
        <v>0.851670343148847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-12.617359152</v>
      </c>
      <c r="D19" s="0" t="n">
        <f aca="false">D15+D16+D17+D18</f>
        <v>-11.48881426</v>
      </c>
      <c r="E19" s="0" t="n">
        <f aca="false">E15+E16+E17+E18</f>
        <v>-9.0226033128</v>
      </c>
      <c r="F19" s="0" t="n">
        <f aca="false">F15+F16+F17+F18</f>
        <v>-5.996555938912</v>
      </c>
      <c r="G19" s="0" t="n">
        <f aca="false">G15+G16+G17+G18</f>
        <v>-1.917397240528</v>
      </c>
      <c r="H19" s="0" t="n">
        <f aca="false">H15+H16+H17+H18</f>
        <v>3.73021592446617</v>
      </c>
      <c r="I19" s="0" t="n">
        <f aca="false">I15+I16+I17+I18</f>
        <v>10.0585993715702</v>
      </c>
      <c r="J19" s="0" t="n">
        <f aca="false">J15+J16+J17+J18</f>
        <v>15.2437172718797</v>
      </c>
      <c r="K19" s="0" t="n">
        <f aca="false">K15+K16+K17+K18</f>
        <v>19.7375265319405</v>
      </c>
      <c r="L19" s="0" t="n">
        <f aca="false">L15+L16+L17+L18</f>
        <v>22.9099322307039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-11.2154303573333</v>
      </c>
      <c r="D21" s="0" t="n">
        <f aca="false">D19*D20</f>
        <v>-9.07758163753086</v>
      </c>
      <c r="E21" s="0" t="n">
        <f aca="false">E19*E20</f>
        <v>-6.33686268333827</v>
      </c>
      <c r="F21" s="0" t="n">
        <f aca="false">F19*F20</f>
        <v>-3.74362035143782</v>
      </c>
      <c r="G21" s="0" t="n">
        <f aca="false">G19*G20</f>
        <v>-1.06401925142884</v>
      </c>
      <c r="H21" s="0" t="n">
        <f aca="false">H19*H20</f>
        <v>1.84000429643791</v>
      </c>
      <c r="I21" s="0" t="n">
        <f aca="false">I19*I20</f>
        <v>4.41031748047858</v>
      </c>
      <c r="J21" s="0" t="n">
        <f aca="false">J19*J20</f>
        <v>5.9411525749721</v>
      </c>
      <c r="K21" s="0" t="n">
        <f aca="false">K19*K20</f>
        <v>6.83785716727225</v>
      </c>
      <c r="L21" s="0" t="n">
        <f aca="false">L19*L20</f>
        <v>7.05502537353827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-5.35315738837002</v>
      </c>
    </row>
    <row r="31" customFormat="false" ht="15" hidden="false" customHeight="false" outlineLevel="0" collapsed="false">
      <c r="A31" s="0" t="s">
        <v>127</v>
      </c>
      <c r="B31" s="0" t="n">
        <f aca="false">L19</f>
        <v>22.9099322307039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263.464220653095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343.648983460559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263.464220653095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81.1327917956901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75.7796344073201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108.58063440732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0.559359529391292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-0.500571848757775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14.8625553492664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14.7788356802558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0.712058900022885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206.189390076335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0.388662472801481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30</v>
      </c>
      <c r="D5" s="4" t="n">
        <f aca="false">Assumptions!D41</f>
        <v>32</v>
      </c>
      <c r="E5" s="4" t="n">
        <f aca="false">Assumptions!E41</f>
        <v>30</v>
      </c>
      <c r="F5" s="4" t="n">
        <f aca="false">Assumptions!F41</f>
        <v>27</v>
      </c>
      <c r="G5" s="4" t="n">
        <f aca="false">Assumptions!G41</f>
        <v>23</v>
      </c>
      <c r="H5" s="4" t="n">
        <f aca="false">Assumptions!H41</f>
        <v>19</v>
      </c>
      <c r="I5" s="4" t="n">
        <f aca="false">Assumptions!I41</f>
        <v>15</v>
      </c>
      <c r="J5" s="4" t="n">
        <f aca="false">Assumptions!J41</f>
        <v>11</v>
      </c>
      <c r="K5" s="4" t="n">
        <f aca="false">Assumptions!K41</f>
        <v>8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26.549</v>
      </c>
      <c r="C6" s="0" t="n">
        <f aca="false">B6*(1+C5/100)</f>
        <v>34.5137</v>
      </c>
      <c r="D6" s="0" t="n">
        <f aca="false">C6*(1+D5/100)</f>
        <v>45.558084</v>
      </c>
      <c r="E6" s="0" t="n">
        <f aca="false">D6*(1+E5/100)</f>
        <v>59.2255092</v>
      </c>
      <c r="F6" s="0" t="n">
        <f aca="false">E6*(1+F5/100)</f>
        <v>75.216396684</v>
      </c>
      <c r="G6" s="0" t="n">
        <f aca="false">F6*(1+G5/100)</f>
        <v>92.51616792132</v>
      </c>
      <c r="H6" s="0" t="n">
        <f aca="false">G6*(1+H5/100)</f>
        <v>110.094239826371</v>
      </c>
      <c r="I6" s="0" t="n">
        <f aca="false">H6*(1+I5/100)</f>
        <v>126.608375800326</v>
      </c>
      <c r="J6" s="0" t="n">
        <f aca="false">I6*(1+J5/100)</f>
        <v>140.535297138362</v>
      </c>
      <c r="K6" s="0" t="n">
        <f aca="false">J6*(1+K5/100)</f>
        <v>151.778120909431</v>
      </c>
      <c r="L6" s="0" t="n">
        <f aca="false">K6*(1+L5/100)</f>
        <v>160.884808163997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-25</v>
      </c>
      <c r="D7" s="4" t="n">
        <f aca="false">Assumptions!D42</f>
        <v>-12</v>
      </c>
      <c r="E7" s="4" t="n">
        <f aca="false">Assumptions!E42</f>
        <v>-2</v>
      </c>
      <c r="F7" s="4" t="n">
        <f aca="false">Assumptions!F42</f>
        <v>8</v>
      </c>
      <c r="G7" s="4" t="n">
        <f aca="false">Assumptions!G42</f>
        <v>15</v>
      </c>
      <c r="H7" s="4" t="n">
        <f aca="false">Assumptions!H42</f>
        <v>20</v>
      </c>
      <c r="I7" s="4" t="n">
        <f aca="false">Assumptions!I42</f>
        <v>25</v>
      </c>
      <c r="J7" s="4" t="n">
        <f aca="false">Assumptions!J42</f>
        <v>28</v>
      </c>
      <c r="K7" s="4" t="n">
        <f aca="false">Assumptions!K42</f>
        <v>30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-8.628425</v>
      </c>
      <c r="D8" s="0" t="n">
        <f aca="false">D6*D7/100</f>
        <v>-5.46697008</v>
      </c>
      <c r="E8" s="0" t="n">
        <f aca="false">E6*E7/100</f>
        <v>-1.184510184</v>
      </c>
      <c r="F8" s="0" t="n">
        <f aca="false">F6*F7/100</f>
        <v>6.01731173472</v>
      </c>
      <c r="G8" s="0" t="n">
        <f aca="false">G6*G7/100</f>
        <v>13.877425188198</v>
      </c>
      <c r="H8" s="0" t="n">
        <f aca="false">H6*H7/100</f>
        <v>22.0188479652742</v>
      </c>
      <c r="I8" s="0" t="n">
        <f aca="false">I6*I7/100</f>
        <v>31.6520939500816</v>
      </c>
      <c r="J8" s="0" t="n">
        <f aca="false">J6*J7/100</f>
        <v>39.3498831987415</v>
      </c>
      <c r="K8" s="0" t="n">
        <f aca="false">K6*K7/100</f>
        <v>45.5334362728294</v>
      </c>
      <c r="L8" s="0" t="n">
        <f aca="false">L6*L7/100</f>
        <v>51.4831386124791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4.4</v>
      </c>
      <c r="D9" s="4" t="n">
        <f aca="false">Assumptions!D43</f>
        <v>4.3</v>
      </c>
      <c r="E9" s="4" t="n">
        <f aca="false">Assumptions!E43</f>
        <v>4.2</v>
      </c>
      <c r="F9" s="4" t="n">
        <f aca="false">Assumptions!F43</f>
        <v>4</v>
      </c>
      <c r="G9" s="4" t="n">
        <f aca="false">Assumptions!G43</f>
        <v>3.9</v>
      </c>
      <c r="H9" s="4" t="n">
        <f aca="false">Assumptions!H43</f>
        <v>3.8</v>
      </c>
      <c r="I9" s="4" t="n">
        <f aca="false">Assumptions!I43</f>
        <v>3.7</v>
      </c>
      <c r="J9" s="4" t="n">
        <f aca="false">Assumptions!J43</f>
        <v>3.6</v>
      </c>
      <c r="K9" s="4" t="n">
        <f aca="false">Assumptions!K43</f>
        <v>3.5</v>
      </c>
      <c r="L9" s="4" t="n">
        <f aca="false">Assumptions!L43</f>
        <v>3.5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-1.5186028</v>
      </c>
      <c r="D10" s="0" t="n">
        <f aca="false">-D6*D9/100</f>
        <v>-1.958997612</v>
      </c>
      <c r="E10" s="0" t="n">
        <f aca="false">-E6*E9/100</f>
        <v>-2.4874713864</v>
      </c>
      <c r="F10" s="0" t="n">
        <f aca="false">-F6*F9/100</f>
        <v>-3.00865586736</v>
      </c>
      <c r="G10" s="0" t="n">
        <f aca="false">-G6*G9/100</f>
        <v>-3.60813054893148</v>
      </c>
      <c r="H10" s="0" t="n">
        <f aca="false">-H6*H9/100</f>
        <v>-4.18358111340209</v>
      </c>
      <c r="I10" s="0" t="n">
        <f aca="false">-I6*I9/100</f>
        <v>-4.68450990461208</v>
      </c>
      <c r="J10" s="0" t="n">
        <f aca="false">-J6*J9/100</f>
        <v>-5.05927069698104</v>
      </c>
      <c r="K10" s="0" t="n">
        <f aca="false">-K6*K9/100</f>
        <v>-5.3122342318301</v>
      </c>
      <c r="L10" s="0" t="n">
        <f aca="false">-L6*L9/100</f>
        <v>-5.6309682857399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-10.1470278</v>
      </c>
      <c r="D11" s="0" t="n">
        <f aca="false">D8+D10+D24</f>
        <v>-7.425967692</v>
      </c>
      <c r="E11" s="0" t="n">
        <f aca="false">E8+E10+E24</f>
        <v>-3.6719815704</v>
      </c>
      <c r="F11" s="0" t="n">
        <f aca="false">F8+F10+F24</f>
        <v>3.00865586736</v>
      </c>
      <c r="G11" s="0" t="n">
        <f aca="false">G8+G10+G24</f>
        <v>10.2692946392665</v>
      </c>
      <c r="H11" s="0" t="n">
        <f aca="false">H8+H10+H24</f>
        <v>17.8352668518721</v>
      </c>
      <c r="I11" s="0" t="n">
        <f aca="false">I8+I10+I24</f>
        <v>26.9675840454695</v>
      </c>
      <c r="J11" s="0" t="n">
        <f aca="false">J8+J10+J24</f>
        <v>34.2906125017604</v>
      </c>
      <c r="K11" s="0" t="n">
        <f aca="false">K8+K10+K24</f>
        <v>40.2212020409993</v>
      </c>
      <c r="L11" s="0" t="n">
        <f aca="false">L8+L10+L24</f>
        <v>45.8521703267392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-3.45137</v>
      </c>
      <c r="D12" s="4" t="n">
        <f aca="false">-D6*Assumptions!D45/100</f>
        <v>-4.236901812</v>
      </c>
      <c r="E12" s="4" t="n">
        <f aca="false">-E6*Assumptions!E45/100</f>
        <v>-5.1526193004</v>
      </c>
      <c r="F12" s="4" t="n">
        <f aca="false">-F6*Assumptions!F45/100</f>
        <v>-6.01731173472</v>
      </c>
      <c r="G12" s="4" t="n">
        <f aca="false">-G6*Assumptions!G45/100</f>
        <v>-6.75368025825636</v>
      </c>
      <c r="H12" s="4" t="n">
        <f aca="false">-H6*Assumptions!H45/100</f>
        <v>-7.37631406836684</v>
      </c>
      <c r="I12" s="4" t="n">
        <f aca="false">-I6*Assumptions!I45/100</f>
        <v>-7.59650254801958</v>
      </c>
      <c r="J12" s="4" t="n">
        <f aca="false">-J6*Assumptions!J45/100</f>
        <v>-8.01051193688665</v>
      </c>
      <c r="K12" s="4" t="n">
        <f aca="false">-K6*Assumptions!K45/100</f>
        <v>-8.04424040819986</v>
      </c>
      <c r="L12" s="4" t="n">
        <f aca="false">-L6*Assumptions!L45/100</f>
        <v>-8.04424040819986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-13.5983978</v>
      </c>
      <c r="D13" s="0" t="n">
        <f aca="false">D11+D12</f>
        <v>-11.662869504</v>
      </c>
      <c r="E13" s="0" t="n">
        <f aca="false">E11+E12</f>
        <v>-8.8246008708</v>
      </c>
      <c r="F13" s="0" t="n">
        <f aca="false">F11+F12</f>
        <v>-3.00865586736</v>
      </c>
      <c r="G13" s="0" t="n">
        <f aca="false">G11+G12</f>
        <v>3.51561438101016</v>
      </c>
      <c r="H13" s="0" t="n">
        <f aca="false">H11+H12</f>
        <v>10.4589527835052</v>
      </c>
      <c r="I13" s="0" t="n">
        <f aca="false">I11+I12</f>
        <v>19.3710814974499</v>
      </c>
      <c r="J13" s="0" t="n">
        <f aca="false">J11+J12</f>
        <v>26.2801005648738</v>
      </c>
      <c r="K13" s="0" t="n">
        <f aca="false">K11+K12</f>
        <v>32.1769616327994</v>
      </c>
      <c r="L13" s="0" t="n">
        <f aca="false">L11+L12</f>
        <v>37.8079299185393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-13.5983978</v>
      </c>
      <c r="D15" s="0" t="n">
        <f aca="false">D13-MAX(0,D13)*D14/100</f>
        <v>-11.662869504</v>
      </c>
      <c r="E15" s="0" t="n">
        <f aca="false">E13-MAX(0,E13)*E14/100</f>
        <v>-8.8246008708</v>
      </c>
      <c r="F15" s="0" t="n">
        <f aca="false">F13-MAX(0,F13)*F14/100</f>
        <v>-3.00865586736</v>
      </c>
      <c r="G15" s="0" t="n">
        <f aca="false">G13-MAX(0,G13)*G14/100</f>
        <v>3.51561438101016</v>
      </c>
      <c r="H15" s="0" t="n">
        <f aca="false">H13-MAX(0,H13)*H14/100</f>
        <v>10.4589527835052</v>
      </c>
      <c r="I15" s="0" t="n">
        <f aca="false">I13-MAX(0,I13)*I14/100</f>
        <v>19.3710814974499</v>
      </c>
      <c r="J15" s="0" t="n">
        <f aca="false">J13-MAX(0,J13)*J14/100</f>
        <v>26.2801005648738</v>
      </c>
      <c r="K15" s="0" t="n">
        <f aca="false">K13-MAX(0,K13)*K14/100</f>
        <v>32.1769616327994</v>
      </c>
      <c r="L15" s="0" t="n">
        <f aca="false">L13-MAX(0,L13)*L14/100</f>
        <v>37.8079299185393</v>
      </c>
    </row>
    <row r="16" customFormat="false" ht="15" hidden="false" customHeight="false" outlineLevel="0" collapsed="false">
      <c r="A16" s="0" t="s">
        <v>118</v>
      </c>
      <c r="C16" s="0" t="n">
        <f aca="false">-C12</f>
        <v>3.45137</v>
      </c>
      <c r="D16" s="0" t="n">
        <f aca="false">-D12</f>
        <v>4.236901812</v>
      </c>
      <c r="E16" s="0" t="n">
        <f aca="false">-E12</f>
        <v>5.1526193004</v>
      </c>
      <c r="F16" s="0" t="n">
        <f aca="false">-F12</f>
        <v>6.01731173472</v>
      </c>
      <c r="G16" s="0" t="n">
        <f aca="false">-G12</f>
        <v>6.75368025825636</v>
      </c>
      <c r="H16" s="0" t="n">
        <f aca="false">-H12</f>
        <v>7.37631406836684</v>
      </c>
      <c r="I16" s="0" t="n">
        <f aca="false">-I12</f>
        <v>7.59650254801958</v>
      </c>
      <c r="J16" s="0" t="n">
        <f aca="false">-J12</f>
        <v>8.01051193688665</v>
      </c>
      <c r="K16" s="0" t="n">
        <f aca="false">-K12</f>
        <v>8.04424040819986</v>
      </c>
      <c r="L16" s="0" t="n">
        <f aca="false">-L12</f>
        <v>8.04424040819986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-2.5885275</v>
      </c>
      <c r="D17" s="4" t="n">
        <f aca="false">-D6*Assumptions!D46/100</f>
        <v>-3.325740132</v>
      </c>
      <c r="E17" s="4" t="n">
        <f aca="false">-E6*Assumptions!E46/100</f>
        <v>-4.145785644</v>
      </c>
      <c r="F17" s="4" t="n">
        <f aca="false">-F6*Assumptions!F46/100</f>
        <v>-5.114714974512</v>
      </c>
      <c r="G17" s="4" t="n">
        <f aca="false">-G6*Assumptions!G46/100</f>
        <v>-6.0135509148858</v>
      </c>
      <c r="H17" s="4" t="n">
        <f aca="false">-H6*Assumptions!H46/100</f>
        <v>-6.93593710906136</v>
      </c>
      <c r="I17" s="4" t="n">
        <f aca="false">-I6*Assumptions!I46/100</f>
        <v>-7.59650254801958</v>
      </c>
      <c r="J17" s="4" t="n">
        <f aca="false">-J6*Assumptions!J46/100</f>
        <v>-8.15104723402502</v>
      </c>
      <c r="K17" s="4" t="n">
        <f aca="false">-K6*Assumptions!K46/100</f>
        <v>-8.34779665001872</v>
      </c>
      <c r="L17" s="4" t="n">
        <f aca="false">-L6*Assumptions!L46/100</f>
        <v>-8.52689483269185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1.433646</v>
      </c>
      <c r="D18" s="4" t="n">
        <f aca="false">(D6-C6)*Assumptions!$B$51/100</f>
        <v>1.98798912</v>
      </c>
      <c r="E18" s="4" t="n">
        <f aca="false">(E6-D6)*Assumptions!$B$51/100</f>
        <v>2.460136536</v>
      </c>
      <c r="F18" s="4" t="n">
        <f aca="false">(F6-E6)*Assumptions!$B$51/100</f>
        <v>2.87835974712</v>
      </c>
      <c r="G18" s="4" t="n">
        <f aca="false">(G6-F6)*Assumptions!$B$51/100</f>
        <v>3.1139588227176</v>
      </c>
      <c r="H18" s="4" t="n">
        <f aca="false">(H6-G6)*Assumptions!$B$51/100</f>
        <v>3.16405294290914</v>
      </c>
      <c r="I18" s="4" t="n">
        <f aca="false">(I6-H6)*Assumptions!$B$51/100</f>
        <v>2.97254447531201</v>
      </c>
      <c r="J18" s="4" t="n">
        <f aca="false">(J6-I6)*Assumptions!$B$51/100</f>
        <v>2.50684584084647</v>
      </c>
      <c r="K18" s="4" t="n">
        <f aca="false">(K6-J6)*Assumptions!$B$51/100</f>
        <v>2.02370827879242</v>
      </c>
      <c r="L18" s="4" t="n">
        <f aca="false">(L6-K6)*Assumptions!$B$51/100</f>
        <v>1.63920370582186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-11.3019093</v>
      </c>
      <c r="D19" s="0" t="n">
        <f aca="false">D15+D16+D17+D18</f>
        <v>-8.763718704</v>
      </c>
      <c r="E19" s="0" t="n">
        <f aca="false">E15+E16+E17+E18</f>
        <v>-5.3576306784</v>
      </c>
      <c r="F19" s="0" t="n">
        <f aca="false">F15+F16+F17+F18</f>
        <v>0.772300639967999</v>
      </c>
      <c r="G19" s="0" t="n">
        <f aca="false">G15+G16+G17+G18</f>
        <v>7.36970254709832</v>
      </c>
      <c r="H19" s="0" t="n">
        <f aca="false">H15+H16+H17+H18</f>
        <v>14.0633826857199</v>
      </c>
      <c r="I19" s="0" t="n">
        <f aca="false">I15+I16+I17+I18</f>
        <v>22.3436259727619</v>
      </c>
      <c r="J19" s="0" t="n">
        <f aca="false">J15+J16+J17+J18</f>
        <v>28.6464111085819</v>
      </c>
      <c r="K19" s="0" t="n">
        <f aca="false">K15+K16+K17+K18</f>
        <v>33.897113669773</v>
      </c>
      <c r="L19" s="0" t="n">
        <f aca="false">L15+L16+L17+L18</f>
        <v>38.9644791998692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-10.1362415246637</v>
      </c>
      <c r="D21" s="0" t="n">
        <f aca="false">D19*D20</f>
        <v>-7.04918152707676</v>
      </c>
      <c r="E21" s="0" t="n">
        <f aca="false">E19*E20</f>
        <v>-3.86498818458827</v>
      </c>
      <c r="F21" s="0" t="n">
        <f aca="false">F19*F20</f>
        <v>0.499674199270464</v>
      </c>
      <c r="G21" s="0" t="n">
        <f aca="false">G19*G20</f>
        <v>4.27637342956756</v>
      </c>
      <c r="H21" s="0" t="n">
        <f aca="false">H19*H20</f>
        <v>7.31881198217569</v>
      </c>
      <c r="I21" s="0" t="n">
        <f aca="false">I19*I20</f>
        <v>10.4286857527443</v>
      </c>
      <c r="J21" s="0" t="n">
        <f aca="false">J19*J20</f>
        <v>11.9914384098153</v>
      </c>
      <c r="K21" s="0" t="n">
        <f aca="false">K19*K20</f>
        <v>12.7259119269378</v>
      </c>
      <c r="L21" s="0" t="n">
        <f aca="false">L19*L20</f>
        <v>13.1195881529355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39.3100726171179</v>
      </c>
    </row>
    <row r="31" customFormat="false" ht="15" hidden="false" customHeight="false" outlineLevel="0" collapsed="false">
      <c r="A31" s="0" t="s">
        <v>127</v>
      </c>
      <c r="B31" s="0" t="n">
        <f aca="false">L19</f>
        <v>38.9644791998692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540.307444904853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701.360625597646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540.307444904853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181.924955720705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221.235028337823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254.036028337823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1.30868155297772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0.168465672301535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19.1442428815329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26.2909623606971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1.54274368717701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368.391439707854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0.778409195178633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-0.190228809936217</v>
      </c>
      <c r="C4" s="0" t="n">
        <f aca="false">B4/Assumptions!$B$2-1</f>
        <v>-1.16984715172876</v>
      </c>
      <c r="D4" s="4" t="n">
        <f aca="false">Assumptions!$B$24</f>
        <v>0.3</v>
      </c>
      <c r="E4" s="4" t="n">
        <f aca="false">DCF_Bear!$B$43</f>
        <v>-0.120187276221028</v>
      </c>
      <c r="F4" s="4" t="n">
        <f aca="false">DCF_Bear!$B$47</f>
        <v>-0.177971113504375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0.559359529391292</v>
      </c>
      <c r="C5" s="0" t="n">
        <f aca="false">B5/Assumptions!$B$2-1</f>
        <v>-0.500571848757775</v>
      </c>
      <c r="D5" s="4" t="n">
        <f aca="false">Assumptions!$B$38</f>
        <v>0.5</v>
      </c>
      <c r="E5" s="4" t="n">
        <f aca="false">DCF_Base!$B$43</f>
        <v>0.712058900022885</v>
      </c>
      <c r="F5" s="4" t="n">
        <f aca="false">DCF_Base!$B$47</f>
        <v>0.388662472801481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1.30868155297772</v>
      </c>
      <c r="C6" s="0" t="n">
        <f aca="false">B6/Assumptions!$B$2-1</f>
        <v>0.168465672301535</v>
      </c>
      <c r="D6" s="4" t="n">
        <f aca="false">Assumptions!$B$52</f>
        <v>0.2</v>
      </c>
      <c r="E6" s="4" t="n">
        <f aca="false">DCF_Bull!$B$43</f>
        <v>1.54274368717701</v>
      </c>
      <c r="F6" s="4" t="n">
        <f aca="false">DCF_Bull!$B$47</f>
        <v>0.778409195178633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0.484347432310325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0.628522004580537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-1.3123896717231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440.890898915474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0.296621741385154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0.919023715142254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0.844053171003539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0.726410964436339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0.607700912009886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0.559359529391292</v>
      </c>
      <c r="C19" s="3" t="n">
        <v>12.5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0.388662472801481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2.5</v>
      </c>
      <c r="C23" s="3" t="n">
        <v>3</v>
      </c>
      <c r="D23" s="3" t="n">
        <v>3.5</v>
      </c>
      <c r="E23" s="3" t="n">
        <v>4</v>
      </c>
      <c r="F23" s="3" t="n">
        <v>4.5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0.714195151139377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0.75423760858549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0.800000417095334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0.809318636022678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0.809318636022678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0.601375449984312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0.63033536170662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0.662915262394217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0.69983914984016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0.742037878349809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0.513929056287979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0.535448754073759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0.559359529391292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0.586083337099124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0.616147620770434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0.444751137441267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0.461096243287791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0.479075859718969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0.498948067353427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0.521028298058382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0.389119251639866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0.401760908819114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0.415551807560111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0.430656125228823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0.447270874664406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2026-09-25T14:02:19Z</dcterms:created>
  <dc:creator>openpyxl</dc:creator>
  <dc:description/>
  <dc:language>en-NZ</dc:language>
  <cp:lastModifiedBy/>
  <dcterms:modified xsi:type="dcterms:W3CDTF">2026-09-25T14:02:19Z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