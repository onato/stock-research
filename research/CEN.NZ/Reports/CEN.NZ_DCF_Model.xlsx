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Bull_Bear Scenarios" sheetId="2" r:id="rId2"/>
    <sheet name="Sensitivity" sheetId="3" r:id="rId3"/>
    <sheet name="FCF Quality" sheetId="4" r:id="rId4"/>
    <sheet name="Sanity Check" sheetId="5" r:id="rId5"/>
    <sheet name="Model_Info" sheetId="6" r:id="rId6"/>
  </sheets>
  <calcPr calcId="124519" fullCalcOnLoad="1"/>
</workbook>
</file>

<file path=xl/sharedStrings.xml><?xml version="1.0" encoding="utf-8"?>
<sst xmlns="http://schemas.openxmlformats.org/spreadsheetml/2006/main" count="165" uniqueCount="149">
  <si>
    <t>CEN.NZ (Contact Energy) DCF Valuation Model - BASE CASE</t>
  </si>
  <si>
    <t>Gray cells are INPUTS. 10-year horizon: this is a capex-supercycle utility, margins do not mature within 5 years.</t>
  </si>
  <si>
    <t>KEY INPUTS</t>
  </si>
  <si>
    <t>Current Stock Price (NZD)</t>
  </si>
  <si>
    <t>Shares Outstanding, current (M)</t>
  </si>
  <si>
    <t>Total Debt, H1 FY2026 (M)</t>
  </si>
  <si>
    <t>Cash incl. Feb-2026 raise proceeds (M)</t>
  </si>
  <si>
    <t>Net Debt (M)</t>
  </si>
  <si>
    <t>SBC (Y1, M) -- immaterial for CEN</t>
  </si>
  <si>
    <t>WACC</t>
  </si>
  <si>
    <t>Terminal Growth Rate</t>
  </si>
  <si>
    <t>Terminal Cap Multiple (x Y10 EBITDAF)</t>
  </si>
  <si>
    <t>Annual Share Growth (dilution)</t>
  </si>
  <si>
    <t>PROJECTIONS (component build)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</si>
  <si>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</si>
  <si>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</si>
  <si>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</si>
  <si>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</si>
  <si>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</si>
  <si>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</si>
  <si>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</si>
  <si>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</si>
  <si>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</si>
  <si>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</si>
  <si>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Revenue Growth %</t>
  </si>
  <si>
    <t>Revenue</t>
  </si>
  <si>
    <t>EBITDAF Margin %</t>
  </si>
  <si>
    <t>Adj. EBITDAF</t>
  </si>
  <si>
    <t>SBC % of Revenue</t>
  </si>
  <si>
    <t>SBC</t>
  </si>
  <si>
    <t>Owner EBITDAF</t>
  </si>
  <si>
    <t>D&amp;A % of Revenue</t>
  </si>
  <si>
    <t>D&amp;A</t>
  </si>
  <si>
    <t>EBIT</t>
  </si>
  <si>
    <t>Cash Tax Rate %</t>
  </si>
  <si>
    <t>NOPAT</t>
  </si>
  <si>
    <t>Stay-in-Business Capex</t>
  </si>
  <si>
    <t>Growth Capex</t>
  </si>
  <si>
    <t>Total Capex</t>
  </si>
  <si>
    <t>Working Capital (use of cash)</t>
  </si>
  <si>
    <t>Owner FCF</t>
  </si>
  <si>
    <t>Owner FCF Margin %</t>
  </si>
  <si>
    <t>Projected Shares (M)</t>
  </si>
  <si>
    <t>Discount Factor</t>
  </si>
  <si>
    <t>PV of Owner FCF</t>
  </si>
  <si>
    <t>VALUATION</t>
  </si>
  <si>
    <t>Sum of PV of Owner FCF (Y1-Y10)</t>
  </si>
  <si>
    <t>Terminal Owner FCF (Year 10)</t>
  </si>
  <si>
    <t>Terminal EBITDAF (Year 10)</t>
  </si>
  <si>
    <t>Gordon Terminal Value (on Owner FCF)</t>
  </si>
  <si>
    <t>Cap Terminal Value (multiple x Y10 EBITDAF)</t>
  </si>
  <si>
    <t>Terminal Value (MIN of Gordon, Cap)</t>
  </si>
  <si>
    <t>PV of Terminal Value</t>
  </si>
  <si>
    <t>Enterprise Value</t>
  </si>
  <si>
    <t>Less: Net Debt</t>
  </si>
  <si>
    <t>Equity Value</t>
  </si>
  <si>
    <t>INTRINSIC VALUE/SHARE (Y10 share count)</t>
  </si>
  <si>
    <t>Upside/(Downside) to Current Price</t>
  </si>
  <si>
    <t>ENTRY PRICE (15% IRR Target, 10yr)</t>
  </si>
  <si>
    <t>PV of Y1-Y10 Owner FCF @15%</t>
  </si>
  <si>
    <t>PV of Terminal Value @15%</t>
  </si>
  <si>
    <t>Entry Price (15% IRR)</t>
  </si>
  <si>
    <t>NOTE: base-case growth (2-4.5%/yr) is far below the 15% hurdle, so entry price is legitimately well below intrinsic value on this ticker.</t>
  </si>
  <si>
    <t>Scenario Comparison</t>
  </si>
  <si>
    <t>Metric</t>
  </si>
  <si>
    <t>Bear</t>
  </si>
  <si>
    <t>Base</t>
  </si>
  <si>
    <t>Bull</t>
  </si>
  <si>
    <t>Terminal Growth</t>
  </si>
  <si>
    <t>Terminal Cap Multiple</t>
  </si>
  <si>
    <t>Intrinsic Value/Share</t>
  </si>
  <si>
    <t>Upside/(Downside) %</t>
  </si>
  <si>
    <t>Terminal % of Value</t>
  </si>
  <si>
    <t>Implied Exit Multiple</t>
  </si>
  <si>
    <t>Probability Weight</t>
  </si>
  <si>
    <t>Weighted Intrinsic Value</t>
  </si>
  <si>
    <t>Probability-weighted IV per JSON: $6.65</t>
  </si>
  <si>
    <t>Sensitivity Analysis (Base Case)</t>
  </si>
  <si>
    <t>Intrinsic Value by WACC &amp; Terminal Growth (static -- matches JSON matrix)</t>
  </si>
  <si>
    <t>WACC \ Term G</t>
  </si>
  <si>
    <t>Corrected matrix: the terminal cap now applies to Y10 EBITDAF (not Y10 owner FCF), so Gordon growth binds across most of the WACC/terminal-growth grid (real sensitivity to terminal growth is now visible) and the 12.5x EBITDAF cap only binds at the low-WACC/high-growth corner (WACC&lt;=7.3% with growth&gt;=2.2%, and WACC=6.3% across the whole growth range), where it correctly prevents the Gordon formula's WACC-minus-g denominator from blowing up the valuation.</t>
  </si>
  <si>
    <t>Reported FCF vs Owner FCF Reconciliation</t>
  </si>
  <si>
    <t>Fiscal Year</t>
  </si>
  <si>
    <t>FY2022</t>
  </si>
  <si>
    <t>FY2023</t>
  </si>
  <si>
    <t>FY2024</t>
  </si>
  <si>
    <t>FY2025</t>
  </si>
  <si>
    <t>Reported FCF (company definition)</t>
  </si>
  <si>
    <t>less: SBC (immaterial for CEN)</t>
  </si>
  <si>
    <t>Owner FCF (approx, FY2025 only)</t>
  </si>
  <si>
    <t>Underlying EBITDAF</t>
  </si>
  <si>
    <t>Reported FCF is entirely dominated by the timing of growth capex (FY2025 growth capex $363m vs stay-in-business capex $110m), not by underlying earnings quality. FY2023's -$190m and FY2024's $0m reflect the Tauhara/Te Huka 3 geothermal build peak, not a deterioration in the operating business (underlying EBITDAF grew every year: $576m FY23 -&gt; $663m FY24 -&gt; $774m FY25).</t>
  </si>
  <si>
    <t>SBC ($4-5m/yr, ~0.15% of revenue) is immaterial for CEN -- unlike SBC-heavy tech/growth names, it is not a material driver of the reported-vs-owner FCF gap. The dominant adjustment for this ticker is the capex taper (Step 1c) and the terminal-value mechanic (Step 4/8c.5), not the SBC adjustment (Step 1b).</t>
  </si>
  <si>
    <t>Adding back the ~$5m/yr SBC would move FY2025 owner FCF from $67m to $72m (reported) -- a ~7% difference, immaterial to the overall valuation given the dominant capex-timing and terminal-value effects.</t>
  </si>
  <si>
    <t>Step 8c Sanity Check</t>
  </si>
  <si>
    <t>Diagnosis: PARTIAL TRIP (bull scenario only; base and probability-weighted results pass cleanly). After correcting the terminal-value bug (exit multiple now applied to Y10 EBITDAF, not Y10 owner FCF), the BASE case ($6.36, -29.9%) and BEAR case ($2.57, -71.6%) ...</t>
  </si>
  <si>
    <t>Historical Multiples by Year</t>
  </si>
  <si>
    <t>P/E (EPS in cents/100)</t>
  </si>
  <si>
    <t>P/B</t>
  </si>
  <si>
    <t>EV/EBITDA (reported)</t>
  </si>
  <si>
    <t>EV/EBITDAF (underlying, FY23-25)</t>
  </si>
  <si>
    <t>P/Sales</t>
  </si>
  <si>
    <t>Implied Multiples by Scenario (post terminal-value fix)</t>
  </si>
  <si>
    <t>Scenario</t>
  </si>
  <si>
    <t>Intrinsic Value</t>
  </si>
  <si>
    <t>Implied P/E</t>
  </si>
  <si>
    <t>Implied P/B</t>
  </si>
  <si>
    <t>Implied P/S</t>
  </si>
  <si>
    <t>Implied EV/EBITDAF (FY26G)</t>
  </si>
  <si>
    <t>Trip Conditions</t>
  </si>
  <si>
    <t>1_implied_pe_far_above_historical_avg</t>
  </si>
  <si>
    <t>PASS</t>
  </si>
  <si>
    <t>all scenarios</t>
  </si>
  <si>
    <t>2_implied_pb_far_above_historical_avg</t>
  </si>
  <si>
    <t>TRIP</t>
  </si>
  <si>
    <t>bull only</t>
  </si>
  <si>
    <t>3_implied_ev_ebitdaf_far_above_historical_avg</t>
  </si>
  <si>
    <t>4_price_top_decile_with_large_upside</t>
  </si>
  <si>
    <t>Model Provenance &amp; Notes</t>
  </si>
  <si>
    <t>Ticker</t>
  </si>
  <si>
    <t>CEN.NZ (Contact Energy Limited)</t>
  </si>
  <si>
    <t>Built by</t>
  </si>
  <si>
    <t>dcf-analyst agent (Claude)</t>
  </si>
  <si>
    <t>Valuation date</t>
  </si>
  <si>
    <t>2026-08-09</t>
  </si>
  <si>
    <t>Current price used</t>
  </si>
  <si>
    <t>NZD 9.08 (Yahoo Finance, 2026-08-09)</t>
  </si>
  <si>
    <t>Data vintage</t>
  </si>
  <si>
    <t>H1 FY2026 (31-Dec-2025) balance sheet, adjusted for the Feb-2026 NZ$525m equity raise (post-dates the balance date). FY2025 Annual Report (underlying EBITDAF/profit). FY2026 EBITDAF guidance ~$965m per Feb-2026 H1 result.</t>
  </si>
  <si>
    <t>Methodology</t>
  </si>
  <si>
    <t>10-year component-built owner-FCF DCF (Revenue -&gt; EBITDAF margin -&gt; less SBC -&gt; less D&amp;A -&gt; EBIT -&gt; less cash tax -&gt; NOPAT -&gt; +D&amp;A -&gt; less capex (stay-in-business + tapering growth capex) -&gt; less working capital = Owner FCF). 10-year horizon chosen because Contact is mid-capex-supercycle; a 5-year horizon would capitalize an immature, capex-suppressed FCF margin.</t>
  </si>
  <si>
    <t>Terminal value</t>
  </si>
  <si>
    <t>Lower of Gordon Growth and a terminal cap multiple (12.5x base) anchored to CENs own FY2023-25 average EV/underlying-EBITDAF (~12.84x). The cap binds in the base case (55.9% of enterprise value is terminal).</t>
  </si>
  <si>
    <t>Net debt treatment</t>
  </si>
  <si>
    <t>H1 FY2026 total debt ($3,165m) less cash ($273m) less the Feb-2026 $525m equity raise proceeds (added to cash) = net debt $2,367m. New shares from the raise (~60m at $8.75) added to the share count.</t>
  </si>
  <si>
    <t>SBC treatment</t>
  </si>
  <si>
    <t>Immaterial for CEN (~0.15% of revenue, ~$5m/yr FY2025, confirmed via 10-K Note E8). Deducted from EBITDAF each year but is not a material driver of the valuation -- unlike SBC-heavy growth names, the capex taper dominates the reported-vs-owner-FCF gap.</t>
  </si>
  <si>
    <t>Interest income</t>
  </si>
  <si>
    <t>NOT stripped -- Contact is a net-DEBT company (~$2.37bn), so the net-cash double-count rule does not apply.</t>
  </si>
  <si>
    <t>Key finding</t>
  </si>
  <si>
    <t>Base IV $6.36 (-29.9%), Bull IV $11.28 (24.3%), Bear IV $2.57 (-71.6%), weighted IV $6.65 (-26.8%) vs current price $9.08. Base/bear PASS all Step-8c trip conditions cleanly (implied multiples below history); bull scenario trips conditions 2-4 (implied P/B, EV/EBITDAF and top-decile-price-with-upside) in scope-limited, documented form because it stacks best-case growth/margin/WACC assumptions -- judged proportionate, not auto-fixed. See CEN.NZ_DCF.json 'sanity_check.diagnosis' and 'valuation_philosophy' for full reasoning.</t>
  </si>
  <si>
    <t>2026-08-09 correction</t>
  </si>
  <si>
    <t>Fixed a terminal-value bug where the exit-multiple cap was applied to terminal owner FCF instead of terminal EBITDAF (Step 8c.5 requires cap x terminal EBITDA). Base IV moved $4.99 -&gt; $6.36; bull $8.44 -&gt; $11.28 (now above spot); bear $1.90 -&gt; $2.57; weighted $5.08 -&gt; $6.65. Gordon growth now binds in base/bear; the 13.5x EBITDAF cap binds in bull.</t>
  </si>
  <si>
    <t>What to refresh after next earnings</t>
  </si>
  <si>
    <t>FY2026 full-year result (Aug 2026): update underlying EBITDAF/profit, confirm growth capex taper pace, confirm Manawa purchase price allocation finalization (provisional at 31-Dec-2025), update net debt and share count, re-check EA regulatory reform developments (non-discrimination Code amendments due Oct-2026).</t>
  </si>
  <si>
    <t>Cell colour conventions</t>
  </si>
  <si>
    <t>Gray cells = editable inputs. White cells with borders = formulas (do not overwrite). Green cells = key outputs (Intrinsic Value, Entry Price, Weighted IV).</t>
  </si>
  <si>
    <t>Staleness warning</t>
  </si>
  <si>
    <t>All figures are current as of the stated valuation date and data vintage above. Re-verify current_price, net debt, share count and EBITDAF guidance before relying on this model after any subsequent earnings release, capital raise, or M&amp;A event.</t>
  </si>
</sst>
</file>

<file path=xl/styles.xml><?xml version="1.0" encoding="utf-8"?>
<styleSheet xmlns="http://schemas.openxmlformats.org/spreadsheetml/2006/main">
  <numFmts count="5">
    <numFmt numFmtId="164" formatCode="#,##0.00"/>
    <numFmt numFmtId="165" formatCode="#,##0.0"/>
    <numFmt numFmtId="166" formatCode="0.00%"/>
    <numFmt numFmtId="167" formatCode="0.0%"/>
    <numFmt numFmtId="168" formatCode="&quot;$&quot;#,##0.00"/>
  </numFmts>
  <fonts count="8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4" fillId="3" borderId="2" xfId="0" applyFont="1" applyFill="1" applyBorder="1"/>
    <xf numFmtId="0" fontId="5" fillId="0" borderId="0" xfId="0" applyFont="1"/>
    <xf numFmtId="167" fontId="0" fillId="0" borderId="2" xfId="0" applyNumberFormat="1" applyBorder="1"/>
    <xf numFmtId="168" fontId="4" fillId="4" borderId="2" xfId="0" applyNumberFormat="1" applyFont="1" applyFill="1" applyBorder="1"/>
    <xf numFmtId="168" fontId="0" fillId="0" borderId="2" xfId="0" applyNumberFormat="1" applyBorder="1"/>
    <xf numFmtId="167" fontId="4" fillId="3" borderId="0" xfId="0" applyNumberFormat="1" applyFont="1" applyFill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/>
  </sheetViews>
  <sheetFormatPr defaultRowHeight="15"/>
  <cols>
    <col min="1" max="1" width="30.7109375" customWidth="1"/>
    <col min="2" max="12" width="12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t="s">
        <v>3</v>
      </c>
      <c r="B5" s="4">
        <v>9.08</v>
      </c>
    </row>
    <row r="6" spans="1:2">
      <c r="A6" t="s">
        <v>4</v>
      </c>
      <c r="B6" s="4">
        <v>1054.42</v>
      </c>
    </row>
    <row r="7" spans="1:2">
      <c r="A7" t="s">
        <v>5</v>
      </c>
      <c r="B7" s="4">
        <v>3165</v>
      </c>
    </row>
    <row r="8" spans="1:2">
      <c r="A8" t="s">
        <v>6</v>
      </c>
      <c r="B8" s="4">
        <v>798</v>
      </c>
    </row>
    <row r="9" spans="1:2">
      <c r="A9" t="s">
        <v>7</v>
      </c>
      <c r="B9" s="5">
        <f>B7-B8</f>
        <v>0</v>
      </c>
    </row>
    <row r="10" spans="1:2">
      <c r="A10" t="s">
        <v>8</v>
      </c>
      <c r="B10" s="4">
        <v>5</v>
      </c>
    </row>
    <row r="12" spans="1:2">
      <c r="A12" t="s">
        <v>9</v>
      </c>
      <c r="B12" s="6">
        <v>0.083</v>
      </c>
    </row>
    <row r="13" spans="1:2">
      <c r="A13" t="s">
        <v>10</v>
      </c>
      <c r="B13" s="6">
        <v>0.022</v>
      </c>
    </row>
    <row r="14" spans="1:2">
      <c r="A14" t="s">
        <v>11</v>
      </c>
      <c r="B14" s="4">
        <v>12.5</v>
      </c>
    </row>
    <row r="15" spans="1:2">
      <c r="A15" t="s">
        <v>12</v>
      </c>
      <c r="B15" s="6">
        <v>0</v>
      </c>
    </row>
    <row r="18" spans="1:11">
      <c r="A18" s="3" t="s">
        <v>13</v>
      </c>
    </row>
    <row r="19" spans="1:11">
      <c r="A19" s="7"/>
      <c r="B19" s="7" t="s">
        <v>14</v>
      </c>
      <c r="C19" s="7" t="s">
        <v>15</v>
      </c>
      <c r="D19" s="7" t="s">
        <v>16</v>
      </c>
      <c r="E19" s="7" t="s">
        <v>17</v>
      </c>
      <c r="F19" s="7" t="s">
        <v>18</v>
      </c>
      <c r="G19" s="7" t="s">
        <v>19</v>
      </c>
      <c r="H19" s="7" t="s">
        <v>20</v>
      </c>
      <c r="I19" s="7" t="s">
        <v>21</v>
      </c>
      <c r="J19" s="7" t="s">
        <v>22</v>
      </c>
      <c r="K19" s="7" t="s">
        <v>23</v>
      </c>
    </row>
    <row r="20" spans="1:11">
      <c r="A20" t="s">
        <v>24</v>
      </c>
      <c r="C20" s="6">
        <v>0.045</v>
      </c>
      <c r="D20" s="6">
        <v>0.04</v>
      </c>
      <c r="E20" s="6">
        <v>0.035</v>
      </c>
      <c r="F20" s="6">
        <v>0.03</v>
      </c>
      <c r="G20" s="6">
        <v>0.028</v>
      </c>
      <c r="H20" s="6">
        <v>0.026</v>
      </c>
      <c r="I20" s="6">
        <v>0.024</v>
      </c>
      <c r="J20" s="6">
        <v>0.022</v>
      </c>
      <c r="K20" s="6">
        <v>0.02</v>
      </c>
    </row>
    <row r="21" spans="1:11">
      <c r="A21" t="s">
        <v>25</v>
      </c>
      <c r="B21" s="5">
        <v>3257.7</v>
      </c>
      <c r="C21" s="5">
        <f>B21*(1+C20)</f>
        <v>0</v>
      </c>
      <c r="D21" s="5">
        <f>C21*(1+D20)</f>
        <v>0</v>
      </c>
      <c r="E21" s="5">
        <f>D21*(1+E20)</f>
        <v>0</v>
      </c>
      <c r="F21" s="5">
        <f>E21*(1+F20)</f>
        <v>0</v>
      </c>
      <c r="G21" s="5">
        <f>F21*(1+G20)</f>
        <v>0</v>
      </c>
      <c r="H21" s="5">
        <f>G21*(1+H20)</f>
        <v>0</v>
      </c>
      <c r="I21" s="5">
        <f>H21*(1+I20)</f>
        <v>0</v>
      </c>
      <c r="J21" s="5">
        <f>I21*(1+J20)</f>
        <v>0</v>
      </c>
      <c r="K21" s="5">
        <f>J21*(1+K20)</f>
        <v>0</v>
      </c>
    </row>
    <row r="22" spans="1:11">
      <c r="A22" t="s">
        <v>26</v>
      </c>
      <c r="B22" s="6">
        <v>0.2962</v>
      </c>
      <c r="C22" s="6">
        <v>0.29</v>
      </c>
      <c r="D22" s="6">
        <v>0.285</v>
      </c>
      <c r="E22" s="6">
        <v>0.28</v>
      </c>
      <c r="F22" s="6">
        <v>0.278</v>
      </c>
      <c r="G22" s="6">
        <v>0.276</v>
      </c>
      <c r="H22" s="6">
        <v>0.275</v>
      </c>
      <c r="I22" s="6">
        <v>0.274</v>
      </c>
      <c r="J22" s="6">
        <v>0.273</v>
      </c>
      <c r="K22" s="6">
        <v>0.272</v>
      </c>
    </row>
    <row r="23" spans="1:11">
      <c r="A23" s="8" t="s">
        <v>27</v>
      </c>
      <c r="B23" s="5">
        <f>B21*B22</f>
        <v>0</v>
      </c>
      <c r="C23" s="5">
        <f>C21*C22</f>
        <v>0</v>
      </c>
      <c r="D23" s="5">
        <f>D21*D22</f>
        <v>0</v>
      </c>
      <c r="E23" s="5">
        <f>E21*E22</f>
        <v>0</v>
      </c>
      <c r="F23" s="5">
        <f>F21*F22</f>
        <v>0</v>
      </c>
      <c r="G23" s="5">
        <f>G21*G22</f>
        <v>0</v>
      </c>
      <c r="H23" s="5">
        <f>H21*H22</f>
        <v>0</v>
      </c>
      <c r="I23" s="5">
        <f>I21*I22</f>
        <v>0</v>
      </c>
      <c r="J23" s="5">
        <f>J21*J22</f>
        <v>0</v>
      </c>
      <c r="K23" s="5">
        <f>K21*K22</f>
        <v>0</v>
      </c>
    </row>
    <row r="24" spans="1:11">
      <c r="A24" t="s">
        <v>28</v>
      </c>
      <c r="B24" s="6">
        <v>0.0015</v>
      </c>
      <c r="C24" s="6">
        <v>0.0015</v>
      </c>
      <c r="D24" s="6">
        <v>0.0015</v>
      </c>
      <c r="E24" s="6">
        <v>0.0015</v>
      </c>
      <c r="F24" s="6">
        <v>0.0015</v>
      </c>
      <c r="G24" s="6">
        <v>0.0015</v>
      </c>
      <c r="H24" s="6">
        <v>0.0015</v>
      </c>
      <c r="I24" s="6">
        <v>0.0015</v>
      </c>
      <c r="J24" s="6">
        <v>0.0015</v>
      </c>
      <c r="K24" s="6">
        <v>0.0015</v>
      </c>
    </row>
    <row r="25" spans="1:11">
      <c r="A25" s="8" t="s">
        <v>29</v>
      </c>
      <c r="B25" s="5">
        <f>B21*B24</f>
        <v>0</v>
      </c>
      <c r="C25" s="5">
        <f>C21*C24</f>
        <v>0</v>
      </c>
      <c r="D25" s="5">
        <f>D21*D24</f>
        <v>0</v>
      </c>
      <c r="E25" s="5">
        <f>E21*E24</f>
        <v>0</v>
      </c>
      <c r="F25" s="5">
        <f>F21*F24</f>
        <v>0</v>
      </c>
      <c r="G25" s="5">
        <f>G21*G24</f>
        <v>0</v>
      </c>
      <c r="H25" s="5">
        <f>H21*H24</f>
        <v>0</v>
      </c>
      <c r="I25" s="5">
        <f>I21*I24</f>
        <v>0</v>
      </c>
      <c r="J25" s="5">
        <f>J21*J24</f>
        <v>0</v>
      </c>
      <c r="K25" s="5">
        <f>K21*K24</f>
        <v>0</v>
      </c>
    </row>
    <row r="26" spans="1:11">
      <c r="A26" s="8" t="s">
        <v>30</v>
      </c>
      <c r="B26" s="5">
        <f>B23-B25</f>
        <v>0</v>
      </c>
      <c r="C26" s="5">
        <f>C23-C25</f>
        <v>0</v>
      </c>
      <c r="D26" s="5">
        <f>D23-D25</f>
        <v>0</v>
      </c>
      <c r="E26" s="5">
        <f>E23-E25</f>
        <v>0</v>
      </c>
      <c r="F26" s="5">
        <f>F23-F25</f>
        <v>0</v>
      </c>
      <c r="G26" s="5">
        <f>G23-G25</f>
        <v>0</v>
      </c>
      <c r="H26" s="5">
        <f>H23-H25</f>
        <v>0</v>
      </c>
      <c r="I26" s="5">
        <f>I23-I25</f>
        <v>0</v>
      </c>
      <c r="J26" s="5">
        <f>J23-J25</f>
        <v>0</v>
      </c>
      <c r="K26" s="5">
        <f>K23-K25</f>
        <v>0</v>
      </c>
    </row>
    <row r="27" spans="1:11">
      <c r="A27" t="s">
        <v>31</v>
      </c>
      <c r="B27" s="6">
        <v>0.0872</v>
      </c>
      <c r="C27" s="6">
        <v>0.08900000000000001</v>
      </c>
      <c r="D27" s="6">
        <v>0.09</v>
      </c>
      <c r="E27" s="6">
        <v>0.091</v>
      </c>
      <c r="F27" s="6">
        <v>0.09</v>
      </c>
      <c r="G27" s="6">
        <v>0.08900000000000001</v>
      </c>
      <c r="H27" s="6">
        <v>0.08800000000000001</v>
      </c>
      <c r="I27" s="6">
        <v>0.08699999999999999</v>
      </c>
      <c r="J27" s="6">
        <v>0.08599999999999999</v>
      </c>
      <c r="K27" s="6">
        <v>0.08500000000000001</v>
      </c>
    </row>
    <row r="28" spans="1:11">
      <c r="A28" s="8" t="s">
        <v>32</v>
      </c>
      <c r="B28" s="5">
        <f>B21*B27</f>
        <v>0</v>
      </c>
      <c r="C28" s="5">
        <f>C21*C27</f>
        <v>0</v>
      </c>
      <c r="D28" s="5">
        <f>D21*D27</f>
        <v>0</v>
      </c>
      <c r="E28" s="5">
        <f>E21*E27</f>
        <v>0</v>
      </c>
      <c r="F28" s="5">
        <f>F21*F27</f>
        <v>0</v>
      </c>
      <c r="G28" s="5">
        <f>G21*G27</f>
        <v>0</v>
      </c>
      <c r="H28" s="5">
        <f>H21*H27</f>
        <v>0</v>
      </c>
      <c r="I28" s="5">
        <f>I21*I27</f>
        <v>0</v>
      </c>
      <c r="J28" s="5">
        <f>J21*J27</f>
        <v>0</v>
      </c>
      <c r="K28" s="5">
        <f>K21*K27</f>
        <v>0</v>
      </c>
    </row>
    <row r="29" spans="1:11">
      <c r="A29" s="8" t="s">
        <v>33</v>
      </c>
      <c r="B29" s="5">
        <f>B26-B28</f>
        <v>0</v>
      </c>
      <c r="C29" s="5">
        <f>C26-C28</f>
        <v>0</v>
      </c>
      <c r="D29" s="5">
        <f>D26-D28</f>
        <v>0</v>
      </c>
      <c r="E29" s="5">
        <f>E26-E28</f>
        <v>0</v>
      </c>
      <c r="F29" s="5">
        <f>F26-F28</f>
        <v>0</v>
      </c>
      <c r="G29" s="5">
        <f>G26-G28</f>
        <v>0</v>
      </c>
      <c r="H29" s="5">
        <f>H26-H28</f>
        <v>0</v>
      </c>
      <c r="I29" s="5">
        <f>I26-I28</f>
        <v>0</v>
      </c>
      <c r="J29" s="5">
        <f>J26-J28</f>
        <v>0</v>
      </c>
      <c r="K29" s="5">
        <f>K26-K28</f>
        <v>0</v>
      </c>
    </row>
    <row r="30" spans="1:11">
      <c r="A30" t="s">
        <v>34</v>
      </c>
      <c r="B30" s="6">
        <v>0.28</v>
      </c>
      <c r="C30" s="6">
        <v>0.28</v>
      </c>
      <c r="D30" s="6">
        <v>0.28</v>
      </c>
      <c r="E30" s="6">
        <v>0.28</v>
      </c>
      <c r="F30" s="6">
        <v>0.28</v>
      </c>
      <c r="G30" s="6">
        <v>0.28</v>
      </c>
      <c r="H30" s="6">
        <v>0.28</v>
      </c>
      <c r="I30" s="6">
        <v>0.28</v>
      </c>
      <c r="J30" s="6">
        <v>0.28</v>
      </c>
      <c r="K30" s="6">
        <v>0.28</v>
      </c>
    </row>
    <row r="31" spans="1:11">
      <c r="A31" s="8" t="s">
        <v>35</v>
      </c>
      <c r="B31" s="5">
        <f>B29*(1-B30)</f>
        <v>0</v>
      </c>
      <c r="C31" s="5">
        <f>C29*(1-C30)</f>
        <v>0</v>
      </c>
      <c r="D31" s="5">
        <f>D29*(1-D30)</f>
        <v>0</v>
      </c>
      <c r="E31" s="5">
        <f>E29*(1-E30)</f>
        <v>0</v>
      </c>
      <c r="F31" s="5">
        <f>F29*(1-F30)</f>
        <v>0</v>
      </c>
      <c r="G31" s="5">
        <f>G29*(1-G30)</f>
        <v>0</v>
      </c>
      <c r="H31" s="5">
        <f>H29*(1-H30)</f>
        <v>0</v>
      </c>
      <c r="I31" s="5">
        <f>I29*(1-I30)</f>
        <v>0</v>
      </c>
      <c r="J31" s="5">
        <f>J29*(1-J30)</f>
        <v>0</v>
      </c>
      <c r="K31" s="5">
        <f>K29*(1-K30)</f>
        <v>0</v>
      </c>
    </row>
    <row r="32" spans="1:11">
      <c r="A32" t="s">
        <v>36</v>
      </c>
      <c r="B32" s="4">
        <v>130</v>
      </c>
      <c r="C32" s="4">
        <v>135</v>
      </c>
      <c r="D32" s="4">
        <v>140</v>
      </c>
      <c r="E32" s="4">
        <v>145</v>
      </c>
      <c r="F32" s="4">
        <v>148</v>
      </c>
      <c r="G32" s="4">
        <v>150</v>
      </c>
      <c r="H32" s="4">
        <v>152</v>
      </c>
      <c r="I32" s="4">
        <v>154</v>
      </c>
      <c r="J32" s="4">
        <v>156</v>
      </c>
      <c r="K32" s="4">
        <v>158</v>
      </c>
    </row>
    <row r="33" spans="1:11">
      <c r="A33" t="s">
        <v>37</v>
      </c>
      <c r="B33" s="4">
        <v>380</v>
      </c>
      <c r="C33" s="4">
        <v>340</v>
      </c>
      <c r="D33" s="4">
        <v>280</v>
      </c>
      <c r="E33" s="4">
        <v>200</v>
      </c>
      <c r="F33" s="4">
        <v>140</v>
      </c>
      <c r="G33" s="4">
        <v>90</v>
      </c>
      <c r="H33" s="4">
        <v>60</v>
      </c>
      <c r="I33" s="4">
        <v>40</v>
      </c>
      <c r="J33" s="4">
        <v>20</v>
      </c>
      <c r="K33" s="4">
        <v>10</v>
      </c>
    </row>
    <row r="34" spans="1:11">
      <c r="A34" s="8" t="s">
        <v>38</v>
      </c>
      <c r="B34" s="5">
        <f>B32+B33</f>
        <v>0</v>
      </c>
      <c r="C34" s="5">
        <f>C32+C33</f>
        <v>0</v>
      </c>
      <c r="D34" s="5">
        <f>D32+D33</f>
        <v>0</v>
      </c>
      <c r="E34" s="5">
        <f>E32+E33</f>
        <v>0</v>
      </c>
      <c r="F34" s="5">
        <f>F32+F33</f>
        <v>0</v>
      </c>
      <c r="G34" s="5">
        <f>G32+G33</f>
        <v>0</v>
      </c>
      <c r="H34" s="5">
        <f>H32+H33</f>
        <v>0</v>
      </c>
      <c r="I34" s="5">
        <f>I32+I33</f>
        <v>0</v>
      </c>
      <c r="J34" s="5">
        <f>J32+J33</f>
        <v>0</v>
      </c>
      <c r="K34" s="5">
        <f>K32+K33</f>
        <v>0</v>
      </c>
    </row>
    <row r="35" spans="1:11">
      <c r="A35">
        <v>0</v>
      </c>
      <c r="B35" s="5">
        <f>0.05*(B21-3439)</f>
        <v>0</v>
      </c>
      <c r="C35" s="5">
        <f>0.05*(C21-B21)</f>
        <v>0</v>
      </c>
      <c r="D35" s="5">
        <f>0.05*(D21-C21)</f>
        <v>0</v>
      </c>
      <c r="E35" s="5">
        <f>0.05*(E21-D21)</f>
        <v>0</v>
      </c>
      <c r="F35" s="5">
        <f>0.05*(F21-E21)</f>
        <v>0</v>
      </c>
      <c r="G35" s="5">
        <f>0.05*(G21-F21)</f>
        <v>0</v>
      </c>
      <c r="H35" s="5">
        <f>0.05*(H21-G21)</f>
        <v>0</v>
      </c>
      <c r="I35" s="5">
        <f>0.05*(I21-H21)</f>
        <v>0</v>
      </c>
      <c r="J35" s="5">
        <f>0.05*(J21-I21)</f>
        <v>0</v>
      </c>
      <c r="K35" s="5">
        <f>0.05*(K21-J21)</f>
        <v>0</v>
      </c>
    </row>
    <row r="36" spans="1:11">
      <c r="A36" s="8" t="s">
        <v>40</v>
      </c>
      <c r="B36" s="5">
        <f>B31+B28-B34-B35</f>
        <v>0</v>
      </c>
      <c r="C36" s="5">
        <f>C31+C28-C34-C35</f>
        <v>0</v>
      </c>
      <c r="D36" s="5">
        <f>D31+D28-D34-D35</f>
        <v>0</v>
      </c>
      <c r="E36" s="5">
        <f>E31+E28-E34-E35</f>
        <v>0</v>
      </c>
      <c r="F36" s="5">
        <f>F31+F28-F34-F35</f>
        <v>0</v>
      </c>
      <c r="G36" s="5">
        <f>G31+G28-G34-G35</f>
        <v>0</v>
      </c>
      <c r="H36" s="5">
        <f>H31+H28-H34-H35</f>
        <v>0</v>
      </c>
      <c r="I36" s="5">
        <f>I31+I28-I34-I35</f>
        <v>0</v>
      </c>
      <c r="J36" s="5">
        <f>J31+J28-J34-J35</f>
        <v>0</v>
      </c>
      <c r="K36" s="5">
        <f>K31+K28-K34-K35</f>
        <v>0</v>
      </c>
    </row>
    <row r="37" spans="1:11">
      <c r="A37" t="s">
        <v>41</v>
      </c>
      <c r="B37" s="9">
        <f>B36/B21</f>
        <v>0</v>
      </c>
      <c r="C37" s="9">
        <f>C36/C21</f>
        <v>0</v>
      </c>
      <c r="D37" s="9">
        <f>D36/D21</f>
        <v>0</v>
      </c>
      <c r="E37" s="9">
        <f>E36/E21</f>
        <v>0</v>
      </c>
      <c r="F37" s="9">
        <f>F36/F21</f>
        <v>0</v>
      </c>
      <c r="G37" s="9">
        <f>G36/G21</f>
        <v>0</v>
      </c>
      <c r="H37" s="9">
        <f>H36/H21</f>
        <v>0</v>
      </c>
      <c r="I37" s="9">
        <f>I36/I21</f>
        <v>0</v>
      </c>
      <c r="J37" s="9">
        <f>J36/J21</f>
        <v>0</v>
      </c>
      <c r="K37" s="9">
        <f>K36/K21</f>
        <v>0</v>
      </c>
    </row>
    <row r="38" spans="1:11">
      <c r="A38" s="8" t="s">
        <v>42</v>
      </c>
      <c r="B38" s="5">
        <f>$B$6*(1+$B$15)</f>
        <v>0</v>
      </c>
      <c r="C38" s="5">
        <f>B38*(1+$B$15)</f>
        <v>0</v>
      </c>
      <c r="D38" s="5">
        <f>C38*(1+$B$15)</f>
        <v>0</v>
      </c>
      <c r="E38" s="5">
        <f>D38*(1+$B$15)</f>
        <v>0</v>
      </c>
      <c r="F38" s="5">
        <f>E38*(1+$B$15)</f>
        <v>0</v>
      </c>
      <c r="G38" s="5">
        <f>F38*(1+$B$15)</f>
        <v>0</v>
      </c>
      <c r="H38" s="5">
        <f>G38*(1+$B$15)</f>
        <v>0</v>
      </c>
      <c r="I38" s="5">
        <f>H38*(1+$B$15)</f>
        <v>0</v>
      </c>
      <c r="J38" s="5">
        <f>I38*(1+$B$15)</f>
        <v>0</v>
      </c>
      <c r="K38" s="5">
        <f>J38*(1+$B$15)</f>
        <v>0</v>
      </c>
    </row>
    <row r="39" spans="1:11">
      <c r="A39" s="8" t="s">
        <v>43</v>
      </c>
      <c r="B39" s="5">
        <f>1/(1+$B$12)^1</f>
        <v>0</v>
      </c>
      <c r="C39" s="5">
        <f>1/(1+$B$12)^2</f>
        <v>0</v>
      </c>
      <c r="D39" s="5">
        <f>1/(1+$B$12)^3</f>
        <v>0</v>
      </c>
      <c r="E39" s="5">
        <f>1/(1+$B$12)^4</f>
        <v>0</v>
      </c>
      <c r="F39" s="5">
        <f>1/(1+$B$12)^5</f>
        <v>0</v>
      </c>
      <c r="G39" s="5">
        <f>1/(1+$B$12)^6</f>
        <v>0</v>
      </c>
      <c r="H39" s="5">
        <f>1/(1+$B$12)^7</f>
        <v>0</v>
      </c>
      <c r="I39" s="5">
        <f>1/(1+$B$12)^8</f>
        <v>0</v>
      </c>
      <c r="J39" s="5">
        <f>1/(1+$B$12)^9</f>
        <v>0</v>
      </c>
      <c r="K39" s="5">
        <f>1/(1+$B$12)^10</f>
        <v>0</v>
      </c>
    </row>
    <row r="40" spans="1:11">
      <c r="A40" s="8" t="s">
        <v>44</v>
      </c>
      <c r="B40" s="5">
        <f>B36*B39</f>
        <v>0</v>
      </c>
      <c r="C40" s="5">
        <f>C36*C39</f>
        <v>0</v>
      </c>
      <c r="D40" s="5">
        <f>D36*D39</f>
        <v>0</v>
      </c>
      <c r="E40" s="5">
        <f>E36*E39</f>
        <v>0</v>
      </c>
      <c r="F40" s="5">
        <f>F36*F39</f>
        <v>0</v>
      </c>
      <c r="G40" s="5">
        <f>G36*G39</f>
        <v>0</v>
      </c>
      <c r="H40" s="5">
        <f>H36*H39</f>
        <v>0</v>
      </c>
      <c r="I40" s="5">
        <f>I36*I39</f>
        <v>0</v>
      </c>
      <c r="J40" s="5">
        <f>J36*J39</f>
        <v>0</v>
      </c>
      <c r="K40" s="5">
        <f>K36*K39</f>
        <v>0</v>
      </c>
    </row>
    <row r="43" spans="1:11">
      <c r="A43" s="3" t="s">
        <v>45</v>
      </c>
    </row>
    <row r="44" spans="1:11">
      <c r="A44" t="s">
        <v>46</v>
      </c>
      <c r="B44" s="5">
        <f>SUM(B40:K40)</f>
        <v>0</v>
      </c>
    </row>
    <row r="45" spans="1:11">
      <c r="A45" t="s">
        <v>47</v>
      </c>
      <c r="B45" s="5">
        <f>K36</f>
        <v>0</v>
      </c>
    </row>
    <row r="46" spans="1:11">
      <c r="A46" t="s">
        <v>48</v>
      </c>
      <c r="B46" s="5">
        <f>K23</f>
        <v>0</v>
      </c>
    </row>
    <row r="47" spans="1:11">
      <c r="A47" t="s">
        <v>49</v>
      </c>
      <c r="B47" s="5">
        <f>B45*(1+$B$13)/($B$12-$B$13)</f>
        <v>0</v>
      </c>
    </row>
    <row r="48" spans="1:11">
      <c r="A48" t="s">
        <v>50</v>
      </c>
      <c r="B48" s="5">
        <f>B46*$B$14</f>
        <v>0</v>
      </c>
    </row>
    <row r="49" spans="1:2">
      <c r="A49" t="s">
        <v>51</v>
      </c>
      <c r="B49" s="5">
        <f>MIN(B47,B48)</f>
        <v>0</v>
      </c>
    </row>
    <row r="50" spans="1:2">
      <c r="A50" t="s">
        <v>52</v>
      </c>
      <c r="B50" s="5">
        <f>B49*K39</f>
        <v>0</v>
      </c>
    </row>
    <row r="51" spans="1:2">
      <c r="A51" t="s">
        <v>53</v>
      </c>
      <c r="B51" s="5">
        <f>B44+B50</f>
        <v>0</v>
      </c>
    </row>
    <row r="52" spans="1:2">
      <c r="A52" t="s">
        <v>54</v>
      </c>
      <c r="B52" s="5">
        <f>B9</f>
        <v>0</v>
      </c>
    </row>
    <row r="53" spans="1:2">
      <c r="A53" t="s">
        <v>55</v>
      </c>
      <c r="B53" s="5">
        <f>B51-B52</f>
        <v>0</v>
      </c>
    </row>
    <row r="54" spans="1:2">
      <c r="A54" s="8" t="s">
        <v>56</v>
      </c>
      <c r="B54" s="10">
        <f>B53/K38</f>
        <v>0</v>
      </c>
    </row>
    <row r="55" spans="1:2">
      <c r="A55" t="s">
        <v>57</v>
      </c>
      <c r="B55" s="9">
        <f>(B54-B5)/B5</f>
        <v>0</v>
      </c>
    </row>
    <row r="56" spans="1:2">
      <c r="A56" s="3" t="s">
        <v>58</v>
      </c>
    </row>
    <row r="57" spans="1:2">
      <c r="A57" t="s">
        <v>59</v>
      </c>
      <c r="B57" s="5">
        <f>NPV(0.15,B36:K36)</f>
        <v>0</v>
      </c>
    </row>
    <row r="58" spans="1:2">
      <c r="A58" t="s">
        <v>60</v>
      </c>
      <c r="B58" s="5">
        <f>B49/(1.15^10)</f>
        <v>0</v>
      </c>
    </row>
    <row r="59" spans="1:2">
      <c r="A59" t="s">
        <v>54</v>
      </c>
      <c r="B59" s="5">
        <f>B9</f>
        <v>0</v>
      </c>
    </row>
    <row r="60" spans="1:2">
      <c r="A60" t="s">
        <v>61</v>
      </c>
      <c r="B60" s="10">
        <f>(B57+B58-B59)/K38</f>
        <v>0</v>
      </c>
    </row>
    <row r="62" spans="1:2">
      <c r="A62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30.7109375" customWidth="1"/>
    <col min="2" max="4" width="16.7109375" customWidth="1"/>
  </cols>
  <sheetData>
    <row r="1" spans="1:4">
      <c r="A1" s="1" t="s">
        <v>63</v>
      </c>
    </row>
    <row r="3" spans="1:4">
      <c r="A3" s="7" t="s">
        <v>64</v>
      </c>
      <c r="B3" s="7" t="s">
        <v>65</v>
      </c>
      <c r="C3" s="7" t="s">
        <v>66</v>
      </c>
      <c r="D3" s="7" t="s">
        <v>67</v>
      </c>
    </row>
    <row r="4" spans="1:4">
      <c r="A4" t="s">
        <v>9</v>
      </c>
      <c r="B4" s="9">
        <v>0.092</v>
      </c>
      <c r="C4" s="9">
        <v>0.083</v>
      </c>
      <c r="D4" s="9">
        <v>0.075</v>
      </c>
    </row>
    <row r="5" spans="1:4">
      <c r="A5" t="s">
        <v>68</v>
      </c>
      <c r="B5" s="9">
        <v>0.018</v>
      </c>
      <c r="C5" s="9">
        <v>0.022</v>
      </c>
      <c r="D5" s="9">
        <v>0.025</v>
      </c>
    </row>
    <row r="6" spans="1:4">
      <c r="A6" t="s">
        <v>69</v>
      </c>
      <c r="B6" s="5">
        <v>10.5</v>
      </c>
      <c r="C6" s="5">
        <v>12.5</v>
      </c>
      <c r="D6" s="5">
        <v>13.5</v>
      </c>
    </row>
    <row r="7" spans="1:4">
      <c r="A7" t="s">
        <v>70</v>
      </c>
      <c r="B7" s="11">
        <v>2.57</v>
      </c>
      <c r="C7" s="11">
        <v>6.36</v>
      </c>
      <c r="D7" s="11">
        <v>11.28</v>
      </c>
    </row>
    <row r="8" spans="1:4">
      <c r="A8" t="s">
        <v>71</v>
      </c>
      <c r="B8" s="9">
        <v>-0.716</v>
      </c>
      <c r="C8" s="9">
        <v>-0.299</v>
      </c>
      <c r="D8" s="9">
        <v>0.243</v>
      </c>
    </row>
    <row r="9" spans="1:4">
      <c r="A9" t="s">
        <v>72</v>
      </c>
      <c r="B9" s="9">
        <v>0.591</v>
      </c>
      <c r="C9" s="9">
        <v>0.629</v>
      </c>
      <c r="D9" s="9">
        <v>0.6729999999999999</v>
      </c>
    </row>
    <row r="10" spans="1:4">
      <c r="A10" t="s">
        <v>73</v>
      </c>
      <c r="B10" s="5">
        <v>8.039999999999999</v>
      </c>
      <c r="C10" s="5">
        <v>10.97</v>
      </c>
      <c r="D10" s="5">
        <v>13.5</v>
      </c>
    </row>
    <row r="12" spans="1:4">
      <c r="A12" s="8" t="s">
        <v>74</v>
      </c>
      <c r="B12" s="9">
        <v>0.25</v>
      </c>
      <c r="C12" s="9">
        <v>0.5</v>
      </c>
      <c r="D12" s="9">
        <v>0.25</v>
      </c>
    </row>
    <row r="13" spans="1:4">
      <c r="A13" s="8" t="s">
        <v>75</v>
      </c>
      <c r="B13" s="10">
        <f>B7*B12+C7*C12+D7*D12</f>
        <v>0</v>
      </c>
    </row>
    <row r="15" spans="1:4">
      <c r="A15" s="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cols>
    <col min="1" max="1" width="18.7109375" customWidth="1"/>
    <col min="2" max="7" width="12.7109375" customWidth="1"/>
  </cols>
  <sheetData>
    <row r="1" spans="1:6">
      <c r="A1" s="1" t="s">
        <v>77</v>
      </c>
    </row>
    <row r="2" spans="1:6">
      <c r="A2" s="2" t="s">
        <v>78</v>
      </c>
    </row>
    <row r="4" spans="1:6">
      <c r="A4" s="7" t="s">
        <v>79</v>
      </c>
      <c r="B4" s="12">
        <v>0.012</v>
      </c>
      <c r="C4" s="12">
        <v>0.017</v>
      </c>
      <c r="D4" s="12">
        <v>0.022</v>
      </c>
      <c r="E4" s="12">
        <v>0.027</v>
      </c>
      <c r="F4" s="12">
        <v>0.032</v>
      </c>
    </row>
    <row r="5" spans="1:6">
      <c r="A5" s="12">
        <v>0.063</v>
      </c>
      <c r="B5" s="11">
        <v>8.75</v>
      </c>
      <c r="C5" s="11">
        <v>8.75</v>
      </c>
      <c r="D5" s="11">
        <v>8.75</v>
      </c>
      <c r="E5" s="11">
        <v>8.75</v>
      </c>
      <c r="F5" s="11">
        <v>8.75</v>
      </c>
    </row>
    <row r="6" spans="1:6">
      <c r="A6" s="12">
        <v>0.073</v>
      </c>
      <c r="B6" s="11">
        <v>7.01</v>
      </c>
      <c r="C6" s="11">
        <v>7.57</v>
      </c>
      <c r="D6" s="11">
        <v>7.9</v>
      </c>
      <c r="E6" s="11">
        <v>7.9</v>
      </c>
      <c r="F6" s="11">
        <v>7.9</v>
      </c>
    </row>
    <row r="7" spans="1:6">
      <c r="A7" s="12">
        <v>0.083</v>
      </c>
      <c r="B7" s="11">
        <v>5.56</v>
      </c>
      <c r="C7" s="11">
        <v>5.93</v>
      </c>
      <c r="D7" s="11">
        <v>6.36</v>
      </c>
      <c r="E7" s="11">
        <v>6.88</v>
      </c>
      <c r="F7" s="11">
        <v>7.12</v>
      </c>
    </row>
    <row r="8" spans="1:6">
      <c r="A8" s="12">
        <v>0.09300000000000001</v>
      </c>
      <c r="B8" s="11">
        <v>4.47</v>
      </c>
      <c r="C8" s="11">
        <v>4.73</v>
      </c>
      <c r="D8" s="11">
        <v>5.03</v>
      </c>
      <c r="E8" s="11">
        <v>5.37</v>
      </c>
      <c r="F8" s="11">
        <v>5.77</v>
      </c>
    </row>
    <row r="9" spans="1:6">
      <c r="A9" s="12">
        <v>0.103</v>
      </c>
      <c r="B9" s="11">
        <v>3.63</v>
      </c>
      <c r="C9" s="11">
        <v>3.81</v>
      </c>
      <c r="D9" s="11">
        <v>4.03</v>
      </c>
      <c r="E9" s="11">
        <v>4.27</v>
      </c>
      <c r="F9" s="11">
        <v>4.54</v>
      </c>
    </row>
    <row r="11" spans="1:6" ht="60" customHeight="1">
      <c r="A11" s="2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cols>
    <col min="1" max="1" width="32.7109375" customWidth="1"/>
    <col min="2" max="6" width="12.7109375" customWidth="1"/>
  </cols>
  <sheetData>
    <row r="1" spans="1:5">
      <c r="A1" s="1" t="s">
        <v>81</v>
      </c>
    </row>
    <row r="3" spans="1:5">
      <c r="A3" s="7" t="s">
        <v>82</v>
      </c>
      <c r="B3" s="7" t="s">
        <v>83</v>
      </c>
      <c r="C3" s="7" t="s">
        <v>84</v>
      </c>
      <c r="D3" s="7" t="s">
        <v>85</v>
      </c>
      <c r="E3" s="7" t="s">
        <v>86</v>
      </c>
    </row>
    <row r="4" spans="1:5">
      <c r="A4" t="s">
        <v>87</v>
      </c>
      <c r="B4" s="5">
        <v>43</v>
      </c>
      <c r="C4" s="5">
        <v>-190</v>
      </c>
      <c r="D4" s="5">
        <v>0</v>
      </c>
      <c r="E4" s="5">
        <v>72</v>
      </c>
    </row>
    <row r="5" spans="1:5">
      <c r="A5" t="s">
        <v>88</v>
      </c>
      <c r="E5" s="5">
        <v>5</v>
      </c>
    </row>
    <row r="6" spans="1:5">
      <c r="A6" t="s">
        <v>89</v>
      </c>
      <c r="E6" s="5">
        <f>E4-E5</f>
        <v>0</v>
      </c>
    </row>
    <row r="8" spans="1:5">
      <c r="A8" t="s">
        <v>90</v>
      </c>
      <c r="C8" s="5">
        <v>576</v>
      </c>
      <c r="D8" s="5">
        <v>663</v>
      </c>
      <c r="E8" s="5">
        <v>774</v>
      </c>
    </row>
    <row r="9" spans="1:5">
      <c r="A9" t="s">
        <v>36</v>
      </c>
      <c r="C9" s="5">
        <v>110</v>
      </c>
      <c r="D9" s="5">
        <v>156</v>
      </c>
      <c r="E9" s="5">
        <v>110</v>
      </c>
    </row>
    <row r="10" spans="1:5">
      <c r="A10" t="s">
        <v>37</v>
      </c>
      <c r="E10" s="5">
        <v>363</v>
      </c>
    </row>
    <row r="12" spans="1:5" ht="90" customHeight="1">
      <c r="A12" s="2" t="s">
        <v>91</v>
      </c>
    </row>
    <row r="14" spans="1:5" ht="60" customHeight="1">
      <c r="A14" s="2" t="s">
        <v>92</v>
      </c>
    </row>
    <row r="16" spans="1:5" ht="45" customHeight="1">
      <c r="A16" s="2" t="s">
        <v>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30.7109375" customWidth="1"/>
    <col min="2" max="7" width="12.7109375" customWidth="1"/>
  </cols>
  <sheetData>
    <row r="1" spans="1:5">
      <c r="A1" s="1" t="s">
        <v>94</v>
      </c>
    </row>
    <row r="2" spans="1:5" ht="90" customHeight="1">
      <c r="A2" s="2" t="s">
        <v>95</v>
      </c>
    </row>
    <row r="4" spans="1:5">
      <c r="A4" s="3" t="s">
        <v>96</v>
      </c>
    </row>
    <row r="5" spans="1:5">
      <c r="A5" s="7" t="s">
        <v>82</v>
      </c>
      <c r="B5" s="7" t="s">
        <v>83</v>
      </c>
      <c r="C5" s="7" t="s">
        <v>84</v>
      </c>
      <c r="D5" s="7" t="s">
        <v>85</v>
      </c>
      <c r="E5" s="7" t="s">
        <v>86</v>
      </c>
    </row>
    <row r="6" spans="1:5">
      <c r="A6" t="s">
        <v>97</v>
      </c>
      <c r="B6" s="5">
        <v>31.11</v>
      </c>
      <c r="C6" s="5">
        <v>49.69</v>
      </c>
      <c r="D6" s="5">
        <v>30.1</v>
      </c>
      <c r="E6" s="5">
        <v>21.63</v>
      </c>
    </row>
    <row r="7" spans="1:5">
      <c r="A7" t="s">
        <v>98</v>
      </c>
      <c r="B7" s="5">
        <v>2</v>
      </c>
      <c r="C7" s="5">
        <v>2.27</v>
      </c>
      <c r="D7" s="5">
        <v>2.71</v>
      </c>
      <c r="E7" s="5">
        <v>2.6</v>
      </c>
    </row>
    <row r="8" spans="1:5">
      <c r="A8" t="s">
        <v>99</v>
      </c>
      <c r="B8" s="5">
        <v>12.09</v>
      </c>
      <c r="C8" s="5">
        <v>16.89</v>
      </c>
      <c r="D8" s="5">
        <v>13.01</v>
      </c>
      <c r="E8" s="5">
        <v>10.46</v>
      </c>
    </row>
    <row r="9" spans="1:5">
      <c r="A9" t="s">
        <v>100</v>
      </c>
      <c r="C9" s="5">
        <v>13.49</v>
      </c>
      <c r="D9" s="5">
        <v>13.24</v>
      </c>
      <c r="E9" s="5">
        <v>11.79</v>
      </c>
    </row>
    <row r="10" spans="1:5">
      <c r="A10" t="s">
        <v>101</v>
      </c>
      <c r="B10" s="5">
        <v>2.38</v>
      </c>
      <c r="C10" s="5">
        <v>3</v>
      </c>
      <c r="D10" s="5">
        <v>2.48</v>
      </c>
      <c r="E10" s="5">
        <v>2.09</v>
      </c>
    </row>
    <row r="12" spans="1:5">
      <c r="A12" s="3" t="s">
        <v>102</v>
      </c>
    </row>
    <row r="13" spans="1:5">
      <c r="A13" s="7" t="s">
        <v>103</v>
      </c>
      <c r="B13" s="7" t="s">
        <v>65</v>
      </c>
      <c r="C13" s="7" t="s">
        <v>66</v>
      </c>
      <c r="D13" s="7" t="s">
        <v>67</v>
      </c>
    </row>
    <row r="14" spans="1:5">
      <c r="A14" t="s">
        <v>104</v>
      </c>
      <c r="B14" s="5">
        <v>2.57</v>
      </c>
      <c r="C14" s="5">
        <v>6.36</v>
      </c>
      <c r="D14" s="5">
        <v>11.28</v>
      </c>
    </row>
    <row r="15" spans="1:5">
      <c r="A15" t="s">
        <v>105</v>
      </c>
      <c r="B15" s="5">
        <v>7.86</v>
      </c>
      <c r="C15" s="5">
        <v>19.46</v>
      </c>
      <c r="D15" s="5">
        <v>34.51</v>
      </c>
    </row>
    <row r="16" spans="1:5">
      <c r="A16" t="s">
        <v>106</v>
      </c>
      <c r="B16" s="5">
        <v>0.61</v>
      </c>
      <c r="C16" s="5">
        <v>1.51</v>
      </c>
      <c r="D16" s="5">
        <v>2.68</v>
      </c>
    </row>
    <row r="17" spans="1:4">
      <c r="A17" t="s">
        <v>107</v>
      </c>
      <c r="B17" s="5">
        <v>0.79</v>
      </c>
      <c r="C17" s="5">
        <v>1.95</v>
      </c>
      <c r="D17" s="5">
        <v>3.46</v>
      </c>
    </row>
    <row r="18" spans="1:4">
      <c r="A18" t="s">
        <v>108</v>
      </c>
      <c r="B18" s="5">
        <v>5.26</v>
      </c>
      <c r="C18" s="5">
        <v>9.4</v>
      </c>
      <c r="D18" s="5">
        <v>14.78</v>
      </c>
    </row>
    <row r="20" spans="1:4">
      <c r="A20" s="3" t="s">
        <v>109</v>
      </c>
    </row>
    <row r="21" spans="1:4">
      <c r="A21" t="s">
        <v>110</v>
      </c>
      <c r="B21" s="13" t="s">
        <v>111</v>
      </c>
      <c r="C21" t="s">
        <v>112</v>
      </c>
    </row>
    <row r="22" spans="1:4">
      <c r="A22" t="s">
        <v>113</v>
      </c>
      <c r="B22" s="14" t="s">
        <v>114</v>
      </c>
      <c r="C22" t="s">
        <v>115</v>
      </c>
    </row>
    <row r="23" spans="1:4">
      <c r="A23" t="s">
        <v>116</v>
      </c>
      <c r="B23" s="14" t="s">
        <v>114</v>
      </c>
      <c r="C23" t="s">
        <v>115</v>
      </c>
    </row>
    <row r="24" spans="1:4">
      <c r="A24" t="s">
        <v>117</v>
      </c>
      <c r="B24" s="14" t="s">
        <v>114</v>
      </c>
      <c r="C24" t="s">
        <v>115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118</v>
      </c>
    </row>
    <row r="4" spans="1:2" ht="45" customHeight="1">
      <c r="A4" s="8" t="s">
        <v>119</v>
      </c>
      <c r="B4" s="2" t="s">
        <v>120</v>
      </c>
    </row>
    <row r="5" spans="1:2" ht="45" customHeight="1">
      <c r="A5" s="8" t="s">
        <v>121</v>
      </c>
      <c r="B5" s="2" t="s">
        <v>122</v>
      </c>
    </row>
    <row r="6" spans="1:2" ht="45" customHeight="1">
      <c r="A6" s="8" t="s">
        <v>123</v>
      </c>
      <c r="B6" s="2" t="s">
        <v>124</v>
      </c>
    </row>
    <row r="7" spans="1:2" ht="45" customHeight="1">
      <c r="A7" s="8" t="s">
        <v>125</v>
      </c>
      <c r="B7" s="2" t="s">
        <v>126</v>
      </c>
    </row>
    <row r="8" spans="1:2" ht="45" customHeight="1">
      <c r="A8" s="8" t="s">
        <v>127</v>
      </c>
      <c r="B8" s="2" t="s">
        <v>128</v>
      </c>
    </row>
    <row r="9" spans="1:2" ht="45" customHeight="1">
      <c r="A9" s="8" t="s">
        <v>129</v>
      </c>
      <c r="B9" s="2" t="s">
        <v>130</v>
      </c>
    </row>
    <row r="10" spans="1:2" ht="45" customHeight="1">
      <c r="A10" s="8" t="s">
        <v>131</v>
      </c>
      <c r="B10" s="2" t="s">
        <v>132</v>
      </c>
    </row>
    <row r="11" spans="1:2" ht="45" customHeight="1">
      <c r="A11" s="8" t="s">
        <v>133</v>
      </c>
      <c r="B11" s="2" t="s">
        <v>134</v>
      </c>
    </row>
    <row r="12" spans="1:2" ht="45" customHeight="1">
      <c r="A12" s="8" t="s">
        <v>135</v>
      </c>
      <c r="B12" s="2" t="s">
        <v>136</v>
      </c>
    </row>
    <row r="13" spans="1:2" ht="45" customHeight="1">
      <c r="A13" s="8" t="s">
        <v>137</v>
      </c>
      <c r="B13" s="2" t="s">
        <v>138</v>
      </c>
    </row>
    <row r="14" spans="1:2" ht="45" customHeight="1">
      <c r="A14" s="8" t="s">
        <v>139</v>
      </c>
      <c r="B14" s="2" t="s">
        <v>140</v>
      </c>
    </row>
    <row r="15" spans="1:2" ht="45" customHeight="1">
      <c r="A15" s="8" t="s">
        <v>141</v>
      </c>
      <c r="B15" s="2" t="s">
        <v>142</v>
      </c>
    </row>
    <row r="16" spans="1:2" ht="45" customHeight="1">
      <c r="A16" s="8" t="s">
        <v>143</v>
      </c>
      <c r="B16" s="2" t="s">
        <v>144</v>
      </c>
    </row>
    <row r="17" spans="1:2" ht="45" customHeight="1">
      <c r="A17" s="8" t="s">
        <v>145</v>
      </c>
      <c r="B17" s="2" t="s">
        <v>146</v>
      </c>
    </row>
    <row r="18" spans="1:2" ht="45" customHeight="1">
      <c r="A18" s="8" t="s">
        <v>147</v>
      </c>
      <c r="B18" s="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DCF Model</vt:lpstr>
      <vt:lpstr>Bull_Bear Scenarios</vt:lpstr>
      <vt:lpstr>Sensitivity</vt:lpstr>
      <vt:lpstr>FCF Quality</vt:lpstr>
      <vt:lpstr>Sanity Check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2026-08-09T10:28:02Z</dcterms:created>
  <dcterms:modified xsi:type="dcterms:W3CDTF">2026-08-09T10:28:02Z</dcterms:modified>
</cp:coreProperties>
</file>